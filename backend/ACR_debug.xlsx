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a.canedo\Desktop\"/>
    </mc:Choice>
  </mc:AlternateContent>
  <xr:revisionPtr revIDLastSave="0" documentId="8_{CCF7D9AC-92F0-49D7-8FB0-2E8FAD7294E6}" xr6:coauthVersionLast="47" xr6:coauthVersionMax="47" xr10:uidLastSave="{00000000-0000-0000-0000-000000000000}"/>
  <bookViews>
    <workbookView xWindow="-108" yWindow="-108" windowWidth="23256" windowHeight="12456" xr2:uid="{C44D54E9-B138-4FB5-87D5-F6FFF092B3FA}"/>
  </bookViews>
  <sheets>
    <sheet name="plan-acr" sheetId="1" r:id="rId1"/>
  </sheets>
  <calcPr calcId="0"/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</calcChain>
</file>

<file path=xl/sharedStrings.xml><?xml version="1.0" encoding="utf-8"?>
<sst xmlns="http://schemas.openxmlformats.org/spreadsheetml/2006/main" count="58248" uniqueCount="12103">
  <si>
    <t>Est</t>
  </si>
  <si>
    <t>Esp</t>
  </si>
  <si>
    <t>Ser</t>
  </si>
  <si>
    <t>Título</t>
  </si>
  <si>
    <t>/P</t>
  </si>
  <si>
    <t>Un Neg</t>
  </si>
  <si>
    <t>Cliente</t>
  </si>
  <si>
    <t>Nome Abrev</t>
  </si>
  <si>
    <t>Nome Cliente</t>
  </si>
  <si>
    <t>Grp Cliente</t>
  </si>
  <si>
    <t>Cliente Matriz</t>
  </si>
  <si>
    <t>Port</t>
  </si>
  <si>
    <t>Cart</t>
  </si>
  <si>
    <t>Repres</t>
  </si>
  <si>
    <t>Emissão</t>
  </si>
  <si>
    <t>Vencto</t>
  </si>
  <si>
    <t>Liquidac</t>
  </si>
  <si>
    <t>Refer</t>
  </si>
  <si>
    <t>Tit Banco</t>
  </si>
  <si>
    <t>Moeda</t>
  </si>
  <si>
    <t>Val Original</t>
  </si>
  <si>
    <t>Saldo</t>
  </si>
  <si>
    <t>Saldo Apresentação</t>
  </si>
  <si>
    <t>Vl Descto</t>
  </si>
  <si>
    <t>Vl Abat</t>
  </si>
  <si>
    <t>Dias</t>
  </si>
  <si>
    <t>Pedido Venda</t>
  </si>
  <si>
    <t>Data Indic</t>
  </si>
  <si>
    <t>Cond Cobr</t>
  </si>
  <si>
    <t>Cidade</t>
  </si>
  <si>
    <t>Telefone</t>
  </si>
  <si>
    <t>Cidade Cobrança Cliente</t>
  </si>
  <si>
    <t>ID Federal</t>
  </si>
  <si>
    <t>Unid Federac</t>
  </si>
  <si>
    <t>DP</t>
  </si>
  <si>
    <t>0287493</t>
  </si>
  <si>
    <t>01</t>
  </si>
  <si>
    <t>LIGUE ENTULH</t>
  </si>
  <si>
    <t>JAIME DE MATTOS ITUVERAVA - ME</t>
  </si>
  <si>
    <t>SIM</t>
  </si>
  <si>
    <t>2608074J6M</t>
  </si>
  <si>
    <t>Real</t>
  </si>
  <si>
    <t>ITUVERAVA</t>
  </si>
  <si>
    <t>16-3839-0333</t>
  </si>
  <si>
    <t>SP</t>
  </si>
  <si>
    <t>0006970</t>
  </si>
  <si>
    <t>UNI RAPIDO</t>
  </si>
  <si>
    <t>UNI RAPIDO TRANSPORTES DE CARGOS LTDA ME</t>
  </si>
  <si>
    <t>dev</t>
  </si>
  <si>
    <t>240207094C</t>
  </si>
  <si>
    <t>GUARULHOS</t>
  </si>
  <si>
    <t>11 2436 4133</t>
  </si>
  <si>
    <t>08323344000305</t>
  </si>
  <si>
    <t>0287299</t>
  </si>
  <si>
    <t>ROCELL</t>
  </si>
  <si>
    <t>ROCELL TRANSPORTES E LOCACAO LTDA ME</t>
  </si>
  <si>
    <t>2608054IWR</t>
  </si>
  <si>
    <t>CAMPINAS</t>
  </si>
  <si>
    <t>(19) 3282-4499</t>
  </si>
  <si>
    <t>00625064000188</t>
  </si>
  <si>
    <t>0286890</t>
  </si>
  <si>
    <t>BORGHI BR</t>
  </si>
  <si>
    <t>BORGHI BRASIL INDUSTRIA E COMERCIO DE MAQUINAS LTDA</t>
  </si>
  <si>
    <t>2607304HT2</t>
  </si>
  <si>
    <t>SAO PAULO</t>
  </si>
  <si>
    <t>(11) 3864-1466</t>
  </si>
  <si>
    <t>0287319</t>
  </si>
  <si>
    <t>ANA ELISA DA</t>
  </si>
  <si>
    <t>ANA ELISA SILVA</t>
  </si>
  <si>
    <t>CAR</t>
  </si>
  <si>
    <t>2608054J1L</t>
  </si>
  <si>
    <t>0287821</t>
  </si>
  <si>
    <t>2608184JE8</t>
  </si>
  <si>
    <t>AN</t>
  </si>
  <si>
    <t>12.11.2025</t>
  </si>
  <si>
    <t>CESCEBRASIL</t>
  </si>
  <si>
    <t>CESCEBRASIL SEGUROS DE GARANTIAS DE CREDITO S/A</t>
  </si>
  <si>
    <t>251205Trla</t>
  </si>
  <si>
    <t>08.01.2026</t>
  </si>
  <si>
    <t>260113Tvzp</t>
  </si>
  <si>
    <t>0252768</t>
  </si>
  <si>
    <t>BOMFIM CARGA</t>
  </si>
  <si>
    <t>BOMFIM CARGAS E ENCOMENDAS LTDA</t>
  </si>
  <si>
    <t>DEV</t>
  </si>
  <si>
    <t>24120933IK</t>
  </si>
  <si>
    <t>FEIRA DE SANTANA</t>
  </si>
  <si>
    <t>75 3223-1143</t>
  </si>
  <si>
    <t>BA</t>
  </si>
  <si>
    <t>0287283</t>
  </si>
  <si>
    <t>FORMATO MATR</t>
  </si>
  <si>
    <t>FORMATO TRANSPORTES LTDA</t>
  </si>
  <si>
    <t>2608054IWM</t>
  </si>
  <si>
    <t>(11) 2536-7215</t>
  </si>
  <si>
    <t>0288134</t>
  </si>
  <si>
    <t>2608244JMY</t>
  </si>
  <si>
    <t>0287284</t>
  </si>
  <si>
    <t>2608054IWN</t>
  </si>
  <si>
    <t>0287281</t>
  </si>
  <si>
    <t>2608054IWK</t>
  </si>
  <si>
    <t>0287285</t>
  </si>
  <si>
    <t>2608054IWO</t>
  </si>
  <si>
    <t>0287294</t>
  </si>
  <si>
    <t>2608054IWP</t>
  </si>
  <si>
    <t>0287298</t>
  </si>
  <si>
    <t>2608054IWQ</t>
  </si>
  <si>
    <t>0287302</t>
  </si>
  <si>
    <t>2608054IWS</t>
  </si>
  <si>
    <t>0287282</t>
  </si>
  <si>
    <t>2608054IWL</t>
  </si>
  <si>
    <t>0017461</t>
  </si>
  <si>
    <t>2608050N35</t>
  </si>
  <si>
    <t>0017459</t>
  </si>
  <si>
    <t>2608050N33</t>
  </si>
  <si>
    <t>0017460</t>
  </si>
  <si>
    <t>2608050N34</t>
  </si>
  <si>
    <t>0284593</t>
  </si>
  <si>
    <t>03</t>
  </si>
  <si>
    <t>LL FIBRAS</t>
  </si>
  <si>
    <t>LL FIBRAS LTDA</t>
  </si>
  <si>
    <t>2606194EMN</t>
  </si>
  <si>
    <t>0284601</t>
  </si>
  <si>
    <t>2606194EMS</t>
  </si>
  <si>
    <t>02</t>
  </si>
  <si>
    <t>0287105</t>
  </si>
  <si>
    <t>ZEFERINO LJ5</t>
  </si>
  <si>
    <t>REDE DE DISTRIBUICAO ZEFERINO LTDA</t>
  </si>
  <si>
    <t>2608034IS6</t>
  </si>
  <si>
    <t>ESPIRITO SANTO DO PINHAL</t>
  </si>
  <si>
    <t>19-3661-9500</t>
  </si>
  <si>
    <t>0288111</t>
  </si>
  <si>
    <t>DAOLIO1</t>
  </si>
  <si>
    <t>J. L. DAOLIO &amp; CIA LTDA</t>
  </si>
  <si>
    <t>2608214JM7</t>
  </si>
  <si>
    <t>AMPARO</t>
  </si>
  <si>
    <t>19-3807-3586</t>
  </si>
  <si>
    <t>0287686</t>
  </si>
  <si>
    <t>BIG BOM</t>
  </si>
  <si>
    <t>SUPERMERCADO BIG BOM LTDA.</t>
  </si>
  <si>
    <t>2608134JB2</t>
  </si>
  <si>
    <t>MOGI GUACU</t>
  </si>
  <si>
    <t>19-3861-9000</t>
  </si>
  <si>
    <t>0287649</t>
  </si>
  <si>
    <t>2608124J9V</t>
  </si>
  <si>
    <t>0286109</t>
  </si>
  <si>
    <t>PONTO NOVO 1</t>
  </si>
  <si>
    <t>SUPERMERCADO PONTO NOVO LTDA</t>
  </si>
  <si>
    <t>VIN</t>
  </si>
  <si>
    <t>2607164H8B</t>
  </si>
  <si>
    <t>(19)3851-5530</t>
  </si>
  <si>
    <t>0286728</t>
  </si>
  <si>
    <t>UN-MSKURODA1</t>
  </si>
  <si>
    <t>M. S. KURODA &amp; CIA LTDA</t>
  </si>
  <si>
    <t>2607284HPB</t>
  </si>
  <si>
    <t>SOCORRO</t>
  </si>
  <si>
    <t>19-3895-7500</t>
  </si>
  <si>
    <t>0287403</t>
  </si>
  <si>
    <t>BIAZOTO</t>
  </si>
  <si>
    <t>SUPERMERCADO BIAZOTO LTDA.</t>
  </si>
  <si>
    <t>2608064J3Z</t>
  </si>
  <si>
    <t>19-3661-9661</t>
  </si>
  <si>
    <t>0286730</t>
  </si>
  <si>
    <t>UN-MSKURODA2</t>
  </si>
  <si>
    <t>M.S.KURODA  &amp; CIA  LTDA</t>
  </si>
  <si>
    <t>2607284HPD</t>
  </si>
  <si>
    <t>PINHALZINHO</t>
  </si>
  <si>
    <t>0287651</t>
  </si>
  <si>
    <t>BIG BOM 2</t>
  </si>
  <si>
    <t>SUPERMERCADO BIG BOM  LTDA LJ 2</t>
  </si>
  <si>
    <t>2608124J9X</t>
  </si>
  <si>
    <t>19-3851-8700</t>
  </si>
  <si>
    <t>0287687</t>
  </si>
  <si>
    <t>2608134JB3</t>
  </si>
  <si>
    <t>0287645</t>
  </si>
  <si>
    <t>ANTONELLI 1</t>
  </si>
  <si>
    <t>ANTONELLI SUPERMERCADO LTDA</t>
  </si>
  <si>
    <t>2608124J9R</t>
  </si>
  <si>
    <t>ITAPIRA</t>
  </si>
  <si>
    <t>19-3913-9911</t>
  </si>
  <si>
    <t>07732866000136</t>
  </si>
  <si>
    <t>0287646</t>
  </si>
  <si>
    <t>ANTONELLI 6</t>
  </si>
  <si>
    <t>2608124J9S</t>
  </si>
  <si>
    <t>19-3817-9911</t>
  </si>
  <si>
    <t>07732866000306</t>
  </si>
  <si>
    <t>0287089</t>
  </si>
  <si>
    <t>ZEFERINO LJ7</t>
  </si>
  <si>
    <t>2608034IRQ</t>
  </si>
  <si>
    <t>19 3913 9777</t>
  </si>
  <si>
    <t>0287462</t>
  </si>
  <si>
    <t>SM POPULAR1</t>
  </si>
  <si>
    <t>DAVID BARBOZA SUPERMERCADO LTDA</t>
  </si>
  <si>
    <t>2608064J5P</t>
  </si>
  <si>
    <t>19-3863-1230</t>
  </si>
  <si>
    <t>08468552000130</t>
  </si>
  <si>
    <t>0285916</t>
  </si>
  <si>
    <t>2607144H1Y</t>
  </si>
  <si>
    <t>0287091</t>
  </si>
  <si>
    <t>ZEFERINO L14</t>
  </si>
  <si>
    <t>2608034IRS</t>
  </si>
  <si>
    <t>MOGI MIRIM</t>
  </si>
  <si>
    <t>19-3805 9300</t>
  </si>
  <si>
    <t>0287104</t>
  </si>
  <si>
    <t>ZEFERINO L16</t>
  </si>
  <si>
    <t>2608034IS5</t>
  </si>
  <si>
    <t>CONCHAL</t>
  </si>
  <si>
    <t>19-3866-9700</t>
  </si>
  <si>
    <t>0287217</t>
  </si>
  <si>
    <t>ZEFERINO LJ8</t>
  </si>
  <si>
    <t>2608034IVA</t>
  </si>
  <si>
    <t>19 99832 5873</t>
  </si>
  <si>
    <t>0286111</t>
  </si>
  <si>
    <t>PONTO NOVO 3</t>
  </si>
  <si>
    <t>2607164H8D</t>
  </si>
  <si>
    <t>19-3851-9200</t>
  </si>
  <si>
    <t>0286112</t>
  </si>
  <si>
    <t>PONTO NOVO 4</t>
  </si>
  <si>
    <t>2607164H8E</t>
  </si>
  <si>
    <t>19 2157 1500</t>
  </si>
  <si>
    <t>0287094</t>
  </si>
  <si>
    <t>ZEFERINO L20</t>
  </si>
  <si>
    <t>2608034IRV</t>
  </si>
  <si>
    <t>SAO JOAO DA BOA VISTA</t>
  </si>
  <si>
    <t>19-3913-9777</t>
  </si>
  <si>
    <t>0287688</t>
  </si>
  <si>
    <t>ANTONELLI 8</t>
  </si>
  <si>
    <t>2608134JB4</t>
  </si>
  <si>
    <t>JAGUARIUNA</t>
  </si>
  <si>
    <t>07732866000560</t>
  </si>
  <si>
    <t>0287647</t>
  </si>
  <si>
    <t>2608124J9T</t>
  </si>
  <si>
    <t>0286877</t>
  </si>
  <si>
    <t>UNI-BOA CD</t>
  </si>
  <si>
    <t>IRMAOS BOA LTDA</t>
  </si>
  <si>
    <t>2607304HSQ</t>
  </si>
  <si>
    <t>JUNDIAI</t>
  </si>
  <si>
    <t>0286291</t>
  </si>
  <si>
    <t>2607224HB6</t>
  </si>
  <si>
    <t>0286290</t>
  </si>
  <si>
    <t>2607224HB5</t>
  </si>
  <si>
    <t>0284537</t>
  </si>
  <si>
    <t>2606174EL9</t>
  </si>
  <si>
    <t>0287965</t>
  </si>
  <si>
    <t>STO ANTONIO7</t>
  </si>
  <si>
    <t>REDE ROFATTO DE SUPERMERCADOS LTDA</t>
  </si>
  <si>
    <t>2608204JI4</t>
  </si>
  <si>
    <t>AGUAS DE LINDOIA</t>
  </si>
  <si>
    <t>193813-4835</t>
  </si>
  <si>
    <t>05364327000751</t>
  </si>
  <si>
    <t>0286731</t>
  </si>
  <si>
    <t>UN-MSKURODA3</t>
  </si>
  <si>
    <t>M S KURODA &amp; CIA LTDA</t>
  </si>
  <si>
    <t>2607284HPE</t>
  </si>
  <si>
    <t>19 3895 7500</t>
  </si>
  <si>
    <t>0286461</t>
  </si>
  <si>
    <t>SUP TEIXEIRA</t>
  </si>
  <si>
    <t>SUPERMERCADO IRMAOS TEIXEIRA LTDA</t>
  </si>
  <si>
    <t>2607234HFS</t>
  </si>
  <si>
    <t>06159472000178</t>
  </si>
  <si>
    <t>0286436</t>
  </si>
  <si>
    <t>S COPACABAN3</t>
  </si>
  <si>
    <t>DIVALDO A ANTONELLI &amp; CIA LTDA</t>
  </si>
  <si>
    <t>2607234HF3</t>
  </si>
  <si>
    <t>ARARAS</t>
  </si>
  <si>
    <t>0286462</t>
  </si>
  <si>
    <t>S COPACABAN4</t>
  </si>
  <si>
    <t>2607234HFT</t>
  </si>
  <si>
    <t>0287648</t>
  </si>
  <si>
    <t>ANTONELLI 9</t>
  </si>
  <si>
    <t>2608124J9U</t>
  </si>
  <si>
    <t>07732866000640</t>
  </si>
  <si>
    <t>0288116</t>
  </si>
  <si>
    <t>FONSECA LJ11</t>
  </si>
  <si>
    <t>SUPERMERCADO MARINO DE AGUAI LTDA</t>
  </si>
  <si>
    <t>2608214JMC</t>
  </si>
  <si>
    <t>0287971</t>
  </si>
  <si>
    <t>GESSICA SIL</t>
  </si>
  <si>
    <t>58.359.392 GESSICA SILVA OLIVEIRA</t>
  </si>
  <si>
    <t>2608204JIA</t>
  </si>
  <si>
    <t>HOLAMBRA</t>
  </si>
  <si>
    <t>0287972</t>
  </si>
  <si>
    <t>SUP MAKIM</t>
  </si>
  <si>
    <t>SUPERMERCADO NOVA MAKIM LTDA</t>
  </si>
  <si>
    <t>2608204JIB</t>
  </si>
  <si>
    <t>0287090</t>
  </si>
  <si>
    <t>ZEFERINO L24</t>
  </si>
  <si>
    <t>2608034IRR</t>
  </si>
  <si>
    <t>19 3805 9300</t>
  </si>
  <si>
    <t>0286110</t>
  </si>
  <si>
    <t>PONTO NOVO 2</t>
  </si>
  <si>
    <t>2607164H8C</t>
  </si>
  <si>
    <t>0287092</t>
  </si>
  <si>
    <t>MERC. IMPERIAL DE MOGI MIRIM LTDA - EPP</t>
  </si>
  <si>
    <t>2608034IRT</t>
  </si>
  <si>
    <t>(19)-3862-4117</t>
  </si>
  <si>
    <t>0288110</t>
  </si>
  <si>
    <t>DAOLIO2</t>
  </si>
  <si>
    <t>2608214JM6</t>
  </si>
  <si>
    <t>PEDREIRA</t>
  </si>
  <si>
    <t>(19)3852-8080</t>
  </si>
  <si>
    <t>0287634</t>
  </si>
  <si>
    <t>BIG BOM 3</t>
  </si>
  <si>
    <t>SUPERMERCADO BIG BOM LTDA</t>
  </si>
  <si>
    <t>2608124J9G</t>
  </si>
  <si>
    <t>19-3638-1000</t>
  </si>
  <si>
    <t>0288060</t>
  </si>
  <si>
    <t>ANDRE</t>
  </si>
  <si>
    <t>ANDRE RICARDO GUIMARAES E CIA LTDA</t>
  </si>
  <si>
    <t>2608204JKR</t>
  </si>
  <si>
    <t>JATAI</t>
  </si>
  <si>
    <t>064-3631-3046</t>
  </si>
  <si>
    <t>02326477000197</t>
  </si>
  <si>
    <t>GO</t>
  </si>
  <si>
    <t>0286099</t>
  </si>
  <si>
    <t>2607164H81</t>
  </si>
  <si>
    <t>0286781</t>
  </si>
  <si>
    <t>SOUZA</t>
  </si>
  <si>
    <t>SOUZA SOARES &amp; SOARES LTDA</t>
  </si>
  <si>
    <t>2607294HQL</t>
  </si>
  <si>
    <t>QUIRINOPOLIS</t>
  </si>
  <si>
    <t>064-3651-1248</t>
  </si>
  <si>
    <t>0286779</t>
  </si>
  <si>
    <t>COOP1</t>
  </si>
  <si>
    <t>COOP. MISTA P. RURAIS V. PARANAIBA LTDA</t>
  </si>
  <si>
    <t>2607294HQJ</t>
  </si>
  <si>
    <t>64-3615-9000</t>
  </si>
  <si>
    <t>02233732000157</t>
  </si>
  <si>
    <t>0287024</t>
  </si>
  <si>
    <t>CAMPEAO-GO 1</t>
  </si>
  <si>
    <t>CABRAL &amp; MAIA LTDA</t>
  </si>
  <si>
    <t>2607314HWQ</t>
  </si>
  <si>
    <t>RIO VERDE</t>
  </si>
  <si>
    <t>64-3611-0300</t>
  </si>
  <si>
    <t>0287023</t>
  </si>
  <si>
    <t>2607314HWP</t>
  </si>
  <si>
    <t>0286818</t>
  </si>
  <si>
    <t>GONCALVES1</t>
  </si>
  <si>
    <t>GONCALVES, GARCIA &amp; OLIVEIRA LTDA.</t>
  </si>
  <si>
    <t>2607304HR8</t>
  </si>
  <si>
    <t>SANTA HELENA DE GOIAS</t>
  </si>
  <si>
    <t>64-3641-1875</t>
  </si>
  <si>
    <t>00112227000129</t>
  </si>
  <si>
    <t>0286629</t>
  </si>
  <si>
    <t>CARUMBE</t>
  </si>
  <si>
    <t>COMERCIAL CAARAPO LTDA</t>
  </si>
  <si>
    <t>2607274HMN</t>
  </si>
  <si>
    <t>SAO SIMAO</t>
  </si>
  <si>
    <t>064-3658-1571</t>
  </si>
  <si>
    <t>0287981</t>
  </si>
  <si>
    <t>2608204JIK</t>
  </si>
  <si>
    <t>0287456</t>
  </si>
  <si>
    <t>CONQUISTA1</t>
  </si>
  <si>
    <t>CENTRO COMERCIAL CONQUISTA LTDA.</t>
  </si>
  <si>
    <t>2608064J5J</t>
  </si>
  <si>
    <t>(64)3620-1010</t>
  </si>
  <si>
    <t>02003591000186</t>
  </si>
  <si>
    <t>0285975</t>
  </si>
  <si>
    <t>BARATAO</t>
  </si>
  <si>
    <t>ALMB COMERCIO DE ALIMENTOS LTDA</t>
  </si>
  <si>
    <t>2607144H3L</t>
  </si>
  <si>
    <t>IPORA</t>
  </si>
  <si>
    <t>64-3674-1617</t>
  </si>
  <si>
    <t>0287457</t>
  </si>
  <si>
    <t>CONQUISTA2</t>
  </si>
  <si>
    <t>CENTRO COMERCIAL CONQUISTA LTDA LJ. 2</t>
  </si>
  <si>
    <t>2608064J5K</t>
  </si>
  <si>
    <t>64-3620-1000</t>
  </si>
  <si>
    <t>02003591000348</t>
  </si>
  <si>
    <t>0288061</t>
  </si>
  <si>
    <t>2608204JKS</t>
  </si>
  <si>
    <t>0285178</t>
  </si>
  <si>
    <t>NOELSON</t>
  </si>
  <si>
    <t>NOELSON VILELA E CIA LTDA  - ME</t>
  </si>
  <si>
    <t>2606264F3M</t>
  </si>
  <si>
    <t>CACHOEIRA ALTA</t>
  </si>
  <si>
    <t>64-3612-1473</t>
  </si>
  <si>
    <t>04233199000159</t>
  </si>
  <si>
    <t>0285177</t>
  </si>
  <si>
    <t>2606264F3L</t>
  </si>
  <si>
    <t>0286285</t>
  </si>
  <si>
    <t>JANIO DA SIL</t>
  </si>
  <si>
    <t>JANIO DA SILVA OLIVEIRA</t>
  </si>
  <si>
    <t>2607214HAZ</t>
  </si>
  <si>
    <t>64-3636-3106</t>
  </si>
  <si>
    <t>03212767000172</t>
  </si>
  <si>
    <t>0287040</t>
  </si>
  <si>
    <t>RHEIDNER</t>
  </si>
  <si>
    <t>RHEIDNER MORAES TOSTA - EIRELI</t>
  </si>
  <si>
    <t>2607314HX6</t>
  </si>
  <si>
    <t>4035/1</t>
  </si>
  <si>
    <t>64-3636-4870</t>
  </si>
  <si>
    <t>05167967000186</t>
  </si>
  <si>
    <t>0014373</t>
  </si>
  <si>
    <t>2607310D4O</t>
  </si>
  <si>
    <t>4035/2</t>
  </si>
  <si>
    <t>0287030</t>
  </si>
  <si>
    <t>CAMPEAO-GO 4</t>
  </si>
  <si>
    <t>CABRAL E MAIA LTDA</t>
  </si>
  <si>
    <t>2607314HWW</t>
  </si>
  <si>
    <t>64-3622-4333</t>
  </si>
  <si>
    <t>0287029</t>
  </si>
  <si>
    <t>2607314HWV</t>
  </si>
  <si>
    <t>0286632</t>
  </si>
  <si>
    <t>SUP DOIS AMI</t>
  </si>
  <si>
    <t>COMERCIAL DE ALIMENTOS DOIS AMIGOS LTDA - ME</t>
  </si>
  <si>
    <t>2607274HMQ</t>
  </si>
  <si>
    <t>0286677</t>
  </si>
  <si>
    <t>DOIS AMIGOS2</t>
  </si>
  <si>
    <t>ALLAN BARCELOS NUNES E CIA LTDA - EPP</t>
  </si>
  <si>
    <t>2607274HNU</t>
  </si>
  <si>
    <t>PARANAIGUARA</t>
  </si>
  <si>
    <t>0287982</t>
  </si>
  <si>
    <t>FURACAO PROD</t>
  </si>
  <si>
    <t>FURACAO NEGOCIOS E PROD PROFISSIONAIS LTDA</t>
  </si>
  <si>
    <t>2608204JIL</t>
  </si>
  <si>
    <t>06202512000117</t>
  </si>
  <si>
    <t>0288001</t>
  </si>
  <si>
    <t>2608204JJ4</t>
  </si>
  <si>
    <t>0288070</t>
  </si>
  <si>
    <t>SUPER NILO</t>
  </si>
  <si>
    <t>N. BEVILACQUA JUNIOR EIRELI</t>
  </si>
  <si>
    <t>2608204JL1</t>
  </si>
  <si>
    <t>BARRA DO GARCAS</t>
  </si>
  <si>
    <t>05354945000397</t>
  </si>
  <si>
    <t>MT</t>
  </si>
  <si>
    <t>0286312</t>
  </si>
  <si>
    <t>2607224HBQ</t>
  </si>
  <si>
    <t>0286041</t>
  </si>
  <si>
    <t>SUPER NILO 2</t>
  </si>
  <si>
    <t>2607144H5D</t>
  </si>
  <si>
    <t>66-3401- 1122</t>
  </si>
  <si>
    <t>05354945000206</t>
  </si>
  <si>
    <t>0287987</t>
  </si>
  <si>
    <t>2608204JIQ</t>
  </si>
  <si>
    <t>0286286</t>
  </si>
  <si>
    <t>MULTILIMP</t>
  </si>
  <si>
    <t>HELOISIO ANTONIO SILVA CALDEIRA</t>
  </si>
  <si>
    <t>2607214HB0</t>
  </si>
  <si>
    <t>MINEIROS</t>
  </si>
  <si>
    <t>64-3661-9205</t>
  </si>
  <si>
    <t>0287518</t>
  </si>
  <si>
    <t>CICLONE PROD</t>
  </si>
  <si>
    <t>MR PRODUTOS DE LIMPEZA E DESCARTAVEIS LTDA - ME</t>
  </si>
  <si>
    <t>2608114J78</t>
  </si>
  <si>
    <t>0287522</t>
  </si>
  <si>
    <t>PEVE FOODS</t>
  </si>
  <si>
    <t>PEVE FOODS EIRELI - ME</t>
  </si>
  <si>
    <t>2608114J7C</t>
  </si>
  <si>
    <t>0285815</t>
  </si>
  <si>
    <t>2607064GZR</t>
  </si>
  <si>
    <t>0280325</t>
  </si>
  <si>
    <t>LIMPLUS</t>
  </si>
  <si>
    <t>LIMPLUS PROD P LIMP HIG EIRELI - ME</t>
  </si>
  <si>
    <t>26040748OJ</t>
  </si>
  <si>
    <t>64-3641-5834</t>
  </si>
  <si>
    <t>0280338</t>
  </si>
  <si>
    <t>26040748OW</t>
  </si>
  <si>
    <t>0287031</t>
  </si>
  <si>
    <t>CAMPEAO-GO 5</t>
  </si>
  <si>
    <t>2607314HWX</t>
  </si>
  <si>
    <t>64-3611-0326</t>
  </si>
  <si>
    <t>0285816</t>
  </si>
  <si>
    <t>PEVE FOODS2</t>
  </si>
  <si>
    <t>2607064GZS</t>
  </si>
  <si>
    <t>64-3661-5555</t>
  </si>
  <si>
    <t>0287524</t>
  </si>
  <si>
    <t>2608114J7D</t>
  </si>
  <si>
    <t>0275753</t>
  </si>
  <si>
    <t>ATACADAO UTI</t>
  </si>
  <si>
    <t>S SEVERINO DE OLIVEIRA LTDA</t>
  </si>
  <si>
    <t>26012841GW</t>
  </si>
  <si>
    <t>ARAGARCAS</t>
  </si>
  <si>
    <t>64-3638-1891</t>
  </si>
  <si>
    <t>06974205000154</t>
  </si>
  <si>
    <t>0287525</t>
  </si>
  <si>
    <t>PEVE FOODS3</t>
  </si>
  <si>
    <t>PEVE FOODS EIRELI</t>
  </si>
  <si>
    <t>2608114J7E</t>
  </si>
  <si>
    <t>0285868</t>
  </si>
  <si>
    <t>2607154H6U</t>
  </si>
  <si>
    <t>0285869</t>
  </si>
  <si>
    <t>2607154H6V</t>
  </si>
  <si>
    <t>0287994</t>
  </si>
  <si>
    <t>2608204JIX</t>
  </si>
  <si>
    <t>0287041</t>
  </si>
  <si>
    <t>RHEIDNER 3</t>
  </si>
  <si>
    <t>2607314HX7</t>
  </si>
  <si>
    <t>4038/1</t>
  </si>
  <si>
    <t>64-3636-8534</t>
  </si>
  <si>
    <t>05167967000429</t>
  </si>
  <si>
    <t>0014374</t>
  </si>
  <si>
    <t>2607310D4P</t>
  </si>
  <si>
    <t>4038/2</t>
  </si>
  <si>
    <t>0286678</t>
  </si>
  <si>
    <t>MEDEIROS GO</t>
  </si>
  <si>
    <t>MEDEIROS SUPERMERCADOS EIRELI</t>
  </si>
  <si>
    <t>2607274HNV</t>
  </si>
  <si>
    <t>CACU</t>
  </si>
  <si>
    <t>64-3223-0400</t>
  </si>
  <si>
    <t>0288064</t>
  </si>
  <si>
    <t>2608204JKV</t>
  </si>
  <si>
    <t>0284105</t>
  </si>
  <si>
    <t>CEMA 38</t>
  </si>
  <si>
    <t>CEMA CENTRAL MINEIRA ATACADISTA LTDA</t>
  </si>
  <si>
    <t>2606104E98</t>
  </si>
  <si>
    <t>64-3631-2566</t>
  </si>
  <si>
    <t>03083231003381</t>
  </si>
  <si>
    <t>0284881</t>
  </si>
  <si>
    <t>2606244EVD</t>
  </si>
  <si>
    <t>0287993</t>
  </si>
  <si>
    <t>HOUSE CLEAN</t>
  </si>
  <si>
    <t>HOUSE CLEAN COMERCIO E DISTRIBUICAO LTDA</t>
  </si>
  <si>
    <t>2608204JIW</t>
  </si>
  <si>
    <t>64-3620-0111</t>
  </si>
  <si>
    <t>0288063</t>
  </si>
  <si>
    <t>GOIAS VERD</t>
  </si>
  <si>
    <t>GOIAS VERDURAS SUPERMERCADO LTDA</t>
  </si>
  <si>
    <t>2608204JKU</t>
  </si>
  <si>
    <t>0287988</t>
  </si>
  <si>
    <t>SUPER NILO 4</t>
  </si>
  <si>
    <t>2608204JIR</t>
  </si>
  <si>
    <t>NOVA XAVANTINA</t>
  </si>
  <si>
    <t>66 3438 1150</t>
  </si>
  <si>
    <t>05354945000478</t>
  </si>
  <si>
    <t>0286042</t>
  </si>
  <si>
    <t>2607144H5E</t>
  </si>
  <si>
    <t>0288057</t>
  </si>
  <si>
    <t>PEVE FOODS4</t>
  </si>
  <si>
    <t>2608204JKO</t>
  </si>
  <si>
    <t>0285870</t>
  </si>
  <si>
    <t>2607154H6W</t>
  </si>
  <si>
    <t>0287526</t>
  </si>
  <si>
    <t>2608114J7F</t>
  </si>
  <si>
    <t>0287032</t>
  </si>
  <si>
    <t>CAMPEAO-GO 7</t>
  </si>
  <si>
    <t>2607314HWY</t>
  </si>
  <si>
    <t>0287528</t>
  </si>
  <si>
    <t>PEVE FOODS5</t>
  </si>
  <si>
    <t>2608114J7H</t>
  </si>
  <si>
    <t>0285817</t>
  </si>
  <si>
    <t>2607064GZT</t>
  </si>
  <si>
    <t>0288058</t>
  </si>
  <si>
    <t>2608204JKP</t>
  </si>
  <si>
    <t>0288065</t>
  </si>
  <si>
    <t>MEDEIROS GO1</t>
  </si>
  <si>
    <t>SUPERMERCADOS &amp; ELETRODOMESTICOS MEDEIROS EIRELI</t>
  </si>
  <si>
    <t>2608204JKW</t>
  </si>
  <si>
    <t>ITARUMA</t>
  </si>
  <si>
    <t>0286679</t>
  </si>
  <si>
    <t>2607274HNW</t>
  </si>
  <si>
    <t>0287997</t>
  </si>
  <si>
    <t>RD PRODLIMP2</t>
  </si>
  <si>
    <t>LIMA PRODUTOS DE LIMPEZA EIRELLI</t>
  </si>
  <si>
    <t>2608204JJ0</t>
  </si>
  <si>
    <t>0287989</t>
  </si>
  <si>
    <t>SUPER NILO 5</t>
  </si>
  <si>
    <t>2608204JIS</t>
  </si>
  <si>
    <t>AGUA BOA</t>
  </si>
  <si>
    <t>05354945000710</t>
  </si>
  <si>
    <t>0286043</t>
  </si>
  <si>
    <t>2607144H5F</t>
  </si>
  <si>
    <t>0287033</t>
  </si>
  <si>
    <t>CAMPEAO-GO 8</t>
  </si>
  <si>
    <t>2607314HWZ</t>
  </si>
  <si>
    <t>64-2142-4388</t>
  </si>
  <si>
    <t>0287034</t>
  </si>
  <si>
    <t>2607314HX0</t>
  </si>
  <si>
    <t>0286680</t>
  </si>
  <si>
    <t>MEDEIROS GO2</t>
  </si>
  <si>
    <t>SUPERMERCADO ABC LTDA</t>
  </si>
  <si>
    <t>2607274HNX</t>
  </si>
  <si>
    <t>0288066</t>
  </si>
  <si>
    <t>2608204JKX</t>
  </si>
  <si>
    <t>0287036</t>
  </si>
  <si>
    <t>CAMPEAO-GO 9</t>
  </si>
  <si>
    <t>2607314HX2</t>
  </si>
  <si>
    <t>0287035</t>
  </si>
  <si>
    <t>2607314HX1</t>
  </si>
  <si>
    <t>0287990</t>
  </si>
  <si>
    <t>SUPER NILO 6</t>
  </si>
  <si>
    <t>N. BEVILACQUA JUNIOR LTDA</t>
  </si>
  <si>
    <t>2608204JIT</t>
  </si>
  <si>
    <t>QUERENCIA</t>
  </si>
  <si>
    <t>05354945000800</t>
  </si>
  <si>
    <t>0286044</t>
  </si>
  <si>
    <t>2607144H5G</t>
  </si>
  <si>
    <t>0286303</t>
  </si>
  <si>
    <t>DUDU SUPERM</t>
  </si>
  <si>
    <t>JN LOGISTICA EMPRESARIAL LTDA</t>
  </si>
  <si>
    <t>2607224HBH</t>
  </si>
  <si>
    <t>64 99983-1693</t>
  </si>
  <si>
    <t>0286778</t>
  </si>
  <si>
    <t>COOP MISTA</t>
  </si>
  <si>
    <t>COOPERATIVA MISTAAGROPECUARIA DO VALE DO ARAGUAIA</t>
  </si>
  <si>
    <t>2607294HQI</t>
  </si>
  <si>
    <t>64 99933-8887</t>
  </si>
  <si>
    <t>01167501003226</t>
  </si>
  <si>
    <t>0285818</t>
  </si>
  <si>
    <t>PEVE FOODS6</t>
  </si>
  <si>
    <t>PEVE FOODS LTDA</t>
  </si>
  <si>
    <t>2607064GZU</t>
  </si>
  <si>
    <t>64 3661-5555</t>
  </si>
  <si>
    <t>0288059</t>
  </si>
  <si>
    <t>2608204JKQ</t>
  </si>
  <si>
    <t>0285871</t>
  </si>
  <si>
    <t>2607154H6X</t>
  </si>
  <si>
    <t>0287527</t>
  </si>
  <si>
    <t>2608114J7G</t>
  </si>
  <si>
    <t>0286631</t>
  </si>
  <si>
    <t>MULTI LIMP</t>
  </si>
  <si>
    <t>FABIO GOMES BORGES</t>
  </si>
  <si>
    <t>2607274HMP</t>
  </si>
  <si>
    <t>0286046</t>
  </si>
  <si>
    <t>SUPER NILO 7</t>
  </si>
  <si>
    <t>2607144H5I</t>
  </si>
  <si>
    <t>JUSSARA</t>
  </si>
  <si>
    <t>11 6742 0549</t>
  </si>
  <si>
    <t>05354945000982</t>
  </si>
  <si>
    <t>0287999</t>
  </si>
  <si>
    <t>2608204JJ2</t>
  </si>
  <si>
    <t>0286681</t>
  </si>
  <si>
    <t>MEDEIROS GO3</t>
  </si>
  <si>
    <t>2607274HNY</t>
  </si>
  <si>
    <t>64 9 99263050</t>
  </si>
  <si>
    <t>0288002</t>
  </si>
  <si>
    <t>CREMONESE</t>
  </si>
  <si>
    <t>CREMONESE WANDSCHEER &amp; CIA LTDA</t>
  </si>
  <si>
    <t>2608204JJ5</t>
  </si>
  <si>
    <t>66 3529 1488</t>
  </si>
  <si>
    <t>08822539000308</t>
  </si>
  <si>
    <t>0288003</t>
  </si>
  <si>
    <t>CREMONESE 2</t>
  </si>
  <si>
    <t>2608204JJ6</t>
  </si>
  <si>
    <t>08822539000138</t>
  </si>
  <si>
    <t>0287985</t>
  </si>
  <si>
    <t>CREMONESE 3</t>
  </si>
  <si>
    <t>2608204JIO</t>
  </si>
  <si>
    <t>08822539000480</t>
  </si>
  <si>
    <t>0287991</t>
  </si>
  <si>
    <t>SUPER NILO 8</t>
  </si>
  <si>
    <t>2608204JIU</t>
  </si>
  <si>
    <t>CANARANA</t>
  </si>
  <si>
    <t>05354945001016</t>
  </si>
  <si>
    <t>0286045</t>
  </si>
  <si>
    <t>2607144H5H</t>
  </si>
  <si>
    <t>0287454</t>
  </si>
  <si>
    <t>FEIRAO MIX</t>
  </si>
  <si>
    <t>FEIRAO MIX SUPERMERCADO</t>
  </si>
  <si>
    <t>2608064J5H</t>
  </si>
  <si>
    <t>64-99995-4966</t>
  </si>
  <si>
    <t>0281183</t>
  </si>
  <si>
    <t>TRIANGULO MA</t>
  </si>
  <si>
    <t>TRIANGULO MATERIAIS DE CONTRUCAO LTDA</t>
  </si>
  <si>
    <t>26042349CH</t>
  </si>
  <si>
    <t>0288068</t>
  </si>
  <si>
    <t>SU CHAPADAO</t>
  </si>
  <si>
    <t>SUPERMERCADO ABC CHAPADAO DO CEU LTDA</t>
  </si>
  <si>
    <t>2608204JKZ</t>
  </si>
  <si>
    <t>CHAPADAO DO CEU</t>
  </si>
  <si>
    <t>34 3313 9020</t>
  </si>
  <si>
    <t>0288067</t>
  </si>
  <si>
    <t>2608204JKY</t>
  </si>
  <si>
    <t>0287061</t>
  </si>
  <si>
    <t>MER ECONOM28</t>
  </si>
  <si>
    <t>VISAO ALIMENTOS E COMERCIO</t>
  </si>
  <si>
    <t>2607314HXR</t>
  </si>
  <si>
    <t>GOIANIA</t>
  </si>
  <si>
    <t>64-3631-4985</t>
  </si>
  <si>
    <t>0287992</t>
  </si>
  <si>
    <t>COM EBENEZER</t>
  </si>
  <si>
    <t>EBENEZER DISTRIBUIDORA ATE AQUI NOS AJUDOU O SENHOR</t>
  </si>
  <si>
    <t>2608204JIV</t>
  </si>
  <si>
    <t>0288004</t>
  </si>
  <si>
    <t>CREMONESE 4</t>
  </si>
  <si>
    <t>2608204JJ7</t>
  </si>
  <si>
    <t>RIBEIRAO CASCALHEIRA</t>
  </si>
  <si>
    <t>66 35291488</t>
  </si>
  <si>
    <t>08822539000561</t>
  </si>
  <si>
    <t>0288062</t>
  </si>
  <si>
    <t>DUDU SUPERM2</t>
  </si>
  <si>
    <t>NOVA ERA DISTRIBUIDORA DE ALIMENTOS LTDA</t>
  </si>
  <si>
    <t>2608204JKT</t>
  </si>
  <si>
    <t>64 99831693</t>
  </si>
  <si>
    <t>0287459</t>
  </si>
  <si>
    <t>CONQUISTA4</t>
  </si>
  <si>
    <t>CENTRO COMERCIAL CONQUISTA LTDA  LOJA 4</t>
  </si>
  <si>
    <t>2608064J5M</t>
  </si>
  <si>
    <t>(64)3620-1020</t>
  </si>
  <si>
    <t>02003591000429</t>
  </si>
  <si>
    <t>0287026</t>
  </si>
  <si>
    <t>CAMPEAO-GO 2</t>
  </si>
  <si>
    <t>CABRAL E MAIA LTDA        FILIAL</t>
  </si>
  <si>
    <t>2607314HWS</t>
  </si>
  <si>
    <t>64-3623-8796</t>
  </si>
  <si>
    <t>0287025</t>
  </si>
  <si>
    <t>2607314HWR</t>
  </si>
  <si>
    <t>0286783</t>
  </si>
  <si>
    <t>SOUZA 02</t>
  </si>
  <si>
    <t>ALFREDO DE SOUZA SOARES LTDA</t>
  </si>
  <si>
    <t>2607294HQN</t>
  </si>
  <si>
    <t>64-3651-4580</t>
  </si>
  <si>
    <t>07103407000193</t>
  </si>
  <si>
    <t>0287028</t>
  </si>
  <si>
    <t>CAMPEAO-GO 3</t>
  </si>
  <si>
    <t>2607314HWU</t>
  </si>
  <si>
    <t>64 3622 1651</t>
  </si>
  <si>
    <t>0287027</t>
  </si>
  <si>
    <t>2607314HWT</t>
  </si>
  <si>
    <t>0286819</t>
  </si>
  <si>
    <t>BLAUDECI</t>
  </si>
  <si>
    <t>BLAUDECI TENORIO SOBRAL &amp; CIA LTDA - EPP</t>
  </si>
  <si>
    <t>2607304HR9</t>
  </si>
  <si>
    <t>NOVA ANDRADINA</t>
  </si>
  <si>
    <t>67-3441-2932</t>
  </si>
  <si>
    <t>02007806000137</t>
  </si>
  <si>
    <t>MS</t>
  </si>
  <si>
    <t>0286773</t>
  </si>
  <si>
    <t>JOSE MANOEL</t>
  </si>
  <si>
    <t>SUPERMERCADO JESUS LTDA</t>
  </si>
  <si>
    <t>2607294HQD</t>
  </si>
  <si>
    <t>BATAYPORA</t>
  </si>
  <si>
    <t>067-3443-1251</t>
  </si>
  <si>
    <t>0286770</t>
  </si>
  <si>
    <t>DENADAI LJ01</t>
  </si>
  <si>
    <t>SUPERMERCADO LUISA LTDA - EPP</t>
  </si>
  <si>
    <t>2607294HQA</t>
  </si>
  <si>
    <t>GLORIA DE DOURADOS</t>
  </si>
  <si>
    <t>67-3466-1360</t>
  </si>
  <si>
    <t>0287021</t>
  </si>
  <si>
    <t>SEMPRE BOM</t>
  </si>
  <si>
    <t>SEMPRE BOM COM.DE ALIMENTOS LTDA</t>
  </si>
  <si>
    <t>2607314HWN</t>
  </si>
  <si>
    <t>DOURADOS</t>
  </si>
  <si>
    <t>067-426-7107</t>
  </si>
  <si>
    <t>01943181000152</t>
  </si>
  <si>
    <t>0286315</t>
  </si>
  <si>
    <t>ABV LJ 02</t>
  </si>
  <si>
    <t>ABV COMERCIO DE ALIMENTOS LTDA - LJ 02.</t>
  </si>
  <si>
    <t>2607224HBT</t>
  </si>
  <si>
    <t>CAARAPO</t>
  </si>
  <si>
    <t>67-3453-1653</t>
  </si>
  <si>
    <t>04757459000357</t>
  </si>
  <si>
    <t>0284750</t>
  </si>
  <si>
    <t>2606234ERR</t>
  </si>
  <si>
    <t>0284751</t>
  </si>
  <si>
    <t>2606234ERS</t>
  </si>
  <si>
    <t>0284792</t>
  </si>
  <si>
    <t>ABV-CD</t>
  </si>
  <si>
    <t>ABV COMERCIO DE ALIMENTOS LTDA - CD.</t>
  </si>
  <si>
    <t>2606234ESX</t>
  </si>
  <si>
    <t>67-3428-2579</t>
  </si>
  <si>
    <t>04757459000519</t>
  </si>
  <si>
    <t>0286318</t>
  </si>
  <si>
    <t>ABV LJ 04</t>
  </si>
  <si>
    <t>ABV COMERCIO DE ALIMENTOS LTDA</t>
  </si>
  <si>
    <t>2607224HBW</t>
  </si>
  <si>
    <t>67 3410-7200</t>
  </si>
  <si>
    <t>04757459000780</t>
  </si>
  <si>
    <t>0284752</t>
  </si>
  <si>
    <t>2606234ERT</t>
  </si>
  <si>
    <t>0286317</t>
  </si>
  <si>
    <t>2607224HBV</t>
  </si>
  <si>
    <t>0282859</t>
  </si>
  <si>
    <t>2605254BZM</t>
  </si>
  <si>
    <t>0286313</t>
  </si>
  <si>
    <t>ABV LJ 01</t>
  </si>
  <si>
    <t>ABV COMERCIO DE ALIMENTOS LTDA - LJ 01</t>
  </si>
  <si>
    <t>2607224HBR</t>
  </si>
  <si>
    <t>67-3411-8100</t>
  </si>
  <si>
    <t>04757459000438</t>
  </si>
  <si>
    <t>0284749</t>
  </si>
  <si>
    <t>2606234ERQ</t>
  </si>
  <si>
    <t>0284748</t>
  </si>
  <si>
    <t>2606234ERP</t>
  </si>
  <si>
    <t>0286472</t>
  </si>
  <si>
    <t>2607234HG3</t>
  </si>
  <si>
    <t>0286769</t>
  </si>
  <si>
    <t>COOP. VALE</t>
  </si>
  <si>
    <t>COOP. AGROINDUSTRIAL VALE IVINHEMA LTDA.</t>
  </si>
  <si>
    <t>2607294HQ9</t>
  </si>
  <si>
    <t>67-441-1190</t>
  </si>
  <si>
    <t>0286775</t>
  </si>
  <si>
    <t>S.QUEIROZ</t>
  </si>
  <si>
    <t>SOUZA E QUEIROZ ALIMENTOS LTDA</t>
  </si>
  <si>
    <t>2607294HQF</t>
  </si>
  <si>
    <t>67-3441-1997</t>
  </si>
  <si>
    <t>07297361000190</t>
  </si>
  <si>
    <t>0286665</t>
  </si>
  <si>
    <t>MELO E CUENC</t>
  </si>
  <si>
    <t>MELO E CUENCA LTDA</t>
  </si>
  <si>
    <t>2607274HNI</t>
  </si>
  <si>
    <t>NOVA ALVORADA DO SUL</t>
  </si>
  <si>
    <t>67-3456-1977</t>
  </si>
  <si>
    <t>08931657000184</t>
  </si>
  <si>
    <t>0284755</t>
  </si>
  <si>
    <t>ABV LJ 09</t>
  </si>
  <si>
    <t>ABV COMERCIO DE ALIMENTOS LTDA - LJ 09</t>
  </si>
  <si>
    <t>2606234ERW</t>
  </si>
  <si>
    <t>67-3411-8115</t>
  </si>
  <si>
    <t>04757459001400</t>
  </si>
  <si>
    <t>0284756</t>
  </si>
  <si>
    <t>2606234ERX</t>
  </si>
  <si>
    <t>0286320</t>
  </si>
  <si>
    <t>2607224HBY</t>
  </si>
  <si>
    <t>0286321</t>
  </si>
  <si>
    <t>ABV LJ 13</t>
  </si>
  <si>
    <t>ABV COMERCIO DE ALIMENTOS LTDA - LJ 13</t>
  </si>
  <si>
    <t>2607224HBZ</t>
  </si>
  <si>
    <t>ITAPORA</t>
  </si>
  <si>
    <t>67-34514161</t>
  </si>
  <si>
    <t>04757459001752</t>
  </si>
  <si>
    <t>0284757</t>
  </si>
  <si>
    <t>2606234ERY</t>
  </si>
  <si>
    <t>0284758</t>
  </si>
  <si>
    <t>2606234ERZ</t>
  </si>
  <si>
    <t>0286723</t>
  </si>
  <si>
    <t>SUPER ECON</t>
  </si>
  <si>
    <t>CRISPINIANO &amp; FILHOS LTDA</t>
  </si>
  <si>
    <t>2607284HP6</t>
  </si>
  <si>
    <t>IVINHEMA</t>
  </si>
  <si>
    <t>67-3442-1257</t>
  </si>
  <si>
    <t>0286771</t>
  </si>
  <si>
    <t>FLORDOVALE</t>
  </si>
  <si>
    <t>SUPERMERCADO SANTOS &amp; ALVES LTDA</t>
  </si>
  <si>
    <t>2607294HQB</t>
  </si>
  <si>
    <t>(67)3441-1512</t>
  </si>
  <si>
    <t>03753165000122</t>
  </si>
  <si>
    <t>0286772</t>
  </si>
  <si>
    <t>2607294HQC</t>
  </si>
  <si>
    <t>0286838</t>
  </si>
  <si>
    <t>PEQ MUNDO</t>
  </si>
  <si>
    <t>ROBERTO CARLOS TERENCIANI</t>
  </si>
  <si>
    <t>2607304HRS</t>
  </si>
  <si>
    <t>ANGELICA</t>
  </si>
  <si>
    <t>(67)3446-1204</t>
  </si>
  <si>
    <t>0284759</t>
  </si>
  <si>
    <t>ABV LJ 14</t>
  </si>
  <si>
    <t>2606234ES0</t>
  </si>
  <si>
    <t>RIO BRILHANTE</t>
  </si>
  <si>
    <t>04757459002058</t>
  </si>
  <si>
    <t>0286324</t>
  </si>
  <si>
    <t>2607224HC2</t>
  </si>
  <si>
    <t>0284760</t>
  </si>
  <si>
    <t>2606234ES1</t>
  </si>
  <si>
    <t>0286322</t>
  </si>
  <si>
    <t>2607224HC0</t>
  </si>
  <si>
    <t>0282862</t>
  </si>
  <si>
    <t>2605254BZP</t>
  </si>
  <si>
    <t>0286326</t>
  </si>
  <si>
    <t>ABV LJ 16</t>
  </si>
  <si>
    <t>2607224HC4</t>
  </si>
  <si>
    <t>67-3410-7200</t>
  </si>
  <si>
    <t>04757459001914</t>
  </si>
  <si>
    <t>0286325</t>
  </si>
  <si>
    <t>2607224HC3</t>
  </si>
  <si>
    <t>0284761</t>
  </si>
  <si>
    <t>2606234ES2</t>
  </si>
  <si>
    <t>0284762</t>
  </si>
  <si>
    <t>2606234ES3</t>
  </si>
  <si>
    <t>0284764</t>
  </si>
  <si>
    <t>ABV LJ 17</t>
  </si>
  <si>
    <t>ABV COEMRCIO DE ALIMENTOS LTDA</t>
  </si>
  <si>
    <t>2606234ES5</t>
  </si>
  <si>
    <t>04757459002481</t>
  </si>
  <si>
    <t>0284763</t>
  </si>
  <si>
    <t>2606234ES4</t>
  </si>
  <si>
    <t>0286327</t>
  </si>
  <si>
    <t>2607224HC5</t>
  </si>
  <si>
    <t>0286329</t>
  </si>
  <si>
    <t>ABV LJ 18</t>
  </si>
  <si>
    <t>ABV COMÉRCIO DE ALIMENTOS</t>
  </si>
  <si>
    <t>2607224HC7</t>
  </si>
  <si>
    <t>PONTA PORA</t>
  </si>
  <si>
    <t>04757459002724</t>
  </si>
  <si>
    <t>0286906</t>
  </si>
  <si>
    <t>MERC MACAUBA</t>
  </si>
  <si>
    <t>MACAUBA COMERCIO DE ALIMENTOS LTDA</t>
  </si>
  <si>
    <t>2607314HTF</t>
  </si>
  <si>
    <t>DEODAPOLIS</t>
  </si>
  <si>
    <t>67-3448-2020</t>
  </si>
  <si>
    <t>0286908</t>
  </si>
  <si>
    <t>ACCECON CCD</t>
  </si>
  <si>
    <t>ACCECON ATACADO E DIST DE ALIMENTOS LTDA</t>
  </si>
  <si>
    <t>2607314HTH</t>
  </si>
  <si>
    <t>67-3416-7900</t>
  </si>
  <si>
    <t>0286777</t>
  </si>
  <si>
    <t>SUPER SOL 5</t>
  </si>
  <si>
    <t>ARS SUPERMERCADOS LTDA</t>
  </si>
  <si>
    <t>2607294HQH</t>
  </si>
  <si>
    <t>67 3437-3900</t>
  </si>
  <si>
    <t>0286330</t>
  </si>
  <si>
    <t>ABV LJ 22</t>
  </si>
  <si>
    <t>2607224HC8</t>
  </si>
  <si>
    <t>04757459003372</t>
  </si>
  <si>
    <t>0286474</t>
  </si>
  <si>
    <t>2607234HG5</t>
  </si>
  <si>
    <t>0284766</t>
  </si>
  <si>
    <t>2606234ES7</t>
  </si>
  <si>
    <t>0284765</t>
  </si>
  <si>
    <t>2606234ES6</t>
  </si>
  <si>
    <t>0282954</t>
  </si>
  <si>
    <t>2605254C29</t>
  </si>
  <si>
    <t>0283425</t>
  </si>
  <si>
    <t>2606014CFI</t>
  </si>
  <si>
    <t>0284769</t>
  </si>
  <si>
    <t>ABV LJ 25</t>
  </si>
  <si>
    <t>2606234ESA</t>
  </si>
  <si>
    <t>SIDROLANDIA</t>
  </si>
  <si>
    <t>04757459002562</t>
  </si>
  <si>
    <t>0286334</t>
  </si>
  <si>
    <t>2607224HCC</t>
  </si>
  <si>
    <t>0286332</t>
  </si>
  <si>
    <t>2607224HCA</t>
  </si>
  <si>
    <t>0284770</t>
  </si>
  <si>
    <t>ABV LJ 26</t>
  </si>
  <si>
    <t>2606234ESB</t>
  </si>
  <si>
    <t>MARACAJU</t>
  </si>
  <si>
    <t>04757459002805</t>
  </si>
  <si>
    <t>0286335</t>
  </si>
  <si>
    <t>2607224HCD</t>
  </si>
  <si>
    <t>0284771</t>
  </si>
  <si>
    <t>2606234ESC</t>
  </si>
  <si>
    <t>0282868</t>
  </si>
  <si>
    <t>2605254BZV</t>
  </si>
  <si>
    <t>0284773</t>
  </si>
  <si>
    <t>ABV LJ 27</t>
  </si>
  <si>
    <t>2606234ESE</t>
  </si>
  <si>
    <t>PONTA PORÃ</t>
  </si>
  <si>
    <t>04757459002643</t>
  </si>
  <si>
    <t>0286337</t>
  </si>
  <si>
    <t>2607224HCF</t>
  </si>
  <si>
    <t>0284774</t>
  </si>
  <si>
    <t>2606234ESF</t>
  </si>
  <si>
    <t>0286476</t>
  </si>
  <si>
    <t>2607234HG7</t>
  </si>
  <si>
    <t>0284775</t>
  </si>
  <si>
    <t>ABV LJ 28</t>
  </si>
  <si>
    <t>2606234ESG</t>
  </si>
  <si>
    <t>JARDIM</t>
  </si>
  <si>
    <t>04757459003291</t>
  </si>
  <si>
    <t>0284776</t>
  </si>
  <si>
    <t>2606234ESH</t>
  </si>
  <si>
    <t>0286339</t>
  </si>
  <si>
    <t>2607224HCH</t>
  </si>
  <si>
    <t>0286341</t>
  </si>
  <si>
    <t>2607224HCJ</t>
  </si>
  <si>
    <t>0284778</t>
  </si>
  <si>
    <t>ABV LJ 29</t>
  </si>
  <si>
    <t>2606234ESJ</t>
  </si>
  <si>
    <t>04757459003453</t>
  </si>
  <si>
    <t>0286342</t>
  </si>
  <si>
    <t>2607224HCK</t>
  </si>
  <si>
    <t>0286343</t>
  </si>
  <si>
    <t>2607224HCL</t>
  </si>
  <si>
    <t>0284785</t>
  </si>
  <si>
    <t>ABV LJ 32</t>
  </si>
  <si>
    <t>2606234ESQ</t>
  </si>
  <si>
    <t>AQUIDAUANA</t>
  </si>
  <si>
    <t>67 3410 7200</t>
  </si>
  <si>
    <t>04757459004000</t>
  </si>
  <si>
    <t>0286351</t>
  </si>
  <si>
    <t>2607224HCT</t>
  </si>
  <si>
    <t>0284784</t>
  </si>
  <si>
    <t>2606234ESP</t>
  </si>
  <si>
    <t>0286345</t>
  </si>
  <si>
    <t>2607224HCN</t>
  </si>
  <si>
    <t>0283426</t>
  </si>
  <si>
    <t>2606014CFJ</t>
  </si>
  <si>
    <t>0286478</t>
  </si>
  <si>
    <t>ABV LJ 33</t>
  </si>
  <si>
    <t>2607234HG9</t>
  </si>
  <si>
    <t>04757459003968</t>
  </si>
  <si>
    <t>0282878</t>
  </si>
  <si>
    <t>2605254C05</t>
  </si>
  <si>
    <t>0286346</t>
  </si>
  <si>
    <t>2607224HCO</t>
  </si>
  <si>
    <t>0283427</t>
  </si>
  <si>
    <t>2606014CFK</t>
  </si>
  <si>
    <t>0284787</t>
  </si>
  <si>
    <t>2606234ESS</t>
  </si>
  <si>
    <t>0284788</t>
  </si>
  <si>
    <t>2606234EST</t>
  </si>
  <si>
    <t>0286909</t>
  </si>
  <si>
    <t>ACCECON-MS2</t>
  </si>
  <si>
    <t>SUPERMERCADO NOSSA SENHORA DE FATIMA LTDA</t>
  </si>
  <si>
    <t>2607314HTI</t>
  </si>
  <si>
    <t>(67) 3441-2550</t>
  </si>
  <si>
    <t>07295756000588</t>
  </si>
  <si>
    <t>0284753</t>
  </si>
  <si>
    <t>ABV LJ 07</t>
  </si>
  <si>
    <t>ABV COMERCIO DE ALIMENTOS LTDA - LJ 07</t>
  </si>
  <si>
    <t>2606234ERU</t>
  </si>
  <si>
    <t>(67)-3454-6930</t>
  </si>
  <si>
    <t>04757459001248</t>
  </si>
  <si>
    <t>0284754</t>
  </si>
  <si>
    <t>2606234ERV</t>
  </si>
  <si>
    <t>0286319</t>
  </si>
  <si>
    <t>2607224HBX</t>
  </si>
  <si>
    <t>0286690</t>
  </si>
  <si>
    <t>RP-TAKARA4</t>
  </si>
  <si>
    <t>COMERCIAL TAKARA PIRITUBA LTDA.</t>
  </si>
  <si>
    <t>2607274HO7</t>
  </si>
  <si>
    <t>11-3977-7471</t>
  </si>
  <si>
    <t>03898783000160</t>
  </si>
  <si>
    <t>0286689</t>
  </si>
  <si>
    <t>RP-TAKARA1</t>
  </si>
  <si>
    <t>SUPERMERCADO TAKARA &amp; CIA LTDA.</t>
  </si>
  <si>
    <t>2607274HO6</t>
  </si>
  <si>
    <t>011-3983-7618</t>
  </si>
  <si>
    <t>0286688</t>
  </si>
  <si>
    <t>RP-PIRITUBA</t>
  </si>
  <si>
    <t>SUPERMERCADO PIRITUBA LTDA</t>
  </si>
  <si>
    <t>2607274HO5</t>
  </si>
  <si>
    <t>11-3976-2044</t>
  </si>
  <si>
    <t>0287755</t>
  </si>
  <si>
    <t>ORLANDO KIBE</t>
  </si>
  <si>
    <t>ORLANDO KIBE &amp; CIA LTDA</t>
  </si>
  <si>
    <t>2608174JCG</t>
  </si>
  <si>
    <t>11-3941-3536</t>
  </si>
  <si>
    <t>0287212</t>
  </si>
  <si>
    <t>PRACA ALEGRI</t>
  </si>
  <si>
    <t>COML. DE ALIMENTOS PRACA DA ALEGRIA LTDA</t>
  </si>
  <si>
    <t>2608034IV5</t>
  </si>
  <si>
    <t>6954-5862</t>
  </si>
  <si>
    <t>0287213</t>
  </si>
  <si>
    <t>RP-AGATE1</t>
  </si>
  <si>
    <t>SUPERMERCADO AGATE CASA VERDE LTDA</t>
  </si>
  <si>
    <t>2608034IV6</t>
  </si>
  <si>
    <t>(11)3951-1322</t>
  </si>
  <si>
    <t>07289149000181</t>
  </si>
  <si>
    <t>0287185</t>
  </si>
  <si>
    <t>KALUPEL</t>
  </si>
  <si>
    <t>KALUPEL EMBALAGENS LTDA</t>
  </si>
  <si>
    <t>2608034IUE</t>
  </si>
  <si>
    <t>11 - 2236-8033</t>
  </si>
  <si>
    <t>0286398</t>
  </si>
  <si>
    <t>PEDRINHO 2</t>
  </si>
  <si>
    <t>ATELIE PEDRINHO LTDA</t>
  </si>
  <si>
    <t>2607234HE1</t>
  </si>
  <si>
    <t>0287420</t>
  </si>
  <si>
    <t>SM CHINEN</t>
  </si>
  <si>
    <t>COMERCIAL DE ALIMENTOS IRMAOS CHINEN LTDA</t>
  </si>
  <si>
    <t>2608064J4D</t>
  </si>
  <si>
    <t>NF1010287214</t>
  </si>
  <si>
    <t>0287187</t>
  </si>
  <si>
    <t>CHINEN SUP</t>
  </si>
  <si>
    <t>CHINEN COMERCIAL DE ALIMENTOS LTDA</t>
  </si>
  <si>
    <t>2608034IUG</t>
  </si>
  <si>
    <t>(11) 2909-3076</t>
  </si>
  <si>
    <t>0287192</t>
  </si>
  <si>
    <t>DANIELLA ALI</t>
  </si>
  <si>
    <t>ENTREPOSTO E DISTRIBUIDORA DE CARNES DANIELLA LTDA</t>
  </si>
  <si>
    <t>2608034IUL</t>
  </si>
  <si>
    <t>(11) 2081-4857</t>
  </si>
  <si>
    <t>0287184</t>
  </si>
  <si>
    <t>V DO ITAPETI</t>
  </si>
  <si>
    <t>VALE DO ITAPETI COM E CONST LTDA EPP</t>
  </si>
  <si>
    <t>2608034IUD</t>
  </si>
  <si>
    <t>(11)2967-7322</t>
  </si>
  <si>
    <t>00342788000114</t>
  </si>
  <si>
    <t>0287186</t>
  </si>
  <si>
    <t>PICO SUP</t>
  </si>
  <si>
    <t>PICO SUPERMERCADO LTDA EPP</t>
  </si>
  <si>
    <t>2608034IUF</t>
  </si>
  <si>
    <t>11-3902-4403</t>
  </si>
  <si>
    <t>08998140000102</t>
  </si>
  <si>
    <t>0286910</t>
  </si>
  <si>
    <t>SAO GABRIEL</t>
  </si>
  <si>
    <t>COMERCIAL DE ALIMENTOS SAO GABRIEL LTDA.</t>
  </si>
  <si>
    <t>2607314HTJ</t>
  </si>
  <si>
    <t>SAO GABRIEL DO OESTE</t>
  </si>
  <si>
    <t>067-3295-2144</t>
  </si>
  <si>
    <t>02795617000176</t>
  </si>
  <si>
    <t>0286670</t>
  </si>
  <si>
    <t>DAMASCENO 02</t>
  </si>
  <si>
    <t>DAMASCENO E DAMASCENO LTDA</t>
  </si>
  <si>
    <t>2607274HNN</t>
  </si>
  <si>
    <t>ANASTACIO</t>
  </si>
  <si>
    <t>67-3241-2394</t>
  </si>
  <si>
    <t>01274396000209</t>
  </si>
  <si>
    <t>0286671</t>
  </si>
  <si>
    <t>DAMASCENO 03</t>
  </si>
  <si>
    <t>DAMASCENO E DAMASCENO LTDA.</t>
  </si>
  <si>
    <t>2607274HNO</t>
  </si>
  <si>
    <t>67-241-3989</t>
  </si>
  <si>
    <t>01274396000390</t>
  </si>
  <si>
    <t>0286825</t>
  </si>
  <si>
    <t>MISTER JUNI3</t>
  </si>
  <si>
    <t>MERCADO MISTER JUNIOR LTDA.</t>
  </si>
  <si>
    <t>2607304HRF</t>
  </si>
  <si>
    <t>CAMPO GRANDE</t>
  </si>
  <si>
    <t>67-351-8229</t>
  </si>
  <si>
    <t>03275015000150</t>
  </si>
  <si>
    <t>0286827</t>
  </si>
  <si>
    <t>2607304HRH</t>
  </si>
  <si>
    <t>0286826</t>
  </si>
  <si>
    <t>2607304HRG</t>
  </si>
  <si>
    <t>0285960</t>
  </si>
  <si>
    <t>RE-GILBERTO</t>
  </si>
  <si>
    <t>GONCALVES &amp; GONCALVES SUPERMERCADO LTDA</t>
  </si>
  <si>
    <t>2607144H36</t>
  </si>
  <si>
    <t>67-3344-1673</t>
  </si>
  <si>
    <t>09326928000135</t>
  </si>
  <si>
    <t>0285961</t>
  </si>
  <si>
    <t>2607144H37</t>
  </si>
  <si>
    <t>0286190</t>
  </si>
  <si>
    <t>LUIZARI</t>
  </si>
  <si>
    <t>LUIZARI &amp; LUIZARI LTDA</t>
  </si>
  <si>
    <t>2607244HLC</t>
  </si>
  <si>
    <t>67-251-1592</t>
  </si>
  <si>
    <t>0286192</t>
  </si>
  <si>
    <t>MARDEGAM</t>
  </si>
  <si>
    <t>SUPERMERCADO MARDEGAN LTDA</t>
  </si>
  <si>
    <t>2607244HLE</t>
  </si>
  <si>
    <t>RIBAS DO RIO PARDO</t>
  </si>
  <si>
    <t>67 3238 2043</t>
  </si>
  <si>
    <t>0286052</t>
  </si>
  <si>
    <t>RE-GAEDICKE</t>
  </si>
  <si>
    <t>GAEDICKE E CIA. LTDA ME</t>
  </si>
  <si>
    <t>2607144H5O</t>
  </si>
  <si>
    <t>67-3351-2266</t>
  </si>
  <si>
    <t>07140724000180</t>
  </si>
  <si>
    <t>0285043</t>
  </si>
  <si>
    <t>RE- AQUINO</t>
  </si>
  <si>
    <t>AQUINO COM VAREJISTA DE ALIMENTOS EIRELI</t>
  </si>
  <si>
    <t>2606264EZV</t>
  </si>
  <si>
    <t>BODOQUENA</t>
  </si>
  <si>
    <t>67-3268-1043</t>
  </si>
  <si>
    <t>01547436000168</t>
  </si>
  <si>
    <t>0285042</t>
  </si>
  <si>
    <t>2606264EZU</t>
  </si>
  <si>
    <t>0286669</t>
  </si>
  <si>
    <t>GMAIS VARGAS</t>
  </si>
  <si>
    <t>GMAIS COMERCIO DE ALIMENTOS LTDA</t>
  </si>
  <si>
    <t>2607274HNM</t>
  </si>
  <si>
    <t>BONITO</t>
  </si>
  <si>
    <t>67-3255-1589</t>
  </si>
  <si>
    <t>0287845</t>
  </si>
  <si>
    <t>RE-ACACIA</t>
  </si>
  <si>
    <t>SUPERMERCADO ACACIA LTDA</t>
  </si>
  <si>
    <t>2608184JEV</t>
  </si>
  <si>
    <t>TERENOS</t>
  </si>
  <si>
    <t>67-3246-7384</t>
  </si>
  <si>
    <t>05103751000157</t>
  </si>
  <si>
    <t>0286050</t>
  </si>
  <si>
    <t>RE-CAMILA 2</t>
  </si>
  <si>
    <t>SUPERMERCADO CAMILA LTDA EPP</t>
  </si>
  <si>
    <t>2607144H5M</t>
  </si>
  <si>
    <t>67-3317-7945</t>
  </si>
  <si>
    <t>08217583000119</t>
  </si>
  <si>
    <t>0285316</t>
  </si>
  <si>
    <t>REDE PIRES 6</t>
  </si>
  <si>
    <t>PIRES &amp; CIA LTDA</t>
  </si>
  <si>
    <t>2606294F7G</t>
  </si>
  <si>
    <t>67-3397-0556</t>
  </si>
  <si>
    <t>07719683000261</t>
  </si>
  <si>
    <t>0285320</t>
  </si>
  <si>
    <t>REDE PIRES11</t>
  </si>
  <si>
    <t>BONANCA COMERCIO DE ALIMENTOS LTDA ME</t>
  </si>
  <si>
    <t>2606294F7K</t>
  </si>
  <si>
    <t>67-3381-3465</t>
  </si>
  <si>
    <t>0287431</t>
  </si>
  <si>
    <t>2608064J4U</t>
  </si>
  <si>
    <t>0285319</t>
  </si>
  <si>
    <t>REDE PIRES10</t>
  </si>
  <si>
    <t>2606294F7J</t>
  </si>
  <si>
    <t xml:space="preserve"> 67-3388-6386</t>
  </si>
  <si>
    <t>07719683000180</t>
  </si>
  <si>
    <t>0287567</t>
  </si>
  <si>
    <t>RE-BARBOSA</t>
  </si>
  <si>
    <t>ROSSANA LORENZO BARBOSA</t>
  </si>
  <si>
    <t>2608114J8H</t>
  </si>
  <si>
    <t>MIRANDA</t>
  </si>
  <si>
    <t>67-3242-2071</t>
  </si>
  <si>
    <t>07249369000181</t>
  </si>
  <si>
    <t>0287433</t>
  </si>
  <si>
    <t>REDE PIRES13</t>
  </si>
  <si>
    <t>S PIRES COMERCIO DE ALIMENTOS LTDA</t>
  </si>
  <si>
    <t>2608064J4W</t>
  </si>
  <si>
    <t>67-3380-1244</t>
  </si>
  <si>
    <t>0285322</t>
  </si>
  <si>
    <t>2606294F7M</t>
  </si>
  <si>
    <t>0287426</t>
  </si>
  <si>
    <t>REDE PIRES 2</t>
  </si>
  <si>
    <t>2608064J4P</t>
  </si>
  <si>
    <t>67-3346-2727</t>
  </si>
  <si>
    <t>0285313</t>
  </si>
  <si>
    <t>2606294F7D</t>
  </si>
  <si>
    <t>0285315</t>
  </si>
  <si>
    <t>REDE PIRES 4</t>
  </si>
  <si>
    <t>2606294F7F</t>
  </si>
  <si>
    <t>67-3386-4939</t>
  </si>
  <si>
    <t>0287428</t>
  </si>
  <si>
    <t>2608064J4R</t>
  </si>
  <si>
    <t>0285962</t>
  </si>
  <si>
    <t>RE-GT COML1</t>
  </si>
  <si>
    <t>GT COMERCIAL DE ALIMENTOS LTDA -EPP</t>
  </si>
  <si>
    <t>2607144H38</t>
  </si>
  <si>
    <t>0287432</t>
  </si>
  <si>
    <t>REDE PIRES12</t>
  </si>
  <si>
    <t>S. PIRES COMERCIO DE ALIMENTOS LTDA</t>
  </si>
  <si>
    <t>2608064J4V</t>
  </si>
  <si>
    <t>0285321</t>
  </si>
  <si>
    <t>2606294F7L</t>
  </si>
  <si>
    <t>0287430</t>
  </si>
  <si>
    <t>REDE PIRES09</t>
  </si>
  <si>
    <t>BONANCA COMERCIO DE ALIMENTOS LTDA - EPP</t>
  </si>
  <si>
    <t>2608064J4T</t>
  </si>
  <si>
    <t>67-3397-5600</t>
  </si>
  <si>
    <t>0287429</t>
  </si>
  <si>
    <t>REDE PIRES05</t>
  </si>
  <si>
    <t>2608064J4S</t>
  </si>
  <si>
    <t>67-3342-3292</t>
  </si>
  <si>
    <t>0285317</t>
  </si>
  <si>
    <t>REDE PIRES07</t>
  </si>
  <si>
    <t>BONANCA COMERCIO DE ALIMENTOS LTDA</t>
  </si>
  <si>
    <t>2606294F7H</t>
  </si>
  <si>
    <t>67-3384-0244</t>
  </si>
  <si>
    <t>0285318</t>
  </si>
  <si>
    <t>REDE PIRES08</t>
  </si>
  <si>
    <t>2606294F7I</t>
  </si>
  <si>
    <t>67-3393-1884</t>
  </si>
  <si>
    <t>0285314</t>
  </si>
  <si>
    <t>REDE PIRES 3</t>
  </si>
  <si>
    <t>2606294F7E</t>
  </si>
  <si>
    <t>07719683000423</t>
  </si>
  <si>
    <t>0287427</t>
  </si>
  <si>
    <t>2608064J4Q</t>
  </si>
  <si>
    <t>0285327</t>
  </si>
  <si>
    <t>REDE PIRES18</t>
  </si>
  <si>
    <t>2606294F7R</t>
  </si>
  <si>
    <t>67-3022-8115</t>
  </si>
  <si>
    <t>0287437</t>
  </si>
  <si>
    <t>REDE PIRES20</t>
  </si>
  <si>
    <t>2608064J50</t>
  </si>
  <si>
    <t>0285328</t>
  </si>
  <si>
    <t>REDE PIRES19</t>
  </si>
  <si>
    <t>2606294F7S</t>
  </si>
  <si>
    <t>67-3388-4858</t>
  </si>
  <si>
    <t>0285326</t>
  </si>
  <si>
    <t>REDE PIRES17</t>
  </si>
  <si>
    <t>2606294F7Q</t>
  </si>
  <si>
    <t>67-3355-7770</t>
  </si>
  <si>
    <t>0287436</t>
  </si>
  <si>
    <t>2608064J4Z</t>
  </si>
  <si>
    <t>0286666</t>
  </si>
  <si>
    <t>DAMASCENO 06</t>
  </si>
  <si>
    <t>DAMASCENO &amp; DAMASCENO LTDA</t>
  </si>
  <si>
    <t>2607274HNJ</t>
  </si>
  <si>
    <t>67-3241-3989</t>
  </si>
  <si>
    <t>01274396000632</t>
  </si>
  <si>
    <t>0286823</t>
  </si>
  <si>
    <t>MISTER JUNI1</t>
  </si>
  <si>
    <t>MERCADO MISTER JUNIOR LTDA</t>
  </si>
  <si>
    <t>2607304HRD</t>
  </si>
  <si>
    <t>67-3351-2075</t>
  </si>
  <si>
    <t>03275015000231</t>
  </si>
  <si>
    <t>0286821</t>
  </si>
  <si>
    <t>2607304HRB</t>
  </si>
  <si>
    <t>0286820</t>
  </si>
  <si>
    <t>MISTER JUN2</t>
  </si>
  <si>
    <t>2607304HRA</t>
  </si>
  <si>
    <t>67-3355-2670</t>
  </si>
  <si>
    <t>03275015000312</t>
  </si>
  <si>
    <t>0286724</t>
  </si>
  <si>
    <t>2607284HP7</t>
  </si>
  <si>
    <t>0286674</t>
  </si>
  <si>
    <t>REDE GMAIS</t>
  </si>
  <si>
    <t>2607274HNR</t>
  </si>
  <si>
    <t>67-3255-4554</t>
  </si>
  <si>
    <t>0287438</t>
  </si>
  <si>
    <t>REDE PIRES21</t>
  </si>
  <si>
    <t>2608064J51</t>
  </si>
  <si>
    <t>67-3380-1063</t>
  </si>
  <si>
    <t>0287439</t>
  </si>
  <si>
    <t>REDE PIRES22</t>
  </si>
  <si>
    <t>2608064J52</t>
  </si>
  <si>
    <t>67-34526749</t>
  </si>
  <si>
    <t>0285329</t>
  </si>
  <si>
    <t>2606294F7T</t>
  </si>
  <si>
    <t>0286053</t>
  </si>
  <si>
    <t>RE-GAEDICKE2</t>
  </si>
  <si>
    <t>GAEDICKE &amp; CIA. LTDA</t>
  </si>
  <si>
    <t>2607144H5P</t>
  </si>
  <si>
    <t>(67)3351-2266</t>
  </si>
  <si>
    <t>07140724000260</t>
  </si>
  <si>
    <t>0285330</t>
  </si>
  <si>
    <t>REDE PIRES23</t>
  </si>
  <si>
    <t>2606294F7U</t>
  </si>
  <si>
    <t>67-3452-6749</t>
  </si>
  <si>
    <t>0287440</t>
  </si>
  <si>
    <t>2608064J53</t>
  </si>
  <si>
    <t>0287441</t>
  </si>
  <si>
    <t>REDE PIRES24</t>
  </si>
  <si>
    <t>2608064J54</t>
  </si>
  <si>
    <t>0285331</t>
  </si>
  <si>
    <t>2606294F7V</t>
  </si>
  <si>
    <t>0285332</t>
  </si>
  <si>
    <t>REDE PIRES25</t>
  </si>
  <si>
    <t>2606294F7W</t>
  </si>
  <si>
    <t>0285334</t>
  </si>
  <si>
    <t>REDE PIRES28</t>
  </si>
  <si>
    <t>2606294F7Y</t>
  </si>
  <si>
    <t>0287424</t>
  </si>
  <si>
    <t>REDE PIRE153</t>
  </si>
  <si>
    <t>BONANÇA COMÉRCIO DE ALIMENTOS LTDA</t>
  </si>
  <si>
    <t>2608064J4N</t>
  </si>
  <si>
    <t>0287446</t>
  </si>
  <si>
    <t>REDE PIRE152</t>
  </si>
  <si>
    <t>S. PIRES COMÉRCIO DE ALIMENTOS LTDA</t>
  </si>
  <si>
    <t>2608064J59</t>
  </si>
  <si>
    <t>0287444</t>
  </si>
  <si>
    <t>REDE PIRE151</t>
  </si>
  <si>
    <t>2608064J57</t>
  </si>
  <si>
    <t>07719683000504</t>
  </si>
  <si>
    <t>0285333</t>
  </si>
  <si>
    <t>REDE PIRES26</t>
  </si>
  <si>
    <t>2606294F7X</t>
  </si>
  <si>
    <t>0286667</t>
  </si>
  <si>
    <t>DAMASCENO 09</t>
  </si>
  <si>
    <t>2607274HNK</t>
  </si>
  <si>
    <t>01274396000985</t>
  </si>
  <si>
    <t>0286673</t>
  </si>
  <si>
    <t>DAMASCENO 07</t>
  </si>
  <si>
    <t>2607274HNQ</t>
  </si>
  <si>
    <t>01274396000713</t>
  </si>
  <si>
    <t>0285335</t>
  </si>
  <si>
    <t>REDE PIRES29</t>
  </si>
  <si>
    <t>2606294F7Z</t>
  </si>
  <si>
    <t>0287442</t>
  </si>
  <si>
    <t>2608064J55</t>
  </si>
  <si>
    <t>0287404</t>
  </si>
  <si>
    <t>NUNES CD 2</t>
  </si>
  <si>
    <t>OLIVEIRA E CARNEIRO LTDA</t>
  </si>
  <si>
    <t>2608064J40</t>
  </si>
  <si>
    <t>09531413001220</t>
  </si>
  <si>
    <t>0286047</t>
  </si>
  <si>
    <t>2607144H5J</t>
  </si>
  <si>
    <t>0285336</t>
  </si>
  <si>
    <t>REDE PIRES30</t>
  </si>
  <si>
    <t>2606294F80</t>
  </si>
  <si>
    <t>0287443</t>
  </si>
  <si>
    <t>2608064J56</t>
  </si>
  <si>
    <t>0285337</t>
  </si>
  <si>
    <t>REDE PIRES31</t>
  </si>
  <si>
    <t>2606294F81</t>
  </si>
  <si>
    <t>0286048</t>
  </si>
  <si>
    <t>RE- CAMILA01</t>
  </si>
  <si>
    <t>SUPERMERCADO CAMILA LTDA</t>
  </si>
  <si>
    <t>2607144H5K</t>
  </si>
  <si>
    <t>67 3317-7945</t>
  </si>
  <si>
    <t>08217583000380</t>
  </si>
  <si>
    <t>0286830</t>
  </si>
  <si>
    <t>MISTER JUNI4</t>
  </si>
  <si>
    <t>SUPERMERCADO MISTER JUNIOR LTDA</t>
  </si>
  <si>
    <t>2607304HRK</t>
  </si>
  <si>
    <t>03275015000401</t>
  </si>
  <si>
    <t>0286828</t>
  </si>
  <si>
    <t>2607304HRI</t>
  </si>
  <si>
    <t>0285967</t>
  </si>
  <si>
    <t>RE-STOANTONI</t>
  </si>
  <si>
    <t>GT COMERCIAL DE ALIMENTOS LTDA</t>
  </si>
  <si>
    <t>2607144H3D</t>
  </si>
  <si>
    <t>0285338</t>
  </si>
  <si>
    <t>REDE PIRES34</t>
  </si>
  <si>
    <t>BONANCA COMÉRCIO DE ALIMENTOS LTDA</t>
  </si>
  <si>
    <t>2606294F82</t>
  </si>
  <si>
    <t>0286051</t>
  </si>
  <si>
    <t>RE-CAMILA 3</t>
  </si>
  <si>
    <t>2607144H5N</t>
  </si>
  <si>
    <t>67 33177945</t>
  </si>
  <si>
    <t>08217583000208</t>
  </si>
  <si>
    <t>0286668</t>
  </si>
  <si>
    <t>DAMASCENO 10</t>
  </si>
  <si>
    <t>2607274HNL</t>
  </si>
  <si>
    <t>(67) 3242-1743</t>
  </si>
  <si>
    <t>01274396001019</t>
  </si>
  <si>
    <t>0285340</t>
  </si>
  <si>
    <t>REDE PIRES37</t>
  </si>
  <si>
    <t>2606294F84</t>
  </si>
  <si>
    <t>VICENTINA</t>
  </si>
  <si>
    <t>(67) 3381-3465</t>
  </si>
  <si>
    <t>0285339</t>
  </si>
  <si>
    <t>REDE PIRES36</t>
  </si>
  <si>
    <t>2606294F83</t>
  </si>
  <si>
    <t>67 3388 6386</t>
  </si>
  <si>
    <t>07719683000695</t>
  </si>
  <si>
    <t>0287450</t>
  </si>
  <si>
    <t>2608064J5D</t>
  </si>
  <si>
    <t>0286831</t>
  </si>
  <si>
    <t>MISTER JUNI5</t>
  </si>
  <si>
    <t>2607304HRL</t>
  </si>
  <si>
    <t>(67) 3351-2075</t>
  </si>
  <si>
    <t>03275015000584</t>
  </si>
  <si>
    <t>0286833</t>
  </si>
  <si>
    <t>2607304HRN</t>
  </si>
  <si>
    <t>0287449</t>
  </si>
  <si>
    <t>REDE PIRES39</t>
  </si>
  <si>
    <t>2608064J5C</t>
  </si>
  <si>
    <t>0287448</t>
  </si>
  <si>
    <t>REDE PIRES38</t>
  </si>
  <si>
    <t>2608064J5B</t>
  </si>
  <si>
    <t>67 3346 2727</t>
  </si>
  <si>
    <t>0286768</t>
  </si>
  <si>
    <t>BATISTA 4</t>
  </si>
  <si>
    <t>BATISTA, QUADROS &amp; CIA LTDA</t>
  </si>
  <si>
    <t>2607294HQ8</t>
  </si>
  <si>
    <t>67 3241 2960</t>
  </si>
  <si>
    <t>05348350000400</t>
  </si>
  <si>
    <t>0285341</t>
  </si>
  <si>
    <t>REDE PIRES40</t>
  </si>
  <si>
    <t>2606294F85</t>
  </si>
  <si>
    <t>0286837</t>
  </si>
  <si>
    <t>MISTER JUNI6</t>
  </si>
  <si>
    <t>MISTER JUNIOR COMERCIO DE ALIMENTOS LTDA</t>
  </si>
  <si>
    <t>2607304HRR</t>
  </si>
  <si>
    <t>03275015000746</t>
  </si>
  <si>
    <t>0286835</t>
  </si>
  <si>
    <t>2607304HRP</t>
  </si>
  <si>
    <t>0285342</t>
  </si>
  <si>
    <t>REDE PIRES41</t>
  </si>
  <si>
    <t>2606294F86</t>
  </si>
  <si>
    <t>0287451</t>
  </si>
  <si>
    <t>2608064J5E</t>
  </si>
  <si>
    <t>0287405</t>
  </si>
  <si>
    <t>NUNES LJ 18</t>
  </si>
  <si>
    <t>2608064J41</t>
  </si>
  <si>
    <t>CORUMBA</t>
  </si>
  <si>
    <t>(67) 3381-0679</t>
  </si>
  <si>
    <t>09531413001815</t>
  </si>
  <si>
    <t>0286672</t>
  </si>
  <si>
    <t>DAMASCENO 04</t>
  </si>
  <si>
    <t>2607274HNP</t>
  </si>
  <si>
    <t>67-3242-1008</t>
  </si>
  <si>
    <t>01274396000470</t>
  </si>
  <si>
    <t>0287434</t>
  </si>
  <si>
    <t>REDE PIRES14</t>
  </si>
  <si>
    <t>BONANCA COMERCIO DE ALIMENTOS LTDA EPP</t>
  </si>
  <si>
    <t>2608064J4X</t>
  </si>
  <si>
    <t>67-3452-7867</t>
  </si>
  <si>
    <t>0285323</t>
  </si>
  <si>
    <t>2606294F7N</t>
  </si>
  <si>
    <t>0285324</t>
  </si>
  <si>
    <t>REDE PIRES15</t>
  </si>
  <si>
    <t>2606294F7O</t>
  </si>
  <si>
    <t>67-3452-7981</t>
  </si>
  <si>
    <t>0285312</t>
  </si>
  <si>
    <t>REDE PIRES</t>
  </si>
  <si>
    <t>2606294F7C</t>
  </si>
  <si>
    <t>07719683000342</t>
  </si>
  <si>
    <t>0285325</t>
  </si>
  <si>
    <t>REDE PIRES16</t>
  </si>
  <si>
    <t>S.PIRES COMERCIO DE ALIMENTOS LTDA</t>
  </si>
  <si>
    <t>2606294F7P</t>
  </si>
  <si>
    <t>67-3373-9602</t>
  </si>
  <si>
    <t>0287435</t>
  </si>
  <si>
    <t>2608064J4Y</t>
  </si>
  <si>
    <t>0282743</t>
  </si>
  <si>
    <t>CEMA 1</t>
  </si>
  <si>
    <t>2605214BWN</t>
  </si>
  <si>
    <t>CONTAGEM</t>
  </si>
  <si>
    <t>(31)21917812</t>
  </si>
  <si>
    <t>03083231000102</t>
  </si>
  <si>
    <t>MG</t>
  </si>
  <si>
    <t>0282745</t>
  </si>
  <si>
    <t>CEMA 3</t>
  </si>
  <si>
    <t>CEMA CENTRAL MINEIRA ATACADISTA LTDA.</t>
  </si>
  <si>
    <t>2605214BWP</t>
  </si>
  <si>
    <t>MONTES CLAROS</t>
  </si>
  <si>
    <t>38-2101-7040</t>
  </si>
  <si>
    <t>03083231000528</t>
  </si>
  <si>
    <t>0285562</t>
  </si>
  <si>
    <t>MART MINAS 1</t>
  </si>
  <si>
    <t>MART MINAS DISTRIBUICAO LTDA</t>
  </si>
  <si>
    <t>2606304FGP</t>
  </si>
  <si>
    <t>DIVINOPOLIS</t>
  </si>
  <si>
    <t>37-3512-9500</t>
  </si>
  <si>
    <t>04737552000138</t>
  </si>
  <si>
    <t>0286966</t>
  </si>
  <si>
    <t>2607314HV3</t>
  </si>
  <si>
    <t>0285563</t>
  </si>
  <si>
    <t>MART MINAS 2</t>
  </si>
  <si>
    <t>MART MINAS DISTRIBUICAO LTDA.</t>
  </si>
  <si>
    <t>2606304FGQ</t>
  </si>
  <si>
    <t>31-3519- 9200</t>
  </si>
  <si>
    <t>04737552000219</t>
  </si>
  <si>
    <t>0284527</t>
  </si>
  <si>
    <t>ADICAO</t>
  </si>
  <si>
    <t>ADICAO DISTRIBUICAO EXPRESS LTDA</t>
  </si>
  <si>
    <t>2606174EKZ</t>
  </si>
  <si>
    <t>37-3229-9500</t>
  </si>
  <si>
    <t>04149637001258</t>
  </si>
  <si>
    <t>0286072</t>
  </si>
  <si>
    <t>2607154H7A</t>
  </si>
  <si>
    <t>0284103</t>
  </si>
  <si>
    <t>2606104E96</t>
  </si>
  <si>
    <t>0286262</t>
  </si>
  <si>
    <t>2607214HAC</t>
  </si>
  <si>
    <t>0282537</t>
  </si>
  <si>
    <t>2605134BQQ</t>
  </si>
  <si>
    <t>0285517</t>
  </si>
  <si>
    <t>2606304FFG</t>
  </si>
  <si>
    <t>0282538</t>
  </si>
  <si>
    <t>2605134BQR</t>
  </si>
  <si>
    <t>0282605</t>
  </si>
  <si>
    <t>2605154BSH</t>
  </si>
  <si>
    <t>0281244</t>
  </si>
  <si>
    <t>26042349E6</t>
  </si>
  <si>
    <t>0282606</t>
  </si>
  <si>
    <t>2605154BSI</t>
  </si>
  <si>
    <t>0282757</t>
  </si>
  <si>
    <t>2605214BX1</t>
  </si>
  <si>
    <t>0287960</t>
  </si>
  <si>
    <t>2608204JI0</t>
  </si>
  <si>
    <t>0287959</t>
  </si>
  <si>
    <t>2608204JHZ</t>
  </si>
  <si>
    <t>0288056</t>
  </si>
  <si>
    <t>2608204JKN</t>
  </si>
  <si>
    <t>0287958</t>
  </si>
  <si>
    <t>2608204JHY</t>
  </si>
  <si>
    <t>0288055</t>
  </si>
  <si>
    <t>2608204JKM</t>
  </si>
  <si>
    <t>0284168</t>
  </si>
  <si>
    <t>CEMA 4</t>
  </si>
  <si>
    <t>2606104EAZ</t>
  </si>
  <si>
    <t>RIBEIRAO DAS NEVES</t>
  </si>
  <si>
    <t>03083231000790</t>
  </si>
  <si>
    <t>0284891</t>
  </si>
  <si>
    <t>2606244EVN</t>
  </si>
  <si>
    <t>0286625</t>
  </si>
  <si>
    <t>2607274HMJ</t>
  </si>
  <si>
    <t>0285610</t>
  </si>
  <si>
    <t>MART MINASCD</t>
  </si>
  <si>
    <t>2606304FI1</t>
  </si>
  <si>
    <t>SANTA LUZIA</t>
  </si>
  <si>
    <t>31 3077 3300</t>
  </si>
  <si>
    <t>04737552000480</t>
  </si>
  <si>
    <t>0286626</t>
  </si>
  <si>
    <t>DEP APARECID</t>
  </si>
  <si>
    <t>DEP APARECIDA MAT DE CONSTRUCAO LTDA</t>
  </si>
  <si>
    <t>2607274HMK</t>
  </si>
  <si>
    <t>MATEUS LEME</t>
  </si>
  <si>
    <t>31-3535-6293</t>
  </si>
  <si>
    <t>0285565</t>
  </si>
  <si>
    <t>MART MINAS 5</t>
  </si>
  <si>
    <t>2606304FGS</t>
  </si>
  <si>
    <t>JUIZ DE FORA</t>
  </si>
  <si>
    <t>32-3512-9101</t>
  </si>
  <si>
    <t>04737552000642</t>
  </si>
  <si>
    <t>0285567</t>
  </si>
  <si>
    <t>MART MINAS 7</t>
  </si>
  <si>
    <t>2606304FGU</t>
  </si>
  <si>
    <t>31 3514 4302</t>
  </si>
  <si>
    <t>04737552001100</t>
  </si>
  <si>
    <t>0285570</t>
  </si>
  <si>
    <t>MART MINAS11</t>
  </si>
  <si>
    <t>2606304FGX</t>
  </si>
  <si>
    <t>PATOS DE MINAS</t>
  </si>
  <si>
    <t>34 3826 8800</t>
  </si>
  <si>
    <t>04737552001371</t>
  </si>
  <si>
    <t>0285571</t>
  </si>
  <si>
    <t>MART MINAS12</t>
  </si>
  <si>
    <t>MART MINAS DISTRIBUICÃƒO LTDA</t>
  </si>
  <si>
    <t>2606304FGY</t>
  </si>
  <si>
    <t>ITUIUTABA</t>
  </si>
  <si>
    <t>34-3261-8770</t>
  </si>
  <si>
    <t>04737552001452</t>
  </si>
  <si>
    <t>0286968</t>
  </si>
  <si>
    <t>2607314HV5</t>
  </si>
  <si>
    <t>0285572</t>
  </si>
  <si>
    <t>MART MINAS13</t>
  </si>
  <si>
    <t>2606304FGZ</t>
  </si>
  <si>
    <t>ALFENAS</t>
  </si>
  <si>
    <t>35 3701 1300</t>
  </si>
  <si>
    <t>04737552001533</t>
  </si>
  <si>
    <t>0285573</t>
  </si>
  <si>
    <t>MART MINAS14</t>
  </si>
  <si>
    <t>2606304FH0</t>
  </si>
  <si>
    <t>ARAPORA</t>
  </si>
  <si>
    <t>34 32849659</t>
  </si>
  <si>
    <t>04737552001886</t>
  </si>
  <si>
    <t>0285574</t>
  </si>
  <si>
    <t>MART MINAS15</t>
  </si>
  <si>
    <t>2606304FH1</t>
  </si>
  <si>
    <t>SANTANA DO PARAISO</t>
  </si>
  <si>
    <t>31 3251 5800</t>
  </si>
  <si>
    <t>04737552001703</t>
  </si>
  <si>
    <t>0286969</t>
  </si>
  <si>
    <t>2607314HV6</t>
  </si>
  <si>
    <t>0286970</t>
  </si>
  <si>
    <t>MART MINAS16</t>
  </si>
  <si>
    <t>2607314HV7</t>
  </si>
  <si>
    <t>38 3441 8905</t>
  </si>
  <si>
    <t>04737552001967</t>
  </si>
  <si>
    <t>0285575</t>
  </si>
  <si>
    <t>2606304FH2</t>
  </si>
  <si>
    <t>0285577</t>
  </si>
  <si>
    <t>MART MINAS21</t>
  </si>
  <si>
    <t>2606304FH4</t>
  </si>
  <si>
    <t>ARAGUARI</t>
  </si>
  <si>
    <t>34 3513 9844</t>
  </si>
  <si>
    <t>04737552002181</t>
  </si>
  <si>
    <t>0286971</t>
  </si>
  <si>
    <t>2607314HV8</t>
  </si>
  <si>
    <t>0285578</t>
  </si>
  <si>
    <t>MART MINAS22</t>
  </si>
  <si>
    <t>2606304FH5</t>
  </si>
  <si>
    <t>UBERLANDIA</t>
  </si>
  <si>
    <t>(34) 3257 1659</t>
  </si>
  <si>
    <t>04737552002262</t>
  </si>
  <si>
    <t>0285579</t>
  </si>
  <si>
    <t>MART MINAS23</t>
  </si>
  <si>
    <t>2606304FH6</t>
  </si>
  <si>
    <t>UBERABA</t>
  </si>
  <si>
    <t>34 3319 2704</t>
  </si>
  <si>
    <t>04737552002343</t>
  </si>
  <si>
    <t>0285576</t>
  </si>
  <si>
    <t>MART MINAS17</t>
  </si>
  <si>
    <t>2606304FH3</t>
  </si>
  <si>
    <t>POUSO ALEGRE</t>
  </si>
  <si>
    <t>35 3112 1051</t>
  </si>
  <si>
    <t>04737552001614</t>
  </si>
  <si>
    <t>0285580</t>
  </si>
  <si>
    <t>MART MINAS24</t>
  </si>
  <si>
    <t>2606304FH7</t>
  </si>
  <si>
    <t>PARACATU</t>
  </si>
  <si>
    <t>38 3365 0281</t>
  </si>
  <si>
    <t>04737552002424</t>
  </si>
  <si>
    <t>0286972</t>
  </si>
  <si>
    <t>2607314HV9</t>
  </si>
  <si>
    <t>0282747</t>
  </si>
  <si>
    <t>CEMA 8</t>
  </si>
  <si>
    <t>CEMA CENTRAL MINEIRA ATACADISTA</t>
  </si>
  <si>
    <t>2605214BWR</t>
  </si>
  <si>
    <t>03083231001257</t>
  </si>
  <si>
    <t>0282744</t>
  </si>
  <si>
    <t>CEMA 12</t>
  </si>
  <si>
    <t>2605214BWO</t>
  </si>
  <si>
    <t>03083231001761</t>
  </si>
  <si>
    <t>0286973</t>
  </si>
  <si>
    <t>MART MINAS25</t>
  </si>
  <si>
    <t>2607314HVA</t>
  </si>
  <si>
    <t>PATROCINIO</t>
  </si>
  <si>
    <t>34 3515 1905</t>
  </si>
  <si>
    <t>04737552002505</t>
  </si>
  <si>
    <t>0285581</t>
  </si>
  <si>
    <t>2606304FH8</t>
  </si>
  <si>
    <t>0285582</t>
  </si>
  <si>
    <t>MART MINAS26</t>
  </si>
  <si>
    <t>2606304FH9</t>
  </si>
  <si>
    <t>PARA DE MINAS</t>
  </si>
  <si>
    <t>04737552002696</t>
  </si>
  <si>
    <t>0286974</t>
  </si>
  <si>
    <t>2607314HVB</t>
  </si>
  <si>
    <t>0286091</t>
  </si>
  <si>
    <t>EPA CD</t>
  </si>
  <si>
    <t>DMA DISTRIBUIDORA S/A</t>
  </si>
  <si>
    <t>2607154H7T</t>
  </si>
  <si>
    <t>31-3389-5635</t>
  </si>
  <si>
    <t>01928075013501</t>
  </si>
  <si>
    <t>0284397</t>
  </si>
  <si>
    <t>2606154EHD</t>
  </si>
  <si>
    <t>0285583</t>
  </si>
  <si>
    <t>MART MINAS27</t>
  </si>
  <si>
    <t>2606304FHA</t>
  </si>
  <si>
    <t>UBA</t>
  </si>
  <si>
    <t>32 3531 3776</t>
  </si>
  <si>
    <t>04737552002009</t>
  </si>
  <si>
    <t>0285584</t>
  </si>
  <si>
    <t>MART MINAS28</t>
  </si>
  <si>
    <t>2606304FHB</t>
  </si>
  <si>
    <t>TRES CORACOES</t>
  </si>
  <si>
    <t>35 3239 7312</t>
  </si>
  <si>
    <t>04737552002777</t>
  </si>
  <si>
    <t>0286975</t>
  </si>
  <si>
    <t>2607314HVC</t>
  </si>
  <si>
    <t>0285585</t>
  </si>
  <si>
    <t>MART MINAS29</t>
  </si>
  <si>
    <t>2606304FHC</t>
  </si>
  <si>
    <t>ARAXA</t>
  </si>
  <si>
    <t>34 3611 2162</t>
  </si>
  <si>
    <t>04737552002858</t>
  </si>
  <si>
    <t>0285586</t>
  </si>
  <si>
    <t>MART MINAS30</t>
  </si>
  <si>
    <t>2606304FHD</t>
  </si>
  <si>
    <t>LAVRAS</t>
  </si>
  <si>
    <t>35 3826 8962</t>
  </si>
  <si>
    <t>04737552002939</t>
  </si>
  <si>
    <t>0286976</t>
  </si>
  <si>
    <t>2607314HVD</t>
  </si>
  <si>
    <t>0285587</t>
  </si>
  <si>
    <t>MART MINAS31</t>
  </si>
  <si>
    <t>2606304FHE</t>
  </si>
  <si>
    <t>BARBACENA</t>
  </si>
  <si>
    <t>31-3370-4101</t>
  </si>
  <si>
    <t>04737552003072</t>
  </si>
  <si>
    <t>0285611</t>
  </si>
  <si>
    <t>MARTMINAS32</t>
  </si>
  <si>
    <t>MART MINAS DISTRIBUICAO  LTDA</t>
  </si>
  <si>
    <t>2606304FI2</t>
  </si>
  <si>
    <t>PASSOS</t>
  </si>
  <si>
    <t>35 3115 1333</t>
  </si>
  <si>
    <t>04737552003153</t>
  </si>
  <si>
    <t>0286980</t>
  </si>
  <si>
    <t>2607314HVH</t>
  </si>
  <si>
    <t>0286984</t>
  </si>
  <si>
    <t>MART MINA232</t>
  </si>
  <si>
    <t>2607314HVL</t>
  </si>
  <si>
    <t>ITAUNA</t>
  </si>
  <si>
    <t>37 3201 1531</t>
  </si>
  <si>
    <t>04737552003234</t>
  </si>
  <si>
    <t>0285537</t>
  </si>
  <si>
    <t>2606304FG0</t>
  </si>
  <si>
    <t>0285539</t>
  </si>
  <si>
    <t>MART MINA234</t>
  </si>
  <si>
    <t>2606304FG2</t>
  </si>
  <si>
    <t>CONSELHEIRO LAFAIETE</t>
  </si>
  <si>
    <t>31 3764 6800</t>
  </si>
  <si>
    <t>04737552003404</t>
  </si>
  <si>
    <t>0285538</t>
  </si>
  <si>
    <t>MART MINA233</t>
  </si>
  <si>
    <t>2606304FG1</t>
  </si>
  <si>
    <t>TEOFILO OTONI</t>
  </si>
  <si>
    <t>33 3523 4752</t>
  </si>
  <si>
    <t>04737552003315</t>
  </si>
  <si>
    <t>0285588</t>
  </si>
  <si>
    <t>MART MINAS33</t>
  </si>
  <si>
    <t>2606304FHF</t>
  </si>
  <si>
    <t>VARGINHA</t>
  </si>
  <si>
    <t>31-3370-4227</t>
  </si>
  <si>
    <t>04737552003668</t>
  </si>
  <si>
    <t>0285540</t>
  </si>
  <si>
    <t>MART MINA237</t>
  </si>
  <si>
    <t>2606304FG3</t>
  </si>
  <si>
    <t>04737552003749</t>
  </si>
  <si>
    <t>0286983</t>
  </si>
  <si>
    <t>2607314HVK</t>
  </si>
  <si>
    <t>0285589</t>
  </si>
  <si>
    <t>MART MINAS35</t>
  </si>
  <si>
    <t>2606304FHG</t>
  </si>
  <si>
    <t>31-2115 8706</t>
  </si>
  <si>
    <t>04737552003587</t>
  </si>
  <si>
    <t>0285541</t>
  </si>
  <si>
    <t>MART MINA238</t>
  </si>
  <si>
    <t>2606304FG4</t>
  </si>
  <si>
    <t>34 3229 8682</t>
  </si>
  <si>
    <t>04737552003820</t>
  </si>
  <si>
    <t>0286985</t>
  </si>
  <si>
    <t>2607314HVM</t>
  </si>
  <si>
    <t>0285542</t>
  </si>
  <si>
    <t>MART MINA239</t>
  </si>
  <si>
    <t>2606304FG5</t>
  </si>
  <si>
    <t>ITABIRA</t>
  </si>
  <si>
    <t>31-3816 1163</t>
  </si>
  <si>
    <t>04737552003900</t>
  </si>
  <si>
    <t>0285545</t>
  </si>
  <si>
    <t>MART MINA242</t>
  </si>
  <si>
    <t>2606304FG8</t>
  </si>
  <si>
    <t>POCOS DE CALDAS</t>
  </si>
  <si>
    <t>35 3716 5861</t>
  </si>
  <si>
    <t>04737552004206</t>
  </si>
  <si>
    <t>0286956</t>
  </si>
  <si>
    <t>2607314HUT</t>
  </si>
  <si>
    <t>0285544</t>
  </si>
  <si>
    <t>MART MINA241</t>
  </si>
  <si>
    <t>2606304FG7</t>
  </si>
  <si>
    <t>SAO JOAO DEL REI</t>
  </si>
  <si>
    <t>04737552004125</t>
  </si>
  <si>
    <t>0285543</t>
  </si>
  <si>
    <t>MART MINA240</t>
  </si>
  <si>
    <t>2606304FG6</t>
  </si>
  <si>
    <t>UNAI</t>
  </si>
  <si>
    <t>04737552004044</t>
  </si>
  <si>
    <t>0286955</t>
  </si>
  <si>
    <t>2607314HUS</t>
  </si>
  <si>
    <t>0285546</t>
  </si>
  <si>
    <t>MART MINA244</t>
  </si>
  <si>
    <t>2606304FG9</t>
  </si>
  <si>
    <t>JOAO MONLEVADE</t>
  </si>
  <si>
    <t>31 3859 2963</t>
  </si>
  <si>
    <t>04737552004478</t>
  </si>
  <si>
    <t>0285547</t>
  </si>
  <si>
    <t>MART MINA245</t>
  </si>
  <si>
    <t>2606304FGA</t>
  </si>
  <si>
    <t>(31) 3370-4101</t>
  </si>
  <si>
    <t>04737552004559</t>
  </si>
  <si>
    <t>0286957</t>
  </si>
  <si>
    <t>2607314HUU</t>
  </si>
  <si>
    <t>0285548</t>
  </si>
  <si>
    <t>MART MINA246</t>
  </si>
  <si>
    <t>2606304FGB</t>
  </si>
  <si>
    <t>04737552004630</t>
  </si>
  <si>
    <t>0285551</t>
  </si>
  <si>
    <t>MART MINA249</t>
  </si>
  <si>
    <t>2606304FGE</t>
  </si>
  <si>
    <t>MONTE CARMELO</t>
  </si>
  <si>
    <t>04737552004982</t>
  </si>
  <si>
    <t>0286960</t>
  </si>
  <si>
    <t>2607314HUX</t>
  </si>
  <si>
    <t>0286961</t>
  </si>
  <si>
    <t>MART MINA250</t>
  </si>
  <si>
    <t>2607314HUY</t>
  </si>
  <si>
    <t>JANAUBA</t>
  </si>
  <si>
    <t>04737552005016</t>
  </si>
  <si>
    <t>0285552</t>
  </si>
  <si>
    <t>2606304FGF</t>
  </si>
  <si>
    <t>0285553</t>
  </si>
  <si>
    <t>MART MINA251</t>
  </si>
  <si>
    <t>2606304FGG</t>
  </si>
  <si>
    <t>BELO HORIZONTE</t>
  </si>
  <si>
    <t>04737552005105</t>
  </si>
  <si>
    <t>0287042</t>
  </si>
  <si>
    <t>2607314HX8</t>
  </si>
  <si>
    <t>0286958</t>
  </si>
  <si>
    <t>MART MINA247</t>
  </si>
  <si>
    <t>2607314HUV</t>
  </si>
  <si>
    <t>BOM DESPACHO</t>
  </si>
  <si>
    <t>04737552004710</t>
  </si>
  <si>
    <t>0285549</t>
  </si>
  <si>
    <t>2606304FGC</t>
  </si>
  <si>
    <t>0285550</t>
  </si>
  <si>
    <t>MART MINA248</t>
  </si>
  <si>
    <t>2606304FGD</t>
  </si>
  <si>
    <t>CAMPO BELO</t>
  </si>
  <si>
    <t>35 3831 7400</t>
  </si>
  <si>
    <t>04737552004800</t>
  </si>
  <si>
    <t>0286959</t>
  </si>
  <si>
    <t>2607314HUW</t>
  </si>
  <si>
    <t>0286977</t>
  </si>
  <si>
    <t>MART MINAS36</t>
  </si>
  <si>
    <t>MART MINAS DISTRIBUIÇÃO LTDA</t>
  </si>
  <si>
    <t>2607314HVE</t>
  </si>
  <si>
    <t>NOVA LIMA</t>
  </si>
  <si>
    <t>31 3338 5900</t>
  </si>
  <si>
    <t>04737552005288</t>
  </si>
  <si>
    <t>0285590</t>
  </si>
  <si>
    <t>2606304FHH</t>
  </si>
  <si>
    <t>0285554</t>
  </si>
  <si>
    <t>MART MINA252</t>
  </si>
  <si>
    <t>MART MINAS DISTRIBUIÇAO LTDA</t>
  </si>
  <si>
    <t>2606304FGH</t>
  </si>
  <si>
    <t>04737552005369</t>
  </si>
  <si>
    <t>0285555</t>
  </si>
  <si>
    <t>MART MINA254</t>
  </si>
  <si>
    <t>2606304FGI</t>
  </si>
  <si>
    <t>JOAO PINHEIRO</t>
  </si>
  <si>
    <t>04737552005440</t>
  </si>
  <si>
    <t>0286962</t>
  </si>
  <si>
    <t>2607314HUZ</t>
  </si>
  <si>
    <t>0285556</t>
  </si>
  <si>
    <t>MART MINA255</t>
  </si>
  <si>
    <t>2606304FGJ</t>
  </si>
  <si>
    <t>LEOPOLDINA</t>
  </si>
  <si>
    <t>04737552005520</t>
  </si>
  <si>
    <t>0285558</t>
  </si>
  <si>
    <t>MART MINA257</t>
  </si>
  <si>
    <t>2606304FGL</t>
  </si>
  <si>
    <t>CONGONHAS</t>
  </si>
  <si>
    <t>31 3731 8211</t>
  </si>
  <si>
    <t>04737552005792</t>
  </si>
  <si>
    <t>0286964</t>
  </si>
  <si>
    <t>2607314HV1</t>
  </si>
  <si>
    <t>0286963</t>
  </si>
  <si>
    <t>MART MINA256</t>
  </si>
  <si>
    <t>2607314HV0</t>
  </si>
  <si>
    <t>CARATINGA</t>
  </si>
  <si>
    <t>04737552005601</t>
  </si>
  <si>
    <t>0285557</t>
  </si>
  <si>
    <t>2606304FGK</t>
  </si>
  <si>
    <t>0285559</t>
  </si>
  <si>
    <t>MART MINA258</t>
  </si>
  <si>
    <t>2606304FGM</t>
  </si>
  <si>
    <t>04737552005954</t>
  </si>
  <si>
    <t>0285560</t>
  </si>
  <si>
    <t>MART MINA259</t>
  </si>
  <si>
    <t>2606304FGN</t>
  </si>
  <si>
    <t>04737552006098</t>
  </si>
  <si>
    <t>0285561</t>
  </si>
  <si>
    <t>MART MINA260</t>
  </si>
  <si>
    <t>MART  MINAS DISTRIBUICAO LTDA</t>
  </si>
  <si>
    <t>2606304FGO</t>
  </si>
  <si>
    <t>TRES PONTAS</t>
  </si>
  <si>
    <t>04737552005873</t>
  </si>
  <si>
    <t>0286965</t>
  </si>
  <si>
    <t>2607314HV2</t>
  </si>
  <si>
    <t>0282748</t>
  </si>
  <si>
    <t>CEMA 40</t>
  </si>
  <si>
    <t>2605214BWS</t>
  </si>
  <si>
    <t>SABARA</t>
  </si>
  <si>
    <t>03083231003543</t>
  </si>
  <si>
    <t>0285593</t>
  </si>
  <si>
    <t>MART MINAS39</t>
  </si>
  <si>
    <t>2606304FHK</t>
  </si>
  <si>
    <t>31-3377-3300</t>
  </si>
  <si>
    <t>04737552006330</t>
  </si>
  <si>
    <t>0285592</t>
  </si>
  <si>
    <t>MART MINAS38</t>
  </si>
  <si>
    <t>2606304FHJ</t>
  </si>
  <si>
    <t>EXTREMA</t>
  </si>
  <si>
    <t>31-3077-3300</t>
  </si>
  <si>
    <t>04737552006411</t>
  </si>
  <si>
    <t>0285591</t>
  </si>
  <si>
    <t>MART MINAS37</t>
  </si>
  <si>
    <t>2606304FHI</t>
  </si>
  <si>
    <t>BETIM</t>
  </si>
  <si>
    <t>04737552006250</t>
  </si>
  <si>
    <t>0285594</t>
  </si>
  <si>
    <t>MART MINAS40</t>
  </si>
  <si>
    <t>2606304FHL</t>
  </si>
  <si>
    <t>VESPASIANO</t>
  </si>
  <si>
    <t>04737552006179</t>
  </si>
  <si>
    <t>0286978</t>
  </si>
  <si>
    <t>2607314HVF</t>
  </si>
  <si>
    <t>0286979</t>
  </si>
  <si>
    <t>MART MINAS42</t>
  </si>
  <si>
    <t>2607314HVG</t>
  </si>
  <si>
    <t>04737552006500</t>
  </si>
  <si>
    <t>0285595</t>
  </si>
  <si>
    <t>2606304FHM</t>
  </si>
  <si>
    <t>0285596</t>
  </si>
  <si>
    <t>MART MINAS43</t>
  </si>
  <si>
    <t>2606304FHN</t>
  </si>
  <si>
    <t>CURVELO</t>
  </si>
  <si>
    <t>04737552006764</t>
  </si>
  <si>
    <t>0284104</t>
  </si>
  <si>
    <t>ADICAO 74CD</t>
  </si>
  <si>
    <t>ADICAO DISTRIBUICAO EXPRESS S/A</t>
  </si>
  <si>
    <t>2606104E97</t>
  </si>
  <si>
    <t>CARMO DO CAJURU</t>
  </si>
  <si>
    <t>(37)3512-9300</t>
  </si>
  <si>
    <t>04149637009232</t>
  </si>
  <si>
    <t>0282758</t>
  </si>
  <si>
    <t>2605214BX2</t>
  </si>
  <si>
    <t>0286143</t>
  </si>
  <si>
    <t>2607244HK1</t>
  </si>
  <si>
    <t>0286292</t>
  </si>
  <si>
    <t>2607224HB7</t>
  </si>
  <si>
    <t>0284528</t>
  </si>
  <si>
    <t>2606174EL0</t>
  </si>
  <si>
    <t>0282609</t>
  </si>
  <si>
    <t>2605154BSL</t>
  </si>
  <si>
    <t>0286144</t>
  </si>
  <si>
    <t>2607244HK2</t>
  </si>
  <si>
    <t>0279597</t>
  </si>
  <si>
    <t>26032646WV</t>
  </si>
  <si>
    <t>0286293</t>
  </si>
  <si>
    <t>2607224HB8</t>
  </si>
  <si>
    <t>0282535</t>
  </si>
  <si>
    <t>2605134BQO</t>
  </si>
  <si>
    <t>0285518</t>
  </si>
  <si>
    <t>2606304FFH</t>
  </si>
  <si>
    <t>0282607</t>
  </si>
  <si>
    <t>2605154BSJ</t>
  </si>
  <si>
    <t>0282536</t>
  </si>
  <si>
    <t>2605134BQP</t>
  </si>
  <si>
    <t>0282608</t>
  </si>
  <si>
    <t>2605154BSK</t>
  </si>
  <si>
    <t>0287761</t>
  </si>
  <si>
    <t>2608174JCM</t>
  </si>
  <si>
    <t>0287760</t>
  </si>
  <si>
    <t>2608174JCL</t>
  </si>
  <si>
    <t>0287759</t>
  </si>
  <si>
    <t>2608174JCK</t>
  </si>
  <si>
    <t>0282751</t>
  </si>
  <si>
    <t>CEMA 44</t>
  </si>
  <si>
    <t>CEMA CENTAL MINEIRA ATACADISTA LTDA</t>
  </si>
  <si>
    <t>2605214BWV</t>
  </si>
  <si>
    <t>(31)2191-7800</t>
  </si>
  <si>
    <t>03083231004434</t>
  </si>
  <si>
    <t>0285597</t>
  </si>
  <si>
    <t>MART MINAS44</t>
  </si>
  <si>
    <t>2606304FHO</t>
  </si>
  <si>
    <t>(31)3370-1587</t>
  </si>
  <si>
    <t>04737552007140</t>
  </si>
  <si>
    <t>0286981</t>
  </si>
  <si>
    <t>2607314HVI</t>
  </si>
  <si>
    <t>0282752</t>
  </si>
  <si>
    <t>CEMA 45</t>
  </si>
  <si>
    <t>2605214BWW</t>
  </si>
  <si>
    <t>(31)21917800</t>
  </si>
  <si>
    <t>03083231004787</t>
  </si>
  <si>
    <t>0282754</t>
  </si>
  <si>
    <t>CEMA 47</t>
  </si>
  <si>
    <t>2605214BWY</t>
  </si>
  <si>
    <t>03083231004515</t>
  </si>
  <si>
    <t>0282511</t>
  </si>
  <si>
    <t>EPA 159</t>
  </si>
  <si>
    <t>DMA DISTRIBUIDORA S//A</t>
  </si>
  <si>
    <t>2605124BQ3</t>
  </si>
  <si>
    <t>VITORIA DA CONQUISTA</t>
  </si>
  <si>
    <t>(31)3389-5679</t>
  </si>
  <si>
    <t>01928075024201</t>
  </si>
  <si>
    <t>0287043</t>
  </si>
  <si>
    <t>MART MINAS45</t>
  </si>
  <si>
    <t>2607314HX9</t>
  </si>
  <si>
    <t>PIRAPORA</t>
  </si>
  <si>
    <t>(31)33701587</t>
  </si>
  <si>
    <t>04737552007221</t>
  </si>
  <si>
    <t>0285598</t>
  </si>
  <si>
    <t>2606304FHP</t>
  </si>
  <si>
    <t>0285599</t>
  </si>
  <si>
    <t>MART MINAS46</t>
  </si>
  <si>
    <t>2606304FHQ</t>
  </si>
  <si>
    <t>04737552007302</t>
  </si>
  <si>
    <t>0285600</t>
  </si>
  <si>
    <t>MART MINAS47</t>
  </si>
  <si>
    <t>2606304FHR</t>
  </si>
  <si>
    <t>JANUARIA</t>
  </si>
  <si>
    <t>04737552007493</t>
  </si>
  <si>
    <t>0287044</t>
  </si>
  <si>
    <t>2607314HXA</t>
  </si>
  <si>
    <t>0285778</t>
  </si>
  <si>
    <t>ESKYNAO CD</t>
  </si>
  <si>
    <t>SUPERMERCADO ESKYNAO LTDA</t>
  </si>
  <si>
    <t>2607064GYR</t>
  </si>
  <si>
    <t>(32) 98802-1061</t>
  </si>
  <si>
    <t>0285623</t>
  </si>
  <si>
    <t>2606304FIE</t>
  </si>
  <si>
    <t>0285622</t>
  </si>
  <si>
    <t>2606304FID</t>
  </si>
  <si>
    <t>0283937</t>
  </si>
  <si>
    <t>2606084E4U</t>
  </si>
  <si>
    <t>0283939</t>
  </si>
  <si>
    <t>2606084E4W</t>
  </si>
  <si>
    <t>0283938</t>
  </si>
  <si>
    <t>2606084E4V</t>
  </si>
  <si>
    <t>0284984</t>
  </si>
  <si>
    <t>ARAUJO-CD</t>
  </si>
  <si>
    <t>DROGARIA ARAUJO S A</t>
  </si>
  <si>
    <t>2606254EY7</t>
  </si>
  <si>
    <t>31 3270 7859</t>
  </si>
  <si>
    <t>0286229</t>
  </si>
  <si>
    <t>2607214H9G</t>
  </si>
  <si>
    <t>0282749</t>
  </si>
  <si>
    <t>CEMA 41</t>
  </si>
  <si>
    <t>2605214BWT</t>
  </si>
  <si>
    <t>03083231003624</t>
  </si>
  <si>
    <t>0282755</t>
  </si>
  <si>
    <t>CEMA 49</t>
  </si>
  <si>
    <t>2605214BWZ</t>
  </si>
  <si>
    <t>03083231002903</t>
  </si>
  <si>
    <t>0282756</t>
  </si>
  <si>
    <t>CEMA 50</t>
  </si>
  <si>
    <t>2605214BX0</t>
  </si>
  <si>
    <t>(31)38160440</t>
  </si>
  <si>
    <t>03083231003039</t>
  </si>
  <si>
    <t>0285601</t>
  </si>
  <si>
    <t>MART MINAS49</t>
  </si>
  <si>
    <t>2606304FHS</t>
  </si>
  <si>
    <t>CAETE</t>
  </si>
  <si>
    <t>31 33704101</t>
  </si>
  <si>
    <t>04737552008112</t>
  </si>
  <si>
    <t>0287018</t>
  </si>
  <si>
    <t>2607314HWK</t>
  </si>
  <si>
    <t>0285603</t>
  </si>
  <si>
    <t>MART MINAS53</t>
  </si>
  <si>
    <t>2606304FHU</t>
  </si>
  <si>
    <t>04737552007736</t>
  </si>
  <si>
    <t>0285602</t>
  </si>
  <si>
    <t>MART MINAS50</t>
  </si>
  <si>
    <t>2606304FHT</t>
  </si>
  <si>
    <t>PEDRO LEOPOLDO</t>
  </si>
  <si>
    <t>04737552008031</t>
  </si>
  <si>
    <t>0287015</t>
  </si>
  <si>
    <t>2607314HWH</t>
  </si>
  <si>
    <t>0285607</t>
  </si>
  <si>
    <t>MART MINAS59</t>
  </si>
  <si>
    <t>2606304FHY</t>
  </si>
  <si>
    <t>04737552008899</t>
  </si>
  <si>
    <t>0285604</t>
  </si>
  <si>
    <t>MART MINAS56</t>
  </si>
  <si>
    <t>2606304FHV</t>
  </si>
  <si>
    <t>04737552008627</t>
  </si>
  <si>
    <t>0285605</t>
  </si>
  <si>
    <t>MART MINAS57</t>
  </si>
  <si>
    <t>2606304FHW</t>
  </si>
  <si>
    <t>04737552008384</t>
  </si>
  <si>
    <t>0285606</t>
  </si>
  <si>
    <t>MART MINAS58</t>
  </si>
  <si>
    <t>2606304FHX</t>
  </si>
  <si>
    <t>04737552008546</t>
  </si>
  <si>
    <t>0287016</t>
  </si>
  <si>
    <t>2607314HWI</t>
  </si>
  <si>
    <t>0287017</t>
  </si>
  <si>
    <t>MART MINAS60</t>
  </si>
  <si>
    <t>2607314HWJ</t>
  </si>
  <si>
    <t>SETE LAGOAS</t>
  </si>
  <si>
    <t>04737552008465</t>
  </si>
  <si>
    <t>0285608</t>
  </si>
  <si>
    <t>2606304FHZ</t>
  </si>
  <si>
    <t>0286982</t>
  </si>
  <si>
    <t>MART MINAS61</t>
  </si>
  <si>
    <t>2607314HVJ</t>
  </si>
  <si>
    <t>IBIRITE</t>
  </si>
  <si>
    <t>31 33704102</t>
  </si>
  <si>
    <t>04737552007655</t>
  </si>
  <si>
    <t>0285609</t>
  </si>
  <si>
    <t>2606304FI0</t>
  </si>
  <si>
    <t>0280121</t>
  </si>
  <si>
    <t>26033147BB</t>
  </si>
  <si>
    <t>0287776</t>
  </si>
  <si>
    <t>MART MINAS62</t>
  </si>
  <si>
    <t>2608174JD1</t>
  </si>
  <si>
    <t>OURO PRETO</t>
  </si>
  <si>
    <t>31 33701586</t>
  </si>
  <si>
    <t>04737552009194</t>
  </si>
  <si>
    <t>0287777</t>
  </si>
  <si>
    <t>MART MINAS63</t>
  </si>
  <si>
    <t>2608174JD2</t>
  </si>
  <si>
    <t>LAGOA DA PRATA</t>
  </si>
  <si>
    <t>04737552009003</t>
  </si>
  <si>
    <t>0285564</t>
  </si>
  <si>
    <t>MART MINAS 4</t>
  </si>
  <si>
    <t>2606304FGR</t>
  </si>
  <si>
    <t>GOVERNADOR VALADARES</t>
  </si>
  <si>
    <t>(33)-3508-1800</t>
  </si>
  <si>
    <t>04737552000561</t>
  </si>
  <si>
    <t>0285566</t>
  </si>
  <si>
    <t>MART MINAS 6</t>
  </si>
  <si>
    <t>2606304FGT</t>
  </si>
  <si>
    <t>(34)3326-9200</t>
  </si>
  <si>
    <t>04737552000723</t>
  </si>
  <si>
    <t>0282746</t>
  </si>
  <si>
    <t>CEMA 6</t>
  </si>
  <si>
    <t>CEMA - CENTRAL MINEIRA ATACADISTA LOJA 1</t>
  </si>
  <si>
    <t>2605214BWQ</t>
  </si>
  <si>
    <t>03083231001095</t>
  </si>
  <si>
    <t>0285568</t>
  </si>
  <si>
    <t>MART MINAS 9</t>
  </si>
  <si>
    <t>2606304FGV</t>
  </si>
  <si>
    <t>31-3509-1200</t>
  </si>
  <si>
    <t>04737552000995</t>
  </si>
  <si>
    <t>0286967</t>
  </si>
  <si>
    <t>2607314HV4</t>
  </si>
  <si>
    <t>0285569</t>
  </si>
  <si>
    <t>MART MINAS10</t>
  </si>
  <si>
    <t>MART MINAS DISTRIBUICAO LTDA ME</t>
  </si>
  <si>
    <t>2606304FGW</t>
  </si>
  <si>
    <t>34 3221 8741</t>
  </si>
  <si>
    <t>04737552001029</t>
  </si>
  <si>
    <t>0286638</t>
  </si>
  <si>
    <t>ATAKAREJCD25</t>
  </si>
  <si>
    <t>ATAKAREJO DISTRIBUIDOR DE ALIMENTOS E BEBIDAS SA</t>
  </si>
  <si>
    <t>2607274HMW</t>
  </si>
  <si>
    <t>SIMOES FILHO</t>
  </si>
  <si>
    <t>0283989</t>
  </si>
  <si>
    <t>2606084E69</t>
  </si>
  <si>
    <t>0283779</t>
  </si>
  <si>
    <t>2606014CPC</t>
  </si>
  <si>
    <t>0283988</t>
  </si>
  <si>
    <t>ATAKAREJO 66</t>
  </si>
  <si>
    <t>ATAKAREJO DISTRIBUIDOR DE ALIMENTOS E BEBIDAS S.A</t>
  </si>
  <si>
    <t>2606084E68</t>
  </si>
  <si>
    <t>NOSSA SENHORA DO SOCORRO</t>
  </si>
  <si>
    <t>(71) 3460-8775</t>
  </si>
  <si>
    <t>SE</t>
  </si>
  <si>
    <t>0286639</t>
  </si>
  <si>
    <t>2607274HMX</t>
  </si>
  <si>
    <t>0288025</t>
  </si>
  <si>
    <t>CO-MICHELAS</t>
  </si>
  <si>
    <t>MICHELASSI &amp; CIA LTDA.</t>
  </si>
  <si>
    <t>2608204JJS</t>
  </si>
  <si>
    <t>BARIRI</t>
  </si>
  <si>
    <t>14-3662 9944</t>
  </si>
  <si>
    <t>0288075</t>
  </si>
  <si>
    <t>CO-TORRINHA</t>
  </si>
  <si>
    <t>SUPERMERCADO TORRINHA SERVE LTDA.</t>
  </si>
  <si>
    <t>2608204JL6</t>
  </si>
  <si>
    <t>TORRINHA</t>
  </si>
  <si>
    <t>14-656-1308</t>
  </si>
  <si>
    <t>00200957000181</t>
  </si>
  <si>
    <t>0286277</t>
  </si>
  <si>
    <t>2607214HAR</t>
  </si>
  <si>
    <t>0285935</t>
  </si>
  <si>
    <t>GUILHERME</t>
  </si>
  <si>
    <t>GUILHERME ZANIOLO AIELO ME</t>
  </si>
  <si>
    <t>2607144H2H</t>
  </si>
  <si>
    <t>ARARAQUARA</t>
  </si>
  <si>
    <t>16-3335-2368</t>
  </si>
  <si>
    <t>01252007000163</t>
  </si>
  <si>
    <t>0286274</t>
  </si>
  <si>
    <t>CO-MINATEL1</t>
  </si>
  <si>
    <t>MINATEL &amp; CIA. SUPERMERCADOS LTDA</t>
  </si>
  <si>
    <t>2607214HAO</t>
  </si>
  <si>
    <t>DOIS CORREGOS</t>
  </si>
  <si>
    <t>14-3652-9466</t>
  </si>
  <si>
    <t>01404512000186</t>
  </si>
  <si>
    <t>0288074</t>
  </si>
  <si>
    <t>2608204JL5</t>
  </si>
  <si>
    <t>0288073</t>
  </si>
  <si>
    <t>CO-LENHARO</t>
  </si>
  <si>
    <t>SUPERMERCADO LENHARO</t>
  </si>
  <si>
    <t>2608204JL4</t>
  </si>
  <si>
    <t>ITAPUI</t>
  </si>
  <si>
    <t>14 - 3664 1307</t>
  </si>
  <si>
    <t>0286271</t>
  </si>
  <si>
    <t>2607214HAL</t>
  </si>
  <si>
    <t>0288019</t>
  </si>
  <si>
    <t>CO-ALBUQUERQ</t>
  </si>
  <si>
    <t>ANGELA M M DE ALBUQUERQUE ITATINGA EPP</t>
  </si>
  <si>
    <t>2608204JJM</t>
  </si>
  <si>
    <t>ITATINGA</t>
  </si>
  <si>
    <t>(14) 3848-1631</t>
  </si>
  <si>
    <t>0286006</t>
  </si>
  <si>
    <t>JAU SERVE</t>
  </si>
  <si>
    <t>SUPERMERCADO JAU SERVE LTDA</t>
  </si>
  <si>
    <t>2607144H4E</t>
  </si>
  <si>
    <t>JAU</t>
  </si>
  <si>
    <t>(14)3602-6100</t>
  </si>
  <si>
    <t>03640467000194</t>
  </si>
  <si>
    <t>0286269</t>
  </si>
  <si>
    <t>CO-CEYA</t>
  </si>
  <si>
    <t>CEYA COMERCIAL LTDA</t>
  </si>
  <si>
    <t>2607214HAJ</t>
  </si>
  <si>
    <t>DUARTINA</t>
  </si>
  <si>
    <t>14-3282-4122</t>
  </si>
  <si>
    <t>0288021</t>
  </si>
  <si>
    <t>2608204JJO</t>
  </si>
  <si>
    <t>0288022</t>
  </si>
  <si>
    <t>CO-FURLANET2</t>
  </si>
  <si>
    <t>SUPERMERDADOS FURLANETTI LTDA</t>
  </si>
  <si>
    <t>2608204JJP</t>
  </si>
  <si>
    <t>14 3602 1599</t>
  </si>
  <si>
    <t>0288071</t>
  </si>
  <si>
    <t>CO-FURLANET3</t>
  </si>
  <si>
    <t>SUPERMERCADOS FURLANETTI LTDA</t>
  </si>
  <si>
    <t>2608204JL2</t>
  </si>
  <si>
    <t>0286270</t>
  </si>
  <si>
    <t>2607214HAK</t>
  </si>
  <si>
    <t>0286275</t>
  </si>
  <si>
    <t>CO-MINATEL3</t>
  </si>
  <si>
    <t>2607214HAP</t>
  </si>
  <si>
    <t>BROTAS</t>
  </si>
  <si>
    <t>01404512000267</t>
  </si>
  <si>
    <t>0286459</t>
  </si>
  <si>
    <t>SAVEGNAGOCD2</t>
  </si>
  <si>
    <t>SAVEGNAGO-SUPERMERCADOS LTDA</t>
  </si>
  <si>
    <t>2607234HFQ</t>
  </si>
  <si>
    <t>16-3946-2088</t>
  </si>
  <si>
    <t>0286076</t>
  </si>
  <si>
    <t>2607154H7E</t>
  </si>
  <si>
    <t>0287804</t>
  </si>
  <si>
    <t>2608174JDT</t>
  </si>
  <si>
    <t>0287802</t>
  </si>
  <si>
    <t>2608174JDR</t>
  </si>
  <si>
    <t>0287803</t>
  </si>
  <si>
    <t>2608174JDS</t>
  </si>
  <si>
    <t>0287805</t>
  </si>
  <si>
    <t>2608174JDU</t>
  </si>
  <si>
    <t>0287422</t>
  </si>
  <si>
    <t>ARAQUIMICA1</t>
  </si>
  <si>
    <t>CESAR AUGUSTO MARTINS DA SILVA EIRELI</t>
  </si>
  <si>
    <t>2608064J4L</t>
  </si>
  <si>
    <t>16-3301-0026</t>
  </si>
  <si>
    <t>0285932</t>
  </si>
  <si>
    <t>2607144H2E</t>
  </si>
  <si>
    <t>0286272</t>
  </si>
  <si>
    <t>CO-LIBARDI</t>
  </si>
  <si>
    <t>MARIA HELENA BERNARDINI SUPERMERCADO LTDA</t>
  </si>
  <si>
    <t>2607214HAM</t>
  </si>
  <si>
    <t>CONCHAS</t>
  </si>
  <si>
    <t>02442279000199</t>
  </si>
  <si>
    <t>0288023</t>
  </si>
  <si>
    <t>CO-LIBARDI 2</t>
  </si>
  <si>
    <t>ALINE MIRELE LIBARDI SUPERMERCADO &amp; CIA LTDA</t>
  </si>
  <si>
    <t>2608204JJQ</t>
  </si>
  <si>
    <t>143845 1873</t>
  </si>
  <si>
    <t>0288024</t>
  </si>
  <si>
    <t>CO-LIBARDI 4</t>
  </si>
  <si>
    <t>SUPERMERCADO LIBARDI LTDA</t>
  </si>
  <si>
    <t>2608204JJR</t>
  </si>
  <si>
    <t>PORANGABA</t>
  </si>
  <si>
    <t>14-3846-1700</t>
  </si>
  <si>
    <t>0286273</t>
  </si>
  <si>
    <t>2607214HAN</t>
  </si>
  <si>
    <t>0287975</t>
  </si>
  <si>
    <t>DIST FONZAR</t>
  </si>
  <si>
    <t>DISTRIBUIDORA PADRAO FONZAR LTDA</t>
  </si>
  <si>
    <t>2608204JIE</t>
  </si>
  <si>
    <t>RIBEIRAO PRETO</t>
  </si>
  <si>
    <t>16-2137-8383</t>
  </si>
  <si>
    <t>0288092</t>
  </si>
  <si>
    <t>2608204JLN</t>
  </si>
  <si>
    <t>0285934</t>
  </si>
  <si>
    <t>FKM COSME</t>
  </si>
  <si>
    <t>FKM COSMETICOS E HIGIENE PESSOAL LTDA</t>
  </si>
  <si>
    <t>2607144H2G</t>
  </si>
  <si>
    <t>SAO CARLOS</t>
  </si>
  <si>
    <t>16-3368-4959</t>
  </si>
  <si>
    <t>0287402</t>
  </si>
  <si>
    <t>2608064J3Y</t>
  </si>
  <si>
    <t>0288072</t>
  </si>
  <si>
    <t>CO-KUZZI</t>
  </si>
  <si>
    <t>SUPERMERCADO KUZZI EIRELI</t>
  </si>
  <si>
    <t>2608204JL3</t>
  </si>
  <si>
    <t>UBIRAJARA</t>
  </si>
  <si>
    <t>14-3472-1519</t>
  </si>
  <si>
    <t>02771544000182</t>
  </si>
  <si>
    <t>0286278</t>
  </si>
  <si>
    <t>CO-TRADICAO2</t>
  </si>
  <si>
    <t>IVANA MARIA DE CARVALHO MINARDI EIRELI</t>
  </si>
  <si>
    <t>2607214HAS</t>
  </si>
  <si>
    <t>AVARE</t>
  </si>
  <si>
    <t>0288018</t>
  </si>
  <si>
    <t>CO-ALBUQUER2</t>
  </si>
  <si>
    <t>A.M.M. SUPERMERCADOS ALBUQUERQUE EIRELLI</t>
  </si>
  <si>
    <t>2608204JJL</t>
  </si>
  <si>
    <t>0285933</t>
  </si>
  <si>
    <t>DELIZA 2</t>
  </si>
  <si>
    <t>CASA DELIZA LTDA</t>
  </si>
  <si>
    <t>2607144H2F</t>
  </si>
  <si>
    <t>02200345000467</t>
  </si>
  <si>
    <t>0284437</t>
  </si>
  <si>
    <t>BIG MART 25</t>
  </si>
  <si>
    <t>BIG MART CENTRO DE COMPRAS LTDA</t>
  </si>
  <si>
    <t>2606164EIB</t>
  </si>
  <si>
    <t>DRACENA</t>
  </si>
  <si>
    <t>(14)3471-1875</t>
  </si>
  <si>
    <t>01339721001599</t>
  </si>
  <si>
    <t>0287810</t>
  </si>
  <si>
    <t>SAVEGNAGO40</t>
  </si>
  <si>
    <t>SAVEGNAGO SUPERMERCADOS LTDA</t>
  </si>
  <si>
    <t>2608174JDZ</t>
  </si>
  <si>
    <t>RIBEIRÃO PRETO</t>
  </si>
  <si>
    <t>16 3946-2088</t>
  </si>
  <si>
    <t>0285147</t>
  </si>
  <si>
    <t>2606264F2R</t>
  </si>
  <si>
    <t>0285146</t>
  </si>
  <si>
    <t>2606264F2Q</t>
  </si>
  <si>
    <t>0287809</t>
  </si>
  <si>
    <t>2608174JDY</t>
  </si>
  <si>
    <t>0286452</t>
  </si>
  <si>
    <t>2607234HFJ</t>
  </si>
  <si>
    <t>0286453</t>
  </si>
  <si>
    <t>2607234HFK</t>
  </si>
  <si>
    <t>0286454</t>
  </si>
  <si>
    <t>2607234HFL</t>
  </si>
  <si>
    <t>0286451</t>
  </si>
  <si>
    <t>2607234HFI</t>
  </si>
  <si>
    <t>0286455</t>
  </si>
  <si>
    <t>SAVEGNAGO41</t>
  </si>
  <si>
    <t>2607234HFM</t>
  </si>
  <si>
    <t>0286458</t>
  </si>
  <si>
    <t>2607234HFP</t>
  </si>
  <si>
    <t>0286457</t>
  </si>
  <si>
    <t>2607234HFO</t>
  </si>
  <si>
    <t>0286456</t>
  </si>
  <si>
    <t>2607234HFN</t>
  </si>
  <si>
    <t>0287800</t>
  </si>
  <si>
    <t>2608174JDP</t>
  </si>
  <si>
    <t>0287801</t>
  </si>
  <si>
    <t>2608174JDQ</t>
  </si>
  <si>
    <t>0286276</t>
  </si>
  <si>
    <t>CO-MINATEL4</t>
  </si>
  <si>
    <t>MINATEL &amp; CIA.SUPERMERCADOS LTDA</t>
  </si>
  <si>
    <t>2607214HAQ</t>
  </si>
  <si>
    <t>MINEIROS DO TIETE</t>
  </si>
  <si>
    <t>14 3652-9466</t>
  </si>
  <si>
    <t>01404512000429</t>
  </si>
  <si>
    <t>0287200</t>
  </si>
  <si>
    <t>PULMER 2</t>
  </si>
  <si>
    <t>COMERCIAL ALIMENTICIA PULMER LIMITADA</t>
  </si>
  <si>
    <t>2608034IUT</t>
  </si>
  <si>
    <t>MARILIA</t>
  </si>
  <si>
    <t>16 21020999</t>
  </si>
  <si>
    <t>0286075</t>
  </si>
  <si>
    <t>SAVEGNAGO-CD</t>
  </si>
  <si>
    <t>SAVEGNAGO SUPERMERCADOS LTDA .</t>
  </si>
  <si>
    <t>2607154H7D</t>
  </si>
  <si>
    <t>(16)-3946-2088</t>
  </si>
  <si>
    <t>0287807</t>
  </si>
  <si>
    <t>2608174JDW</t>
  </si>
  <si>
    <t>0287806</t>
  </si>
  <si>
    <t>2608174JDV</t>
  </si>
  <si>
    <t>0287808</t>
  </si>
  <si>
    <t>2608174JDX</t>
  </si>
  <si>
    <t>0286450</t>
  </si>
  <si>
    <t>2607234HFH</t>
  </si>
  <si>
    <t>0285144</t>
  </si>
  <si>
    <t>2606264F2O</t>
  </si>
  <si>
    <t>0285145</t>
  </si>
  <si>
    <t>2606264F2P</t>
  </si>
  <si>
    <t>0287644</t>
  </si>
  <si>
    <t>CACOLA</t>
  </si>
  <si>
    <t>CACOLA EMBALAGENS LTDA.</t>
  </si>
  <si>
    <t>2608124J9Q</t>
  </si>
  <si>
    <t>(16)4009-6818</t>
  </si>
  <si>
    <t>0286467</t>
  </si>
  <si>
    <t>2607234HFY</t>
  </si>
  <si>
    <t>0286268</t>
  </si>
  <si>
    <t>CO-BURGOS</t>
  </si>
  <si>
    <t>SUPERMERCADO BURGOS &amp; CIA LTDA</t>
  </si>
  <si>
    <t>2607214HAI</t>
  </si>
  <si>
    <t>BARRA BONITA</t>
  </si>
  <si>
    <t>(14)3642-3408</t>
  </si>
  <si>
    <t>02086040000123</t>
  </si>
  <si>
    <t>0288020</t>
  </si>
  <si>
    <t>2608204JJN</t>
  </si>
  <si>
    <t>0286914</t>
  </si>
  <si>
    <t>EBD DISTRIB2</t>
  </si>
  <si>
    <t>EBD NORDESTE COMERCIO LTDA</t>
  </si>
  <si>
    <t>2607314HTN</t>
  </si>
  <si>
    <t>PETROLINA</t>
  </si>
  <si>
    <t>(87)3863-2277</t>
  </si>
  <si>
    <t>PE</t>
  </si>
  <si>
    <t>0286916</t>
  </si>
  <si>
    <t>EBD DISTRIB3</t>
  </si>
  <si>
    <t>2607314HTP</t>
  </si>
  <si>
    <t>CARUARU</t>
  </si>
  <si>
    <t>(81)3723-4671</t>
  </si>
  <si>
    <t>0285429</t>
  </si>
  <si>
    <t>2606304FD0</t>
  </si>
  <si>
    <t>0284355</t>
  </si>
  <si>
    <t>ASSAI 46</t>
  </si>
  <si>
    <t>SENDAS DISTRIBUIDORA S/A</t>
  </si>
  <si>
    <t>2606154EGB</t>
  </si>
  <si>
    <t>81-3721-8591</t>
  </si>
  <si>
    <t>06057223028181</t>
  </si>
  <si>
    <t>0283966</t>
  </si>
  <si>
    <t>2606084E5M</t>
  </si>
  <si>
    <t>0283967</t>
  </si>
  <si>
    <t>2606084E5N</t>
  </si>
  <si>
    <t>0281339</t>
  </si>
  <si>
    <t>26042749GV</t>
  </si>
  <si>
    <t>0281343</t>
  </si>
  <si>
    <t>ASSAI 91</t>
  </si>
  <si>
    <t>26042749GZ</t>
  </si>
  <si>
    <t>GARANHUNS</t>
  </si>
  <si>
    <t>06057223028505</t>
  </si>
  <si>
    <t>0284356</t>
  </si>
  <si>
    <t>2606154EGC</t>
  </si>
  <si>
    <t>0283969</t>
  </si>
  <si>
    <t>2606084E5P</t>
  </si>
  <si>
    <t>0283968</t>
  </si>
  <si>
    <t>2606084E5O</t>
  </si>
  <si>
    <t>0283948</t>
  </si>
  <si>
    <t>ASSAI 107</t>
  </si>
  <si>
    <t>2606084E54</t>
  </si>
  <si>
    <t>RECIFE</t>
  </si>
  <si>
    <t>06057223028009</t>
  </si>
  <si>
    <t>0284338</t>
  </si>
  <si>
    <t>2606154EFV</t>
  </si>
  <si>
    <t>0283947</t>
  </si>
  <si>
    <t>2606084E53</t>
  </si>
  <si>
    <t>0281315</t>
  </si>
  <si>
    <t>26042749G7</t>
  </si>
  <si>
    <t>0281316</t>
  </si>
  <si>
    <t>ASSAI 109</t>
  </si>
  <si>
    <t>26042749G8</t>
  </si>
  <si>
    <t>PAULISTA</t>
  </si>
  <si>
    <t>06057223028939</t>
  </si>
  <si>
    <t>0284339</t>
  </si>
  <si>
    <t>2606154EFW</t>
  </si>
  <si>
    <t>0283949</t>
  </si>
  <si>
    <t>2606084E55</t>
  </si>
  <si>
    <t>0283950</t>
  </si>
  <si>
    <t>2606084E56</t>
  </si>
  <si>
    <t>0284340</t>
  </si>
  <si>
    <t>ASSAI 119</t>
  </si>
  <si>
    <t>2606154EFX</t>
  </si>
  <si>
    <t>CAMARAGIBE</t>
  </si>
  <si>
    <t>06057223027967</t>
  </si>
  <si>
    <t>0283952</t>
  </si>
  <si>
    <t>2606084E58</t>
  </si>
  <si>
    <t>0283951</t>
  </si>
  <si>
    <t>2606084E57</t>
  </si>
  <si>
    <t>0281318</t>
  </si>
  <si>
    <t>26042749GA</t>
  </si>
  <si>
    <t>0281341</t>
  </si>
  <si>
    <t>ASSAI 77</t>
  </si>
  <si>
    <t>26042749GX</t>
  </si>
  <si>
    <t>JOAO PESSOA</t>
  </si>
  <si>
    <t>06057223030836</t>
  </si>
  <si>
    <t>PB</t>
  </si>
  <si>
    <t>0283975</t>
  </si>
  <si>
    <t>2606084E5V</t>
  </si>
  <si>
    <t>0283974</t>
  </si>
  <si>
    <t>2606084E5U</t>
  </si>
  <si>
    <t>0284361</t>
  </si>
  <si>
    <t>2606154EGH</t>
  </si>
  <si>
    <t>0284377</t>
  </si>
  <si>
    <t>ASSAI 114</t>
  </si>
  <si>
    <t>2606154EGT</t>
  </si>
  <si>
    <t>NATAL</t>
  </si>
  <si>
    <t>06057223031050</t>
  </si>
  <si>
    <t>RN</t>
  </si>
  <si>
    <t>0284376</t>
  </si>
  <si>
    <t>2606154EGS</t>
  </si>
  <si>
    <t>0284375</t>
  </si>
  <si>
    <t>2606154EGR</t>
  </si>
  <si>
    <t>0281317</t>
  </si>
  <si>
    <t>26042749G9</t>
  </si>
  <si>
    <t>0281342</t>
  </si>
  <si>
    <t>ASSAI 83</t>
  </si>
  <si>
    <t>26042749GY</t>
  </si>
  <si>
    <t>CAMPINA GRANDE</t>
  </si>
  <si>
    <t>06057223029668</t>
  </si>
  <si>
    <t>0283976</t>
  </si>
  <si>
    <t>2606084E5W</t>
  </si>
  <si>
    <t>0283977</t>
  </si>
  <si>
    <t>2606084E5X</t>
  </si>
  <si>
    <t>0284364</t>
  </si>
  <si>
    <t>2606154EGI</t>
  </si>
  <si>
    <t>0284354</t>
  </si>
  <si>
    <t>ASSAI 44</t>
  </si>
  <si>
    <t>2606154EGA</t>
  </si>
  <si>
    <t>JABOATAO DOS GUARARAPES</t>
  </si>
  <si>
    <t>06057223030160</t>
  </si>
  <si>
    <t>0283965</t>
  </si>
  <si>
    <t>2606084E5L</t>
  </si>
  <si>
    <t>0283964</t>
  </si>
  <si>
    <t>2606084E5K</t>
  </si>
  <si>
    <t>0281338</t>
  </si>
  <si>
    <t>26042749GU</t>
  </si>
  <si>
    <t>0284336</t>
  </si>
  <si>
    <t>ASSAI 76</t>
  </si>
  <si>
    <t>2606154EFT</t>
  </si>
  <si>
    <t>MACEIO</t>
  </si>
  <si>
    <t>06057223030674</t>
  </si>
  <si>
    <t>AL</t>
  </si>
  <si>
    <t>0279396</t>
  </si>
  <si>
    <t>26032546R5</t>
  </si>
  <si>
    <t>0283983</t>
  </si>
  <si>
    <t>2606084E63</t>
  </si>
  <si>
    <t>0281340</t>
  </si>
  <si>
    <t>26042749GW</t>
  </si>
  <si>
    <t>0283982</t>
  </si>
  <si>
    <t>2606084E62</t>
  </si>
  <si>
    <t>0285758</t>
  </si>
  <si>
    <t>2607154H6E</t>
  </si>
  <si>
    <t>0283990</t>
  </si>
  <si>
    <t>ASSAI 120</t>
  </si>
  <si>
    <t>2606084E6A</t>
  </si>
  <si>
    <t>SAO GONCALO DO AMARANTE</t>
  </si>
  <si>
    <t>11-3411-5200</t>
  </si>
  <si>
    <t>06057223033770</t>
  </si>
  <si>
    <t>0284379</t>
  </si>
  <si>
    <t>2606154EGV</t>
  </si>
  <si>
    <t>0284378</t>
  </si>
  <si>
    <t>2606154EGU</t>
  </si>
  <si>
    <t>0281319</t>
  </si>
  <si>
    <t>26042749GB</t>
  </si>
  <si>
    <t>0283980</t>
  </si>
  <si>
    <t>ASSAI 179</t>
  </si>
  <si>
    <t>2606084E60</t>
  </si>
  <si>
    <t>06057223039469</t>
  </si>
  <si>
    <t>0281323</t>
  </si>
  <si>
    <t>26042749GF</t>
  </si>
  <si>
    <t>0284331</t>
  </si>
  <si>
    <t>2606154EFO</t>
  </si>
  <si>
    <t>0284330</t>
  </si>
  <si>
    <t>2606154EFN</t>
  </si>
  <si>
    <t>0285759</t>
  </si>
  <si>
    <t>2607154H6F</t>
  </si>
  <si>
    <t>0283971</t>
  </si>
  <si>
    <t>ASSAI 207</t>
  </si>
  <si>
    <t>2606084E5R</t>
  </si>
  <si>
    <t>CABEDELO</t>
  </si>
  <si>
    <t>06057223043229</t>
  </si>
  <si>
    <t>0283970</t>
  </si>
  <si>
    <t>2606084E5Q</t>
  </si>
  <si>
    <t>0284357</t>
  </si>
  <si>
    <t>2606154EGD</t>
  </si>
  <si>
    <t>0281326</t>
  </si>
  <si>
    <t>26042749GI</t>
  </si>
  <si>
    <t>0281333</t>
  </si>
  <si>
    <t>ASSAI 290</t>
  </si>
  <si>
    <t>26042749GP</t>
  </si>
  <si>
    <t>11-3411-5000</t>
  </si>
  <si>
    <t>06057223052058</t>
  </si>
  <si>
    <t>0279395</t>
  </si>
  <si>
    <t>26032546R4</t>
  </si>
  <si>
    <t>0284335</t>
  </si>
  <si>
    <t>2606154EFS</t>
  </si>
  <si>
    <t>0283981</t>
  </si>
  <si>
    <t>2606084E61</t>
  </si>
  <si>
    <t>0284333</t>
  </si>
  <si>
    <t>ASSAI 289</t>
  </si>
  <si>
    <t>2606154EFQ</t>
  </si>
  <si>
    <t>06057223051914</t>
  </si>
  <si>
    <t>0284334</t>
  </si>
  <si>
    <t>2606154EFR</t>
  </si>
  <si>
    <t>0284332</t>
  </si>
  <si>
    <t>2606154EFP</t>
  </si>
  <si>
    <t>0279394</t>
  </si>
  <si>
    <t>26032546R3</t>
  </si>
  <si>
    <t>0281332</t>
  </si>
  <si>
    <t>26042749GO</t>
  </si>
  <si>
    <t>0281335</t>
  </si>
  <si>
    <t>ASSAI 300</t>
  </si>
  <si>
    <t>26042749GR</t>
  </si>
  <si>
    <t>06057223053453</t>
  </si>
  <si>
    <t>0283973</t>
  </si>
  <si>
    <t>2606084E5T</t>
  </si>
  <si>
    <t>0284358</t>
  </si>
  <si>
    <t>2606154EGE</t>
  </si>
  <si>
    <t>0283972</t>
  </si>
  <si>
    <t>2606084E5S</t>
  </si>
  <si>
    <t>0284382</t>
  </si>
  <si>
    <t>ASSAI 298</t>
  </si>
  <si>
    <t>2606154EGY</t>
  </si>
  <si>
    <t>06057223053291</t>
  </si>
  <si>
    <t>0284383</t>
  </si>
  <si>
    <t>2606154EGZ</t>
  </si>
  <si>
    <t>0284381</t>
  </si>
  <si>
    <t>2606154EGX</t>
  </si>
  <si>
    <t>0281334</t>
  </si>
  <si>
    <t>26042749GQ</t>
  </si>
  <si>
    <t>0281330</t>
  </si>
  <si>
    <t>ASSAI 268</t>
  </si>
  <si>
    <t>26042749GM</t>
  </si>
  <si>
    <t>PARNAMIRIM</t>
  </si>
  <si>
    <t>06057223049502</t>
  </si>
  <si>
    <t>0284380</t>
  </si>
  <si>
    <t>2606154EGW</t>
  </si>
  <si>
    <t>0283992</t>
  </si>
  <si>
    <t>2606084E6C</t>
  </si>
  <si>
    <t>0283991</t>
  </si>
  <si>
    <t>2606084E6B</t>
  </si>
  <si>
    <t>0284359</t>
  </si>
  <si>
    <t>ASSAI 305</t>
  </si>
  <si>
    <t>2606154EGF</t>
  </si>
  <si>
    <t>06057223048700</t>
  </si>
  <si>
    <t>0284360</t>
  </si>
  <si>
    <t>2606154EGG</t>
  </si>
  <si>
    <t>0281336</t>
  </si>
  <si>
    <t>26042749GS</t>
  </si>
  <si>
    <t>0283979</t>
  </si>
  <si>
    <t>ASSAI 152</t>
  </si>
  <si>
    <t>2606084E5Z</t>
  </si>
  <si>
    <t>ARAPIRACA</t>
  </si>
  <si>
    <t>06057223038497</t>
  </si>
  <si>
    <t>0281321</t>
  </si>
  <si>
    <t>26042749GD</t>
  </si>
  <si>
    <t>0283978</t>
  </si>
  <si>
    <t>2606084E5Y</t>
  </si>
  <si>
    <t>0279392</t>
  </si>
  <si>
    <t>26032546R1</t>
  </si>
  <si>
    <t>0284329</t>
  </si>
  <si>
    <t>2606154EFM</t>
  </si>
  <si>
    <t>0285760</t>
  </si>
  <si>
    <t>2607154H6G</t>
  </si>
  <si>
    <t>0017337</t>
  </si>
  <si>
    <t>DILNOR</t>
  </si>
  <si>
    <t>DILNOR - DISTRIBUICAO E LOGISTICA DO NORDESTE LTDA</t>
  </si>
  <si>
    <t>2607310MV1</t>
  </si>
  <si>
    <t>4087/1</t>
  </si>
  <si>
    <t>81 3316-1033</t>
  </si>
  <si>
    <t>04054534000151</t>
  </si>
  <si>
    <t>0017339</t>
  </si>
  <si>
    <t>2607310MV3</t>
  </si>
  <si>
    <t>0014358</t>
  </si>
  <si>
    <t>2607310D49</t>
  </si>
  <si>
    <t>4087/2</t>
  </si>
  <si>
    <t>0284345</t>
  </si>
  <si>
    <t>ASSAI 163</t>
  </si>
  <si>
    <t>2606154EG2</t>
  </si>
  <si>
    <t>06057223037768</t>
  </si>
  <si>
    <t>0284344</t>
  </si>
  <si>
    <t>2606154EG1</t>
  </si>
  <si>
    <t>0281322</t>
  </si>
  <si>
    <t>26042749GE</t>
  </si>
  <si>
    <t>0281324</t>
  </si>
  <si>
    <t>ASSAI 198</t>
  </si>
  <si>
    <t>26042749GG</t>
  </si>
  <si>
    <t>CABO DE SANTO AGOSTINHO</t>
  </si>
  <si>
    <t>06057223040980</t>
  </si>
  <si>
    <t>0284346</t>
  </si>
  <si>
    <t>2606154EG3</t>
  </si>
  <si>
    <t>0283954</t>
  </si>
  <si>
    <t>2606084E5A</t>
  </si>
  <si>
    <t>0283953</t>
  </si>
  <si>
    <t>2606084E59</t>
  </si>
  <si>
    <t>0284349</t>
  </si>
  <si>
    <t>ASSAI 204</t>
  </si>
  <si>
    <t>2606154EG5</t>
  </si>
  <si>
    <t>06057223042761</t>
  </si>
  <si>
    <t>0283955</t>
  </si>
  <si>
    <t>2606084E5B</t>
  </si>
  <si>
    <t>0284348</t>
  </si>
  <si>
    <t>2606154EG4</t>
  </si>
  <si>
    <t>0281325</t>
  </si>
  <si>
    <t>26042749GH</t>
  </si>
  <si>
    <t>0281327</t>
  </si>
  <si>
    <t>ASSAI 238</t>
  </si>
  <si>
    <t>26042749GJ</t>
  </si>
  <si>
    <t>OLINDA</t>
  </si>
  <si>
    <t>06057223046597</t>
  </si>
  <si>
    <t>0284350</t>
  </si>
  <si>
    <t>2606154EG6</t>
  </si>
  <si>
    <t>0283957</t>
  </si>
  <si>
    <t>2606084E5D</t>
  </si>
  <si>
    <t>0283956</t>
  </si>
  <si>
    <t>2606084E5C</t>
  </si>
  <si>
    <t>0284352</t>
  </si>
  <si>
    <t>ASSAI 262</t>
  </si>
  <si>
    <t>2606154EG8</t>
  </si>
  <si>
    <t>06057223049189</t>
  </si>
  <si>
    <t>0283960</t>
  </si>
  <si>
    <t>2606084E5G</t>
  </si>
  <si>
    <t>0283961</t>
  </si>
  <si>
    <t>2606084E5H</t>
  </si>
  <si>
    <t>0281329</t>
  </si>
  <si>
    <t>26042749GL</t>
  </si>
  <si>
    <t>0281331</t>
  </si>
  <si>
    <t>ASSAI 284</t>
  </si>
  <si>
    <t>26042749GN</t>
  </si>
  <si>
    <t>06057223051590</t>
  </si>
  <si>
    <t>0284353</t>
  </si>
  <si>
    <t>2606154EG9</t>
  </si>
  <si>
    <t>0283963</t>
  </si>
  <si>
    <t>2606084E5J</t>
  </si>
  <si>
    <t>0283962</t>
  </si>
  <si>
    <t>2606084E5I</t>
  </si>
  <si>
    <t>0284385</t>
  </si>
  <si>
    <t>ASSAI 333</t>
  </si>
  <si>
    <t>2606154EH1</t>
  </si>
  <si>
    <t>MOSSORO</t>
  </si>
  <si>
    <t>06057223056207</t>
  </si>
  <si>
    <t>0284384</t>
  </si>
  <si>
    <t>2606154EH0</t>
  </si>
  <si>
    <t>0281337</t>
  </si>
  <si>
    <t>26042749GT</t>
  </si>
  <si>
    <t>0281320</t>
  </si>
  <si>
    <t>ASSAI 138</t>
  </si>
  <si>
    <t>26042749GC</t>
  </si>
  <si>
    <t>SERRA TALHADA</t>
  </si>
  <si>
    <t>06057223038810</t>
  </si>
  <si>
    <t>0284341</t>
  </si>
  <si>
    <t>2606154EFY</t>
  </si>
  <si>
    <t>0284342</t>
  </si>
  <si>
    <t>2606154EFZ</t>
  </si>
  <si>
    <t>0284343</t>
  </si>
  <si>
    <t>2606154EG0</t>
  </si>
  <si>
    <t>0017295</t>
  </si>
  <si>
    <t>ATAC ESTRELA</t>
  </si>
  <si>
    <t>JR ESTRELA ATACADO LTDA</t>
  </si>
  <si>
    <t>2607300MUD</t>
  </si>
  <si>
    <t>04955676000513</t>
  </si>
  <si>
    <t>0287019</t>
  </si>
  <si>
    <t>R RODRIGUES</t>
  </si>
  <si>
    <t>RODRIGUES &amp; RODRIGUES SUPERMERCADO SERVE LAR LTDA</t>
  </si>
  <si>
    <t>2607314HWL</t>
  </si>
  <si>
    <t>PARAISO DO TOCANTINS</t>
  </si>
  <si>
    <t>63-3361-1440</t>
  </si>
  <si>
    <t>06100513000150</t>
  </si>
  <si>
    <t>TO</t>
  </si>
  <si>
    <t>0286857</t>
  </si>
  <si>
    <t>DUDA SUPER</t>
  </si>
  <si>
    <t>SUPERMERCADO DUDA</t>
  </si>
  <si>
    <t>2607304HS6</t>
  </si>
  <si>
    <t>PALMAS</t>
  </si>
  <si>
    <t>63-3214-3858</t>
  </si>
  <si>
    <t>07256568000206</t>
  </si>
  <si>
    <t>0286901</t>
  </si>
  <si>
    <t>DOM JASON DI</t>
  </si>
  <si>
    <t>DOM JASON ATAC PROD ALIMEN E BEBIDAS LTDA</t>
  </si>
  <si>
    <t>2607314HTA</t>
  </si>
  <si>
    <t>63-3602-7122</t>
  </si>
  <si>
    <t>0287072</t>
  </si>
  <si>
    <t>PROVAREJO</t>
  </si>
  <si>
    <t>PRO-VAREJO DISTRIBUIDORA LTDA</t>
  </si>
  <si>
    <t>2607314HYF</t>
  </si>
  <si>
    <t>63-99962-1385</t>
  </si>
  <si>
    <t>06170703000144</t>
  </si>
  <si>
    <t>0286812</t>
  </si>
  <si>
    <t>2607304HR2</t>
  </si>
  <si>
    <t>0286903</t>
  </si>
  <si>
    <t>2607314HTC</t>
  </si>
  <si>
    <t>0285365</t>
  </si>
  <si>
    <t>2606304FB8</t>
  </si>
  <si>
    <t>0285361</t>
  </si>
  <si>
    <t>GIGANTE TO</t>
  </si>
  <si>
    <t>GIGANTE ATAC E DIST DE ALIMENTOS S/A</t>
  </si>
  <si>
    <t>2606304FB4</t>
  </si>
  <si>
    <t>63-2104-1300</t>
  </si>
  <si>
    <t>0286814</t>
  </si>
  <si>
    <t>2607304HR4</t>
  </si>
  <si>
    <t>0286899</t>
  </si>
  <si>
    <t>CD DIA DIA</t>
  </si>
  <si>
    <t>ATACADO DIA DIA COMERCIO DE PRODUTOS ALIMENTICIOS LTDA</t>
  </si>
  <si>
    <t>2607314HT8</t>
  </si>
  <si>
    <t>63 3215-5325</t>
  </si>
  <si>
    <t>0286902</t>
  </si>
  <si>
    <t>EB DA COSTA</t>
  </si>
  <si>
    <t>E B DA COSTA JUNIOR</t>
  </si>
  <si>
    <t>2607314HTB</t>
  </si>
  <si>
    <t>63 3215-7064</t>
  </si>
  <si>
    <t>07428111000142</t>
  </si>
  <si>
    <t>0286856</t>
  </si>
  <si>
    <t>CARAJAS DIS2</t>
  </si>
  <si>
    <t>CARAJAS DISTRIBUIDORA DE EMBALAGENS E PRODUTOS DE LIMPEZA</t>
  </si>
  <si>
    <t>2607304HS5</t>
  </si>
  <si>
    <t>ARAGUAINA</t>
  </si>
  <si>
    <t>63 9938-1011</t>
  </si>
  <si>
    <t>0286657</t>
  </si>
  <si>
    <t>QUARTETTO</t>
  </si>
  <si>
    <t>QUARTETTO SUPERMERCADOS LTDA</t>
  </si>
  <si>
    <t>2607274HNA</t>
  </si>
  <si>
    <t>(63)3232-8800</t>
  </si>
  <si>
    <t>02397343000329</t>
  </si>
  <si>
    <t>0286655</t>
  </si>
  <si>
    <t>TOCANTINS AT</t>
  </si>
  <si>
    <t>TOCANTINS ATACADO E DISTRIBUIDORA LTDA</t>
  </si>
  <si>
    <t>2607274HN8</t>
  </si>
  <si>
    <t>COLINAS DO TOCANTINS</t>
  </si>
  <si>
    <t>63 3476-6500</t>
  </si>
  <si>
    <t>08561361000119</t>
  </si>
  <si>
    <t>0286160</t>
  </si>
  <si>
    <t>M PRECO 1</t>
  </si>
  <si>
    <t>SUPERMERCADO MINI PRECO DE  HUMAITA LTDA</t>
  </si>
  <si>
    <t>2607244HKI</t>
  </si>
  <si>
    <t>SAO VICENTE</t>
  </si>
  <si>
    <t>13-3406-4457</t>
  </si>
  <si>
    <t>03458119000109</t>
  </si>
  <si>
    <t>0286161</t>
  </si>
  <si>
    <t>M PRECO 2</t>
  </si>
  <si>
    <t>SUPERMERCADO MINI PRECO DO RIO BRANCO LTDA</t>
  </si>
  <si>
    <t>2607244HKJ</t>
  </si>
  <si>
    <t>13-9779-9006</t>
  </si>
  <si>
    <t>04136357000152</t>
  </si>
  <si>
    <t>0287772</t>
  </si>
  <si>
    <t>RL-JOIA2</t>
  </si>
  <si>
    <t>SUPERMERCADO JOIA LTDA. (LJ 02)</t>
  </si>
  <si>
    <t>2608174JCX</t>
  </si>
  <si>
    <t>GUARUJA</t>
  </si>
  <si>
    <t>13 3386 1960</t>
  </si>
  <si>
    <t>0287757</t>
  </si>
  <si>
    <t>RL-LUANDA</t>
  </si>
  <si>
    <t>CASA LUANDA SUPERMERCADOS LTDA</t>
  </si>
  <si>
    <t>2608174JCI</t>
  </si>
  <si>
    <t>13-3468-4034</t>
  </si>
  <si>
    <t>0279936</t>
  </si>
  <si>
    <t>0285943</t>
  </si>
  <si>
    <t>RL-BABA</t>
  </si>
  <si>
    <t>SUPERMERCADO BABA LTDA</t>
  </si>
  <si>
    <t>2607144H2P</t>
  </si>
  <si>
    <t>PERUIBE</t>
  </si>
  <si>
    <t>13-3455-2004</t>
  </si>
  <si>
    <t>0285303</t>
  </si>
  <si>
    <t>CLEIBSON</t>
  </si>
  <si>
    <t>SUPREMO COMERCIO DE ALIMENTOS EIRELI</t>
  </si>
  <si>
    <t>2606294F73</t>
  </si>
  <si>
    <t>REGISTRO</t>
  </si>
  <si>
    <t>13-3822-1785</t>
  </si>
  <si>
    <t>04129992000102</t>
  </si>
  <si>
    <t>0287322</t>
  </si>
  <si>
    <t>RL-ULISSES</t>
  </si>
  <si>
    <t>ULISSES ALVES DOMINGUES &amp; CIA LTDA</t>
  </si>
  <si>
    <t>2608064J1Q</t>
  </si>
  <si>
    <t>13 3468-1781</t>
  </si>
  <si>
    <t>0287771</t>
  </si>
  <si>
    <t>RL-JOIA</t>
  </si>
  <si>
    <t>SUPERMERCADO JOIA LTDA</t>
  </si>
  <si>
    <t>2608174JCW</t>
  </si>
  <si>
    <t>13 3358-1070</t>
  </si>
  <si>
    <t>0286423</t>
  </si>
  <si>
    <t>RL-R M G</t>
  </si>
  <si>
    <t>R M G COMERCIO DE ALIMENTOS LTDA EPP</t>
  </si>
  <si>
    <t>2607234HEQ</t>
  </si>
  <si>
    <t>SANTOS</t>
  </si>
  <si>
    <t>3227-5622</t>
  </si>
  <si>
    <t>06002188000193</t>
  </si>
  <si>
    <t>0285307</t>
  </si>
  <si>
    <t>NEUSA ENI</t>
  </si>
  <si>
    <t>NEUSA ENI DA COSTA ME</t>
  </si>
  <si>
    <t>2606294F77</t>
  </si>
  <si>
    <t>SETE BARRAS</t>
  </si>
  <si>
    <t>13-3872-2091</t>
  </si>
  <si>
    <t>07149309000197</t>
  </si>
  <si>
    <t>0287465</t>
  </si>
  <si>
    <t>IRMAOS COSTA</t>
  </si>
  <si>
    <t>SUPERMERCADO IRMAOS COSTA LTDA</t>
  </si>
  <si>
    <t>2608064J5S</t>
  </si>
  <si>
    <t>PRAIA GRANDE</t>
  </si>
  <si>
    <t>13-3878-5959</t>
  </si>
  <si>
    <t>07188408000188</t>
  </si>
  <si>
    <t>0287205</t>
  </si>
  <si>
    <t>CA NUNES</t>
  </si>
  <si>
    <t>C. A. NUNES SUPERMERCADO</t>
  </si>
  <si>
    <t>2608034IUY</t>
  </si>
  <si>
    <t>13-3352-4483</t>
  </si>
  <si>
    <t>05308821000103</t>
  </si>
  <si>
    <t>0287210</t>
  </si>
  <si>
    <t>NOSS PAO</t>
  </si>
  <si>
    <t>PASCALE, PETRELLI &amp; CIA LTDA - EPP</t>
  </si>
  <si>
    <t>2608034IV3</t>
  </si>
  <si>
    <t>13 - 3383-9749</t>
  </si>
  <si>
    <t>0288125</t>
  </si>
  <si>
    <t>Z E C</t>
  </si>
  <si>
    <t>Z &amp; C - COM E ATACADO DE ARMARINHOS LTDA</t>
  </si>
  <si>
    <t>2608214JML</t>
  </si>
  <si>
    <t>13-3453-1420</t>
  </si>
  <si>
    <t>09153015000164</t>
  </si>
  <si>
    <t>0287707</t>
  </si>
  <si>
    <t>NOVA ONDA</t>
  </si>
  <si>
    <t>SUPERMERCADO NOVA ONDA LTDA</t>
  </si>
  <si>
    <t>2608134JBJ</t>
  </si>
  <si>
    <t>13-3471-8372</t>
  </si>
  <si>
    <t>09608215000164</t>
  </si>
  <si>
    <t>0286686</t>
  </si>
  <si>
    <t>COMPRE FACI1</t>
  </si>
  <si>
    <t>YAN NENGJIE - ME</t>
  </si>
  <si>
    <t>2607274HO3</t>
  </si>
  <si>
    <t>CUBATAO</t>
  </si>
  <si>
    <t>01913345000107</t>
  </si>
  <si>
    <t>0287464</t>
  </si>
  <si>
    <t>IRMAOS COST1</t>
  </si>
  <si>
    <t>2608064J5R</t>
  </si>
  <si>
    <t>13 3465 5356</t>
  </si>
  <si>
    <t>07188408000269</t>
  </si>
  <si>
    <t>0287216</t>
  </si>
  <si>
    <t>SUP SUPER X</t>
  </si>
  <si>
    <t>PASCALE &amp; PASCALE SUPERMERCADO LTDA - ME</t>
  </si>
  <si>
    <t>2608034IV9</t>
  </si>
  <si>
    <t>0287108</t>
  </si>
  <si>
    <t>MAGNANIMO 11</t>
  </si>
  <si>
    <t>MAGNANIMO COMERCIAL IMPORTACAO E EXPORTACAO LTDA</t>
  </si>
  <si>
    <t>2608034IS9</t>
  </si>
  <si>
    <t>ILHA COMPRIDA</t>
  </si>
  <si>
    <t>13-9856-9200</t>
  </si>
  <si>
    <t>07182329001212</t>
  </si>
  <si>
    <t>0286397</t>
  </si>
  <si>
    <t>KRILL</t>
  </si>
  <si>
    <t>REDE KRILL SUPERMERCADOS LTDA</t>
  </si>
  <si>
    <t>2607234HE0</t>
  </si>
  <si>
    <t>13-3592-4435</t>
  </si>
  <si>
    <t>0287705</t>
  </si>
  <si>
    <t>2608134JBI</t>
  </si>
  <si>
    <t>0287109</t>
  </si>
  <si>
    <t>MAGNANIMO 13</t>
  </si>
  <si>
    <t>2608034ISA</t>
  </si>
  <si>
    <t>07182329001484</t>
  </si>
  <si>
    <t>0287463</t>
  </si>
  <si>
    <t>ATALAIA COM</t>
  </si>
  <si>
    <t>ATALAIA COM.ATACADISTA DE PRODUTOS ALIM. LTDA</t>
  </si>
  <si>
    <t>2608064J5Q</t>
  </si>
  <si>
    <t>0287111</t>
  </si>
  <si>
    <t>SUP PRATICO1</t>
  </si>
  <si>
    <t>PRATICO SUPERMERCADO LTDA</t>
  </si>
  <si>
    <t>2608034ISC</t>
  </si>
  <si>
    <t>ITANHAEM</t>
  </si>
  <si>
    <t>13 3426-2960</t>
  </si>
  <si>
    <t>0288123</t>
  </si>
  <si>
    <t>SUP PRATICO3</t>
  </si>
  <si>
    <t>PRATICO 3 SUPERMERCADOS LTDA</t>
  </si>
  <si>
    <t>2608214JMJ</t>
  </si>
  <si>
    <t>013 3426-2960</t>
  </si>
  <si>
    <t>0287114</t>
  </si>
  <si>
    <t>SUP PRATICO5</t>
  </si>
  <si>
    <t>PRATICO 5 SUPERMERCADOS LTDA</t>
  </si>
  <si>
    <t>2608034ISF</t>
  </si>
  <si>
    <t>MONGAGUA</t>
  </si>
  <si>
    <t>0288124</t>
  </si>
  <si>
    <t>SUP PRATICO6</t>
  </si>
  <si>
    <t>PRATICO 6 SUPERMERCADO LTDA</t>
  </si>
  <si>
    <t>2608214JMK</t>
  </si>
  <si>
    <t>0287115</t>
  </si>
  <si>
    <t>SUP PRATICO7</t>
  </si>
  <si>
    <t>PRATICO 7 SUPERMERCADO LTDA</t>
  </si>
  <si>
    <t>2608034ISG</t>
  </si>
  <si>
    <t>0287112</t>
  </si>
  <si>
    <t>SUP PRATICO8</t>
  </si>
  <si>
    <t>PRATICO SUERMERCADO LTDA</t>
  </si>
  <si>
    <t>2608034ISD</t>
  </si>
  <si>
    <t>0288122</t>
  </si>
  <si>
    <t>SU PRATICO10</t>
  </si>
  <si>
    <t>PRATICO 10 SUPERMERCADO LTDA</t>
  </si>
  <si>
    <t>2608214JMI</t>
  </si>
  <si>
    <t>0287466</t>
  </si>
  <si>
    <t>ATALAIA COM2</t>
  </si>
  <si>
    <t>ATALAIA COMERCIO ATACADISTA DE PRODUTOS ALIMENTICIOS LTDA</t>
  </si>
  <si>
    <t>2608064J5T</t>
  </si>
  <si>
    <t>0287106</t>
  </si>
  <si>
    <t>SUP PRATIC11</t>
  </si>
  <si>
    <t>PRATICO SUPERMERCADO GUARUJA 1 LTDA</t>
  </si>
  <si>
    <t>2608034IS7</t>
  </si>
  <si>
    <t>134042-0962</t>
  </si>
  <si>
    <t>0286624</t>
  </si>
  <si>
    <t>QUITANDAO</t>
  </si>
  <si>
    <t>G M OMINE - QUITANDAO LTDA EPP</t>
  </si>
  <si>
    <t>2607274HMI</t>
  </si>
  <si>
    <t>(13)3351-8227</t>
  </si>
  <si>
    <t>00859326000179</t>
  </si>
  <si>
    <t>0287208</t>
  </si>
  <si>
    <t>MAGNANIMO 05</t>
  </si>
  <si>
    <t>MAGNANIMO COMERCIAL IMP. E EXP. LTDA</t>
  </si>
  <si>
    <t>2608034IV1</t>
  </si>
  <si>
    <t>13-3821-8286</t>
  </si>
  <si>
    <t>07182329000593</t>
  </si>
  <si>
    <t>0287117</t>
  </si>
  <si>
    <t>MAGNANIMO 07</t>
  </si>
  <si>
    <t>MAGNANIMO COMERCIAL IMP E EXP LTDA</t>
  </si>
  <si>
    <t>2608034ISI</t>
  </si>
  <si>
    <t>(13)3821-7928</t>
  </si>
  <si>
    <t>07182329000836</t>
  </si>
  <si>
    <t>0287209</t>
  </si>
  <si>
    <t>MAGNANIMO 08</t>
  </si>
  <si>
    <t>2608034IV2</t>
  </si>
  <si>
    <t>CAJATI</t>
  </si>
  <si>
    <t>(13)3854-3237</t>
  </si>
  <si>
    <t>07182329000917</t>
  </si>
  <si>
    <t>0287113</t>
  </si>
  <si>
    <t>MAGNANIMO 06</t>
  </si>
  <si>
    <t>2608034ISE</t>
  </si>
  <si>
    <t>JACUPIRANGA</t>
  </si>
  <si>
    <t>(13)3864-1098</t>
  </si>
  <si>
    <t>07182329000674</t>
  </si>
  <si>
    <t>0287118</t>
  </si>
  <si>
    <t>MAGNANIMO 09</t>
  </si>
  <si>
    <t>2608034ISJ</t>
  </si>
  <si>
    <t>(15)3229-5566</t>
  </si>
  <si>
    <t>07182329000755</t>
  </si>
  <si>
    <t>0286159</t>
  </si>
  <si>
    <t>LAT DA ILHA</t>
  </si>
  <si>
    <t>LATICINIOS ILHA DE GUARUJA LTDA</t>
  </si>
  <si>
    <t>2607244HKH</t>
  </si>
  <si>
    <t>(33)5210-3513</t>
  </si>
  <si>
    <t>04999707000104</t>
  </si>
  <si>
    <t>0287078</t>
  </si>
  <si>
    <t>SUP FORMOSA4</t>
  </si>
  <si>
    <t>FORMOSA SUPERMERCADOS E MAGAZINE LTDA</t>
  </si>
  <si>
    <t>2608034IRF</t>
  </si>
  <si>
    <t>BELEM</t>
  </si>
  <si>
    <t>913348 9901</t>
  </si>
  <si>
    <t>PA</t>
  </si>
  <si>
    <t>0286712</t>
  </si>
  <si>
    <t>LIDER COM</t>
  </si>
  <si>
    <t>LIDER COMERCIO E INDUSTRIA LTDA</t>
  </si>
  <si>
    <t>2607284HOV</t>
  </si>
  <si>
    <t>91-4008-1014</t>
  </si>
  <si>
    <t>05054671001554</t>
  </si>
  <si>
    <t>0287076</t>
  </si>
  <si>
    <t>SUP FORMOSA1</t>
  </si>
  <si>
    <t>2608034IRD</t>
  </si>
  <si>
    <t>91-3348-9000</t>
  </si>
  <si>
    <t>0287077</t>
  </si>
  <si>
    <t>SUP FORMOSA2</t>
  </si>
  <si>
    <t>2608034IRE</t>
  </si>
  <si>
    <t>91-4006-9300</t>
  </si>
  <si>
    <t>0287075</t>
  </si>
  <si>
    <t>SUP FORMOSA3</t>
  </si>
  <si>
    <t>2608034IRC</t>
  </si>
  <si>
    <t>ANANINDEUA</t>
  </si>
  <si>
    <t>91-4006-9500</t>
  </si>
  <si>
    <t>0017254</t>
  </si>
  <si>
    <t>DISBOMBONSPB</t>
  </si>
  <si>
    <t>GR DISTRIBUIDORA LTDA</t>
  </si>
  <si>
    <t>2607270MT9</t>
  </si>
  <si>
    <t>1776/1</t>
  </si>
  <si>
    <t>SANTA RITA</t>
  </si>
  <si>
    <t>83-3244-4575</t>
  </si>
  <si>
    <t>07973261000137</t>
  </si>
  <si>
    <t>0017117</t>
  </si>
  <si>
    <t>2606290MJ7</t>
  </si>
  <si>
    <t>692913/1</t>
  </si>
  <si>
    <t>0014216</t>
  </si>
  <si>
    <t>2606290CYB</t>
  </si>
  <si>
    <t>692913/2</t>
  </si>
  <si>
    <t>0014292</t>
  </si>
  <si>
    <t>2607150D2N</t>
  </si>
  <si>
    <t>0014336</t>
  </si>
  <si>
    <t>2607310D4V</t>
  </si>
  <si>
    <t>1776/2</t>
  </si>
  <si>
    <t>0014223</t>
  </si>
  <si>
    <t>LATORRE</t>
  </si>
  <si>
    <t>SUPERMERCADO LATORRE LTDA</t>
  </si>
  <si>
    <t>2606290CYI</t>
  </si>
  <si>
    <t>691764/2</t>
  </si>
  <si>
    <t>83-3244 8878</t>
  </si>
  <si>
    <t>05272461000137</t>
  </si>
  <si>
    <t>0017129</t>
  </si>
  <si>
    <t>2606290MJJ</t>
  </si>
  <si>
    <t>691764/1</t>
  </si>
  <si>
    <t>0017327</t>
  </si>
  <si>
    <t>SUP MANAIRA</t>
  </si>
  <si>
    <t>JOSE LEODACIO DE SOUZA ME</t>
  </si>
  <si>
    <t>2607310MUR</t>
  </si>
  <si>
    <t>1343/1</t>
  </si>
  <si>
    <t>83-3226-3993</t>
  </si>
  <si>
    <t>09143892000154</t>
  </si>
  <si>
    <t>0017348</t>
  </si>
  <si>
    <t>2607310MVC</t>
  </si>
  <si>
    <t>0014342</t>
  </si>
  <si>
    <t>2607300D3V</t>
  </si>
  <si>
    <t>1343/2</t>
  </si>
  <si>
    <t>0014365</t>
  </si>
  <si>
    <t>SUP LITORAL</t>
  </si>
  <si>
    <t>SUPERMERCADO LITORAL LTDA</t>
  </si>
  <si>
    <t>2607310D4G</t>
  </si>
  <si>
    <t>1951/2</t>
  </si>
  <si>
    <t>83-32481824</t>
  </si>
  <si>
    <t>08189400000107</t>
  </si>
  <si>
    <t>0017347</t>
  </si>
  <si>
    <t>2607310MVB</t>
  </si>
  <si>
    <t>1951/1</t>
  </si>
  <si>
    <t>0017118</t>
  </si>
  <si>
    <t>MULTIGIRO-RN</t>
  </si>
  <si>
    <t>MULTIGIRO COMERCIO E DISTRIBUICAO LTDA</t>
  </si>
  <si>
    <t>2606290MJ8</t>
  </si>
  <si>
    <t>692918/1</t>
  </si>
  <si>
    <t>84-3616-5515</t>
  </si>
  <si>
    <t>0017255</t>
  </si>
  <si>
    <t>2607270MTA</t>
  </si>
  <si>
    <t>1777/1</t>
  </si>
  <si>
    <t>0014226</t>
  </si>
  <si>
    <t>2606290CYL</t>
  </si>
  <si>
    <t>692918/2</t>
  </si>
  <si>
    <t>0014240</t>
  </si>
  <si>
    <t>2606300CZ2</t>
  </si>
  <si>
    <t>0014334</t>
  </si>
  <si>
    <t>2607310D4T</t>
  </si>
  <si>
    <t>1777/2</t>
  </si>
  <si>
    <t>0014366</t>
  </si>
  <si>
    <t>SUP LITORAL2</t>
  </si>
  <si>
    <t>SUPERMERCADO LITORAL ALTIPLANO LTDA</t>
  </si>
  <si>
    <t>2607310D4H</t>
  </si>
  <si>
    <t>1808/2</t>
  </si>
  <si>
    <t>83-3578-7004</t>
  </si>
  <si>
    <t>0014195</t>
  </si>
  <si>
    <t>2606220CXP</t>
  </si>
  <si>
    <t>691384/2</t>
  </si>
  <si>
    <t>0014346</t>
  </si>
  <si>
    <t>2607300D3Y</t>
  </si>
  <si>
    <t>0017054</t>
  </si>
  <si>
    <t>2606220MHG</t>
  </si>
  <si>
    <t>691384/1</t>
  </si>
  <si>
    <t>0017300</t>
  </si>
  <si>
    <t>2607300MUH</t>
  </si>
  <si>
    <t>1808/1</t>
  </si>
  <si>
    <t>0017417</t>
  </si>
  <si>
    <t>ATACADAO 20</t>
  </si>
  <si>
    <t>ATACADAO S.A.</t>
  </si>
  <si>
    <t>2608040N1Y</t>
  </si>
  <si>
    <t>0016784</t>
  </si>
  <si>
    <t>0a</t>
  </si>
  <si>
    <t>DES</t>
  </si>
  <si>
    <t>260710Omjy</t>
  </si>
  <si>
    <t>0016778</t>
  </si>
  <si>
    <t>ATACADAO 48</t>
  </si>
  <si>
    <t>6525-9444</t>
  </si>
  <si>
    <t>0017422</t>
  </si>
  <si>
    <t>2608040N23</t>
  </si>
  <si>
    <t>0016655</t>
  </si>
  <si>
    <t>ATACADAO 68</t>
  </si>
  <si>
    <t>260721Ovtl</t>
  </si>
  <si>
    <t>ARACAJU</t>
  </si>
  <si>
    <t>79-3712-8605</t>
  </si>
  <si>
    <t>0016786</t>
  </si>
  <si>
    <t>ATACADAO 6</t>
  </si>
  <si>
    <t>11-3973-4606</t>
  </si>
  <si>
    <t>São Paulo</t>
  </si>
  <si>
    <t>0017424</t>
  </si>
  <si>
    <t>2608040N25</t>
  </si>
  <si>
    <t>0017420</t>
  </si>
  <si>
    <t>ATACADAO 35</t>
  </si>
  <si>
    <t>2608040N21</t>
  </si>
  <si>
    <t>0016785</t>
  </si>
  <si>
    <t>0016813</t>
  </si>
  <si>
    <t>ATACADAO 46</t>
  </si>
  <si>
    <t>13-3298-4405</t>
  </si>
  <si>
    <t>0017421</t>
  </si>
  <si>
    <t>2608040N22</t>
  </si>
  <si>
    <t>0017423</t>
  </si>
  <si>
    <t>ATACADAO 57</t>
  </si>
  <si>
    <t>2608040N24</t>
  </si>
  <si>
    <t>0016798</t>
  </si>
  <si>
    <t>0016817</t>
  </si>
  <si>
    <t>ATACADAO 60</t>
  </si>
  <si>
    <t>11-2795-4405</t>
  </si>
  <si>
    <t>0017425</t>
  </si>
  <si>
    <t>2608040N26</t>
  </si>
  <si>
    <t>0016670</t>
  </si>
  <si>
    <t>ATACADAO94CD</t>
  </si>
  <si>
    <t>(77) 3086-4124</t>
  </si>
  <si>
    <t>0017344</t>
  </si>
  <si>
    <t>2607310MV8</t>
  </si>
  <si>
    <t>0017343</t>
  </si>
  <si>
    <t>2607310MV7</t>
  </si>
  <si>
    <t>0017050</t>
  </si>
  <si>
    <t>260805Okmd</t>
  </si>
  <si>
    <t>0017414</t>
  </si>
  <si>
    <t>ATACADAO 120</t>
  </si>
  <si>
    <t>2608040N1V</t>
  </si>
  <si>
    <t>11-3548-4024</t>
  </si>
  <si>
    <t>0016819</t>
  </si>
  <si>
    <t>0017416</t>
  </si>
  <si>
    <t>ATACADAO 139</t>
  </si>
  <si>
    <t>260818Olpm</t>
  </si>
  <si>
    <t>BAURU</t>
  </si>
  <si>
    <t>0017415</t>
  </si>
  <si>
    <t>ATACADAO 133</t>
  </si>
  <si>
    <t>2608040N1W</t>
  </si>
  <si>
    <t>11-296-7951</t>
  </si>
  <si>
    <t>0016781</t>
  </si>
  <si>
    <t>0016904</t>
  </si>
  <si>
    <t>ATACADA111CD</t>
  </si>
  <si>
    <t>ATACADAO S.A</t>
  </si>
  <si>
    <t>11-2967-8444</t>
  </si>
  <si>
    <t>0016903</t>
  </si>
  <si>
    <t>0016906</t>
  </si>
  <si>
    <t>ATACADA187CD</t>
  </si>
  <si>
    <t>IGARASSU</t>
  </si>
  <si>
    <t>0016952</t>
  </si>
  <si>
    <t>0016905</t>
  </si>
  <si>
    <t>0016671</t>
  </si>
  <si>
    <t>ATACADA224CD</t>
  </si>
  <si>
    <t>0017342</t>
  </si>
  <si>
    <t>2607310MV6</t>
  </si>
  <si>
    <t>0017341</t>
  </si>
  <si>
    <t>ATACADA220CD</t>
  </si>
  <si>
    <t>0017340</t>
  </si>
  <si>
    <t>0016669</t>
  </si>
  <si>
    <t>0016653</t>
  </si>
  <si>
    <t>0016802</t>
  </si>
  <si>
    <t>ATACADAO 226</t>
  </si>
  <si>
    <t>0017418</t>
  </si>
  <si>
    <t>2608040N1Z</t>
  </si>
  <si>
    <t>0016654</t>
  </si>
  <si>
    <t>ATACADAO 274</t>
  </si>
  <si>
    <t>11-2967-3555</t>
  </si>
  <si>
    <t>0016777</t>
  </si>
  <si>
    <t>ATACADAO 813</t>
  </si>
  <si>
    <t>WMS SUPERMERCADOS DO BRASIL LTDA</t>
  </si>
  <si>
    <t>2605290M2O</t>
  </si>
  <si>
    <t>SAO JOSE DOS CAMPOS</t>
  </si>
  <si>
    <t>0016809</t>
  </si>
  <si>
    <t>ATACADAO 811</t>
  </si>
  <si>
    <t>2605290M3K</t>
  </si>
  <si>
    <t>SANTO ANDRE</t>
  </si>
  <si>
    <t>0017449</t>
  </si>
  <si>
    <t>2608040N2U</t>
  </si>
  <si>
    <t>0016911</t>
  </si>
  <si>
    <t>ATACADACD341</t>
  </si>
  <si>
    <t>SALVADOR</t>
  </si>
  <si>
    <t>0016910</t>
  </si>
  <si>
    <t>0017281</t>
  </si>
  <si>
    <t>ATACADAO 829</t>
  </si>
  <si>
    <t>WMS SUPERMERCADOS DO BRASIL LTDA.</t>
  </si>
  <si>
    <t>2607280MU4</t>
  </si>
  <si>
    <t>0017419</t>
  </si>
  <si>
    <t>ATACADAO 340</t>
  </si>
  <si>
    <t>2608040N20</t>
  </si>
  <si>
    <t>11-2967-9535</t>
  </si>
  <si>
    <t>0016803</t>
  </si>
  <si>
    <t>0016656</t>
  </si>
  <si>
    <t>ATACADAO 862</t>
  </si>
  <si>
    <t>2605080LZQ</t>
  </si>
  <si>
    <t>0016862</t>
  </si>
  <si>
    <t>ATACADA358CD</t>
  </si>
  <si>
    <t>16-3995-9624</t>
  </si>
  <si>
    <t>0017352</t>
  </si>
  <si>
    <t>0016863</t>
  </si>
  <si>
    <t>0017265</t>
  </si>
  <si>
    <t>2607280MTO</t>
  </si>
  <si>
    <t>0016871</t>
  </si>
  <si>
    <t>0017284</t>
  </si>
  <si>
    <t>0016861</t>
  </si>
  <si>
    <t>0017396</t>
  </si>
  <si>
    <t>2608030N1D</t>
  </si>
  <si>
    <t>NF1010017282</t>
  </si>
  <si>
    <t>0016866</t>
  </si>
  <si>
    <t>0017397</t>
  </si>
  <si>
    <t>2608030N1E</t>
  </si>
  <si>
    <t>0016916</t>
  </si>
  <si>
    <t>0017283</t>
  </si>
  <si>
    <t>0016917</t>
  </si>
  <si>
    <t>0016865</t>
  </si>
  <si>
    <t>0016868</t>
  </si>
  <si>
    <t>0016864</t>
  </si>
  <si>
    <t>0016867</t>
  </si>
  <si>
    <t>0017490</t>
  </si>
  <si>
    <t>2608170N5N</t>
  </si>
  <si>
    <t>0017453</t>
  </si>
  <si>
    <t>ATACADAO 949</t>
  </si>
  <si>
    <t>2608040N2Y</t>
  </si>
  <si>
    <t>SAO JOSE DO RIO PRETO</t>
  </si>
  <si>
    <t>17 3214-8444</t>
  </si>
  <si>
    <t>0017452</t>
  </si>
  <si>
    <t>ATACADAO 944</t>
  </si>
  <si>
    <t>2608040N2X</t>
  </si>
  <si>
    <t>11 2967-3555</t>
  </si>
  <si>
    <t>0016811</t>
  </si>
  <si>
    <t>ATACADAO 941</t>
  </si>
  <si>
    <t>2605290M3M</t>
  </si>
  <si>
    <t>ITAPECERICA DA SERRA</t>
  </si>
  <si>
    <t>0017437</t>
  </si>
  <si>
    <t>2608040N2I</t>
  </si>
  <si>
    <t>0017435</t>
  </si>
  <si>
    <t>ATACADAO 738</t>
  </si>
  <si>
    <t>2608040N2G</t>
  </si>
  <si>
    <t>11 3301-3696</t>
  </si>
  <si>
    <t>0016818</t>
  </si>
  <si>
    <t>ATACADAO 731</t>
  </si>
  <si>
    <t>WMS SUPERMERCADOS DO BRASIL</t>
  </si>
  <si>
    <t>2605290M3T</t>
  </si>
  <si>
    <t>13 3476-8444</t>
  </si>
  <si>
    <t>0017433</t>
  </si>
  <si>
    <t>2608040N2E</t>
  </si>
  <si>
    <t>0017450</t>
  </si>
  <si>
    <t>ATACADAO 943</t>
  </si>
  <si>
    <t>2608040N2V</t>
  </si>
  <si>
    <t>SAO BERNARDO DO CAMPO</t>
  </si>
  <si>
    <t>11 7390-3206</t>
  </si>
  <si>
    <t>0016782</t>
  </si>
  <si>
    <t>260721Oods</t>
  </si>
  <si>
    <t>0017446</t>
  </si>
  <si>
    <t>ATACADAO 732</t>
  </si>
  <si>
    <t>2608040N2R</t>
  </si>
  <si>
    <t>SUZANO</t>
  </si>
  <si>
    <t>4744-8444</t>
  </si>
  <si>
    <t>0017432</t>
  </si>
  <si>
    <t>ATACADAO 730</t>
  </si>
  <si>
    <t>2608040N2D</t>
  </si>
  <si>
    <t>0016812</t>
  </si>
  <si>
    <t>0017434</t>
  </si>
  <si>
    <t>ATACADAO 737</t>
  </si>
  <si>
    <t>2608040N2F</t>
  </si>
  <si>
    <t>0017436</t>
  </si>
  <si>
    <t>ATACADAO 937</t>
  </si>
  <si>
    <t>2608040N2H</t>
  </si>
  <si>
    <t>0016810</t>
  </si>
  <si>
    <t>2605290M3L</t>
  </si>
  <si>
    <t>0016783</t>
  </si>
  <si>
    <t>ATACADAO 938</t>
  </si>
  <si>
    <t>0017447</t>
  </si>
  <si>
    <t>ATACADAO 739</t>
  </si>
  <si>
    <t>2608040N2S</t>
  </si>
  <si>
    <t>COTIA</t>
  </si>
  <si>
    <t>0016794</t>
  </si>
  <si>
    <t>2605290M35</t>
  </si>
  <si>
    <t>0016805</t>
  </si>
  <si>
    <t>ATACADAO 664</t>
  </si>
  <si>
    <t>2605290M3G</t>
  </si>
  <si>
    <t>ITAPEVI</t>
  </si>
  <si>
    <t>0017442</t>
  </si>
  <si>
    <t>ATACADAO 657</t>
  </si>
  <si>
    <t>2608040N2N</t>
  </si>
  <si>
    <t>SOROCABA</t>
  </si>
  <si>
    <t>0017428</t>
  </si>
  <si>
    <t>ATACADAO 653</t>
  </si>
  <si>
    <t>2608040N29</t>
  </si>
  <si>
    <t>TAUBATE</t>
  </si>
  <si>
    <t>0017469</t>
  </si>
  <si>
    <t>ATACADAO 651</t>
  </si>
  <si>
    <t>2608120N4Z</t>
  </si>
  <si>
    <t>BARRETOS</t>
  </si>
  <si>
    <t>0017441</t>
  </si>
  <si>
    <t>ATACADAO 649</t>
  </si>
  <si>
    <t>2608040N2M</t>
  </si>
  <si>
    <t>OSASCO</t>
  </si>
  <si>
    <t>0016797</t>
  </si>
  <si>
    <t>ATACADAO 617</t>
  </si>
  <si>
    <t>2605290M38</t>
  </si>
  <si>
    <t>0017426</t>
  </si>
  <si>
    <t>2608040N27</t>
  </si>
  <si>
    <t>0017438</t>
  </si>
  <si>
    <t>ATACADAO 629</t>
  </si>
  <si>
    <t>2608040N2J</t>
  </si>
  <si>
    <t>0016796</t>
  </si>
  <si>
    <t>2605290M37</t>
  </si>
  <si>
    <t>0016795</t>
  </si>
  <si>
    <t>ATACADAO 637</t>
  </si>
  <si>
    <t>2605290M36</t>
  </si>
  <si>
    <t>0017439</t>
  </si>
  <si>
    <t>2608040N2K</t>
  </si>
  <si>
    <t>0016799</t>
  </si>
  <si>
    <t>ATACADAO 663</t>
  </si>
  <si>
    <t>2605290M3A</t>
  </si>
  <si>
    <t>0017444</t>
  </si>
  <si>
    <t>2608040N2P</t>
  </si>
  <si>
    <t>0017440</t>
  </si>
  <si>
    <t>ATACADAO 640</t>
  </si>
  <si>
    <t>2608040N2L</t>
  </si>
  <si>
    <t>DIADEMA</t>
  </si>
  <si>
    <t>0016804</t>
  </si>
  <si>
    <t>2605290M3F</t>
  </si>
  <si>
    <t>0017445</t>
  </si>
  <si>
    <t>ATACADAO 682</t>
  </si>
  <si>
    <t>2608040N2Q</t>
  </si>
  <si>
    <t>0016780</t>
  </si>
  <si>
    <t>0016800</t>
  </si>
  <si>
    <t>ATACADAO 662</t>
  </si>
  <si>
    <t>0017443</t>
  </si>
  <si>
    <t>2608040N2O</t>
  </si>
  <si>
    <t>0017427</t>
  </si>
  <si>
    <t>ATACADAO 630</t>
  </si>
  <si>
    <t>2608040N28</t>
  </si>
  <si>
    <t>0017429</t>
  </si>
  <si>
    <t>ATACADAO 676</t>
  </si>
  <si>
    <t>2608040N2A</t>
  </si>
  <si>
    <t>MAUA</t>
  </si>
  <si>
    <t>0016806</t>
  </si>
  <si>
    <t>2605290M3H</t>
  </si>
  <si>
    <t>0017413</t>
  </si>
  <si>
    <t>ATACADAO 626</t>
  </si>
  <si>
    <t>2608040N1U</t>
  </si>
  <si>
    <t>0016801</t>
  </si>
  <si>
    <t>2605290M3C</t>
  </si>
  <si>
    <t>0017278</t>
  </si>
  <si>
    <t>ATACADAO 688</t>
  </si>
  <si>
    <t>2607280MU1</t>
  </si>
  <si>
    <t>0017275</t>
  </si>
  <si>
    <t>ATACADAO 666</t>
  </si>
  <si>
    <t>2607280MTY</t>
  </si>
  <si>
    <t>PATOS</t>
  </si>
  <si>
    <t>0017276</t>
  </si>
  <si>
    <t>ATACADAO 667</t>
  </si>
  <si>
    <t>2607280MTZ</t>
  </si>
  <si>
    <t>0017277</t>
  </si>
  <si>
    <t>ATACADAO 669</t>
  </si>
  <si>
    <t>2607280MU0</t>
  </si>
  <si>
    <t>0017274</t>
  </si>
  <si>
    <t>ATACADAO 613</t>
  </si>
  <si>
    <t>2607280MTX</t>
  </si>
  <si>
    <t>0017279</t>
  </si>
  <si>
    <t>ATACADAO 689</t>
  </si>
  <si>
    <t>2607280MU2</t>
  </si>
  <si>
    <t>0017451</t>
  </si>
  <si>
    <t>ATACADAO 685</t>
  </si>
  <si>
    <t>2608040N2W</t>
  </si>
  <si>
    <t>FRANCA</t>
  </si>
  <si>
    <t>0017430</t>
  </si>
  <si>
    <t>ATACADAO 680</t>
  </si>
  <si>
    <t>2608040N2B</t>
  </si>
  <si>
    <t>0016807</t>
  </si>
  <si>
    <t>2605290M3I</t>
  </si>
  <si>
    <t>0017431</t>
  </si>
  <si>
    <t>ATACADAO 697</t>
  </si>
  <si>
    <t>2608040N2C</t>
  </si>
  <si>
    <t>0016779</t>
  </si>
  <si>
    <t>2605290M2Q</t>
  </si>
  <si>
    <t>0016808</t>
  </si>
  <si>
    <t>ATACADAO 810</t>
  </si>
  <si>
    <t>2605290M3J</t>
  </si>
  <si>
    <t>0017448</t>
  </si>
  <si>
    <t>2608040N2T</t>
  </si>
  <si>
    <t>0017113</t>
  </si>
  <si>
    <t>MATEUS CD12</t>
  </si>
  <si>
    <t>ARMAZEM MATEUS SA</t>
  </si>
  <si>
    <t>2606290MJ3</t>
  </si>
  <si>
    <t>692746/1</t>
  </si>
  <si>
    <t>DAVINOPOLIS</t>
  </si>
  <si>
    <t>99-2101-5727</t>
  </si>
  <si>
    <t>MA</t>
  </si>
  <si>
    <t>0017114</t>
  </si>
  <si>
    <t>2606290MJ4</t>
  </si>
  <si>
    <t>0017349</t>
  </si>
  <si>
    <t>2607310MVD</t>
  </si>
  <si>
    <t>1989/1</t>
  </si>
  <si>
    <t>0014428</t>
  </si>
  <si>
    <t>2608170DBF</t>
  </si>
  <si>
    <t>1989/2</t>
  </si>
  <si>
    <t>0014211</t>
  </si>
  <si>
    <t>2606290CY6</t>
  </si>
  <si>
    <t>692746/2</t>
  </si>
  <si>
    <t>0014210</t>
  </si>
  <si>
    <t>MATEUS CD16</t>
  </si>
  <si>
    <t>ARMAZEM MATEUS S.A.</t>
  </si>
  <si>
    <t>2606290CY5</t>
  </si>
  <si>
    <t>692743/2</t>
  </si>
  <si>
    <t>SAO LUIS</t>
  </si>
  <si>
    <t>98-2108-6907</t>
  </si>
  <si>
    <t>0014084</t>
  </si>
  <si>
    <t>2605290CRA</t>
  </si>
  <si>
    <t>690354/2</t>
  </si>
  <si>
    <t>0014429</t>
  </si>
  <si>
    <t>2608170DBG</t>
  </si>
  <si>
    <t>1981/2</t>
  </si>
  <si>
    <t>0017115</t>
  </si>
  <si>
    <t>2606290MJ5</t>
  </si>
  <si>
    <t>692743/1</t>
  </si>
  <si>
    <t>0017350</t>
  </si>
  <si>
    <t>2607310MVE</t>
  </si>
  <si>
    <t>1981/1</t>
  </si>
  <si>
    <t>0016814</t>
  </si>
  <si>
    <t>2605290M3P</t>
  </si>
  <si>
    <t>690354/1</t>
  </si>
  <si>
    <t>0017116</t>
  </si>
  <si>
    <t>2606290MJ6</t>
  </si>
  <si>
    <t>0017112</t>
  </si>
  <si>
    <t>2606290MJ2</t>
  </si>
  <si>
    <t>0016981</t>
  </si>
  <si>
    <t>MATEUS CD17</t>
  </si>
  <si>
    <t>ARMAZEM MATEUS S.A</t>
  </si>
  <si>
    <t>2606160MF0</t>
  </si>
  <si>
    <t>691152/1</t>
  </si>
  <si>
    <t>SANTA ISABEL DO PARA</t>
  </si>
  <si>
    <t>0016956</t>
  </si>
  <si>
    <t>2606170MF5</t>
  </si>
  <si>
    <t>0016980</t>
  </si>
  <si>
    <t>2606160MEZ</t>
  </si>
  <si>
    <t>0017264</t>
  </si>
  <si>
    <t>2607280MTN</t>
  </si>
  <si>
    <t>1758/1</t>
  </si>
  <si>
    <t>0014333</t>
  </si>
  <si>
    <t>2607280D3S</t>
  </si>
  <si>
    <t>1758/2</t>
  </si>
  <si>
    <t>0013913</t>
  </si>
  <si>
    <t>2604280CJX</t>
  </si>
  <si>
    <t>686347/2</t>
  </si>
  <si>
    <t>0014174</t>
  </si>
  <si>
    <t>2606170CXA</t>
  </si>
  <si>
    <t>691152/2</t>
  </si>
  <si>
    <t>0013963</t>
  </si>
  <si>
    <t>MATEUS 298</t>
  </si>
  <si>
    <t>MATEUS SUPERMERCADOS S.A.</t>
  </si>
  <si>
    <t>2605070CO0</t>
  </si>
  <si>
    <t>687651/2</t>
  </si>
  <si>
    <t>CONCEICAO DO COITE</t>
  </si>
  <si>
    <t>(98) 98229-5536</t>
  </si>
  <si>
    <t>03995515025828</t>
  </si>
  <si>
    <t>0016635</t>
  </si>
  <si>
    <t>2605070LZ5</t>
  </si>
  <si>
    <t>687651/1</t>
  </si>
  <si>
    <t>0017144</t>
  </si>
  <si>
    <t>MATEUS CD342</t>
  </si>
  <si>
    <t>2606300MJZ</t>
  </si>
  <si>
    <t>693211/1</t>
  </si>
  <si>
    <t>MARACANAU</t>
  </si>
  <si>
    <t>(98) 2108-3500</t>
  </si>
  <si>
    <t>CE</t>
  </si>
  <si>
    <t>0014239</t>
  </si>
  <si>
    <t>2606300CZ1</t>
  </si>
  <si>
    <t>693211/2</t>
  </si>
  <si>
    <t>0014360</t>
  </si>
  <si>
    <t>MATEUS CD338</t>
  </si>
  <si>
    <t>2607310D4B</t>
  </si>
  <si>
    <t>4099/2</t>
  </si>
  <si>
    <t>ALTOS</t>
  </si>
  <si>
    <t>98 98469-8623</t>
  </si>
  <si>
    <t>PI</t>
  </si>
  <si>
    <t>0014274</t>
  </si>
  <si>
    <t>2606300D00</t>
  </si>
  <si>
    <t>693114/2</t>
  </si>
  <si>
    <t>0014230</t>
  </si>
  <si>
    <t>2606300CYS</t>
  </si>
  <si>
    <t>0017135</t>
  </si>
  <si>
    <t>2606300MJQ</t>
  </si>
  <si>
    <t>693114/1</t>
  </si>
  <si>
    <t>0017351</t>
  </si>
  <si>
    <t>2607310MVF</t>
  </si>
  <si>
    <t>4099/1</t>
  </si>
  <si>
    <t>0016636</t>
  </si>
  <si>
    <t>MATEUS 508</t>
  </si>
  <si>
    <t>2605070LZ6</t>
  </si>
  <si>
    <t>687645/1</t>
  </si>
  <si>
    <t>NOSSA SENHORA DA GLORIA</t>
  </si>
  <si>
    <t>(71) 99271-1573</t>
  </si>
  <si>
    <t>03995515027103</t>
  </si>
  <si>
    <t>0013964</t>
  </si>
  <si>
    <t>2605070CO1</t>
  </si>
  <si>
    <t>687645/2</t>
  </si>
  <si>
    <t>0013966</t>
  </si>
  <si>
    <t>MATEUS 543</t>
  </si>
  <si>
    <t>2605070CO3</t>
  </si>
  <si>
    <t>687637/2</t>
  </si>
  <si>
    <t>ILHEUS</t>
  </si>
  <si>
    <t>03995515032360</t>
  </si>
  <si>
    <t>0016638</t>
  </si>
  <si>
    <t>2605070LZ8</t>
  </si>
  <si>
    <t>687637/1</t>
  </si>
  <si>
    <t>0016633</t>
  </si>
  <si>
    <t>MATEUS 292</t>
  </si>
  <si>
    <t>2605070LZ3</t>
  </si>
  <si>
    <t>687655/1</t>
  </si>
  <si>
    <t>PORTO SEGURO</t>
  </si>
  <si>
    <t>03995515024856</t>
  </si>
  <si>
    <t>0013962</t>
  </si>
  <si>
    <t>2605070CNZ</t>
  </si>
  <si>
    <t>687655/2</t>
  </si>
  <si>
    <t>0013968</t>
  </si>
  <si>
    <t>MATEUS 549</t>
  </si>
  <si>
    <t>2605070CO5</t>
  </si>
  <si>
    <t>687576/2</t>
  </si>
  <si>
    <t>03995515033502</t>
  </si>
  <si>
    <t>0016640</t>
  </si>
  <si>
    <t>2605070LZA</t>
  </si>
  <si>
    <t>687576/1</t>
  </si>
  <si>
    <t>0016641</t>
  </si>
  <si>
    <t>MATEUS 551</t>
  </si>
  <si>
    <t>2605070LZB</t>
  </si>
  <si>
    <t>687554/1</t>
  </si>
  <si>
    <t>03995515034819</t>
  </si>
  <si>
    <t>0013969</t>
  </si>
  <si>
    <t>2605070CO6</t>
  </si>
  <si>
    <t>687554/2</t>
  </si>
  <si>
    <t>0287664</t>
  </si>
  <si>
    <t>OMOTE</t>
  </si>
  <si>
    <t>OMOTE &amp; CIA LTDA</t>
  </si>
  <si>
    <t>2608124JA7</t>
  </si>
  <si>
    <t>NF1010286434</t>
  </si>
  <si>
    <t>PRESIDENTE EPITACIO</t>
  </si>
  <si>
    <t>(18) 3251-1600</t>
  </si>
  <si>
    <t>0287206</t>
  </si>
  <si>
    <t>KOIKE</t>
  </si>
  <si>
    <t>SUPERMERCADO KOIKE LTDA</t>
  </si>
  <si>
    <t>2608034IUZ</t>
  </si>
  <si>
    <t>PIRAPOZINHO</t>
  </si>
  <si>
    <t>18- 3269 1566</t>
  </si>
  <si>
    <t>00025077000116</t>
  </si>
  <si>
    <t>0285936</t>
  </si>
  <si>
    <t>NAGAI</t>
  </si>
  <si>
    <t>SUPERMERCADO NAGAI DE PRUDENTE LTDA</t>
  </si>
  <si>
    <t>2607144H2I</t>
  </si>
  <si>
    <t>PRESIDENTE PRUDENTE</t>
  </si>
  <si>
    <t>18-2104-7900</t>
  </si>
  <si>
    <t>04547223000124</t>
  </si>
  <si>
    <t>0287668</t>
  </si>
  <si>
    <t>VALEJO</t>
  </si>
  <si>
    <t>SUPERMERCADO VALEJO LTDA</t>
  </si>
  <si>
    <t>2608124JAB</t>
  </si>
  <si>
    <t>NF1010286448</t>
  </si>
  <si>
    <t>QUATA</t>
  </si>
  <si>
    <t>18-366-1056</t>
  </si>
  <si>
    <t>0287662</t>
  </si>
  <si>
    <t>IRMAOS NAGAI</t>
  </si>
  <si>
    <t>SUPERMERCADO IRMAOS NAGAI LTDA.</t>
  </si>
  <si>
    <t>2608124JA5</t>
  </si>
  <si>
    <t>NF1010286432</t>
  </si>
  <si>
    <t>MARTINOPOLIS</t>
  </si>
  <si>
    <t>18-252-1015</t>
  </si>
  <si>
    <t>0287683</t>
  </si>
  <si>
    <t>FACHOLLI</t>
  </si>
  <si>
    <t>IRMAOS FACHOLLI LTDA</t>
  </si>
  <si>
    <t>2608124JAE</t>
  </si>
  <si>
    <t>NF1010286438</t>
  </si>
  <si>
    <t>SANTO ANASTACIO</t>
  </si>
  <si>
    <t>18-3263-2172</t>
  </si>
  <si>
    <t>0285938</t>
  </si>
  <si>
    <t>NAGAI 2</t>
  </si>
  <si>
    <t>2607144H2K</t>
  </si>
  <si>
    <t>18 3344 7900</t>
  </si>
  <si>
    <t>04547223000205</t>
  </si>
  <si>
    <t>0288017</t>
  </si>
  <si>
    <t>SUPER SETE</t>
  </si>
  <si>
    <t>SUPER SETE SUPERMERCADO LTDA</t>
  </si>
  <si>
    <t>2608204JJK</t>
  </si>
  <si>
    <t>ADAMANTINA</t>
  </si>
  <si>
    <t>0288042</t>
  </si>
  <si>
    <t>2608204JK9</t>
  </si>
  <si>
    <t>0286878</t>
  </si>
  <si>
    <t>SUP TEMAR</t>
  </si>
  <si>
    <t>F L VAREJO SUPERMERCADO LTDA</t>
  </si>
  <si>
    <t>2607304HSR</t>
  </si>
  <si>
    <t>NOVA INDEPENDENCIA</t>
  </si>
  <si>
    <t>18-3744-1193</t>
  </si>
  <si>
    <t>0286440</t>
  </si>
  <si>
    <t>MD COMERCIO</t>
  </si>
  <si>
    <t>M.D. COMERCIO DE PRODUTOS DE LIMPEZA E DESCARTAVEIS LTDA</t>
  </si>
  <si>
    <t>2607234HF7</t>
  </si>
  <si>
    <t>18-3221-8674</t>
  </si>
  <si>
    <t>0287667</t>
  </si>
  <si>
    <t>OMOTE 2</t>
  </si>
  <si>
    <t>2608124JAA</t>
  </si>
  <si>
    <t>NF1010286437</t>
  </si>
  <si>
    <t>18-3251-3340</t>
  </si>
  <si>
    <t>0288040</t>
  </si>
  <si>
    <t>BANDEIRAS</t>
  </si>
  <si>
    <t>EDIVALDO MARCONATO &amp; CIA LTDA.</t>
  </si>
  <si>
    <t>2608204JK7</t>
  </si>
  <si>
    <t>OSVALDO CRUZ</t>
  </si>
  <si>
    <t>04209548000105</t>
  </si>
  <si>
    <t>0287661</t>
  </si>
  <si>
    <t>CELINA</t>
  </si>
  <si>
    <t>CELINA NOBUE KOIKE &amp; CIA LTDA - ME</t>
  </si>
  <si>
    <t>2608124JA4</t>
  </si>
  <si>
    <t>NF1010286429</t>
  </si>
  <si>
    <t>NARANDIBA</t>
  </si>
  <si>
    <t>(18)-3992-1226</t>
  </si>
  <si>
    <t>08734459000120</t>
  </si>
  <si>
    <t>0286150</t>
  </si>
  <si>
    <t>DALVA</t>
  </si>
  <si>
    <t>GARCIA &amp; SILVA PRODUTOS DE LIMPEZA LTDA</t>
  </si>
  <si>
    <t>2607244HK8</t>
  </si>
  <si>
    <t>18-3223-6665</t>
  </si>
  <si>
    <t>09108921000147</t>
  </si>
  <si>
    <t>0287412</t>
  </si>
  <si>
    <t>SILVA PIRES2</t>
  </si>
  <si>
    <t>SILVA PIRES E PIRES LTDA.</t>
  </si>
  <si>
    <t>2608064J48</t>
  </si>
  <si>
    <t>NF1010287202</t>
  </si>
  <si>
    <t>PRESIDENTE VENCESLAU</t>
  </si>
  <si>
    <t>18-3271-2500</t>
  </si>
  <si>
    <t>01808750000238</t>
  </si>
  <si>
    <t>0287660</t>
  </si>
  <si>
    <t>CRISTOFINI</t>
  </si>
  <si>
    <t>SUPERMERCADO BEIRA RIO PANORAMA LTDA</t>
  </si>
  <si>
    <t>2608124JA3</t>
  </si>
  <si>
    <t>NF1010286149</t>
  </si>
  <si>
    <t>PANORAMA</t>
  </si>
  <si>
    <t>18-3871-1476</t>
  </si>
  <si>
    <t>08608892000110</t>
  </si>
  <si>
    <t>0287155</t>
  </si>
  <si>
    <t>AGUIMAR</t>
  </si>
  <si>
    <t>AGUIMAEL COMERCIO DE GENEROS ALIMENTICIOS LTDA</t>
  </si>
  <si>
    <t>2608034ITK</t>
  </si>
  <si>
    <t>RESENDE</t>
  </si>
  <si>
    <t>24-3354-5343</t>
  </si>
  <si>
    <t>RJ</t>
  </si>
  <si>
    <t>0286490</t>
  </si>
  <si>
    <t>J M</t>
  </si>
  <si>
    <t>COML R D DE PRODUTOS ALIMENTICIOS LTDA</t>
  </si>
  <si>
    <t>2607234HGL</t>
  </si>
  <si>
    <t>QUATIS</t>
  </si>
  <si>
    <t>24-3353-2215</t>
  </si>
  <si>
    <t>0286635</t>
  </si>
  <si>
    <t>STA ISABEL</t>
  </si>
  <si>
    <t>COMERCIAL SANTA ISABEL LTDA</t>
  </si>
  <si>
    <t>2607274HMT</t>
  </si>
  <si>
    <t>24-3354-4037</t>
  </si>
  <si>
    <t>05385061000138</t>
  </si>
  <si>
    <t>0287846</t>
  </si>
  <si>
    <t>FAZENDA</t>
  </si>
  <si>
    <t>MERCEARIA FAZENDA PENEDO LTDA</t>
  </si>
  <si>
    <t>2608184JEW</t>
  </si>
  <si>
    <t>ITATIAIA</t>
  </si>
  <si>
    <t>3351-2564</t>
  </si>
  <si>
    <t>07160396000183</t>
  </si>
  <si>
    <t>0287847</t>
  </si>
  <si>
    <t>GULI</t>
  </si>
  <si>
    <t>GULI PIONEIRO DE PROD. ALIMENTICIOS LTDA</t>
  </si>
  <si>
    <t>2608184JEX</t>
  </si>
  <si>
    <t>PORTO REAL</t>
  </si>
  <si>
    <t>24-3353-2829</t>
  </si>
  <si>
    <t>0286491</t>
  </si>
  <si>
    <t>LGC</t>
  </si>
  <si>
    <t>L G C COM. DE PRODUTOS ALIMENTICIOS LTDA</t>
  </si>
  <si>
    <t>2607234HGM</t>
  </si>
  <si>
    <t>24-3353-2526</t>
  </si>
  <si>
    <t>0286633</t>
  </si>
  <si>
    <t>JOREDALI</t>
  </si>
  <si>
    <t>MERCADO JAREDALI  ATACADISTA  E VAREJISTA  EIRELI</t>
  </si>
  <si>
    <t>2607274HMR</t>
  </si>
  <si>
    <t>VASSOURAS</t>
  </si>
  <si>
    <t>0286235</t>
  </si>
  <si>
    <t>SEROPEDICA</t>
  </si>
  <si>
    <t>SUPERMERCADOS SEROPEDICA LTDA</t>
  </si>
  <si>
    <t>2607214H9M</t>
  </si>
  <si>
    <t>21-2682-0184</t>
  </si>
  <si>
    <t>0286888</t>
  </si>
  <si>
    <t>POUPE CD</t>
  </si>
  <si>
    <t>COM JARAGUA DE PRODUTOS ALIM LTDA</t>
  </si>
  <si>
    <t>2607304HT1</t>
  </si>
  <si>
    <t>VOLTA REDONDA</t>
  </si>
  <si>
    <t>24-3339-8289</t>
  </si>
  <si>
    <t>0286636</t>
  </si>
  <si>
    <t>STA ISABEL 3</t>
  </si>
  <si>
    <t>COMERCIAL SANTA ISABEL LTDA - ME</t>
  </si>
  <si>
    <t>2607274HMU</t>
  </si>
  <si>
    <t>24-3384-6434</t>
  </si>
  <si>
    <t>05385061000308</t>
  </si>
  <si>
    <t>0286887</t>
  </si>
  <si>
    <t>F A AVILA</t>
  </si>
  <si>
    <t>F A AVILA MERCADO</t>
  </si>
  <si>
    <t>2607304HT0</t>
  </si>
  <si>
    <t>24-3352-9069</t>
  </si>
  <si>
    <t>0286634</t>
  </si>
  <si>
    <t>JOREDALI 3</t>
  </si>
  <si>
    <t>MERCADO JOREDALI ATAC E VAREJISTA LTDA</t>
  </si>
  <si>
    <t>2607274HMS</t>
  </si>
  <si>
    <t>24-98136-2683</t>
  </si>
  <si>
    <t>0286637</t>
  </si>
  <si>
    <t>STA ISABEL 4</t>
  </si>
  <si>
    <t>2607274HMV</t>
  </si>
  <si>
    <t>BARRA MANSA</t>
  </si>
  <si>
    <t>05385061000480</t>
  </si>
  <si>
    <t>0287226</t>
  </si>
  <si>
    <t>POUPE 08</t>
  </si>
  <si>
    <t>COMERCIAL JARAGUA DE PRODUTOS ALIMENTICIOS LTDA</t>
  </si>
  <si>
    <t>2608034IVJ</t>
  </si>
  <si>
    <t>24 3339-4953</t>
  </si>
  <si>
    <t>0286055</t>
  </si>
  <si>
    <t>DONA BALBINA</t>
  </si>
  <si>
    <t>MERC. DONA BALBINA  LTDA</t>
  </si>
  <si>
    <t>2607144H5R</t>
  </si>
  <si>
    <t>PARACAMBI</t>
  </si>
  <si>
    <t>0286057</t>
  </si>
  <si>
    <t>DURVALINO 2</t>
  </si>
  <si>
    <t>CEREALISTA  LEAL DE MENDES LTDA</t>
  </si>
  <si>
    <t>2607144H5T</t>
  </si>
  <si>
    <t>MENDES</t>
  </si>
  <si>
    <t>24-2465-2348</t>
  </si>
  <si>
    <t>08589094000198</t>
  </si>
  <si>
    <t>0288086</t>
  </si>
  <si>
    <t>IQUEGAMI LJ2</t>
  </si>
  <si>
    <t>SUPERMERCADO IQUEGAMI LTDA.</t>
  </si>
  <si>
    <t>2608204JLH</t>
  </si>
  <si>
    <t>GUARACI</t>
  </si>
  <si>
    <t>17-3285-9200</t>
  </si>
  <si>
    <t>BEBEDOURO</t>
  </si>
  <si>
    <t>01915625000146</t>
  </si>
  <si>
    <t>0286079</t>
  </si>
  <si>
    <t>RS-JEFFERSON</t>
  </si>
  <si>
    <t>JEFFERSON CARLOS LUCAS E CIA  LTDA</t>
  </si>
  <si>
    <t>2607154H7H</t>
  </si>
  <si>
    <t>JOSE BONIFACIO</t>
  </si>
  <si>
    <t>017-3265-9200</t>
  </si>
  <si>
    <t>00647721000198</t>
  </si>
  <si>
    <t>0287317</t>
  </si>
  <si>
    <t>2608054J1I</t>
  </si>
  <si>
    <t>NF1010287133</t>
  </si>
  <si>
    <t>0286265</t>
  </si>
  <si>
    <t>O.SANCHES</t>
  </si>
  <si>
    <t>OLIVEIRA SANCHES E SANCHES LTDA</t>
  </si>
  <si>
    <t>2607214HAF</t>
  </si>
  <si>
    <t>(17)3321-1266</t>
  </si>
  <si>
    <t>01914212000147</t>
  </si>
  <si>
    <t>0286444</t>
  </si>
  <si>
    <t>RS-ANIVALTE</t>
  </si>
  <si>
    <t>SUPERMERCADO SANTA ROSA NEVENSE LTDA</t>
  </si>
  <si>
    <t>2607234HFB</t>
  </si>
  <si>
    <t>NEVES PAULISTA</t>
  </si>
  <si>
    <t>17-3271-1672</t>
  </si>
  <si>
    <t>0285390</t>
  </si>
  <si>
    <t>PROENCA LJ6</t>
  </si>
  <si>
    <t>LOPES SUPERMERCADOS LTDA LJ 6</t>
  </si>
  <si>
    <t>2606304FBX</t>
  </si>
  <si>
    <t>JALES</t>
  </si>
  <si>
    <t>17-3624-3100</t>
  </si>
  <si>
    <t>PEREIRA BARRETO</t>
  </si>
  <si>
    <t>0287630</t>
  </si>
  <si>
    <t>2608124J9C</t>
  </si>
  <si>
    <t>0288050</t>
  </si>
  <si>
    <t>2608204JKH</t>
  </si>
  <si>
    <t>0288033</t>
  </si>
  <si>
    <t>2608204JK0</t>
  </si>
  <si>
    <t>0287139</t>
  </si>
  <si>
    <t>RS-ALFREDO</t>
  </si>
  <si>
    <t>EMPORIO ALFREDO ANTUNES LTDA</t>
  </si>
  <si>
    <t>2608034IT4</t>
  </si>
  <si>
    <t>MIRASSOL</t>
  </si>
  <si>
    <t>17-3242-2079</t>
  </si>
  <si>
    <t>0286146</t>
  </si>
  <si>
    <t>2607244HK4</t>
  </si>
  <si>
    <t>0287699</t>
  </si>
  <si>
    <t>RS-STO ANTON</t>
  </si>
  <si>
    <t>SUPERMERCADOS J.V TAVARES LTDA</t>
  </si>
  <si>
    <t>2608134JBB</t>
  </si>
  <si>
    <t>IBIRA</t>
  </si>
  <si>
    <t>17-3551-1059</t>
  </si>
  <si>
    <t>0285886</t>
  </si>
  <si>
    <t>2607084H16</t>
  </si>
  <si>
    <t>0288101</t>
  </si>
  <si>
    <t>RS-GUAPIACU</t>
  </si>
  <si>
    <t>COMERCIAL GUAPIACU LTDA</t>
  </si>
  <si>
    <t>2608214JLU</t>
  </si>
  <si>
    <t>GUAPIACU</t>
  </si>
  <si>
    <t>17-3267-1611</t>
  </si>
  <si>
    <t>0285289</t>
  </si>
  <si>
    <t>2606294F6P</t>
  </si>
  <si>
    <t>0286447</t>
  </si>
  <si>
    <t>RS-NHANDEARA</t>
  </si>
  <si>
    <t>SUPERMERCADO NHANDEARA LTDA</t>
  </si>
  <si>
    <t>2607234HFE</t>
  </si>
  <si>
    <t>NHANDEARA</t>
  </si>
  <si>
    <t>17-3472-1403</t>
  </si>
  <si>
    <t>02635090000112</t>
  </si>
  <si>
    <t>0287629</t>
  </si>
  <si>
    <t>PROENCA LJ4</t>
  </si>
  <si>
    <t>LOPES SUPERMERCADOS LTDA - LJ 4</t>
  </si>
  <si>
    <t>2608124J9B</t>
  </si>
  <si>
    <t>ILHA SOLTEIRA</t>
  </si>
  <si>
    <t>18-3742 -2041</t>
  </si>
  <si>
    <t>0287624</t>
  </si>
  <si>
    <t>PROENCA LJ2</t>
  </si>
  <si>
    <t>LOPES SUPERMERCADOS LTDA - LJ 02</t>
  </si>
  <si>
    <t>2608124J96</t>
  </si>
  <si>
    <t>AURIFLAMA</t>
  </si>
  <si>
    <t>17-3482-1177</t>
  </si>
  <si>
    <t>0287628</t>
  </si>
  <si>
    <t>PROENCA LJ3</t>
  </si>
  <si>
    <t>LOPES SUPERMERCADOS LTDA LOJA 03</t>
  </si>
  <si>
    <t>2608124J9A</t>
  </si>
  <si>
    <t>18-3704-8400</t>
  </si>
  <si>
    <t>0286107</t>
  </si>
  <si>
    <t>RS-TAVARES</t>
  </si>
  <si>
    <t>SUPERMERCADO TAVARES IBIRA LTDA</t>
  </si>
  <si>
    <t>2607164H89</t>
  </si>
  <si>
    <t>17-3551-1400</t>
  </si>
  <si>
    <t>0286431</t>
  </si>
  <si>
    <t>FERNANDA CAL</t>
  </si>
  <si>
    <t>FERNANDA DA SILVA CALDEIRA EPP</t>
  </si>
  <si>
    <t>2607234HEY</t>
  </si>
  <si>
    <t>17 3202 4323</t>
  </si>
  <si>
    <t>04127230000177</t>
  </si>
  <si>
    <t>0287416</t>
  </si>
  <si>
    <t>SCANDELAI 01</t>
  </si>
  <si>
    <t>SCANDELAI COMERCIAL LTDA - LJ.1</t>
  </si>
  <si>
    <t>2608064J49</t>
  </si>
  <si>
    <t>NF1010287102</t>
  </si>
  <si>
    <t>CATIGUA</t>
  </si>
  <si>
    <t>17-3564-1140-CB</t>
  </si>
  <si>
    <t>0287697</t>
  </si>
  <si>
    <t>PORECATU LJ2</t>
  </si>
  <si>
    <t>SUPERMERCADO PORECATU VOTUPORANGA - LJ 2</t>
  </si>
  <si>
    <t>2608134JB9</t>
  </si>
  <si>
    <t>VOTUPORANGA</t>
  </si>
  <si>
    <t>17 3426-6800</t>
  </si>
  <si>
    <t>0287844</t>
  </si>
  <si>
    <t>PROENCA LJ5</t>
  </si>
  <si>
    <t>LOPES SUPERMERCADOS LTDA LJ 05</t>
  </si>
  <si>
    <t>2608184JEU</t>
  </si>
  <si>
    <t>TRES LAGOAS</t>
  </si>
  <si>
    <t>67-3521-2055</t>
  </si>
  <si>
    <t>0287328</t>
  </si>
  <si>
    <t>RS-MERC MJ</t>
  </si>
  <si>
    <t>MERCEARIA M. J. DE SOUZA LTDA</t>
  </si>
  <si>
    <t>2608064J1W</t>
  </si>
  <si>
    <t>FERNANDOPOLIS</t>
  </si>
  <si>
    <t>17-3442-5305</t>
  </si>
  <si>
    <t>0288085</t>
  </si>
  <si>
    <t>IQUEGAMI LJ1</t>
  </si>
  <si>
    <t>2608204JLG</t>
  </si>
  <si>
    <t>17-3344-1700</t>
  </si>
  <si>
    <t>01915625000227</t>
  </si>
  <si>
    <t>0288034</t>
  </si>
  <si>
    <t>PROENCA LJ7</t>
  </si>
  <si>
    <t>LOPES SUPERMERCADOS LTDA LJ 7</t>
  </si>
  <si>
    <t>2608204JK1</t>
  </si>
  <si>
    <t>18-3743-1740</t>
  </si>
  <si>
    <t>0288051</t>
  </si>
  <si>
    <t>2608204JKI</t>
  </si>
  <si>
    <t>0287631</t>
  </si>
  <si>
    <t>2608124J9D</t>
  </si>
  <si>
    <t>0287134</t>
  </si>
  <si>
    <t>PIANTA</t>
  </si>
  <si>
    <t>IRMAOS PIANTA LTDA ME</t>
  </si>
  <si>
    <t>2608034ISZ</t>
  </si>
  <si>
    <t>MENDONCA</t>
  </si>
  <si>
    <t>17-3248-1205</t>
  </si>
  <si>
    <t>03008421000157</t>
  </si>
  <si>
    <t>0286445</t>
  </si>
  <si>
    <t>RS-ECONOMICO</t>
  </si>
  <si>
    <t>SUPERECONOMICO SUPERMERCADO LTDA</t>
  </si>
  <si>
    <t>2607234HFC</t>
  </si>
  <si>
    <t>MONTE APRAZIVEL</t>
  </si>
  <si>
    <t>17-3275 9680</t>
  </si>
  <si>
    <t>00013509000179</t>
  </si>
  <si>
    <t>0287419</t>
  </si>
  <si>
    <t>SCANDELAI 03</t>
  </si>
  <si>
    <t>SCANDELAI COMERCIAL LTDA - LJ.2</t>
  </si>
  <si>
    <t>2608064J4C</t>
  </si>
  <si>
    <t>NF1010287132</t>
  </si>
  <si>
    <t>TABAPUA</t>
  </si>
  <si>
    <t>17-3562-1348</t>
  </si>
  <si>
    <t>0288035</t>
  </si>
  <si>
    <t>PROENCA LJ8</t>
  </si>
  <si>
    <t>LOPES SUPERMERCADOS LTDA. LJ 8</t>
  </si>
  <si>
    <t>2608204JK2</t>
  </si>
  <si>
    <t>(17)3201-1500</t>
  </si>
  <si>
    <t>0287632</t>
  </si>
  <si>
    <t>2608124J9E</t>
  </si>
  <si>
    <t>0288052</t>
  </si>
  <si>
    <t>2608204JKJ</t>
  </si>
  <si>
    <t>0285392</t>
  </si>
  <si>
    <t>2606304FBZ</t>
  </si>
  <si>
    <t>0285997</t>
  </si>
  <si>
    <t>RS-PENIEL</t>
  </si>
  <si>
    <t>PENIEL SUPERMERCADO LTDA EPP</t>
  </si>
  <si>
    <t>2607144H45</t>
  </si>
  <si>
    <t>17-3209-3030</t>
  </si>
  <si>
    <t>07050702000129</t>
  </si>
  <si>
    <t>0286000</t>
  </si>
  <si>
    <t>2607144H48</t>
  </si>
  <si>
    <t>0288053</t>
  </si>
  <si>
    <t>2608204JKK</t>
  </si>
  <si>
    <t>0287470</t>
  </si>
  <si>
    <t>SAKASHITA L9</t>
  </si>
  <si>
    <t>COML SAKASHITA DE SUPERMERCADOS LTDA</t>
  </si>
  <si>
    <t>2608064J5X</t>
  </si>
  <si>
    <t>17-3624-3210</t>
  </si>
  <si>
    <t>07373879000409</t>
  </si>
  <si>
    <t>0287469</t>
  </si>
  <si>
    <t>SAKASHITA L8</t>
  </si>
  <si>
    <t>COML SAKASHITA SUPERMERCADOS LTDA LJ 04</t>
  </si>
  <si>
    <t>2608064J5W</t>
  </si>
  <si>
    <t>17-3442-6627</t>
  </si>
  <si>
    <t>07373879000590</t>
  </si>
  <si>
    <t>0285509</t>
  </si>
  <si>
    <t>2606304FF8</t>
  </si>
  <si>
    <t>0287326</t>
  </si>
  <si>
    <t>SAKASHITA L1</t>
  </si>
  <si>
    <t>COML SAKASHITA SUPERMERCADOS LTDA</t>
  </si>
  <si>
    <t>2608064J1U</t>
  </si>
  <si>
    <t>07373879000328</t>
  </si>
  <si>
    <t>0287135</t>
  </si>
  <si>
    <t>RS-ALFREDO 2</t>
  </si>
  <si>
    <t>EMPORIO ALFREDO ANTUNES  LTDA</t>
  </si>
  <si>
    <t>2608034IT0</t>
  </si>
  <si>
    <t>17 3254 7972</t>
  </si>
  <si>
    <t>0286156</t>
  </si>
  <si>
    <t>2607244HKE</t>
  </si>
  <si>
    <t>0287318</t>
  </si>
  <si>
    <t>RS-REDE SOL2</t>
  </si>
  <si>
    <t>REDE SOL - DISTRIB ATAC PROD ALIMENTICIOS LTDA</t>
  </si>
  <si>
    <t>2608054J1K</t>
  </si>
  <si>
    <t>NF1010287201</t>
  </si>
  <si>
    <t>17-3242-6773</t>
  </si>
  <si>
    <t>08287142000193</t>
  </si>
  <si>
    <t>0287706</t>
  </si>
  <si>
    <t>2608134JBH</t>
  </si>
  <si>
    <t>0287417</t>
  </si>
  <si>
    <t>SCANDELAI 04</t>
  </si>
  <si>
    <t>SCANDELAI COMERCIAL LTDA - LJ 4</t>
  </si>
  <si>
    <t>2608064J4A</t>
  </si>
  <si>
    <t>NF1010287103</t>
  </si>
  <si>
    <t>17-3564-1099</t>
  </si>
  <si>
    <t>0285508</t>
  </si>
  <si>
    <t>SAKASHITA L6</t>
  </si>
  <si>
    <t>CDV SUPERMERCADOS LTDA</t>
  </si>
  <si>
    <t>2606304FF7</t>
  </si>
  <si>
    <t>SANTA FE DO SUL</t>
  </si>
  <si>
    <t>17-3641-9150</t>
  </si>
  <si>
    <t>08385699000329</t>
  </si>
  <si>
    <t>0287534</t>
  </si>
  <si>
    <t>2608114J7L</t>
  </si>
  <si>
    <t>AD</t>
  </si>
  <si>
    <t>RE2OUF2J7P</t>
  </si>
  <si>
    <t>0287467</t>
  </si>
  <si>
    <t>SAKASHITA 11</t>
  </si>
  <si>
    <t>HEIWA SUPERMERCADOS LTDA</t>
  </si>
  <si>
    <t>2608064J5U</t>
  </si>
  <si>
    <t>GUARARAPES</t>
  </si>
  <si>
    <t>18-3606-1354</t>
  </si>
  <si>
    <t>0287468</t>
  </si>
  <si>
    <t>SAKASHITA 12</t>
  </si>
  <si>
    <t>2608064J5V</t>
  </si>
  <si>
    <t>18 3406 9300</t>
  </si>
  <si>
    <t>0287327</t>
  </si>
  <si>
    <t>SAKASHITA 13</t>
  </si>
  <si>
    <t>2608064J1V</t>
  </si>
  <si>
    <t>MIRANDOPOLIS</t>
  </si>
  <si>
    <t>18-3701-6248</t>
  </si>
  <si>
    <t>0287325</t>
  </si>
  <si>
    <t>SAKASHITA L5</t>
  </si>
  <si>
    <t>2608064J1T</t>
  </si>
  <si>
    <t>17-3465-4130</t>
  </si>
  <si>
    <t>08385699000167</t>
  </si>
  <si>
    <t>0285507</t>
  </si>
  <si>
    <t>2606304FF6</t>
  </si>
  <si>
    <t>0288054</t>
  </si>
  <si>
    <t>TOME LEVE 11</t>
  </si>
  <si>
    <t>A. DAHER &amp; CIA LTDA</t>
  </si>
  <si>
    <t>2608204JKL</t>
  </si>
  <si>
    <t>17-3341-9400</t>
  </si>
  <si>
    <t>0287617</t>
  </si>
  <si>
    <t>PROENCA LJ13</t>
  </si>
  <si>
    <t>LOPES SUPERMERCADOS LTDA</t>
  </si>
  <si>
    <t>2608124J8Z</t>
  </si>
  <si>
    <t>TANABI</t>
  </si>
  <si>
    <t>17 3272 9800</t>
  </si>
  <si>
    <t>0287418</t>
  </si>
  <si>
    <t>SCANDELAI 05</t>
  </si>
  <si>
    <t>SCANDELAI COMERCIAL LTDA</t>
  </si>
  <si>
    <t>2608064J4B</t>
  </si>
  <si>
    <t>NF1010287110</t>
  </si>
  <si>
    <t>ITAJOBI</t>
  </si>
  <si>
    <t>0288090</t>
  </si>
  <si>
    <t>IQUEGAMI LJ9</t>
  </si>
  <si>
    <t>SUPERMERCADO IQUEGAMI LTDA</t>
  </si>
  <si>
    <t>2608204JLL</t>
  </si>
  <si>
    <t>OLIMPIA</t>
  </si>
  <si>
    <t>01915625000901</t>
  </si>
  <si>
    <t>0287618</t>
  </si>
  <si>
    <t>PROENCA LJ14</t>
  </si>
  <si>
    <t>2608124J90</t>
  </si>
  <si>
    <t>17 3641 1010</t>
  </si>
  <si>
    <t>0288077</t>
  </si>
  <si>
    <t>IQUEGAMI L11</t>
  </si>
  <si>
    <t>2608204JL8</t>
  </si>
  <si>
    <t>MONTE AZUL PAULISTA</t>
  </si>
  <si>
    <t>01915625001118</t>
  </si>
  <si>
    <t>0288078</t>
  </si>
  <si>
    <t>IQUEGAMI L12</t>
  </si>
  <si>
    <t>2608204JL9</t>
  </si>
  <si>
    <t>CATANDUVA</t>
  </si>
  <si>
    <t>17 3531 3200</t>
  </si>
  <si>
    <t>01915625001037</t>
  </si>
  <si>
    <t>0287619</t>
  </si>
  <si>
    <t>PROENCA LJ15</t>
  </si>
  <si>
    <t>2608124J91</t>
  </si>
  <si>
    <t>0287537</t>
  </si>
  <si>
    <t>PORECATU LJ9</t>
  </si>
  <si>
    <t>SUPERMERCADO PORECATU LTDA</t>
  </si>
  <si>
    <t>2608114J7O</t>
  </si>
  <si>
    <t>17-3426-6800</t>
  </si>
  <si>
    <t>0287620</t>
  </si>
  <si>
    <t>PROENCA LJ16</t>
  </si>
  <si>
    <t>2608124J92</t>
  </si>
  <si>
    <t>17 99780 0058</t>
  </si>
  <si>
    <t>0288026</t>
  </si>
  <si>
    <t>2608204JJT</t>
  </si>
  <si>
    <t>0288079</t>
  </si>
  <si>
    <t>IQUEGAMI L13</t>
  </si>
  <si>
    <t>2608204JLA</t>
  </si>
  <si>
    <t>SANTA ADELIA</t>
  </si>
  <si>
    <t>17-3279-1212</t>
  </si>
  <si>
    <t>01915625001207</t>
  </si>
  <si>
    <t>0286267</t>
  </si>
  <si>
    <t>O.SANCHES2</t>
  </si>
  <si>
    <t>OLIVEIRA SANCHES &amp; SANCHES LTDA</t>
  </si>
  <si>
    <t>2607214HAH</t>
  </si>
  <si>
    <t>17-3322-1761</t>
  </si>
  <si>
    <t>01914212000228</t>
  </si>
  <si>
    <t>0288080</t>
  </si>
  <si>
    <t>IQUEGAMI L14</t>
  </si>
  <si>
    <t>2608204JLB</t>
  </si>
  <si>
    <t>01915625001380</t>
  </si>
  <si>
    <t>0288027</t>
  </si>
  <si>
    <t>PROENCA LJ17</t>
  </si>
  <si>
    <t>2608204JJU</t>
  </si>
  <si>
    <t>0287621</t>
  </si>
  <si>
    <t>2608124J93</t>
  </si>
  <si>
    <t>0288076</t>
  </si>
  <si>
    <t>IQUEGAMI 16</t>
  </si>
  <si>
    <t>2608204JL7</t>
  </si>
  <si>
    <t>TAQUARITINGA</t>
  </si>
  <si>
    <t>01915625001460</t>
  </si>
  <si>
    <t>0287623</t>
  </si>
  <si>
    <t>PROENCA LJ19</t>
  </si>
  <si>
    <t>2608124J95</t>
  </si>
  <si>
    <t>0288081</t>
  </si>
  <si>
    <t>IQUEGAMI L15</t>
  </si>
  <si>
    <t>2608204JLC</t>
  </si>
  <si>
    <t>01915625001541</t>
  </si>
  <si>
    <t>0288045</t>
  </si>
  <si>
    <t>PROENCA LJ18</t>
  </si>
  <si>
    <t>2608204JKC</t>
  </si>
  <si>
    <t>0288028</t>
  </si>
  <si>
    <t>2608204JJV</t>
  </si>
  <si>
    <t>0287622</t>
  </si>
  <si>
    <t>2608124J94</t>
  </si>
  <si>
    <t>0288082</t>
  </si>
  <si>
    <t>IQUEGAMI L17</t>
  </si>
  <si>
    <t>2608204JLD</t>
  </si>
  <si>
    <t>01915625000731</t>
  </si>
  <si>
    <t>0288046</t>
  </si>
  <si>
    <t>PROENCA LJ20</t>
  </si>
  <si>
    <t>2608204JKD</t>
  </si>
  <si>
    <t>0287625</t>
  </si>
  <si>
    <t>2608124J97</t>
  </si>
  <si>
    <t>0286148</t>
  </si>
  <si>
    <t>RS-ALFREDO 4</t>
  </si>
  <si>
    <t>2607244HK6</t>
  </si>
  <si>
    <t>0287138</t>
  </si>
  <si>
    <t>2608034IT3</t>
  </si>
  <si>
    <t>0287626</t>
  </si>
  <si>
    <t>PROENCA LJ21</t>
  </si>
  <si>
    <t>2608124J98</t>
  </si>
  <si>
    <t>0288047</t>
  </si>
  <si>
    <t>2608204JKE</t>
  </si>
  <si>
    <t>0288029</t>
  </si>
  <si>
    <t>2608204JJW</t>
  </si>
  <si>
    <t>0287693</t>
  </si>
  <si>
    <t>RS-PENIEL 3</t>
  </si>
  <si>
    <t>PENIEL SUPERMERCADO LTDA</t>
  </si>
  <si>
    <t>2608134JB5</t>
  </si>
  <si>
    <t>BADY BASSITT</t>
  </si>
  <si>
    <t>07050702000390</t>
  </si>
  <si>
    <t>0285999</t>
  </si>
  <si>
    <t>2607144H47</t>
  </si>
  <si>
    <t>0285998</t>
  </si>
  <si>
    <t>2607144H46</t>
  </si>
  <si>
    <t>0285885</t>
  </si>
  <si>
    <t>RS- JV TAVAR</t>
  </si>
  <si>
    <t>SUPERMERCADOS J.V TAVARES</t>
  </si>
  <si>
    <t>2607084H15</t>
  </si>
  <si>
    <t>CEDRAL</t>
  </si>
  <si>
    <t>0287540</t>
  </si>
  <si>
    <t>2608114J7R</t>
  </si>
  <si>
    <t>0285884</t>
  </si>
  <si>
    <t>RS- JV TAVA2</t>
  </si>
  <si>
    <t>SUPERMERCADOS J. V TAVARES LTDA</t>
  </si>
  <si>
    <t>2607084H14</t>
  </si>
  <si>
    <t>POTIRENDABA</t>
  </si>
  <si>
    <t>17-99644-5238</t>
  </si>
  <si>
    <t>0287539</t>
  </si>
  <si>
    <t>2608114J7Q</t>
  </si>
  <si>
    <t>0288100</t>
  </si>
  <si>
    <t>2608214JLT</t>
  </si>
  <si>
    <t>0287538</t>
  </si>
  <si>
    <t>RS- JV TAV3</t>
  </si>
  <si>
    <t>2608114J7P</t>
  </si>
  <si>
    <t>URUPES</t>
  </si>
  <si>
    <t>17-3552-1940</t>
  </si>
  <si>
    <t>0285883</t>
  </si>
  <si>
    <t>2607084H13</t>
  </si>
  <si>
    <t>0288083</t>
  </si>
  <si>
    <t>IQUEGAMI L20</t>
  </si>
  <si>
    <t>2608204JLE</t>
  </si>
  <si>
    <t>PIRANGI</t>
  </si>
  <si>
    <t>17 32793303</t>
  </si>
  <si>
    <t>01915625002009</t>
  </si>
  <si>
    <t>0288030</t>
  </si>
  <si>
    <t>PROENCA LJ22</t>
  </si>
  <si>
    <t>2608204JJX</t>
  </si>
  <si>
    <t>18 3704-8400</t>
  </si>
  <si>
    <t>0287627</t>
  </si>
  <si>
    <t>2608124J99</t>
  </si>
  <si>
    <t>0288031</t>
  </si>
  <si>
    <t>PROENCA LJ23</t>
  </si>
  <si>
    <t>2608204JJY</t>
  </si>
  <si>
    <t>ANDRADINA</t>
  </si>
  <si>
    <t>01837048400</t>
  </si>
  <si>
    <t>0288048</t>
  </si>
  <si>
    <t>2608204JKF</t>
  </si>
  <si>
    <t>0285388</t>
  </si>
  <si>
    <t>2606304FBV</t>
  </si>
  <si>
    <t>0287533</t>
  </si>
  <si>
    <t>SAKASHITA 14</t>
  </si>
  <si>
    <t>2608114J7K</t>
  </si>
  <si>
    <t>OUROESTE</t>
  </si>
  <si>
    <t>17-36243210</t>
  </si>
  <si>
    <t>08385699000400</t>
  </si>
  <si>
    <t>0287535</t>
  </si>
  <si>
    <t>PORECATU L10</t>
  </si>
  <si>
    <t>2608114J7M</t>
  </si>
  <si>
    <t>SÃO JOSE DO RIO PRETO</t>
  </si>
  <si>
    <t>17-34266800</t>
  </si>
  <si>
    <t>0288084</t>
  </si>
  <si>
    <t>IQUEGAMI L22</t>
  </si>
  <si>
    <t>2608204JLF</t>
  </si>
  <si>
    <t>17-3279-1800</t>
  </si>
  <si>
    <t>01915625002190</t>
  </si>
  <si>
    <t>0284719</t>
  </si>
  <si>
    <t>2606234EQW</t>
  </si>
  <si>
    <t>0288032</t>
  </si>
  <si>
    <t>PROENCA LJ24</t>
  </si>
  <si>
    <t>2608204JJZ</t>
  </si>
  <si>
    <t>BIRIGUI</t>
  </si>
  <si>
    <t>18-37048400</t>
  </si>
  <si>
    <t>0288049</t>
  </si>
  <si>
    <t>2608204JKG</t>
  </si>
  <si>
    <t>0284720</t>
  </si>
  <si>
    <t>IQUEGAMI L23</t>
  </si>
  <si>
    <t>2606234EQX</t>
  </si>
  <si>
    <t>VIRADOURO</t>
  </si>
  <si>
    <t>01915625002513</t>
  </si>
  <si>
    <t>0287696</t>
  </si>
  <si>
    <t>PORECATU</t>
  </si>
  <si>
    <t>SUPERMERCADO PORECATU LTDA. LJ 04</t>
  </si>
  <si>
    <t>2608134JB8</t>
  </si>
  <si>
    <t>17 3426 1026</t>
  </si>
  <si>
    <t>0287137</t>
  </si>
  <si>
    <t>RS-ALFREDO 3</t>
  </si>
  <si>
    <t>EMPORIO ALFREDO ANTUNES LTDA - LJ 03</t>
  </si>
  <si>
    <t>2608034IT2</t>
  </si>
  <si>
    <t>17-3242-8632</t>
  </si>
  <si>
    <t>0286147</t>
  </si>
  <si>
    <t>2607244HK5</t>
  </si>
  <si>
    <t>0287136</t>
  </si>
  <si>
    <t>2608034IT1</t>
  </si>
  <si>
    <t>0288087</t>
  </si>
  <si>
    <t>IQUEGAMI LJ5</t>
  </si>
  <si>
    <t>2608204JLI</t>
  </si>
  <si>
    <t>01915625000308</t>
  </si>
  <si>
    <t>0287615</t>
  </si>
  <si>
    <t>PROENCA LJ11</t>
  </si>
  <si>
    <t>2608124J8X</t>
  </si>
  <si>
    <t>(17)3236-7979</t>
  </si>
  <si>
    <t>0287536</t>
  </si>
  <si>
    <t>PORECATU LJ4</t>
  </si>
  <si>
    <t>2608114J7N</t>
  </si>
  <si>
    <t>(17)3221-0400</t>
  </si>
  <si>
    <t>0288088</t>
  </si>
  <si>
    <t>IQUEGAMI LJ6</t>
  </si>
  <si>
    <t>2608204JLJ</t>
  </si>
  <si>
    <t>17-3279-3300</t>
  </si>
  <si>
    <t>01915625000499</t>
  </si>
  <si>
    <t>0288089</t>
  </si>
  <si>
    <t>IQUEGAMI LJ8</t>
  </si>
  <si>
    <t>2608204JLK</t>
  </si>
  <si>
    <t>01915625000650</t>
  </si>
  <si>
    <t>0288016</t>
  </si>
  <si>
    <t>IQUEGAMI LJ7</t>
  </si>
  <si>
    <t>2608204JJJ</t>
  </si>
  <si>
    <t>SEVERINIA</t>
  </si>
  <si>
    <t>17 3817 3020</t>
  </si>
  <si>
    <t>01915625000570</t>
  </si>
  <si>
    <t>0287616</t>
  </si>
  <si>
    <t>PROENCA LJ12</t>
  </si>
  <si>
    <t>2608124J8Y</t>
  </si>
  <si>
    <t>17-3426-8310</t>
  </si>
  <si>
    <t>0285382</t>
  </si>
  <si>
    <t>2606304FBP</t>
  </si>
  <si>
    <t>0287698</t>
  </si>
  <si>
    <t>PORECATU LJ5</t>
  </si>
  <si>
    <t>2608134JBA</t>
  </si>
  <si>
    <t>17-3202-2410</t>
  </si>
  <si>
    <t>0017353</t>
  </si>
  <si>
    <t>SUPE ANCORA</t>
  </si>
  <si>
    <t>ANCORA DISTRIBUIDORA LTDA</t>
  </si>
  <si>
    <t>2607310MVH</t>
  </si>
  <si>
    <t>1931/1</t>
  </si>
  <si>
    <t>85-4009-1004</t>
  </si>
  <si>
    <t>03879760000966</t>
  </si>
  <si>
    <t>0014367</t>
  </si>
  <si>
    <t>2607310D4I</t>
  </si>
  <si>
    <t>1931/2</t>
  </si>
  <si>
    <t>0017371</t>
  </si>
  <si>
    <t>RED PARCERIA</t>
  </si>
  <si>
    <t>COMERCIAL DE ALIMENTOS PARCERIA LTDA</t>
  </si>
  <si>
    <t>2607310MVZ</t>
  </si>
  <si>
    <t>(85) 3232-6328</t>
  </si>
  <si>
    <t>09284082000118</t>
  </si>
  <si>
    <t>0017055</t>
  </si>
  <si>
    <t>FORTALEZA DI</t>
  </si>
  <si>
    <t>FORTALEZA DISTRIBUICAO E LOGISTICA LTDA</t>
  </si>
  <si>
    <t>2606230MHH</t>
  </si>
  <si>
    <t>691848/1</t>
  </si>
  <si>
    <t>FORTALEZA</t>
  </si>
  <si>
    <t>(85)4008-4200</t>
  </si>
  <si>
    <t>04522065000158</t>
  </si>
  <si>
    <t>0017301</t>
  </si>
  <si>
    <t>2607300MUI</t>
  </si>
  <si>
    <t>4020/1</t>
  </si>
  <si>
    <t>0014199</t>
  </si>
  <si>
    <t>2606230CXU</t>
  </si>
  <si>
    <t>691848/2</t>
  </si>
  <si>
    <t>0014347</t>
  </si>
  <si>
    <t>2607300D3Z</t>
  </si>
  <si>
    <t>4020/2</t>
  </si>
  <si>
    <t>0014275</t>
  </si>
  <si>
    <t>2606300D01</t>
  </si>
  <si>
    <t>0017141</t>
  </si>
  <si>
    <t>UNIFORCA 2</t>
  </si>
  <si>
    <t>UNIFORCA DISTRIBUIDORA, IMPORTADORA E EXPORTADORA DE MERCADORIAS EM GERAL LTDA</t>
  </si>
  <si>
    <t>2606300MJW</t>
  </si>
  <si>
    <t>ITAITINGA</t>
  </si>
  <si>
    <t>(85) 3066-5396</t>
  </si>
  <si>
    <t>0017142</t>
  </si>
  <si>
    <t>2606300MJX</t>
  </si>
  <si>
    <t>PAZOTTI 2</t>
  </si>
  <si>
    <t>DISTRIBUIDORA DE PROD ALIMEN PAZOTTI LTDA</t>
  </si>
  <si>
    <t>250825Tdtj</t>
  </si>
  <si>
    <t>35-3291-1729</t>
  </si>
  <si>
    <t>0285867</t>
  </si>
  <si>
    <t>MILIUM</t>
  </si>
  <si>
    <t>LOJAS MILIUM LTDA</t>
  </si>
  <si>
    <t>2607154H6T</t>
  </si>
  <si>
    <t>JOINVILLE</t>
  </si>
  <si>
    <t>47-3145-1000</t>
  </si>
  <si>
    <t>SC</t>
  </si>
  <si>
    <t>0286660</t>
  </si>
  <si>
    <t>2607274HND</t>
  </si>
  <si>
    <t>0286488</t>
  </si>
  <si>
    <t>2607234HGJ</t>
  </si>
  <si>
    <t>0285958</t>
  </si>
  <si>
    <t>BRIOJARAGUA</t>
  </si>
  <si>
    <t>BRIOJARAGUA COM. PROD. LIMP. HIG. LTDA</t>
  </si>
  <si>
    <t>2607144H34</t>
  </si>
  <si>
    <t>JARAGUA DO SUL</t>
  </si>
  <si>
    <t>47 3370 6869</t>
  </si>
  <si>
    <t>02706629000187</t>
  </si>
  <si>
    <t>0285959</t>
  </si>
  <si>
    <t>CRAVIL 9</t>
  </si>
  <si>
    <t>COOP REG AGROPECUARIA VALE DO ITAJAI</t>
  </si>
  <si>
    <t>2607144H35</t>
  </si>
  <si>
    <t>RIO DO SUL</t>
  </si>
  <si>
    <t>47-3531 3000</t>
  </si>
  <si>
    <t>0287795</t>
  </si>
  <si>
    <t>2608174JDK</t>
  </si>
  <si>
    <t>0286658</t>
  </si>
  <si>
    <t>SUP MACRIS</t>
  </si>
  <si>
    <t>CRISPAL DISTRIBUIDORA DE ALIMENTOS LTDA</t>
  </si>
  <si>
    <t>2607274HNB</t>
  </si>
  <si>
    <t>CANELINHA</t>
  </si>
  <si>
    <t>48-3264-0303</t>
  </si>
  <si>
    <t>00111960000129</t>
  </si>
  <si>
    <t>0287407</t>
  </si>
  <si>
    <t>SAFF DIST</t>
  </si>
  <si>
    <t>SAFF DISTRIBUIDORA DE ARMARINHOS LTDA</t>
  </si>
  <si>
    <t>2608064J43</t>
  </si>
  <si>
    <t>47-3424-6161</t>
  </si>
  <si>
    <t>07973104000121</t>
  </si>
  <si>
    <t>04</t>
  </si>
  <si>
    <t>0285991</t>
  </si>
  <si>
    <t>ECOVILLE 279</t>
  </si>
  <si>
    <t>ANTUNES E CAFISSO COMÈRCIO DE PRODUTOS DE LIMPEZA LTDA</t>
  </si>
  <si>
    <t>2607144H3Z</t>
  </si>
  <si>
    <t>REDENCAO</t>
  </si>
  <si>
    <t>0287694</t>
  </si>
  <si>
    <t>GOEDERT 2</t>
  </si>
  <si>
    <t>ATACADO NILO GOEDERT LTDA</t>
  </si>
  <si>
    <t>2608134JB6</t>
  </si>
  <si>
    <t>LUIZ ALVES</t>
  </si>
  <si>
    <t>0286659</t>
  </si>
  <si>
    <t>ECOVILLE 5</t>
  </si>
  <si>
    <t>MILTO BRESCANSIN &amp; CIA LTDA</t>
  </si>
  <si>
    <t>2607274HNC</t>
  </si>
  <si>
    <t>CAMBORIU</t>
  </si>
  <si>
    <t>47 99992 1912</t>
  </si>
  <si>
    <t>05361073000122</t>
  </si>
  <si>
    <t>0286413</t>
  </si>
  <si>
    <t>ROSSI NEW</t>
  </si>
  <si>
    <t>SUPERMERCADO ROSSI NEW LTDA</t>
  </si>
  <si>
    <t>2607234HEG</t>
  </si>
  <si>
    <t>11-2551-2610</t>
  </si>
  <si>
    <t>09525900000127</t>
  </si>
  <si>
    <t>0286424</t>
  </si>
  <si>
    <t>ROSSI NEW 8</t>
  </si>
  <si>
    <t>2607234HER</t>
  </si>
  <si>
    <t>CARAPICUIBA</t>
  </si>
  <si>
    <t>11-4799-7200</t>
  </si>
  <si>
    <t>09525900000801</t>
  </si>
  <si>
    <t>0286421</t>
  </si>
  <si>
    <t>ROSSI NEW 9</t>
  </si>
  <si>
    <t>2607234HEO</t>
  </si>
  <si>
    <t>11-2575-1800</t>
  </si>
  <si>
    <t>09525900000984</t>
  </si>
  <si>
    <t>0286415</t>
  </si>
  <si>
    <t>ROSSI NEW 11</t>
  </si>
  <si>
    <t>2607234HEI</t>
  </si>
  <si>
    <t>09525900001107</t>
  </si>
  <si>
    <t>0286414</t>
  </si>
  <si>
    <t>ROSSI NEW 10</t>
  </si>
  <si>
    <t>2607234HEH</t>
  </si>
  <si>
    <t>09525900001018</t>
  </si>
  <si>
    <t>0286428</t>
  </si>
  <si>
    <t>ROSSI NEW 12</t>
  </si>
  <si>
    <t>2607234HEV</t>
  </si>
  <si>
    <t>FRANCO DA ROCHA</t>
  </si>
  <si>
    <t>11-3019- 4200</t>
  </si>
  <si>
    <t>09525900001280</t>
  </si>
  <si>
    <t>0286416</t>
  </si>
  <si>
    <t>ROSSI NEW 14</t>
  </si>
  <si>
    <t>2607234HEJ</t>
  </si>
  <si>
    <t>09525900001360</t>
  </si>
  <si>
    <t>0286417</t>
  </si>
  <si>
    <t>ROSSI NEW 15</t>
  </si>
  <si>
    <t>2607234HEK</t>
  </si>
  <si>
    <t>09525900001522</t>
  </si>
  <si>
    <t>0286426</t>
  </si>
  <si>
    <t>ROSSI NEW 17</t>
  </si>
  <si>
    <t>2607234HET</t>
  </si>
  <si>
    <t>09525900001794</t>
  </si>
  <si>
    <t>0286418</t>
  </si>
  <si>
    <t>ROSSI NEW 3</t>
  </si>
  <si>
    <t>2607234HEL</t>
  </si>
  <si>
    <t>11-3019-3200</t>
  </si>
  <si>
    <t>09525900000470</t>
  </si>
  <si>
    <t>0286419</t>
  </si>
  <si>
    <t>ROSSI NEW 4</t>
  </si>
  <si>
    <t>2607234HEM</t>
  </si>
  <si>
    <t>11-3019-0314</t>
  </si>
  <si>
    <t>09525900000399</t>
  </si>
  <si>
    <t>0286420</t>
  </si>
  <si>
    <t>ROSSI NEW 7</t>
  </si>
  <si>
    <t>2607234HEN</t>
  </si>
  <si>
    <t>(11) 3019-0317</t>
  </si>
  <si>
    <t>09525900000712</t>
  </si>
  <si>
    <t>0286752</t>
  </si>
  <si>
    <t>EC-523</t>
  </si>
  <si>
    <t>VICTOR PEIXOTO</t>
  </si>
  <si>
    <t>2607294HPT</t>
  </si>
  <si>
    <t>Ituverava</t>
  </si>
  <si>
    <t>0286796</t>
  </si>
  <si>
    <t>2607304HQS</t>
  </si>
  <si>
    <t>0287551</t>
  </si>
  <si>
    <t>NOVA LIMP</t>
  </si>
  <si>
    <t>NOVA LIMP COMERCIO DE EMBALAGENS E DESCARTAVEIS LTDA</t>
  </si>
  <si>
    <t>2608114J81</t>
  </si>
  <si>
    <t>04681311000114</t>
  </si>
  <si>
    <t>0287323</t>
  </si>
  <si>
    <t>2608064J1R</t>
  </si>
  <si>
    <t>0287242</t>
  </si>
  <si>
    <t>2608044IVZ</t>
  </si>
  <si>
    <t>0287966</t>
  </si>
  <si>
    <t>2608204JI5</t>
  </si>
  <si>
    <t>0287935</t>
  </si>
  <si>
    <t>2608194JHC</t>
  </si>
  <si>
    <t>0288117</t>
  </si>
  <si>
    <t>2608214JMD</t>
  </si>
  <si>
    <t>0287520</t>
  </si>
  <si>
    <t>EB-11104</t>
  </si>
  <si>
    <t>VASCONCELOS E RIBEIRO EIRELI</t>
  </si>
  <si>
    <t>2608114J7A</t>
  </si>
  <si>
    <t>ITUMBIARA</t>
  </si>
  <si>
    <t>64-3404-2161</t>
  </si>
  <si>
    <t>03802334000177</t>
  </si>
  <si>
    <t>0285372</t>
  </si>
  <si>
    <t>CIMI</t>
  </si>
  <si>
    <t>CIMI SUPERMERCADO LTDA - ME</t>
  </si>
  <si>
    <t>2606304FBF</t>
  </si>
  <si>
    <t>14-3653-1490</t>
  </si>
  <si>
    <t>0287423</t>
  </si>
  <si>
    <t>PHARMA IN</t>
  </si>
  <si>
    <t>ITUDROGAS LTDA</t>
  </si>
  <si>
    <t>2608064J4M</t>
  </si>
  <si>
    <t>16-3729-2044</t>
  </si>
  <si>
    <t>0285034</t>
  </si>
  <si>
    <t>2606264EZM</t>
  </si>
  <si>
    <t>0017231</t>
  </si>
  <si>
    <t>ARCOM2</t>
  </si>
  <si>
    <t>ARCOM S/A</t>
  </si>
  <si>
    <t>2607220MSL</t>
  </si>
  <si>
    <t>34-3218-4200</t>
  </si>
  <si>
    <t>0288000</t>
  </si>
  <si>
    <t>CLEAN MASTE2</t>
  </si>
  <si>
    <t>CLEAN MASTER AMBIENTAL UNIPESSOAL LTDA</t>
  </si>
  <si>
    <t>2608204JJ3</t>
  </si>
  <si>
    <t>CATALAO</t>
  </si>
  <si>
    <t>64-3443-1926</t>
  </si>
  <si>
    <t>0286218</t>
  </si>
  <si>
    <t>EC-451438</t>
  </si>
  <si>
    <t>COMERCIAL - SIMONE CALIMAN</t>
  </si>
  <si>
    <t>2607204H95</t>
  </si>
  <si>
    <t>0284483</t>
  </si>
  <si>
    <t>MEGA FRUTI 2</t>
  </si>
  <si>
    <t>HIPERMERCADO MEGAFRUTT LTDA</t>
  </si>
  <si>
    <t>2606164EJJ</t>
  </si>
  <si>
    <t>08220891000365</t>
  </si>
  <si>
    <t>0287954</t>
  </si>
  <si>
    <t>ANGELO TI</t>
  </si>
  <si>
    <t>ANGELO RICARDO RIBEIRO DA SILVA</t>
  </si>
  <si>
    <t>2608194JHU</t>
  </si>
  <si>
    <t>0287953</t>
  </si>
  <si>
    <t>2608194JHT</t>
  </si>
  <si>
    <t>0287952</t>
  </si>
  <si>
    <t>2608194JHS</t>
  </si>
  <si>
    <t>0287951</t>
  </si>
  <si>
    <t>2608194JHR</t>
  </si>
  <si>
    <t>0287233</t>
  </si>
  <si>
    <t>2608034IVO</t>
  </si>
  <si>
    <t>0285969</t>
  </si>
  <si>
    <t>AMAZON GIG1</t>
  </si>
  <si>
    <t>AMAZON SERVICOS DE VAREJO DO BRASIL LTDA</t>
  </si>
  <si>
    <t>2607144H3F</t>
  </si>
  <si>
    <t>SAO JOAO DE MERITI</t>
  </si>
  <si>
    <t>0287685</t>
  </si>
  <si>
    <t>2608124JAQ</t>
  </si>
  <si>
    <t>0286056</t>
  </si>
  <si>
    <t>2607144H5S</t>
  </si>
  <si>
    <t>0285271</t>
  </si>
  <si>
    <t>2606294F67</t>
  </si>
  <si>
    <t>0286237</t>
  </si>
  <si>
    <t>2607214H9O</t>
  </si>
  <si>
    <t>0283941</t>
  </si>
  <si>
    <t>2606084E4Y</t>
  </si>
  <si>
    <t>0285968</t>
  </si>
  <si>
    <t>2607144H3E</t>
  </si>
  <si>
    <t>0282734</t>
  </si>
  <si>
    <t>2605214BWE</t>
  </si>
  <si>
    <t>0283022</t>
  </si>
  <si>
    <t>2605264C46</t>
  </si>
  <si>
    <t>0283021</t>
  </si>
  <si>
    <t>2605264C45</t>
  </si>
  <si>
    <t>0283020</t>
  </si>
  <si>
    <t>2605264C44</t>
  </si>
  <si>
    <t>0286387</t>
  </si>
  <si>
    <t>EC-457271</t>
  </si>
  <si>
    <t>AIRTON CARVALHO</t>
  </si>
  <si>
    <t>2607224HDO</t>
  </si>
  <si>
    <t>0283065</t>
  </si>
  <si>
    <t>AMAZON FOR 2</t>
  </si>
  <si>
    <t>2605274C5B</t>
  </si>
  <si>
    <t>NF1010282669</t>
  </si>
  <si>
    <t>11-4130-2000</t>
  </si>
  <si>
    <t>0283064</t>
  </si>
  <si>
    <t>2605274C5A</t>
  </si>
  <si>
    <t>NF1010282668</t>
  </si>
  <si>
    <t>0285875</t>
  </si>
  <si>
    <t>2607154H71</t>
  </si>
  <si>
    <t>0285988</t>
  </si>
  <si>
    <t>2607144H3W</t>
  </si>
  <si>
    <t>0285989</t>
  </si>
  <si>
    <t>2607144H3X</t>
  </si>
  <si>
    <t>0285990</t>
  </si>
  <si>
    <t>2607144H3Y</t>
  </si>
  <si>
    <t>0280267</t>
  </si>
  <si>
    <t>EC-460757</t>
  </si>
  <si>
    <t>ACOUGUE BEZERRA LTDA EPP</t>
  </si>
  <si>
    <t>26040248MX</t>
  </si>
  <si>
    <t>BARCARENA</t>
  </si>
  <si>
    <t>91-99118-5736</t>
  </si>
  <si>
    <t>0284394</t>
  </si>
  <si>
    <t>2606154EHA</t>
  </si>
  <si>
    <t>0272839</t>
  </si>
  <si>
    <t>EB-461617</t>
  </si>
  <si>
    <t>MERCEARIA VIANA LTDA</t>
  </si>
  <si>
    <t>RE1F386KUS</t>
  </si>
  <si>
    <t>67-99990-3691</t>
  </si>
  <si>
    <t>0279106</t>
  </si>
  <si>
    <t>EB-462275</t>
  </si>
  <si>
    <t>SUPERMERCADO CENTRAL CANTUARIA LTDA</t>
  </si>
  <si>
    <t>26031846JD</t>
  </si>
  <si>
    <t>PORTEIRINHA</t>
  </si>
  <si>
    <t>38-99204-0405</t>
  </si>
  <si>
    <t>0288007</t>
  </si>
  <si>
    <t>EB-462312</t>
  </si>
  <si>
    <t>COMERCIAL J S LTDA</t>
  </si>
  <si>
    <t>2608204JJA</t>
  </si>
  <si>
    <t>DIAMANTINO</t>
  </si>
  <si>
    <t>65-3336-1580</t>
  </si>
  <si>
    <t>03615541000112</t>
  </si>
  <si>
    <t>0287320</t>
  </si>
  <si>
    <t>EC-462638</t>
  </si>
  <si>
    <t>TERESINHA SIMAO</t>
  </si>
  <si>
    <t>2608054J1M</t>
  </si>
  <si>
    <t>08035755480</t>
  </si>
  <si>
    <t>0287321</t>
  </si>
  <si>
    <t>2608054J1N</t>
  </si>
  <si>
    <t>0284477</t>
  </si>
  <si>
    <t>BRS- 1</t>
  </si>
  <si>
    <t>BRS SUPRIMENTOS CORPORATIVOS S/A</t>
  </si>
  <si>
    <t>2606164EJE</t>
  </si>
  <si>
    <t>SAO LEOPOLDO</t>
  </si>
  <si>
    <t>51 3579-7700</t>
  </si>
  <si>
    <t>03746938001387</t>
  </si>
  <si>
    <t>RS</t>
  </si>
  <si>
    <t>0286905</t>
  </si>
  <si>
    <t>2607314HTE</t>
  </si>
  <si>
    <t>0286683</t>
  </si>
  <si>
    <t>2607274HO0</t>
  </si>
  <si>
    <t>0284441</t>
  </si>
  <si>
    <t>OFFICENET CD</t>
  </si>
  <si>
    <t>BRS SP SUPRIMENTOS CORPORATIVOS S/A</t>
  </si>
  <si>
    <t>2606164EIF</t>
  </si>
  <si>
    <t>51 3081-7527</t>
  </si>
  <si>
    <t>03746938001549</t>
  </si>
  <si>
    <t>0286735</t>
  </si>
  <si>
    <t>2607284HPI</t>
  </si>
  <si>
    <t>0285171</t>
  </si>
  <si>
    <t>2606264F3F</t>
  </si>
  <si>
    <t>0279855</t>
  </si>
  <si>
    <t>260330473X</t>
  </si>
  <si>
    <t>0285762</t>
  </si>
  <si>
    <t>2607064GYB</t>
  </si>
  <si>
    <t>0286248</t>
  </si>
  <si>
    <t>EC-463958</t>
  </si>
  <si>
    <t>TABATA ALANA RAMOS</t>
  </si>
  <si>
    <t>2607214H9Z</t>
  </si>
  <si>
    <t>GUARA</t>
  </si>
  <si>
    <t>0286298</t>
  </si>
  <si>
    <t>2607224HBA</t>
  </si>
  <si>
    <t>0286287</t>
  </si>
  <si>
    <t>EB-464025</t>
  </si>
  <si>
    <t>JOSE MARIA FONTENELES DE SOUSA-ME</t>
  </si>
  <si>
    <t>2607214HB1</t>
  </si>
  <si>
    <t>CAMOCIM</t>
  </si>
  <si>
    <t>88-3621-0807</t>
  </si>
  <si>
    <t>0287501</t>
  </si>
  <si>
    <t>MARIELE ARAU</t>
  </si>
  <si>
    <t>MARIELE ARAUJO</t>
  </si>
  <si>
    <t>2608074J6S</t>
  </si>
  <si>
    <t>0286125</t>
  </si>
  <si>
    <t>EB-465087</t>
  </si>
  <si>
    <t>MELO GALINDO LTDA</t>
  </si>
  <si>
    <t>2607164H8R</t>
  </si>
  <si>
    <t>CANAA DOS CARAJAS</t>
  </si>
  <si>
    <t>94-98124-1340</t>
  </si>
  <si>
    <t>08762988000138</t>
  </si>
  <si>
    <t>0285359</t>
  </si>
  <si>
    <t>TIAG1</t>
  </si>
  <si>
    <t>TIAGO LEAL</t>
  </si>
  <si>
    <t>2606304F8N</t>
  </si>
  <si>
    <t>0286025</t>
  </si>
  <si>
    <t>EB-466887</t>
  </si>
  <si>
    <t>ANDERSON RAMOS GOMES</t>
  </si>
  <si>
    <t>2607144H4X</t>
  </si>
  <si>
    <t>SANTO ANTONIO DO RETIRO</t>
  </si>
  <si>
    <t>38-99947-2647</t>
  </si>
  <si>
    <t>280726-4</t>
  </si>
  <si>
    <t>EC-467634</t>
  </si>
  <si>
    <t>DANIEL FERREIRA LIPORACCE</t>
  </si>
  <si>
    <t>260729Tpht</t>
  </si>
  <si>
    <t>0286676</t>
  </si>
  <si>
    <t>EB-467713</t>
  </si>
  <si>
    <t>R ALVES BASTROS LTDA</t>
  </si>
  <si>
    <t>2607274HNT</t>
  </si>
  <si>
    <t>FORMOSO DO ARAGUAIA</t>
  </si>
  <si>
    <t>0287521</t>
  </si>
  <si>
    <t>EB-468137</t>
  </si>
  <si>
    <t>TRANSFRIOS</t>
  </si>
  <si>
    <t>2608114J7B</t>
  </si>
  <si>
    <t>POSSE</t>
  </si>
  <si>
    <t>08958814000145</t>
  </si>
  <si>
    <t>21.07.2026-2</t>
  </si>
  <si>
    <t>EC-408330938</t>
  </si>
  <si>
    <t>ANA CAROLINA FERREIRA RODRIGUES SILVA</t>
  </si>
  <si>
    <t>260722Thys</t>
  </si>
  <si>
    <t>0288113</t>
  </si>
  <si>
    <t>EC-151085827</t>
  </si>
  <si>
    <t>IZABEL DE JESUS SANTOS</t>
  </si>
  <si>
    <t>2608214JM9</t>
  </si>
  <si>
    <t>LINHARES</t>
  </si>
  <si>
    <t>ES</t>
  </si>
  <si>
    <t>200826-1</t>
  </si>
  <si>
    <t>260821Tuoo</t>
  </si>
  <si>
    <t>0286396</t>
  </si>
  <si>
    <t>EC-419629628</t>
  </si>
  <si>
    <t>MAX BORGES DIAS</t>
  </si>
  <si>
    <t>2607234HDZ</t>
  </si>
  <si>
    <t>0017241</t>
  </si>
  <si>
    <t>0b</t>
  </si>
  <si>
    <t>VEST CASA 2</t>
  </si>
  <si>
    <t>MEGA VEST CASA LTDA</t>
  </si>
  <si>
    <t>260812Olgg</t>
  </si>
  <si>
    <t>11-5625-9150</t>
  </si>
  <si>
    <t>0014303</t>
  </si>
  <si>
    <t>0014306</t>
  </si>
  <si>
    <t>VEST CASA 5</t>
  </si>
  <si>
    <t>11 2813 6262</t>
  </si>
  <si>
    <t>0017244</t>
  </si>
  <si>
    <t>0014304</t>
  </si>
  <si>
    <t>VEST CASA 3</t>
  </si>
  <si>
    <t>0017242</t>
  </si>
  <si>
    <t>0017245</t>
  </si>
  <si>
    <t>VEST CASA 6</t>
  </si>
  <si>
    <t>0014308</t>
  </si>
  <si>
    <t>0017243</t>
  </si>
  <si>
    <t>VEST CASA 4</t>
  </si>
  <si>
    <t>0014305</t>
  </si>
  <si>
    <t>0014309</t>
  </si>
  <si>
    <t>VEST CASA 7</t>
  </si>
  <si>
    <t>ATIBAIA</t>
  </si>
  <si>
    <t>11 2113 6262</t>
  </si>
  <si>
    <t>0017247</t>
  </si>
  <si>
    <t>0287659</t>
  </si>
  <si>
    <t>MARCOS SPOLA</t>
  </si>
  <si>
    <t>MARCOS ANTÔNIO SPOLAOR</t>
  </si>
  <si>
    <t>2608124JA2</t>
  </si>
  <si>
    <t>ITAPOLIS</t>
  </si>
  <si>
    <t>0286389</t>
  </si>
  <si>
    <t>EC-462751958</t>
  </si>
  <si>
    <t>MAURICIO ROGERIO GOULARTE</t>
  </si>
  <si>
    <t>2607224HDR</t>
  </si>
  <si>
    <t>0014310</t>
  </si>
  <si>
    <t>VEST CASA 8</t>
  </si>
  <si>
    <t>JACAREI</t>
  </si>
  <si>
    <t>0017248</t>
  </si>
  <si>
    <t>0017249</t>
  </si>
  <si>
    <t>VEST CASA 9</t>
  </si>
  <si>
    <t>0014311</t>
  </si>
  <si>
    <t>0017239</t>
  </si>
  <si>
    <t>VEST CASA 10</t>
  </si>
  <si>
    <t>CARAGUATATUBA</t>
  </si>
  <si>
    <t>0014301</t>
  </si>
  <si>
    <t>0017240</t>
  </si>
  <si>
    <t>VEST CASA 11</t>
  </si>
  <si>
    <t>IBITINGA</t>
  </si>
  <si>
    <t>0014302</t>
  </si>
  <si>
    <t>0286094</t>
  </si>
  <si>
    <t>EB-470226</t>
  </si>
  <si>
    <t>CFL CONSTRUTORA FERREIRA LIMA LTDA</t>
  </si>
  <si>
    <t>2607154H7W</t>
  </si>
  <si>
    <t>02134999999999</t>
  </si>
  <si>
    <t>0287244</t>
  </si>
  <si>
    <t>EB-470300</t>
  </si>
  <si>
    <t>ANTONIO PAULO XAVIER LTDA</t>
  </si>
  <si>
    <t>2608044IW1</t>
  </si>
  <si>
    <t>BRASILIA</t>
  </si>
  <si>
    <t>11-1111-1111</t>
  </si>
  <si>
    <t>08658842000147</t>
  </si>
  <si>
    <t>DF</t>
  </si>
  <si>
    <t>0287962</t>
  </si>
  <si>
    <t>AMAZON GRU8</t>
  </si>
  <si>
    <t>AMAZON SERVICOS DE VAREJO DO BRASIL LTDA.</t>
  </si>
  <si>
    <t>2608204JI2</t>
  </si>
  <si>
    <t>CAJAMAR</t>
  </si>
  <si>
    <t>0287095</t>
  </si>
  <si>
    <t>2608034IRW</t>
  </si>
  <si>
    <t>0285926</t>
  </si>
  <si>
    <t>2607144H28</t>
  </si>
  <si>
    <t>0287241</t>
  </si>
  <si>
    <t>2608044IVY</t>
  </si>
  <si>
    <t>0287961</t>
  </si>
  <si>
    <t>2608204JI1</t>
  </si>
  <si>
    <t>0282800</t>
  </si>
  <si>
    <t>2605254BXZ</t>
  </si>
  <si>
    <t>NF1010282677</t>
  </si>
  <si>
    <t>0285863</t>
  </si>
  <si>
    <t>2607154H6P</t>
  </si>
  <si>
    <t>0282805</t>
  </si>
  <si>
    <t>2605254BY4</t>
  </si>
  <si>
    <t>NF1010282398</t>
  </si>
  <si>
    <t>0285924</t>
  </si>
  <si>
    <t>2607144H26</t>
  </si>
  <si>
    <t>0282984</t>
  </si>
  <si>
    <t>2605264C34</t>
  </si>
  <si>
    <t>0285927</t>
  </si>
  <si>
    <t>2607144H29</t>
  </si>
  <si>
    <t>0282985</t>
  </si>
  <si>
    <t>2605264C35</t>
  </si>
  <si>
    <t>0286228</t>
  </si>
  <si>
    <t>2607214H9F</t>
  </si>
  <si>
    <t>0282986</t>
  </si>
  <si>
    <t>2605264C36</t>
  </si>
  <si>
    <t>0285366</t>
  </si>
  <si>
    <t>2606304FB9</t>
  </si>
  <si>
    <t>0285923</t>
  </si>
  <si>
    <t>2607144H25</t>
  </si>
  <si>
    <t>0285925</t>
  </si>
  <si>
    <t>2607144H27</t>
  </si>
  <si>
    <t>0284968</t>
  </si>
  <si>
    <t>2606254EXS</t>
  </si>
  <si>
    <t>0283905</t>
  </si>
  <si>
    <t>2606084E40</t>
  </si>
  <si>
    <t>0284631</t>
  </si>
  <si>
    <t>2606224EOF</t>
  </si>
  <si>
    <t>0284629</t>
  </si>
  <si>
    <t>2606224EOD</t>
  </si>
  <si>
    <t>0283907</t>
  </si>
  <si>
    <t>2606084E42</t>
  </si>
  <si>
    <t>0284227</t>
  </si>
  <si>
    <t>2606124ECP</t>
  </si>
  <si>
    <t>0283906</t>
  </si>
  <si>
    <t>2606084E41</t>
  </si>
  <si>
    <t>0284228</t>
  </si>
  <si>
    <t>2606124ECQ</t>
  </si>
  <si>
    <t>0284969</t>
  </si>
  <si>
    <t>2606254EXT</t>
  </si>
  <si>
    <t>0284630</t>
  </si>
  <si>
    <t>2606224EOE</t>
  </si>
  <si>
    <t>0287708</t>
  </si>
  <si>
    <t>MACEDO E LUV</t>
  </si>
  <si>
    <t>MACEDO E LUVIZOTTO LTDA</t>
  </si>
  <si>
    <t>2608134JBK</t>
  </si>
  <si>
    <t>0282939</t>
  </si>
  <si>
    <t>2605254C1U</t>
  </si>
  <si>
    <t>0285899</t>
  </si>
  <si>
    <t>2607154H75</t>
  </si>
  <si>
    <t>0284025</t>
  </si>
  <si>
    <t>2606084E77</t>
  </si>
  <si>
    <t>0287257</t>
  </si>
  <si>
    <t>2608044IWG</t>
  </si>
  <si>
    <t>0284425</t>
  </si>
  <si>
    <t>2606164EHJ</t>
  </si>
  <si>
    <t>0282267</t>
  </si>
  <si>
    <t>2605064BHI</t>
  </si>
  <si>
    <t>0285993</t>
  </si>
  <si>
    <t>2607144H41</t>
  </si>
  <si>
    <t>0285994</t>
  </si>
  <si>
    <t>2607144H42</t>
  </si>
  <si>
    <t>0287702</t>
  </si>
  <si>
    <t>2608134JBE</t>
  </si>
  <si>
    <t>0277449</t>
  </si>
  <si>
    <t>0287260</t>
  </si>
  <si>
    <t>2608044IWF</t>
  </si>
  <si>
    <t>0280256</t>
  </si>
  <si>
    <t>26040248MM</t>
  </si>
  <si>
    <t>0280840</t>
  </si>
  <si>
    <t>260417496M</t>
  </si>
  <si>
    <t>0285887</t>
  </si>
  <si>
    <t>2607084H17</t>
  </si>
  <si>
    <t>0286623</t>
  </si>
  <si>
    <t>2607244HMC</t>
  </si>
  <si>
    <t>0287245</t>
  </si>
  <si>
    <t>EB-470477</t>
  </si>
  <si>
    <t>WMWD DISTRIBUIDORA LTDA</t>
  </si>
  <si>
    <t>2608044IW2</t>
  </si>
  <si>
    <t>23.07.2026-2</t>
  </si>
  <si>
    <t>A V TRANSPOR</t>
  </si>
  <si>
    <t>A.V. SERVICOS E TRANSPORTES LTDA</t>
  </si>
  <si>
    <t>260724Tyfm</t>
  </si>
  <si>
    <t>0288132</t>
  </si>
  <si>
    <t>2608214JMS</t>
  </si>
  <si>
    <t>20.08.2026 -1</t>
  </si>
  <si>
    <t>260821Tlgj</t>
  </si>
  <si>
    <t>0283146</t>
  </si>
  <si>
    <t>EB-470762</t>
  </si>
  <si>
    <t>JLR COMERCIO EMBALAGENS LTDA</t>
  </si>
  <si>
    <t>2605274C7K</t>
  </si>
  <si>
    <t>JUINA</t>
  </si>
  <si>
    <t>05155354000129</t>
  </si>
  <si>
    <t>0283447</t>
  </si>
  <si>
    <t>EB-470784</t>
  </si>
  <si>
    <t>K. P. ZAMP DECE E C. A. DECE LTDA</t>
  </si>
  <si>
    <t>2606014CG4</t>
  </si>
  <si>
    <t>SORRISO</t>
  </si>
  <si>
    <t>0284611</t>
  </si>
  <si>
    <t>EB-470874</t>
  </si>
  <si>
    <t>SUPERMERCADO FRIGO LTDA</t>
  </si>
  <si>
    <t>2606194EN1</t>
  </si>
  <si>
    <t>PRIMAVERA DO LESTE</t>
  </si>
  <si>
    <t>0285984</t>
  </si>
  <si>
    <t>EB-470993</t>
  </si>
  <si>
    <t>NSA COME ATACADISTA ALIMENTOS LTDA</t>
  </si>
  <si>
    <t>2607144H3S</t>
  </si>
  <si>
    <t>PLANALTO</t>
  </si>
  <si>
    <t>0286088</t>
  </si>
  <si>
    <t>EB-471045</t>
  </si>
  <si>
    <t>SUELI T. MACHADO LTDA</t>
  </si>
  <si>
    <t>2607154H7Q</t>
  </si>
  <si>
    <t>RONDONOPOLIS</t>
  </si>
  <si>
    <t>0286641</t>
  </si>
  <si>
    <t>EB-471070</t>
  </si>
  <si>
    <t>MOURA IV SUPERMERCADOS LTDA</t>
  </si>
  <si>
    <t>2607274HMZ</t>
  </si>
  <si>
    <t>0286350</t>
  </si>
  <si>
    <t>EB-471084</t>
  </si>
  <si>
    <t>MERCADO VIANA LTDA</t>
  </si>
  <si>
    <t>2607224HCS</t>
  </si>
  <si>
    <t>0287246</t>
  </si>
  <si>
    <t>EB-471142</t>
  </si>
  <si>
    <t>MERCEARIA RECREIO FM LTDA</t>
  </si>
  <si>
    <t>2608044IW3</t>
  </si>
  <si>
    <t>RIO DE JANEIRO</t>
  </si>
  <si>
    <t>0287566</t>
  </si>
  <si>
    <t>EB-471154</t>
  </si>
  <si>
    <t>MICHELINE SILVA SIA</t>
  </si>
  <si>
    <t>2608114J8G</t>
  </si>
  <si>
    <t>PONTAL DO ARAGUAIA</t>
  </si>
  <si>
    <t>210826-1</t>
  </si>
  <si>
    <t>EC-588091408</t>
  </si>
  <si>
    <t>HEYTOR SHIZUO MORIYA GOMES</t>
  </si>
  <si>
    <t>260824Tbbe</t>
  </si>
  <si>
    <t>130826-2</t>
  </si>
  <si>
    <t>EC-385581108</t>
  </si>
  <si>
    <t>MARILIA APARECIDA DE PAULA</t>
  </si>
  <si>
    <t>260814Tzwq</t>
  </si>
  <si>
    <t>0288008</t>
  </si>
  <si>
    <t>EB-471200</t>
  </si>
  <si>
    <t>SUPERMERCADO GOIANO LTDA</t>
  </si>
  <si>
    <t>2608204JJB</t>
  </si>
  <si>
    <t>PONTE BRANCA</t>
  </si>
  <si>
    <t>200826-2</t>
  </si>
  <si>
    <t>EC-114501037</t>
  </si>
  <si>
    <t>FABIOLA SANTOS</t>
  </si>
  <si>
    <t>0288112</t>
  </si>
  <si>
    <t>2608214JM8</t>
  </si>
  <si>
    <t>0285976</t>
  </si>
  <si>
    <t>IRMAOS ZAGO</t>
  </si>
  <si>
    <t>IRMAOS ZAGO LTDA</t>
  </si>
  <si>
    <t>2607144H3M</t>
  </si>
  <si>
    <t>BURITI ALEGRE</t>
  </si>
  <si>
    <t>(064)3444-2222</t>
  </si>
  <si>
    <t>01653215000174</t>
  </si>
  <si>
    <t>0285353</t>
  </si>
  <si>
    <t>EB-999002442</t>
  </si>
  <si>
    <t>REDENCAO IND. E COM.  DE PRODUTOS DE LIMPEZA LTDA ME</t>
  </si>
  <si>
    <t>2606294F8H</t>
  </si>
  <si>
    <t>94-3424-0911</t>
  </si>
  <si>
    <t>04728916000113</t>
  </si>
  <si>
    <t>0283364</t>
  </si>
  <si>
    <t>EC-999002528</t>
  </si>
  <si>
    <t>SOUSA E BARROS LTDA</t>
  </si>
  <si>
    <t>2606014CDT</t>
  </si>
  <si>
    <t>94.3424-2124</t>
  </si>
  <si>
    <t>06060167000124</t>
  </si>
  <si>
    <t>0285982</t>
  </si>
  <si>
    <t>PASQUALOTTO2</t>
  </si>
  <si>
    <t>PASQUALOTTO &amp; PASQUALOTTO LTDA</t>
  </si>
  <si>
    <t>2607144H3Q</t>
  </si>
  <si>
    <t>66-3566-7200</t>
  </si>
  <si>
    <t>0287963</t>
  </si>
  <si>
    <t>FERNANDO ALV</t>
  </si>
  <si>
    <t>FERNANDO ALVES MATERIAIS ME.</t>
  </si>
  <si>
    <t>2608204JI3</t>
  </si>
  <si>
    <t>16-3374-8126</t>
  </si>
  <si>
    <t>0287421</t>
  </si>
  <si>
    <t>RUSCITO</t>
  </si>
  <si>
    <t>IRMAOS RUSCITO LTDA</t>
  </si>
  <si>
    <t>2608064J4E</t>
  </si>
  <si>
    <t>NF1010287107</t>
  </si>
  <si>
    <t>IBATE</t>
  </si>
  <si>
    <t>16-3343-9595</t>
  </si>
  <si>
    <t>0286786</t>
  </si>
  <si>
    <t>MULTIPACK</t>
  </si>
  <si>
    <t>MULTIPACK COMERCIAL EMBALAGENS LTDA</t>
  </si>
  <si>
    <t>2607294HQQ</t>
  </si>
  <si>
    <t>16-3368-3562</t>
  </si>
  <si>
    <t>02184384000175</t>
  </si>
  <si>
    <t>0287120</t>
  </si>
  <si>
    <t>DEFAVARI</t>
  </si>
  <si>
    <t>SUPERMERCADO DEFAVARI LTDA</t>
  </si>
  <si>
    <t>2608034ISL</t>
  </si>
  <si>
    <t>RIO DAS PEDRAS</t>
  </si>
  <si>
    <t>19-3493-9333</t>
  </si>
  <si>
    <t>0287639</t>
  </si>
  <si>
    <t>SM SERV BEM3</t>
  </si>
  <si>
    <t>A G DEGASPARE SUPERMERCADOS</t>
  </si>
  <si>
    <t>2608124J9L</t>
  </si>
  <si>
    <t>LIMEIRA</t>
  </si>
  <si>
    <t>19-3441-2532</t>
  </si>
  <si>
    <t>0287638</t>
  </si>
  <si>
    <t>SM SERV BEM2</t>
  </si>
  <si>
    <t>SUPERMERCADO SERV BEM LIMEIRA LTDA - ME</t>
  </si>
  <si>
    <t>2608124J9K</t>
  </si>
  <si>
    <t>01891150000103</t>
  </si>
  <si>
    <t>0287086</t>
  </si>
  <si>
    <t>COVABRA CD</t>
  </si>
  <si>
    <t>COVABRA SUPERMERCADOS LTDA</t>
  </si>
  <si>
    <t>2608034IRN</t>
  </si>
  <si>
    <t>SUMARE</t>
  </si>
  <si>
    <t>19-3803 0000</t>
  </si>
  <si>
    <t>0284965</t>
  </si>
  <si>
    <t>2606254EXP</t>
  </si>
  <si>
    <t>0287101</t>
  </si>
  <si>
    <t>INOVA SUPER</t>
  </si>
  <si>
    <t>INOVA SUPER SUPERMERCADOS LTDA</t>
  </si>
  <si>
    <t>2608034IS2</t>
  </si>
  <si>
    <t>CAPIVARI</t>
  </si>
  <si>
    <t>19-9275-1306</t>
  </si>
  <si>
    <t>0287093</t>
  </si>
  <si>
    <t>INOVA SUPER3</t>
  </si>
  <si>
    <t>2608034IRU</t>
  </si>
  <si>
    <t>PIRACICABA</t>
  </si>
  <si>
    <t>0287637</t>
  </si>
  <si>
    <t>SM SERV BEM</t>
  </si>
  <si>
    <t>SUPERMERCADO DEGASPARE LIMEIRA LTDA</t>
  </si>
  <si>
    <t>2608124J9J</t>
  </si>
  <si>
    <t>19-3441-2466</t>
  </si>
  <si>
    <t>0017250</t>
  </si>
  <si>
    <t>ALIMENTA DIS</t>
  </si>
  <si>
    <t>ALIMENTA DISTRIBUIDORA LTDA</t>
  </si>
  <si>
    <t>2607270MTC</t>
  </si>
  <si>
    <t>1742/1</t>
  </si>
  <si>
    <t>TERESINA</t>
  </si>
  <si>
    <t>86-3213-1756</t>
  </si>
  <si>
    <t>0017252</t>
  </si>
  <si>
    <t>2607270MTE</t>
  </si>
  <si>
    <t>0017105</t>
  </si>
  <si>
    <t>2606240MIV</t>
  </si>
  <si>
    <t>692065/1</t>
  </si>
  <si>
    <t>0014215</t>
  </si>
  <si>
    <t>2606290CYA</t>
  </si>
  <si>
    <t>692065/2</t>
  </si>
  <si>
    <t>0014325</t>
  </si>
  <si>
    <t>2607270D3H</t>
  </si>
  <si>
    <t>1742/2</t>
  </si>
  <si>
    <t>0285266</t>
  </si>
  <si>
    <t>ARM FERNANDO</t>
  </si>
  <si>
    <t>ARMARINHOS FERNANDO LTDA</t>
  </si>
  <si>
    <t>2606294F62</t>
  </si>
  <si>
    <t>0286259</t>
  </si>
  <si>
    <t>2607214HA9</t>
  </si>
  <si>
    <t>0285250</t>
  </si>
  <si>
    <t>ARM FERNAND2</t>
  </si>
  <si>
    <t>2606294F5M</t>
  </si>
  <si>
    <t>11-2672-8718</t>
  </si>
  <si>
    <t>0287479</t>
  </si>
  <si>
    <t>2608064J66</t>
  </si>
  <si>
    <t>0287481</t>
  </si>
  <si>
    <t>ARM FERNAND3</t>
  </si>
  <si>
    <t>2608064J68</t>
  </si>
  <si>
    <t>11 3386 8127</t>
  </si>
  <si>
    <t>0285252</t>
  </si>
  <si>
    <t>2606294F5O</t>
  </si>
  <si>
    <t>0285258</t>
  </si>
  <si>
    <t>ARM FERNAND6</t>
  </si>
  <si>
    <t>2606294F5U</t>
  </si>
  <si>
    <t>0287191</t>
  </si>
  <si>
    <t>2608034IUK</t>
  </si>
  <si>
    <t>0287204</t>
  </si>
  <si>
    <t>ARM FERNAND9</t>
  </si>
  <si>
    <t>2608034IUX</t>
  </si>
  <si>
    <t>0285264</t>
  </si>
  <si>
    <t>2606294F60</t>
  </si>
  <si>
    <t>0287477</t>
  </si>
  <si>
    <t>ARM FERNAN10</t>
  </si>
  <si>
    <t>2608064J64</t>
  </si>
  <si>
    <t>0285240</t>
  </si>
  <si>
    <t>2606294F5C</t>
  </si>
  <si>
    <t>0283519</t>
  </si>
  <si>
    <t>2606014CI4</t>
  </si>
  <si>
    <t>0287188</t>
  </si>
  <si>
    <t>ARM FERNAN11</t>
  </si>
  <si>
    <t>2608034IUH</t>
  </si>
  <si>
    <t>0285242</t>
  </si>
  <si>
    <t>2606294F5E</t>
  </si>
  <si>
    <t>0285262</t>
  </si>
  <si>
    <t>ARM FERNAND8</t>
  </si>
  <si>
    <t>2606294F5Y</t>
  </si>
  <si>
    <t>0287485</t>
  </si>
  <si>
    <t>2608064J6C</t>
  </si>
  <si>
    <t>0287161</t>
  </si>
  <si>
    <t>ARM FERNAN12</t>
  </si>
  <si>
    <t>2608034ITQ</t>
  </si>
  <si>
    <t>11-3651-8060</t>
  </si>
  <si>
    <t>0286116</t>
  </si>
  <si>
    <t>2607164H8I</t>
  </si>
  <si>
    <t>0287166</t>
  </si>
  <si>
    <t>ARM FERNAND7</t>
  </si>
  <si>
    <t>2608034ITV</t>
  </si>
  <si>
    <t>11 4433 8900</t>
  </si>
  <si>
    <t>0285260</t>
  </si>
  <si>
    <t>2606294F5W</t>
  </si>
  <si>
    <t>0285254</t>
  </si>
  <si>
    <t>ARM FERNAND4</t>
  </si>
  <si>
    <t>2606294F5Q</t>
  </si>
  <si>
    <t>0287189</t>
  </si>
  <si>
    <t>2608034IUI</t>
  </si>
  <si>
    <t>0287483</t>
  </si>
  <si>
    <t>ARM FERNAND5</t>
  </si>
  <si>
    <t>2608064J6A</t>
  </si>
  <si>
    <t>0285256</t>
  </si>
  <si>
    <t>2606294F5S</t>
  </si>
  <si>
    <t>0285244</t>
  </si>
  <si>
    <t>ARM FERNAN14</t>
  </si>
  <si>
    <t>2606294F5G</t>
  </si>
  <si>
    <t>15-3331-2830</t>
  </si>
  <si>
    <t>0287197</t>
  </si>
  <si>
    <t>2608034IUQ</t>
  </si>
  <si>
    <t>0287176</t>
  </si>
  <si>
    <t>ARM FERNAN17</t>
  </si>
  <si>
    <t>2608034IU5</t>
  </si>
  <si>
    <t>0285246</t>
  </si>
  <si>
    <t>2606294F5I</t>
  </si>
  <si>
    <t>0285248</t>
  </si>
  <si>
    <t>ARM FERNAN18</t>
  </si>
  <si>
    <t>ARMARINHOS FERNANDO LTDA.</t>
  </si>
  <si>
    <t>2606294F5K</t>
  </si>
  <si>
    <t>Ainda não tem t</t>
  </si>
  <si>
    <t>0287199</t>
  </si>
  <si>
    <t>2608034IUS</t>
  </si>
  <si>
    <t>0284737</t>
  </si>
  <si>
    <t>CICERO ERCIL</t>
  </si>
  <si>
    <t>CICERO ERCILIO DA SILVA NETO - ME</t>
  </si>
  <si>
    <t>2606234ERE</t>
  </si>
  <si>
    <t>GOIATUBA</t>
  </si>
  <si>
    <t>64-3495-2272</t>
  </si>
  <si>
    <t>08396195000142</t>
  </si>
  <si>
    <t>05</t>
  </si>
  <si>
    <t>0284617</t>
  </si>
  <si>
    <t>JANAILMA</t>
  </si>
  <si>
    <t>JANAILMA DA SILVA - ME</t>
  </si>
  <si>
    <t>2606194EN7</t>
  </si>
  <si>
    <t>MORRINHOS</t>
  </si>
  <si>
    <t>0285620</t>
  </si>
  <si>
    <t>CASTRO NAVES</t>
  </si>
  <si>
    <t>CASTRO NAVES COMERCIO E SERVICOS DE DISTRIBUICAO S/A</t>
  </si>
  <si>
    <t>2606304FIB</t>
  </si>
  <si>
    <t>03341743000113</t>
  </si>
  <si>
    <t>0283587</t>
  </si>
  <si>
    <t>2606014CK0</t>
  </si>
  <si>
    <t>0287223</t>
  </si>
  <si>
    <t>MUNDO PATROC</t>
  </si>
  <si>
    <t>MUNDO DAS UTILIDADES DE PATROCINIO LTDA</t>
  </si>
  <si>
    <t>2608034IVG</t>
  </si>
  <si>
    <t>0286881</t>
  </si>
  <si>
    <t>FORMIGA UTIL</t>
  </si>
  <si>
    <t>FORMIGA COMERCIO DE UTLIDADES DOMESTICAS LTDA</t>
  </si>
  <si>
    <t>2607304HSU</t>
  </si>
  <si>
    <t>FORMIGA</t>
  </si>
  <si>
    <t>37-3322-0516</t>
  </si>
  <si>
    <t>0286882</t>
  </si>
  <si>
    <t>MASTER UTILI</t>
  </si>
  <si>
    <t>AQUINO UTILIDADES LTDA</t>
  </si>
  <si>
    <t>2607304HSV</t>
  </si>
  <si>
    <t>38 3561 1987</t>
  </si>
  <si>
    <t>0284573</t>
  </si>
  <si>
    <t>MUNDO UTIL 1</t>
  </si>
  <si>
    <t>MARIA PRISCILA DA SILVA LTDA</t>
  </si>
  <si>
    <t>2606184EM4</t>
  </si>
  <si>
    <t>BOM JESUS DE GOIÁS</t>
  </si>
  <si>
    <t>64 98123-5645</t>
  </si>
  <si>
    <t>0284886</t>
  </si>
  <si>
    <t>MUNDO UTILI</t>
  </si>
  <si>
    <t>IGOR GABRIEL DA SILVA LTDA</t>
  </si>
  <si>
    <t>2606244EVI</t>
  </si>
  <si>
    <t>PIRACANJUBA</t>
  </si>
  <si>
    <t>6498123-5645</t>
  </si>
  <si>
    <t>0287225</t>
  </si>
  <si>
    <t>UTI PARAIBA</t>
  </si>
  <si>
    <t>LIMA COMERCIO DE UTILIDADES E CONFECCOES LTDA</t>
  </si>
  <si>
    <t>2608034IVI</t>
  </si>
  <si>
    <t>ARCOS</t>
  </si>
  <si>
    <t>83 99981 1744</t>
  </si>
  <si>
    <t>0014351</t>
  </si>
  <si>
    <t>HOT BEL DIST</t>
  </si>
  <si>
    <t>HOT BEL COMERCIAL EIRELI</t>
  </si>
  <si>
    <t>2607300D43</t>
  </si>
  <si>
    <t>4015/2</t>
  </si>
  <si>
    <t>IMPERATRIZ</t>
  </si>
  <si>
    <t>02871155000129</t>
  </si>
  <si>
    <t>0017303</t>
  </si>
  <si>
    <t>2607300MUK</t>
  </si>
  <si>
    <t>4015/1</t>
  </si>
  <si>
    <t>0015990</t>
  </si>
  <si>
    <t>DISBEBAN</t>
  </si>
  <si>
    <t>DISTRIBUIDORA DE BEBIDAS E ALIMENTOS BANDEIRANTES LTDA</t>
  </si>
  <si>
    <t>2603160KY8</t>
  </si>
  <si>
    <t>681835/1</t>
  </si>
  <si>
    <t>79 99923-7235</t>
  </si>
  <si>
    <t>0013693</t>
  </si>
  <si>
    <t>2603170CC2</t>
  </si>
  <si>
    <t>681835/2</t>
  </si>
  <si>
    <t>0288119</t>
  </si>
  <si>
    <t>POUPE SUP</t>
  </si>
  <si>
    <t>POUPE SUPERMERCADOS LTDA</t>
  </si>
  <si>
    <t>2608214JMF</t>
  </si>
  <si>
    <t>PAULINIA</t>
  </si>
  <si>
    <t>19 3044-2842</t>
  </si>
  <si>
    <t>08378878000177</t>
  </si>
  <si>
    <t>0287096</t>
  </si>
  <si>
    <t>HIGA 1</t>
  </si>
  <si>
    <t>HIGA PRODUTOS ALIMENTICIOS LTDA</t>
  </si>
  <si>
    <t>2608034IRX</t>
  </si>
  <si>
    <t>0287121</t>
  </si>
  <si>
    <t>HIGA 2</t>
  </si>
  <si>
    <t>2608034ISM</t>
  </si>
  <si>
    <t>SANTA BARBARA D OESTE</t>
  </si>
  <si>
    <t>0287130</t>
  </si>
  <si>
    <t>HIGA 3</t>
  </si>
  <si>
    <t>2608034ISV</t>
  </si>
  <si>
    <t>0287098</t>
  </si>
  <si>
    <t>HIGA 4</t>
  </si>
  <si>
    <t>HIGA PRODUTOS ALIMENTÍCIOS LTDA</t>
  </si>
  <si>
    <t>2608034IRZ</t>
  </si>
  <si>
    <t>19 3716-8680</t>
  </si>
  <si>
    <t>0287758</t>
  </si>
  <si>
    <t>P. LIMPEZA 2</t>
  </si>
  <si>
    <t>MARCUS ROSSINI COMERCIO E ARTIGOS DE EMBALAGENS LTDA</t>
  </si>
  <si>
    <t>2608174JCJ</t>
  </si>
  <si>
    <t>INDAIATUBA</t>
  </si>
  <si>
    <t>19 38345340</t>
  </si>
  <si>
    <t>0285949</t>
  </si>
  <si>
    <t>VALI BRASIL</t>
  </si>
  <si>
    <t>VALIBRASIL PROD DE LIMPEZA E UTILIDADES LTDA</t>
  </si>
  <si>
    <t>2607144H2V</t>
  </si>
  <si>
    <t>VALINHOS</t>
  </si>
  <si>
    <t>(19) 3829-0608</t>
  </si>
  <si>
    <t>0288120</t>
  </si>
  <si>
    <t>POUPE SUP2</t>
  </si>
  <si>
    <t>2608214JMG</t>
  </si>
  <si>
    <t>19 3844-7525</t>
  </si>
  <si>
    <t>08378878000339</t>
  </si>
  <si>
    <t>0288121</t>
  </si>
  <si>
    <t>POUPE SUP3</t>
  </si>
  <si>
    <t>2608214JMH</t>
  </si>
  <si>
    <t>08378878000410</t>
  </si>
  <si>
    <t>0287085</t>
  </si>
  <si>
    <t>GPA - CD1965</t>
  </si>
  <si>
    <t>COMPANHIA BRASILEIRA DE DISTRIBUICAO</t>
  </si>
  <si>
    <t>2608034IRM</t>
  </si>
  <si>
    <t>0287401</t>
  </si>
  <si>
    <t>2608064J3X</t>
  </si>
  <si>
    <t>0286227</t>
  </si>
  <si>
    <t>2607214H9E</t>
  </si>
  <si>
    <t>0284416</t>
  </si>
  <si>
    <t>2606164EHR</t>
  </si>
  <si>
    <t>0287084</t>
  </si>
  <si>
    <t>2608034IRL</t>
  </si>
  <si>
    <t>0287400</t>
  </si>
  <si>
    <t>2608064J3W</t>
  </si>
  <si>
    <t>0285929</t>
  </si>
  <si>
    <t>2607144H2B</t>
  </si>
  <si>
    <t>0284417</t>
  </si>
  <si>
    <t>2606164EHS</t>
  </si>
  <si>
    <t>0286181</t>
  </si>
  <si>
    <t>2607244HL3</t>
  </si>
  <si>
    <t>0287748</t>
  </si>
  <si>
    <t>2608174JC9</t>
  </si>
  <si>
    <t>0286226</t>
  </si>
  <si>
    <t>2607214H9D</t>
  </si>
  <si>
    <t>0287549</t>
  </si>
  <si>
    <t>2608114J7Z</t>
  </si>
  <si>
    <t>0285931</t>
  </si>
  <si>
    <t>2607144H2D</t>
  </si>
  <si>
    <t>0287550</t>
  </si>
  <si>
    <t>2608114J80</t>
  </si>
  <si>
    <t>0285930</t>
  </si>
  <si>
    <t>2607144H2C</t>
  </si>
  <si>
    <t>0287747</t>
  </si>
  <si>
    <t>2608174JC8</t>
  </si>
  <si>
    <t>0285367</t>
  </si>
  <si>
    <t>2606304FBA</t>
  </si>
  <si>
    <t>0284418</t>
  </si>
  <si>
    <t>2606164EHT</t>
  </si>
  <si>
    <t>0285928</t>
  </si>
  <si>
    <t>2607144H2A</t>
  </si>
  <si>
    <t>0283924</t>
  </si>
  <si>
    <t>2606084E4H</t>
  </si>
  <si>
    <t>0285770</t>
  </si>
  <si>
    <t>2607064GYJ</t>
  </si>
  <si>
    <t>0285268</t>
  </si>
  <si>
    <t>2606294F64</t>
  </si>
  <si>
    <t>0283925</t>
  </si>
  <si>
    <t>2606084E4I</t>
  </si>
  <si>
    <t>0284731</t>
  </si>
  <si>
    <t>2606234ER8</t>
  </si>
  <si>
    <t>0284415</t>
  </si>
  <si>
    <t>2606164EHQ</t>
  </si>
  <si>
    <t>0282321</t>
  </si>
  <si>
    <t>2605074BKU</t>
  </si>
  <si>
    <t>0282322</t>
  </si>
  <si>
    <t>2605074BKV</t>
  </si>
  <si>
    <t>0282543</t>
  </si>
  <si>
    <t>2605134BQW</t>
  </si>
  <si>
    <t>0282987</t>
  </si>
  <si>
    <t>2605264C37</t>
  </si>
  <si>
    <t>0282988</t>
  </si>
  <si>
    <t>2605264C38</t>
  </si>
  <si>
    <t>0284192</t>
  </si>
  <si>
    <t>GPA - CD1953</t>
  </si>
  <si>
    <t>2606124EBQ</t>
  </si>
  <si>
    <t>11-3050-9000</t>
  </si>
  <si>
    <t>0282783</t>
  </si>
  <si>
    <t>2605214BXR</t>
  </si>
  <si>
    <t>0285273</t>
  </si>
  <si>
    <t>2606294F69</t>
  </si>
  <si>
    <t>0285274</t>
  </si>
  <si>
    <t>2606294F6A</t>
  </si>
  <si>
    <t>0284512</t>
  </si>
  <si>
    <t>2606174EKK</t>
  </si>
  <si>
    <t>0285272</t>
  </si>
  <si>
    <t>2606294F68</t>
  </si>
  <si>
    <t>0284191</t>
  </si>
  <si>
    <t>2606124EBP</t>
  </si>
  <si>
    <t>0285832</t>
  </si>
  <si>
    <t>2607064H08</t>
  </si>
  <si>
    <t>0285986</t>
  </si>
  <si>
    <t>2607144H3U</t>
  </si>
  <si>
    <t>0285985</t>
  </si>
  <si>
    <t>2607144H3T</t>
  </si>
  <si>
    <t>0286087</t>
  </si>
  <si>
    <t>2607154H7P</t>
  </si>
  <si>
    <t>0286086</t>
  </si>
  <si>
    <t>2607154H7O</t>
  </si>
  <si>
    <t>0287764</t>
  </si>
  <si>
    <t>GPA-CD RJ409</t>
  </si>
  <si>
    <t>2608174JCP</t>
  </si>
  <si>
    <t>DUQUE DE CAXIAS</t>
  </si>
  <si>
    <t>0282545</t>
  </si>
  <si>
    <t>2605134BQY</t>
  </si>
  <si>
    <t>0283942</t>
  </si>
  <si>
    <t>2606084E4Z</t>
  </si>
  <si>
    <t>0285412</t>
  </si>
  <si>
    <t>2606304FCJ</t>
  </si>
  <si>
    <t>0287763</t>
  </si>
  <si>
    <t>2608174JCO</t>
  </si>
  <si>
    <t>0282546</t>
  </si>
  <si>
    <t>2605134BQZ</t>
  </si>
  <si>
    <t>0284738</t>
  </si>
  <si>
    <t>2606234ERF</t>
  </si>
  <si>
    <t>0282547</t>
  </si>
  <si>
    <t>2605134BR0</t>
  </si>
  <si>
    <t>0284739</t>
  </si>
  <si>
    <t>2606234ERG</t>
  </si>
  <si>
    <t>0282548</t>
  </si>
  <si>
    <t>2605134BR1</t>
  </si>
  <si>
    <t>0284513</t>
  </si>
  <si>
    <t>2606174EKL</t>
  </si>
  <si>
    <t>0282544</t>
  </si>
  <si>
    <t>2605134BQX</t>
  </si>
  <si>
    <t>0284493</t>
  </si>
  <si>
    <t>2606164EJT</t>
  </si>
  <si>
    <t>0283019</t>
  </si>
  <si>
    <t>2605264C43</t>
  </si>
  <si>
    <t>0284514</t>
  </si>
  <si>
    <t>2606174EKM</t>
  </si>
  <si>
    <t>0283018</t>
  </si>
  <si>
    <t>2605264C42</t>
  </si>
  <si>
    <t>0284740</t>
  </si>
  <si>
    <t>2606234ERH</t>
  </si>
  <si>
    <t>0283017</t>
  </si>
  <si>
    <t>2605264C41</t>
  </si>
  <si>
    <t>0284515</t>
  </si>
  <si>
    <t>2606174EKN</t>
  </si>
  <si>
    <t>0283016</t>
  </si>
  <si>
    <t>2605264C40</t>
  </si>
  <si>
    <t>0285973</t>
  </si>
  <si>
    <t>2607144H3J</t>
  </si>
  <si>
    <t>0282328</t>
  </si>
  <si>
    <t>2605074BL1</t>
  </si>
  <si>
    <t>0285972</t>
  </si>
  <si>
    <t>2607144H3I</t>
  </si>
  <si>
    <t>0282324</t>
  </si>
  <si>
    <t>2605074BKX</t>
  </si>
  <si>
    <t>0285971</t>
  </si>
  <si>
    <t>2607144H3H</t>
  </si>
  <si>
    <t>0282327</t>
  </si>
  <si>
    <t>2605074BL0</t>
  </si>
  <si>
    <t>0285411</t>
  </si>
  <si>
    <t>2606304FCI</t>
  </si>
  <si>
    <t>0282326</t>
  </si>
  <si>
    <t>2605074BKZ</t>
  </si>
  <si>
    <t>0286085</t>
  </si>
  <si>
    <t>2607154H7N</t>
  </si>
  <si>
    <t>0282325</t>
  </si>
  <si>
    <t>2605074BKY</t>
  </si>
  <si>
    <t>0285970</t>
  </si>
  <si>
    <t>2607144H3G</t>
  </si>
  <si>
    <t>0282323</t>
  </si>
  <si>
    <t>2605074BKW</t>
  </si>
  <si>
    <t>0286084</t>
  </si>
  <si>
    <t>2607154H7M</t>
  </si>
  <si>
    <t>0282739</t>
  </si>
  <si>
    <t>2605214BWJ</t>
  </si>
  <si>
    <t>0282738</t>
  </si>
  <si>
    <t>2605214BWI</t>
  </si>
  <si>
    <t>0282737</t>
  </si>
  <si>
    <t>2605214BWH</t>
  </si>
  <si>
    <t>0286489</t>
  </si>
  <si>
    <t>2607234HGK</t>
  </si>
  <si>
    <t>0282073</t>
  </si>
  <si>
    <t>SUPNORDESTAO</t>
  </si>
  <si>
    <t>SUPERMERCADO NORDESTAO LTDA</t>
  </si>
  <si>
    <t>2605044BAW</t>
  </si>
  <si>
    <t>84-3216 4831</t>
  </si>
  <si>
    <t>08030363003369</t>
  </si>
  <si>
    <t>0284895</t>
  </si>
  <si>
    <t>2606244EVR</t>
  </si>
  <si>
    <t>0014177</t>
  </si>
  <si>
    <t>ATAC EIRELI</t>
  </si>
  <si>
    <t>HIPER ATACADO DE ALIMENTOS EIRELI - EPP</t>
  </si>
  <si>
    <t>2606170CXD</t>
  </si>
  <si>
    <t>690777/2</t>
  </si>
  <si>
    <t>(84) 3315-8574</t>
  </si>
  <si>
    <t>07522026000149</t>
  </si>
  <si>
    <t>0284892</t>
  </si>
  <si>
    <t>SUPNORDESTA1</t>
  </si>
  <si>
    <t>2606244EVO</t>
  </si>
  <si>
    <t>84-3615-2643</t>
  </si>
  <si>
    <t>08030363003792</t>
  </si>
  <si>
    <t>0283761</t>
  </si>
  <si>
    <t>SUPNORDESTA2</t>
  </si>
  <si>
    <t>2606014COU</t>
  </si>
  <si>
    <t>08030363004098</t>
  </si>
  <si>
    <t>0284896</t>
  </si>
  <si>
    <t>2606244EVS</t>
  </si>
  <si>
    <t>0284894</t>
  </si>
  <si>
    <t>SUPNORDESTA4</t>
  </si>
  <si>
    <t>2606244EVQ</t>
  </si>
  <si>
    <t>84 3615-2644</t>
  </si>
  <si>
    <t>08030363004179</t>
  </si>
  <si>
    <t>0284893</t>
  </si>
  <si>
    <t>SUPNORDESTA3</t>
  </si>
  <si>
    <t>2606244EVP</t>
  </si>
  <si>
    <t>(84) 3615-2644</t>
  </si>
  <si>
    <t>08030363003520</t>
  </si>
  <si>
    <t>0282117</t>
  </si>
  <si>
    <t>2605044BC4</t>
  </si>
  <si>
    <t>0285987</t>
  </si>
  <si>
    <t>P CONSTRUCAO</t>
  </si>
  <si>
    <t>PORTAL DA CONSTRUCAO LTDA</t>
  </si>
  <si>
    <t>2607144H3V</t>
  </si>
  <si>
    <t>MARTINS</t>
  </si>
  <si>
    <t>84 99899 9244</t>
  </si>
  <si>
    <t>0286699</t>
  </si>
  <si>
    <t>JLM IMPORT</t>
  </si>
  <si>
    <t>J.L.M. IMPORT- EXPORT S.A</t>
  </si>
  <si>
    <t>2607274HOG</t>
  </si>
  <si>
    <t>CIUDAD DEL ESTE</t>
  </si>
  <si>
    <t>EX</t>
  </si>
  <si>
    <t>0287079</t>
  </si>
  <si>
    <t>AVANTE ATAC</t>
  </si>
  <si>
    <t>AVANTE ATACADISTA LTDA</t>
  </si>
  <si>
    <t>2608034IRG</t>
  </si>
  <si>
    <t>SANTAREM</t>
  </si>
  <si>
    <t>93-99175-4324</t>
  </si>
  <si>
    <t>0284576</t>
  </si>
  <si>
    <t>2606184EM7</t>
  </si>
  <si>
    <t>0284578</t>
  </si>
  <si>
    <t>AVANTE ATAC2</t>
  </si>
  <si>
    <t>2606184EM9</t>
  </si>
  <si>
    <t>0287081</t>
  </si>
  <si>
    <t>2608034IRI</t>
  </si>
  <si>
    <t>0285836</t>
  </si>
  <si>
    <t>RAIA 908CD</t>
  </si>
  <si>
    <t>RAIA DROGASIL S/A</t>
  </si>
  <si>
    <t>2607064H0C</t>
  </si>
  <si>
    <t>11-3769-5731</t>
  </si>
  <si>
    <t>0286468</t>
  </si>
  <si>
    <t>2607234HFZ</t>
  </si>
  <si>
    <t>0285837</t>
  </si>
  <si>
    <t>2607064H0D</t>
  </si>
  <si>
    <t>0287570</t>
  </si>
  <si>
    <t>2608114J8K</t>
  </si>
  <si>
    <t>0287039</t>
  </si>
  <si>
    <t>RAIA 1446CD</t>
  </si>
  <si>
    <t>2607314HX5</t>
  </si>
  <si>
    <t>APARECIDA DE GOIANIA</t>
  </si>
  <si>
    <t>11-3769-5847</t>
  </si>
  <si>
    <t>0287516</t>
  </si>
  <si>
    <t>2608114J76</t>
  </si>
  <si>
    <t>0287517</t>
  </si>
  <si>
    <t>2608114J77</t>
  </si>
  <si>
    <t>0287984</t>
  </si>
  <si>
    <t>2608204JIN</t>
  </si>
  <si>
    <t>0287581</t>
  </si>
  <si>
    <t>RAIA 2376CD</t>
  </si>
  <si>
    <t>2608114J8V</t>
  </si>
  <si>
    <t>0286004</t>
  </si>
  <si>
    <t>RAIA EMBU</t>
  </si>
  <si>
    <t>2607144H4C</t>
  </si>
  <si>
    <t>EMBU DAS ARTES</t>
  </si>
  <si>
    <t>0286410</t>
  </si>
  <si>
    <t>2607234HED</t>
  </si>
  <si>
    <t>0288114</t>
  </si>
  <si>
    <t>2608214JMA</t>
  </si>
  <si>
    <t>0287547</t>
  </si>
  <si>
    <t>2608114J7X</t>
  </si>
  <si>
    <t>0284288</t>
  </si>
  <si>
    <t>2606154EEH</t>
  </si>
  <si>
    <t>0284289</t>
  </si>
  <si>
    <t>2606154EEI</t>
  </si>
  <si>
    <t>0280300</t>
  </si>
  <si>
    <t>26040248NU</t>
  </si>
  <si>
    <t>0286485</t>
  </si>
  <si>
    <t>RAIA 905CD</t>
  </si>
  <si>
    <t>2607234HGG</t>
  </si>
  <si>
    <t>SAO JOSE DOS PINHAIS</t>
  </si>
  <si>
    <t>PR</t>
  </si>
  <si>
    <t>0287578</t>
  </si>
  <si>
    <t>2608114J8S</t>
  </si>
  <si>
    <t>0284388</t>
  </si>
  <si>
    <t>2606154EH4</t>
  </si>
  <si>
    <t>0285842</t>
  </si>
  <si>
    <t>2607064H0I</t>
  </si>
  <si>
    <t>0285843</t>
  </si>
  <si>
    <t>2607064H0J</t>
  </si>
  <si>
    <t>0285844</t>
  </si>
  <si>
    <t>2607064H0K</t>
  </si>
  <si>
    <t>0287569</t>
  </si>
  <si>
    <t>RAIA 903CD</t>
  </si>
  <si>
    <t>2608114J8J</t>
  </si>
  <si>
    <t>0286411</t>
  </si>
  <si>
    <t>RAIA GUARUL</t>
  </si>
  <si>
    <t>2607234HEE</t>
  </si>
  <si>
    <t>0287548</t>
  </si>
  <si>
    <t>2608114J7Y</t>
  </si>
  <si>
    <t>0288115</t>
  </si>
  <si>
    <t>2608214JMB</t>
  </si>
  <si>
    <t>0287580</t>
  </si>
  <si>
    <t>RAIA 2847CDF</t>
  </si>
  <si>
    <t>2608114J8U</t>
  </si>
  <si>
    <t>0285845</t>
  </si>
  <si>
    <t>2607064H0L</t>
  </si>
  <si>
    <t>0286060</t>
  </si>
  <si>
    <t>2607144H5W</t>
  </si>
  <si>
    <t>0285846</t>
  </si>
  <si>
    <t>2607064H0M</t>
  </si>
  <si>
    <t>0287582</t>
  </si>
  <si>
    <t>RAIA 2023CD</t>
  </si>
  <si>
    <t>2608114J8W</t>
  </si>
  <si>
    <t>0284327</t>
  </si>
  <si>
    <t>RAIA 3834CD</t>
  </si>
  <si>
    <t>RAIADROGASIL S/A</t>
  </si>
  <si>
    <t>2606154EFK</t>
  </si>
  <si>
    <t>CUIABA</t>
  </si>
  <si>
    <t>0287579</t>
  </si>
  <si>
    <t>RAIA 3887CD</t>
  </si>
  <si>
    <t>2608114J8T</t>
  </si>
  <si>
    <t>BENEVIDES</t>
  </si>
  <si>
    <t>11-3769-5678</t>
  </si>
  <si>
    <t>0286062</t>
  </si>
  <si>
    <t>2607144H5Y</t>
  </si>
  <si>
    <t>0286061</t>
  </si>
  <si>
    <t>2607144H5X</t>
  </si>
  <si>
    <t>0285824</t>
  </si>
  <si>
    <t>2607064H00</t>
  </si>
  <si>
    <t>0286412</t>
  </si>
  <si>
    <t>RAIA 1556CD</t>
  </si>
  <si>
    <t>2607234HEF</t>
  </si>
  <si>
    <t>ITUPEVA</t>
  </si>
  <si>
    <t>0285981</t>
  </si>
  <si>
    <t>PHD COMERCIO</t>
  </si>
  <si>
    <t>PHD COMERCIO DE PRODUTOS DE HIGIENE E DESCARTAVEIS LTDA EPP</t>
  </si>
  <si>
    <t>2607144H3P</t>
  </si>
  <si>
    <t>61-3340-2601</t>
  </si>
  <si>
    <t>08454610000177</t>
  </si>
  <si>
    <t>0287074</t>
  </si>
  <si>
    <t>LIMP CRISTAL</t>
  </si>
  <si>
    <t>CRISTAL LIMPEZA E COMERCIO DE MATERIAIS PARA LIMPEZA LTDA - EPP</t>
  </si>
  <si>
    <t>2608034IRB</t>
  </si>
  <si>
    <t>00839308000125</t>
  </si>
  <si>
    <t>0286874</t>
  </si>
  <si>
    <t>DIST FIDELE</t>
  </si>
  <si>
    <t>FIDELE DISTRIBUIDORA LTDA</t>
  </si>
  <si>
    <t>2607304HSN</t>
  </si>
  <si>
    <t>61- 9414-6597</t>
  </si>
  <si>
    <t>0286095</t>
  </si>
  <si>
    <t>LUZITANA-RO</t>
  </si>
  <si>
    <t>SUPERM. A LUZITANA IND. E COM.LTDA</t>
  </si>
  <si>
    <t>2607154H7X</t>
  </si>
  <si>
    <t>CACOAL</t>
  </si>
  <si>
    <t>69-3441-4548</t>
  </si>
  <si>
    <t>RO</t>
  </si>
  <si>
    <t>0287489</t>
  </si>
  <si>
    <t>I GONCALVES2</t>
  </si>
  <si>
    <t>IRMAOS GONCALVES COM. E IND. LTDA.</t>
  </si>
  <si>
    <t>2608064J6G</t>
  </si>
  <si>
    <t>GUAJARA MIRIM</t>
  </si>
  <si>
    <t>69-3516-4450</t>
  </si>
  <si>
    <t>JARU</t>
  </si>
  <si>
    <t>04082624001713</t>
  </si>
  <si>
    <t>0287490</t>
  </si>
  <si>
    <t>2608064J6H</t>
  </si>
  <si>
    <t>0287491</t>
  </si>
  <si>
    <t>2608064J6I</t>
  </si>
  <si>
    <t>0287492</t>
  </si>
  <si>
    <t>2608064J6J</t>
  </si>
  <si>
    <t>0287488</t>
  </si>
  <si>
    <t>2608064J6F</t>
  </si>
  <si>
    <t>0287684</t>
  </si>
  <si>
    <t>2608134JB1</t>
  </si>
  <si>
    <t>0287814</t>
  </si>
  <si>
    <t>JEEDA</t>
  </si>
  <si>
    <t>JEEDA COM DIST ALIM LTDA</t>
  </si>
  <si>
    <t>2608174JE3</t>
  </si>
  <si>
    <t>JI-PARANA</t>
  </si>
  <si>
    <t>69-3416-8008</t>
  </si>
  <si>
    <t>0286986</t>
  </si>
  <si>
    <t>A. TOMASI 2</t>
  </si>
  <si>
    <t>A. TOMASI E CIA LTDA ME</t>
  </si>
  <si>
    <t>2607314HVN</t>
  </si>
  <si>
    <t>69-3421-9595-CB</t>
  </si>
  <si>
    <t>07554169000213</t>
  </si>
  <si>
    <t>0285172</t>
  </si>
  <si>
    <t>2606264F3G</t>
  </si>
  <si>
    <t>0285173</t>
  </si>
  <si>
    <t>2606264F3H</t>
  </si>
  <si>
    <t>0285175</t>
  </si>
  <si>
    <t>2606264F3J</t>
  </si>
  <si>
    <t>0286246</t>
  </si>
  <si>
    <t>RONDONIA</t>
  </si>
  <si>
    <t>RONDONIA COMERCIO DE EMBALAGENS EIRELI</t>
  </si>
  <si>
    <t>2607214H9X</t>
  </si>
  <si>
    <t>0286096</t>
  </si>
  <si>
    <t>NOVA ERA 8</t>
  </si>
  <si>
    <t>MERCANTIL NOVA ERA LTDA</t>
  </si>
  <si>
    <t>2607154H7Y</t>
  </si>
  <si>
    <t>PORTO VELHO</t>
  </si>
  <si>
    <t>69-3225-6528</t>
  </si>
  <si>
    <t>04240370002877</t>
  </si>
  <si>
    <t>0286097</t>
  </si>
  <si>
    <t>2607154H7Z</t>
  </si>
  <si>
    <t>0281263</t>
  </si>
  <si>
    <t>26042449ER</t>
  </si>
  <si>
    <t>0285345</t>
  </si>
  <si>
    <t>PIEMON 2</t>
  </si>
  <si>
    <t>RODOLFO E SEPP LTDA</t>
  </si>
  <si>
    <t>2606294F89</t>
  </si>
  <si>
    <t>69-3441-2428</t>
  </si>
  <si>
    <t>0285310</t>
  </si>
  <si>
    <t>META SUP</t>
  </si>
  <si>
    <t>META SUPERMERCADO ATACADO E VAREJO LTDA</t>
  </si>
  <si>
    <t>2606294F7A</t>
  </si>
  <si>
    <t>69-3229-0235</t>
  </si>
  <si>
    <t>0285737</t>
  </si>
  <si>
    <t>SMART AGRO</t>
  </si>
  <si>
    <t>COMERCIAL DE ALIMENTOS AGROTERRA LTDA</t>
  </si>
  <si>
    <t>2607014FLP</t>
  </si>
  <si>
    <t>NOVA BRASILANDIA D OESTE</t>
  </si>
  <si>
    <t>69-3418-3377</t>
  </si>
  <si>
    <t>06081995000149</t>
  </si>
  <si>
    <t>0287049</t>
  </si>
  <si>
    <t>ARAUJO-AC 7</t>
  </si>
  <si>
    <t>A C D A IMPORTACAO E EXPORTACAO LTDA</t>
  </si>
  <si>
    <t>2607314HXF</t>
  </si>
  <si>
    <t>RIO BRANCO</t>
  </si>
  <si>
    <t>68-3216-3100</t>
  </si>
  <si>
    <t>AC</t>
  </si>
  <si>
    <t>0287048</t>
  </si>
  <si>
    <t>2607314HXE</t>
  </si>
  <si>
    <t>0277318</t>
  </si>
  <si>
    <t>LIMPYS</t>
  </si>
  <si>
    <t>LIMPYS COM. DE PRODUTOS DE LIMPEZA</t>
  </si>
  <si>
    <t>26022343WM</t>
  </si>
  <si>
    <t>62-3246-2723</t>
  </si>
  <si>
    <t>04956309000100</t>
  </si>
  <si>
    <t>0286179</t>
  </si>
  <si>
    <t>CASA DA LIMP</t>
  </si>
  <si>
    <t>CASA DA LIMPEZA LTDA</t>
  </si>
  <si>
    <t>2607244HL1</t>
  </si>
  <si>
    <t>62-3942-2020</t>
  </si>
  <si>
    <t>07964337000168</t>
  </si>
  <si>
    <t>0282994</t>
  </si>
  <si>
    <t>ASSAI 51</t>
  </si>
  <si>
    <t>2605264C3E</t>
  </si>
  <si>
    <t>NF1010282294</t>
  </si>
  <si>
    <t>06057223031808</t>
  </si>
  <si>
    <t>0286872</t>
  </si>
  <si>
    <t>2607304HSL</t>
  </si>
  <si>
    <t>0282993</t>
  </si>
  <si>
    <t>2605264C3D</t>
  </si>
  <si>
    <t>NF1010282293</t>
  </si>
  <si>
    <t>0285822</t>
  </si>
  <si>
    <t>2607064GZY</t>
  </si>
  <si>
    <t>0281146</t>
  </si>
  <si>
    <t>26042249BI</t>
  </si>
  <si>
    <t>0285699</t>
  </si>
  <si>
    <t>2606304FKI</t>
  </si>
  <si>
    <t>0284208</t>
  </si>
  <si>
    <t>2606124EC6</t>
  </si>
  <si>
    <t>0285823</t>
  </si>
  <si>
    <t>ASSAI 52</t>
  </si>
  <si>
    <t>2607064GZZ</t>
  </si>
  <si>
    <t>06057223032022</t>
  </si>
  <si>
    <t>0284209</t>
  </si>
  <si>
    <t>2606124EC7</t>
  </si>
  <si>
    <t>0285700</t>
  </si>
  <si>
    <t>2606304FKJ</t>
  </si>
  <si>
    <t>0282995</t>
  </si>
  <si>
    <t>2605264C3F</t>
  </si>
  <si>
    <t>NF1010282295</t>
  </si>
  <si>
    <t>0286873</t>
  </si>
  <si>
    <t>2607304HSM</t>
  </si>
  <si>
    <t>0282999</t>
  </si>
  <si>
    <t>ASSAI 140</t>
  </si>
  <si>
    <t>2605264C3J</t>
  </si>
  <si>
    <t>NF1010282285</t>
  </si>
  <si>
    <t>06057223022906</t>
  </si>
  <si>
    <t>0286864</t>
  </si>
  <si>
    <t>2607304HSD</t>
  </si>
  <si>
    <t>0285808</t>
  </si>
  <si>
    <t>2607064GZK</t>
  </si>
  <si>
    <t>0285688</t>
  </si>
  <si>
    <t>2606304FK7</t>
  </si>
  <si>
    <t>0284200</t>
  </si>
  <si>
    <t>2606124EBY</t>
  </si>
  <si>
    <t>0285813</t>
  </si>
  <si>
    <t>ASSAI 56</t>
  </si>
  <si>
    <t>2607064GZP</t>
  </si>
  <si>
    <t>06057223023031</t>
  </si>
  <si>
    <t>0284210</t>
  </si>
  <si>
    <t>2606124EC8</t>
  </si>
  <si>
    <t>0285701</t>
  </si>
  <si>
    <t>2606304FKK</t>
  </si>
  <si>
    <t>0286876</t>
  </si>
  <si>
    <t>2607304HSP</t>
  </si>
  <si>
    <t>0283004</t>
  </si>
  <si>
    <t>2605264C3O</t>
  </si>
  <si>
    <t>NF1010282296</t>
  </si>
  <si>
    <t>0286863</t>
  </si>
  <si>
    <t>ASSAI 117</t>
  </si>
  <si>
    <t>2607304HSC</t>
  </si>
  <si>
    <t>VALPARAISO DE GOIAS</t>
  </si>
  <si>
    <t>11-3411-5257</t>
  </si>
  <si>
    <t>06057223032375</t>
  </si>
  <si>
    <t>0282998</t>
  </si>
  <si>
    <t>2605264C3I</t>
  </si>
  <si>
    <t>NF1010282284</t>
  </si>
  <si>
    <t>0285807</t>
  </si>
  <si>
    <t>2607064GZJ</t>
  </si>
  <si>
    <t>0285687</t>
  </si>
  <si>
    <t>2606304FK6</t>
  </si>
  <si>
    <t>0284199</t>
  </si>
  <si>
    <t>2606124EBX</t>
  </si>
  <si>
    <t>0285805</t>
  </si>
  <si>
    <t>ASSAI 105</t>
  </si>
  <si>
    <t>2607064GZH</t>
  </si>
  <si>
    <t>(11) 3411-5200</t>
  </si>
  <si>
    <t>06057223034408</t>
  </si>
  <si>
    <t>0284197</t>
  </si>
  <si>
    <t>2606124EBV</t>
  </si>
  <si>
    <t>0285685</t>
  </si>
  <si>
    <t>2606304FK4</t>
  </si>
  <si>
    <t>0282996</t>
  </si>
  <si>
    <t>2605264C3G</t>
  </si>
  <si>
    <t>NF1010282282</t>
  </si>
  <si>
    <t>0286861</t>
  </si>
  <si>
    <t>2607304HSA</t>
  </si>
  <si>
    <t>0283005</t>
  </si>
  <si>
    <t>ASSAI 84</t>
  </si>
  <si>
    <t>2605264C3P</t>
  </si>
  <si>
    <t>NF1010282297</t>
  </si>
  <si>
    <t>06057223034319</t>
  </si>
  <si>
    <t>0286867</t>
  </si>
  <si>
    <t>2607304HSG</t>
  </si>
  <si>
    <t>0285814</t>
  </si>
  <si>
    <t>2607064GZQ</t>
  </si>
  <si>
    <t>0285702</t>
  </si>
  <si>
    <t>2606304FKL</t>
  </si>
  <si>
    <t>0284211</t>
  </si>
  <si>
    <t>2606124EC9</t>
  </si>
  <si>
    <t>0285819</t>
  </si>
  <si>
    <t>ASSAI 101</t>
  </si>
  <si>
    <t>2607064GZV</t>
  </si>
  <si>
    <t>06057223034157</t>
  </si>
  <si>
    <t>0284196</t>
  </si>
  <si>
    <t>2606124EBU</t>
  </si>
  <si>
    <t>0286858</t>
  </si>
  <si>
    <t>2607304HS7</t>
  </si>
  <si>
    <t>0282989</t>
  </si>
  <si>
    <t>2605264C39</t>
  </si>
  <si>
    <t>NF1010282281</t>
  </si>
  <si>
    <t>0014233</t>
  </si>
  <si>
    <t>JC DISTRIB</t>
  </si>
  <si>
    <t>JC DIST LOG IMP E EXP DE PROD INDUST LTDA</t>
  </si>
  <si>
    <t>2606300CYV</t>
  </si>
  <si>
    <t>62 32409519</t>
  </si>
  <si>
    <t>06314327000203</t>
  </si>
  <si>
    <t>0284198</t>
  </si>
  <si>
    <t>ASSAI 111</t>
  </si>
  <si>
    <t>2606124EBW</t>
  </si>
  <si>
    <t>11-3411-5162</t>
  </si>
  <si>
    <t>06057223037253</t>
  </si>
  <si>
    <t>0286862</t>
  </si>
  <si>
    <t>2607304HSB</t>
  </si>
  <si>
    <t>0282997</t>
  </si>
  <si>
    <t>2605264C3H</t>
  </si>
  <si>
    <t>NF1010282283</t>
  </si>
  <si>
    <t>0285806</t>
  </si>
  <si>
    <t>2607064GZI</t>
  </si>
  <si>
    <t>0285686</t>
  </si>
  <si>
    <t>2606304FK5</t>
  </si>
  <si>
    <t>0287998</t>
  </si>
  <si>
    <t>SUP REIS CD</t>
  </si>
  <si>
    <t>COMERCIAL REIS LTDA</t>
  </si>
  <si>
    <t>2608204JJ1</t>
  </si>
  <si>
    <t>64-3404-9000</t>
  </si>
  <si>
    <t>03044201001665</t>
  </si>
  <si>
    <t>0286853</t>
  </si>
  <si>
    <t>ASSAI 176</t>
  </si>
  <si>
    <t>2607304HS2</t>
  </si>
  <si>
    <t>06057223038900</t>
  </si>
  <si>
    <t>0282206</t>
  </si>
  <si>
    <t>2605064BI1</t>
  </si>
  <si>
    <t>0285689</t>
  </si>
  <si>
    <t>2606304FK8</t>
  </si>
  <si>
    <t>0284186</t>
  </si>
  <si>
    <t>2606124EBK</t>
  </si>
  <si>
    <t>0285690</t>
  </si>
  <si>
    <t>ASSAI 194</t>
  </si>
  <si>
    <t>2606304FK9</t>
  </si>
  <si>
    <t>ANAPOLIS</t>
  </si>
  <si>
    <t>06057223039205</t>
  </si>
  <si>
    <t>0284201</t>
  </si>
  <si>
    <t>2606124EBZ</t>
  </si>
  <si>
    <t>0285809</t>
  </si>
  <si>
    <t>2607064GZL</t>
  </si>
  <si>
    <t>0283000</t>
  </si>
  <si>
    <t>2605264C3K</t>
  </si>
  <si>
    <t>NF1010282286</t>
  </si>
  <si>
    <t>0286875</t>
  </si>
  <si>
    <t>2607304HSO</t>
  </si>
  <si>
    <t>0287053</t>
  </si>
  <si>
    <t>COM3E LJ300</t>
  </si>
  <si>
    <t>COMERCIAL 3E ALIMENTOS LTDA</t>
  </si>
  <si>
    <t>2607314HXJ</t>
  </si>
  <si>
    <t>GOIANESIA</t>
  </si>
  <si>
    <t>0287052</t>
  </si>
  <si>
    <t>2607314HXI</t>
  </si>
  <si>
    <t>0287057</t>
  </si>
  <si>
    <t>COM3E LJ302</t>
  </si>
  <si>
    <t>2607314HXN</t>
  </si>
  <si>
    <t>NIQUELANDIA</t>
  </si>
  <si>
    <t>0287056</t>
  </si>
  <si>
    <t>2607314HXM</t>
  </si>
  <si>
    <t>0287055</t>
  </si>
  <si>
    <t>COM3E LJ301</t>
  </si>
  <si>
    <t>COMERCIAL 3E DE ALIMENTOS LTDA</t>
  </si>
  <si>
    <t>2607314HXL</t>
  </si>
  <si>
    <t>0287054</t>
  </si>
  <si>
    <t>2607314HXK</t>
  </si>
  <si>
    <t>0283001</t>
  </si>
  <si>
    <t>ASSAI 214</t>
  </si>
  <si>
    <t>2605264C3L</t>
  </si>
  <si>
    <t>NF1010282287</t>
  </si>
  <si>
    <t>CALDAS NOVAS</t>
  </si>
  <si>
    <t>06057223044110</t>
  </si>
  <si>
    <t>0286865</t>
  </si>
  <si>
    <t>2607304HSE</t>
  </si>
  <si>
    <t>0285810</t>
  </si>
  <si>
    <t>2607064GZM</t>
  </si>
  <si>
    <t>0285691</t>
  </si>
  <si>
    <t>2606304FKA</t>
  </si>
  <si>
    <t>0284202</t>
  </si>
  <si>
    <t>2606124EC0</t>
  </si>
  <si>
    <t>0285693</t>
  </si>
  <si>
    <t>ASSAI 306</t>
  </si>
  <si>
    <t>SENDAS DISTRIBUIDORA</t>
  </si>
  <si>
    <t>2606304FKC</t>
  </si>
  <si>
    <t>06057223053372</t>
  </si>
  <si>
    <t>0284204</t>
  </si>
  <si>
    <t>2606124EC2</t>
  </si>
  <si>
    <t>0285820</t>
  </si>
  <si>
    <t>2607064GZW</t>
  </si>
  <si>
    <t>0286870</t>
  </si>
  <si>
    <t>2607304HSJ</t>
  </si>
  <si>
    <t>0282991</t>
  </si>
  <si>
    <t>2605264C3B</t>
  </si>
  <si>
    <t>NF1010282289</t>
  </si>
  <si>
    <t>0286866</t>
  </si>
  <si>
    <t>ASSAI 310</t>
  </si>
  <si>
    <t>2607304HSF</t>
  </si>
  <si>
    <t>06057223054344</t>
  </si>
  <si>
    <t>0283002</t>
  </si>
  <si>
    <t>2605264C3M</t>
  </si>
  <si>
    <t>NF1010282291</t>
  </si>
  <si>
    <t>0285811</t>
  </si>
  <si>
    <t>2607064GZN</t>
  </si>
  <si>
    <t>0285695</t>
  </si>
  <si>
    <t>2606304FKE</t>
  </si>
  <si>
    <t>0284206</t>
  </si>
  <si>
    <t>2606124EC4</t>
  </si>
  <si>
    <t>0285696</t>
  </si>
  <si>
    <t>ASSAI 320</t>
  </si>
  <si>
    <t>2606304FKF</t>
  </si>
  <si>
    <t>06057223053968</t>
  </si>
  <si>
    <t>0284187</t>
  </si>
  <si>
    <t>2606124EBL</t>
  </si>
  <si>
    <t>0285834</t>
  </si>
  <si>
    <t>2607064H0A</t>
  </si>
  <si>
    <t>0282208</t>
  </si>
  <si>
    <t>2605064BI3</t>
  </si>
  <si>
    <t>0286854</t>
  </si>
  <si>
    <t>2607304HS3</t>
  </si>
  <si>
    <t>0281141</t>
  </si>
  <si>
    <t>ASSAI 296</t>
  </si>
  <si>
    <t>26042249BD</t>
  </si>
  <si>
    <t>06057223052643</t>
  </si>
  <si>
    <t>0286859</t>
  </si>
  <si>
    <t>2607304HS8</t>
  </si>
  <si>
    <t>0282990</t>
  </si>
  <si>
    <t>2605264C3A</t>
  </si>
  <si>
    <t>NF1010282288</t>
  </si>
  <si>
    <t>0285872</t>
  </si>
  <si>
    <t>2607154H6Y</t>
  </si>
  <si>
    <t>0285692</t>
  </si>
  <si>
    <t>2606304FKB</t>
  </si>
  <si>
    <t>0284203</t>
  </si>
  <si>
    <t>2606124EC1</t>
  </si>
  <si>
    <t>0285694</t>
  </si>
  <si>
    <t>ASSAI 308</t>
  </si>
  <si>
    <t>2606304FKD</t>
  </si>
  <si>
    <t>06057223054000</t>
  </si>
  <si>
    <t>0284205</t>
  </si>
  <si>
    <t>2606124EC3</t>
  </si>
  <si>
    <t>0285821</t>
  </si>
  <si>
    <t>2607064GZX</t>
  </si>
  <si>
    <t>0282992</t>
  </si>
  <si>
    <t>2605264C3C</t>
  </si>
  <si>
    <t>NF1010282290</t>
  </si>
  <si>
    <t>0286871</t>
  </si>
  <si>
    <t>2607304HSK</t>
  </si>
  <si>
    <t>0282770</t>
  </si>
  <si>
    <t>CEMA 52</t>
  </si>
  <si>
    <t>2605214BXE</t>
  </si>
  <si>
    <t>03083231004868</t>
  </si>
  <si>
    <t>0284372</t>
  </si>
  <si>
    <t>2606154EGO</t>
  </si>
  <si>
    <t>0287995</t>
  </si>
  <si>
    <t>R SARAIVA</t>
  </si>
  <si>
    <t>R SARAIVA DISTRIBUIDORA LTDA</t>
  </si>
  <si>
    <t>2608204JIY</t>
  </si>
  <si>
    <t>062 998052978</t>
  </si>
  <si>
    <t>04386543000140</t>
  </si>
  <si>
    <t>0287983</t>
  </si>
  <si>
    <t>2608204JIM</t>
  </si>
  <si>
    <t>0287060</t>
  </si>
  <si>
    <t>COM3E LJ303</t>
  </si>
  <si>
    <t>2607314HXQ</t>
  </si>
  <si>
    <t>3280-6670</t>
  </si>
  <si>
    <t>0287058</t>
  </si>
  <si>
    <t>2607314HXO</t>
  </si>
  <si>
    <t>0283003</t>
  </si>
  <si>
    <t>ASSAI 348</t>
  </si>
  <si>
    <t>2605264C3N</t>
  </si>
  <si>
    <t>NF1010282292</t>
  </si>
  <si>
    <t>06057223058331</t>
  </si>
  <si>
    <t>0286860</t>
  </si>
  <si>
    <t>2607304HS9</t>
  </si>
  <si>
    <t>0284207</t>
  </si>
  <si>
    <t>2606124EC5</t>
  </si>
  <si>
    <t>0285698</t>
  </si>
  <si>
    <t>2606304FKH</t>
  </si>
  <si>
    <t>0285812</t>
  </si>
  <si>
    <t>2607064GZO</t>
  </si>
  <si>
    <t>0284188</t>
  </si>
  <si>
    <t>ASSAI 347</t>
  </si>
  <si>
    <t>2606124EBM</t>
  </si>
  <si>
    <t>06057223057440</t>
  </si>
  <si>
    <t>0285697</t>
  </si>
  <si>
    <t>2606304FKG</t>
  </si>
  <si>
    <t>0286855</t>
  </si>
  <si>
    <t>2607304HS4</t>
  </si>
  <si>
    <t>0285835</t>
  </si>
  <si>
    <t>2607064H0B</t>
  </si>
  <si>
    <t>0282209</t>
  </si>
  <si>
    <t>2605064BI4</t>
  </si>
  <si>
    <t>0286912</t>
  </si>
  <si>
    <t>SUPER MENDES</t>
  </si>
  <si>
    <t>DIVINO MENDES O GOIANO LTDA</t>
  </si>
  <si>
    <t>2607314HTL</t>
  </si>
  <si>
    <t>CRISTALINA</t>
  </si>
  <si>
    <t>0287409</t>
  </si>
  <si>
    <t>2608064J45</t>
  </si>
  <si>
    <t>0287636</t>
  </si>
  <si>
    <t>UNI-DELTA</t>
  </si>
  <si>
    <t>SUPERMERCADO DELTA MAX LTDA</t>
  </si>
  <si>
    <t>2608124J9I</t>
  </si>
  <si>
    <t>19-3429-0210</t>
  </si>
  <si>
    <t>00286528000683</t>
  </si>
  <si>
    <t>0287408</t>
  </si>
  <si>
    <t>UNI-TOZETTO2</t>
  </si>
  <si>
    <t>TOZETTO &amp; CIA LTDA</t>
  </si>
  <si>
    <t>2608064J44</t>
  </si>
  <si>
    <t>PONTA GROSSA</t>
  </si>
  <si>
    <t>(42) 3025-8250</t>
  </si>
  <si>
    <t>0286059</t>
  </si>
  <si>
    <t>2607144H5V</t>
  </si>
  <si>
    <t>0287476</t>
  </si>
  <si>
    <t>JAE ILHA</t>
  </si>
  <si>
    <t>JAE ILHA DESCARTAVEIS E LIMPEZA LTDA</t>
  </si>
  <si>
    <t>2608064J63</t>
  </si>
  <si>
    <t>21 97260 5622</t>
  </si>
  <si>
    <t>04220523000102</t>
  </si>
  <si>
    <t>0285636</t>
  </si>
  <si>
    <t>DIST SANTOS</t>
  </si>
  <si>
    <t>ARMAZEM SANTOS DE MIRACEMA LTDA</t>
  </si>
  <si>
    <t>2606304FIR</t>
  </si>
  <si>
    <t>MIRACEMA</t>
  </si>
  <si>
    <t>0285026</t>
  </si>
  <si>
    <t>2606254EZE</t>
  </si>
  <si>
    <t>0285027</t>
  </si>
  <si>
    <t>2606254EZF</t>
  </si>
  <si>
    <t>0287047</t>
  </si>
  <si>
    <t>ASSAI CD922</t>
  </si>
  <si>
    <t>2607314HXD</t>
  </si>
  <si>
    <t>695806/1</t>
  </si>
  <si>
    <t>06057223055588</t>
  </si>
  <si>
    <t>0287830</t>
  </si>
  <si>
    <t>2608184JEI</t>
  </si>
  <si>
    <t>NF1010287045</t>
  </si>
  <si>
    <t>0287046</t>
  </si>
  <si>
    <t>2607314HXC</t>
  </si>
  <si>
    <t>0287829</t>
  </si>
  <si>
    <t>2608184JEH</t>
  </si>
  <si>
    <t>0282736</t>
  </si>
  <si>
    <t>2605214BWG</t>
  </si>
  <si>
    <t>688584/1</t>
  </si>
  <si>
    <t>0282735</t>
  </si>
  <si>
    <t>2605214BWF</t>
  </si>
  <si>
    <t>0014361</t>
  </si>
  <si>
    <t>2607310D4C</t>
  </si>
  <si>
    <t>695806/2</t>
  </si>
  <si>
    <t>0014021</t>
  </si>
  <si>
    <t>2605220CPN</t>
  </si>
  <si>
    <t>688584/2</t>
  </si>
  <si>
    <t>0013790</t>
  </si>
  <si>
    <t>2603310CEP</t>
  </si>
  <si>
    <t>684288/2</t>
  </si>
  <si>
    <t>0017357</t>
  </si>
  <si>
    <t>ASSAI 324</t>
  </si>
  <si>
    <t>2607310MVL</t>
  </si>
  <si>
    <t>SERRA</t>
  </si>
  <si>
    <t>(11)3411-5000</t>
  </si>
  <si>
    <t>06057223055316</t>
  </si>
  <si>
    <t>0016822</t>
  </si>
  <si>
    <t>2606010M4C</t>
  </si>
  <si>
    <t>0017356</t>
  </si>
  <si>
    <t>ASSAI 299</t>
  </si>
  <si>
    <t>2607310MVK</t>
  </si>
  <si>
    <t>VITORIA</t>
  </si>
  <si>
    <t>06057223054263</t>
  </si>
  <si>
    <t>0016821</t>
  </si>
  <si>
    <t>2606010M4B</t>
  </si>
  <si>
    <t>0017358</t>
  </si>
  <si>
    <t>ASSAI 341</t>
  </si>
  <si>
    <t>2607310MVM</t>
  </si>
  <si>
    <t>VILA VELHA</t>
  </si>
  <si>
    <t>06057223057017</t>
  </si>
  <si>
    <t>0016823</t>
  </si>
  <si>
    <t>2606010M4D</t>
  </si>
  <si>
    <t>0287311</t>
  </si>
  <si>
    <t>RE-IRMAOS GP</t>
  </si>
  <si>
    <t>IRMAOS GP COMERCIO E REPRESENTACOES LTDA</t>
  </si>
  <si>
    <t>2608054IWZ</t>
  </si>
  <si>
    <t>COXIM</t>
  </si>
  <si>
    <t>67-3291-3155</t>
  </si>
  <si>
    <t>03735605000119</t>
  </si>
  <si>
    <t>0287309</t>
  </si>
  <si>
    <t>RE-G.P COML</t>
  </si>
  <si>
    <t>G. P. COML. DE ALIMENTOS LTDA.</t>
  </si>
  <si>
    <t>2608054IWX</t>
  </si>
  <si>
    <t>291-2281</t>
  </si>
  <si>
    <t>0287305</t>
  </si>
  <si>
    <t>GESSI</t>
  </si>
  <si>
    <t>GESSI DOS SANTOS SALOMAO ME</t>
  </si>
  <si>
    <t>2608054IWT</t>
  </si>
  <si>
    <t>PEDRO GOMES</t>
  </si>
  <si>
    <t>67-9-9644-2479</t>
  </si>
  <si>
    <t>07317095000110</t>
  </si>
  <si>
    <t>0286372</t>
  </si>
  <si>
    <t>VERATTI</t>
  </si>
  <si>
    <t>VRA COMERCIO LTDA</t>
  </si>
  <si>
    <t>2607224HDE</t>
  </si>
  <si>
    <t>COSTA RICA</t>
  </si>
  <si>
    <t>67-3247-1336</t>
  </si>
  <si>
    <t>02318826000129</t>
  </si>
  <si>
    <t>0286376</t>
  </si>
  <si>
    <t>VERATTI 2</t>
  </si>
  <si>
    <t>2607224HDI</t>
  </si>
  <si>
    <t>67-3231 6196</t>
  </si>
  <si>
    <t>02318826000200</t>
  </si>
  <si>
    <t>0286661</t>
  </si>
  <si>
    <t>VERATTI 3</t>
  </si>
  <si>
    <t>2607274HNE</t>
  </si>
  <si>
    <t>67-3341-9099</t>
  </si>
  <si>
    <t>02318826000390</t>
  </si>
  <si>
    <t>0287307</t>
  </si>
  <si>
    <t>MERC GRISON</t>
  </si>
  <si>
    <t>GRISON &amp; FILHA LTDA - EPP</t>
  </si>
  <si>
    <t>2608054IWV</t>
  </si>
  <si>
    <t>SONORA</t>
  </si>
  <si>
    <t>67-32541667</t>
  </si>
  <si>
    <t>02241060000121</t>
  </si>
  <si>
    <t>0287310</t>
  </si>
  <si>
    <t>RE-GP MAIS</t>
  </si>
  <si>
    <t>COMERCIAL DE ALIMENTOS GO MAIS LTDA</t>
  </si>
  <si>
    <t>2608054IWY</t>
  </si>
  <si>
    <t>67-3291-7809</t>
  </si>
  <si>
    <t>0286720</t>
  </si>
  <si>
    <t>ASSAI 80</t>
  </si>
  <si>
    <t>2607284HP3</t>
  </si>
  <si>
    <t>06057223030240</t>
  </si>
  <si>
    <t>0284309</t>
  </si>
  <si>
    <t>2606154EF2</t>
  </si>
  <si>
    <t>0285038</t>
  </si>
  <si>
    <t>2606264EZQ</t>
  </si>
  <si>
    <t>0285039</t>
  </si>
  <si>
    <t>ASSAI 92</t>
  </si>
  <si>
    <t>2606264EZR</t>
  </si>
  <si>
    <t>06057223030321</t>
  </si>
  <si>
    <t>0284310</t>
  </si>
  <si>
    <t>2606154EF3</t>
  </si>
  <si>
    <t>0286721</t>
  </si>
  <si>
    <t>2607284HP4</t>
  </si>
  <si>
    <t>0284306</t>
  </si>
  <si>
    <t>ASSAI 100</t>
  </si>
  <si>
    <t>2606154EEZ</t>
  </si>
  <si>
    <t>06057223030917</t>
  </si>
  <si>
    <t>0286718</t>
  </si>
  <si>
    <t>2607284HP1</t>
  </si>
  <si>
    <t>0285035</t>
  </si>
  <si>
    <t>2606264EZN</t>
  </si>
  <si>
    <t>0282034</t>
  </si>
  <si>
    <t>2604304A04</t>
  </si>
  <si>
    <t>0286379</t>
  </si>
  <si>
    <t>VERATTI 7</t>
  </si>
  <si>
    <t>2607224HDL</t>
  </si>
  <si>
    <t>CHAPADAO DO SUL</t>
  </si>
  <si>
    <t>67-3562-2969</t>
  </si>
  <si>
    <t>02318826000714</t>
  </si>
  <si>
    <t>0286080</t>
  </si>
  <si>
    <t>ABV LJ 19</t>
  </si>
  <si>
    <t>2607154H7I</t>
  </si>
  <si>
    <t>67 99676-4025</t>
  </si>
  <si>
    <t>04757459002210</t>
  </si>
  <si>
    <t>0286722</t>
  </si>
  <si>
    <t>ASSAI 97</t>
  </si>
  <si>
    <t>2607284HP5</t>
  </si>
  <si>
    <t>06057223041013</t>
  </si>
  <si>
    <t>0284311</t>
  </si>
  <si>
    <t>2606154EF4</t>
  </si>
  <si>
    <t>0285040</t>
  </si>
  <si>
    <t>2606264EZS</t>
  </si>
  <si>
    <t>0286380</t>
  </si>
  <si>
    <t>VERATTI 8</t>
  </si>
  <si>
    <t>2607224HDM</t>
  </si>
  <si>
    <t>AMAMBAI</t>
  </si>
  <si>
    <t>67 3481-8850</t>
  </si>
  <si>
    <t>02318826000986</t>
  </si>
  <si>
    <t>0286381</t>
  </si>
  <si>
    <t>VERATTI 9</t>
  </si>
  <si>
    <t>2607224HDN</t>
  </si>
  <si>
    <t>67 3481 8800</t>
  </si>
  <si>
    <t>02318826001010</t>
  </si>
  <si>
    <t>0286719</t>
  </si>
  <si>
    <t>ASSAI 241</t>
  </si>
  <si>
    <t>2607284HP2</t>
  </si>
  <si>
    <t>06057223045949</t>
  </si>
  <si>
    <t>0285036</t>
  </si>
  <si>
    <t>2606264EZO</t>
  </si>
  <si>
    <t>0284307</t>
  </si>
  <si>
    <t>2606154EF0</t>
  </si>
  <si>
    <t>0284308</t>
  </si>
  <si>
    <t>ASSAI 307</t>
  </si>
  <si>
    <t>2606154EF1</t>
  </si>
  <si>
    <t>11 3411-5000</t>
  </si>
  <si>
    <t>06057223049421</t>
  </si>
  <si>
    <t>0285037</t>
  </si>
  <si>
    <t>2606264EZP</t>
  </si>
  <si>
    <t>0286081</t>
  </si>
  <si>
    <t>ABV LJ 20</t>
  </si>
  <si>
    <t>2607154H7J</t>
  </si>
  <si>
    <t>04757459003534</t>
  </si>
  <si>
    <t>0286082</t>
  </si>
  <si>
    <t>ABV LJ 21</t>
  </si>
  <si>
    <t>2607154H7K</t>
  </si>
  <si>
    <t>PENAPOLIS</t>
  </si>
  <si>
    <t>64 3410 7200</t>
  </si>
  <si>
    <t>04757459003615</t>
  </si>
  <si>
    <t>0284767</t>
  </si>
  <si>
    <t>ABV LJ 24</t>
  </si>
  <si>
    <t>2606234ES8</t>
  </si>
  <si>
    <t>PARANAIBA</t>
  </si>
  <si>
    <t>04757459002996</t>
  </si>
  <si>
    <t>0284768</t>
  </si>
  <si>
    <t>2606234ES9</t>
  </si>
  <si>
    <t>0284779</t>
  </si>
  <si>
    <t>ABV LJ 30</t>
  </si>
  <si>
    <t>2606234ESK</t>
  </si>
  <si>
    <t>04757459003704</t>
  </si>
  <si>
    <t>0284780</t>
  </si>
  <si>
    <t>2606234ESL</t>
  </si>
  <si>
    <t>0286369</t>
  </si>
  <si>
    <t>2607224HDB</t>
  </si>
  <si>
    <t>0284782</t>
  </si>
  <si>
    <t>ABV LJ 31</t>
  </si>
  <si>
    <t>2606234ESN</t>
  </si>
  <si>
    <t>04757459003887</t>
  </si>
  <si>
    <t>0286371</t>
  </si>
  <si>
    <t>2607224HDD</t>
  </si>
  <si>
    <t>0284783</t>
  </si>
  <si>
    <t>2606234ESO</t>
  </si>
  <si>
    <t>0282875</t>
  </si>
  <si>
    <t>2605254C02</t>
  </si>
  <si>
    <t>0287452</t>
  </si>
  <si>
    <t>ATAC NANTES</t>
  </si>
  <si>
    <t>SUPERMERCADO NANTES LTDA</t>
  </si>
  <si>
    <t>2608064J5F</t>
  </si>
  <si>
    <t>(67) 3291-1744</t>
  </si>
  <si>
    <t>04860926000299</t>
  </si>
  <si>
    <t>0287312</t>
  </si>
  <si>
    <t>SUPER VALLE</t>
  </si>
  <si>
    <t>SUPER VALLE SUPERMERCADOS LTDA</t>
  </si>
  <si>
    <t>2608054IX0</t>
  </si>
  <si>
    <t>067 35621615</t>
  </si>
  <si>
    <t>04265309000164</t>
  </si>
  <si>
    <t>0287315</t>
  </si>
  <si>
    <t>SUPER VALLE1</t>
  </si>
  <si>
    <t>SUPER VALLE SUPERMERCADOS</t>
  </si>
  <si>
    <t>2608054IX3</t>
  </si>
  <si>
    <t>CASSILANDIA</t>
  </si>
  <si>
    <t>067 35961059</t>
  </si>
  <si>
    <t>04265309000407</t>
  </si>
  <si>
    <t>0286373</t>
  </si>
  <si>
    <t>VERATTI 10</t>
  </si>
  <si>
    <t>2607224HDF</t>
  </si>
  <si>
    <t>067 98666489</t>
  </si>
  <si>
    <t>02318826001109</t>
  </si>
  <si>
    <t>0286374</t>
  </si>
  <si>
    <t>VERATTI 11</t>
  </si>
  <si>
    <t>2607224HDG</t>
  </si>
  <si>
    <t>67 3247 1336</t>
  </si>
  <si>
    <t>02318826001281</t>
  </si>
  <si>
    <t>0282778</t>
  </si>
  <si>
    <t>ABV LJ 35</t>
  </si>
  <si>
    <t>2605214BXM</t>
  </si>
  <si>
    <t>067 98780299</t>
  </si>
  <si>
    <t>04757459004182</t>
  </si>
  <si>
    <t>0286349</t>
  </si>
  <si>
    <t>2607224HCR</t>
  </si>
  <si>
    <t>0281259</t>
  </si>
  <si>
    <t>26042449EN</t>
  </si>
  <si>
    <t>0286348</t>
  </si>
  <si>
    <t>2607224HCQ</t>
  </si>
  <si>
    <t>0283946</t>
  </si>
  <si>
    <t>2606084E52</t>
  </si>
  <si>
    <t>0284791</t>
  </si>
  <si>
    <t>2606234ESW</t>
  </si>
  <si>
    <t>0286378</t>
  </si>
  <si>
    <t>VERATTI 5</t>
  </si>
  <si>
    <t>2607224HDK</t>
  </si>
  <si>
    <t>02318826000633</t>
  </si>
  <si>
    <t>0016788</t>
  </si>
  <si>
    <t>ATACADAO 3</t>
  </si>
  <si>
    <t>67-3312-4444</t>
  </si>
  <si>
    <t>0017270</t>
  </si>
  <si>
    <t>0017317</t>
  </si>
  <si>
    <t>ATACADAO 8CD</t>
  </si>
  <si>
    <t>2607310MWD</t>
  </si>
  <si>
    <t>61-3336-9400</t>
  </si>
  <si>
    <t>0017412</t>
  </si>
  <si>
    <t>ATACADAO 9CD</t>
  </si>
  <si>
    <t>2608040N1T</t>
  </si>
  <si>
    <t>MARINGA</t>
  </si>
  <si>
    <t>44-3261-8405</t>
  </si>
  <si>
    <t>0017205</t>
  </si>
  <si>
    <t>ATACADAO 65</t>
  </si>
  <si>
    <t>2607150MS0</t>
  </si>
  <si>
    <t>0017206</t>
  </si>
  <si>
    <t>2607150MS1</t>
  </si>
  <si>
    <t>260720Tsvq</t>
  </si>
  <si>
    <t>PADRAO</t>
  </si>
  <si>
    <t>0017269</t>
  </si>
  <si>
    <t>ATACADAO 2CD</t>
  </si>
  <si>
    <t>67-3312-4423</t>
  </si>
  <si>
    <t>0016787</t>
  </si>
  <si>
    <t>0017012</t>
  </si>
  <si>
    <t>ATACADAO 75</t>
  </si>
  <si>
    <t>SAPUCAIA DO SUL</t>
  </si>
  <si>
    <t>51-3453-2902</t>
  </si>
  <si>
    <t>0017011</t>
  </si>
  <si>
    <t>0016789</t>
  </si>
  <si>
    <t>ATACADAO 7</t>
  </si>
  <si>
    <t>67-3212-4467</t>
  </si>
  <si>
    <t>0017273</t>
  </si>
  <si>
    <t>0017271</t>
  </si>
  <si>
    <t>ATACADAO 31</t>
  </si>
  <si>
    <t>67-3345-4401</t>
  </si>
  <si>
    <t>0016790</t>
  </si>
  <si>
    <t>0017407</t>
  </si>
  <si>
    <t>ATACADAO 39</t>
  </si>
  <si>
    <t>2608040N1O</t>
  </si>
  <si>
    <t>LONDRINA</t>
  </si>
  <si>
    <t>43-3374-8406</t>
  </si>
  <si>
    <t>0017408</t>
  </si>
  <si>
    <t>ATACADAO 42</t>
  </si>
  <si>
    <t>2608040N1P</t>
  </si>
  <si>
    <t>44-3218-8406</t>
  </si>
  <si>
    <t>0017203</t>
  </si>
  <si>
    <t>ATACADAO 63</t>
  </si>
  <si>
    <t>(021) 2173-4949</t>
  </si>
  <si>
    <t>0017204</t>
  </si>
  <si>
    <t>2607150MRZ</t>
  </si>
  <si>
    <t>2607150MRY</t>
  </si>
  <si>
    <t>0017208</t>
  </si>
  <si>
    <t>ATACADAO 67</t>
  </si>
  <si>
    <t>NOVA IGUACU</t>
  </si>
  <si>
    <t>0017207</t>
  </si>
  <si>
    <t>0017308</t>
  </si>
  <si>
    <t>ATACADAO 14</t>
  </si>
  <si>
    <t>2607310MW4</t>
  </si>
  <si>
    <t>61-3336-9430</t>
  </si>
  <si>
    <t>0016839</t>
  </si>
  <si>
    <t>0016845</t>
  </si>
  <si>
    <t>ATACADAO 61</t>
  </si>
  <si>
    <t>61-3448-8400</t>
  </si>
  <si>
    <t>0016846</t>
  </si>
  <si>
    <t>NF1040016560</t>
  </si>
  <si>
    <t>0017314</t>
  </si>
  <si>
    <t>2607310MWA</t>
  </si>
  <si>
    <t>0016699</t>
  </si>
  <si>
    <t>ATACADAO 82</t>
  </si>
  <si>
    <t>JUAZEIRO DO NORTE</t>
  </si>
  <si>
    <t>88-3312-6956</t>
  </si>
  <si>
    <t>0016925</t>
  </si>
  <si>
    <t>0017502</t>
  </si>
  <si>
    <t>2608170N5Z</t>
  </si>
  <si>
    <t>0017330</t>
  </si>
  <si>
    <t>ATACADA101CD</t>
  </si>
  <si>
    <t>2607310MUU</t>
  </si>
  <si>
    <t>63-3213-4906</t>
  </si>
  <si>
    <t>0016877</t>
  </si>
  <si>
    <t>0017501</t>
  </si>
  <si>
    <t>ATACADAO 80</t>
  </si>
  <si>
    <t>2608170N5Y</t>
  </si>
  <si>
    <t>85-3293-3206</t>
  </si>
  <si>
    <t>0016924</t>
  </si>
  <si>
    <t>0016929</t>
  </si>
  <si>
    <t>ATACADAO 126</t>
  </si>
  <si>
    <t>86-3131-7324</t>
  </si>
  <si>
    <t>0016995</t>
  </si>
  <si>
    <t>ATACADAO 123</t>
  </si>
  <si>
    <t>RIO GRANDE</t>
  </si>
  <si>
    <t>53 3293 5906</t>
  </si>
  <si>
    <t>0016996</t>
  </si>
  <si>
    <t>0016993</t>
  </si>
  <si>
    <t>ATACADAO 122</t>
  </si>
  <si>
    <t>PELOTAS</t>
  </si>
  <si>
    <t>0016994</t>
  </si>
  <si>
    <t>0016997</t>
  </si>
  <si>
    <t>ATACADAO 132</t>
  </si>
  <si>
    <t>NOVO HAMBURGO</t>
  </si>
  <si>
    <t>0016998</t>
  </si>
  <si>
    <t>0017400</t>
  </si>
  <si>
    <t>ATACADAO 135</t>
  </si>
  <si>
    <t>2608040N1H</t>
  </si>
  <si>
    <t>0017044</t>
  </si>
  <si>
    <t>ATACADAO 88</t>
  </si>
  <si>
    <t>PORTO ALEGRE</t>
  </si>
  <si>
    <t>0017043</t>
  </si>
  <si>
    <t>0017164</t>
  </si>
  <si>
    <t>ATACADAO 130</t>
  </si>
  <si>
    <t>2607150MQV</t>
  </si>
  <si>
    <t>MACAE</t>
  </si>
  <si>
    <t>0017163</t>
  </si>
  <si>
    <t>2607150MQU</t>
  </si>
  <si>
    <t>0016887</t>
  </si>
  <si>
    <t>ATACADAO 141</t>
  </si>
  <si>
    <t>0016791</t>
  </si>
  <si>
    <t>ATACADAO 137</t>
  </si>
  <si>
    <t>0017267</t>
  </si>
  <si>
    <t>2607280MTQ</t>
  </si>
  <si>
    <t>0016988</t>
  </si>
  <si>
    <t>ATACADA142CD</t>
  </si>
  <si>
    <t>51-3452-8234</t>
  </si>
  <si>
    <t>0017374</t>
  </si>
  <si>
    <t>ATACADAO 118</t>
  </si>
  <si>
    <t>2608010MWO</t>
  </si>
  <si>
    <t>MANAUS</t>
  </si>
  <si>
    <t>11-2964-7235</t>
  </si>
  <si>
    <t>0016731</t>
  </si>
  <si>
    <t>0017061</t>
  </si>
  <si>
    <t>0017062</t>
  </si>
  <si>
    <t>0016732</t>
  </si>
  <si>
    <t>ATACADAO 149</t>
  </si>
  <si>
    <t>0017063</t>
  </si>
  <si>
    <t>2606240MHP</t>
  </si>
  <si>
    <t>0017375</t>
  </si>
  <si>
    <t>2608010MWP</t>
  </si>
  <si>
    <t>0017064</t>
  </si>
  <si>
    <t>2606240MHQ</t>
  </si>
  <si>
    <t>0016709</t>
  </si>
  <si>
    <t>ATACADA154CD</t>
  </si>
  <si>
    <t>0112967951</t>
  </si>
  <si>
    <t>0017377</t>
  </si>
  <si>
    <t>2608010MWR</t>
  </si>
  <si>
    <t>0017071</t>
  </si>
  <si>
    <t>0016724</t>
  </si>
  <si>
    <t>ATACADA155CD</t>
  </si>
  <si>
    <t>0017076</t>
  </si>
  <si>
    <t>ATACADAO 153</t>
  </si>
  <si>
    <t>0112967971</t>
  </si>
  <si>
    <t>0017075</t>
  </si>
  <si>
    <t>0017379</t>
  </si>
  <si>
    <t>2608010MWT</t>
  </si>
  <si>
    <t>0017167</t>
  </si>
  <si>
    <t>ATACADAO 157</t>
  </si>
  <si>
    <t>2607150MQY</t>
  </si>
  <si>
    <t>SAO PEDRO DA ALDEIA</t>
  </si>
  <si>
    <t>0110296795</t>
  </si>
  <si>
    <t>0017168</t>
  </si>
  <si>
    <t>2607150MQZ</t>
  </si>
  <si>
    <t>0016919</t>
  </si>
  <si>
    <t>ATACADAO 158</t>
  </si>
  <si>
    <t>EUSEBIO</t>
  </si>
  <si>
    <t>0017494</t>
  </si>
  <si>
    <t>2608170N5R</t>
  </si>
  <si>
    <t>0016733</t>
  </si>
  <si>
    <t>ATACADAO 159</t>
  </si>
  <si>
    <t>MACAPA</t>
  </si>
  <si>
    <t>11-2967-9517</t>
  </si>
  <si>
    <t>AP</t>
  </si>
  <si>
    <t>0017389</t>
  </si>
  <si>
    <t>2608010MX3</t>
  </si>
  <si>
    <t>0017096</t>
  </si>
  <si>
    <t>0017095</t>
  </si>
  <si>
    <t>0017074</t>
  </si>
  <si>
    <t>ATACADAO 138</t>
  </si>
  <si>
    <t>0017073</t>
  </si>
  <si>
    <t>0017378</t>
  </si>
  <si>
    <t>2608010MWS</t>
  </si>
  <si>
    <t>0016859</t>
  </si>
  <si>
    <t>ATACADAO 173</t>
  </si>
  <si>
    <t>ATACADAO S. A.</t>
  </si>
  <si>
    <t>SOBRAL</t>
  </si>
  <si>
    <t>0017495</t>
  </si>
  <si>
    <t>2608170N5S</t>
  </si>
  <si>
    <t>0016690</t>
  </si>
  <si>
    <t>ATACADAO 160</t>
  </si>
  <si>
    <t>0016928</t>
  </si>
  <si>
    <t>0017401</t>
  </si>
  <si>
    <t>ATACADAO 171</t>
  </si>
  <si>
    <t>ATACADAƒO S. A.</t>
  </si>
  <si>
    <t>2608040N1I</t>
  </si>
  <si>
    <t>11-2967-5917</t>
  </si>
  <si>
    <t>0017402</t>
  </si>
  <si>
    <t>ATACADAO 172</t>
  </si>
  <si>
    <t>2608040N1J</t>
  </si>
  <si>
    <t>CASCAVEL</t>
  </si>
  <si>
    <t>0017399</t>
  </si>
  <si>
    <t>ATACADA177CD</t>
  </si>
  <si>
    <t>2608040N1G</t>
  </si>
  <si>
    <t>PINHAIS</t>
  </si>
  <si>
    <t>0017101</t>
  </si>
  <si>
    <t>ATACADAO 179</t>
  </si>
  <si>
    <t>2606240MIR</t>
  </si>
  <si>
    <t>BOA VISTA</t>
  </si>
  <si>
    <t>11-2967-8235</t>
  </si>
  <si>
    <t>0017102</t>
  </si>
  <si>
    <t>2606240MIS</t>
  </si>
  <si>
    <t>0017390</t>
  </si>
  <si>
    <t>2608010MX4</t>
  </si>
  <si>
    <t>0016734</t>
  </si>
  <si>
    <t>0017170</t>
  </si>
  <si>
    <t>ATACADAO 174</t>
  </si>
  <si>
    <t>0017169</t>
  </si>
  <si>
    <t>0016713</t>
  </si>
  <si>
    <t>ATACADAO 182</t>
  </si>
  <si>
    <t>0017078</t>
  </si>
  <si>
    <t>0017077</t>
  </si>
  <si>
    <t>0017380</t>
  </si>
  <si>
    <t>2608010MWU</t>
  </si>
  <si>
    <t>0016874</t>
  </si>
  <si>
    <t>ATACADAO 186</t>
  </si>
  <si>
    <t>VILHENA</t>
  </si>
  <si>
    <t>0017171</t>
  </si>
  <si>
    <t>ATACADAO 193</t>
  </si>
  <si>
    <t>ITABORAI</t>
  </si>
  <si>
    <t>0017172</t>
  </si>
  <si>
    <t>0017066</t>
  </si>
  <si>
    <t>ATACADAO 188</t>
  </si>
  <si>
    <t>2606240MHS</t>
  </si>
  <si>
    <t>AM</t>
  </si>
  <si>
    <t>0017065</t>
  </si>
  <si>
    <t>2606240MHR</t>
  </si>
  <si>
    <t>0017376</t>
  </si>
  <si>
    <t>2608010MWQ</t>
  </si>
  <si>
    <t>0016735</t>
  </si>
  <si>
    <t>0016999</t>
  </si>
  <si>
    <t>ATACADAO 198</t>
  </si>
  <si>
    <t>ESTRELA</t>
  </si>
  <si>
    <t>0017000</t>
  </si>
  <si>
    <t>0017381</t>
  </si>
  <si>
    <t>ATACADAO 200</t>
  </si>
  <si>
    <t>2608010MWV</t>
  </si>
  <si>
    <t>MARABA</t>
  </si>
  <si>
    <t>11-2967-8735</t>
  </si>
  <si>
    <t>0016714</t>
  </si>
  <si>
    <t>0017080</t>
  </si>
  <si>
    <t>0017079</t>
  </si>
  <si>
    <t>0017173</t>
  </si>
  <si>
    <t>ATACADAO 202</t>
  </si>
  <si>
    <t>2607150MR4</t>
  </si>
  <si>
    <t>SAO GONCALO</t>
  </si>
  <si>
    <t>0017174</t>
  </si>
  <si>
    <t>2607150MR5</t>
  </si>
  <si>
    <t>0016920</t>
  </si>
  <si>
    <t>ATACADAO 189</t>
  </si>
  <si>
    <t>(11) 2967-8235</t>
  </si>
  <si>
    <t>0017496</t>
  </si>
  <si>
    <t>2608170N5T</t>
  </si>
  <si>
    <t>0016875</t>
  </si>
  <si>
    <t>ATACADAO 201</t>
  </si>
  <si>
    <t>0017175</t>
  </si>
  <si>
    <t>ATACADAO 207</t>
  </si>
  <si>
    <t>0017176</t>
  </si>
  <si>
    <t>0017177</t>
  </si>
  <si>
    <t>ATACADAO 210</t>
  </si>
  <si>
    <t>2607150MR8</t>
  </si>
  <si>
    <t>0017178</t>
  </si>
  <si>
    <t>2607150MR9</t>
  </si>
  <si>
    <t>0017403</t>
  </si>
  <si>
    <t>ATACADAO 222</t>
  </si>
  <si>
    <t>2608040N1K</t>
  </si>
  <si>
    <t>0016873</t>
  </si>
  <si>
    <t>ATACADA213CD</t>
  </si>
  <si>
    <t>0017468</t>
  </si>
  <si>
    <t>2608130N54</t>
  </si>
  <si>
    <t>RE2OUHDW9Z</t>
  </si>
  <si>
    <t>0017382</t>
  </si>
  <si>
    <t>ATACADAO 215</t>
  </si>
  <si>
    <t>2608010MWW</t>
  </si>
  <si>
    <t>0017081</t>
  </si>
  <si>
    <t>0017082</t>
  </si>
  <si>
    <t>0017404</t>
  </si>
  <si>
    <t>ATACADAO 227</t>
  </si>
  <si>
    <t>2608040N1L</t>
  </si>
  <si>
    <t>0017383</t>
  </si>
  <si>
    <t>ATACADAO 230</t>
  </si>
  <si>
    <t>2608010MWX</t>
  </si>
  <si>
    <t>CASTANHAL</t>
  </si>
  <si>
    <t>0017083</t>
  </si>
  <si>
    <t>0017084</t>
  </si>
  <si>
    <t>0016838</t>
  </si>
  <si>
    <t>ATACADA232CD</t>
  </si>
  <si>
    <t>0016792</t>
  </si>
  <si>
    <t>ATACADAO 237</t>
  </si>
  <si>
    <t>0017268</t>
  </si>
  <si>
    <t>0017384</t>
  </si>
  <si>
    <t>ATACADAO 238</t>
  </si>
  <si>
    <t>2608010MWY</t>
  </si>
  <si>
    <t>0017086</t>
  </si>
  <si>
    <t>0017085</t>
  </si>
  <si>
    <t>0017181</t>
  </si>
  <si>
    <t>ATACADAO 249</t>
  </si>
  <si>
    <t>0017182</t>
  </si>
  <si>
    <t>2607150MRD</t>
  </si>
  <si>
    <t>2607150MRC</t>
  </si>
  <si>
    <t>0016729</t>
  </si>
  <si>
    <t>ATACADACD248</t>
  </si>
  <si>
    <t>0017100</t>
  </si>
  <si>
    <t>2606240MIQ</t>
  </si>
  <si>
    <t>0017386</t>
  </si>
  <si>
    <t>2608010MX0</t>
  </si>
  <si>
    <t>0017099</t>
  </si>
  <si>
    <t>2606240MIP</t>
  </si>
  <si>
    <t>RE2OUHGAF9</t>
  </si>
  <si>
    <t>0017001</t>
  </si>
  <si>
    <t>ATACADAO 242</t>
  </si>
  <si>
    <t>VIAMAO</t>
  </si>
  <si>
    <t>0017002</t>
  </si>
  <si>
    <t>0017180</t>
  </si>
  <si>
    <t>ATACADAO 247</t>
  </si>
  <si>
    <t>2607150MRB</t>
  </si>
  <si>
    <t>0017179</t>
  </si>
  <si>
    <t>0016930</t>
  </si>
  <si>
    <t>ATACADAO 253</t>
  </si>
  <si>
    <t>PICOS</t>
  </si>
  <si>
    <t>0016692</t>
  </si>
  <si>
    <t>0016730</t>
  </si>
  <si>
    <t>ATACADACD256</t>
  </si>
  <si>
    <t>0017388</t>
  </si>
  <si>
    <t>NF1040017094</t>
  </si>
  <si>
    <t>0017387</t>
  </si>
  <si>
    <t>2608010MX1</t>
  </si>
  <si>
    <t>0017098</t>
  </si>
  <si>
    <t>ATACADAO 255</t>
  </si>
  <si>
    <t>0017391</t>
  </si>
  <si>
    <t>2608010MX5</t>
  </si>
  <si>
    <t>0017097</t>
  </si>
  <si>
    <t>0016736</t>
  </si>
  <si>
    <t>0017183</t>
  </si>
  <si>
    <t>ATACADAO 259</t>
  </si>
  <si>
    <t>2607150MRE</t>
  </si>
  <si>
    <t>NOVA FRIBURGO</t>
  </si>
  <si>
    <t>0017184</t>
  </si>
  <si>
    <t>2607150MRF</t>
  </si>
  <si>
    <t>0016686</t>
  </si>
  <si>
    <t>ATACADA265CD</t>
  </si>
  <si>
    <t>0017406</t>
  </si>
  <si>
    <t>ATACADAO 261</t>
  </si>
  <si>
    <t>2608040N1N</t>
  </si>
  <si>
    <t>UMUARAMA</t>
  </si>
  <si>
    <t>0017187</t>
  </si>
  <si>
    <t>ATACADAO 275</t>
  </si>
  <si>
    <t>2607150MRI</t>
  </si>
  <si>
    <t>0017188</t>
  </si>
  <si>
    <t>2607150MRJ</t>
  </si>
  <si>
    <t>0017191</t>
  </si>
  <si>
    <t>ATACADAO 289</t>
  </si>
  <si>
    <t>2607150MRM</t>
  </si>
  <si>
    <t>01-2967-3555</t>
  </si>
  <si>
    <t>0017192</t>
  </si>
  <si>
    <t>2607150MRN</t>
  </si>
  <si>
    <t>RE2OUHESC7</t>
  </si>
  <si>
    <t>0017405</t>
  </si>
  <si>
    <t>ATACADAO 260</t>
  </si>
  <si>
    <t>2608040N1M</t>
  </si>
  <si>
    <t>GUARAPUAVA</t>
  </si>
  <si>
    <t>0017310</t>
  </si>
  <si>
    <t>ATACADAO 297</t>
  </si>
  <si>
    <t>ATACADÃO S.A</t>
  </si>
  <si>
    <t>2607310MW6</t>
  </si>
  <si>
    <t>0016841</t>
  </si>
  <si>
    <t>0017196</t>
  </si>
  <si>
    <t>ATACADAO 292</t>
  </si>
  <si>
    <t>2607150MRR</t>
  </si>
  <si>
    <t>CAMPOS DOS GOYTACAZES</t>
  </si>
  <si>
    <t>0017195</t>
  </si>
  <si>
    <t>2607150MRQ</t>
  </si>
  <si>
    <t>0017193</t>
  </si>
  <si>
    <t>ATACADAO 291</t>
  </si>
  <si>
    <t>0017194</t>
  </si>
  <si>
    <t>2607150MRP</t>
  </si>
  <si>
    <t>0016931</t>
  </si>
  <si>
    <t>ATACADAO 298</t>
  </si>
  <si>
    <t>0017008</t>
  </si>
  <si>
    <t>ATACADAO 288</t>
  </si>
  <si>
    <t>0017007</t>
  </si>
  <si>
    <t>0016921</t>
  </si>
  <si>
    <t>ATACADAO 304</t>
  </si>
  <si>
    <t>0017497</t>
  </si>
  <si>
    <t>2608170N5U</t>
  </si>
  <si>
    <t>0016840</t>
  </si>
  <si>
    <t>ATACADAO 295</t>
  </si>
  <si>
    <t>0017309</t>
  </si>
  <si>
    <t>2607310MW5</t>
  </si>
  <si>
    <t>0016922</t>
  </si>
  <si>
    <t>ATACADAO 305</t>
  </si>
  <si>
    <t>0017498</t>
  </si>
  <si>
    <t>2608170N5V</t>
  </si>
  <si>
    <t>0016737</t>
  </si>
  <si>
    <t>ATACADAO 281</t>
  </si>
  <si>
    <t>0017068</t>
  </si>
  <si>
    <t>2606240MHU</t>
  </si>
  <si>
    <t>0017067</t>
  </si>
  <si>
    <t>2606240MHT</t>
  </si>
  <si>
    <t>0017069</t>
  </si>
  <si>
    <t>ATACADAO 286</t>
  </si>
  <si>
    <t>2606240MHV</t>
  </si>
  <si>
    <t>0017070</t>
  </si>
  <si>
    <t>2606240MHW</t>
  </si>
  <si>
    <t>0016738</t>
  </si>
  <si>
    <t>0017409</t>
  </si>
  <si>
    <t>ATACADAO 535</t>
  </si>
  <si>
    <t>2608040N1Q</t>
  </si>
  <si>
    <t>0017316</t>
  </si>
  <si>
    <t>ATACADAO 817</t>
  </si>
  <si>
    <t>2607310MWC</t>
  </si>
  <si>
    <t>11-96339-4642</t>
  </si>
  <si>
    <t>0016848</t>
  </si>
  <si>
    <t>2606010M52</t>
  </si>
  <si>
    <t>0017218</t>
  </si>
  <si>
    <t>ATACADAO 815</t>
  </si>
  <si>
    <t>2607150MSD</t>
  </si>
  <si>
    <t>0017217</t>
  </si>
  <si>
    <t>2607150MSC</t>
  </si>
  <si>
    <t>0017385</t>
  </si>
  <si>
    <t>ATACADAO 276</t>
  </si>
  <si>
    <t>2608010MWZ</t>
  </si>
  <si>
    <t>0017088</t>
  </si>
  <si>
    <t>0017087</t>
  </si>
  <si>
    <t>0017006</t>
  </si>
  <si>
    <t>ATACADAO 284</t>
  </si>
  <si>
    <t>CAXIAS DO SUL</t>
  </si>
  <si>
    <t>11-2967-8461</t>
  </si>
  <si>
    <t>0017005</t>
  </si>
  <si>
    <t>0017004</t>
  </si>
  <si>
    <t>ATACADAO 283</t>
  </si>
  <si>
    <t>0017003</t>
  </si>
  <si>
    <t>0016886</t>
  </si>
  <si>
    <t>ATACADACD308</t>
  </si>
  <si>
    <t>68-3213-7107</t>
  </si>
  <si>
    <t>0017089</t>
  </si>
  <si>
    <t>ATACADAO 326</t>
  </si>
  <si>
    <t>ABAETETUBA</t>
  </si>
  <si>
    <t>0017090</t>
  </si>
  <si>
    <t>0017201</t>
  </si>
  <si>
    <t>ATACADAO 336</t>
  </si>
  <si>
    <t>2607150MRW</t>
  </si>
  <si>
    <t>CABO FRIO</t>
  </si>
  <si>
    <t>0017202</t>
  </si>
  <si>
    <t>2607150MRX</t>
  </si>
  <si>
    <t>0017410</t>
  </si>
  <si>
    <t>ATACADAO 837</t>
  </si>
  <si>
    <t>2608040N1R</t>
  </si>
  <si>
    <t>CURITIBA</t>
  </si>
  <si>
    <t>0016926</t>
  </si>
  <si>
    <t>ATACADAO 828</t>
  </si>
  <si>
    <t>0016701</t>
  </si>
  <si>
    <t>2605180M0X</t>
  </si>
  <si>
    <t>0017504</t>
  </si>
  <si>
    <t>2608170N61</t>
  </si>
  <si>
    <t>0017503</t>
  </si>
  <si>
    <t>ATACADAO 826</t>
  </si>
  <si>
    <t>2608170N60</t>
  </si>
  <si>
    <t>0016703</t>
  </si>
  <si>
    <t>ATACADAO 849</t>
  </si>
  <si>
    <t>2605180M0Z</t>
  </si>
  <si>
    <t>0016932</t>
  </si>
  <si>
    <t>0016927</t>
  </si>
  <si>
    <t>ATACADAO 840</t>
  </si>
  <si>
    <t>0017505</t>
  </si>
  <si>
    <t>2608170N62</t>
  </si>
  <si>
    <t>0016842</t>
  </si>
  <si>
    <t>ATACADAO 320</t>
  </si>
  <si>
    <t>0017311</t>
  </si>
  <si>
    <t>2607310MW7</t>
  </si>
  <si>
    <t>0017313</t>
  </si>
  <si>
    <t>ATACADAO 350</t>
  </si>
  <si>
    <t>2607310MW9</t>
  </si>
  <si>
    <t>0016844</t>
  </si>
  <si>
    <t>0016843</t>
  </si>
  <si>
    <t>ATACADAO 343</t>
  </si>
  <si>
    <t>0017312</t>
  </si>
  <si>
    <t>2607310MW8</t>
  </si>
  <si>
    <t>0017042</t>
  </si>
  <si>
    <t>ATACADAO 876</t>
  </si>
  <si>
    <t>0017041</t>
  </si>
  <si>
    <t>0017040</t>
  </si>
  <si>
    <t>ATACADAO 868</t>
  </si>
  <si>
    <t>LAJEADO</t>
  </si>
  <si>
    <t>0017039</t>
  </si>
  <si>
    <t>0017038</t>
  </si>
  <si>
    <t>ATACADAO 867</t>
  </si>
  <si>
    <t>0017037</t>
  </si>
  <si>
    <t>0017036</t>
  </si>
  <si>
    <t>ATACADAO 866</t>
  </si>
  <si>
    <t>SANTO ANGELO</t>
  </si>
  <si>
    <t>0017035</t>
  </si>
  <si>
    <t>0017034</t>
  </si>
  <si>
    <t>ATACADAO 865</t>
  </si>
  <si>
    <t>0017033</t>
  </si>
  <si>
    <t>0017020</t>
  </si>
  <si>
    <t>ATACADAO 847</t>
  </si>
  <si>
    <t>0017019</t>
  </si>
  <si>
    <t>0017018</t>
  </si>
  <si>
    <t>ATACADAO 838</t>
  </si>
  <si>
    <t>0017017</t>
  </si>
  <si>
    <t>0017016</t>
  </si>
  <si>
    <t>ATACADAO 831</t>
  </si>
  <si>
    <t>BAGE</t>
  </si>
  <si>
    <t>0017015</t>
  </si>
  <si>
    <t>0017013</t>
  </si>
  <si>
    <t>ATACADAO 827</t>
  </si>
  <si>
    <t>CANOAS</t>
  </si>
  <si>
    <t>0017014</t>
  </si>
  <si>
    <t>0017411</t>
  </si>
  <si>
    <t>ATACADAO 859</t>
  </si>
  <si>
    <t>2608040N1S</t>
  </si>
  <si>
    <t>0017027</t>
  </si>
  <si>
    <t>ATACADAO 857</t>
  </si>
  <si>
    <t>SANTA MARIA</t>
  </si>
  <si>
    <t>0017028</t>
  </si>
  <si>
    <t>0017029</t>
  </si>
  <si>
    <t>ATACADAO 858</t>
  </si>
  <si>
    <t>SANT'ANA DO LIVRAMENTO</t>
  </si>
  <si>
    <t>0017030</t>
  </si>
  <si>
    <t>0017026</t>
  </si>
  <si>
    <t>ATACADAO 856</t>
  </si>
  <si>
    <t>URUGUAIANA</t>
  </si>
  <si>
    <t>0017025</t>
  </si>
  <si>
    <t>0017021</t>
  </si>
  <si>
    <t>ATACADAO 852</t>
  </si>
  <si>
    <t>SAPIRANGA</t>
  </si>
  <si>
    <t>0017022</t>
  </si>
  <si>
    <t>0017023</t>
  </si>
  <si>
    <t>ATACADAO 854</t>
  </si>
  <si>
    <t>ALVORADA</t>
  </si>
  <si>
    <t>0017024</t>
  </si>
  <si>
    <t>0017032</t>
  </si>
  <si>
    <t>ATACADAO 861</t>
  </si>
  <si>
    <t>GRAVATAI</t>
  </si>
  <si>
    <t>0017031</t>
  </si>
  <si>
    <t>0017359</t>
  </si>
  <si>
    <t>ATACADAO 823</t>
  </si>
  <si>
    <t>2607310MVN</t>
  </si>
  <si>
    <t>0017199</t>
  </si>
  <si>
    <t>ATACADAO 319</t>
  </si>
  <si>
    <t>MARICA</t>
  </si>
  <si>
    <t>81-3722-8755</t>
  </si>
  <si>
    <t>0017200</t>
  </si>
  <si>
    <t>2607150MRV</t>
  </si>
  <si>
    <t>2607150MRU</t>
  </si>
  <si>
    <t>0017190</t>
  </si>
  <si>
    <t>ATACADAO 278</t>
  </si>
  <si>
    <t>0017189</t>
  </si>
  <si>
    <t>0017186</t>
  </si>
  <si>
    <t>ATACADAO 270</t>
  </si>
  <si>
    <t>RIO DAS OSTRAS</t>
  </si>
  <si>
    <t>0017185</t>
  </si>
  <si>
    <t>0017506</t>
  </si>
  <si>
    <t>ATACADAO 871</t>
  </si>
  <si>
    <t>2608170N63</t>
  </si>
  <si>
    <t>0017475</t>
  </si>
  <si>
    <t>ATACADAO 886</t>
  </si>
  <si>
    <t>2608170N58</t>
  </si>
  <si>
    <t>0016933</t>
  </si>
  <si>
    <t>0016888</t>
  </si>
  <si>
    <t>0017197</t>
  </si>
  <si>
    <t>ATACADAO 294</t>
  </si>
  <si>
    <t>0017198</t>
  </si>
  <si>
    <t>2607150MRT</t>
  </si>
  <si>
    <t>2607150MRS</t>
  </si>
  <si>
    <t>0016937</t>
  </si>
  <si>
    <t>ATACADAO 890</t>
  </si>
  <si>
    <t>0016891</t>
  </si>
  <si>
    <t>0017478</t>
  </si>
  <si>
    <t>2608170N5B</t>
  </si>
  <si>
    <t>0017321</t>
  </si>
  <si>
    <t>ATACADAO 904</t>
  </si>
  <si>
    <t>2607310MWH</t>
  </si>
  <si>
    <t>11 2967-8535</t>
  </si>
  <si>
    <t>0016852</t>
  </si>
  <si>
    <t>2606010M56</t>
  </si>
  <si>
    <t>0017009</t>
  </si>
  <si>
    <t>ATACADAO 29</t>
  </si>
  <si>
    <t>CACHOEIRINHA</t>
  </si>
  <si>
    <t>0017010</t>
  </si>
  <si>
    <t>0016872</t>
  </si>
  <si>
    <t>ATACADAO 927</t>
  </si>
  <si>
    <t>0017487</t>
  </si>
  <si>
    <t>2608170N5K</t>
  </si>
  <si>
    <t>0016943</t>
  </si>
  <si>
    <t>ATACADAO 928</t>
  </si>
  <si>
    <t>0017488</t>
  </si>
  <si>
    <t>2608170N5L</t>
  </si>
  <si>
    <t>0016898</t>
  </si>
  <si>
    <t>2606010M6G</t>
  </si>
  <si>
    <t>0017477</t>
  </si>
  <si>
    <t>ATACADAO 889</t>
  </si>
  <si>
    <t xml:space="preserve"> WMS SUPERMERCADOS DO BRASIL LTDA</t>
  </si>
  <si>
    <t>2608170N5A</t>
  </si>
  <si>
    <t>0016890</t>
  </si>
  <si>
    <t>0016935</t>
  </si>
  <si>
    <t>0017474</t>
  </si>
  <si>
    <t>ATACADACD802</t>
  </si>
  <si>
    <t>2608170N57</t>
  </si>
  <si>
    <t>65 3611-4420</t>
  </si>
  <si>
    <t>0017467</t>
  </si>
  <si>
    <t>2608130N53</t>
  </si>
  <si>
    <t>0017466</t>
  </si>
  <si>
    <t>2608130N52</t>
  </si>
  <si>
    <t>0016860</t>
  </si>
  <si>
    <t>2606010M5E</t>
  </si>
  <si>
    <t>0017484</t>
  </si>
  <si>
    <t>ATACADAO 898</t>
  </si>
  <si>
    <t>2608170N5H</t>
  </si>
  <si>
    <t>TANGARA DA SERRA</t>
  </si>
  <si>
    <t>0016896</t>
  </si>
  <si>
    <t>2606010M6E</t>
  </si>
  <si>
    <t>0016941</t>
  </si>
  <si>
    <t>0016942</t>
  </si>
  <si>
    <t>ATACADAO 899</t>
  </si>
  <si>
    <t>0016897</t>
  </si>
  <si>
    <t>0017485</t>
  </si>
  <si>
    <t>2608170N5I</t>
  </si>
  <si>
    <t>0016940</t>
  </si>
  <si>
    <t>ATACADAO 897</t>
  </si>
  <si>
    <t>0017483</t>
  </si>
  <si>
    <t>2608170N5G</t>
  </si>
  <si>
    <t>0016895</t>
  </si>
  <si>
    <t>2606010M6D</t>
  </si>
  <si>
    <t>0016870</t>
  </si>
  <si>
    <t>ATACADAO 905</t>
  </si>
  <si>
    <t>WMS SUPERMERCADOS DO BRASILLTDA</t>
  </si>
  <si>
    <t>2606010M5O</t>
  </si>
  <si>
    <t>SINOP</t>
  </si>
  <si>
    <t>0017486</t>
  </si>
  <si>
    <t>2608170N5J</t>
  </si>
  <si>
    <t>0017482</t>
  </si>
  <si>
    <t>ATACADAO 895</t>
  </si>
  <si>
    <t>2608170N5F</t>
  </si>
  <si>
    <t>VARZEA GRANDE</t>
  </si>
  <si>
    <t>11 2967-9517</t>
  </si>
  <si>
    <t>0016869</t>
  </si>
  <si>
    <t>0016938</t>
  </si>
  <si>
    <t>ATACADAO 892</t>
  </si>
  <si>
    <t>LUCAS DO RIO VERDE</t>
  </si>
  <si>
    <t>11 2967-8235</t>
  </si>
  <si>
    <t>0016893</t>
  </si>
  <si>
    <t>0017480</t>
  </si>
  <si>
    <t>2608170N5D</t>
  </si>
  <si>
    <t>0017479</t>
  </si>
  <si>
    <t>ATACADAO 891</t>
  </si>
  <si>
    <t>2608170N5C</t>
  </si>
  <si>
    <t>0016892</t>
  </si>
  <si>
    <t>0016936</t>
  </si>
  <si>
    <t>0017476</t>
  </si>
  <si>
    <t>ATACADAO 888</t>
  </si>
  <si>
    <t>2608170N59</t>
  </si>
  <si>
    <t>0016934</t>
  </si>
  <si>
    <t>0016889</t>
  </si>
  <si>
    <t>2606010M67</t>
  </si>
  <si>
    <t>0016894</t>
  </si>
  <si>
    <t>ATACADAO 893</t>
  </si>
  <si>
    <t>0016939</t>
  </si>
  <si>
    <t>0017481</t>
  </si>
  <si>
    <t>2608170N5E</t>
  </si>
  <si>
    <t>0016856</t>
  </si>
  <si>
    <t>ATACADAO 931</t>
  </si>
  <si>
    <t>2606010M5A</t>
  </si>
  <si>
    <t>0017325</t>
  </si>
  <si>
    <t>ATACADAO 935</t>
  </si>
  <si>
    <t>2607310MWL</t>
  </si>
  <si>
    <t>62 3594-1459</t>
  </si>
  <si>
    <t>0016857</t>
  </si>
  <si>
    <t>2606010M5B</t>
  </si>
  <si>
    <t>0017320</t>
  </si>
  <si>
    <t>ATACADAO 903</t>
  </si>
  <si>
    <t>2607310MWG</t>
  </si>
  <si>
    <t>0016851</t>
  </si>
  <si>
    <t>2606010M55</t>
  </si>
  <si>
    <t>0016850</t>
  </si>
  <si>
    <t>ATACADAO 901</t>
  </si>
  <si>
    <t>2606010M54</t>
  </si>
  <si>
    <t>FORMOSA</t>
  </si>
  <si>
    <t>0017319</t>
  </si>
  <si>
    <t>2607310MWF</t>
  </si>
  <si>
    <t>0016858</t>
  </si>
  <si>
    <t>ATACADAO 936</t>
  </si>
  <si>
    <t>2606010M5C</t>
  </si>
  <si>
    <t>11 2967-8444</t>
  </si>
  <si>
    <t>0017326</t>
  </si>
  <si>
    <t>2607310MWM</t>
  </si>
  <si>
    <t>0017322</t>
  </si>
  <si>
    <t>ATACADAO 922</t>
  </si>
  <si>
    <t>2607310MWI</t>
  </si>
  <si>
    <t>64 3624-1224</t>
  </si>
  <si>
    <t>0016853</t>
  </si>
  <si>
    <t>2606010M57</t>
  </si>
  <si>
    <t>0016855</t>
  </si>
  <si>
    <t>ATACADAO 930</t>
  </si>
  <si>
    <t>2606010M59</t>
  </si>
  <si>
    <t>0017324</t>
  </si>
  <si>
    <t>2607310MWK</t>
  </si>
  <si>
    <t>0016849</t>
  </si>
  <si>
    <t>ATACADAO 900</t>
  </si>
  <si>
    <t>2606010M53</t>
  </si>
  <si>
    <t>0017318</t>
  </si>
  <si>
    <t>2607310MWE</t>
  </si>
  <si>
    <t>0017323</t>
  </si>
  <si>
    <t>ATACADAO 929</t>
  </si>
  <si>
    <t>2607310MWJ</t>
  </si>
  <si>
    <t>62 3209-6700</t>
  </si>
  <si>
    <t>0016854</t>
  </si>
  <si>
    <t>2606010M58</t>
  </si>
  <si>
    <t>0017335</t>
  </si>
  <si>
    <t>ATACADAO 804</t>
  </si>
  <si>
    <t>2607310MUZ</t>
  </si>
  <si>
    <t>0016885</t>
  </si>
  <si>
    <t>2606010M63</t>
  </si>
  <si>
    <t>0016948</t>
  </si>
  <si>
    <t>0017499</t>
  </si>
  <si>
    <t>ATACADAO 619</t>
  </si>
  <si>
    <t>2608170N5W</t>
  </si>
  <si>
    <t>0017500</t>
  </si>
  <si>
    <t>ATACADAO 620</t>
  </si>
  <si>
    <t>2608170N5X</t>
  </si>
  <si>
    <t>0016923</t>
  </si>
  <si>
    <t>0017287</t>
  </si>
  <si>
    <t>ATACADAO 670</t>
  </si>
  <si>
    <t>2607310MW2</t>
  </si>
  <si>
    <t>11 2967-8461</t>
  </si>
  <si>
    <t>0017272</t>
  </si>
  <si>
    <t>ATACADAO 355</t>
  </si>
  <si>
    <t>2607280MTV</t>
  </si>
  <si>
    <t>0016793</t>
  </si>
  <si>
    <t>0016947</t>
  </si>
  <si>
    <t>ATACADAO 674</t>
  </si>
  <si>
    <t>0016882</t>
  </si>
  <si>
    <t>2606010M60</t>
  </si>
  <si>
    <t>0017333</t>
  </si>
  <si>
    <t>2607310MUX</t>
  </si>
  <si>
    <t>0017332</t>
  </si>
  <si>
    <t>ATACADAO 673</t>
  </si>
  <si>
    <t>2607310MUW</t>
  </si>
  <si>
    <t>GURUPI</t>
  </si>
  <si>
    <t>0016880</t>
  </si>
  <si>
    <t>2606010M5Y</t>
  </si>
  <si>
    <t>0016881</t>
  </si>
  <si>
    <t>2606010M5Z</t>
  </si>
  <si>
    <t>0016946</t>
  </si>
  <si>
    <t>0016878</t>
  </si>
  <si>
    <t>ATACADAO 671</t>
  </si>
  <si>
    <t>2606010M5W</t>
  </si>
  <si>
    <t>0016879</t>
  </si>
  <si>
    <t>2606010M5X</t>
  </si>
  <si>
    <t>0017331</t>
  </si>
  <si>
    <t>2607310MUV</t>
  </si>
  <si>
    <t>0016739</t>
  </si>
  <si>
    <t>ATACADAO 359</t>
  </si>
  <si>
    <t>RR</t>
  </si>
  <si>
    <t>0017392</t>
  </si>
  <si>
    <t>2608010MX6</t>
  </si>
  <si>
    <t>0017104</t>
  </si>
  <si>
    <t>0017103</t>
  </si>
  <si>
    <t>0017286</t>
  </si>
  <si>
    <t>ATACADAO 665</t>
  </si>
  <si>
    <t>2607310MW1</t>
  </si>
  <si>
    <t>0017211</t>
  </si>
  <si>
    <t>ATACADAO 681</t>
  </si>
  <si>
    <t>2607150MS6</t>
  </si>
  <si>
    <t>0017212</t>
  </si>
  <si>
    <t>2607150MS7</t>
  </si>
  <si>
    <t>0016884</t>
  </si>
  <si>
    <t>ATACADAO 683</t>
  </si>
  <si>
    <t>2606010M62</t>
  </si>
  <si>
    <t>0016883</t>
  </si>
  <si>
    <t>2606010M61</t>
  </si>
  <si>
    <t>0017334</t>
  </si>
  <si>
    <t>2607310MUY</t>
  </si>
  <si>
    <t>0017072</t>
  </si>
  <si>
    <t>ATACADACD306</t>
  </si>
  <si>
    <t>0016710</t>
  </si>
  <si>
    <t>0017210</t>
  </si>
  <si>
    <t>ATACADAO 679</t>
  </si>
  <si>
    <t>2607150MS5</t>
  </si>
  <si>
    <t>BELFORD ROXO</t>
  </si>
  <si>
    <t>0017209</t>
  </si>
  <si>
    <t>2607150MS4</t>
  </si>
  <si>
    <t>0017091</t>
  </si>
  <si>
    <t>ATACADAO 335</t>
  </si>
  <si>
    <t>0017215</t>
  </si>
  <si>
    <t>ATACADAO 699</t>
  </si>
  <si>
    <t>2607150MSA</t>
  </si>
  <si>
    <t>0017216</t>
  </si>
  <si>
    <t>2607150MSB</t>
  </si>
  <si>
    <t>0017213</t>
  </si>
  <si>
    <t>ATACADAO 691</t>
  </si>
  <si>
    <t>2607150MS8</t>
  </si>
  <si>
    <t>0017214</t>
  </si>
  <si>
    <t>2607150MS9</t>
  </si>
  <si>
    <t>0016726</t>
  </si>
  <si>
    <t>ATACADAO 747</t>
  </si>
  <si>
    <t>2605200M1O</t>
  </si>
  <si>
    <t>98 3131 6324</t>
  </si>
  <si>
    <t>0016944</t>
  </si>
  <si>
    <t>2606120MEN</t>
  </si>
  <si>
    <t>0016727</t>
  </si>
  <si>
    <t>ATACADAO 748</t>
  </si>
  <si>
    <t>2605200M1P</t>
  </si>
  <si>
    <t>99 3582 8838</t>
  </si>
  <si>
    <t>0016945</t>
  </si>
  <si>
    <t>0016725</t>
  </si>
  <si>
    <t>ATACADAO 611</t>
  </si>
  <si>
    <t>2605200M1N</t>
  </si>
  <si>
    <t>SAO JOSE DE RIBAMAR</t>
  </si>
  <si>
    <t>0016847</t>
  </si>
  <si>
    <t>ATACADAO 701</t>
  </si>
  <si>
    <t>WMB SUPERMERCADOS DO BRASIL LTDA</t>
  </si>
  <si>
    <t>2606010M51</t>
  </si>
  <si>
    <t>0017315</t>
  </si>
  <si>
    <t>2607310MWB</t>
  </si>
  <si>
    <t>0016720</t>
  </si>
  <si>
    <t>ATACADAO 363</t>
  </si>
  <si>
    <t>0017093</t>
  </si>
  <si>
    <t>0017285</t>
  </si>
  <si>
    <t>ATACADAO 705</t>
  </si>
  <si>
    <t>2607280MU8</t>
  </si>
  <si>
    <t>0017266</t>
  </si>
  <si>
    <t>ATACADA368CD</t>
  </si>
  <si>
    <t>0016990</t>
  </si>
  <si>
    <t>ATACADAO 107</t>
  </si>
  <si>
    <t>51-3489-7606</t>
  </si>
  <si>
    <t>0016989</t>
  </si>
  <si>
    <t>0016876</t>
  </si>
  <si>
    <t>ATACADAO 72</t>
  </si>
  <si>
    <t>(11)2967-8444</t>
  </si>
  <si>
    <t>SAO PEDRO DO TURVO</t>
  </si>
  <si>
    <t>0016987</t>
  </si>
  <si>
    <t>ATACADA125CD</t>
  </si>
  <si>
    <t>2606180MFL</t>
  </si>
  <si>
    <t>BALNEARIO CAMBORIU</t>
  </si>
  <si>
    <t>(11)2967-8493</t>
  </si>
  <si>
    <t>0017165</t>
  </si>
  <si>
    <t>ATACADAO 136</t>
  </si>
  <si>
    <t>2607150MQW</t>
  </si>
  <si>
    <t>(21)3395-2194</t>
  </si>
  <si>
    <t>0017166</t>
  </si>
  <si>
    <t>2607150MQX</t>
  </si>
  <si>
    <t>0017162</t>
  </si>
  <si>
    <t>ATACADAO 102</t>
  </si>
  <si>
    <t>2607150MQT</t>
  </si>
  <si>
    <t>29-6784-44</t>
  </si>
  <si>
    <t>0017161</t>
  </si>
  <si>
    <t>2607150MQS</t>
  </si>
  <si>
    <t>0016992</t>
  </si>
  <si>
    <t>ATACADAO 121</t>
  </si>
  <si>
    <t>11-2964-8444</t>
  </si>
  <si>
    <t>0016991</t>
  </si>
  <si>
    <t>0016918</t>
  </si>
  <si>
    <t>ATACADAO 144</t>
  </si>
  <si>
    <t>CAUCAIA</t>
  </si>
  <si>
    <t>0017493</t>
  </si>
  <si>
    <t>2608170N5Q</t>
  </si>
  <si>
    <t>0017373</t>
  </si>
  <si>
    <t>ATACADA119CD</t>
  </si>
  <si>
    <t>2608010MWN</t>
  </si>
  <si>
    <t>92 3647 5807</t>
  </si>
  <si>
    <t>0017060</t>
  </si>
  <si>
    <t>2606240MHM</t>
  </si>
  <si>
    <t>0017059</t>
  </si>
  <si>
    <t>2606240MHL</t>
  </si>
  <si>
    <t>0016728</t>
  </si>
  <si>
    <t>0287140</t>
  </si>
  <si>
    <t>REDE CARAPA</t>
  </si>
  <si>
    <t>COMERCIAL CARAPA SECOS E MOLHADOS LTDA</t>
  </si>
  <si>
    <t>2608034IT5</t>
  </si>
  <si>
    <t>COLIDER</t>
  </si>
  <si>
    <t>66-3541-1370-CB</t>
  </si>
  <si>
    <t>03790904000156</t>
  </si>
  <si>
    <t>0287141</t>
  </si>
  <si>
    <t>REDE CARAPA3</t>
  </si>
  <si>
    <t>COMERCIAL CARAPA  SECOS E MOLHADOS LTDA</t>
  </si>
  <si>
    <t>2608034IT6</t>
  </si>
  <si>
    <t>66-3531-1370</t>
  </si>
  <si>
    <t>03790904000318</t>
  </si>
  <si>
    <t>0286498</t>
  </si>
  <si>
    <t>AMC</t>
  </si>
  <si>
    <t>A MACHADO CHERULLI PRODUTOS DE LIMPEZA</t>
  </si>
  <si>
    <t>2607234HGT</t>
  </si>
  <si>
    <t>66-3423-7744</t>
  </si>
  <si>
    <t>07421664000173</t>
  </si>
  <si>
    <t>0287146</t>
  </si>
  <si>
    <t>SUP SORRISO</t>
  </si>
  <si>
    <t>SORRISO SUPERMERCADO LTDA</t>
  </si>
  <si>
    <t>2608034ITB</t>
  </si>
  <si>
    <t>66-3545-7300</t>
  </si>
  <si>
    <t>0287221</t>
  </si>
  <si>
    <t>ZANELLA</t>
  </si>
  <si>
    <t>MAICON ZANELLA &amp; CIA LTDA</t>
  </si>
  <si>
    <t>2608034IVE</t>
  </si>
  <si>
    <t>66-3560-1167</t>
  </si>
  <si>
    <t>0287765</t>
  </si>
  <si>
    <t>HELIO SOARES</t>
  </si>
  <si>
    <t>HELIO SOARES DPS SANTOS &amp; CIA LTDA</t>
  </si>
  <si>
    <t>2608174JCQ</t>
  </si>
  <si>
    <t>TAPURAH</t>
  </si>
  <si>
    <t>01256646000105</t>
  </si>
  <si>
    <t>0285874</t>
  </si>
  <si>
    <t>NOSSOL</t>
  </si>
  <si>
    <t>CENTRAL SUPERMERCADO EIRELI EPP</t>
  </si>
  <si>
    <t>2607154H70</t>
  </si>
  <si>
    <t>NOVA MONTE VERDE</t>
  </si>
  <si>
    <t>66-98434-4490</t>
  </si>
  <si>
    <t>01626820000156</t>
  </si>
  <si>
    <t>0285438</t>
  </si>
  <si>
    <t>S BELA VIST2</t>
  </si>
  <si>
    <t>SOUZA CARMO &amp; SOUZA CARMO LTDA EPP</t>
  </si>
  <si>
    <t>2606304FD9</t>
  </si>
  <si>
    <t>JUARA</t>
  </si>
  <si>
    <t>0286367</t>
  </si>
  <si>
    <t>JF DIAS</t>
  </si>
  <si>
    <t>J. F. DIAS E CIA LTDA</t>
  </si>
  <si>
    <t>2607224HD9</t>
  </si>
  <si>
    <t>PEIXOTO DE AZEVEDO</t>
  </si>
  <si>
    <t>66-3575-1063</t>
  </si>
  <si>
    <t>0286501</t>
  </si>
  <si>
    <t>PREDILETO</t>
  </si>
  <si>
    <t>A. L. DA SILVA BARROS E CIA LTDA</t>
  </si>
  <si>
    <t>2607234HGW</t>
  </si>
  <si>
    <t>COLNIZA</t>
  </si>
  <si>
    <t>66-3571-1309</t>
  </si>
  <si>
    <t>0286368</t>
  </si>
  <si>
    <t>JF DIAS 2</t>
  </si>
  <si>
    <t>2607224HDA</t>
  </si>
  <si>
    <t>TERRA NOVA DO NORTE</t>
  </si>
  <si>
    <t>66-3534-1210</t>
  </si>
  <si>
    <t>0287144</t>
  </si>
  <si>
    <t>REDE CARAPA4</t>
  </si>
  <si>
    <t>COMERCIAL CARAPA DE SECOS E MOLHADOS LTDA</t>
  </si>
  <si>
    <t>2608034IT9</t>
  </si>
  <si>
    <t>MATUPA</t>
  </si>
  <si>
    <t>03790904000407</t>
  </si>
  <si>
    <t>0017052</t>
  </si>
  <si>
    <t>DELMORO LJ14</t>
  </si>
  <si>
    <t>DEL MORO &amp; DEL MORO LTDA</t>
  </si>
  <si>
    <t>2606220MHE</t>
  </si>
  <si>
    <t>789/1</t>
  </si>
  <si>
    <t>66-3512-7200</t>
  </si>
  <si>
    <t>00877761001440</t>
  </si>
  <si>
    <t>0017053</t>
  </si>
  <si>
    <t>2606220MHF</t>
  </si>
  <si>
    <t>0017237</t>
  </si>
  <si>
    <t>2607240MSW</t>
  </si>
  <si>
    <t>0017238</t>
  </si>
  <si>
    <t>2607240MSX</t>
  </si>
  <si>
    <t>1451/1</t>
  </si>
  <si>
    <t>0016746</t>
  </si>
  <si>
    <t>2605250M1W</t>
  </si>
  <si>
    <t>551/1</t>
  </si>
  <si>
    <t>0014069</t>
  </si>
  <si>
    <t>2605260CQY</t>
  </si>
  <si>
    <t>551/2</t>
  </si>
  <si>
    <t>0014193</t>
  </si>
  <si>
    <t>2606220CXQ</t>
  </si>
  <si>
    <t>789/2</t>
  </si>
  <si>
    <t>0014022</t>
  </si>
  <si>
    <t>2605220CPO</t>
  </si>
  <si>
    <t>0014315</t>
  </si>
  <si>
    <t>2607240D3F</t>
  </si>
  <si>
    <t>1451/2</t>
  </si>
  <si>
    <t>0286495</t>
  </si>
  <si>
    <t>AS PASQUALOT</t>
  </si>
  <si>
    <t>A &amp; S PASQUALOTTO LTDA</t>
  </si>
  <si>
    <t>2607234HGQ</t>
  </si>
  <si>
    <t>65-3212-7700</t>
  </si>
  <si>
    <t>0286766</t>
  </si>
  <si>
    <t>2607294HQ6</t>
  </si>
  <si>
    <t>0286493</t>
  </si>
  <si>
    <t>AS PASQUALO6</t>
  </si>
  <si>
    <t>2607234HGO</t>
  </si>
  <si>
    <t>BRASNORTE</t>
  </si>
  <si>
    <t>66-3592-1216</t>
  </si>
  <si>
    <t>RE2OUHULZU</t>
  </si>
  <si>
    <t>0285435</t>
  </si>
  <si>
    <t>LINO SILVA</t>
  </si>
  <si>
    <t>LINO DA SILVA &amp; CIA LTDA</t>
  </si>
  <si>
    <t>2606304FD6</t>
  </si>
  <si>
    <t>07652815000102</t>
  </si>
  <si>
    <t>0286245</t>
  </si>
  <si>
    <t>VERZA</t>
  </si>
  <si>
    <t>ODILO A. VERZA EIRELI</t>
  </si>
  <si>
    <t>2607214H9W</t>
  </si>
  <si>
    <t>NOVA BANDEIRANTES</t>
  </si>
  <si>
    <t>06287051000122</t>
  </si>
  <si>
    <t>0287219</t>
  </si>
  <si>
    <t>REDE CARAPA7</t>
  </si>
  <si>
    <t>MARTINS &amp;  BRUCHMAM MARTINS LTDA</t>
  </si>
  <si>
    <t>2608034IVC</t>
  </si>
  <si>
    <t>ALTA FLORESTA</t>
  </si>
  <si>
    <t>0287145</t>
  </si>
  <si>
    <t>REDE CARAPA5</t>
  </si>
  <si>
    <t>2608034ITA</t>
  </si>
  <si>
    <t>03790904000580</t>
  </si>
  <si>
    <t>0287682</t>
  </si>
  <si>
    <t>W RUFINO</t>
  </si>
  <si>
    <t>W. RUFINO COMERCIO</t>
  </si>
  <si>
    <t>2608124JAP</t>
  </si>
  <si>
    <t>NOVA CANAA DO NORTE</t>
  </si>
  <si>
    <t>0286494</t>
  </si>
  <si>
    <t>AS PASQUALO8</t>
  </si>
  <si>
    <t>2607234HGP</t>
  </si>
  <si>
    <t>0285983</t>
  </si>
  <si>
    <t>PITERPLUS</t>
  </si>
  <si>
    <t>PITERPLUS COMERCIO DE PRODUTOS DE LIMPEZA LTDA</t>
  </si>
  <si>
    <t>2607144H3R</t>
  </si>
  <si>
    <t>NOVA MUTUM</t>
  </si>
  <si>
    <t>65-3308-3900</t>
  </si>
  <si>
    <t>00558995000100</t>
  </si>
  <si>
    <t>0286040</t>
  </si>
  <si>
    <t>S J SUPER 2</t>
  </si>
  <si>
    <t>SAO JOSE SUPERMERCADO LTDA</t>
  </si>
  <si>
    <t>2607144H5C</t>
  </si>
  <si>
    <t>PORTO DOS GAUCHOS</t>
  </si>
  <si>
    <t>(66) 3556-2880</t>
  </si>
  <si>
    <t>0287220</t>
  </si>
  <si>
    <t>REDE CARAPA8</t>
  </si>
  <si>
    <t>MARTINS &amp; BRUCHMAM MARTINS LTDA</t>
  </si>
  <si>
    <t>2608034IVD</t>
  </si>
  <si>
    <t>CONFRESA</t>
  </si>
  <si>
    <t>66 3541 6400</t>
  </si>
  <si>
    <t>0287143</t>
  </si>
  <si>
    <t>REDE CARAP10</t>
  </si>
  <si>
    <t>2608034IT8</t>
  </si>
  <si>
    <t>0285440</t>
  </si>
  <si>
    <t>S BELA VISTA</t>
  </si>
  <si>
    <t>SOUZA CARMO &amp; SOUZA CARMO LTDA</t>
  </si>
  <si>
    <t>2606304FDB</t>
  </si>
  <si>
    <t>66-3556-3262</t>
  </si>
  <si>
    <t>0287142</t>
  </si>
  <si>
    <t>REDE CARAPA6</t>
  </si>
  <si>
    <t>2608034IT7</t>
  </si>
  <si>
    <t>66-3541-6400</t>
  </si>
  <si>
    <t>0285418</t>
  </si>
  <si>
    <t>NOVA ESTRELA</t>
  </si>
  <si>
    <t>NOVA ESTRELA COMERCIO DE ALIMENTOS S.A</t>
  </si>
  <si>
    <t>2606304FCP</t>
  </si>
  <si>
    <t>67-3509-1184</t>
  </si>
  <si>
    <t>0288037</t>
  </si>
  <si>
    <t>COOP ARACATU</t>
  </si>
  <si>
    <t>COOPERATIVA DE CONSUMO DOS BANCARIOS DE ARACATUBA-COOPBANC</t>
  </si>
  <si>
    <t>2608204JK4</t>
  </si>
  <si>
    <t>ARACATUBA</t>
  </si>
  <si>
    <t>18-3607-6800</t>
  </si>
  <si>
    <t>0288095</t>
  </si>
  <si>
    <t>RONDON LJ 1</t>
  </si>
  <si>
    <t>SUPERMERCADO RONDON LTDA - LJ 01</t>
  </si>
  <si>
    <t>2608214JM3</t>
  </si>
  <si>
    <t>(18)3631-8000</t>
  </si>
  <si>
    <t>0285414</t>
  </si>
  <si>
    <t>NOVA ESTREL2</t>
  </si>
  <si>
    <t>2606304FCL</t>
  </si>
  <si>
    <t>0286002</t>
  </si>
  <si>
    <t>PAZ-PROMISSA</t>
  </si>
  <si>
    <t>IDELFA ZONETTI LTDA</t>
  </si>
  <si>
    <t>2607144H4A</t>
  </si>
  <si>
    <t>PROMISSAO</t>
  </si>
  <si>
    <t>14 3541-5657</t>
  </si>
  <si>
    <t>0285415</t>
  </si>
  <si>
    <t>NOVA ESTREL5</t>
  </si>
  <si>
    <t>2606304FCM</t>
  </si>
  <si>
    <t>0287689</t>
  </si>
  <si>
    <t>2608124JAR</t>
  </si>
  <si>
    <t>0287542</t>
  </si>
  <si>
    <t>COMPRE MIX</t>
  </si>
  <si>
    <t>COMPRE FACILCOMERCIO DE PRODUTOS ALIMENTICIOS LIMITADA</t>
  </si>
  <si>
    <t>2608114J7T</t>
  </si>
  <si>
    <t>17 3214-6444</t>
  </si>
  <si>
    <t>05955701000440</t>
  </si>
  <si>
    <t>0288036</t>
  </si>
  <si>
    <t>2608204JK3</t>
  </si>
  <si>
    <t>0288098</t>
  </si>
  <si>
    <t>RONDON LJ 4</t>
  </si>
  <si>
    <t>SUPERMERCADO RONDON LTDA</t>
  </si>
  <si>
    <t>2608214JLR</t>
  </si>
  <si>
    <t>18 3636-7900</t>
  </si>
  <si>
    <t>0287695</t>
  </si>
  <si>
    <t>NOVA ESTREL3</t>
  </si>
  <si>
    <t>2608134JB7</t>
  </si>
  <si>
    <t>67-3521-1184</t>
  </si>
  <si>
    <t>0285417</t>
  </si>
  <si>
    <t>2606304FCO</t>
  </si>
  <si>
    <t>0288096</t>
  </si>
  <si>
    <t>RONDON LJ 2</t>
  </si>
  <si>
    <t>SUPERMERCADO RONDON LTDA - LJ 02</t>
  </si>
  <si>
    <t>2608214JM4</t>
  </si>
  <si>
    <t>(18)3636-1680</t>
  </si>
  <si>
    <t>0286151</t>
  </si>
  <si>
    <t>PAZ-CAFELAND</t>
  </si>
  <si>
    <t>SUPERMERCADO NOVA CAFELANDIA LTDA LJ.3</t>
  </si>
  <si>
    <t>2607244HK9</t>
  </si>
  <si>
    <t>CAFELANDIA</t>
  </si>
  <si>
    <t>14 3554-1143</t>
  </si>
  <si>
    <t>01105237000108</t>
  </si>
  <si>
    <t>0286153</t>
  </si>
  <si>
    <t>PAZ-CASTILHO</t>
  </si>
  <si>
    <t>SUPERMERCADO CASTILHO DE CAFELANDIA LTDA</t>
  </si>
  <si>
    <t>2607244HKB</t>
  </si>
  <si>
    <t>14-3554-2046</t>
  </si>
  <si>
    <t>04755895000125</t>
  </si>
  <si>
    <t>0286155</t>
  </si>
  <si>
    <t>PAZ-TERCI</t>
  </si>
  <si>
    <t>TERCI &amp; TERCI SUPERMERCADO LTDA.</t>
  </si>
  <si>
    <t>2607244HKD</t>
  </si>
  <si>
    <t>AVANHANDAVA</t>
  </si>
  <si>
    <t>18 3651-1369</t>
  </si>
  <si>
    <t>03667972000122</t>
  </si>
  <si>
    <t>0285944</t>
  </si>
  <si>
    <t>PAZ-CORTEZ 1</t>
  </si>
  <si>
    <t>CORTEZ &amp; FILHOS LTDA. LJ 01</t>
  </si>
  <si>
    <t>2607144H2Q</t>
  </si>
  <si>
    <t>18 3652-0005</t>
  </si>
  <si>
    <t>0286001</t>
  </si>
  <si>
    <t>PAZ-CORTEZ 2</t>
  </si>
  <si>
    <t>CORTEZ &amp; FILHOS LTDA LJ.2</t>
  </si>
  <si>
    <t>2607144H49</t>
  </si>
  <si>
    <t>BRAUNA</t>
  </si>
  <si>
    <t>18 3692-1192</t>
  </si>
  <si>
    <t>0288097</t>
  </si>
  <si>
    <t>RONDON LJ 3</t>
  </si>
  <si>
    <t>2608214JM5</t>
  </si>
  <si>
    <t>18-3631-8000</t>
  </si>
  <si>
    <t>0288044</t>
  </si>
  <si>
    <t>NOVA ESTREL4</t>
  </si>
  <si>
    <t>2608204JKB</t>
  </si>
  <si>
    <t>18-3702-7929</t>
  </si>
  <si>
    <t>0285402</t>
  </si>
  <si>
    <t>2606304FC9</t>
  </si>
  <si>
    <t>0286640</t>
  </si>
  <si>
    <t>SUP PERES</t>
  </si>
  <si>
    <t>J D DOS SANTOS PERES</t>
  </si>
  <si>
    <t>2607274HMY</t>
  </si>
  <si>
    <t>95-3625-4407</t>
  </si>
  <si>
    <t>0286897</t>
  </si>
  <si>
    <t>NOVOTEMPO</t>
  </si>
  <si>
    <t>NOVO TEMPO COMERCIO DE ALIMENTOS LTDA</t>
  </si>
  <si>
    <t>2607314HT6</t>
  </si>
  <si>
    <t>(95) 9117-3533</t>
  </si>
  <si>
    <t>0288106</t>
  </si>
  <si>
    <t>J M DA COSTA</t>
  </si>
  <si>
    <t>J M DA COSTA SILVA</t>
  </si>
  <si>
    <t>2608214JLZ</t>
  </si>
  <si>
    <t>95 99142-2284</t>
  </si>
  <si>
    <t>0284005</t>
  </si>
  <si>
    <t>NOVOTEMPO 2</t>
  </si>
  <si>
    <t>NOVO TEMPO COMERCIO DE ALIMENTOS LTDA (MATRIZ)</t>
  </si>
  <si>
    <t>2606084E6N</t>
  </si>
  <si>
    <t>95 98404-8446</t>
  </si>
  <si>
    <t>0283748</t>
  </si>
  <si>
    <t>NOVOTEMPO 3</t>
  </si>
  <si>
    <t>NOVO TEMPO COMERCIO DE ALIMENTOS LTDA (FILIAL 3)</t>
  </si>
  <si>
    <t>2606014COH</t>
  </si>
  <si>
    <t>95 9902-5088</t>
  </si>
  <si>
    <t>0286249</t>
  </si>
  <si>
    <t>SUPER PERES</t>
  </si>
  <si>
    <t>RIBEIRO &amp; PERES LTDA</t>
  </si>
  <si>
    <t>2607214HA0</t>
  </si>
  <si>
    <t>(95) 99176-6299</t>
  </si>
  <si>
    <t>01536900000110</t>
  </si>
  <si>
    <t>0285738</t>
  </si>
  <si>
    <t>COM AMIGAO</t>
  </si>
  <si>
    <t>N. DE MORAES SILVA</t>
  </si>
  <si>
    <t>2607014FLQ</t>
  </si>
  <si>
    <t>95 991682687</t>
  </si>
  <si>
    <t>EMBALAGENS 06.23</t>
  </si>
  <si>
    <t>OA IMPORT SA</t>
  </si>
  <si>
    <t>OA IMPORT S. A</t>
  </si>
  <si>
    <t>230619Trzl</t>
  </si>
  <si>
    <t>ASSUNCAO</t>
  </si>
  <si>
    <t>EMBALAGENS 10.25</t>
  </si>
  <si>
    <t>251016Trxc</t>
  </si>
  <si>
    <t>0287837</t>
  </si>
  <si>
    <t>BOYERCO</t>
  </si>
  <si>
    <t>BOYERCO S.A.</t>
  </si>
  <si>
    <t>2608184JEN</t>
  </si>
  <si>
    <t>NF1010287051</t>
  </si>
  <si>
    <t>MONTEVIDEO</t>
  </si>
  <si>
    <t>598 2227-4215</t>
  </si>
  <si>
    <t>00000000000000</t>
  </si>
  <si>
    <t>0287836</t>
  </si>
  <si>
    <t>2608184JEM</t>
  </si>
  <si>
    <t>0288006</t>
  </si>
  <si>
    <t>CO4 CORP</t>
  </si>
  <si>
    <t>EMPRESA COMPONENTS OPTIMAL 4 S.R.L</t>
  </si>
  <si>
    <t>2608204JJ9</t>
  </si>
  <si>
    <t>SANTA CRUZ</t>
  </si>
  <si>
    <t>591 3528702</t>
  </si>
  <si>
    <t>0287718</t>
  </si>
  <si>
    <t>RICARDO VELA</t>
  </si>
  <si>
    <t>RICARDO HERNAN VELA MARTINEZ</t>
  </si>
  <si>
    <t>2608144JBT</t>
  </si>
  <si>
    <t>NF1010287715</t>
  </si>
  <si>
    <t>COCHABAMBA</t>
  </si>
  <si>
    <t>0017360</t>
  </si>
  <si>
    <t>DINAMICA-AL</t>
  </si>
  <si>
    <t>DINAMICA DISTRIBUIDOR LTDA</t>
  </si>
  <si>
    <t>2607310MVO</t>
  </si>
  <si>
    <t>4118/1</t>
  </si>
  <si>
    <t>LIMOEIRO DE ANADIA</t>
  </si>
  <si>
    <t>06039438000160</t>
  </si>
  <si>
    <t>0017362</t>
  </si>
  <si>
    <t>2607310MVQ</t>
  </si>
  <si>
    <t>0014375</t>
  </si>
  <si>
    <t>2607310D4Q</t>
  </si>
  <si>
    <t>4118/2</t>
  </si>
  <si>
    <t>0287862</t>
  </si>
  <si>
    <t>ORION DIST 2</t>
  </si>
  <si>
    <t>OCL COMERCIO E IMPORTACAO LTDA</t>
  </si>
  <si>
    <t>2608194JFB</t>
  </si>
  <si>
    <t>ARAPONGAS</t>
  </si>
  <si>
    <t>43-3152.6094</t>
  </si>
  <si>
    <t>0286714</t>
  </si>
  <si>
    <t>2607284HOX</t>
  </si>
  <si>
    <t>0282084</t>
  </si>
  <si>
    <t>HAVAN</t>
  </si>
  <si>
    <t>HAVAN ( CDH BARRA VELHA)</t>
  </si>
  <si>
    <t>2605044BB7</t>
  </si>
  <si>
    <t>BARRA VELHA</t>
  </si>
  <si>
    <t>(47)3251-5173</t>
  </si>
  <si>
    <t>0285009</t>
  </si>
  <si>
    <t>2606254EYX</t>
  </si>
  <si>
    <t>0286716</t>
  </si>
  <si>
    <t>ORION DIST 3</t>
  </si>
  <si>
    <t>2607284HOZ</t>
  </si>
  <si>
    <t>BIGUACU</t>
  </si>
  <si>
    <t>(48) 2106-8500</t>
  </si>
  <si>
    <t>0255041</t>
  </si>
  <si>
    <t>DEL HOGAR</t>
  </si>
  <si>
    <t>INDUSTRIAS DEL HOGAR S.A DE C.V.</t>
  </si>
  <si>
    <t>250129363E</t>
  </si>
  <si>
    <t>SAN SALVADOR</t>
  </si>
  <si>
    <t>503 2278-8620</t>
  </si>
  <si>
    <t>0614-260590-101</t>
  </si>
  <si>
    <t>0287555</t>
  </si>
  <si>
    <t>ASSAI 158</t>
  </si>
  <si>
    <t>2608114J85</t>
  </si>
  <si>
    <t>06057223035552</t>
  </si>
  <si>
    <t>0281380</t>
  </si>
  <si>
    <t>26042849HY</t>
  </si>
  <si>
    <t>0283783</t>
  </si>
  <si>
    <t>2606014CPG</t>
  </si>
  <si>
    <t>0285613</t>
  </si>
  <si>
    <t>2606304FI4</t>
  </si>
  <si>
    <t>0283782</t>
  </si>
  <si>
    <t>ASSAI 108</t>
  </si>
  <si>
    <t>2606014CPF</t>
  </si>
  <si>
    <t>31 97156 3902</t>
  </si>
  <si>
    <t>06057223037172</t>
  </si>
  <si>
    <t>0285612</t>
  </si>
  <si>
    <t>2606304FI3</t>
  </si>
  <si>
    <t>0281379</t>
  </si>
  <si>
    <t>26042849HX</t>
  </si>
  <si>
    <t>0287554</t>
  </si>
  <si>
    <t>2608114J84</t>
  </si>
  <si>
    <t>0285616</t>
  </si>
  <si>
    <t>ASSAI 249</t>
  </si>
  <si>
    <t>2606304FI7</t>
  </si>
  <si>
    <t>06057223047640</t>
  </si>
  <si>
    <t>0287557</t>
  </si>
  <si>
    <t>2608114J87</t>
  </si>
  <si>
    <t>0283786</t>
  </si>
  <si>
    <t>2606014CPJ</t>
  </si>
  <si>
    <t>0283784</t>
  </si>
  <si>
    <t>ASSAI 213</t>
  </si>
  <si>
    <t>2606014CPH</t>
  </si>
  <si>
    <t>06057223043903</t>
  </si>
  <si>
    <t>0285614</t>
  </si>
  <si>
    <t>2606304FI5</t>
  </si>
  <si>
    <t>0283785</t>
  </si>
  <si>
    <t>ASSAI 247</t>
  </si>
  <si>
    <t>2606014CPI</t>
  </si>
  <si>
    <t>IPATINGA</t>
  </si>
  <si>
    <t>06057223047216</t>
  </si>
  <si>
    <t>0285615</t>
  </si>
  <si>
    <t>2606304FI6</t>
  </si>
  <si>
    <t>0287556</t>
  </si>
  <si>
    <t>2608114J86</t>
  </si>
  <si>
    <t>0285617</t>
  </si>
  <si>
    <t>ASSAI 261</t>
  </si>
  <si>
    <t>2606304FI8</t>
  </si>
  <si>
    <t>06057223049006</t>
  </si>
  <si>
    <t>0287558</t>
  </si>
  <si>
    <t>2608114J88</t>
  </si>
  <si>
    <t>0283787</t>
  </si>
  <si>
    <t>2606014CPK</t>
  </si>
  <si>
    <t>0287559</t>
  </si>
  <si>
    <t>ASSAI 283</t>
  </si>
  <si>
    <t>2608114J89</t>
  </si>
  <si>
    <t>06057223051329</t>
  </si>
  <si>
    <t>0283788</t>
  </si>
  <si>
    <t>2606014CPL</t>
  </si>
  <si>
    <t>0285618</t>
  </si>
  <si>
    <t>2606304FI9</t>
  </si>
  <si>
    <t>0281385</t>
  </si>
  <si>
    <t>26042849I3</t>
  </si>
  <si>
    <t>0283789</t>
  </si>
  <si>
    <t>ASSAI 287</t>
  </si>
  <si>
    <t>2606014CPM</t>
  </si>
  <si>
    <t>06057223051752</t>
  </si>
  <si>
    <t>0281386</t>
  </si>
  <si>
    <t>26042849I4</t>
  </si>
  <si>
    <t>0287560</t>
  </si>
  <si>
    <t>2608114J8A</t>
  </si>
  <si>
    <t>0281387</t>
  </si>
  <si>
    <t>ASSAI 323</t>
  </si>
  <si>
    <t>26042849I5</t>
  </si>
  <si>
    <t>06057223055154</t>
  </si>
  <si>
    <t>0287561</t>
  </si>
  <si>
    <t>2608114J8B</t>
  </si>
  <si>
    <t>0283790</t>
  </si>
  <si>
    <t>2606014CPN</t>
  </si>
  <si>
    <t>0286868</t>
  </si>
  <si>
    <t>SUPVAREJISTA</t>
  </si>
  <si>
    <t>CENTRAL SUPERVAREJISTA S/A</t>
  </si>
  <si>
    <t>2607304HSH</t>
  </si>
  <si>
    <t>0287562</t>
  </si>
  <si>
    <t>LIMPE EMBALE</t>
  </si>
  <si>
    <t>LIMPE EMABALE COMERCIO LTDA</t>
  </si>
  <si>
    <t>2608114J8C</t>
  </si>
  <si>
    <t>31 3344 1276</t>
  </si>
  <si>
    <t>0285000</t>
  </si>
  <si>
    <t>DIST SILVINO</t>
  </si>
  <si>
    <t>ANTONIO S. DE ALMEIDA LTDA</t>
  </si>
  <si>
    <t>2606254EYO</t>
  </si>
  <si>
    <t>(96) 9154-0967</t>
  </si>
  <si>
    <t>0014414</t>
  </si>
  <si>
    <t>ATACADAN</t>
  </si>
  <si>
    <t>ATACADAN DISTRIBUIDORA DE ALIMENTOS LTDA</t>
  </si>
  <si>
    <t>2608040DAK</t>
  </si>
  <si>
    <t>4201/2</t>
  </si>
  <si>
    <t>SAPE</t>
  </si>
  <si>
    <t>83 9855 2020</t>
  </si>
  <si>
    <t>08932351000142</t>
  </si>
  <si>
    <t>0017454</t>
  </si>
  <si>
    <t>2608040N2Z</t>
  </si>
  <si>
    <t>4201/1</t>
  </si>
  <si>
    <t>0017230</t>
  </si>
  <si>
    <t>ATAC VITOR3</t>
  </si>
  <si>
    <t>VITORIA SRN DISTRIBUIDORA DE ALIMENTOS LTDA.</t>
  </si>
  <si>
    <t>2607210MSK</t>
  </si>
  <si>
    <t>693379/1</t>
  </si>
  <si>
    <t>89-3422-4719</t>
  </si>
  <si>
    <t>0287736</t>
  </si>
  <si>
    <t>ASSAI 122</t>
  </si>
  <si>
    <t>2608174JBX</t>
  </si>
  <si>
    <t>06057223030089</t>
  </si>
  <si>
    <t>0284587</t>
  </si>
  <si>
    <t>2606184EME</t>
  </si>
  <si>
    <t>NF1010279480</t>
  </si>
  <si>
    <t>0282663</t>
  </si>
  <si>
    <t>2605204BUM</t>
  </si>
  <si>
    <t>0284588</t>
  </si>
  <si>
    <t>ASSAI 146</t>
  </si>
  <si>
    <t>2606184EMF</t>
  </si>
  <si>
    <t>NF1010279481</t>
  </si>
  <si>
    <t>11-4341-5100</t>
  </si>
  <si>
    <t>06057223036362</t>
  </si>
  <si>
    <t>0282664</t>
  </si>
  <si>
    <t>2605204BUN</t>
  </si>
  <si>
    <t>0287737</t>
  </si>
  <si>
    <t>2608174JBY</t>
  </si>
  <si>
    <t>0287812</t>
  </si>
  <si>
    <t>ASSAI 175</t>
  </si>
  <si>
    <t>2608174JE1</t>
  </si>
  <si>
    <t>06057223040203</t>
  </si>
  <si>
    <t>0287735</t>
  </si>
  <si>
    <t>ASSAI 197</t>
  </si>
  <si>
    <t>SENDAS DISTRIBUIDOR S/A</t>
  </si>
  <si>
    <t>2608174JBW</t>
  </si>
  <si>
    <t>06057223040556</t>
  </si>
  <si>
    <t>0282665</t>
  </si>
  <si>
    <t>2605204BUO</t>
  </si>
  <si>
    <t>0279643</t>
  </si>
  <si>
    <t>26032746Y0</t>
  </si>
  <si>
    <t>0287811</t>
  </si>
  <si>
    <t>ASSAI 206</t>
  </si>
  <si>
    <t>2608174JE0</t>
  </si>
  <si>
    <t>06057223043148</t>
  </si>
  <si>
    <t>0282666</t>
  </si>
  <si>
    <t>ASSAI 210</t>
  </si>
  <si>
    <t>2605204BUP</t>
  </si>
  <si>
    <t>06057223043571</t>
  </si>
  <si>
    <t>0287738</t>
  </si>
  <si>
    <t>2608174JBZ</t>
  </si>
  <si>
    <t>0284589</t>
  </si>
  <si>
    <t>2606184EMG</t>
  </si>
  <si>
    <t>NF1010279483</t>
  </si>
  <si>
    <t>0287813</t>
  </si>
  <si>
    <t>ASSAI 222</t>
  </si>
  <si>
    <t>2608174JE2</t>
  </si>
  <si>
    <t>06057223044705</t>
  </si>
  <si>
    <t>0284590</t>
  </si>
  <si>
    <t>ASSAI 220</t>
  </si>
  <si>
    <t>2606184EMH</t>
  </si>
  <si>
    <t>NF1010279644</t>
  </si>
  <si>
    <t>06057223044209</t>
  </si>
  <si>
    <t>0287739</t>
  </si>
  <si>
    <t>2608174JC0</t>
  </si>
  <si>
    <t>0282667</t>
  </si>
  <si>
    <t>2605204BUQ</t>
  </si>
  <si>
    <t>0287324</t>
  </si>
  <si>
    <t>CASA SANTA</t>
  </si>
  <si>
    <t>CASA SANTA LUZIA IMPORTADORA LTDA.</t>
  </si>
  <si>
    <t>2608064J1S</t>
  </si>
  <si>
    <t>11-3897-5000</t>
  </si>
  <si>
    <t>0286687</t>
  </si>
  <si>
    <t>MHM</t>
  </si>
  <si>
    <t>MHM SUPERMERCADOS LTDA</t>
  </si>
  <si>
    <t>2607274HO4</t>
  </si>
  <si>
    <t>11-3704-3899</t>
  </si>
  <si>
    <t>05248899000180</t>
  </si>
  <si>
    <t>0287866</t>
  </si>
  <si>
    <t>CLEAN ALL</t>
  </si>
  <si>
    <t>DAMASCHI &amp; ALITO COMERCIO DE MATERIAIS DE LIMPEZA E DESCARTAVEIS LTDA</t>
  </si>
  <si>
    <t>2608194JFF</t>
  </si>
  <si>
    <t>98273-9636</t>
  </si>
  <si>
    <t>0287211</t>
  </si>
  <si>
    <t>PISO DEZ</t>
  </si>
  <si>
    <t>PISO 10 MATERIAIS PARA CONSTRUCAO LTDA</t>
  </si>
  <si>
    <t>2608034IV4</t>
  </si>
  <si>
    <t>SÃO PAULO</t>
  </si>
  <si>
    <t xml:space="preserve"> (11) 4750-1477</t>
  </si>
  <si>
    <t>0287069</t>
  </si>
  <si>
    <t>ATAC COMER</t>
  </si>
  <si>
    <t>COMERCIAL ATACADISTA IGARA LTDA</t>
  </si>
  <si>
    <t>2607314HYC</t>
  </si>
  <si>
    <t>51-30511843</t>
  </si>
  <si>
    <t>07334237000239</t>
  </si>
  <si>
    <t>0285010</t>
  </si>
  <si>
    <t>ATAC DO BILL</t>
  </si>
  <si>
    <t>MARIELA ALESSANDRA ZANELLA ORTIZ LTDA</t>
  </si>
  <si>
    <t>2606254EYY</t>
  </si>
  <si>
    <t>0287571</t>
  </si>
  <si>
    <t>MONACO ATAC</t>
  </si>
  <si>
    <t>MACAMO ALIMENTOS LTDA</t>
  </si>
  <si>
    <t>2608114J8L</t>
  </si>
  <si>
    <t>51 3035-1430</t>
  </si>
  <si>
    <t>0287572</t>
  </si>
  <si>
    <t>MONACO LJ 1</t>
  </si>
  <si>
    <t>2608114J8M</t>
  </si>
  <si>
    <t>0287573</t>
  </si>
  <si>
    <t>MONACO LJ 2</t>
  </si>
  <si>
    <t>2608114J8N</t>
  </si>
  <si>
    <t>PAROBE</t>
  </si>
  <si>
    <t>51 2165-1095</t>
  </si>
  <si>
    <t>0287574</t>
  </si>
  <si>
    <t>MONACO LJ 3</t>
  </si>
  <si>
    <t>2608114J8O</t>
  </si>
  <si>
    <t>51 2500-2136</t>
  </si>
  <si>
    <t>0287576</t>
  </si>
  <si>
    <t>MONACO LJ 4</t>
  </si>
  <si>
    <t>2608114J8Q</t>
  </si>
  <si>
    <t>CAMPO BOM</t>
  </si>
  <si>
    <t>51 2165-9506</t>
  </si>
  <si>
    <t>0287577</t>
  </si>
  <si>
    <t>MONACO LJ 5</t>
  </si>
  <si>
    <t>MACAMO COMERCIO DE ALIMENTOS</t>
  </si>
  <si>
    <t>2608114J8R</t>
  </si>
  <si>
    <t>51 3191-3554</t>
  </si>
  <si>
    <t>0285445</t>
  </si>
  <si>
    <t>PRIME SUPRI</t>
  </si>
  <si>
    <t>PRIME SUPLEMENTOS COORPORATIVOS LTDA</t>
  </si>
  <si>
    <t>2606304FDG</t>
  </si>
  <si>
    <t>51 9684-1717</t>
  </si>
  <si>
    <t>0287070</t>
  </si>
  <si>
    <t>ATAC COMER 2</t>
  </si>
  <si>
    <t>COMERCIO ATACADISTA DE GENEROS ALIMENTICIOS SRRM LTDA</t>
  </si>
  <si>
    <t>2607314HYD</t>
  </si>
  <si>
    <t>51 98423-6626</t>
  </si>
  <si>
    <t>0287071</t>
  </si>
  <si>
    <t>ATAC GAUCHO</t>
  </si>
  <si>
    <t>ATACADO GAUCHO LTDA</t>
  </si>
  <si>
    <t>2607314HYE</t>
  </si>
  <si>
    <t>0286784</t>
  </si>
  <si>
    <t>NORTE FENIX</t>
  </si>
  <si>
    <t>NORTE FENIX IND. E COM. EIRELI</t>
  </si>
  <si>
    <t>2607294HQO</t>
  </si>
  <si>
    <t>PARAUAPEBAS</t>
  </si>
  <si>
    <t>94-3346-1470</t>
  </si>
  <si>
    <t>0285526</t>
  </si>
  <si>
    <t>ASSAI 118</t>
  </si>
  <si>
    <t>2606304FFP</t>
  </si>
  <si>
    <t>(11) 34115200</t>
  </si>
  <si>
    <t>06057223032103</t>
  </si>
  <si>
    <t>0282846</t>
  </si>
  <si>
    <t>2605254BZ9</t>
  </si>
  <si>
    <t>0281597</t>
  </si>
  <si>
    <t>26043049O1</t>
  </si>
  <si>
    <t>0282847</t>
  </si>
  <si>
    <t>ASSAI 135</t>
  </si>
  <si>
    <t>2605254BZA</t>
  </si>
  <si>
    <t>06057223035129</t>
  </si>
  <si>
    <t>0280959</t>
  </si>
  <si>
    <t>260415495V</t>
  </si>
  <si>
    <t>0281598</t>
  </si>
  <si>
    <t>26043049O2</t>
  </si>
  <si>
    <t>0285525</t>
  </si>
  <si>
    <t>2606304FFO</t>
  </si>
  <si>
    <t>0285524</t>
  </si>
  <si>
    <t>ASSAI 169</t>
  </si>
  <si>
    <t>2606304FFN</t>
  </si>
  <si>
    <t>06057223037687</t>
  </si>
  <si>
    <t>0280960</t>
  </si>
  <si>
    <t>260415495W</t>
  </si>
  <si>
    <t>0281599</t>
  </si>
  <si>
    <t>26043049O3</t>
  </si>
  <si>
    <t>0282849</t>
  </si>
  <si>
    <t>2605254BZC</t>
  </si>
  <si>
    <t>0281947</t>
  </si>
  <si>
    <t>ASSAI 190</t>
  </si>
  <si>
    <t>26043049XP</t>
  </si>
  <si>
    <t>(85) 3411-5000</t>
  </si>
  <si>
    <t>06057223039388</t>
  </si>
  <si>
    <t>0282854</t>
  </si>
  <si>
    <t>2605254BZH</t>
  </si>
  <si>
    <t>0280134</t>
  </si>
  <si>
    <t>26033147BO</t>
  </si>
  <si>
    <t>0288107</t>
  </si>
  <si>
    <t>2608214JM0</t>
  </si>
  <si>
    <t>0280961</t>
  </si>
  <si>
    <t>ASSAI 187</t>
  </si>
  <si>
    <t>260415495X</t>
  </si>
  <si>
    <t>85-3411-5000</t>
  </si>
  <si>
    <t>06057223039701</t>
  </si>
  <si>
    <t>0281600</t>
  </si>
  <si>
    <t>26043049O4</t>
  </si>
  <si>
    <t>0282850</t>
  </si>
  <si>
    <t>2605254BZD</t>
  </si>
  <si>
    <t>0285523</t>
  </si>
  <si>
    <t>2606304FFM</t>
  </si>
  <si>
    <t>0285522</t>
  </si>
  <si>
    <t>ASSAI 191</t>
  </si>
  <si>
    <t>2606304FFL</t>
  </si>
  <si>
    <t>06057223039620</t>
  </si>
  <si>
    <t>0280962</t>
  </si>
  <si>
    <t>260415495Y</t>
  </si>
  <si>
    <t>0281601</t>
  </si>
  <si>
    <t>26043049O5</t>
  </si>
  <si>
    <t>0282851</t>
  </si>
  <si>
    <t>2605254BZE</t>
  </si>
  <si>
    <t>0282852</t>
  </si>
  <si>
    <t>ASSAI 235</t>
  </si>
  <si>
    <t>2605254BZF</t>
  </si>
  <si>
    <t>06057223046678</t>
  </si>
  <si>
    <t>0281602</t>
  </si>
  <si>
    <t>26043049O6</t>
  </si>
  <si>
    <t>0280236</t>
  </si>
  <si>
    <t>26033147EI</t>
  </si>
  <si>
    <t>0280963</t>
  </si>
  <si>
    <t>260415495Z</t>
  </si>
  <si>
    <t>0285521</t>
  </si>
  <si>
    <t>2606304FFK</t>
  </si>
  <si>
    <t>0285520</t>
  </si>
  <si>
    <t>ASSAI 252</t>
  </si>
  <si>
    <t>2606304FFJ</t>
  </si>
  <si>
    <t>06057223048026</t>
  </si>
  <si>
    <t>0281603</t>
  </si>
  <si>
    <t>26043049O7</t>
  </si>
  <si>
    <t>0282848</t>
  </si>
  <si>
    <t>2605254BZB</t>
  </si>
  <si>
    <t>0280964</t>
  </si>
  <si>
    <t>0285527</t>
  </si>
  <si>
    <t>ASSAI 325</t>
  </si>
  <si>
    <t>2606304FFQ</t>
  </si>
  <si>
    <t>96 3082-0100</t>
  </si>
  <si>
    <t>06057223055405</t>
  </si>
  <si>
    <t>0282855</t>
  </si>
  <si>
    <t>2605254BZI</t>
  </si>
  <si>
    <t>0280135</t>
  </si>
  <si>
    <t>26033147BP</t>
  </si>
  <si>
    <t>0280966</t>
  </si>
  <si>
    <t>0281948</t>
  </si>
  <si>
    <t>26043049XQ</t>
  </si>
  <si>
    <t>0288108</t>
  </si>
  <si>
    <t>2608214JM1</t>
  </si>
  <si>
    <t>0281604</t>
  </si>
  <si>
    <t>ASSAI 322</t>
  </si>
  <si>
    <t>26043049O8</t>
  </si>
  <si>
    <t>06057223055073</t>
  </si>
  <si>
    <t>0282853</t>
  </si>
  <si>
    <t>2605254BZG</t>
  </si>
  <si>
    <t>0285519</t>
  </si>
  <si>
    <t>2606304FFI</t>
  </si>
  <si>
    <t>0017234</t>
  </si>
  <si>
    <t>RIO AZUL</t>
  </si>
  <si>
    <t>SUPERGIRO LTDA</t>
  </si>
  <si>
    <t>2607240MST</t>
  </si>
  <si>
    <t>(91) 9114-4326</t>
  </si>
  <si>
    <t>0017233</t>
  </si>
  <si>
    <t>2607240MSS</t>
  </si>
  <si>
    <t>1355/1</t>
  </si>
  <si>
    <t>0014312</t>
  </si>
  <si>
    <t>2607240D3C</t>
  </si>
  <si>
    <t>1355/2</t>
  </si>
  <si>
    <t>0287740</t>
  </si>
  <si>
    <t>CONSTRUNORT</t>
  </si>
  <si>
    <t>CONSTRUNORTE MATERIAIS DE CONSTRUCAO LTDA</t>
  </si>
  <si>
    <t>2608174JC1</t>
  </si>
  <si>
    <t>PARAGOMINAS</t>
  </si>
  <si>
    <t>(91) 3738-1240</t>
  </si>
  <si>
    <t>0284981</t>
  </si>
  <si>
    <t>FORTEPEL 1</t>
  </si>
  <si>
    <t>FORTTPEL COMERCIO ATACADISTA LTDA</t>
  </si>
  <si>
    <t>2606254EY5</t>
  </si>
  <si>
    <t>(41)35125280</t>
  </si>
  <si>
    <t>0287762</t>
  </si>
  <si>
    <t>HELLA PAPEL</t>
  </si>
  <si>
    <t>HELLA COMERCIO E SERVICOS LTDA</t>
  </si>
  <si>
    <t>2608174JCN</t>
  </si>
  <si>
    <t>PALMITINHO</t>
  </si>
  <si>
    <t>(55)20122012</t>
  </si>
  <si>
    <t>0286120</t>
  </si>
  <si>
    <t>2607164H8M</t>
  </si>
  <si>
    <t>0284466</t>
  </si>
  <si>
    <t>SANIMED</t>
  </si>
  <si>
    <t>SANIMED COMERCIO DE ALIMENTOS</t>
  </si>
  <si>
    <t>2606164EJ3</t>
  </si>
  <si>
    <t>(51)32490010</t>
  </si>
  <si>
    <t>0284464</t>
  </si>
  <si>
    <t>COMERCIO RCR</t>
  </si>
  <si>
    <t>RCR COMÉRCIO DE ALIMENTOS LTDA</t>
  </si>
  <si>
    <t>2606164EJ1</t>
  </si>
  <si>
    <t>(51)99853-7527</t>
  </si>
  <si>
    <t>0284321</t>
  </si>
  <si>
    <t>ASSAI 57</t>
  </si>
  <si>
    <t>2606154EFE</t>
  </si>
  <si>
    <t>85-3292-6479</t>
  </si>
  <si>
    <t>06057223029153</t>
  </si>
  <si>
    <t>0288014</t>
  </si>
  <si>
    <t>2608204JJH</t>
  </si>
  <si>
    <t>0284316</t>
  </si>
  <si>
    <t>ASSAI 102</t>
  </si>
  <si>
    <t>2606154EF9</t>
  </si>
  <si>
    <t>06057223029072</t>
  </si>
  <si>
    <t>0288009</t>
  </si>
  <si>
    <t>2608204JJC</t>
  </si>
  <si>
    <t>0281749</t>
  </si>
  <si>
    <t>26043049S9</t>
  </si>
  <si>
    <t>0288015</t>
  </si>
  <si>
    <t>ASSAI 70</t>
  </si>
  <si>
    <t>2608204JJI</t>
  </si>
  <si>
    <t>06057223028262</t>
  </si>
  <si>
    <t>0281755</t>
  </si>
  <si>
    <t>26043049SF</t>
  </si>
  <si>
    <t>0284322</t>
  </si>
  <si>
    <t>2606154EFF</t>
  </si>
  <si>
    <t>0281911</t>
  </si>
  <si>
    <t>26043049WP</t>
  </si>
  <si>
    <t>0284317</t>
  </si>
  <si>
    <t>ASSAI 180</t>
  </si>
  <si>
    <t>2606154EFA</t>
  </si>
  <si>
    <t>69-3216-2300</t>
  </si>
  <si>
    <t>06057223041870</t>
  </si>
  <si>
    <t>0288010</t>
  </si>
  <si>
    <t>2608204JJD</t>
  </si>
  <si>
    <t>0281912</t>
  </si>
  <si>
    <t>26043049WQ</t>
  </si>
  <si>
    <t>0288011</t>
  </si>
  <si>
    <t>ASSAI 192</t>
  </si>
  <si>
    <t>2608204JJE</t>
  </si>
  <si>
    <t>06057223042508</t>
  </si>
  <si>
    <t>0281751</t>
  </si>
  <si>
    <t>26043049SB</t>
  </si>
  <si>
    <t>0284318</t>
  </si>
  <si>
    <t>2606154EFB</t>
  </si>
  <si>
    <t>0284319</t>
  </si>
  <si>
    <t>ASSAI 216</t>
  </si>
  <si>
    <t>2606154EFC</t>
  </si>
  <si>
    <t>06057223044462</t>
  </si>
  <si>
    <t>0288012</t>
  </si>
  <si>
    <t>2608204JJF</t>
  </si>
  <si>
    <t>0281913</t>
  </si>
  <si>
    <t>26043049WR</t>
  </si>
  <si>
    <t>0288013</t>
  </si>
  <si>
    <t>ASSAI 329</t>
  </si>
  <si>
    <t>2608204JJG</t>
  </si>
  <si>
    <t>06057223055740</t>
  </si>
  <si>
    <t>0281753</t>
  </si>
  <si>
    <t>26043049SD</t>
  </si>
  <si>
    <t>0284320</t>
  </si>
  <si>
    <t>2606154EFD</t>
  </si>
  <si>
    <t>0285532</t>
  </si>
  <si>
    <t>BOM JESUS 12</t>
  </si>
  <si>
    <t>K.R. LOPES DE CASTRO &amp; CIA LTDA</t>
  </si>
  <si>
    <t>2606304FFV</t>
  </si>
  <si>
    <t>65 99212-8125</t>
  </si>
  <si>
    <t>0286675</t>
  </si>
  <si>
    <t>BOM FUTURO</t>
  </si>
  <si>
    <t>BOM FUTURO AGRICOLA LTDA</t>
  </si>
  <si>
    <t>2607274HNS</t>
  </si>
  <si>
    <t>65 3645-8000</t>
  </si>
  <si>
    <t>0286213</t>
  </si>
  <si>
    <t>ASSAI 87</t>
  </si>
  <si>
    <t>2607244HLZ</t>
  </si>
  <si>
    <t>06057223031727</t>
  </si>
  <si>
    <t>0281696</t>
  </si>
  <si>
    <t>26043049QS</t>
  </si>
  <si>
    <t>0283396</t>
  </si>
  <si>
    <t>2606014CEP</t>
  </si>
  <si>
    <t>0281698</t>
  </si>
  <si>
    <t>ASSAI 95</t>
  </si>
  <si>
    <t>26043049QU</t>
  </si>
  <si>
    <t>JEQUIE</t>
  </si>
  <si>
    <t>06057223031301</t>
  </si>
  <si>
    <t>0283398</t>
  </si>
  <si>
    <t>2606014CER</t>
  </si>
  <si>
    <t>0286214</t>
  </si>
  <si>
    <t>2607244HM0</t>
  </si>
  <si>
    <t>0286210</t>
  </si>
  <si>
    <t>ASSAI 66</t>
  </si>
  <si>
    <t>2607244HLW</t>
  </si>
  <si>
    <t>JUAZEIRO</t>
  </si>
  <si>
    <t>06057223031565</t>
  </si>
  <si>
    <t>0283394</t>
  </si>
  <si>
    <t>2606014CEN</t>
  </si>
  <si>
    <t>0281693</t>
  </si>
  <si>
    <t>26043049QP</t>
  </si>
  <si>
    <t>0286211</t>
  </si>
  <si>
    <t>ASSAI 67</t>
  </si>
  <si>
    <t>2607244HLX</t>
  </si>
  <si>
    <t>06057223031484</t>
  </si>
  <si>
    <t>0281694</t>
  </si>
  <si>
    <t>26043049QQ</t>
  </si>
  <si>
    <t>0283987</t>
  </si>
  <si>
    <t>2606084E67</t>
  </si>
  <si>
    <t>0283373</t>
  </si>
  <si>
    <t>ASSAI 116</t>
  </si>
  <si>
    <t>2606014CE2</t>
  </si>
  <si>
    <t>79-99656-3604</t>
  </si>
  <si>
    <t>06057223029900</t>
  </si>
  <si>
    <t>0281673</t>
  </si>
  <si>
    <t>26043049Q5</t>
  </si>
  <si>
    <t>0281675</t>
  </si>
  <si>
    <t>ASSAI 143</t>
  </si>
  <si>
    <t>26043049Q7</t>
  </si>
  <si>
    <t>LAURO DE FREITAS</t>
  </si>
  <si>
    <t>06057223032456</t>
  </si>
  <si>
    <t>0283377</t>
  </si>
  <si>
    <t>2606014CE6</t>
  </si>
  <si>
    <t>0286199</t>
  </si>
  <si>
    <t>2607244HLL</t>
  </si>
  <si>
    <t>0283397</t>
  </si>
  <si>
    <t>ASSAI 90</t>
  </si>
  <si>
    <t>2606014CEQ</t>
  </si>
  <si>
    <t>06057223032294</t>
  </si>
  <si>
    <t>0281697</t>
  </si>
  <si>
    <t>26043049QT</t>
  </si>
  <si>
    <t>0281672</t>
  </si>
  <si>
    <t>ASSAI 106</t>
  </si>
  <si>
    <t>26043049Q4</t>
  </si>
  <si>
    <t>PAULO AFONSO</t>
  </si>
  <si>
    <t>06057223034076</t>
  </si>
  <si>
    <t>0283372</t>
  </si>
  <si>
    <t>2606014CE1</t>
  </si>
  <si>
    <t>0286197</t>
  </si>
  <si>
    <t>2607244HLJ</t>
  </si>
  <si>
    <t>0286212</t>
  </si>
  <si>
    <t>ASSAI 78</t>
  </si>
  <si>
    <t>2607244HLY</t>
  </si>
  <si>
    <t>06057223036109</t>
  </si>
  <si>
    <t>0281695</t>
  </si>
  <si>
    <t>26043049QR</t>
  </si>
  <si>
    <t>0283395</t>
  </si>
  <si>
    <t>2606014CEO</t>
  </si>
  <si>
    <t>0283378</t>
  </si>
  <si>
    <t>ASSAI 147</t>
  </si>
  <si>
    <t>2606014CE7</t>
  </si>
  <si>
    <t>ITABAIANA</t>
  </si>
  <si>
    <t>71-3289-9516</t>
  </si>
  <si>
    <t>06057223036443</t>
  </si>
  <si>
    <t>0281676</t>
  </si>
  <si>
    <t>26043049Q8</t>
  </si>
  <si>
    <t>0283379</t>
  </si>
  <si>
    <t>ASSAI 159</t>
  </si>
  <si>
    <t>2606014CE8</t>
  </si>
  <si>
    <t>GUANAMBI</t>
  </si>
  <si>
    <t>06057223037849</t>
  </si>
  <si>
    <t>0281677</t>
  </si>
  <si>
    <t>26043049Q9</t>
  </si>
  <si>
    <t>0286200</t>
  </si>
  <si>
    <t>2607244HLM</t>
  </si>
  <si>
    <t>0286201</t>
  </si>
  <si>
    <t>ASSAI 164</t>
  </si>
  <si>
    <t>2607244HLN</t>
  </si>
  <si>
    <t>06057223038144</t>
  </si>
  <si>
    <t>0281678</t>
  </si>
  <si>
    <t>26043049QA</t>
  </si>
  <si>
    <t>0283380</t>
  </si>
  <si>
    <t>2606014CE9</t>
  </si>
  <si>
    <t>0281674</t>
  </si>
  <si>
    <t>ASSAI 139</t>
  </si>
  <si>
    <t>26043049Q6</t>
  </si>
  <si>
    <t>CAMACARI</t>
  </si>
  <si>
    <t>06057223038306</t>
  </si>
  <si>
    <t>0283376</t>
  </si>
  <si>
    <t>2606014CE5</t>
  </si>
  <si>
    <t>0286198</t>
  </si>
  <si>
    <t>2607244HLK</t>
  </si>
  <si>
    <t>0283375</t>
  </si>
  <si>
    <t>ASSAI 125</t>
  </si>
  <si>
    <t>2606014CE4</t>
  </si>
  <si>
    <t>06057223038730</t>
  </si>
  <si>
    <t>0283374</t>
  </si>
  <si>
    <t>2606014CE3</t>
  </si>
  <si>
    <t>0283384</t>
  </si>
  <si>
    <t>ASSAI 185</t>
  </si>
  <si>
    <t>2606014CED</t>
  </si>
  <si>
    <t>SERRINHA</t>
  </si>
  <si>
    <t>06057223040637</t>
  </si>
  <si>
    <t>0281682</t>
  </si>
  <si>
    <t>26043049QE</t>
  </si>
  <si>
    <t>0286204</t>
  </si>
  <si>
    <t>2607244HLQ</t>
  </si>
  <si>
    <t>0286203</t>
  </si>
  <si>
    <t>ASSAI 184</t>
  </si>
  <si>
    <t>2607244HLP</t>
  </si>
  <si>
    <t>SENHOR DO BONFIM</t>
  </si>
  <si>
    <t>06057223040718</t>
  </si>
  <si>
    <t>0283383</t>
  </si>
  <si>
    <t>2606014CEC</t>
  </si>
  <si>
    <t>0281681</t>
  </si>
  <si>
    <t>26043049QD</t>
  </si>
  <si>
    <t>0281680</t>
  </si>
  <si>
    <t>ASSAI 183</t>
  </si>
  <si>
    <t>26043049QC</t>
  </si>
  <si>
    <t>06057223040475</t>
  </si>
  <si>
    <t>0283382</t>
  </si>
  <si>
    <t>2606014CEB</t>
  </si>
  <si>
    <t>0283381</t>
  </si>
  <si>
    <t>ASSAI 177</t>
  </si>
  <si>
    <t>2606014CEA</t>
  </si>
  <si>
    <t>06057223042419</t>
  </si>
  <si>
    <t>0281679</t>
  </si>
  <si>
    <t>26043049QB</t>
  </si>
  <si>
    <t>0286202</t>
  </si>
  <si>
    <t>2607244HLO</t>
  </si>
  <si>
    <t>0281684</t>
  </si>
  <si>
    <t>ASSAI 225</t>
  </si>
  <si>
    <t>26043049QG</t>
  </si>
  <si>
    <t>11-34115000</t>
  </si>
  <si>
    <t>06057223045191</t>
  </si>
  <si>
    <t>0286206</t>
  </si>
  <si>
    <t>2607244HLS</t>
  </si>
  <si>
    <t>0283985</t>
  </si>
  <si>
    <t>2606084E65</t>
  </si>
  <si>
    <t>0286207</t>
  </si>
  <si>
    <t>ASSAI 242</t>
  </si>
  <si>
    <t>2607244HLT</t>
  </si>
  <si>
    <t>BARREIRAS</t>
  </si>
  <si>
    <t>06057223046910</t>
  </si>
  <si>
    <t>0283385</t>
  </si>
  <si>
    <t>2606014CEE</t>
  </si>
  <si>
    <t>0281685</t>
  </si>
  <si>
    <t>26043049QH</t>
  </si>
  <si>
    <t>0281686</t>
  </si>
  <si>
    <t>ASSAI 243</t>
  </si>
  <si>
    <t>26043049QI</t>
  </si>
  <si>
    <t>06057223047054</t>
  </si>
  <si>
    <t>0283386</t>
  </si>
  <si>
    <t>2606014CEF</t>
  </si>
  <si>
    <t>0283388</t>
  </si>
  <si>
    <t>ASSAI 251</t>
  </si>
  <si>
    <t>2606014CEH</t>
  </si>
  <si>
    <t>06057223047801</t>
  </si>
  <si>
    <t>0283387</t>
  </si>
  <si>
    <t>2606014CEG</t>
  </si>
  <si>
    <t>0281328</t>
  </si>
  <si>
    <t>ASSAI 250</t>
  </si>
  <si>
    <t>26042749GK</t>
  </si>
  <si>
    <t>56-3411-5000</t>
  </si>
  <si>
    <t>06057223047720</t>
  </si>
  <si>
    <t>0283958</t>
  </si>
  <si>
    <t>2606084E5E</t>
  </si>
  <si>
    <t>0283959</t>
  </si>
  <si>
    <t>2606084E5F</t>
  </si>
  <si>
    <t>0284351</t>
  </si>
  <si>
    <t>2606154EG7</t>
  </si>
  <si>
    <t>0283986</t>
  </si>
  <si>
    <t>ASSAI 297</t>
  </si>
  <si>
    <t>2606084E66</t>
  </si>
  <si>
    <t>TEIXEIRA DE FREITAS</t>
  </si>
  <si>
    <t>06057223052724</t>
  </si>
  <si>
    <t>0281690</t>
  </si>
  <si>
    <t>26043049QM</t>
  </si>
  <si>
    <t>0281689</t>
  </si>
  <si>
    <t>ASSAI 288</t>
  </si>
  <si>
    <t>26043049QL</t>
  </si>
  <si>
    <t>06057223051833</t>
  </si>
  <si>
    <t>0283391</t>
  </si>
  <si>
    <t>2606014CEK</t>
  </si>
  <si>
    <t>0286215</t>
  </si>
  <si>
    <t>2607244HM1</t>
  </si>
  <si>
    <t>0281683</t>
  </si>
  <si>
    <t>ASSAI 196</t>
  </si>
  <si>
    <t>26043049QF</t>
  </si>
  <si>
    <t>ITAPETINGA</t>
  </si>
  <si>
    <t>06057223040807</t>
  </si>
  <si>
    <t>0286205</t>
  </si>
  <si>
    <t>2607244HLR</t>
  </si>
  <si>
    <t>0283984</t>
  </si>
  <si>
    <t>2606084E64</t>
  </si>
  <si>
    <t>0286209</t>
  </si>
  <si>
    <t>ASSAI 321</t>
  </si>
  <si>
    <t>SENDAS DISTRIBUIDORAS S/A</t>
  </si>
  <si>
    <t>2607244HLV</t>
  </si>
  <si>
    <t>06057223055235</t>
  </si>
  <si>
    <t>0283393</t>
  </si>
  <si>
    <t>2606014CEM</t>
  </si>
  <si>
    <t>0281692</t>
  </si>
  <si>
    <t>26043049QO</t>
  </si>
  <si>
    <t>0283392</t>
  </si>
  <si>
    <t>ASSAI 309</t>
  </si>
  <si>
    <t>2606014CEL</t>
  </si>
  <si>
    <t>06057223054182</t>
  </si>
  <si>
    <t>0281691</t>
  </si>
  <si>
    <t>26043049QN</t>
  </si>
  <si>
    <t>0286208</t>
  </si>
  <si>
    <t>2607244HLU</t>
  </si>
  <si>
    <t>0283389</t>
  </si>
  <si>
    <t>ASSAI 255</t>
  </si>
  <si>
    <t>2606014CEI</t>
  </si>
  <si>
    <t>06057223048379</t>
  </si>
  <si>
    <t>0281687</t>
  </si>
  <si>
    <t>26043049QJ</t>
  </si>
  <si>
    <t>0281688</t>
  </si>
  <si>
    <t>ASSAI 256</t>
  </si>
  <si>
    <t>26043049QK</t>
  </si>
  <si>
    <t>06057223048450</t>
  </si>
  <si>
    <t>0283390</t>
  </si>
  <si>
    <t>2606014CEJ</t>
  </si>
  <si>
    <t>0017119</t>
  </si>
  <si>
    <t>RMC COMERCIO</t>
  </si>
  <si>
    <t>RMC COMERCIO DE ALIMENTOS LTDA</t>
  </si>
  <si>
    <t>2606290MJ9</t>
  </si>
  <si>
    <t>692686/1</t>
  </si>
  <si>
    <t>86-3216-1600</t>
  </si>
  <si>
    <t>0014222</t>
  </si>
  <si>
    <t>2606290CYH</t>
  </si>
  <si>
    <t>692686/2</t>
  </si>
  <si>
    <t>0014221</t>
  </si>
  <si>
    <t>RMC COMERC 5</t>
  </si>
  <si>
    <t>2606290CYG</t>
  </si>
  <si>
    <t>692681/2</t>
  </si>
  <si>
    <t>TIMON</t>
  </si>
  <si>
    <t>(99) 3317-7292</t>
  </si>
  <si>
    <t>0017120</t>
  </si>
  <si>
    <t>2606290MJA</t>
  </si>
  <si>
    <t>692681/1</t>
  </si>
  <si>
    <t>0279934</t>
  </si>
  <si>
    <t>DOM VILARES</t>
  </si>
  <si>
    <t>COMERCIO DE GENEROS ALIMENTICIOS DOM VILARES LTDA</t>
  </si>
  <si>
    <t>11 5624371116</t>
  </si>
  <si>
    <t>03507329000131</t>
  </si>
  <si>
    <t>0287742</t>
  </si>
  <si>
    <t>2608174JC3</t>
  </si>
  <si>
    <t>0286685</t>
  </si>
  <si>
    <t>DIANAS</t>
  </si>
  <si>
    <t>DIANAS ATACADISTA &amp; SUPERMERCADO LTDA</t>
  </si>
  <si>
    <t>2608054J1H</t>
  </si>
  <si>
    <t>11-5011-6677</t>
  </si>
  <si>
    <t>0287194</t>
  </si>
  <si>
    <t>COMERCIO 3M</t>
  </si>
  <si>
    <t>COMERCIO VAREJISTA DE MERCADORIAS 3M LTDA</t>
  </si>
  <si>
    <t>2608034IUN</t>
  </si>
  <si>
    <t>(11) 5832-2100</t>
  </si>
  <si>
    <t>0287193</t>
  </si>
  <si>
    <t>COM 3M LJ 2</t>
  </si>
  <si>
    <t>2608034IUM</t>
  </si>
  <si>
    <t>0286399</t>
  </si>
  <si>
    <t>STA LIMPEZA</t>
  </si>
  <si>
    <t>SANTA LIMPEZA COMERCIO DE PRODUTOS DE LIMPEZA LTDA</t>
  </si>
  <si>
    <t>2607234HE2</t>
  </si>
  <si>
    <t>11-5641-1729 11</t>
  </si>
  <si>
    <t>0282059</t>
  </si>
  <si>
    <t>ASSAI 79</t>
  </si>
  <si>
    <t>2605044BAI</t>
  </si>
  <si>
    <t>16-8524-9211</t>
  </si>
  <si>
    <t>06057223027452</t>
  </si>
  <si>
    <t>0286763</t>
  </si>
  <si>
    <t>2607294HQ3</t>
  </si>
  <si>
    <t>0284474</t>
  </si>
  <si>
    <t>2606164EJB</t>
  </si>
  <si>
    <t>0286762</t>
  </si>
  <si>
    <t>ASSAI 71</t>
  </si>
  <si>
    <t>2607294HQ2</t>
  </si>
  <si>
    <t>06057223024780</t>
  </si>
  <si>
    <t>0284473</t>
  </si>
  <si>
    <t>2606164EJA</t>
  </si>
  <si>
    <t>0282058</t>
  </si>
  <si>
    <t>2605044BAH</t>
  </si>
  <si>
    <t>0284468</t>
  </si>
  <si>
    <t>ASSAI 162</t>
  </si>
  <si>
    <t>2606164EJ5</t>
  </si>
  <si>
    <t>06057223034904</t>
  </si>
  <si>
    <t>0282052</t>
  </si>
  <si>
    <t>2605044BAB</t>
  </si>
  <si>
    <t>0286756</t>
  </si>
  <si>
    <t>2607294HPW</t>
  </si>
  <si>
    <t>0282060</t>
  </si>
  <si>
    <t>ASSAI 99</t>
  </si>
  <si>
    <t>2605044BAJ</t>
  </si>
  <si>
    <t>06057223036796</t>
  </si>
  <si>
    <t>0286764</t>
  </si>
  <si>
    <t>2607294HQ4</t>
  </si>
  <si>
    <t>0284475</t>
  </si>
  <si>
    <t>2606164EJC</t>
  </si>
  <si>
    <t>0286757</t>
  </si>
  <si>
    <t>ASSAI 195</t>
  </si>
  <si>
    <t>2607294HPX</t>
  </si>
  <si>
    <t>06057223040394</t>
  </si>
  <si>
    <t>0284469</t>
  </si>
  <si>
    <t>2606164EJ6</t>
  </si>
  <si>
    <t>0282053</t>
  </si>
  <si>
    <t>2605044BAC</t>
  </si>
  <si>
    <t>0284476</t>
  </si>
  <si>
    <t>ASSAI LJ229</t>
  </si>
  <si>
    <t>2606164EJD</t>
  </si>
  <si>
    <t>06057223047488</t>
  </si>
  <si>
    <t>0286765</t>
  </si>
  <si>
    <t>2607294HQ5</t>
  </si>
  <si>
    <t>0284470</t>
  </si>
  <si>
    <t>ASSAI 215</t>
  </si>
  <si>
    <t>2606164EJ7</t>
  </si>
  <si>
    <t>06057223045353</t>
  </si>
  <si>
    <t>0286758</t>
  </si>
  <si>
    <t>2607294HPY</t>
  </si>
  <si>
    <t>0282054</t>
  </si>
  <si>
    <t>2605044BAD</t>
  </si>
  <si>
    <t>0286760</t>
  </si>
  <si>
    <t>ASSAI 259</t>
  </si>
  <si>
    <t>2607294HQ0</t>
  </si>
  <si>
    <t>06057223048883</t>
  </si>
  <si>
    <t>0282056</t>
  </si>
  <si>
    <t>2605044BAF</t>
  </si>
  <si>
    <t>0284472</t>
  </si>
  <si>
    <t>2606164EJ9</t>
  </si>
  <si>
    <t>0282055</t>
  </si>
  <si>
    <t>ASSAI 257</t>
  </si>
  <si>
    <t>2605044BAE</t>
  </si>
  <si>
    <t>06057223048530</t>
  </si>
  <si>
    <t>0284471</t>
  </si>
  <si>
    <t>2606164EJ8</t>
  </si>
  <si>
    <t>0286759</t>
  </si>
  <si>
    <t>2607294HPZ</t>
  </si>
  <si>
    <t>0286761</t>
  </si>
  <si>
    <t>ASSAI 314</t>
  </si>
  <si>
    <t>2607294HQ1</t>
  </si>
  <si>
    <t>FOZ DO IGUACU</t>
  </si>
  <si>
    <t>06057223054778</t>
  </si>
  <si>
    <t>0282057</t>
  </si>
  <si>
    <t>2605044BAG</t>
  </si>
  <si>
    <t>0282760</t>
  </si>
  <si>
    <t>STOCK ATAC</t>
  </si>
  <si>
    <t xml:space="preserve"> STOCK ATACADISTA S.A.</t>
  </si>
  <si>
    <t>2605214BX4</t>
  </si>
  <si>
    <t>PAICANDU</t>
  </si>
  <si>
    <t>44 3220-5660</t>
  </si>
  <si>
    <t>0286483</t>
  </si>
  <si>
    <t>HIRANO</t>
  </si>
  <si>
    <t>RODRIGUES &amp; HIRANO LTDA</t>
  </si>
  <si>
    <t>2607234HGE</t>
  </si>
  <si>
    <t>MARIALVA</t>
  </si>
  <si>
    <t>(44)3015-3020</t>
  </si>
  <si>
    <t>0286486</t>
  </si>
  <si>
    <t>STOCK ATAC 8</t>
  </si>
  <si>
    <t>STOCK ATACADISTA S.A.</t>
  </si>
  <si>
    <t>2607234HGH</t>
  </si>
  <si>
    <t>(44) 3212-6848</t>
  </si>
  <si>
    <t>0286422</t>
  </si>
  <si>
    <t>SONDA-CD</t>
  </si>
  <si>
    <t>SONDA SUPERMERCADOS EXP. IMPORTACAO S/A</t>
  </si>
  <si>
    <t>2607234HEP</t>
  </si>
  <si>
    <t>11-2166-7800</t>
  </si>
  <si>
    <t>01937635001740</t>
  </si>
  <si>
    <t>0284955</t>
  </si>
  <si>
    <t>2606254EXF</t>
  </si>
  <si>
    <t>0287083</t>
  </si>
  <si>
    <t>ESPERANCA</t>
  </si>
  <si>
    <t>COMERCIAL ESPERANCA ATACADISTA IMPORT E EXPORT LTDA</t>
  </si>
  <si>
    <t>2608034IRK</t>
  </si>
  <si>
    <t>ARUJA</t>
  </si>
  <si>
    <t>11-4651-0400</t>
  </si>
  <si>
    <t>RE2OUHK696</t>
  </si>
  <si>
    <t>0282423</t>
  </si>
  <si>
    <t>TENDA</t>
  </si>
  <si>
    <t>TENDA ATACADO LTDA</t>
  </si>
  <si>
    <t>2605124BNN</t>
  </si>
  <si>
    <t>11-2489-2900</t>
  </si>
  <si>
    <t>01157555001186</t>
  </si>
  <si>
    <t>0284287</t>
  </si>
  <si>
    <t>2606154EEG</t>
  </si>
  <si>
    <t>0286918</t>
  </si>
  <si>
    <t>2607314HTR</t>
  </si>
  <si>
    <t>0287546</t>
  </si>
  <si>
    <t>2608114J7W</t>
  </si>
  <si>
    <t>0282726</t>
  </si>
  <si>
    <t>2605204BW8</t>
  </si>
  <si>
    <t>0285512</t>
  </si>
  <si>
    <t>2606304FFB</t>
  </si>
  <si>
    <t>0285765</t>
  </si>
  <si>
    <t>2607064GYE</t>
  </si>
  <si>
    <t>0282714</t>
  </si>
  <si>
    <t>TENDA 37</t>
  </si>
  <si>
    <t>2605204BVW</t>
  </si>
  <si>
    <t>01157555003715</t>
  </si>
  <si>
    <t>0285660</t>
  </si>
  <si>
    <t>2606304FJF</t>
  </si>
  <si>
    <t>0286937</t>
  </si>
  <si>
    <t>2607314HUA</t>
  </si>
  <si>
    <t>0283827</t>
  </si>
  <si>
    <t>2606014CQO</t>
  </si>
  <si>
    <t>0286949</t>
  </si>
  <si>
    <t>TENDA 03</t>
  </si>
  <si>
    <t>2607314HUM</t>
  </si>
  <si>
    <t>19-3772-4999</t>
  </si>
  <si>
    <t>01157555000961</t>
  </si>
  <si>
    <t>0285639</t>
  </si>
  <si>
    <t>2606304FIU</t>
  </si>
  <si>
    <t>0282697</t>
  </si>
  <si>
    <t>2605204BVF</t>
  </si>
  <si>
    <t>0283644</t>
  </si>
  <si>
    <t>2606014CLL</t>
  </si>
  <si>
    <t>0285641</t>
  </si>
  <si>
    <t>TENDA 08</t>
  </si>
  <si>
    <t>2606304FIW</t>
  </si>
  <si>
    <t>12-3935-6400</t>
  </si>
  <si>
    <t>01157555000376</t>
  </si>
  <si>
    <t>0283646</t>
  </si>
  <si>
    <t>2606014CLN</t>
  </si>
  <si>
    <t>0282699</t>
  </si>
  <si>
    <t>2605204BVH</t>
  </si>
  <si>
    <t>0286953</t>
  </si>
  <si>
    <t>2607314HUQ</t>
  </si>
  <si>
    <t>0282701</t>
  </si>
  <si>
    <t>TENDA 13</t>
  </si>
  <si>
    <t>2605204BVJ</t>
  </si>
  <si>
    <t>GUARATINGUETA</t>
  </si>
  <si>
    <t>12-3128-5100</t>
  </si>
  <si>
    <t>01157555001500</t>
  </si>
  <si>
    <t>0286922</t>
  </si>
  <si>
    <t>2607314HTV</t>
  </si>
  <si>
    <t>0285643</t>
  </si>
  <si>
    <t>2606304FIY</t>
  </si>
  <si>
    <t>0283814</t>
  </si>
  <si>
    <t>2606014CQB</t>
  </si>
  <si>
    <t>0285645</t>
  </si>
  <si>
    <t>TENDA 15</t>
  </si>
  <si>
    <t>2606304FJ0</t>
  </si>
  <si>
    <t>12-3624-2762</t>
  </si>
  <si>
    <t>01157555001771</t>
  </si>
  <si>
    <t>0286920</t>
  </si>
  <si>
    <t>2607314HTT</t>
  </si>
  <si>
    <t>0283659</t>
  </si>
  <si>
    <t>2606014CM0</t>
  </si>
  <si>
    <t>0282702</t>
  </si>
  <si>
    <t>2605204BVK</t>
  </si>
  <si>
    <t>0286948</t>
  </si>
  <si>
    <t>TENDA 17</t>
  </si>
  <si>
    <t>2607314HUL</t>
  </si>
  <si>
    <t>11-2148-1300</t>
  </si>
  <si>
    <t>01157555002077</t>
  </si>
  <si>
    <t>0283649</t>
  </si>
  <si>
    <t>2606014CLQ</t>
  </si>
  <si>
    <t>0285647</t>
  </si>
  <si>
    <t>2606304FJ2</t>
  </si>
  <si>
    <t>0283661</t>
  </si>
  <si>
    <t>TENDA 20</t>
  </si>
  <si>
    <t>2606014CM2</t>
  </si>
  <si>
    <t>ITU</t>
  </si>
  <si>
    <t>11-2118-0200</t>
  </si>
  <si>
    <t>01157555002239</t>
  </si>
  <si>
    <t>0285649</t>
  </si>
  <si>
    <t>2606304FJ4</t>
  </si>
  <si>
    <t>0282705</t>
  </si>
  <si>
    <t>2605204BVN</t>
  </si>
  <si>
    <t>0286946</t>
  </si>
  <si>
    <t>2607314HUJ</t>
  </si>
  <si>
    <t>0283650</t>
  </si>
  <si>
    <t>TENDA 27</t>
  </si>
  <si>
    <t>2606014CLR</t>
  </si>
  <si>
    <t>19-3457-8916</t>
  </si>
  <si>
    <t>01157555002743</t>
  </si>
  <si>
    <t>0286945</t>
  </si>
  <si>
    <t>2607314HUI</t>
  </si>
  <si>
    <t>0285651</t>
  </si>
  <si>
    <t>2606304FJ6</t>
  </si>
  <si>
    <t>0286943</t>
  </si>
  <si>
    <t>TENDA 30</t>
  </si>
  <si>
    <t>2607314HUG</t>
  </si>
  <si>
    <t>19-3811-8500</t>
  </si>
  <si>
    <t>01157555003049</t>
  </si>
  <si>
    <t>0285653</t>
  </si>
  <si>
    <t>2606304FJ8</t>
  </si>
  <si>
    <t>0283651</t>
  </si>
  <si>
    <t>2606014CLS</t>
  </si>
  <si>
    <t>0282707</t>
  </si>
  <si>
    <t>2605204BVP</t>
  </si>
  <si>
    <t>0285655</t>
  </si>
  <si>
    <t>TENDA 32</t>
  </si>
  <si>
    <t>2606304FJA</t>
  </si>
  <si>
    <t>19-3883-8585</t>
  </si>
  <si>
    <t>01157555003200</t>
  </si>
  <si>
    <t>0282709</t>
  </si>
  <si>
    <t>2605204BVR</t>
  </si>
  <si>
    <t>0283652</t>
  </si>
  <si>
    <t>2606014CLT</t>
  </si>
  <si>
    <t>0286941</t>
  </si>
  <si>
    <t>2607314HUE</t>
  </si>
  <si>
    <t>0283664</t>
  </si>
  <si>
    <t>TENDA 34</t>
  </si>
  <si>
    <t>2606014CM5</t>
  </si>
  <si>
    <t>PINDAMONHANGABA</t>
  </si>
  <si>
    <t>12-3644-2108</t>
  </si>
  <si>
    <t>01157555003472</t>
  </si>
  <si>
    <t>0286940</t>
  </si>
  <si>
    <t>2607314HUD</t>
  </si>
  <si>
    <t>0282711</t>
  </si>
  <si>
    <t>2605204BVT</t>
  </si>
  <si>
    <t>0285657</t>
  </si>
  <si>
    <t>2606304FJC</t>
  </si>
  <si>
    <t>0282713</t>
  </si>
  <si>
    <t>TENDA 36</t>
  </si>
  <si>
    <t>2605204BVV</t>
  </si>
  <si>
    <t>SALTO</t>
  </si>
  <si>
    <t>11-4602-8010</t>
  </si>
  <si>
    <t>01157555003634</t>
  </si>
  <si>
    <t>0285659</t>
  </si>
  <si>
    <t>2606304FJE</t>
  </si>
  <si>
    <t>0286938</t>
  </si>
  <si>
    <t>2607314HUB</t>
  </si>
  <si>
    <t>0283816</t>
  </si>
  <si>
    <t>2606014CQD</t>
  </si>
  <si>
    <t>0286896</t>
  </si>
  <si>
    <t>TENDA 38</t>
  </si>
  <si>
    <t>2607314HT5</t>
  </si>
  <si>
    <t>16-2102-2960</t>
  </si>
  <si>
    <t>01157555003804</t>
  </si>
  <si>
    <t>0285683</t>
  </si>
  <si>
    <t>2606304FK2</t>
  </si>
  <si>
    <t>0282725</t>
  </si>
  <si>
    <t>2605204BW7</t>
  </si>
  <si>
    <t>0283658</t>
  </si>
  <si>
    <t>2606014CLZ</t>
  </si>
  <si>
    <t>0285682</t>
  </si>
  <si>
    <t>TENDA CEASA</t>
  </si>
  <si>
    <t>2606304FK1</t>
  </si>
  <si>
    <t>19-3716-8700</t>
  </si>
  <si>
    <t>01157555001003</t>
  </si>
  <si>
    <t>0282724</t>
  </si>
  <si>
    <t>2605204BW6</t>
  </si>
  <si>
    <t>0283657</t>
  </si>
  <si>
    <t>2606014CLY</t>
  </si>
  <si>
    <t>0286919</t>
  </si>
  <si>
    <t>2607314HTS</t>
  </si>
  <si>
    <t>0283647</t>
  </si>
  <si>
    <t>TENDA 09</t>
  </si>
  <si>
    <t>2606014CLO</t>
  </si>
  <si>
    <t>11-5696-5222</t>
  </si>
  <si>
    <t>01157555000619</t>
  </si>
  <si>
    <t>0286923</t>
  </si>
  <si>
    <t>2607314HTW</t>
  </si>
  <si>
    <t>0282700</t>
  </si>
  <si>
    <t>2605204BVI</t>
  </si>
  <si>
    <t>0285642</t>
  </si>
  <si>
    <t>2606304FIX</t>
  </si>
  <si>
    <t>0283648</t>
  </si>
  <si>
    <t>TENDA 14</t>
  </si>
  <si>
    <t>2606014CLP</t>
  </si>
  <si>
    <t>01157555001690</t>
  </si>
  <si>
    <t>0285644</t>
  </si>
  <si>
    <t>2606304FIZ</t>
  </si>
  <si>
    <t>0286921</t>
  </si>
  <si>
    <t>2607314HTU</t>
  </si>
  <si>
    <t>0285646</t>
  </si>
  <si>
    <t>TENDA 16</t>
  </si>
  <si>
    <t>2606304FJ1</t>
  </si>
  <si>
    <t>01157555001852</t>
  </si>
  <si>
    <t>0282703</t>
  </si>
  <si>
    <t>2605204BVL</t>
  </si>
  <si>
    <t>0283815</t>
  </si>
  <si>
    <t>2606014CQC</t>
  </si>
  <si>
    <t>0282704</t>
  </si>
  <si>
    <t>TENDA 18</t>
  </si>
  <si>
    <t>2605204BVM</t>
  </si>
  <si>
    <t>01157555002158</t>
  </si>
  <si>
    <t>0285648</t>
  </si>
  <si>
    <t>2606304FJ3</t>
  </si>
  <si>
    <t>0283660</t>
  </si>
  <si>
    <t>2606014CM1</t>
  </si>
  <si>
    <t>0286947</t>
  </si>
  <si>
    <t>2607314HUK</t>
  </si>
  <si>
    <t>0283824</t>
  </si>
  <si>
    <t>TENDA 25</t>
  </si>
  <si>
    <t>2606014CQL</t>
  </si>
  <si>
    <t>14 3321 3450</t>
  </si>
  <si>
    <t>01157555002581</t>
  </si>
  <si>
    <t>0285650</t>
  </si>
  <si>
    <t>2606304FJ5</t>
  </si>
  <si>
    <t>0287239</t>
  </si>
  <si>
    <t>2608044IVW</t>
  </si>
  <si>
    <t>0285652</t>
  </si>
  <si>
    <t>TENDA 28</t>
  </si>
  <si>
    <t>2606304FJ7</t>
  </si>
  <si>
    <t>01157555002824</t>
  </si>
  <si>
    <t>0286944</t>
  </si>
  <si>
    <t>2607314HUH</t>
  </si>
  <si>
    <t>0282706</t>
  </si>
  <si>
    <t>2605204BVO</t>
  </si>
  <si>
    <t>0283662</t>
  </si>
  <si>
    <t>2606014CM3</t>
  </si>
  <si>
    <t>0286942</t>
  </si>
  <si>
    <t>TENDA 31</t>
  </si>
  <si>
    <t>2607314HUF</t>
  </si>
  <si>
    <t>01157555003120</t>
  </si>
  <si>
    <t>0282708</t>
  </si>
  <si>
    <t>2605204BVQ</t>
  </si>
  <si>
    <t>0285654</t>
  </si>
  <si>
    <t>2606304FJ9</t>
  </si>
  <si>
    <t>0283825</t>
  </si>
  <si>
    <t>2606014CQM</t>
  </si>
  <si>
    <t>0285656</t>
  </si>
  <si>
    <t>TENDA 33</t>
  </si>
  <si>
    <t>2606304FJB</t>
  </si>
  <si>
    <t>01157555003391</t>
  </si>
  <si>
    <t>0282710</t>
  </si>
  <si>
    <t>2605204BVS</t>
  </si>
  <si>
    <t>0283663</t>
  </si>
  <si>
    <t>2606014CM4</t>
  </si>
  <si>
    <t>0286950</t>
  </si>
  <si>
    <t>2607314HUN</t>
  </si>
  <si>
    <t>0282712</t>
  </si>
  <si>
    <t>TENDA 35</t>
  </si>
  <si>
    <t>2605204BVU</t>
  </si>
  <si>
    <t>BOTUCATU</t>
  </si>
  <si>
    <t>01157555003553</t>
  </si>
  <si>
    <t>0286939</t>
  </si>
  <si>
    <t>2607314HUC</t>
  </si>
  <si>
    <t>0285658</t>
  </si>
  <si>
    <t>2606304FJD</t>
  </si>
  <si>
    <t>0283826</t>
  </si>
  <si>
    <t>2606014CQN</t>
  </si>
  <si>
    <t>0285640</t>
  </si>
  <si>
    <t>TENDA 06</t>
  </si>
  <si>
    <t>2606304FIV</t>
  </si>
  <si>
    <t>01157555000880</t>
  </si>
  <si>
    <t>0286952</t>
  </si>
  <si>
    <t>2607314HUP</t>
  </si>
  <si>
    <t>0283645</t>
  </si>
  <si>
    <t>2606014CLM</t>
  </si>
  <si>
    <t>0282698</t>
  </si>
  <si>
    <t>2605204BVG</t>
  </si>
  <si>
    <t>0286951</t>
  </si>
  <si>
    <t>TENDA 39</t>
  </si>
  <si>
    <t>2607314HUO</t>
  </si>
  <si>
    <t>HORTOLANDIA</t>
  </si>
  <si>
    <t>19 3865 8210</t>
  </si>
  <si>
    <t>01157555003987</t>
  </si>
  <si>
    <t>0285661</t>
  </si>
  <si>
    <t>2606304FJG</t>
  </si>
  <si>
    <t>0283817</t>
  </si>
  <si>
    <t>2606014CQE</t>
  </si>
  <si>
    <t>0287179</t>
  </si>
  <si>
    <t>B BARATO 6</t>
  </si>
  <si>
    <t>5M COM ATAC VAR DE ALIMENTOS LTDA</t>
  </si>
  <si>
    <t>2608034IU8</t>
  </si>
  <si>
    <t>11-2143-7527</t>
  </si>
  <si>
    <t>0014407</t>
  </si>
  <si>
    <t>2608030DAE</t>
  </si>
  <si>
    <t>0014408</t>
  </si>
  <si>
    <t>B BARATO 7</t>
  </si>
  <si>
    <t>2608030DAF</t>
  </si>
  <si>
    <t>11-4127-0523</t>
  </si>
  <si>
    <t>0287169</t>
  </si>
  <si>
    <t>2608034ITY</t>
  </si>
  <si>
    <t>0287756</t>
  </si>
  <si>
    <t>B BARATO 10</t>
  </si>
  <si>
    <t>5M COMERCIO ATAC VAR DE ALIMENTOS LTDA</t>
  </si>
  <si>
    <t>2608174JCH</t>
  </si>
  <si>
    <t>11-4421-6413</t>
  </si>
  <si>
    <t>0014382</t>
  </si>
  <si>
    <t>2608030D9P</t>
  </si>
  <si>
    <t>0285662</t>
  </si>
  <si>
    <t>TENDA 43</t>
  </si>
  <si>
    <t>2606304FJH</t>
  </si>
  <si>
    <t>FERRAZ DE VASCONCELOS</t>
  </si>
  <si>
    <t>11-2489-2922</t>
  </si>
  <si>
    <t>01157555004100</t>
  </si>
  <si>
    <t>0286936</t>
  </si>
  <si>
    <t>2607314HU9</t>
  </si>
  <si>
    <t>0283665</t>
  </si>
  <si>
    <t>2606014CM6</t>
  </si>
  <si>
    <t>0282715</t>
  </si>
  <si>
    <t>2605204BVX</t>
  </si>
  <si>
    <t>0287238</t>
  </si>
  <si>
    <t>TENDA 45</t>
  </si>
  <si>
    <t>2608044IVV</t>
  </si>
  <si>
    <t>ITAQUAQUECETUBA</t>
  </si>
  <si>
    <t>01157555004363</t>
  </si>
  <si>
    <t>0285663</t>
  </si>
  <si>
    <t>2606304FJI</t>
  </si>
  <si>
    <t>0283818</t>
  </si>
  <si>
    <t>2606014CQF</t>
  </si>
  <si>
    <t>0283819</t>
  </si>
  <si>
    <t>TENDA 46</t>
  </si>
  <si>
    <t>2606014CQG</t>
  </si>
  <si>
    <t>11-2489-2963</t>
  </si>
  <si>
    <t>01157555004444</t>
  </si>
  <si>
    <t>0285664</t>
  </si>
  <si>
    <t>2606304FJJ</t>
  </si>
  <si>
    <t>0287240</t>
  </si>
  <si>
    <t>TENDA 47</t>
  </si>
  <si>
    <t>2608044IVX</t>
  </si>
  <si>
    <t>11-3071-0930</t>
  </si>
  <si>
    <t>01157555004959</t>
  </si>
  <si>
    <t>0285665</t>
  </si>
  <si>
    <t>2606304FJK</t>
  </si>
  <si>
    <t>0283653</t>
  </si>
  <si>
    <t>2606014CLU</t>
  </si>
  <si>
    <t>0283654</t>
  </si>
  <si>
    <t>TENDA 48</t>
  </si>
  <si>
    <t>2606014CLV</t>
  </si>
  <si>
    <t>01157555004878</t>
  </si>
  <si>
    <t>0285666</t>
  </si>
  <si>
    <t>2606304FJL</t>
  </si>
  <si>
    <t>0283656</t>
  </si>
  <si>
    <t>TENDA 51</t>
  </si>
  <si>
    <t>2606014CLX</t>
  </si>
  <si>
    <t>01157555004797</t>
  </si>
  <si>
    <t>0285669</t>
  </si>
  <si>
    <t>2606304FJO</t>
  </si>
  <si>
    <t>0286934</t>
  </si>
  <si>
    <t>2607314HU7</t>
  </si>
  <si>
    <t>0285667</t>
  </si>
  <si>
    <t>TENDA 49</t>
  </si>
  <si>
    <t>2606304FJM</t>
  </si>
  <si>
    <t>01157555005092</t>
  </si>
  <si>
    <t>0283655</t>
  </si>
  <si>
    <t>2606014CLW</t>
  </si>
  <si>
    <t>0285668</t>
  </si>
  <si>
    <t>TENDA 50</t>
  </si>
  <si>
    <t>2606304FJN</t>
  </si>
  <si>
    <t>01157555005173</t>
  </si>
  <si>
    <t>0286935</t>
  </si>
  <si>
    <t>2607314HU8</t>
  </si>
  <si>
    <t>0283820</t>
  </si>
  <si>
    <t>2606014CQH</t>
  </si>
  <si>
    <t>0286409</t>
  </si>
  <si>
    <t>ASSIF DROGAL</t>
  </si>
  <si>
    <t>DROGAL FARMACEUTICA LTDA</t>
  </si>
  <si>
    <t>2607234HEC</t>
  </si>
  <si>
    <t>19 98369 3801</t>
  </si>
  <si>
    <t>0287148</t>
  </si>
  <si>
    <t>UNIFAB CDMG2</t>
  </si>
  <si>
    <t>FARMACIA REAL LTDA</t>
  </si>
  <si>
    <t>2608034ITD</t>
  </si>
  <si>
    <t>38 9 9227 3055</t>
  </si>
  <si>
    <t>0014383</t>
  </si>
  <si>
    <t>B BARATO 11</t>
  </si>
  <si>
    <t>5M COM ATAC E VAR DE ALIMENTOS LTDA</t>
  </si>
  <si>
    <t>2608030D9Q</t>
  </si>
  <si>
    <t>11-3060-5400</t>
  </si>
  <si>
    <t>0014384</t>
  </si>
  <si>
    <t>B BARATO 12</t>
  </si>
  <si>
    <t>2608030D9R</t>
  </si>
  <si>
    <t>0014385</t>
  </si>
  <si>
    <t>B BARATO 14</t>
  </si>
  <si>
    <t>5M COM ATAC E VER DE ALIMENTOS LTDA</t>
  </si>
  <si>
    <t>2608030D9S</t>
  </si>
  <si>
    <t>0283821</t>
  </si>
  <si>
    <t>TENDA 52</t>
  </si>
  <si>
    <t>TENDA ATACADO SA</t>
  </si>
  <si>
    <t>2606014CQI</t>
  </si>
  <si>
    <t>01157555005416</t>
  </si>
  <si>
    <t>0286954</t>
  </si>
  <si>
    <t>2607314HUR</t>
  </si>
  <si>
    <t>0285670</t>
  </si>
  <si>
    <t>2606304FJP</t>
  </si>
  <si>
    <t>0282716</t>
  </si>
  <si>
    <t>2605204BVY</t>
  </si>
  <si>
    <t>0014386</t>
  </si>
  <si>
    <t>B BARATO 15</t>
  </si>
  <si>
    <t>5M COMERCIO ATACADISTA E VAR DE ALIM LTDA</t>
  </si>
  <si>
    <t>2608030D9T</t>
  </si>
  <si>
    <t>0014249</t>
  </si>
  <si>
    <t>2606300CZB</t>
  </si>
  <si>
    <t>0283666</t>
  </si>
  <si>
    <t>TENDA 53</t>
  </si>
  <si>
    <t>2606014CM7</t>
  </si>
  <si>
    <t>ITATIBA</t>
  </si>
  <si>
    <t>01157555005254</t>
  </si>
  <si>
    <t>0285671</t>
  </si>
  <si>
    <t>2606304FJQ</t>
  </si>
  <si>
    <t>0286933</t>
  </si>
  <si>
    <t>2607314HU6</t>
  </si>
  <si>
    <t>0014389</t>
  </si>
  <si>
    <t>B BARATO 18</t>
  </si>
  <si>
    <t>5M COMÉRCIO ATACADISTA E VAREJISTA DE ALIMENTOS LTDA</t>
  </si>
  <si>
    <t>2608030D9W</t>
  </si>
  <si>
    <t>0287195</t>
  </si>
  <si>
    <t>2608034IUO</t>
  </si>
  <si>
    <t>0287196</t>
  </si>
  <si>
    <t>2608034IUP</t>
  </si>
  <si>
    <t>0014387</t>
  </si>
  <si>
    <t>B BARATO 16</t>
  </si>
  <si>
    <t>5M COMERCIO ATACADISTA E VAREJISTA DE ALIMENTOS LTDA</t>
  </si>
  <si>
    <t>2608030D9U</t>
  </si>
  <si>
    <t>0287152</t>
  </si>
  <si>
    <t>UNIFABRA 89</t>
  </si>
  <si>
    <t>LUCENA EIRELI</t>
  </si>
  <si>
    <t>2608034ITH</t>
  </si>
  <si>
    <t>31 98897-304</t>
  </si>
  <si>
    <t>0286487</t>
  </si>
  <si>
    <t>UNIFABRA 90</t>
  </si>
  <si>
    <t>TUCUMANTEL E TUCUMAMTEL LTDA</t>
  </si>
  <si>
    <t>2607234HGI</t>
  </si>
  <si>
    <t>ALMIRANTE TAMANDARE</t>
  </si>
  <si>
    <t>07095372000198</t>
  </si>
  <si>
    <t>0286904</t>
  </si>
  <si>
    <t>2607314HTD</t>
  </si>
  <si>
    <t>0287177</t>
  </si>
  <si>
    <t>B BARATO 17</t>
  </si>
  <si>
    <t>2608034IU6</t>
  </si>
  <si>
    <t>0014388</t>
  </si>
  <si>
    <t>2608030D9V</t>
  </si>
  <si>
    <t>0287116</t>
  </si>
  <si>
    <t>UNIFABRA 97</t>
  </si>
  <si>
    <t>DROGALIRA FÓRMULAS COMERCIO DE PRODUTOS FARMACÊUTICOS LTDA</t>
  </si>
  <si>
    <t>2608034ISH</t>
  </si>
  <si>
    <t>(18) 99639-7575</t>
  </si>
  <si>
    <t>01031579001356</t>
  </si>
  <si>
    <t>0014390</t>
  </si>
  <si>
    <t>B BARATO 20</t>
  </si>
  <si>
    <t>2608030D9X</t>
  </si>
  <si>
    <t>3060-5400</t>
  </si>
  <si>
    <t>0287178</t>
  </si>
  <si>
    <t>2608034IU7</t>
  </si>
  <si>
    <t>0287156</t>
  </si>
  <si>
    <t>B BARATO 22</t>
  </si>
  <si>
    <t>5M COMERCIO ATACADISTA E VAREJISTA DE ALIM. LTDA</t>
  </si>
  <si>
    <t>2608034ITL</t>
  </si>
  <si>
    <t>11 3036-5400</t>
  </si>
  <si>
    <t>0014392</t>
  </si>
  <si>
    <t>2608030D9Z</t>
  </si>
  <si>
    <t>0286733</t>
  </si>
  <si>
    <t>AZZUMI</t>
  </si>
  <si>
    <t>PERFUMARIA AZZUMI GUARULHOS LTDA</t>
  </si>
  <si>
    <t>2607284HPG</t>
  </si>
  <si>
    <t>(11) 4803-9296</t>
  </si>
  <si>
    <t>0014394</t>
  </si>
  <si>
    <t>B BARATO 24</t>
  </si>
  <si>
    <t>2608030DA1</t>
  </si>
  <si>
    <t>(11)3060-5400</t>
  </si>
  <si>
    <t>0287162</t>
  </si>
  <si>
    <t>2608034ITR</t>
  </si>
  <si>
    <t>0287163</t>
  </si>
  <si>
    <t>2608034ITS</t>
  </si>
  <si>
    <t>0287164</t>
  </si>
  <si>
    <t>2608034ITT</t>
  </si>
  <si>
    <t>0014379</t>
  </si>
  <si>
    <t>B BARATO 01</t>
  </si>
  <si>
    <t>5M COM ATACADISTA E VAREJISTA DE ALIMENTOS LTDA</t>
  </si>
  <si>
    <t>2608030D9M</t>
  </si>
  <si>
    <t>0014380</t>
  </si>
  <si>
    <t>B BARATO 02</t>
  </si>
  <si>
    <t>2608030D9N</t>
  </si>
  <si>
    <t>0014381</t>
  </si>
  <si>
    <t>B BARATO 03</t>
  </si>
  <si>
    <t>5M COM ATACADISTA E  VAREJISTA DE ALIMENTOS LTDA</t>
  </si>
  <si>
    <t>2608030D9O</t>
  </si>
  <si>
    <t>11-2143-1477</t>
  </si>
  <si>
    <t>0014395</t>
  </si>
  <si>
    <t>B BARATO 25</t>
  </si>
  <si>
    <t>2608030DA2</t>
  </si>
  <si>
    <t>SÃO BERNARDO DO CAMPO</t>
  </si>
  <si>
    <t>0287175</t>
  </si>
  <si>
    <t>2608034IU4</t>
  </si>
  <si>
    <t>0287174</t>
  </si>
  <si>
    <t>2608034IU3</t>
  </si>
  <si>
    <t>0287173</t>
  </si>
  <si>
    <t>B BARATO 21</t>
  </si>
  <si>
    <t>2608034IU2</t>
  </si>
  <si>
    <t>0014391</t>
  </si>
  <si>
    <t>2608030D9Y</t>
  </si>
  <si>
    <t>0285674</t>
  </si>
  <si>
    <t>TENDA 59</t>
  </si>
  <si>
    <t>2606304FJT</t>
  </si>
  <si>
    <t>MATAO</t>
  </si>
  <si>
    <t>16-3506-0460</t>
  </si>
  <si>
    <t>01157555005920</t>
  </si>
  <si>
    <t>0286930</t>
  </si>
  <si>
    <t>2607314HU3</t>
  </si>
  <si>
    <t>0283828</t>
  </si>
  <si>
    <t>2606014CQP</t>
  </si>
  <si>
    <t>0286932</t>
  </si>
  <si>
    <t>TENDA 57</t>
  </si>
  <si>
    <t>TENDA ATACADAO SA</t>
  </si>
  <si>
    <t>2607314HU5</t>
  </si>
  <si>
    <t>UBATUBA</t>
  </si>
  <si>
    <t>(12)2285-8270</t>
  </si>
  <si>
    <t>01157555005769</t>
  </si>
  <si>
    <t>0283822</t>
  </si>
  <si>
    <t>2606014CQJ</t>
  </si>
  <si>
    <t>0285672</t>
  </si>
  <si>
    <t>2606304FJR</t>
  </si>
  <si>
    <t>0282717</t>
  </si>
  <si>
    <t>2605204BVZ</t>
  </si>
  <si>
    <t>0285678</t>
  </si>
  <si>
    <t>TENDA 64</t>
  </si>
  <si>
    <t>2606304FJX</t>
  </si>
  <si>
    <t>14-3500-8464</t>
  </si>
  <si>
    <t>01157555006498</t>
  </si>
  <si>
    <t>0282721</t>
  </si>
  <si>
    <t>2605204BW3</t>
  </si>
  <si>
    <t>0283832</t>
  </si>
  <si>
    <t>2606014CQT</t>
  </si>
  <si>
    <t>0286928</t>
  </si>
  <si>
    <t>2607314HU1</t>
  </si>
  <si>
    <t>0283834</t>
  </si>
  <si>
    <t>TENDA 66</t>
  </si>
  <si>
    <t>2606014CQV</t>
  </si>
  <si>
    <t>19 99699 0399</t>
  </si>
  <si>
    <t>01157555006650</t>
  </si>
  <si>
    <t>0286925</t>
  </si>
  <si>
    <t>2607314HTY</t>
  </si>
  <si>
    <t>0282722</t>
  </si>
  <si>
    <t>2605204BW4</t>
  </si>
  <si>
    <t>0285680</t>
  </si>
  <si>
    <t>2606304FJZ</t>
  </si>
  <si>
    <t>0282719</t>
  </si>
  <si>
    <t>TENDA 60</t>
  </si>
  <si>
    <t>2605204BW1</t>
  </si>
  <si>
    <t>14-3141-0840</t>
  </si>
  <si>
    <t>01157555006064</t>
  </si>
  <si>
    <t>0285675</t>
  </si>
  <si>
    <t>2606304FJU</t>
  </si>
  <si>
    <t>0286929</t>
  </si>
  <si>
    <t>2607314HU2</t>
  </si>
  <si>
    <t>0283829</t>
  </si>
  <si>
    <t>2606014CQQ</t>
  </si>
  <si>
    <t>0286926</t>
  </si>
  <si>
    <t>TENDA 65</t>
  </si>
  <si>
    <t>2607314HTZ</t>
  </si>
  <si>
    <t>VINHEDO</t>
  </si>
  <si>
    <t>19 99759 7386</t>
  </si>
  <si>
    <t>01157555006579</t>
  </si>
  <si>
    <t>0283833</t>
  </si>
  <si>
    <t>2606014CQU</t>
  </si>
  <si>
    <t>0285679</t>
  </si>
  <si>
    <t>2606304FJY</t>
  </si>
  <si>
    <t>0283831</t>
  </si>
  <si>
    <t>TENDA 63</t>
  </si>
  <si>
    <t>2606014CQS</t>
  </si>
  <si>
    <t>ITAPETININGA</t>
  </si>
  <si>
    <t>15-3500-7386</t>
  </si>
  <si>
    <t>01157555006307</t>
  </si>
  <si>
    <t>0285677</t>
  </si>
  <si>
    <t>2606304FJW</t>
  </si>
  <si>
    <t>0286927</t>
  </si>
  <si>
    <t>2607314HU0</t>
  </si>
  <si>
    <t>0278523</t>
  </si>
  <si>
    <t>0282720</t>
  </si>
  <si>
    <t>2605204BW2</t>
  </si>
  <si>
    <t>0285198</t>
  </si>
  <si>
    <t>B BARATO 26</t>
  </si>
  <si>
    <t>2606294F46</t>
  </si>
  <si>
    <t>0014396</t>
  </si>
  <si>
    <t>2608030DA3</t>
  </si>
  <si>
    <t>0287180</t>
  </si>
  <si>
    <t>2608034IU9</t>
  </si>
  <si>
    <t>0282718</t>
  </si>
  <si>
    <t>TENDA 58</t>
  </si>
  <si>
    <t>2605204BW0</t>
  </si>
  <si>
    <t>13-3512-1360</t>
  </si>
  <si>
    <t>01157555005840</t>
  </si>
  <si>
    <t>0283823</t>
  </si>
  <si>
    <t>2606014CQK</t>
  </si>
  <si>
    <t>0278522</t>
  </si>
  <si>
    <t>0286931</t>
  </si>
  <si>
    <t>2607314HU4</t>
  </si>
  <si>
    <t>0285673</t>
  </si>
  <si>
    <t>2606304FJS</t>
  </si>
  <si>
    <t>0286924</t>
  </si>
  <si>
    <t>TENDA 67</t>
  </si>
  <si>
    <t>2607314HTX</t>
  </si>
  <si>
    <t>BERTIOGA</t>
  </si>
  <si>
    <t>11 94250-4089</t>
  </si>
  <si>
    <t>01157555006730</t>
  </si>
  <si>
    <t>0285681</t>
  </si>
  <si>
    <t>2606304FK0</t>
  </si>
  <si>
    <t>0282723</t>
  </si>
  <si>
    <t>2605204BW5</t>
  </si>
  <si>
    <t>0283835</t>
  </si>
  <si>
    <t>2606014CQW</t>
  </si>
  <si>
    <t>0283830</t>
  </si>
  <si>
    <t>TENDA 62</t>
  </si>
  <si>
    <t>2606014CQR</t>
  </si>
  <si>
    <t>LEME</t>
  </si>
  <si>
    <t>(19) 998754333</t>
  </si>
  <si>
    <t>01157555006226</t>
  </si>
  <si>
    <t>0285676</t>
  </si>
  <si>
    <t>2606304FJV</t>
  </si>
  <si>
    <t>0287171</t>
  </si>
  <si>
    <t>B BARATO 28</t>
  </si>
  <si>
    <t>5M COMERCIO ATACADISTA E VAREJISTA DE ALIMENTOS LTDA.</t>
  </si>
  <si>
    <t>2608034IU0</t>
  </si>
  <si>
    <t>0014398</t>
  </si>
  <si>
    <t>2608030DA5</t>
  </si>
  <si>
    <t>0287157</t>
  </si>
  <si>
    <t>B BARATO 29</t>
  </si>
  <si>
    <t>2608034ITM</t>
  </si>
  <si>
    <t>0014399</t>
  </si>
  <si>
    <t>2608030DA6</t>
  </si>
  <si>
    <t>0285203</t>
  </si>
  <si>
    <t>2606294F4B</t>
  </si>
  <si>
    <t>0014400</t>
  </si>
  <si>
    <t>B BARATO 30</t>
  </si>
  <si>
    <t>2608030DA7</t>
  </si>
  <si>
    <t>0287158</t>
  </si>
  <si>
    <t>2608034ITN</t>
  </si>
  <si>
    <t>0287170</t>
  </si>
  <si>
    <t>B BARATO 27</t>
  </si>
  <si>
    <t>2608034ITZ</t>
  </si>
  <si>
    <t>0014397</t>
  </si>
  <si>
    <t>2608030DA4</t>
  </si>
  <si>
    <t>0014260</t>
  </si>
  <si>
    <t>2606300CZM</t>
  </si>
  <si>
    <t>0014403</t>
  </si>
  <si>
    <t>B BARATO 33</t>
  </si>
  <si>
    <t>2608030DAA</t>
  </si>
  <si>
    <t>0287165</t>
  </si>
  <si>
    <t>2608034ITU</t>
  </si>
  <si>
    <t>0287159</t>
  </si>
  <si>
    <t>B BARATO 32</t>
  </si>
  <si>
    <t>2608034ITO</t>
  </si>
  <si>
    <t>0014402</t>
  </si>
  <si>
    <t>2608030DA9</t>
  </si>
  <si>
    <t>0014404</t>
  </si>
  <si>
    <t>B BARATO 34</t>
  </si>
  <si>
    <t>2608030DAB</t>
  </si>
  <si>
    <t>0014401</t>
  </si>
  <si>
    <t>B BARATO 31</t>
  </si>
  <si>
    <t>2608030DA8</t>
  </si>
  <si>
    <t>0287172</t>
  </si>
  <si>
    <t>2608034IU1</t>
  </si>
  <si>
    <t>0014405</t>
  </si>
  <si>
    <t>B BARATO 35</t>
  </si>
  <si>
    <t>5M COMERCIO ATACADISTA E VAREJISTA LTDA.</t>
  </si>
  <si>
    <t>2608030DAC</t>
  </si>
  <si>
    <t>0286732</t>
  </si>
  <si>
    <t>HORT AZZUMI</t>
  </si>
  <si>
    <t>AZZUMI HORTOLANDIA LTDA</t>
  </si>
  <si>
    <t>2607284HPF</t>
  </si>
  <si>
    <t>(11)4803-9296</t>
  </si>
  <si>
    <t>0014393</t>
  </si>
  <si>
    <t>B BARATO 23</t>
  </si>
  <si>
    <t>2608030DA0</t>
  </si>
  <si>
    <t>0285196</t>
  </si>
  <si>
    <t>2606294F44</t>
  </si>
  <si>
    <t>0286734</t>
  </si>
  <si>
    <t>AZZUMI 2</t>
  </si>
  <si>
    <t>AZZUMI BAURU LTDA</t>
  </si>
  <si>
    <t>2607284HPH</t>
  </si>
  <si>
    <t>0014409</t>
  </si>
  <si>
    <t>B BARATO 960</t>
  </si>
  <si>
    <t>PB COMERCIO ATACADISTA E VAREJISTA DE ALIMENTOS LTDA</t>
  </si>
  <si>
    <t>2608030DAG</t>
  </si>
  <si>
    <t>(11)5118-3190</t>
  </si>
  <si>
    <t>0286737</t>
  </si>
  <si>
    <t>2607284HPK</t>
  </si>
  <si>
    <t>0286682</t>
  </si>
  <si>
    <t>2607274HNZ</t>
  </si>
  <si>
    <t>0287160</t>
  </si>
  <si>
    <t>2608034ITP</t>
  </si>
  <si>
    <t>0286727</t>
  </si>
  <si>
    <t>UNIFABRA 107</t>
  </si>
  <si>
    <t>JEHAN PAULO MAIORANO COMERCIAL LTDA</t>
  </si>
  <si>
    <t>2607284HPA</t>
  </si>
  <si>
    <t>(17)3531-0875</t>
  </si>
  <si>
    <t>02308444000700</t>
  </si>
  <si>
    <t>0287168</t>
  </si>
  <si>
    <t>B BARATO 5</t>
  </si>
  <si>
    <t>5M COM ATACAD E VAREJ DE ALIMENTOS LTDA ME</t>
  </si>
  <si>
    <t>2608034ITX</t>
  </si>
  <si>
    <t>11-4351-1205</t>
  </si>
  <si>
    <t>0014406</t>
  </si>
  <si>
    <t>2608030DAD</t>
  </si>
  <si>
    <t>0287100</t>
  </si>
  <si>
    <t>RIO</t>
  </si>
  <si>
    <t>RIO DAS PEDRAS COM HORT E MERC LTDA</t>
  </si>
  <si>
    <t>2608034IS1</t>
  </si>
  <si>
    <t>19-3289-0982</t>
  </si>
  <si>
    <t>02022595000101</t>
  </si>
  <si>
    <t>0286194</t>
  </si>
  <si>
    <t>COOPERCICA1</t>
  </si>
  <si>
    <t>COOPERATIVA DE CONSUMO COOPERCICA - LJ.1</t>
  </si>
  <si>
    <t>2607244HLG</t>
  </si>
  <si>
    <t>(11)3378-2800</t>
  </si>
  <si>
    <t>0287749</t>
  </si>
  <si>
    <t>2608174JCA</t>
  </si>
  <si>
    <t>0287751</t>
  </si>
  <si>
    <t>COOPERCICA3</t>
  </si>
  <si>
    <t>COOPERATIVA DE CONSUMO COOPERCICA - LJ.3</t>
  </si>
  <si>
    <t>2608174JCC</t>
  </si>
  <si>
    <t>(11)3378-1666</t>
  </si>
  <si>
    <t>0286183</t>
  </si>
  <si>
    <t>2607244HL5</t>
  </si>
  <si>
    <t>0286195</t>
  </si>
  <si>
    <t>COOPERCICA2</t>
  </si>
  <si>
    <t>COOPERATIVA DE CONSUMO COOPERCICA - LJ.2</t>
  </si>
  <si>
    <t>2607244HLH</t>
  </si>
  <si>
    <t>(11)3308-3050</t>
  </si>
  <si>
    <t>0287750</t>
  </si>
  <si>
    <t>2608174JCB</t>
  </si>
  <si>
    <t>0287768</t>
  </si>
  <si>
    <t>COOPERCICA4</t>
  </si>
  <si>
    <t>COOPERATIVA DE CONSUMO COOPERCICA - LJ.4</t>
  </si>
  <si>
    <t>2608174JCT</t>
  </si>
  <si>
    <t>(11)3308-6488</t>
  </si>
  <si>
    <t>0286184</t>
  </si>
  <si>
    <t>2607244HL6</t>
  </si>
  <si>
    <t>0285902</t>
  </si>
  <si>
    <t>ENXUTO LJ 8</t>
  </si>
  <si>
    <t>ENXUTO SUPERMERCADOS LTDA  LJ. 8</t>
  </si>
  <si>
    <t>2607144H1K</t>
  </si>
  <si>
    <t>19 3743-4599</t>
  </si>
  <si>
    <t>COSMOPOLIS</t>
  </si>
  <si>
    <t>05789313000780</t>
  </si>
  <si>
    <t>0285901</t>
  </si>
  <si>
    <t>2607144H1J</t>
  </si>
  <si>
    <t>0285900</t>
  </si>
  <si>
    <t>ENXUTO LJ 2</t>
  </si>
  <si>
    <t>ENXUTO SUPERMERCADOS LTDA  LJ. 2</t>
  </si>
  <si>
    <t>2607144H1I</t>
  </si>
  <si>
    <t>19-3812-9550</t>
  </si>
  <si>
    <t>05789313000607</t>
  </si>
  <si>
    <t>0286684</t>
  </si>
  <si>
    <t>ULTRA LIMP</t>
  </si>
  <si>
    <t>CERTEZA HIGIENE E LIMPEZA LTDA</t>
  </si>
  <si>
    <t>2607274HO1</t>
  </si>
  <si>
    <t>RIO CLARO</t>
  </si>
  <si>
    <t>19 3024-2799</t>
  </si>
  <si>
    <t>07234203000191</t>
  </si>
  <si>
    <t>0286196</t>
  </si>
  <si>
    <t>COOPERCICA5</t>
  </si>
  <si>
    <t>COOPERATIVA DE CONSUMO COOPERCICA - LJ.5</t>
  </si>
  <si>
    <t>2607244HLI</t>
  </si>
  <si>
    <t>CAMPO LIMPO PAULISTA</t>
  </si>
  <si>
    <t>11-4038-2556</t>
  </si>
  <si>
    <t>0287752</t>
  </si>
  <si>
    <t>2608174JCD</t>
  </si>
  <si>
    <t>0286726</t>
  </si>
  <si>
    <t>PAZOTTI DIST</t>
  </si>
  <si>
    <t>DISTRIBUIDORA DE PRODUTOS ALIMENTICIOS PAZOTTI LTDA</t>
  </si>
  <si>
    <t>2607284HP9</t>
  </si>
  <si>
    <t>MOCOCA</t>
  </si>
  <si>
    <t>19-3656-0775</t>
  </si>
  <si>
    <t>0285903</t>
  </si>
  <si>
    <t>MIX VALI</t>
  </si>
  <si>
    <t>MIX VALI COMERCIO DE PROD ALIMENTICIOS LTDA</t>
  </si>
  <si>
    <t>2607144H1L</t>
  </si>
  <si>
    <t>19-3800 3960</t>
  </si>
  <si>
    <t>0286186</t>
  </si>
  <si>
    <t>COOPERCICA7</t>
  </si>
  <si>
    <t>COOPERATIVA DE CONSUMO COOPERCICA</t>
  </si>
  <si>
    <t>2607244HL8</t>
  </si>
  <si>
    <t>VARZEA PAULISTA</t>
  </si>
  <si>
    <t>11-3378-2864</t>
  </si>
  <si>
    <t>0287753</t>
  </si>
  <si>
    <t>2608174JCE</t>
  </si>
  <si>
    <t>0287642</t>
  </si>
  <si>
    <t>INFANGER 1</t>
  </si>
  <si>
    <t>INFANGER &amp; CIA LTDA</t>
  </si>
  <si>
    <t>2608124J9O</t>
  </si>
  <si>
    <t>19-3826-7940</t>
  </si>
  <si>
    <t>0284295</t>
  </si>
  <si>
    <t>2606154EEO</t>
  </si>
  <si>
    <t>0285906</t>
  </si>
  <si>
    <t>MIX VALI 2</t>
  </si>
  <si>
    <t>MIX VALI COMERCIO DE PRODUTOS ALIMENTICIOS LTDA</t>
  </si>
  <si>
    <t>2607144H1O</t>
  </si>
  <si>
    <t>0287641</t>
  </si>
  <si>
    <t>MONT SERRA 2</t>
  </si>
  <si>
    <t>SUPERMERCADO E RESTAURANTE JVA EIRELI</t>
  </si>
  <si>
    <t>2608124J9N</t>
  </si>
  <si>
    <t>11 4671 0172</t>
  </si>
  <si>
    <t>07013199000484</t>
  </si>
  <si>
    <t>0285957</t>
  </si>
  <si>
    <t>2607144H33</t>
  </si>
  <si>
    <t>0286442</t>
  </si>
  <si>
    <t>2607234HF9</t>
  </si>
  <si>
    <t>0286187</t>
  </si>
  <si>
    <t>COOPERCICA8</t>
  </si>
  <si>
    <t>2607244HL9</t>
  </si>
  <si>
    <t>0287754</t>
  </si>
  <si>
    <t>2608174JCF</t>
  </si>
  <si>
    <t>0285907</t>
  </si>
  <si>
    <t>MIX VALI 3</t>
  </si>
  <si>
    <t>2607144H1P</t>
  </si>
  <si>
    <t>0287770</t>
  </si>
  <si>
    <t>COOPERCICA9</t>
  </si>
  <si>
    <t>2608174JCV</t>
  </si>
  <si>
    <t>0286188</t>
  </si>
  <si>
    <t>2607244HLA</t>
  </si>
  <si>
    <t>0285908</t>
  </si>
  <si>
    <t>MIX VALI 5</t>
  </si>
  <si>
    <t>2607144H1Q</t>
  </si>
  <si>
    <t>0285904</t>
  </si>
  <si>
    <t>MIX VALI 10</t>
  </si>
  <si>
    <t>2607144H1M</t>
  </si>
  <si>
    <t>19 997963562</t>
  </si>
  <si>
    <t>0285905</t>
  </si>
  <si>
    <t>MIX VALI 11</t>
  </si>
  <si>
    <t>2607144H1N</t>
  </si>
  <si>
    <t>19 99796-3562</t>
  </si>
  <si>
    <t>0287643</t>
  </si>
  <si>
    <t>INFANGER 2</t>
  </si>
  <si>
    <t>2608124J9P</t>
  </si>
  <si>
    <t>19 3826 7940</t>
  </si>
  <si>
    <t>0287640</t>
  </si>
  <si>
    <t>PAPEL PLAS</t>
  </si>
  <si>
    <t>PAPEL, PLASTICO ITUPEVA LTDA</t>
  </si>
  <si>
    <t>2608124J9M</t>
  </si>
  <si>
    <t>11-4591-7800</t>
  </si>
  <si>
    <t>0287769</t>
  </si>
  <si>
    <t>COOPERCICA6</t>
  </si>
  <si>
    <t>2608174JCU</t>
  </si>
  <si>
    <t>11-3378-2800</t>
  </si>
  <si>
    <t>0286185</t>
  </si>
  <si>
    <t>2607244HL7</t>
  </si>
  <si>
    <t>0287744</t>
  </si>
  <si>
    <t>SUPERMERCADO MIRASSOL LTDA</t>
  </si>
  <si>
    <t>2608174JC5</t>
  </si>
  <si>
    <t>11 4384 5209</t>
  </si>
  <si>
    <t>0286261</t>
  </si>
  <si>
    <t>PASTORINHO 8</t>
  </si>
  <si>
    <t>DIAS PASTORINHO S/A COM. E IND.</t>
  </si>
  <si>
    <t>2607214HAB</t>
  </si>
  <si>
    <t>574-7477</t>
  </si>
  <si>
    <t>0286258</t>
  </si>
  <si>
    <t>BERGAMINI</t>
  </si>
  <si>
    <t>SUPERMERCADOS BERGAMINI LTDA</t>
  </si>
  <si>
    <t>2607214HA8</t>
  </si>
  <si>
    <t>11-2249-8600</t>
  </si>
  <si>
    <t>0288126</t>
  </si>
  <si>
    <t>2608214JMM</t>
  </si>
  <si>
    <t>0287743</t>
  </si>
  <si>
    <t>ANDORINHA</t>
  </si>
  <si>
    <t>ANDORINHA SUPERMERCADO LTDA.</t>
  </si>
  <si>
    <t>2608174JC4</t>
  </si>
  <si>
    <t>11-2233-9999</t>
  </si>
  <si>
    <t>0286158</t>
  </si>
  <si>
    <t>2607244HKG</t>
  </si>
  <si>
    <t>0287181</t>
  </si>
  <si>
    <t>BERGAMAIS</t>
  </si>
  <si>
    <t>TRIMAIS SUPERMERCADOS LTDA</t>
  </si>
  <si>
    <t>2608034IUA</t>
  </si>
  <si>
    <t>11-2234-8200</t>
  </si>
  <si>
    <t>07947496000154</t>
  </si>
  <si>
    <t>0286077</t>
  </si>
  <si>
    <t>2607154H7F</t>
  </si>
  <si>
    <t>0286224</t>
  </si>
  <si>
    <t>BERGAMINI 2</t>
  </si>
  <si>
    <t>2607214H9B</t>
  </si>
  <si>
    <t>11 - 6243-2444</t>
  </si>
  <si>
    <t>0288127</t>
  </si>
  <si>
    <t>2608214JMN</t>
  </si>
  <si>
    <t>0288118</t>
  </si>
  <si>
    <t>OURINHOS</t>
  </si>
  <si>
    <t>SUPERMERCADO OURINHOS LTDA</t>
  </si>
  <si>
    <t>2608214JME</t>
  </si>
  <si>
    <t>2997 0810</t>
  </si>
  <si>
    <t>0286257</t>
  </si>
  <si>
    <t>2607214HA7</t>
  </si>
  <si>
    <t>0286078</t>
  </si>
  <si>
    <t>BERGAMAIS 2</t>
  </si>
  <si>
    <t>2607154H7G</t>
  </si>
  <si>
    <t>07947496000235</t>
  </si>
  <si>
    <t>0287182</t>
  </si>
  <si>
    <t>2608034IUB</t>
  </si>
  <si>
    <t>0287746</t>
  </si>
  <si>
    <t>SU FREGUESIA</t>
  </si>
  <si>
    <t>SUPERMERCADO FREGUESIA EIRELE</t>
  </si>
  <si>
    <t>2608174JC7</t>
  </si>
  <si>
    <t>(11) 3992-4466</t>
  </si>
  <si>
    <t>0287183</t>
  </si>
  <si>
    <t>BERGAMAIS 3</t>
  </si>
  <si>
    <t>TRIMAIS SUPERMERCADOS S/A</t>
  </si>
  <si>
    <t>2608034IUC</t>
  </si>
  <si>
    <t>(11)2234-8200</t>
  </si>
  <si>
    <t>07947496000588</t>
  </si>
  <si>
    <t>0287552</t>
  </si>
  <si>
    <t>PACKMIL</t>
  </si>
  <si>
    <t>PACKMIL DISTRIBUIDORA LTDA</t>
  </si>
  <si>
    <t>2608114J82</t>
  </si>
  <si>
    <t>(11) 9 5481-165</t>
  </si>
  <si>
    <t>0283082</t>
  </si>
  <si>
    <t>MERC GENTIL</t>
  </si>
  <si>
    <t>GENTIL MERCADO &amp; ACOUGUE LTDA</t>
  </si>
  <si>
    <t>2605274C5S</t>
  </si>
  <si>
    <t>(12)99623-6568</t>
  </si>
  <si>
    <t>0287460</t>
  </si>
  <si>
    <t>LIBERDADE 4</t>
  </si>
  <si>
    <t>W. M. TANNOUS LTDA</t>
  </si>
  <si>
    <t>2608064J5N</t>
  </si>
  <si>
    <t>16-3830-1591</t>
  </si>
  <si>
    <t>0285952</t>
  </si>
  <si>
    <t>2607144H2Y</t>
  </si>
  <si>
    <t>0285955</t>
  </si>
  <si>
    <t>2607144H31</t>
  </si>
  <si>
    <t>0285951</t>
  </si>
  <si>
    <t>LIBERDADE 1</t>
  </si>
  <si>
    <t>2607144H2X</t>
  </si>
  <si>
    <t>16-3830-1571</t>
  </si>
  <si>
    <t>0285950</t>
  </si>
  <si>
    <t>2607144H2W</t>
  </si>
  <si>
    <t>0287529</t>
  </si>
  <si>
    <t>2608114J7I</t>
  </si>
  <si>
    <t>0287530</t>
  </si>
  <si>
    <t>LIBERDADE 6</t>
  </si>
  <si>
    <t>2608114J7J</t>
  </si>
  <si>
    <t>16-3839-1700</t>
  </si>
  <si>
    <t>0285954</t>
  </si>
  <si>
    <t>2607144H30</t>
  </si>
  <si>
    <t>0285953</t>
  </si>
  <si>
    <t>2607144H2Z</t>
  </si>
  <si>
    <t>0287853</t>
  </si>
  <si>
    <t>MOINHO 05</t>
  </si>
  <si>
    <t>RETA ALIMENTOS LTDA</t>
  </si>
  <si>
    <t>2608184JF3</t>
  </si>
  <si>
    <t>0287852</t>
  </si>
  <si>
    <t>2608184JF2</t>
  </si>
  <si>
    <t>0287841</t>
  </si>
  <si>
    <t>MOINHO 06</t>
  </si>
  <si>
    <t>2608184JER</t>
  </si>
  <si>
    <t>0287842</t>
  </si>
  <si>
    <t>2608184JES</t>
  </si>
  <si>
    <t>0287839</t>
  </si>
  <si>
    <t>MOINHO 07</t>
  </si>
  <si>
    <t>2608184JEP</t>
  </si>
  <si>
    <t>16-3839-3800</t>
  </si>
  <si>
    <t>0287838</t>
  </si>
  <si>
    <t>2608184JEO</t>
  </si>
  <si>
    <t>0285368</t>
  </si>
  <si>
    <t>MULTBOM</t>
  </si>
  <si>
    <t>MULTBOM IND E COM DE PRODUTOS DE LIMPEZA EIRELI</t>
  </si>
  <si>
    <t>2606304FBB</t>
  </si>
  <si>
    <t>07265624000180</t>
  </si>
  <si>
    <t>0286815</t>
  </si>
  <si>
    <t>2607304HR5</t>
  </si>
  <si>
    <t>0285301</t>
  </si>
  <si>
    <t>2606294F71</t>
  </si>
  <si>
    <t>0285286</t>
  </si>
  <si>
    <t>2606294F6M</t>
  </si>
  <si>
    <t>0284419</t>
  </si>
  <si>
    <t>2606164EHU</t>
  </si>
  <si>
    <t>0287941</t>
  </si>
  <si>
    <t>MOINHO 04</t>
  </si>
  <si>
    <t>2608194JHI</t>
  </si>
  <si>
    <t>SAO JOAQUIM DA BARRA</t>
  </si>
  <si>
    <t>0287968</t>
  </si>
  <si>
    <t>2608204JI7</t>
  </si>
  <si>
    <t>0287854</t>
  </si>
  <si>
    <t>MOINHO 09</t>
  </si>
  <si>
    <t>2608184JF4</t>
  </si>
  <si>
    <t>IGARAPAVA</t>
  </si>
  <si>
    <t>0287855</t>
  </si>
  <si>
    <t>2608184JF5</t>
  </si>
  <si>
    <t>0287857</t>
  </si>
  <si>
    <t>MOINHO 08</t>
  </si>
  <si>
    <t>2608184JF7</t>
  </si>
  <si>
    <t>MIGUELOPOLIS</t>
  </si>
  <si>
    <t>0287856</t>
  </si>
  <si>
    <t>2608184JF6</t>
  </si>
  <si>
    <t>0287850</t>
  </si>
  <si>
    <t>MOINHO 10</t>
  </si>
  <si>
    <t>2608184JF0</t>
  </si>
  <si>
    <t>0287851</t>
  </si>
  <si>
    <t>2608184JF1</t>
  </si>
  <si>
    <t>0287969</t>
  </si>
  <si>
    <t>2608204JI8</t>
  </si>
  <si>
    <t>ORLANDIA</t>
  </si>
  <si>
    <t>0287945</t>
  </si>
  <si>
    <t>2608194JHM</t>
  </si>
  <si>
    <t>0287973</t>
  </si>
  <si>
    <t>2608204JIC</t>
  </si>
  <si>
    <t>GUAIRA</t>
  </si>
  <si>
    <t>0287943</t>
  </si>
  <si>
    <t>2608194JHK</t>
  </si>
  <si>
    <t>0287939</t>
  </si>
  <si>
    <t>2608194JHG</t>
  </si>
  <si>
    <t>0287967</t>
  </si>
  <si>
    <t>2608204JI6</t>
  </si>
  <si>
    <t>0287849</t>
  </si>
  <si>
    <t>MOINHO 15</t>
  </si>
  <si>
    <t>2608184JEZ</t>
  </si>
  <si>
    <t>16 38100410</t>
  </si>
  <si>
    <t>0287848</t>
  </si>
  <si>
    <t>2608184JEY</t>
  </si>
  <si>
    <t>0287507</t>
  </si>
  <si>
    <t>SU UNIAO RIF</t>
  </si>
  <si>
    <t>ELAINE APARECIDA RODRIGUES FERREIRA</t>
  </si>
  <si>
    <t>2608074J6Z</t>
  </si>
  <si>
    <t>RIFAINA</t>
  </si>
  <si>
    <t>16 3289-1258</t>
  </si>
  <si>
    <t>0287088</t>
  </si>
  <si>
    <t>HOSP ITUVE</t>
  </si>
  <si>
    <t>HOSPITAL E MATERNIDADE DE ITUVERAVA</t>
  </si>
  <si>
    <t>2608034IRP</t>
  </si>
  <si>
    <t>(16)3830-1138</t>
  </si>
  <si>
    <t>0285633</t>
  </si>
  <si>
    <t>DIST MODENUT</t>
  </si>
  <si>
    <t>DISTRIBUIDORA MODENUTI COMERCIO DE UTENSILIOS DOMESTICOS LTDA</t>
  </si>
  <si>
    <t>2606304FIO</t>
  </si>
  <si>
    <t>SÃO CARLOS</t>
  </si>
  <si>
    <t>16-21066585</t>
  </si>
  <si>
    <t>01611823000116</t>
  </si>
  <si>
    <t>0286162</t>
  </si>
  <si>
    <t>SU SAO JOSE</t>
  </si>
  <si>
    <t>SAO JOSE SUPERMERCADO DE ITUVERAVA LTDA</t>
  </si>
  <si>
    <t>2608064J4J</t>
  </si>
  <si>
    <t>16) 9998-3150</t>
  </si>
  <si>
    <t>0286164</t>
  </si>
  <si>
    <t>SU SAO JOSE1</t>
  </si>
  <si>
    <t>2608064J4K</t>
  </si>
  <si>
    <t>(16)9998-3150//</t>
  </si>
  <si>
    <t>0284799</t>
  </si>
  <si>
    <t>ASSAI 1</t>
  </si>
  <si>
    <t>2606244ET3</t>
  </si>
  <si>
    <t>06057223024607</t>
  </si>
  <si>
    <t>0286516</t>
  </si>
  <si>
    <t>2607234HH9</t>
  </si>
  <si>
    <t>0284825</t>
  </si>
  <si>
    <t>2606244ETT</t>
  </si>
  <si>
    <t>0281424</t>
  </si>
  <si>
    <t>26042849J6</t>
  </si>
  <si>
    <t>0283159</t>
  </si>
  <si>
    <t>2605284C7W</t>
  </si>
  <si>
    <t>0284839</t>
  </si>
  <si>
    <t>ASSAI 2</t>
  </si>
  <si>
    <t>2606244EU7</t>
  </si>
  <si>
    <t>06057223024518</t>
  </si>
  <si>
    <t>0283694</t>
  </si>
  <si>
    <t>2606014CMZ</t>
  </si>
  <si>
    <t>0283197</t>
  </si>
  <si>
    <t>2605284C8Y</t>
  </si>
  <si>
    <t>0281444</t>
  </si>
  <si>
    <t>26042849JQ</t>
  </si>
  <si>
    <t>0286595</t>
  </si>
  <si>
    <t>2607234HJG</t>
  </si>
  <si>
    <t>0283709</t>
  </si>
  <si>
    <t>ASSAI 3</t>
  </si>
  <si>
    <t>2606014CNE</t>
  </si>
  <si>
    <t>11-6297-6500</t>
  </si>
  <si>
    <t>06057223024356</t>
  </si>
  <si>
    <t>0286608</t>
  </si>
  <si>
    <t>2607234HJT</t>
  </si>
  <si>
    <t>0281623</t>
  </si>
  <si>
    <t>26043049OR</t>
  </si>
  <si>
    <t>0283258</t>
  </si>
  <si>
    <t>2605284CAM</t>
  </si>
  <si>
    <t>0284855</t>
  </si>
  <si>
    <t>2606244EUN</t>
  </si>
  <si>
    <t>0281729</t>
  </si>
  <si>
    <t>ASSAI 7</t>
  </si>
  <si>
    <t>26043049RP</t>
  </si>
  <si>
    <t>13-3296-2400</t>
  </si>
  <si>
    <t>06057223023201</t>
  </si>
  <si>
    <t>0283809</t>
  </si>
  <si>
    <t>2606014CQ6</t>
  </si>
  <si>
    <t>0285122</t>
  </si>
  <si>
    <t>2606264F22</t>
  </si>
  <si>
    <t>0286589</t>
  </si>
  <si>
    <t>2607234HJA</t>
  </si>
  <si>
    <t>0283721</t>
  </si>
  <si>
    <t>ASSAI 8</t>
  </si>
  <si>
    <t>2606014CNQ</t>
  </si>
  <si>
    <t>11-3773-6955</t>
  </si>
  <si>
    <t>06057223024275</t>
  </si>
  <si>
    <t>0287125</t>
  </si>
  <si>
    <t>2608034ISQ</t>
  </si>
  <si>
    <t>0285130</t>
  </si>
  <si>
    <t>2606264F2A</t>
  </si>
  <si>
    <t>0281734</t>
  </si>
  <si>
    <t>26043049RU</t>
  </si>
  <si>
    <t>0283267</t>
  </si>
  <si>
    <t>2605284CAV</t>
  </si>
  <si>
    <t>0281743</t>
  </si>
  <si>
    <t>ASSAI 9</t>
  </si>
  <si>
    <t>26043049S3</t>
  </si>
  <si>
    <t>11-3698-6532</t>
  </si>
  <si>
    <t>06057223026642</t>
  </si>
  <si>
    <t>0283224</t>
  </si>
  <si>
    <t>2605284C9P</t>
  </si>
  <si>
    <t>0283727</t>
  </si>
  <si>
    <t>2606014CNW</t>
  </si>
  <si>
    <t>0285137</t>
  </si>
  <si>
    <t>2606264F2H</t>
  </si>
  <si>
    <t>0281469</t>
  </si>
  <si>
    <t>ASSAI 10</t>
  </si>
  <si>
    <t>26042849KF</t>
  </si>
  <si>
    <t>06057223027100</t>
  </si>
  <si>
    <t>0284826</t>
  </si>
  <si>
    <t>2606244ETU</t>
  </si>
  <si>
    <t>0283160</t>
  </si>
  <si>
    <t>2605284C7X</t>
  </si>
  <si>
    <t>0284800</t>
  </si>
  <si>
    <t>2606244ET4</t>
  </si>
  <si>
    <t>0281470</t>
  </si>
  <si>
    <t>26042849KG</t>
  </si>
  <si>
    <t>0286517</t>
  </si>
  <si>
    <t>2607234HHA</t>
  </si>
  <si>
    <t>0282642</t>
  </si>
  <si>
    <t>2605184BTE</t>
  </si>
  <si>
    <t>0281471</t>
  </si>
  <si>
    <t>26042849KH</t>
  </si>
  <si>
    <t>0287366</t>
  </si>
  <si>
    <t>2608064J2Y</t>
  </si>
  <si>
    <t>0281704</t>
  </si>
  <si>
    <t>ASSAI 63</t>
  </si>
  <si>
    <t>26043049R0</t>
  </si>
  <si>
    <t>16-3624-5396</t>
  </si>
  <si>
    <t>06057223027029</t>
  </si>
  <si>
    <t>0286512</t>
  </si>
  <si>
    <t>2607234HH5</t>
  </si>
  <si>
    <t>0283363</t>
  </si>
  <si>
    <t>2606014CDS</t>
  </si>
  <si>
    <t>0284951</t>
  </si>
  <si>
    <t>2606254EXB</t>
  </si>
  <si>
    <t>0281477</t>
  </si>
  <si>
    <t>ASSAI 12</t>
  </si>
  <si>
    <t>26042849KN</t>
  </si>
  <si>
    <t>11-4817-1196</t>
  </si>
  <si>
    <t>06057223027290</t>
  </si>
  <si>
    <t>0284801</t>
  </si>
  <si>
    <t>2606244ET5</t>
  </si>
  <si>
    <t>0283226</t>
  </si>
  <si>
    <t>2605284C9R</t>
  </si>
  <si>
    <t>0284092</t>
  </si>
  <si>
    <t>2606104E8V</t>
  </si>
  <si>
    <t>0286555</t>
  </si>
  <si>
    <t>2607234HIC</t>
  </si>
  <si>
    <t>0287389</t>
  </si>
  <si>
    <t>ASSAI 58</t>
  </si>
  <si>
    <t>2608064J3L</t>
  </si>
  <si>
    <t>RIBEIRAO PIRES</t>
  </si>
  <si>
    <t>06057223028777</t>
  </si>
  <si>
    <t>0281718</t>
  </si>
  <si>
    <t>26043049RE</t>
  </si>
  <si>
    <t>0285116</t>
  </si>
  <si>
    <t>2606264F1W</t>
  </si>
  <si>
    <t>0281717</t>
  </si>
  <si>
    <t>26043049RD</t>
  </si>
  <si>
    <t>0285115</t>
  </si>
  <si>
    <t>2606264F1V</t>
  </si>
  <si>
    <t>0286547</t>
  </si>
  <si>
    <t>2607234HI4</t>
  </si>
  <si>
    <t>0283808</t>
  </si>
  <si>
    <t>2606014CQ5</t>
  </si>
  <si>
    <t>0284858</t>
  </si>
  <si>
    <t>2606244EUQ</t>
  </si>
  <si>
    <t>0283807</t>
  </si>
  <si>
    <t>2606014CQ4</t>
  </si>
  <si>
    <t>0287921</t>
  </si>
  <si>
    <t>2608194JGY</t>
  </si>
  <si>
    <t>0283264</t>
  </si>
  <si>
    <t>ASSAI 53</t>
  </si>
  <si>
    <t>2605284CAS</t>
  </si>
  <si>
    <t>06057223026057</t>
  </si>
  <si>
    <t>0287123</t>
  </si>
  <si>
    <t>2608034ISO</t>
  </si>
  <si>
    <t>0284821</t>
  </si>
  <si>
    <t>2606244ETP</t>
  </si>
  <si>
    <t>0287920</t>
  </si>
  <si>
    <t>2608194JGX</t>
  </si>
  <si>
    <t>0283717</t>
  </si>
  <si>
    <t>2606014CNM</t>
  </si>
  <si>
    <t>0283263</t>
  </si>
  <si>
    <t>2605284CAR</t>
  </si>
  <si>
    <t>0285114</t>
  </si>
  <si>
    <t>2606264F1U</t>
  </si>
  <si>
    <t>0281653</t>
  </si>
  <si>
    <t>26043049PL</t>
  </si>
  <si>
    <t>0285113</t>
  </si>
  <si>
    <t>2606264F1T</t>
  </si>
  <si>
    <t>0281654</t>
  </si>
  <si>
    <t>26043049PM</t>
  </si>
  <si>
    <t>0287348</t>
  </si>
  <si>
    <t>2608064J2G</t>
  </si>
  <si>
    <t>0281716</t>
  </si>
  <si>
    <t>ASSAI 50</t>
  </si>
  <si>
    <t>26043049RC</t>
  </si>
  <si>
    <t>06057223025832</t>
  </si>
  <si>
    <t>0287347</t>
  </si>
  <si>
    <t>2608064J2F</t>
  </si>
  <si>
    <t>0283294</t>
  </si>
  <si>
    <t>2605284CBM</t>
  </si>
  <si>
    <t>0284255</t>
  </si>
  <si>
    <t>2606124EDH</t>
  </si>
  <si>
    <t>0283293</t>
  </si>
  <si>
    <t>2605284CBL</t>
  </si>
  <si>
    <t>0285112</t>
  </si>
  <si>
    <t>2606264F1S</t>
  </si>
  <si>
    <t>0286586</t>
  </si>
  <si>
    <t>2607234HJ7</t>
  </si>
  <si>
    <t>0284943</t>
  </si>
  <si>
    <t>ASSAI 14</t>
  </si>
  <si>
    <t>2606254EX3</t>
  </si>
  <si>
    <t>16-3211-5700</t>
  </si>
  <si>
    <t>06057223023112</t>
  </si>
  <si>
    <t>0286508</t>
  </si>
  <si>
    <t>2607234HH1</t>
  </si>
  <si>
    <t>0284944</t>
  </si>
  <si>
    <t>2606254EX4</t>
  </si>
  <si>
    <t>0283357</t>
  </si>
  <si>
    <t>2606014CDM</t>
  </si>
  <si>
    <t>0281699</t>
  </si>
  <si>
    <t>26043049QV</t>
  </si>
  <si>
    <t>0283358</t>
  </si>
  <si>
    <t>2606014CDN</t>
  </si>
  <si>
    <t>0287394</t>
  </si>
  <si>
    <t>2608064J3Q</t>
  </si>
  <si>
    <t>0281490</t>
  </si>
  <si>
    <t>ASSAI 15</t>
  </si>
  <si>
    <t>26042849L0</t>
  </si>
  <si>
    <t>11-2159-4650</t>
  </si>
  <si>
    <t>06057223026561</t>
  </si>
  <si>
    <t>0284232</t>
  </si>
  <si>
    <t>2606124ECU</t>
  </si>
  <si>
    <t>0283278</t>
  </si>
  <si>
    <t>2605284CB6</t>
  </si>
  <si>
    <t>0284831</t>
  </si>
  <si>
    <t>2606244ETZ</t>
  </si>
  <si>
    <t>0286558</t>
  </si>
  <si>
    <t>2607234HIF</t>
  </si>
  <si>
    <t>0284810</t>
  </si>
  <si>
    <t>ASSAI 16</t>
  </si>
  <si>
    <t>2606244ETE</t>
  </si>
  <si>
    <t>11-3468-4700</t>
  </si>
  <si>
    <t>06057223024194</t>
  </si>
  <si>
    <t>0281497</t>
  </si>
  <si>
    <t>26042849L7</t>
  </si>
  <si>
    <t>0283687</t>
  </si>
  <si>
    <t>2606014CMS</t>
  </si>
  <si>
    <t>0283189</t>
  </si>
  <si>
    <t>2605284C8Q</t>
  </si>
  <si>
    <t>0283690</t>
  </si>
  <si>
    <t>ASSAI 17</t>
  </si>
  <si>
    <t>2606014CMV</t>
  </si>
  <si>
    <t>11-6703-0892</t>
  </si>
  <si>
    <t>06057223025670</t>
  </si>
  <si>
    <t>0283191</t>
  </si>
  <si>
    <t>2605284C8S</t>
  </si>
  <si>
    <t>0281438</t>
  </si>
  <si>
    <t>26042849JK</t>
  </si>
  <si>
    <t>0286530</t>
  </si>
  <si>
    <t>2607234HHN</t>
  </si>
  <si>
    <t>0287374</t>
  </si>
  <si>
    <t>ASSAI 18</t>
  </si>
  <si>
    <t>2608064J36</t>
  </si>
  <si>
    <t>11-2755-7555</t>
  </si>
  <si>
    <t>06057223026480</t>
  </si>
  <si>
    <t>0285061</t>
  </si>
  <si>
    <t>2606264F0D</t>
  </si>
  <si>
    <t>0283192</t>
  </si>
  <si>
    <t>2605284C8T</t>
  </si>
  <si>
    <t>0285062</t>
  </si>
  <si>
    <t>2606264F0E</t>
  </si>
  <si>
    <t>0281441</t>
  </si>
  <si>
    <t>26042849JN</t>
  </si>
  <si>
    <t>0284836</t>
  </si>
  <si>
    <t>2606244EU4</t>
  </si>
  <si>
    <t>0283193</t>
  </si>
  <si>
    <t>2605284C8U</t>
  </si>
  <si>
    <t>0286531</t>
  </si>
  <si>
    <t>2607234HHO</t>
  </si>
  <si>
    <t>0283691</t>
  </si>
  <si>
    <t>2606014CMW</t>
  </si>
  <si>
    <t>0281439</t>
  </si>
  <si>
    <t>26042849JL</t>
  </si>
  <si>
    <t>0281440</t>
  </si>
  <si>
    <t>26042849JM</t>
  </si>
  <si>
    <t>0287882</t>
  </si>
  <si>
    <t>2608194JFV</t>
  </si>
  <si>
    <t>0283235</t>
  </si>
  <si>
    <t>ASSAI 25</t>
  </si>
  <si>
    <t>2605284CA0</t>
  </si>
  <si>
    <t>12-38975614</t>
  </si>
  <si>
    <t>06057223026723</t>
  </si>
  <si>
    <t>0286571</t>
  </si>
  <si>
    <t>2607234HIS</t>
  </si>
  <si>
    <t>0281614</t>
  </si>
  <si>
    <t>26043049OI</t>
  </si>
  <si>
    <t>0284242</t>
  </si>
  <si>
    <t>2606124ED4</t>
  </si>
  <si>
    <t>0285076</t>
  </si>
  <si>
    <t>2606264F0S</t>
  </si>
  <si>
    <t>0281631</t>
  </si>
  <si>
    <t>ASSAI 32</t>
  </si>
  <si>
    <t>26043049OZ</t>
  </si>
  <si>
    <t>06057223025166</t>
  </si>
  <si>
    <t>0283711</t>
  </si>
  <si>
    <t>2606014CNG</t>
  </si>
  <si>
    <t>0283260</t>
  </si>
  <si>
    <t>2605284CAO</t>
  </si>
  <si>
    <t>0285095</t>
  </si>
  <si>
    <t>2606264F1B</t>
  </si>
  <si>
    <t>0286541</t>
  </si>
  <si>
    <t>2607234HHY</t>
  </si>
  <si>
    <t>0285063</t>
  </si>
  <si>
    <t>ASSAI 19</t>
  </si>
  <si>
    <t>2606264F0F</t>
  </si>
  <si>
    <t>11-3544-6450</t>
  </si>
  <si>
    <t>06057223025247</t>
  </si>
  <si>
    <t>0284837</t>
  </si>
  <si>
    <t>2606244EU5</t>
  </si>
  <si>
    <t>0283194</t>
  </si>
  <si>
    <t>2605284C8V</t>
  </si>
  <si>
    <t>0283692</t>
  </si>
  <si>
    <t>2606014CMX</t>
  </si>
  <si>
    <t>0281442</t>
  </si>
  <si>
    <t>26042849JO</t>
  </si>
  <si>
    <t>0284840</t>
  </si>
  <si>
    <t>ASSAI 20</t>
  </si>
  <si>
    <t>2606244EU8</t>
  </si>
  <si>
    <t>06057223025913</t>
  </si>
  <si>
    <t>0283198</t>
  </si>
  <si>
    <t>2605284C8Z</t>
  </si>
  <si>
    <t>0281445</t>
  </si>
  <si>
    <t>26042849JR</t>
  </si>
  <si>
    <t>0283695</t>
  </si>
  <si>
    <t>2606014CN0</t>
  </si>
  <si>
    <t>0286596</t>
  </si>
  <si>
    <t>2607234HJH</t>
  </si>
  <si>
    <t>0283261</t>
  </si>
  <si>
    <t>ASSAI 45</t>
  </si>
  <si>
    <t>2605284CAP</t>
  </si>
  <si>
    <t>11-3611-1658</t>
  </si>
  <si>
    <t>06057223026804</t>
  </si>
  <si>
    <t>0286609</t>
  </si>
  <si>
    <t>2607234HJU</t>
  </si>
  <si>
    <t>0279462</t>
  </si>
  <si>
    <t>26032646T5</t>
  </si>
  <si>
    <t>0285110</t>
  </si>
  <si>
    <t>2606264F1Q</t>
  </si>
  <si>
    <t>0281651</t>
  </si>
  <si>
    <t>26043049PJ</t>
  </si>
  <si>
    <t>0283715</t>
  </si>
  <si>
    <t>2606014CNK</t>
  </si>
  <si>
    <t>0287918</t>
  </si>
  <si>
    <t>2608194JGV</t>
  </si>
  <si>
    <t>0283716</t>
  </si>
  <si>
    <t>ASSAI 49</t>
  </si>
  <si>
    <t>2606014CNL</t>
  </si>
  <si>
    <t>11-2046-6220</t>
  </si>
  <si>
    <t>06057223025328</t>
  </si>
  <si>
    <t>0283262</t>
  </si>
  <si>
    <t>2605284CAQ</t>
  </si>
  <si>
    <t>0285111</t>
  </si>
  <si>
    <t>2606264F1R</t>
  </si>
  <si>
    <t>0281652</t>
  </si>
  <si>
    <t>26043049PK</t>
  </si>
  <si>
    <t>0286610</t>
  </si>
  <si>
    <t>2607234HJV</t>
  </si>
  <si>
    <t>0281647</t>
  </si>
  <si>
    <t>ASSAI 38</t>
  </si>
  <si>
    <t>26043049PF</t>
  </si>
  <si>
    <t>13-3471-8475</t>
  </si>
  <si>
    <t>06057223029234</t>
  </si>
  <si>
    <t>0286584</t>
  </si>
  <si>
    <t>2607234HJ5</t>
  </si>
  <si>
    <t>0283292</t>
  </si>
  <si>
    <t>2605284CBK</t>
  </si>
  <si>
    <t>0284253</t>
  </si>
  <si>
    <t>2606124EDF</t>
  </si>
  <si>
    <t>0285106</t>
  </si>
  <si>
    <t>2606264F1M</t>
  </si>
  <si>
    <t>0283710</t>
  </si>
  <si>
    <t>ASSAI 31</t>
  </si>
  <si>
    <t>2606014CNF</t>
  </si>
  <si>
    <t>06057223023627</t>
  </si>
  <si>
    <t>0284856</t>
  </si>
  <si>
    <t>2606244EUO</t>
  </si>
  <si>
    <t>0283259</t>
  </si>
  <si>
    <t>2605284CAN</t>
  </si>
  <si>
    <t>0281627</t>
  </si>
  <si>
    <t>26043049OV</t>
  </si>
  <si>
    <t>0286577</t>
  </si>
  <si>
    <t>2607234HIY</t>
  </si>
  <si>
    <t>0283233</t>
  </si>
  <si>
    <t>ASSAI 21</t>
  </si>
  <si>
    <t>2605284C9Y</t>
  </si>
  <si>
    <t>19-2114-9850</t>
  </si>
  <si>
    <t>06057223029315</t>
  </si>
  <si>
    <t>0286567</t>
  </si>
  <si>
    <t>2607234HIO</t>
  </si>
  <si>
    <t>0281509</t>
  </si>
  <si>
    <t>26042849LJ</t>
  </si>
  <si>
    <t>0285072</t>
  </si>
  <si>
    <t>2606264F0O</t>
  </si>
  <si>
    <t>0284239</t>
  </si>
  <si>
    <t>2606124ED1</t>
  </si>
  <si>
    <t>0284843</t>
  </si>
  <si>
    <t>ASSAI 22</t>
  </si>
  <si>
    <t>2606244EUB</t>
  </si>
  <si>
    <t>11-3714-7092</t>
  </si>
  <si>
    <t>06057223026138</t>
  </si>
  <si>
    <t>0283204</t>
  </si>
  <si>
    <t>2605284C95</t>
  </si>
  <si>
    <t>0281448</t>
  </si>
  <si>
    <t>26042849JU</t>
  </si>
  <si>
    <t>0283699</t>
  </si>
  <si>
    <t>2606014CN4</t>
  </si>
  <si>
    <t>0283718</t>
  </si>
  <si>
    <t>ASSAI 60</t>
  </si>
  <si>
    <t>2606014CNN</t>
  </si>
  <si>
    <t>11-8980-9878</t>
  </si>
  <si>
    <t>06057223025590</t>
  </si>
  <si>
    <t>0283265</t>
  </si>
  <si>
    <t>2605284CAT</t>
  </si>
  <si>
    <t>0284942</t>
  </si>
  <si>
    <t>2606254EX2</t>
  </si>
  <si>
    <t>0281722</t>
  </si>
  <si>
    <t>26043049RI</t>
  </si>
  <si>
    <t>0287124</t>
  </si>
  <si>
    <t>2608034ISP</t>
  </si>
  <si>
    <t>0281723</t>
  </si>
  <si>
    <t>26043049RJ</t>
  </si>
  <si>
    <t>0287350</t>
  </si>
  <si>
    <t>2608064J2I</t>
  </si>
  <si>
    <t>0284941</t>
  </si>
  <si>
    <t>ASSAI 59</t>
  </si>
  <si>
    <t>2606254EX1</t>
  </si>
  <si>
    <t>06057223029404</t>
  </si>
  <si>
    <t>0286587</t>
  </si>
  <si>
    <t>2607234HJ8</t>
  </si>
  <si>
    <t>0283296</t>
  </si>
  <si>
    <t>2605284CBO</t>
  </si>
  <si>
    <t>0287349</t>
  </si>
  <si>
    <t>2608064J2H</t>
  </si>
  <si>
    <t>0283295</t>
  </si>
  <si>
    <t>2605284CBN</t>
  </si>
  <si>
    <t>0284940</t>
  </si>
  <si>
    <t>2606254EX0</t>
  </si>
  <si>
    <t>0281719</t>
  </si>
  <si>
    <t>26043049RF</t>
  </si>
  <si>
    <t>0284256</t>
  </si>
  <si>
    <t>2606124EDI</t>
  </si>
  <si>
    <t>0281721</t>
  </si>
  <si>
    <t>26043049RH</t>
  </si>
  <si>
    <t>0281720</t>
  </si>
  <si>
    <t>26043049RG</t>
  </si>
  <si>
    <t>0287922</t>
  </si>
  <si>
    <t>2608194JGZ</t>
  </si>
  <si>
    <t>0281725</t>
  </si>
  <si>
    <t>ASSAI 64</t>
  </si>
  <si>
    <t>26043049RL</t>
  </si>
  <si>
    <t>06057223023899</t>
  </si>
  <si>
    <t>0287923</t>
  </si>
  <si>
    <t>2608194JH0</t>
  </si>
  <si>
    <t>0281724</t>
  </si>
  <si>
    <t>26043049RK</t>
  </si>
  <si>
    <t>0283719</t>
  </si>
  <si>
    <t>2606014CNO</t>
  </si>
  <si>
    <t>0281726</t>
  </si>
  <si>
    <t>26043049RM</t>
  </si>
  <si>
    <t>0284822</t>
  </si>
  <si>
    <t>2606244ETQ</t>
  </si>
  <si>
    <t>0283266</t>
  </si>
  <si>
    <t>2605284CAU</t>
  </si>
  <si>
    <t>0285119</t>
  </si>
  <si>
    <t>2606264F1Z</t>
  </si>
  <si>
    <t>0286611</t>
  </si>
  <si>
    <t>2607234HJW</t>
  </si>
  <si>
    <t>0283810</t>
  </si>
  <si>
    <t>ASSAI 73</t>
  </si>
  <si>
    <t>2606014CQ7</t>
  </si>
  <si>
    <t>06057223029587</t>
  </si>
  <si>
    <t>0286590</t>
  </si>
  <si>
    <t>2607234HJB</t>
  </si>
  <si>
    <t>0285123</t>
  </si>
  <si>
    <t>2606264F23</t>
  </si>
  <si>
    <t>0281873</t>
  </si>
  <si>
    <t>26043049VP</t>
  </si>
  <si>
    <t>0285124</t>
  </si>
  <si>
    <t>2606264F24</t>
  </si>
  <si>
    <t>0281872</t>
  </si>
  <si>
    <t>26043049VO</t>
  </si>
  <si>
    <t>0285125</t>
  </si>
  <si>
    <t>2606264F25</t>
  </si>
  <si>
    <t>0281871</t>
  </si>
  <si>
    <t>26043049VN</t>
  </si>
  <si>
    <t>0283811</t>
  </si>
  <si>
    <t>2606014CQ8</t>
  </si>
  <si>
    <t>0287352</t>
  </si>
  <si>
    <t>2608064J2K</t>
  </si>
  <si>
    <t>0286548</t>
  </si>
  <si>
    <t>ASSAI 68</t>
  </si>
  <si>
    <t>2607234HI5</t>
  </si>
  <si>
    <t>06057223028343</t>
  </si>
  <si>
    <t>0281727</t>
  </si>
  <si>
    <t>26043049RN</t>
  </si>
  <si>
    <t>0284257</t>
  </si>
  <si>
    <t>2606124EDJ</t>
  </si>
  <si>
    <t>0283297</t>
  </si>
  <si>
    <t>2605284CBP</t>
  </si>
  <si>
    <t>0285120</t>
  </si>
  <si>
    <t>2606264F20</t>
  </si>
  <si>
    <t>0279739</t>
  </si>
  <si>
    <t>260330470P</t>
  </si>
  <si>
    <t>0285121</t>
  </si>
  <si>
    <t>2606264F21</t>
  </si>
  <si>
    <t>0281728</t>
  </si>
  <si>
    <t>26043049RO</t>
  </si>
  <si>
    <t>0287390</t>
  </si>
  <si>
    <t>2608064J3M</t>
  </si>
  <si>
    <t>0283298</t>
  </si>
  <si>
    <t>2605284CBQ</t>
  </si>
  <si>
    <t>0287924</t>
  </si>
  <si>
    <t>2608194JH1</t>
  </si>
  <si>
    <t>0283720</t>
  </si>
  <si>
    <t>ASSAI 74</t>
  </si>
  <si>
    <t>2606014CNP</t>
  </si>
  <si>
    <t>06057223025751</t>
  </si>
  <si>
    <t>0287391</t>
  </si>
  <si>
    <t>2608064J3N</t>
  </si>
  <si>
    <t>0281732</t>
  </si>
  <si>
    <t>26043049RS</t>
  </si>
  <si>
    <t>0287925</t>
  </si>
  <si>
    <t>2608194JH2</t>
  </si>
  <si>
    <t>0281730</t>
  </si>
  <si>
    <t>26043049RQ</t>
  </si>
  <si>
    <t>0285127</t>
  </si>
  <si>
    <t>2606264F27</t>
  </si>
  <si>
    <t>0283221</t>
  </si>
  <si>
    <t>2605284C9M</t>
  </si>
  <si>
    <t>0284823</t>
  </si>
  <si>
    <t>2606244ETR</t>
  </si>
  <si>
    <t>0283220</t>
  </si>
  <si>
    <t>2605284C9L</t>
  </si>
  <si>
    <t>0285126</t>
  </si>
  <si>
    <t>2606264F26</t>
  </si>
  <si>
    <t>0281731</t>
  </si>
  <si>
    <t>26043049RR</t>
  </si>
  <si>
    <t>0286549</t>
  </si>
  <si>
    <t>2607234HI6</t>
  </si>
  <si>
    <t>0287926</t>
  </si>
  <si>
    <t>ASSAI 75</t>
  </si>
  <si>
    <t>2608194JH3</t>
  </si>
  <si>
    <t>06057223028424</t>
  </si>
  <si>
    <t>0285129</t>
  </si>
  <si>
    <t>2606264F29</t>
  </si>
  <si>
    <t>0281733</t>
  </si>
  <si>
    <t>26043049RT</t>
  </si>
  <si>
    <t>0285128</t>
  </si>
  <si>
    <t>2606264F28</t>
  </si>
  <si>
    <t>0283246</t>
  </si>
  <si>
    <t>2605284CAB</t>
  </si>
  <si>
    <t>0284258</t>
  </si>
  <si>
    <t>2606124EDK</t>
  </si>
  <si>
    <t>0286591</t>
  </si>
  <si>
    <t>2607234HJC</t>
  </si>
  <si>
    <t>0287353</t>
  </si>
  <si>
    <t>2608064J2L</t>
  </si>
  <si>
    <t>0281735</t>
  </si>
  <si>
    <t>ASSAI 81</t>
  </si>
  <si>
    <t>26043049RV</t>
  </si>
  <si>
    <t>MOGI DAS CRUZES</t>
  </si>
  <si>
    <t>06057223028696</t>
  </si>
  <si>
    <t>0285132</t>
  </si>
  <si>
    <t>2606264F2C</t>
  </si>
  <si>
    <t>0281736</t>
  </si>
  <si>
    <t>26043049RW</t>
  </si>
  <si>
    <t>0285131</t>
  </si>
  <si>
    <t>2606264F2B</t>
  </si>
  <si>
    <t>0283268</t>
  </si>
  <si>
    <t>2605284CAW</t>
  </si>
  <si>
    <t>0283722</t>
  </si>
  <si>
    <t>2606014CNR</t>
  </si>
  <si>
    <t>0281737</t>
  </si>
  <si>
    <t>26043049RX</t>
  </si>
  <si>
    <t>0286592</t>
  </si>
  <si>
    <t>2607234HJD</t>
  </si>
  <si>
    <t>0287927</t>
  </si>
  <si>
    <t>2608194JH4</t>
  </si>
  <si>
    <t>0283723</t>
  </si>
  <si>
    <t>ASSAI 85</t>
  </si>
  <si>
    <t>2606014CNS</t>
  </si>
  <si>
    <t>06057223026308</t>
  </si>
  <si>
    <t>0283269</t>
  </si>
  <si>
    <t>2605284CAX</t>
  </si>
  <si>
    <t>0287126</t>
  </si>
  <si>
    <t>2608034ISR</t>
  </si>
  <si>
    <t>0287928</t>
  </si>
  <si>
    <t>2608194JH5</t>
  </si>
  <si>
    <t>0285133</t>
  </si>
  <si>
    <t>2606264F2D</t>
  </si>
  <si>
    <t>0281739</t>
  </si>
  <si>
    <t>26043049RZ</t>
  </si>
  <si>
    <t>0285134</t>
  </si>
  <si>
    <t>2606264F2E</t>
  </si>
  <si>
    <t>0281738</t>
  </si>
  <si>
    <t>26043049RY</t>
  </si>
  <si>
    <t>0283724</t>
  </si>
  <si>
    <t>2606014CNT</t>
  </si>
  <si>
    <t>0287354</t>
  </si>
  <si>
    <t>2608064J2M</t>
  </si>
  <si>
    <t>0287930</t>
  </si>
  <si>
    <t>ASSAI 89</t>
  </si>
  <si>
    <t>2608194JH7</t>
  </si>
  <si>
    <t>06057223023384</t>
  </si>
  <si>
    <t>0283270</t>
  </si>
  <si>
    <t>2605284CAY</t>
  </si>
  <si>
    <t>0283726</t>
  </si>
  <si>
    <t>2606014CNV</t>
  </si>
  <si>
    <t>0281742</t>
  </si>
  <si>
    <t>26043049S2</t>
  </si>
  <si>
    <t>0285135</t>
  </si>
  <si>
    <t>2606264F2F</t>
  </si>
  <si>
    <t>0281741</t>
  </si>
  <si>
    <t>26043049S1</t>
  </si>
  <si>
    <t>0285136</t>
  </si>
  <si>
    <t>2606264F2G</t>
  </si>
  <si>
    <t>0283271</t>
  </si>
  <si>
    <t>2605284CAZ</t>
  </si>
  <si>
    <t>0287355</t>
  </si>
  <si>
    <t>2608064J2N</t>
  </si>
  <si>
    <t>0287127</t>
  </si>
  <si>
    <t>2608034ISS</t>
  </si>
  <si>
    <t>0285138</t>
  </si>
  <si>
    <t>ASSAI 93</t>
  </si>
  <si>
    <t>2606264F2I</t>
  </si>
  <si>
    <t>TABOAO DA SERRA</t>
  </si>
  <si>
    <t>06057223025085</t>
  </si>
  <si>
    <t>0286551</t>
  </si>
  <si>
    <t>2607234HI8</t>
  </si>
  <si>
    <t>0283728</t>
  </si>
  <si>
    <t>2606014CNX</t>
  </si>
  <si>
    <t>0281744</t>
  </si>
  <si>
    <t>26043049S4</t>
  </si>
  <si>
    <t>0285139</t>
  </si>
  <si>
    <t>2606264F2J</t>
  </si>
  <si>
    <t>0283272</t>
  </si>
  <si>
    <t>2605284CB0</t>
  </si>
  <si>
    <t>0287931</t>
  </si>
  <si>
    <t>2608194JH8</t>
  </si>
  <si>
    <t>0286518</t>
  </si>
  <si>
    <t>ASSAI 112</t>
  </si>
  <si>
    <t>2607234HHB</t>
  </si>
  <si>
    <t>06057223024437</t>
  </si>
  <si>
    <t>0284899</t>
  </si>
  <si>
    <t>2606254EVV</t>
  </si>
  <si>
    <t>0283684</t>
  </si>
  <si>
    <t>2606014CMP</t>
  </si>
  <si>
    <t>0284900</t>
  </si>
  <si>
    <t>2606254EVW</t>
  </si>
  <si>
    <t>0281475</t>
  </si>
  <si>
    <t>26042849KL</t>
  </si>
  <si>
    <t>0287868</t>
  </si>
  <si>
    <t>2608194JFH</t>
  </si>
  <si>
    <t>0283251</t>
  </si>
  <si>
    <t>2605284CAF</t>
  </si>
  <si>
    <t>0283250</t>
  </si>
  <si>
    <t>2605284CAE</t>
  </si>
  <si>
    <t>0281476</t>
  </si>
  <si>
    <t>26042849KM</t>
  </si>
  <si>
    <t>0287367</t>
  </si>
  <si>
    <t>2608064J2Z</t>
  </si>
  <si>
    <t>0284803</t>
  </si>
  <si>
    <t>ASSAI 124</t>
  </si>
  <si>
    <t>2606244ET7</t>
  </si>
  <si>
    <t>06057223023970</t>
  </si>
  <si>
    <t>0287870</t>
  </si>
  <si>
    <t>2608194JFJ</t>
  </si>
  <si>
    <t>0283161</t>
  </si>
  <si>
    <t>2605284C7Y</t>
  </si>
  <si>
    <t>0287368</t>
  </si>
  <si>
    <t>2608064J30</t>
  </si>
  <si>
    <t>0281425</t>
  </si>
  <si>
    <t>26042849J7</t>
  </si>
  <si>
    <t>0285046</t>
  </si>
  <si>
    <t>2606264EZY</t>
  </si>
  <si>
    <t>0281426</t>
  </si>
  <si>
    <t>26042849J8</t>
  </si>
  <si>
    <t>0285045</t>
  </si>
  <si>
    <t>2606264EZX</t>
  </si>
  <si>
    <t>0283667</t>
  </si>
  <si>
    <t>2606014CM8</t>
  </si>
  <si>
    <t>0283162</t>
  </si>
  <si>
    <t>2605284C7Z</t>
  </si>
  <si>
    <t>0286520</t>
  </si>
  <si>
    <t>2607234HHD</t>
  </si>
  <si>
    <t>0283227</t>
  </si>
  <si>
    <t>ASSAI 121</t>
  </si>
  <si>
    <t>2605284C9S</t>
  </si>
  <si>
    <t>06057223029820</t>
  </si>
  <si>
    <t>0286556</t>
  </si>
  <si>
    <t>2607234HID</t>
  </si>
  <si>
    <t>0281479</t>
  </si>
  <si>
    <t>26042849KP</t>
  </si>
  <si>
    <t>0284901</t>
  </si>
  <si>
    <t>2606254EVX</t>
  </si>
  <si>
    <t>0283228</t>
  </si>
  <si>
    <t>2605284C9T</t>
  </si>
  <si>
    <t>0284902</t>
  </si>
  <si>
    <t>2606254EVY</t>
  </si>
  <si>
    <t>0281478</t>
  </si>
  <si>
    <t>26042849KO</t>
  </si>
  <si>
    <t>0284093</t>
  </si>
  <si>
    <t>2606104E8W</t>
  </si>
  <si>
    <t>0287330</t>
  </si>
  <si>
    <t>2608064J1Y</t>
  </si>
  <si>
    <t>0287119</t>
  </si>
  <si>
    <t>ASSAI 24</t>
  </si>
  <si>
    <t>2608034ISK</t>
  </si>
  <si>
    <t>06057223030755</t>
  </si>
  <si>
    <t>0281611</t>
  </si>
  <si>
    <t>26043049OF</t>
  </si>
  <si>
    <t>0284916</t>
  </si>
  <si>
    <t>2606254EWC</t>
  </si>
  <si>
    <t>0284917</t>
  </si>
  <si>
    <t>2606254EWD</t>
  </si>
  <si>
    <t>0283929</t>
  </si>
  <si>
    <t>2606084E4M</t>
  </si>
  <si>
    <t>0287890</t>
  </si>
  <si>
    <t>2608194JG3</t>
  </si>
  <si>
    <t>0286585</t>
  </si>
  <si>
    <t>ASSAI 39</t>
  </si>
  <si>
    <t>2607234HJ6</t>
  </si>
  <si>
    <t>06057223031646</t>
  </si>
  <si>
    <t>0283244</t>
  </si>
  <si>
    <t>2605284CA9</t>
  </si>
  <si>
    <t>0284254</t>
  </si>
  <si>
    <t>2606124EDG</t>
  </si>
  <si>
    <t>0281648</t>
  </si>
  <si>
    <t>26043049PG</t>
  </si>
  <si>
    <t>0285109</t>
  </si>
  <si>
    <t>2606264F1P</t>
  </si>
  <si>
    <t>0283245</t>
  </si>
  <si>
    <t>2605284CAA</t>
  </si>
  <si>
    <t>0285108</t>
  </si>
  <si>
    <t>2606264F1O</t>
  </si>
  <si>
    <t>0281650</t>
  </si>
  <si>
    <t>26043049PI</t>
  </si>
  <si>
    <t>0285107</t>
  </si>
  <si>
    <t>2606264F1N</t>
  </si>
  <si>
    <t>0281649</t>
  </si>
  <si>
    <t>26043049PH</t>
  </si>
  <si>
    <t>0287917</t>
  </si>
  <si>
    <t>2608194JGU</t>
  </si>
  <si>
    <t>0287346</t>
  </si>
  <si>
    <t>2608064J2E</t>
  </si>
  <si>
    <t>0283806</t>
  </si>
  <si>
    <t>ASSAI 48</t>
  </si>
  <si>
    <t>2606014CQ3</t>
  </si>
  <si>
    <t>SAO CAETANO DO SUL</t>
  </si>
  <si>
    <t>06057223031212</t>
  </si>
  <si>
    <t>0281715</t>
  </si>
  <si>
    <t>26043049RB</t>
  </si>
  <si>
    <t>0287919</t>
  </si>
  <si>
    <t>2608194JGW</t>
  </si>
  <si>
    <t>0287388</t>
  </si>
  <si>
    <t>2608064J3K</t>
  </si>
  <si>
    <t>0284820</t>
  </si>
  <si>
    <t>2606244ETO</t>
  </si>
  <si>
    <t>0281714</t>
  </si>
  <si>
    <t>26043049RA</t>
  </si>
  <si>
    <t>0283805</t>
  </si>
  <si>
    <t>2606014CQ2</t>
  </si>
  <si>
    <t>0281713</t>
  </si>
  <si>
    <t>26043049R9</t>
  </si>
  <si>
    <t>0286546</t>
  </si>
  <si>
    <t>2607234HI3</t>
  </si>
  <si>
    <t>0281712</t>
  </si>
  <si>
    <t>ASSAI 61</t>
  </si>
  <si>
    <t>26043049R8</t>
  </si>
  <si>
    <t>14 3212 4605</t>
  </si>
  <si>
    <t>06057223031131</t>
  </si>
  <si>
    <t>0286588</t>
  </si>
  <si>
    <t>2607234HJ9</t>
  </si>
  <si>
    <t>0285118</t>
  </si>
  <si>
    <t>2606264F1Y</t>
  </si>
  <si>
    <t>0283933</t>
  </si>
  <si>
    <t>2606084E4Q</t>
  </si>
  <si>
    <t>0285117</t>
  </si>
  <si>
    <t>2606264F1X</t>
  </si>
  <si>
    <t>0287351</t>
  </si>
  <si>
    <t>2608064J2J</t>
  </si>
  <si>
    <t>0281485</t>
  </si>
  <si>
    <t>ASSAI 129</t>
  </si>
  <si>
    <t>26042849KV</t>
  </si>
  <si>
    <t>06057223033851</t>
  </si>
  <si>
    <t>0287128</t>
  </si>
  <si>
    <t>2608034IST</t>
  </si>
  <si>
    <t>0284903</t>
  </si>
  <si>
    <t>2606254EVZ</t>
  </si>
  <si>
    <t>0287331</t>
  </si>
  <si>
    <t>2608064J1Z</t>
  </si>
  <si>
    <t>0284904</t>
  </si>
  <si>
    <t>2606254EW0</t>
  </si>
  <si>
    <t>0281486</t>
  </si>
  <si>
    <t>26042849KW</t>
  </si>
  <si>
    <t>0283926</t>
  </si>
  <si>
    <t>2606084E4J</t>
  </si>
  <si>
    <t>0281484</t>
  </si>
  <si>
    <t>26042849KU</t>
  </si>
  <si>
    <t>0284230</t>
  </si>
  <si>
    <t>2606124ECS</t>
  </si>
  <si>
    <t>0287873</t>
  </si>
  <si>
    <t>2608194JFM</t>
  </si>
  <si>
    <t>0287329</t>
  </si>
  <si>
    <t>ASSAI 104</t>
  </si>
  <si>
    <t>2608064J1X</t>
  </si>
  <si>
    <t>06057223033932</t>
  </si>
  <si>
    <t>0283273</t>
  </si>
  <si>
    <t>2605284CB1</t>
  </si>
  <si>
    <t>0284897</t>
  </si>
  <si>
    <t>2606254EVT</t>
  </si>
  <si>
    <t>0281472</t>
  </si>
  <si>
    <t>26042849KI</t>
  </si>
  <si>
    <t>0284898</t>
  </si>
  <si>
    <t>2606254EVU</t>
  </si>
  <si>
    <t>0281474</t>
  </si>
  <si>
    <t>26042849KK</t>
  </si>
  <si>
    <t>0284091</t>
  </si>
  <si>
    <t>2606104E8U</t>
  </si>
  <si>
    <t>0281473</t>
  </si>
  <si>
    <t>26042849KJ</t>
  </si>
  <si>
    <t>0287867</t>
  </si>
  <si>
    <t>2608194JFG</t>
  </si>
  <si>
    <t>0283274</t>
  </si>
  <si>
    <t>2605284CB2</t>
  </si>
  <si>
    <t>0286554</t>
  </si>
  <si>
    <t>2607234HIB</t>
  </si>
  <si>
    <t>0281745</t>
  </si>
  <si>
    <t>ASSAI 94</t>
  </si>
  <si>
    <t>26043049S5</t>
  </si>
  <si>
    <t>06057223034661</t>
  </si>
  <si>
    <t>0286552</t>
  </si>
  <si>
    <t>2607234HI9</t>
  </si>
  <si>
    <t>0283225</t>
  </si>
  <si>
    <t>2605284C9Q</t>
  </si>
  <si>
    <t>0283729</t>
  </si>
  <si>
    <t>2606014CNY</t>
  </si>
  <si>
    <t>0284859</t>
  </si>
  <si>
    <t>2606244EUR</t>
  </si>
  <si>
    <t>0287932</t>
  </si>
  <si>
    <t>ASSAI 96</t>
  </si>
  <si>
    <t>2608194JH9</t>
  </si>
  <si>
    <t>06057223034580</t>
  </si>
  <si>
    <t>0286553</t>
  </si>
  <si>
    <t>2607234HIA</t>
  </si>
  <si>
    <t>0281746</t>
  </si>
  <si>
    <t>26043049S6</t>
  </si>
  <si>
    <t>0285140</t>
  </si>
  <si>
    <t>2606264F2K</t>
  </si>
  <si>
    <t>0283248</t>
  </si>
  <si>
    <t>2605284CAD</t>
  </si>
  <si>
    <t>0285141</t>
  </si>
  <si>
    <t>2606264F2L</t>
  </si>
  <si>
    <t>0283247</t>
  </si>
  <si>
    <t>2605284CAC</t>
  </si>
  <si>
    <t>0284259</t>
  </si>
  <si>
    <t>2606124EDL</t>
  </si>
  <si>
    <t>0281747</t>
  </si>
  <si>
    <t>26043049S7</t>
  </si>
  <si>
    <t>0281748</t>
  </si>
  <si>
    <t>26043049S8</t>
  </si>
  <si>
    <t>0287393</t>
  </si>
  <si>
    <t>2608064J3P</t>
  </si>
  <si>
    <t>0283280</t>
  </si>
  <si>
    <t>ASSAI 156</t>
  </si>
  <si>
    <t>2605284CB8</t>
  </si>
  <si>
    <t>06057223034742</t>
  </si>
  <si>
    <t>0284234</t>
  </si>
  <si>
    <t>2606124ECW</t>
  </si>
  <si>
    <t>0283279</t>
  </si>
  <si>
    <t>2605284CB7</t>
  </si>
  <si>
    <t>0284809</t>
  </si>
  <si>
    <t>2606244ETD</t>
  </si>
  <si>
    <t>0281495</t>
  </si>
  <si>
    <t>26042849L5</t>
  </si>
  <si>
    <t>0281496</t>
  </si>
  <si>
    <t>26042849L6</t>
  </si>
  <si>
    <t>0287877</t>
  </si>
  <si>
    <t>2608194JFQ</t>
  </si>
  <si>
    <t>0287372</t>
  </si>
  <si>
    <t>ASSAI 155</t>
  </si>
  <si>
    <t>2608064J34</t>
  </si>
  <si>
    <t>06057223034823</t>
  </si>
  <si>
    <t>0285058</t>
  </si>
  <si>
    <t>2606264F0A</t>
  </si>
  <si>
    <t>0281434</t>
  </si>
  <si>
    <t>26042849JG</t>
  </si>
  <si>
    <t>0285057</t>
  </si>
  <si>
    <t>2606264F09</t>
  </si>
  <si>
    <t>0281433</t>
  </si>
  <si>
    <t>26042849JF</t>
  </si>
  <si>
    <t>0284808</t>
  </si>
  <si>
    <t>2606244ETC</t>
  </si>
  <si>
    <t>0283174</t>
  </si>
  <si>
    <t>2605284C8B</t>
  </si>
  <si>
    <t>0287876</t>
  </si>
  <si>
    <t>2608194JFP</t>
  </si>
  <si>
    <t>0283674</t>
  </si>
  <si>
    <t>2606014CMF</t>
  </si>
  <si>
    <t>0283173</t>
  </si>
  <si>
    <t>2605284C8A</t>
  </si>
  <si>
    <t>0286526</t>
  </si>
  <si>
    <t>2607234HHJ</t>
  </si>
  <si>
    <t>0283673</t>
  </si>
  <si>
    <t>ASSAI 153</t>
  </si>
  <si>
    <t>2606014CME</t>
  </si>
  <si>
    <t>06057223035390</t>
  </si>
  <si>
    <t>0286525</t>
  </si>
  <si>
    <t>2607234HHI</t>
  </si>
  <si>
    <t>0283172</t>
  </si>
  <si>
    <t>2605284C89</t>
  </si>
  <si>
    <t>0284807</t>
  </si>
  <si>
    <t>2606244ETB</t>
  </si>
  <si>
    <t>0287878</t>
  </si>
  <si>
    <t>ASSAI 157</t>
  </si>
  <si>
    <t>2608194JFR</t>
  </si>
  <si>
    <t>06057223035200</t>
  </si>
  <si>
    <t>0286527</t>
  </si>
  <si>
    <t>2607234HHK</t>
  </si>
  <si>
    <t>0283686</t>
  </si>
  <si>
    <t>2606014CMR</t>
  </si>
  <si>
    <t>0285060</t>
  </si>
  <si>
    <t>2606264F0C</t>
  </si>
  <si>
    <t>0283187</t>
  </si>
  <si>
    <t>2605284C8O</t>
  </si>
  <si>
    <t>0285059</t>
  </si>
  <si>
    <t>2606264F0B</t>
  </si>
  <si>
    <t>0283188</t>
  </si>
  <si>
    <t>2605284C8P</t>
  </si>
  <si>
    <t>0284833</t>
  </si>
  <si>
    <t>2606244EU1</t>
  </si>
  <si>
    <t>0281436</t>
  </si>
  <si>
    <t>26042849JI</t>
  </si>
  <si>
    <t>0281435</t>
  </si>
  <si>
    <t>26042849JH</t>
  </si>
  <si>
    <t>0287373</t>
  </si>
  <si>
    <t>2608064J35</t>
  </si>
  <si>
    <t>0283277</t>
  </si>
  <si>
    <t>ASSAI 149</t>
  </si>
  <si>
    <t>2605284CB5</t>
  </si>
  <si>
    <t>06057223035471</t>
  </si>
  <si>
    <t>0284231</t>
  </si>
  <si>
    <t>2606124ECT</t>
  </si>
  <si>
    <t>0281489</t>
  </si>
  <si>
    <t>26042849KZ</t>
  </si>
  <si>
    <t>0284830</t>
  </si>
  <si>
    <t>2606244ETY</t>
  </si>
  <si>
    <t>0286594</t>
  </si>
  <si>
    <t>2607234HJF</t>
  </si>
  <si>
    <t>0284909</t>
  </si>
  <si>
    <t>ASSAI 168</t>
  </si>
  <si>
    <t>2606254EW5</t>
  </si>
  <si>
    <t>06057223035714</t>
  </si>
  <si>
    <t>0286563</t>
  </si>
  <si>
    <t>2607234HIK</t>
  </si>
  <si>
    <t>0284236</t>
  </si>
  <si>
    <t>2606124ECY</t>
  </si>
  <si>
    <t>0283281</t>
  </si>
  <si>
    <t>2605284CB9</t>
  </si>
  <si>
    <t>0281606</t>
  </si>
  <si>
    <t>26043049OA</t>
  </si>
  <si>
    <t>0284835</t>
  </si>
  <si>
    <t>ASSAI 166</t>
  </si>
  <si>
    <t>2606244EU3</t>
  </si>
  <si>
    <t>06057223035633</t>
  </si>
  <si>
    <t>0283190</t>
  </si>
  <si>
    <t>2605284C8R</t>
  </si>
  <si>
    <t>0283689</t>
  </si>
  <si>
    <t>2606014CMU</t>
  </si>
  <si>
    <t>0286529</t>
  </si>
  <si>
    <t>2607234HHM</t>
  </si>
  <si>
    <t>0281605</t>
  </si>
  <si>
    <t>ASSAI 167</t>
  </si>
  <si>
    <t>26043049O9</t>
  </si>
  <si>
    <t>06057223035803</t>
  </si>
  <si>
    <t>0286562</t>
  </si>
  <si>
    <t>2607234HIJ</t>
  </si>
  <si>
    <t>0283928</t>
  </si>
  <si>
    <t>2606084E4L</t>
  </si>
  <si>
    <t>0284908</t>
  </si>
  <si>
    <t>2606254EW4</t>
  </si>
  <si>
    <t>0286560</t>
  </si>
  <si>
    <t>ASSAI 154</t>
  </si>
  <si>
    <t>2607234HIH</t>
  </si>
  <si>
    <t>06057223035986</t>
  </si>
  <si>
    <t>0284905</t>
  </si>
  <si>
    <t>2606254EW1</t>
  </si>
  <si>
    <t>0284233</t>
  </si>
  <si>
    <t>2606124ECV</t>
  </si>
  <si>
    <t>0283229</t>
  </si>
  <si>
    <t>2605284C9U</t>
  </si>
  <si>
    <t>0281494</t>
  </si>
  <si>
    <t>26042849L4</t>
  </si>
  <si>
    <t>0287375</t>
  </si>
  <si>
    <t>ASSAI 161</t>
  </si>
  <si>
    <t>2608064J37</t>
  </si>
  <si>
    <t>06057223036281</t>
  </si>
  <si>
    <t>0286528</t>
  </si>
  <si>
    <t>2607234HHL</t>
  </si>
  <si>
    <t>0284834</t>
  </si>
  <si>
    <t>2606244EU2</t>
  </si>
  <si>
    <t>0281498</t>
  </si>
  <si>
    <t>26042849L8</t>
  </si>
  <si>
    <t>0284235</t>
  </si>
  <si>
    <t>2606124ECX</t>
  </si>
  <si>
    <t>0283230</t>
  </si>
  <si>
    <t>2605284C9V</t>
  </si>
  <si>
    <t>0287879</t>
  </si>
  <si>
    <t>2608194JFS</t>
  </si>
  <si>
    <t>0283231</t>
  </si>
  <si>
    <t>2605284C9W</t>
  </si>
  <si>
    <t>0285393</t>
  </si>
  <si>
    <t>2606304FC0</t>
  </si>
  <si>
    <t>0284907</t>
  </si>
  <si>
    <t>ASSAI 165</t>
  </si>
  <si>
    <t>2606254EW3</t>
  </si>
  <si>
    <t>11-3411-5212</t>
  </si>
  <si>
    <t>06057223036524</t>
  </si>
  <si>
    <t>0287880</t>
  </si>
  <si>
    <t>2608194JFT</t>
  </si>
  <si>
    <t>0281499</t>
  </si>
  <si>
    <t>26042849L9</t>
  </si>
  <si>
    <t>0286561</t>
  </si>
  <si>
    <t>2607234HII</t>
  </si>
  <si>
    <t>0283252</t>
  </si>
  <si>
    <t>2605284CAG</t>
  </si>
  <si>
    <t>0284906</t>
  </si>
  <si>
    <t>2606254EW2</t>
  </si>
  <si>
    <t>0283253</t>
  </si>
  <si>
    <t>2605284CAH</t>
  </si>
  <si>
    <t>0283688</t>
  </si>
  <si>
    <t>2606014CMT</t>
  </si>
  <si>
    <t>0287334</t>
  </si>
  <si>
    <t>2608064J22</t>
  </si>
  <si>
    <t>0286521</t>
  </si>
  <si>
    <t>ASSAI 126</t>
  </si>
  <si>
    <t>2607234HHE</t>
  </si>
  <si>
    <t>06057223024860</t>
  </si>
  <si>
    <t>0285047</t>
  </si>
  <si>
    <t>2606264EZZ</t>
  </si>
  <si>
    <t>0283163</t>
  </si>
  <si>
    <t>2605284C80</t>
  </si>
  <si>
    <t>0284827</t>
  </si>
  <si>
    <t>2606244ETV</t>
  </si>
  <si>
    <t>0281427</t>
  </si>
  <si>
    <t>26042849J9</t>
  </si>
  <si>
    <t>0285048</t>
  </si>
  <si>
    <t>2606264F00</t>
  </si>
  <si>
    <t>0283164</t>
  </si>
  <si>
    <t>2605284C81</t>
  </si>
  <si>
    <t>0287369</t>
  </si>
  <si>
    <t>2608064J31</t>
  </si>
  <si>
    <t>0283668</t>
  </si>
  <si>
    <t>2606014CM9</t>
  </si>
  <si>
    <t>0287871</t>
  </si>
  <si>
    <t>2608194JFK</t>
  </si>
  <si>
    <t>0283685</t>
  </si>
  <si>
    <t>ASSAI 123</t>
  </si>
  <si>
    <t>2606014CMQ</t>
  </si>
  <si>
    <t>06057223037334</t>
  </si>
  <si>
    <t>0287869</t>
  </si>
  <si>
    <t>2608194JFI</t>
  </si>
  <si>
    <t>0281481</t>
  </si>
  <si>
    <t>26042849KR</t>
  </si>
  <si>
    <t>0284802</t>
  </si>
  <si>
    <t>2606244ET6</t>
  </si>
  <si>
    <t>0283186</t>
  </si>
  <si>
    <t>2605284C8N</t>
  </si>
  <si>
    <t>0281480</t>
  </si>
  <si>
    <t>26042849KQ</t>
  </si>
  <si>
    <t>0283185</t>
  </si>
  <si>
    <t>2605284C8M</t>
  </si>
  <si>
    <t>0286519</t>
  </si>
  <si>
    <t>2607234HHC</t>
  </si>
  <si>
    <t>0281493</t>
  </si>
  <si>
    <t>ASSAI 151</t>
  </si>
  <si>
    <t>26042849L3</t>
  </si>
  <si>
    <t>JANDIRA</t>
  </si>
  <si>
    <t>06057223037415</t>
  </si>
  <si>
    <t>0286559</t>
  </si>
  <si>
    <t>2607234HIG</t>
  </si>
  <si>
    <t>0281492</t>
  </si>
  <si>
    <t>26042849L2</t>
  </si>
  <si>
    <t>0283927</t>
  </si>
  <si>
    <t>2606084E4K</t>
  </si>
  <si>
    <t>0281491</t>
  </si>
  <si>
    <t>26042849L1</t>
  </si>
  <si>
    <t>0284832</t>
  </si>
  <si>
    <t>2606244EU0</t>
  </si>
  <si>
    <t>0285056</t>
  </si>
  <si>
    <t>2606264F08</t>
  </si>
  <si>
    <t>0284094</t>
  </si>
  <si>
    <t>2606104E8X</t>
  </si>
  <si>
    <t>0287333</t>
  </si>
  <si>
    <t>2608064J21</t>
  </si>
  <si>
    <t>0286550</t>
  </si>
  <si>
    <t>ASSAI 86</t>
  </si>
  <si>
    <t>2607234HI7</t>
  </si>
  <si>
    <t>06057223037091</t>
  </si>
  <si>
    <t>0281740</t>
  </si>
  <si>
    <t>26043049S0</t>
  </si>
  <si>
    <t>0284824</t>
  </si>
  <si>
    <t>2606244ETS</t>
  </si>
  <si>
    <t>0283223</t>
  </si>
  <si>
    <t>2605284C9O</t>
  </si>
  <si>
    <t>0283725</t>
  </si>
  <si>
    <t>2606014CNU</t>
  </si>
  <si>
    <t>0283222</t>
  </si>
  <si>
    <t>2605284C9N</t>
  </si>
  <si>
    <t>0287392</t>
  </si>
  <si>
    <t>2608064J3O</t>
  </si>
  <si>
    <t>0287929</t>
  </si>
  <si>
    <t>2608194JH6</t>
  </si>
  <si>
    <t>0285055</t>
  </si>
  <si>
    <t>ASSAI 148</t>
  </si>
  <si>
    <t>2606264F07</t>
  </si>
  <si>
    <t>06057223036605</t>
  </si>
  <si>
    <t>0281431</t>
  </si>
  <si>
    <t>26042849JD</t>
  </si>
  <si>
    <t>0284806</t>
  </si>
  <si>
    <t>2606244ETA</t>
  </si>
  <si>
    <t>0283170</t>
  </si>
  <si>
    <t>2605284C87</t>
  </si>
  <si>
    <t>0287371</t>
  </si>
  <si>
    <t>2608064J33</t>
  </si>
  <si>
    <t>0283171</t>
  </si>
  <si>
    <t>2605284C88</t>
  </si>
  <si>
    <t>0283672</t>
  </si>
  <si>
    <t>2606014CMD</t>
  </si>
  <si>
    <t>0286524</t>
  </si>
  <si>
    <t>2607234HHH</t>
  </si>
  <si>
    <t>0285054</t>
  </si>
  <si>
    <t>ASSAI 144</t>
  </si>
  <si>
    <t>2606264F06</t>
  </si>
  <si>
    <t>06057223038225</t>
  </si>
  <si>
    <t>0287370</t>
  </si>
  <si>
    <t>2608064J32</t>
  </si>
  <si>
    <t>0281429</t>
  </si>
  <si>
    <t>26042849JB</t>
  </si>
  <si>
    <t>0286523</t>
  </si>
  <si>
    <t>2607234HHG</t>
  </si>
  <si>
    <t>0283169</t>
  </si>
  <si>
    <t>2605284C86</t>
  </si>
  <si>
    <t>0284805</t>
  </si>
  <si>
    <t>2606244ET9</t>
  </si>
  <si>
    <t>0283168</t>
  </si>
  <si>
    <t>2605284C85</t>
  </si>
  <si>
    <t>0285053</t>
  </si>
  <si>
    <t>2606264F05</t>
  </si>
  <si>
    <t>0283671</t>
  </si>
  <si>
    <t>2606014CMC</t>
  </si>
  <si>
    <t>0281430</t>
  </si>
  <si>
    <t>26042849JC</t>
  </si>
  <si>
    <t>0287875</t>
  </si>
  <si>
    <t>2608194JFO</t>
  </si>
  <si>
    <t>0286565</t>
  </si>
  <si>
    <t>ASSAI 178</t>
  </si>
  <si>
    <t>2607234HIM</t>
  </si>
  <si>
    <t>06057223039035</t>
  </si>
  <si>
    <t>0284914</t>
  </si>
  <si>
    <t>2606254EWA</t>
  </si>
  <si>
    <t>0283282</t>
  </si>
  <si>
    <t>2605284CBA</t>
  </si>
  <si>
    <t>0284237</t>
  </si>
  <si>
    <t>2606124ECZ</t>
  </si>
  <si>
    <t>0281607</t>
  </si>
  <si>
    <t>26043049OB</t>
  </si>
  <si>
    <t>0284915</t>
  </si>
  <si>
    <t>2606254EWB</t>
  </si>
  <si>
    <t>0281608</t>
  </si>
  <si>
    <t>26043049OC</t>
  </si>
  <si>
    <t>0287881</t>
  </si>
  <si>
    <t>2608194JFU</t>
  </si>
  <si>
    <t>0287336</t>
  </si>
  <si>
    <t>2608064J24</t>
  </si>
  <si>
    <t>0285052</t>
  </si>
  <si>
    <t>ASSAI 130</t>
  </si>
  <si>
    <t>2606264F04</t>
  </si>
  <si>
    <t>06057223038578</t>
  </si>
  <si>
    <t>0281487</t>
  </si>
  <si>
    <t>26042849KX</t>
  </si>
  <si>
    <t>0287874</t>
  </si>
  <si>
    <t>2608194JFN</t>
  </si>
  <si>
    <t>0287332</t>
  </si>
  <si>
    <t>2608064J20</t>
  </si>
  <si>
    <t>0284829</t>
  </si>
  <si>
    <t>2606244ETX</t>
  </si>
  <si>
    <t>0283165</t>
  </si>
  <si>
    <t>2605284C82</t>
  </si>
  <si>
    <t>0285051</t>
  </si>
  <si>
    <t>2606264F03</t>
  </si>
  <si>
    <t>0283166</t>
  </si>
  <si>
    <t>2605284C83</t>
  </si>
  <si>
    <t>0283669</t>
  </si>
  <si>
    <t>2606014CMA</t>
  </si>
  <si>
    <t>0281488</t>
  </si>
  <si>
    <t>26042849KY</t>
  </si>
  <si>
    <t>0286557</t>
  </si>
  <si>
    <t>2607234HIE</t>
  </si>
  <si>
    <t>0287337</t>
  </si>
  <si>
    <t>ASSAI 200</t>
  </si>
  <si>
    <t>2608064J25</t>
  </si>
  <si>
    <t>(11)3411-5162</t>
  </si>
  <si>
    <t>06057223042176</t>
  </si>
  <si>
    <t>0285067</t>
  </si>
  <si>
    <t>2606264F0J</t>
  </si>
  <si>
    <t>0283232</t>
  </si>
  <si>
    <t>2605284C9X</t>
  </si>
  <si>
    <t>0285066</t>
  </si>
  <si>
    <t>2606264F0I</t>
  </si>
  <si>
    <t>0279005</t>
  </si>
  <si>
    <t>26031846GT</t>
  </si>
  <si>
    <t>0284238</t>
  </si>
  <si>
    <t>2606124ED0</t>
  </si>
  <si>
    <t>0281502</t>
  </si>
  <si>
    <t>26042849LC</t>
  </si>
  <si>
    <t>0284811</t>
  </si>
  <si>
    <t>2606244ETF</t>
  </si>
  <si>
    <t>0281503</t>
  </si>
  <si>
    <t>26042849LD</t>
  </si>
  <si>
    <t>0286566</t>
  </si>
  <si>
    <t>2607234HIN</t>
  </si>
  <si>
    <t>0287884</t>
  </si>
  <si>
    <t>2608194JFX</t>
  </si>
  <si>
    <t>0284913</t>
  </si>
  <si>
    <t>ASSAI 174</t>
  </si>
  <si>
    <t>2606254EW9</t>
  </si>
  <si>
    <t>06057223041447</t>
  </si>
  <si>
    <t>0281707</t>
  </si>
  <si>
    <t>26043049R3</t>
  </si>
  <si>
    <t>0286513</t>
  </si>
  <si>
    <t>2607234HH6</t>
  </si>
  <si>
    <t>0287397</t>
  </si>
  <si>
    <t>2608064J3T</t>
  </si>
  <si>
    <t>0284912</t>
  </si>
  <si>
    <t>2606254EW8</t>
  </si>
  <si>
    <t>0281706</t>
  </si>
  <si>
    <t>26043049R2</t>
  </si>
  <si>
    <t>0283797</t>
  </si>
  <si>
    <t>2606014CPU</t>
  </si>
  <si>
    <t>0281705</t>
  </si>
  <si>
    <t>26043049R1</t>
  </si>
  <si>
    <t>0283796</t>
  </si>
  <si>
    <t>2606014CPT</t>
  </si>
  <si>
    <t>0285398</t>
  </si>
  <si>
    <t>2606304FC5</t>
  </si>
  <si>
    <t>0287335</t>
  </si>
  <si>
    <t>ASSAI 173</t>
  </si>
  <si>
    <t>2608064J23</t>
  </si>
  <si>
    <t>06057223041366</t>
  </si>
  <si>
    <t>0281500</t>
  </si>
  <si>
    <t>26042849LA</t>
  </si>
  <si>
    <t>0284911</t>
  </si>
  <si>
    <t>2606254EW7</t>
  </si>
  <si>
    <t>0281501</t>
  </si>
  <si>
    <t>26042849LB</t>
  </si>
  <si>
    <t>0284910</t>
  </si>
  <si>
    <t>2606254EW6</t>
  </si>
  <si>
    <t>0283795</t>
  </si>
  <si>
    <t>2606014CPS</t>
  </si>
  <si>
    <t>0283794</t>
  </si>
  <si>
    <t>2606014CPR</t>
  </si>
  <si>
    <t>0286564</t>
  </si>
  <si>
    <t>2607234HIL</t>
  </si>
  <si>
    <t>0287376</t>
  </si>
  <si>
    <t>ASSAI 199</t>
  </si>
  <si>
    <t>2608064J38</t>
  </si>
  <si>
    <t>06057223041528</t>
  </si>
  <si>
    <t>0283195</t>
  </si>
  <si>
    <t>2605284C8W</t>
  </si>
  <si>
    <t>0285064</t>
  </si>
  <si>
    <t>2606264F0G</t>
  </si>
  <si>
    <t>0281443</t>
  </si>
  <si>
    <t>26042849JP</t>
  </si>
  <si>
    <t>0284838</t>
  </si>
  <si>
    <t>2606244EU6</t>
  </si>
  <si>
    <t>0283196</t>
  </si>
  <si>
    <t>2605284C8X</t>
  </si>
  <si>
    <t>0285065</t>
  </si>
  <si>
    <t>2606264F0H</t>
  </si>
  <si>
    <t>0283693</t>
  </si>
  <si>
    <t>2606014CMY</t>
  </si>
  <si>
    <t>0286532</t>
  </si>
  <si>
    <t>2607234HHP</t>
  </si>
  <si>
    <t>0287883</t>
  </si>
  <si>
    <t>2608194JFW</t>
  </si>
  <si>
    <t>0286593</t>
  </si>
  <si>
    <t>ASSAI 127</t>
  </si>
  <si>
    <t>2607234HJE</t>
  </si>
  <si>
    <t>06057223042257</t>
  </si>
  <si>
    <t>0287872</t>
  </si>
  <si>
    <t>2608194JFL</t>
  </si>
  <si>
    <t>0281483</t>
  </si>
  <si>
    <t>26042849KT</t>
  </si>
  <si>
    <t>0281482</t>
  </si>
  <si>
    <t>26042849KS</t>
  </si>
  <si>
    <t>0283276</t>
  </si>
  <si>
    <t>2605284CB4</t>
  </si>
  <si>
    <t>0283275</t>
  </si>
  <si>
    <t>2605284CB3</t>
  </si>
  <si>
    <t>0285049</t>
  </si>
  <si>
    <t>2606264F01</t>
  </si>
  <si>
    <t>0284229</t>
  </si>
  <si>
    <t>2606124ECR</t>
  </si>
  <si>
    <t>0285050</t>
  </si>
  <si>
    <t>2606264F02</t>
  </si>
  <si>
    <t>0284828</t>
  </si>
  <si>
    <t>2606244ETW</t>
  </si>
  <si>
    <t>0286533</t>
  </si>
  <si>
    <t>ASSAI 203</t>
  </si>
  <si>
    <t>2607234HHQ</t>
  </si>
  <si>
    <t>06057223042338</t>
  </si>
  <si>
    <t>0287885</t>
  </si>
  <si>
    <t>2608194JFY</t>
  </si>
  <si>
    <t>0281505</t>
  </si>
  <si>
    <t>26042849LF</t>
  </si>
  <si>
    <t>0284812</t>
  </si>
  <si>
    <t>2606244ETG</t>
  </si>
  <si>
    <t>0281504</t>
  </si>
  <si>
    <t>26042849LE</t>
  </si>
  <si>
    <t>0283176</t>
  </si>
  <si>
    <t>2605284C8D</t>
  </si>
  <si>
    <t>0283175</t>
  </si>
  <si>
    <t>2605284C8C</t>
  </si>
  <si>
    <t>0283675</t>
  </si>
  <si>
    <t>2606014CMG</t>
  </si>
  <si>
    <t>0287377</t>
  </si>
  <si>
    <t>2608064J39</t>
  </si>
  <si>
    <t>0283670</t>
  </si>
  <si>
    <t>ASSAI 137</t>
  </si>
  <si>
    <t>2606014CMB</t>
  </si>
  <si>
    <t>06057223043067</t>
  </si>
  <si>
    <t>0284804</t>
  </si>
  <si>
    <t>2606244ET8</t>
  </si>
  <si>
    <t>0283167</t>
  </si>
  <si>
    <t>2605284C84</t>
  </si>
  <si>
    <t>0281428</t>
  </si>
  <si>
    <t>26042849JA</t>
  </si>
  <si>
    <t>0286522</t>
  </si>
  <si>
    <t>2607234HHF</t>
  </si>
  <si>
    <t>0287379</t>
  </si>
  <si>
    <t>ASSAI 209</t>
  </si>
  <si>
    <t>2608064J3B</t>
  </si>
  <si>
    <t>06057223043652</t>
  </si>
  <si>
    <t>0285070</t>
  </si>
  <si>
    <t>2606264F0M</t>
  </si>
  <si>
    <t>0283203</t>
  </si>
  <si>
    <t>2605284C94</t>
  </si>
  <si>
    <t>0284813</t>
  </si>
  <si>
    <t>2606244ETH</t>
  </si>
  <si>
    <t>0283698</t>
  </si>
  <si>
    <t>2606014CN3</t>
  </si>
  <si>
    <t>0285071</t>
  </si>
  <si>
    <t>2606264F0N</t>
  </si>
  <si>
    <t>0286535</t>
  </si>
  <si>
    <t>2607234HHS</t>
  </si>
  <si>
    <t>0287887</t>
  </si>
  <si>
    <t>2608194JG0</t>
  </si>
  <si>
    <t>0281609</t>
  </si>
  <si>
    <t>ASSAI 233</t>
  </si>
  <si>
    <t>26043049OD</t>
  </si>
  <si>
    <t>06057223046082</t>
  </si>
  <si>
    <t>0284240</t>
  </si>
  <si>
    <t>2606124ED2</t>
  </si>
  <si>
    <t>0286568</t>
  </si>
  <si>
    <t>2607234HIP</t>
  </si>
  <si>
    <t>0287888</t>
  </si>
  <si>
    <t>2608194JG1</t>
  </si>
  <si>
    <t>0281610</t>
  </si>
  <si>
    <t>26043049OE</t>
  </si>
  <si>
    <t>0285073</t>
  </si>
  <si>
    <t>2606264F0P</t>
  </si>
  <si>
    <t>0283283</t>
  </si>
  <si>
    <t>2605284CBB</t>
  </si>
  <si>
    <t>0284844</t>
  </si>
  <si>
    <t>2606244EUC</t>
  </si>
  <si>
    <t>0283284</t>
  </si>
  <si>
    <t>2605284CBC</t>
  </si>
  <si>
    <t>0287338</t>
  </si>
  <si>
    <t>2608064J26</t>
  </si>
  <si>
    <t>0286247</t>
  </si>
  <si>
    <t>2607214H9Y</t>
  </si>
  <si>
    <t>NF1010284844</t>
  </si>
  <si>
    <t>0285074</t>
  </si>
  <si>
    <t>ASSAI 237</t>
  </si>
  <si>
    <t>2606264F0Q</t>
  </si>
  <si>
    <t>06057223046244</t>
  </si>
  <si>
    <t>0281510</t>
  </si>
  <si>
    <t>26042849LK</t>
  </si>
  <si>
    <t>0287380</t>
  </si>
  <si>
    <t>2608064J3C</t>
  </si>
  <si>
    <t>0287889</t>
  </si>
  <si>
    <t>2608194JG2</t>
  </si>
  <si>
    <t>0283799</t>
  </si>
  <si>
    <t>2606014CPW</t>
  </si>
  <si>
    <t>0283798</t>
  </si>
  <si>
    <t>2606014CPV</t>
  </si>
  <si>
    <t>0284814</t>
  </si>
  <si>
    <t>2606244ETI</t>
  </si>
  <si>
    <t>0286536</t>
  </si>
  <si>
    <t>2607234HHT</t>
  </si>
  <si>
    <t>0284946</t>
  </si>
  <si>
    <t>ASSAI 240</t>
  </si>
  <si>
    <t>2606254EX6</t>
  </si>
  <si>
    <t>06057223046759</t>
  </si>
  <si>
    <t>0286509</t>
  </si>
  <si>
    <t>2607234HH2</t>
  </si>
  <si>
    <t>0284945</t>
  </si>
  <si>
    <t>2606254EX5</t>
  </si>
  <si>
    <t>0287395</t>
  </si>
  <si>
    <t>2608064J3R</t>
  </si>
  <si>
    <t>0283360</t>
  </si>
  <si>
    <t>2606014CDP</t>
  </si>
  <si>
    <t>0281701</t>
  </si>
  <si>
    <t>26043049QX</t>
  </si>
  <si>
    <t>0281702</t>
  </si>
  <si>
    <t>26043049QY</t>
  </si>
  <si>
    <t>0283359</t>
  </si>
  <si>
    <t>2606014CDO</t>
  </si>
  <si>
    <t>0281700</t>
  </si>
  <si>
    <t>26043049QW</t>
  </si>
  <si>
    <t>0286597</t>
  </si>
  <si>
    <t>ASSAI 208</t>
  </si>
  <si>
    <t>2607234HJI</t>
  </si>
  <si>
    <t>06057223043490</t>
  </si>
  <si>
    <t>0285069</t>
  </si>
  <si>
    <t>2606264F0L</t>
  </si>
  <si>
    <t>0287356</t>
  </si>
  <si>
    <t>2608064J2O</t>
  </si>
  <si>
    <t>0285068</t>
  </si>
  <si>
    <t>2606264F0K</t>
  </si>
  <si>
    <t>0281446</t>
  </si>
  <si>
    <t>26042849JS</t>
  </si>
  <si>
    <t>0284842</t>
  </si>
  <si>
    <t>2606244EUA</t>
  </si>
  <si>
    <t>0283697</t>
  </si>
  <si>
    <t>2606014CN2</t>
  </si>
  <si>
    <t>0283201</t>
  </si>
  <si>
    <t>2605284C92</t>
  </si>
  <si>
    <t>0283202</t>
  </si>
  <si>
    <t>2605284C93</t>
  </si>
  <si>
    <t>0281447</t>
  </si>
  <si>
    <t>26042849JT</t>
  </si>
  <si>
    <t>0287886</t>
  </si>
  <si>
    <t>2608194JFZ</t>
  </si>
  <si>
    <t>0287378</t>
  </si>
  <si>
    <t>ASSAI 205</t>
  </si>
  <si>
    <t>2608064J3A</t>
  </si>
  <si>
    <t>06057223042842</t>
  </si>
  <si>
    <t>0284841</t>
  </si>
  <si>
    <t>2606244EU9</t>
  </si>
  <si>
    <t>0283200</t>
  </si>
  <si>
    <t>2605284C91</t>
  </si>
  <si>
    <t>0283199</t>
  </si>
  <si>
    <t>2605284C90</t>
  </si>
  <si>
    <t>0283696</t>
  </si>
  <si>
    <t>2606014CN1</t>
  </si>
  <si>
    <t>0281506</t>
  </si>
  <si>
    <t>26042849LG</t>
  </si>
  <si>
    <t>0286534</t>
  </si>
  <si>
    <t>2607234HHR</t>
  </si>
  <si>
    <t>0287339</t>
  </si>
  <si>
    <t>ASSAI 244</t>
  </si>
  <si>
    <t>2608064J27</t>
  </si>
  <si>
    <t>06057223048107</t>
  </si>
  <si>
    <t>0283801</t>
  </si>
  <si>
    <t>2606014CPY</t>
  </si>
  <si>
    <t>0281612</t>
  </si>
  <si>
    <t>26043049OG</t>
  </si>
  <si>
    <t>0285075</t>
  </si>
  <si>
    <t>2606264F0R</t>
  </si>
  <si>
    <t>0281613</t>
  </si>
  <si>
    <t>26043049OH</t>
  </si>
  <si>
    <t>0284919</t>
  </si>
  <si>
    <t>2606254EWF</t>
  </si>
  <si>
    <t>0286569</t>
  </si>
  <si>
    <t>2607234HIQ</t>
  </si>
  <si>
    <t>0283800</t>
  </si>
  <si>
    <t>2606014CPX</t>
  </si>
  <si>
    <t>0284918</t>
  </si>
  <si>
    <t>2606254EWE</t>
  </si>
  <si>
    <t>0287891</t>
  </si>
  <si>
    <t>2608194JG4</t>
  </si>
  <si>
    <t>0281519</t>
  </si>
  <si>
    <t>ASSAI 265</t>
  </si>
  <si>
    <t>26042849LT</t>
  </si>
  <si>
    <t>06057223049693</t>
  </si>
  <si>
    <t>0286573</t>
  </si>
  <si>
    <t>2607234HIU</t>
  </si>
  <si>
    <t>0285080</t>
  </si>
  <si>
    <t>2606264F0W</t>
  </si>
  <si>
    <t>0287896</t>
  </si>
  <si>
    <t>2608194JG9</t>
  </si>
  <si>
    <t>0284925</t>
  </si>
  <si>
    <t>2606254EWL</t>
  </si>
  <si>
    <t>0281518</t>
  </si>
  <si>
    <t>26042849LS</t>
  </si>
  <si>
    <t>0284924</t>
  </si>
  <si>
    <t>2606254EWK</t>
  </si>
  <si>
    <t>0283254</t>
  </si>
  <si>
    <t>2605284CAI</t>
  </si>
  <si>
    <t>0283703</t>
  </si>
  <si>
    <t>2606014CN8</t>
  </si>
  <si>
    <t>0287341</t>
  </si>
  <si>
    <t>2608064J29</t>
  </si>
  <si>
    <t>0287901</t>
  </si>
  <si>
    <t>ASSAI 272</t>
  </si>
  <si>
    <t>SENDAS DISTRIBUIDORA  S/A</t>
  </si>
  <si>
    <t>2608194JGE</t>
  </si>
  <si>
    <t>06057223050276</t>
  </si>
  <si>
    <t>0285085</t>
  </si>
  <si>
    <t>2606264F11</t>
  </si>
  <si>
    <t>0283677</t>
  </si>
  <si>
    <t>2606014CMI</t>
  </si>
  <si>
    <t>0284817</t>
  </si>
  <si>
    <t>2606244ETL</t>
  </si>
  <si>
    <t>0281459</t>
  </si>
  <si>
    <t>26042849K5</t>
  </si>
  <si>
    <t>0285084</t>
  </si>
  <si>
    <t>2606264F10</t>
  </si>
  <si>
    <t>0281458</t>
  </si>
  <si>
    <t>26042849K4</t>
  </si>
  <si>
    <t>0287360</t>
  </si>
  <si>
    <t>2608064J2S</t>
  </si>
  <si>
    <t>0281457</t>
  </si>
  <si>
    <t>26042849K3</t>
  </si>
  <si>
    <t>0283676</t>
  </si>
  <si>
    <t>2606014CMH</t>
  </si>
  <si>
    <t>0286602</t>
  </si>
  <si>
    <t>2607234HJN</t>
  </si>
  <si>
    <t>0285081</t>
  </si>
  <si>
    <t>ASSAI 269</t>
  </si>
  <si>
    <t>2606264F0X</t>
  </si>
  <si>
    <t>06057223049936</t>
  </si>
  <si>
    <t>0287358</t>
  </si>
  <si>
    <t>2608064J2Q</t>
  </si>
  <si>
    <t>0281453</t>
  </si>
  <si>
    <t>26042849JZ</t>
  </si>
  <si>
    <t>0286600</t>
  </si>
  <si>
    <t>2607234HJL</t>
  </si>
  <si>
    <t>0281454</t>
  </si>
  <si>
    <t>26042849K0</t>
  </si>
  <si>
    <t>0284847</t>
  </si>
  <si>
    <t>2606244EUF</t>
  </si>
  <si>
    <t>0283704</t>
  </si>
  <si>
    <t>2606014CN9</t>
  </si>
  <si>
    <t>0283211</t>
  </si>
  <si>
    <t>2605284C9C</t>
  </si>
  <si>
    <t>0283212</t>
  </si>
  <si>
    <t>2605284C9D</t>
  </si>
  <si>
    <t>0287898</t>
  </si>
  <si>
    <t>2608194JGB</t>
  </si>
  <si>
    <t>0286510</t>
  </si>
  <si>
    <t>ASSAI 278</t>
  </si>
  <si>
    <t>2607234HH3</t>
  </si>
  <si>
    <t>06057223050861</t>
  </si>
  <si>
    <t>0283930</t>
  </si>
  <si>
    <t>2606084E4N</t>
  </si>
  <si>
    <t>0281709</t>
  </si>
  <si>
    <t>26043049R5</t>
  </si>
  <si>
    <t>0284948</t>
  </si>
  <si>
    <t>2606254EX8</t>
  </si>
  <si>
    <t>0281708</t>
  </si>
  <si>
    <t>26043049R4</t>
  </si>
  <si>
    <t>0284947</t>
  </si>
  <si>
    <t>2606254EX7</t>
  </si>
  <si>
    <t>0284090</t>
  </si>
  <si>
    <t>2606104E8T</t>
  </si>
  <si>
    <t>0287399</t>
  </si>
  <si>
    <t>2608064J3V</t>
  </si>
  <si>
    <t>0284246</t>
  </si>
  <si>
    <t>ASSAI 295</t>
  </si>
  <si>
    <t>2606124ED8</t>
  </si>
  <si>
    <t>06057223052562</t>
  </si>
  <si>
    <t>0281621</t>
  </si>
  <si>
    <t>26043049OP</t>
  </si>
  <si>
    <t>0284933</t>
  </si>
  <si>
    <t>2606254EWT</t>
  </si>
  <si>
    <t>0281620</t>
  </si>
  <si>
    <t>26043049OO</t>
  </si>
  <si>
    <t>0284932</t>
  </si>
  <si>
    <t>2606254EWS</t>
  </si>
  <si>
    <t>0283239</t>
  </si>
  <si>
    <t>2605284CA4</t>
  </si>
  <si>
    <t>0281622</t>
  </si>
  <si>
    <t>26043049OQ</t>
  </si>
  <si>
    <t>0287911</t>
  </si>
  <si>
    <t>2608194JGO</t>
  </si>
  <si>
    <t>0287359</t>
  </si>
  <si>
    <t>ASSAI 270</t>
  </si>
  <si>
    <t>2608064J2R</t>
  </si>
  <si>
    <t>06057223050004</t>
  </si>
  <si>
    <t>0285083</t>
  </si>
  <si>
    <t>2606264F0Z</t>
  </si>
  <si>
    <t>0281456</t>
  </si>
  <si>
    <t>26042849K2</t>
  </si>
  <si>
    <t>0285082</t>
  </si>
  <si>
    <t>2606264F0Y</t>
  </si>
  <si>
    <t>0283213</t>
  </si>
  <si>
    <t>2605284C9E</t>
  </si>
  <si>
    <t>0284848</t>
  </si>
  <si>
    <t>2606244EUG</t>
  </si>
  <si>
    <t>0281455</t>
  </si>
  <si>
    <t>26042849K1</t>
  </si>
  <si>
    <t>0287899</t>
  </si>
  <si>
    <t>2608194JGC</t>
  </si>
  <si>
    <t>0283214</t>
  </si>
  <si>
    <t>2605284C9F</t>
  </si>
  <si>
    <t>0283705</t>
  </si>
  <si>
    <t>2606014CNA</t>
  </si>
  <si>
    <t>0286601</t>
  </si>
  <si>
    <t>2607234HJM</t>
  </si>
  <si>
    <t>0284849</t>
  </si>
  <si>
    <t>ASSAI 273</t>
  </si>
  <si>
    <t>2606244EUH</t>
  </si>
  <si>
    <t>06057223050357</t>
  </si>
  <si>
    <t>0287902</t>
  </si>
  <si>
    <t>2608194JGF</t>
  </si>
  <si>
    <t>0283679</t>
  </si>
  <si>
    <t>2606014CMK</t>
  </si>
  <si>
    <t>0286603</t>
  </si>
  <si>
    <t>2607234HJO</t>
  </si>
  <si>
    <t>0281460</t>
  </si>
  <si>
    <t>26042849K6</t>
  </si>
  <si>
    <t>0285086</t>
  </si>
  <si>
    <t>2606264F12</t>
  </si>
  <si>
    <t>0283678</t>
  </si>
  <si>
    <t>2606014CMJ</t>
  </si>
  <si>
    <t>0287361</t>
  </si>
  <si>
    <t>2608064J2T</t>
  </si>
  <si>
    <t>0286607</t>
  </si>
  <si>
    <t>ASSAI 285</t>
  </si>
  <si>
    <t>2607234HJS</t>
  </si>
  <si>
    <t>06057223051671</t>
  </si>
  <si>
    <t>0285094</t>
  </si>
  <si>
    <t>2606264F1A</t>
  </si>
  <si>
    <t>0281618</t>
  </si>
  <si>
    <t>26043049OM</t>
  </si>
  <si>
    <t>0284854</t>
  </si>
  <si>
    <t>2606244EUM</t>
  </si>
  <si>
    <t>0283182</t>
  </si>
  <si>
    <t>2605284C8J</t>
  </si>
  <si>
    <t>0285093</t>
  </si>
  <si>
    <t>2606264F19</t>
  </si>
  <si>
    <t>0281619</t>
  </si>
  <si>
    <t>26043049ON</t>
  </si>
  <si>
    <t>0287365</t>
  </si>
  <si>
    <t>2608064J2X</t>
  </si>
  <si>
    <t>0283183</t>
  </si>
  <si>
    <t>2605284C8K</t>
  </si>
  <si>
    <t>0287910</t>
  </si>
  <si>
    <t>2608194JGN</t>
  </si>
  <si>
    <t>0284818</t>
  </si>
  <si>
    <t>ASSAI 274</t>
  </si>
  <si>
    <t>2606244ETM</t>
  </si>
  <si>
    <t>06057223050438</t>
  </si>
  <si>
    <t>0287383</t>
  </si>
  <si>
    <t>2608064J3F</t>
  </si>
  <si>
    <t>0281525</t>
  </si>
  <si>
    <t>26042849LZ</t>
  </si>
  <si>
    <t>0287903</t>
  </si>
  <si>
    <t>2608194JGG</t>
  </si>
  <si>
    <t>0283680</t>
  </si>
  <si>
    <t>2606014CML</t>
  </si>
  <si>
    <t>0285087</t>
  </si>
  <si>
    <t>2606264F13</t>
  </si>
  <si>
    <t>0283681</t>
  </si>
  <si>
    <t>2606014CMM</t>
  </si>
  <si>
    <t>0285088</t>
  </si>
  <si>
    <t>2606264F14</t>
  </si>
  <si>
    <t>0286539</t>
  </si>
  <si>
    <t>2607234HHW</t>
  </si>
  <si>
    <t>0287905</t>
  </si>
  <si>
    <t>ASSAI 276</t>
  </si>
  <si>
    <t>2608194JGI</t>
  </si>
  <si>
    <t>06057223050608</t>
  </si>
  <si>
    <t>0281464</t>
  </si>
  <si>
    <t>26042849KA</t>
  </si>
  <si>
    <t>0284851</t>
  </si>
  <si>
    <t>2606244EUJ</t>
  </si>
  <si>
    <t>0283683</t>
  </si>
  <si>
    <t>2606014CMO</t>
  </si>
  <si>
    <t>0285091</t>
  </si>
  <si>
    <t>2606264F17</t>
  </si>
  <si>
    <t>0283179</t>
  </si>
  <si>
    <t>2605284C8G</t>
  </si>
  <si>
    <t>0286605</t>
  </si>
  <si>
    <t>2607234HJQ</t>
  </si>
  <si>
    <t>0283178</t>
  </si>
  <si>
    <t>2605284C8F</t>
  </si>
  <si>
    <t>0281466</t>
  </si>
  <si>
    <t>26042849KC</t>
  </si>
  <si>
    <t>0281465</t>
  </si>
  <si>
    <t>26042849KB</t>
  </si>
  <si>
    <t>0287363</t>
  </si>
  <si>
    <t>2608064J2V</t>
  </si>
  <si>
    <t>0284934</t>
  </si>
  <si>
    <t>ASSAI 303</t>
  </si>
  <si>
    <t>2606254EWU</t>
  </si>
  <si>
    <t>06057223053704</t>
  </si>
  <si>
    <t>0287129</t>
  </si>
  <si>
    <t>2608034ISU</t>
  </si>
  <si>
    <t>0284935</t>
  </si>
  <si>
    <t>2606254EWV</t>
  </si>
  <si>
    <t>0283287</t>
  </si>
  <si>
    <t>2605284CBF</t>
  </si>
  <si>
    <t>0284247</t>
  </si>
  <si>
    <t>2606124ED9</t>
  </si>
  <si>
    <t>0281626</t>
  </si>
  <si>
    <t>26043049OU</t>
  </si>
  <si>
    <t>0281625</t>
  </si>
  <si>
    <t>26043049OT</t>
  </si>
  <si>
    <t>0281624</t>
  </si>
  <si>
    <t>26043049OS</t>
  </si>
  <si>
    <t>0287912</t>
  </si>
  <si>
    <t>2608194JGP</t>
  </si>
  <si>
    <t>0286579</t>
  </si>
  <si>
    <t>ASSAI 313</t>
  </si>
  <si>
    <t>2607234HJ0</t>
  </si>
  <si>
    <t>06057223054697</t>
  </si>
  <si>
    <t>0284938</t>
  </si>
  <si>
    <t>2606254EWY</t>
  </si>
  <si>
    <t>0281629</t>
  </si>
  <si>
    <t>26043049OX</t>
  </si>
  <si>
    <t>0283802</t>
  </si>
  <si>
    <t>2606014CPZ</t>
  </si>
  <si>
    <t>0281630</t>
  </si>
  <si>
    <t>26043049OY</t>
  </si>
  <si>
    <t>0283803</t>
  </si>
  <si>
    <t>2606014CQ0</t>
  </si>
  <si>
    <t>0287914</t>
  </si>
  <si>
    <t>2608194JGR</t>
  </si>
  <si>
    <t>0284939</t>
  </si>
  <si>
    <t>2606254EWZ</t>
  </si>
  <si>
    <t>0287344</t>
  </si>
  <si>
    <t>2608064J2C</t>
  </si>
  <si>
    <t>0279719</t>
  </si>
  <si>
    <t>ASSAI 263</t>
  </si>
  <si>
    <t>06057223049260</t>
  </si>
  <si>
    <t>0287895</t>
  </si>
  <si>
    <t>2608194JG8</t>
  </si>
  <si>
    <t>0284923</t>
  </si>
  <si>
    <t>2606254EWJ</t>
  </si>
  <si>
    <t>0287340</t>
  </si>
  <si>
    <t>2608064J28</t>
  </si>
  <si>
    <t>0284922</t>
  </si>
  <si>
    <t>2606254EWI</t>
  </si>
  <si>
    <t>0283286</t>
  </si>
  <si>
    <t>2605284CBE</t>
  </si>
  <si>
    <t>0284243</t>
  </si>
  <si>
    <t>2606124ED5</t>
  </si>
  <si>
    <t>0283285</t>
  </si>
  <si>
    <t>2605284CBD</t>
  </si>
  <si>
    <t>0281516</t>
  </si>
  <si>
    <t>26042849LQ</t>
  </si>
  <si>
    <t>0281517</t>
  </si>
  <si>
    <t>26042849LR</t>
  </si>
  <si>
    <t>0286572</t>
  </si>
  <si>
    <t>2607234HIT</t>
  </si>
  <si>
    <t>0287384</t>
  </si>
  <si>
    <t>ASSAI 280</t>
  </si>
  <si>
    <t>2608064J3G</t>
  </si>
  <si>
    <t>06057223051086</t>
  </si>
  <si>
    <t>0284928</t>
  </si>
  <si>
    <t>2606254EWO</t>
  </si>
  <si>
    <t>0281615</t>
  </si>
  <si>
    <t>26043049OJ</t>
  </si>
  <si>
    <t>0284929</t>
  </si>
  <si>
    <t>2606254EWP</t>
  </si>
  <si>
    <t>0283255</t>
  </si>
  <si>
    <t>2605284CAJ</t>
  </si>
  <si>
    <t>0285092</t>
  </si>
  <si>
    <t>2606264F18</t>
  </si>
  <si>
    <t>0283707</t>
  </si>
  <si>
    <t>2606014CNC</t>
  </si>
  <si>
    <t>0286540</t>
  </si>
  <si>
    <t>2607234HHX</t>
  </si>
  <si>
    <t>0283256</t>
  </si>
  <si>
    <t>2605284CAK</t>
  </si>
  <si>
    <t>0287907</t>
  </si>
  <si>
    <t>2608194JGK</t>
  </si>
  <si>
    <t>0285077</t>
  </si>
  <si>
    <t>ASSAI 254</t>
  </si>
  <si>
    <t>2606264F0T</t>
  </si>
  <si>
    <t>06057223048298</t>
  </si>
  <si>
    <t>0286598</t>
  </si>
  <si>
    <t>2607234HJJ</t>
  </si>
  <si>
    <t>0281450</t>
  </si>
  <si>
    <t>26042849JW</t>
  </si>
  <si>
    <t>0287893</t>
  </si>
  <si>
    <t>2608194JG6</t>
  </si>
  <si>
    <t>0283700</t>
  </si>
  <si>
    <t>2606014CN5</t>
  </si>
  <si>
    <t>0284845</t>
  </si>
  <si>
    <t>2606244EUD</t>
  </si>
  <si>
    <t>0283206</t>
  </si>
  <si>
    <t>2605284C97</t>
  </si>
  <si>
    <t>0283205</t>
  </si>
  <si>
    <t>2605284C96</t>
  </si>
  <si>
    <t>0281451</t>
  </si>
  <si>
    <t>26042849JX</t>
  </si>
  <si>
    <t>0281449</t>
  </si>
  <si>
    <t>26042849JV</t>
  </si>
  <si>
    <t>0287357</t>
  </si>
  <si>
    <t>2608064J2P</t>
  </si>
  <si>
    <t>0287904</t>
  </si>
  <si>
    <t>ASSAI 275</t>
  </si>
  <si>
    <t>2608194JGH</t>
  </si>
  <si>
    <t>06057223050519</t>
  </si>
  <si>
    <t>0285089</t>
  </si>
  <si>
    <t>2606264F15</t>
  </si>
  <si>
    <t>0281462</t>
  </si>
  <si>
    <t>26042849K8</t>
  </si>
  <si>
    <t>0284850</t>
  </si>
  <si>
    <t>2606244EUI</t>
  </si>
  <si>
    <t>0283177</t>
  </si>
  <si>
    <t>2605284C8E</t>
  </si>
  <si>
    <t>0285090</t>
  </si>
  <si>
    <t>2606264F16</t>
  </si>
  <si>
    <t>0281461</t>
  </si>
  <si>
    <t>26042849K7</t>
  </si>
  <si>
    <t>0287362</t>
  </si>
  <si>
    <t>2608064J2U</t>
  </si>
  <si>
    <t>0283682</t>
  </si>
  <si>
    <t>2606014CMN</t>
  </si>
  <si>
    <t>0281463</t>
  </si>
  <si>
    <t>26042849K9</t>
  </si>
  <si>
    <t>0286604</t>
  </si>
  <si>
    <t>2607234HJP</t>
  </si>
  <si>
    <t>0284815</t>
  </si>
  <si>
    <t>ASSAI 258</t>
  </si>
  <si>
    <t>2606244ETJ</t>
  </si>
  <si>
    <t>06057223048611</t>
  </si>
  <si>
    <t>0287381</t>
  </si>
  <si>
    <t>2608064J3D</t>
  </si>
  <si>
    <t>0283207</t>
  </si>
  <si>
    <t>2605284C98</t>
  </si>
  <si>
    <t>0286537</t>
  </si>
  <si>
    <t>2607234HHU</t>
  </si>
  <si>
    <t>0283701</t>
  </si>
  <si>
    <t>2606014CN6</t>
  </si>
  <si>
    <t>0285078</t>
  </si>
  <si>
    <t>2606264F0U</t>
  </si>
  <si>
    <t>0281514</t>
  </si>
  <si>
    <t>26042849LO</t>
  </si>
  <si>
    <t>0281515</t>
  </si>
  <si>
    <t>26042849LP</t>
  </si>
  <si>
    <t>0283208</t>
  </si>
  <si>
    <t>2605284C99</t>
  </si>
  <si>
    <t>0287894</t>
  </si>
  <si>
    <t>2608194JG7</t>
  </si>
  <si>
    <t>0286606</t>
  </si>
  <si>
    <t>ASSAI 279</t>
  </si>
  <si>
    <t>SENDAS DISTRIBUIODRES S/A</t>
  </si>
  <si>
    <t>2607234HJR</t>
  </si>
  <si>
    <t>06057223050942</t>
  </si>
  <si>
    <t>0284852</t>
  </si>
  <si>
    <t>2606244EUK</t>
  </si>
  <si>
    <t>0283180</t>
  </si>
  <si>
    <t>2605284C8H</t>
  </si>
  <si>
    <t>0287906</t>
  </si>
  <si>
    <t>2608194JGJ</t>
  </si>
  <si>
    <t>0283181</t>
  </si>
  <si>
    <t>2605284C8I</t>
  </si>
  <si>
    <t>0281468</t>
  </si>
  <si>
    <t>26042849KE</t>
  </si>
  <si>
    <t>0281467</t>
  </si>
  <si>
    <t>26042849KD</t>
  </si>
  <si>
    <t>0287364</t>
  </si>
  <si>
    <t>2608064J2W</t>
  </si>
  <si>
    <t>0284816</t>
  </si>
  <si>
    <t>ASSAI 271</t>
  </si>
  <si>
    <t>2606244ETK</t>
  </si>
  <si>
    <t>06057223050195</t>
  </si>
  <si>
    <t>0287900</t>
  </si>
  <si>
    <t>2608194JGD</t>
  </si>
  <si>
    <t>0283706</t>
  </si>
  <si>
    <t>2606014CNB</t>
  </si>
  <si>
    <t>0287382</t>
  </si>
  <si>
    <t>2608064J3E</t>
  </si>
  <si>
    <t>0283216</t>
  </si>
  <si>
    <t>2605284C9H</t>
  </si>
  <si>
    <t>0281524</t>
  </si>
  <si>
    <t>26042849LY</t>
  </si>
  <si>
    <t>0283215</t>
  </si>
  <si>
    <t>2605284C9G</t>
  </si>
  <si>
    <t>0281523</t>
  </si>
  <si>
    <t>26042849LX</t>
  </si>
  <si>
    <t>0286538</t>
  </si>
  <si>
    <t>2607234HHV</t>
  </si>
  <si>
    <t>0287897</t>
  </si>
  <si>
    <t>ASSAI 267</t>
  </si>
  <si>
    <t>2608194JGA</t>
  </si>
  <si>
    <t>06057223049855</t>
  </si>
  <si>
    <t>0287342</t>
  </si>
  <si>
    <t>2608064J2A</t>
  </si>
  <si>
    <t>0283237</t>
  </si>
  <si>
    <t>2605284CA2</t>
  </si>
  <si>
    <t>0286574</t>
  </si>
  <si>
    <t>2607234HIV</t>
  </si>
  <si>
    <t>0283236</t>
  </si>
  <si>
    <t>2605284CA1</t>
  </si>
  <si>
    <t>0281520</t>
  </si>
  <si>
    <t>26042849LU</t>
  </si>
  <si>
    <t>0281521</t>
  </si>
  <si>
    <t>26042849LV</t>
  </si>
  <si>
    <t>0281522</t>
  </si>
  <si>
    <t>26042849LW</t>
  </si>
  <si>
    <t>0284926</t>
  </si>
  <si>
    <t>2606254EWM</t>
  </si>
  <si>
    <t>0284927</t>
  </si>
  <si>
    <t>2606254EWN</t>
  </si>
  <si>
    <t>0284244</t>
  </si>
  <si>
    <t>2606124ED6</t>
  </si>
  <si>
    <t>0283702</t>
  </si>
  <si>
    <t>ASSAI 260</t>
  </si>
  <si>
    <t>2606014CN7</t>
  </si>
  <si>
    <t>06057223048964</t>
  </si>
  <si>
    <t>0284846</t>
  </si>
  <si>
    <t>2606244EUE</t>
  </si>
  <si>
    <t>0283210</t>
  </si>
  <si>
    <t>2605284C9B</t>
  </si>
  <si>
    <t>0285079</t>
  </si>
  <si>
    <t>2606264F0V</t>
  </si>
  <si>
    <t>0283209</t>
  </si>
  <si>
    <t>2605284C9A</t>
  </si>
  <si>
    <t>0281452</t>
  </si>
  <si>
    <t>26042849JY</t>
  </si>
  <si>
    <t>0286599</t>
  </si>
  <si>
    <t>2607234HJK</t>
  </si>
  <si>
    <t>0283238</t>
  </si>
  <si>
    <t>ASSAI 281</t>
  </si>
  <si>
    <t>2605284CA3</t>
  </si>
  <si>
    <t>06057223051167</t>
  </si>
  <si>
    <t>0286575</t>
  </si>
  <si>
    <t>2607234HIW</t>
  </si>
  <si>
    <t>0284930</t>
  </si>
  <si>
    <t>2606254EWQ</t>
  </si>
  <si>
    <t>0284931</t>
  </si>
  <si>
    <t>2606254EWR</t>
  </si>
  <si>
    <t>0284245</t>
  </si>
  <si>
    <t>2606124ED7</t>
  </si>
  <si>
    <t>0287908</t>
  </si>
  <si>
    <t>2608194JGL</t>
  </si>
  <si>
    <t>0284853</t>
  </si>
  <si>
    <t>ASSAI 282</t>
  </si>
  <si>
    <t>2606244EUL</t>
  </si>
  <si>
    <t>06057223051248</t>
  </si>
  <si>
    <t>0287909</t>
  </si>
  <si>
    <t>2608194JGM</t>
  </si>
  <si>
    <t>0286576</t>
  </si>
  <si>
    <t>2607234HIX</t>
  </si>
  <si>
    <t>0283708</t>
  </si>
  <si>
    <t>2606014CND</t>
  </si>
  <si>
    <t>0283257</t>
  </si>
  <si>
    <t>2605284CAL</t>
  </si>
  <si>
    <t>0284950</t>
  </si>
  <si>
    <t>ASSAI 301</t>
  </si>
  <si>
    <t>2606254EXA</t>
  </si>
  <si>
    <t>06057223053534</t>
  </si>
  <si>
    <t>0287396</t>
  </si>
  <si>
    <t>2608064J3S</t>
  </si>
  <si>
    <t>0286511</t>
  </si>
  <si>
    <t>2607234HH4</t>
  </si>
  <si>
    <t>0281703</t>
  </si>
  <si>
    <t>26043049QZ</t>
  </si>
  <si>
    <t>0284949</t>
  </si>
  <si>
    <t>2606254EX9</t>
  </si>
  <si>
    <t>0283361</t>
  </si>
  <si>
    <t>2606014CDQ</t>
  </si>
  <si>
    <t>0283362</t>
  </si>
  <si>
    <t>2606014CDR</t>
  </si>
  <si>
    <t>0285394</t>
  </si>
  <si>
    <t>2606304FC1</t>
  </si>
  <si>
    <t>0286578</t>
  </si>
  <si>
    <t>ASSAI 312</t>
  </si>
  <si>
    <t>2607234HIZ</t>
  </si>
  <si>
    <t>06057223054506</t>
  </si>
  <si>
    <t>0284248</t>
  </si>
  <si>
    <t>2606124EDA</t>
  </si>
  <si>
    <t>0281628</t>
  </si>
  <si>
    <t>26043049OW</t>
  </si>
  <si>
    <t>0284936</t>
  </si>
  <si>
    <t>2606254EWW</t>
  </si>
  <si>
    <t>0283240</t>
  </si>
  <si>
    <t>2605284CA5</t>
  </si>
  <si>
    <t>0284937</t>
  </si>
  <si>
    <t>2606254EWX</t>
  </si>
  <si>
    <t>0283241</t>
  </si>
  <si>
    <t>2605284CA6</t>
  </si>
  <si>
    <t>0287343</t>
  </si>
  <si>
    <t>2608064J2B</t>
  </si>
  <si>
    <t>0287913</t>
  </si>
  <si>
    <t>2608194JGQ</t>
  </si>
  <si>
    <t>0284921</t>
  </si>
  <si>
    <t>ASSAI 246</t>
  </si>
  <si>
    <t>2606254EWH</t>
  </si>
  <si>
    <t>06057223047135</t>
  </si>
  <si>
    <t>0287892</t>
  </si>
  <si>
    <t>2608194JG5</t>
  </si>
  <si>
    <t>0284920</t>
  </si>
  <si>
    <t>2606254EWG</t>
  </si>
  <si>
    <t>0281512</t>
  </si>
  <si>
    <t>26042849LM</t>
  </si>
  <si>
    <t>0284241</t>
  </si>
  <si>
    <t>2606124ED3</t>
  </si>
  <si>
    <t>0281511</t>
  </si>
  <si>
    <t>26042849LL</t>
  </si>
  <si>
    <t>0283234</t>
  </si>
  <si>
    <t>2605284C9Z</t>
  </si>
  <si>
    <t>0281513</t>
  </si>
  <si>
    <t>26042849LN</t>
  </si>
  <si>
    <t>0286570</t>
  </si>
  <si>
    <t>2607234HIR</t>
  </si>
  <si>
    <t>0283290</t>
  </si>
  <si>
    <t>ASSAI 337</t>
  </si>
  <si>
    <t>2605284CBI</t>
  </si>
  <si>
    <t>BARUERI</t>
  </si>
  <si>
    <t>11-6440-8723</t>
  </si>
  <si>
    <t>06057223056630</t>
  </si>
  <si>
    <t>0286542</t>
  </si>
  <si>
    <t>2607234HHZ</t>
  </si>
  <si>
    <t>0281633</t>
  </si>
  <si>
    <t>26043049P1</t>
  </si>
  <si>
    <t>0284857</t>
  </si>
  <si>
    <t>2606244EUP</t>
  </si>
  <si>
    <t>0281634</t>
  </si>
  <si>
    <t>26043049P2</t>
  </si>
  <si>
    <t>0284250</t>
  </si>
  <si>
    <t>2606124EDC</t>
  </si>
  <si>
    <t>0283291</t>
  </si>
  <si>
    <t>2605284CBJ</t>
  </si>
  <si>
    <t>0285099</t>
  </si>
  <si>
    <t>2606264F1F</t>
  </si>
  <si>
    <t>0287385</t>
  </si>
  <si>
    <t>2608064J3H</t>
  </si>
  <si>
    <t>0286515</t>
  </si>
  <si>
    <t>ASSAI 327</t>
  </si>
  <si>
    <t>2607234HH8</t>
  </si>
  <si>
    <t>06057223056800</t>
  </si>
  <si>
    <t>0281711</t>
  </si>
  <si>
    <t>26043049R7</t>
  </si>
  <si>
    <t>0283932</t>
  </si>
  <si>
    <t>2606084E4P</t>
  </si>
  <si>
    <t>0287915</t>
  </si>
  <si>
    <t>2608194JGS</t>
  </si>
  <si>
    <t>0285396</t>
  </si>
  <si>
    <t>2606304FC3</t>
  </si>
  <si>
    <t>0285397</t>
  </si>
  <si>
    <t>2606304FC4</t>
  </si>
  <si>
    <t>0281632</t>
  </si>
  <si>
    <t>ASSAI 336</t>
  </si>
  <si>
    <t>26043049P0</t>
  </si>
  <si>
    <t>06057223056479</t>
  </si>
  <si>
    <t>0284249</t>
  </si>
  <si>
    <t>2606124EDB</t>
  </si>
  <si>
    <t>0287916</t>
  </si>
  <si>
    <t>2608194JGT</t>
  </si>
  <si>
    <t>0286580</t>
  </si>
  <si>
    <t>2607234HJ1</t>
  </si>
  <si>
    <t>0283289</t>
  </si>
  <si>
    <t>2605284CBH</t>
  </si>
  <si>
    <t>0285096</t>
  </si>
  <si>
    <t>2606264F1C</t>
  </si>
  <si>
    <t>0283288</t>
  </si>
  <si>
    <t>2605284CBG</t>
  </si>
  <si>
    <t>0285097</t>
  </si>
  <si>
    <t>2606264F1D</t>
  </si>
  <si>
    <t>0285098</t>
  </si>
  <si>
    <t>2606264F1E</t>
  </si>
  <si>
    <t>0287345</t>
  </si>
  <si>
    <t>2608064J2D</t>
  </si>
  <si>
    <t>0286514</t>
  </si>
  <si>
    <t>ASSAI 326</t>
  </si>
  <si>
    <t>2607234HH7</t>
  </si>
  <si>
    <t>06057223055901</t>
  </si>
  <si>
    <t>0281710</t>
  </si>
  <si>
    <t>26043049R6</t>
  </si>
  <si>
    <t>0283931</t>
  </si>
  <si>
    <t>2606084E4O</t>
  </si>
  <si>
    <t>0287398</t>
  </si>
  <si>
    <t>2608064J3U</t>
  </si>
  <si>
    <t>0284095</t>
  </si>
  <si>
    <t>2606104E8Y</t>
  </si>
  <si>
    <t>0285395</t>
  </si>
  <si>
    <t>2606304FC2</t>
  </si>
  <si>
    <t>0281641</t>
  </si>
  <si>
    <t>ASSAI 350</t>
  </si>
  <si>
    <t>26043049P9</t>
  </si>
  <si>
    <t>06057223057793</t>
  </si>
  <si>
    <t>0287387</t>
  </si>
  <si>
    <t>2608064J3J</t>
  </si>
  <si>
    <t>0281642</t>
  </si>
  <si>
    <t>26043049PA</t>
  </si>
  <si>
    <t>0285102</t>
  </si>
  <si>
    <t>2606264F1I</t>
  </si>
  <si>
    <t>0283218</t>
  </si>
  <si>
    <t>2605284C9J</t>
  </si>
  <si>
    <t>0283714</t>
  </si>
  <si>
    <t>2606014CNJ</t>
  </si>
  <si>
    <t>0285103</t>
  </si>
  <si>
    <t>2606264F1J</t>
  </si>
  <si>
    <t>0286545</t>
  </si>
  <si>
    <t>2607234HI2</t>
  </si>
  <si>
    <t>0285101</t>
  </si>
  <si>
    <t>ASSAI 349</t>
  </si>
  <si>
    <t>2606264F1H</t>
  </si>
  <si>
    <t>06057223057874</t>
  </si>
  <si>
    <t>0286544</t>
  </si>
  <si>
    <t>2607234HI1</t>
  </si>
  <si>
    <t>0283713</t>
  </si>
  <si>
    <t>2606014CNI</t>
  </si>
  <si>
    <t>0283217</t>
  </si>
  <si>
    <t>2605284C9I</t>
  </si>
  <si>
    <t>0281639</t>
  </si>
  <si>
    <t>26043049P7</t>
  </si>
  <si>
    <t>0281640</t>
  </si>
  <si>
    <t>26043049P8</t>
  </si>
  <si>
    <t>0287386</t>
  </si>
  <si>
    <t>2608064J3I</t>
  </si>
  <si>
    <t>0281637</t>
  </si>
  <si>
    <t>ASSAI 343</t>
  </si>
  <si>
    <t>26043049P5</t>
  </si>
  <si>
    <t>06057223057360</t>
  </si>
  <si>
    <t>0284251</t>
  </si>
  <si>
    <t>2606124EDD</t>
  </si>
  <si>
    <t>0283242</t>
  </si>
  <si>
    <t>2605284CA7</t>
  </si>
  <si>
    <t>0285100</t>
  </si>
  <si>
    <t>2606264F1G</t>
  </si>
  <si>
    <t>0281638</t>
  </si>
  <si>
    <t>26043049P6</t>
  </si>
  <si>
    <t>0286581</t>
  </si>
  <si>
    <t>2607234HJ2</t>
  </si>
  <si>
    <t>0281636</t>
  </si>
  <si>
    <t>ASSAI 339</t>
  </si>
  <si>
    <t>26043049P4</t>
  </si>
  <si>
    <t>06057223056711</t>
  </si>
  <si>
    <t>0286543</t>
  </si>
  <si>
    <t>2607234HI0</t>
  </si>
  <si>
    <t>0283184</t>
  </si>
  <si>
    <t>2605284C8L</t>
  </si>
  <si>
    <t>0281635</t>
  </si>
  <si>
    <t>26043049P3</t>
  </si>
  <si>
    <t>0284819</t>
  </si>
  <si>
    <t>2606244ETN</t>
  </si>
  <si>
    <t>0281643</t>
  </si>
  <si>
    <t>ASSAI 351</t>
  </si>
  <si>
    <t>26043049PB</t>
  </si>
  <si>
    <t>06057223057955</t>
  </si>
  <si>
    <t>0283804</t>
  </si>
  <si>
    <t>2606014CQ1</t>
  </si>
  <si>
    <t>0285104</t>
  </si>
  <si>
    <t>2606264F1K</t>
  </si>
  <si>
    <t>0286582</t>
  </si>
  <si>
    <t>2607234HJ3</t>
  </si>
  <si>
    <t>0285105</t>
  </si>
  <si>
    <t>ASSAI 354</t>
  </si>
  <si>
    <t>2606264F1L</t>
  </si>
  <si>
    <t>06057223058250</t>
  </si>
  <si>
    <t>0286583</t>
  </si>
  <si>
    <t>2607234HJ4</t>
  </si>
  <si>
    <t>0284252</t>
  </si>
  <si>
    <t>2606124EDE</t>
  </si>
  <si>
    <t>0283243</t>
  </si>
  <si>
    <t>2605284CA8</t>
  </si>
  <si>
    <t>0283219</t>
  </si>
  <si>
    <t>ASSAI 357</t>
  </si>
  <si>
    <t>2605284C9K</t>
  </si>
  <si>
    <t>06057223058927</t>
  </si>
  <si>
    <t>0283712</t>
  </si>
  <si>
    <t>ASSAI 344</t>
  </si>
  <si>
    <t>2606014CNH</t>
  </si>
  <si>
    <t>06057223057521</t>
  </si>
  <si>
    <t>0017297</t>
  </si>
  <si>
    <t>DIMACOL 2</t>
  </si>
  <si>
    <t>V.S.  DISTRIBUIDORA LTDA</t>
  </si>
  <si>
    <t>2607300MUF</t>
  </si>
  <si>
    <t>1754/1</t>
  </si>
  <si>
    <t>CACULE</t>
  </si>
  <si>
    <t>77 3455 3100</t>
  </si>
  <si>
    <t>0014344</t>
  </si>
  <si>
    <t>2607300D3W</t>
  </si>
  <si>
    <t>1754/2</t>
  </si>
  <si>
    <t>0016969</t>
  </si>
  <si>
    <t>HIPER SP</t>
  </si>
  <si>
    <t>ROBERTO ALMEIDA DOS SANTOS LTDA</t>
  </si>
  <si>
    <t>2606170MFI</t>
  </si>
  <si>
    <t>CRUZ DAS ALMAS</t>
  </si>
  <si>
    <t>75 3621 5266</t>
  </si>
  <si>
    <t>0017367</t>
  </si>
  <si>
    <t>DIST SAO ROQ</t>
  </si>
  <si>
    <t>DISTRIBUIDORA DE PRODUTOS ALIMENTICIOS SAO ROQUE LTDA</t>
  </si>
  <si>
    <t>2607310MVV</t>
  </si>
  <si>
    <t>4185/1</t>
  </si>
  <si>
    <t>(75) 2102 3039</t>
  </si>
  <si>
    <t>03705630000664</t>
  </si>
  <si>
    <t>0017147</t>
  </si>
  <si>
    <t>2606300MK2</t>
  </si>
  <si>
    <t>693215/1</t>
  </si>
  <si>
    <t>0017345</t>
  </si>
  <si>
    <t>2607310MV9</t>
  </si>
  <si>
    <t>1988/1</t>
  </si>
  <si>
    <t>0014277</t>
  </si>
  <si>
    <t>2606300D03</t>
  </si>
  <si>
    <t>693215/2</t>
  </si>
  <si>
    <t>0014377</t>
  </si>
  <si>
    <t>2607310D4S</t>
  </si>
  <si>
    <t>4185/2</t>
  </si>
  <si>
    <t>0014363</t>
  </si>
  <si>
    <t>2607310D4E</t>
  </si>
  <si>
    <t>1988/2</t>
  </si>
  <si>
    <t>0014376</t>
  </si>
  <si>
    <t>DIST SAO RO2</t>
  </si>
  <si>
    <t>2607310D4R</t>
  </si>
  <si>
    <t>4180/2</t>
  </si>
  <si>
    <t>75 2102 3039</t>
  </si>
  <si>
    <t>03705630000311</t>
  </si>
  <si>
    <t>0014279</t>
  </si>
  <si>
    <t>2606300D05</t>
  </si>
  <si>
    <t>693390/2</t>
  </si>
  <si>
    <t>0014286</t>
  </si>
  <si>
    <t>2607060D2D</t>
  </si>
  <si>
    <t>0017365</t>
  </si>
  <si>
    <t>2607310MVT</t>
  </si>
  <si>
    <t>4180/1</t>
  </si>
  <si>
    <t>0017149</t>
  </si>
  <si>
    <t>2606300MK4</t>
  </si>
  <si>
    <t>693390/1</t>
  </si>
  <si>
    <t>0016967</t>
  </si>
  <si>
    <t>2606170MFG</t>
  </si>
  <si>
    <t>0286880</t>
  </si>
  <si>
    <t>COOP PRATA</t>
  </si>
  <si>
    <t>COOPERATIVA PROD. RURAIS DO PRATA LTDA.</t>
  </si>
  <si>
    <t>2607304HST</t>
  </si>
  <si>
    <t>PRATA</t>
  </si>
  <si>
    <t>34-3431-8500</t>
  </si>
  <si>
    <t>0287775</t>
  </si>
  <si>
    <t>PAULO QUINZI</t>
  </si>
  <si>
    <t>PAULO ALVES DE ARAUJO MERCEARIA LTDA</t>
  </si>
  <si>
    <t>2608174JD0</t>
  </si>
  <si>
    <t>LAGOA FORMOSA</t>
  </si>
  <si>
    <t>0287153</t>
  </si>
  <si>
    <t>ZEBU</t>
  </si>
  <si>
    <t>ZEBU CARNES LTDA.</t>
  </si>
  <si>
    <t>2608034ITI</t>
  </si>
  <si>
    <t>3312-3501</t>
  </si>
  <si>
    <t>03214362000173</t>
  </si>
  <si>
    <t>0286691</t>
  </si>
  <si>
    <t>2607274HO8</t>
  </si>
  <si>
    <t>0287789</t>
  </si>
  <si>
    <t>GALA LJ 3</t>
  </si>
  <si>
    <t>COMERCIAL GALA LTDA.</t>
  </si>
  <si>
    <t>2608174JDE</t>
  </si>
  <si>
    <t>38-3741-2436</t>
  </si>
  <si>
    <t>0287563</t>
  </si>
  <si>
    <t>ZEBU 02</t>
  </si>
  <si>
    <t>ZEBU CARNES SUPERMERCADOS LTDA</t>
  </si>
  <si>
    <t>2608114J8D</t>
  </si>
  <si>
    <t>34-3319-0617</t>
  </si>
  <si>
    <t>03214362000254</t>
  </si>
  <si>
    <t>0286692</t>
  </si>
  <si>
    <t>2607274HO9</t>
  </si>
  <si>
    <t>0286693</t>
  </si>
  <si>
    <t>ZEBU 03</t>
  </si>
  <si>
    <t>2607274HOA</t>
  </si>
  <si>
    <t>34-3319-0652</t>
  </si>
  <si>
    <t>03214362000335</t>
  </si>
  <si>
    <t>0287154</t>
  </si>
  <si>
    <t>2608034ITJ</t>
  </si>
  <si>
    <t>0287471</t>
  </si>
  <si>
    <t>ZEBU 04</t>
  </si>
  <si>
    <t>2608064J5Y</t>
  </si>
  <si>
    <t>03214362000416</t>
  </si>
  <si>
    <t>0286694</t>
  </si>
  <si>
    <t>2607274HOB</t>
  </si>
  <si>
    <t>0286884</t>
  </si>
  <si>
    <t>ZEBU 05</t>
  </si>
  <si>
    <t>2607304HSX</t>
  </si>
  <si>
    <t>0343319065</t>
  </si>
  <si>
    <t>03214362000505</t>
  </si>
  <si>
    <t>0287472</t>
  </si>
  <si>
    <t>2608064J5Z</t>
  </si>
  <si>
    <t>0287792</t>
  </si>
  <si>
    <t>GALA LJ 7</t>
  </si>
  <si>
    <t>COMERCIAL GALA LTDA</t>
  </si>
  <si>
    <t>2608174JDH</t>
  </si>
  <si>
    <t>DIAMANTINA</t>
  </si>
  <si>
    <t>38 35313985</t>
  </si>
  <si>
    <t>0287473</t>
  </si>
  <si>
    <t>ZEBU 06</t>
  </si>
  <si>
    <t>ZEBU CARNES SUPERMECADOS LTDA</t>
  </si>
  <si>
    <t>2608064J60</t>
  </si>
  <si>
    <t>34-3319-0653</t>
  </si>
  <si>
    <t>03214362000688</t>
  </si>
  <si>
    <t>0286885</t>
  </si>
  <si>
    <t>2607304HSY</t>
  </si>
  <si>
    <t>0287793</t>
  </si>
  <si>
    <t>GALA LJ 8</t>
  </si>
  <si>
    <t>2608174JDI</t>
  </si>
  <si>
    <t>38-3221 0479</t>
  </si>
  <si>
    <t>0016949</t>
  </si>
  <si>
    <t>ALOE BAF</t>
  </si>
  <si>
    <t>ALOE BAF COMERCIO DE COSMETICOS LTDA</t>
  </si>
  <si>
    <t>2606120MES</t>
  </si>
  <si>
    <t>38-3212-5156</t>
  </si>
  <si>
    <t>0016836</t>
  </si>
  <si>
    <t>2606010M4Q</t>
  </si>
  <si>
    <t>0017257</t>
  </si>
  <si>
    <t>2607270MTG</t>
  </si>
  <si>
    <t>694279/1</t>
  </si>
  <si>
    <t>0016951</t>
  </si>
  <si>
    <t>2606120MEU</t>
  </si>
  <si>
    <t>0017259</t>
  </si>
  <si>
    <t>2607270MTI</t>
  </si>
  <si>
    <t>694328/1</t>
  </si>
  <si>
    <t>0017137</t>
  </si>
  <si>
    <t>2606300MJS</t>
  </si>
  <si>
    <t>692882/1</t>
  </si>
  <si>
    <t>0016950</t>
  </si>
  <si>
    <t>2606120MET</t>
  </si>
  <si>
    <t>0014370</t>
  </si>
  <si>
    <t>2607310D4L</t>
  </si>
  <si>
    <t>0017491</t>
  </si>
  <si>
    <t>2608170N5O</t>
  </si>
  <si>
    <t>0014369</t>
  </si>
  <si>
    <t>2607310D4K</t>
  </si>
  <si>
    <t>694328/2</t>
  </si>
  <si>
    <t>0014368</t>
  </si>
  <si>
    <t>2607310D4J</t>
  </si>
  <si>
    <t>694279/2</t>
  </si>
  <si>
    <t>0014106</t>
  </si>
  <si>
    <t>2606010CRZ</t>
  </si>
  <si>
    <t>689669/2</t>
  </si>
  <si>
    <t>0014228</t>
  </si>
  <si>
    <t>2606300CYQ</t>
  </si>
  <si>
    <t>692882/2</t>
  </si>
  <si>
    <t>0017458</t>
  </si>
  <si>
    <t>2608040N32</t>
  </si>
  <si>
    <t>NF1040017138</t>
  </si>
  <si>
    <t>0014329</t>
  </si>
  <si>
    <t>2607270D3L</t>
  </si>
  <si>
    <t>0014326</t>
  </si>
  <si>
    <t>2607270D3I</t>
  </si>
  <si>
    <t>0014105</t>
  </si>
  <si>
    <t>2606010CRY</t>
  </si>
  <si>
    <t>0287778</t>
  </si>
  <si>
    <t>GALA LJ 10</t>
  </si>
  <si>
    <t>2608174JD3</t>
  </si>
  <si>
    <t>ARACUAI</t>
  </si>
  <si>
    <t>33 3731 9400</t>
  </si>
  <si>
    <t>0287779</t>
  </si>
  <si>
    <t>GALA LJ 12</t>
  </si>
  <si>
    <t>2608174JD4</t>
  </si>
  <si>
    <t>SALINAS</t>
  </si>
  <si>
    <t xml:space="preserve">  38 3841-7500</t>
  </si>
  <si>
    <t>0287781</t>
  </si>
  <si>
    <t>GALA LJ 13</t>
  </si>
  <si>
    <t>2608174JD6</t>
  </si>
  <si>
    <t>TAIOBEIRAS</t>
  </si>
  <si>
    <t>0287782</t>
  </si>
  <si>
    <t>GALA LJ 14</t>
  </si>
  <si>
    <t>2608174JD7</t>
  </si>
  <si>
    <t>0287794</t>
  </si>
  <si>
    <t>HIPER COMERC</t>
  </si>
  <si>
    <t>HIPERPOL COMERCIO E DISTRIBUICAO LTDA</t>
  </si>
  <si>
    <t>2608174JDJ</t>
  </si>
  <si>
    <t>0287783</t>
  </si>
  <si>
    <t>GALA LJ 15</t>
  </si>
  <si>
    <t>2608174JD8</t>
  </si>
  <si>
    <t>38 3221 0479</t>
  </si>
  <si>
    <t>0286879</t>
  </si>
  <si>
    <t>CASA LIMPEZ</t>
  </si>
  <si>
    <t>CASA E LIMPEZA PATOS DE MINAS LTDA</t>
  </si>
  <si>
    <t>2607304HSS</t>
  </si>
  <si>
    <t>0286232</t>
  </si>
  <si>
    <t>FARLEM 3</t>
  </si>
  <si>
    <t>SUPER SAO FRANCISCO LTDA</t>
  </si>
  <si>
    <t>2607214H9J</t>
  </si>
  <si>
    <t>RIO PARANAIBA</t>
  </si>
  <si>
    <t>34 3855- 8384</t>
  </si>
  <si>
    <t>0287831</t>
  </si>
  <si>
    <t>LS GUARATO</t>
  </si>
  <si>
    <t>LS GUARATO LTDA</t>
  </si>
  <si>
    <t>2608184JEJ</t>
  </si>
  <si>
    <t>34 3326-9440</t>
  </si>
  <si>
    <t>0287564</t>
  </si>
  <si>
    <t>ZEBU 07</t>
  </si>
  <si>
    <t>2608114J8E</t>
  </si>
  <si>
    <t>(34) 3319-0625</t>
  </si>
  <si>
    <t>03214362000769</t>
  </si>
  <si>
    <t>0286886</t>
  </si>
  <si>
    <t>2607304HSZ</t>
  </si>
  <si>
    <t>0286695</t>
  </si>
  <si>
    <t>ZEBU 08</t>
  </si>
  <si>
    <t>2607274HOC</t>
  </si>
  <si>
    <t>(34) 3319-0610</t>
  </si>
  <si>
    <t>03214362000840</t>
  </si>
  <si>
    <t>0287565</t>
  </si>
  <si>
    <t>2608114J8F</t>
  </si>
  <si>
    <t>0287474</t>
  </si>
  <si>
    <t>ZEBU 09</t>
  </si>
  <si>
    <t>2608064J61</t>
  </si>
  <si>
    <t>(34) 3319-0622</t>
  </si>
  <si>
    <t>03214362000920</t>
  </si>
  <si>
    <t>0286696</t>
  </si>
  <si>
    <t>2607274HOD</t>
  </si>
  <si>
    <t>0286007</t>
  </si>
  <si>
    <t>S.TANNOUS 2</t>
  </si>
  <si>
    <t>SUPERMERCADO SOUSA E TANNOUS LTDA</t>
  </si>
  <si>
    <t>2607144H4F</t>
  </si>
  <si>
    <t>CONCEICAO DAS ALAGOAS</t>
  </si>
  <si>
    <t>34 3321-3132</t>
  </si>
  <si>
    <t>07661836000348</t>
  </si>
  <si>
    <t>0287784</t>
  </si>
  <si>
    <t>GALA LJ 17</t>
  </si>
  <si>
    <t>2608174JD9</t>
  </si>
  <si>
    <t>38 3531-8900</t>
  </si>
  <si>
    <t>0286092</t>
  </si>
  <si>
    <t>MEGA LIMP</t>
  </si>
  <si>
    <t>MEGALIMP HIGIENE E LIMPEZA LTDA</t>
  </si>
  <si>
    <t>2607154H7U</t>
  </si>
  <si>
    <t>(34) 3336-9200</t>
  </si>
  <si>
    <t>06986492000112</t>
  </si>
  <si>
    <t>0287785</t>
  </si>
  <si>
    <t>GALA LJ 20</t>
  </si>
  <si>
    <t>2608174JDA</t>
  </si>
  <si>
    <t>(38) 8823-8929/</t>
  </si>
  <si>
    <t>0287786</t>
  </si>
  <si>
    <t>GALA LJ 21</t>
  </si>
  <si>
    <t>2608174JDB</t>
  </si>
  <si>
    <t>ITAMARANDIBA</t>
  </si>
  <si>
    <t>0287787</t>
  </si>
  <si>
    <t>GALA LJ 22</t>
  </si>
  <si>
    <t>2608174JDC</t>
  </si>
  <si>
    <t>38(38) 99916-51</t>
  </si>
  <si>
    <t>0287788</t>
  </si>
  <si>
    <t>GALA LJ 23</t>
  </si>
  <si>
    <t>COMECIAL GALA LTDA</t>
  </si>
  <si>
    <t>2608174JDD</t>
  </si>
  <si>
    <t>CAPELINHA</t>
  </si>
  <si>
    <t>(38) 8823-8929</t>
  </si>
  <si>
    <t>0276979</t>
  </si>
  <si>
    <t>CAP MINAS 2</t>
  </si>
  <si>
    <t>CAP MINAS DISTRIBUCAO E COMERCIO LTDA</t>
  </si>
  <si>
    <t>26021943N7</t>
  </si>
  <si>
    <t>34-3030-0247</t>
  </si>
  <si>
    <t>0285472</t>
  </si>
  <si>
    <t>PAZOTTI 3</t>
  </si>
  <si>
    <t>DISTRIBUIDORA DE PRODUTOS ALIMENTOS PAZOTTI</t>
  </si>
  <si>
    <t>2606304FE7</t>
  </si>
  <si>
    <t xml:space="preserve"> (19) 3656-0775</t>
  </si>
  <si>
    <t>0284952</t>
  </si>
  <si>
    <t>2606254EXD</t>
  </si>
  <si>
    <t>0284953</t>
  </si>
  <si>
    <t>2606254EXE</t>
  </si>
  <si>
    <t>0287151</t>
  </si>
  <si>
    <t>BERNADAO- 14</t>
  </si>
  <si>
    <t>SUPERMERCADO BERNARDAO LTDA</t>
  </si>
  <si>
    <t>2608034ITG</t>
  </si>
  <si>
    <t>(34) 3839-1700</t>
  </si>
  <si>
    <t>0286492</t>
  </si>
  <si>
    <t>COOP PRATA 1</t>
  </si>
  <si>
    <t>COOP.D0S PRODUTORES RURAIS DO PRATA LTDA</t>
  </si>
  <si>
    <t>2607234HGN</t>
  </si>
  <si>
    <t>34-3431-5300</t>
  </si>
  <si>
    <t>0287790</t>
  </si>
  <si>
    <t>GALA LJ 4</t>
  </si>
  <si>
    <t>2608174JDF</t>
  </si>
  <si>
    <t>38-98823 8931</t>
  </si>
  <si>
    <t>0286233</t>
  </si>
  <si>
    <t>FARLEM</t>
  </si>
  <si>
    <t>SUPERMERCADO SAO FRANCISCO LTDA</t>
  </si>
  <si>
    <t>2607214H9K</t>
  </si>
  <si>
    <t>(34)-3855-1356</t>
  </si>
  <si>
    <t>0287791</t>
  </si>
  <si>
    <t>GALA LJ 6</t>
  </si>
  <si>
    <t>2608174JDG</t>
  </si>
  <si>
    <t>(38)3722-8748</t>
  </si>
  <si>
    <t>0287475</t>
  </si>
  <si>
    <t>SUPER MOTA 4</t>
  </si>
  <si>
    <t>M SUPERMERCADO LTDA</t>
  </si>
  <si>
    <t>2608064J62</t>
  </si>
  <si>
    <t>(38)3217-8092</t>
  </si>
  <si>
    <t>0014300</t>
  </si>
  <si>
    <t>2607210D2S</t>
  </si>
  <si>
    <t>1176/2</t>
  </si>
  <si>
    <t>0017489</t>
  </si>
  <si>
    <t>2608170N5M</t>
  </si>
  <si>
    <t>4485/1</t>
  </si>
  <si>
    <t>0014330</t>
  </si>
  <si>
    <t>2607280D3P</t>
  </si>
  <si>
    <t>1647/2</t>
  </si>
  <si>
    <t>0014430</t>
  </si>
  <si>
    <t>2608170DBH</t>
  </si>
  <si>
    <t>4485/2</t>
  </si>
  <si>
    <t>0017262</t>
  </si>
  <si>
    <t>2607270MTL</t>
  </si>
  <si>
    <t>1647/1</t>
  </si>
  <si>
    <t>0017261</t>
  </si>
  <si>
    <t>2607270MTK</t>
  </si>
  <si>
    <t>0017228</t>
  </si>
  <si>
    <t>2607210MSI</t>
  </si>
  <si>
    <t>1176/1</t>
  </si>
  <si>
    <t>0288102</t>
  </si>
  <si>
    <t>VITORIA SUP</t>
  </si>
  <si>
    <t>J A GOMES ALIMENTOS</t>
  </si>
  <si>
    <t>2608214JLV</t>
  </si>
  <si>
    <t>07179667000576</t>
  </si>
  <si>
    <t>0284564</t>
  </si>
  <si>
    <t>2606184ELV</t>
  </si>
  <si>
    <t>0284616</t>
  </si>
  <si>
    <t>VITORIA SUP2</t>
  </si>
  <si>
    <t>MEDEIROS COMERCIO DE ALIMENTOS LTDA</t>
  </si>
  <si>
    <t>2606194EN6</t>
  </si>
  <si>
    <t>92 98237-8685</t>
  </si>
  <si>
    <t>03483863000155</t>
  </si>
  <si>
    <t>0288103</t>
  </si>
  <si>
    <t>2608214JLW</t>
  </si>
  <si>
    <t>0288104</t>
  </si>
  <si>
    <t>VITORIA SUP3</t>
  </si>
  <si>
    <t>2608214JLX</t>
  </si>
  <si>
    <t>07179667000738</t>
  </si>
  <si>
    <t>0284565</t>
  </si>
  <si>
    <t>2606184ELW</t>
  </si>
  <si>
    <t>0284566</t>
  </si>
  <si>
    <t>VITORIA SUP4</t>
  </si>
  <si>
    <t>2606184ELX</t>
  </si>
  <si>
    <t>07179667000142</t>
  </si>
  <si>
    <t>0288105</t>
  </si>
  <si>
    <t>2608214JLY</t>
  </si>
  <si>
    <t>0280553</t>
  </si>
  <si>
    <t>ASSAI 189</t>
  </si>
  <si>
    <t>26040848UU</t>
  </si>
  <si>
    <t>06057223038063</t>
  </si>
  <si>
    <t>0280552</t>
  </si>
  <si>
    <t>ASSAI 171</t>
  </si>
  <si>
    <t>26040848UT</t>
  </si>
  <si>
    <t>IGUATU</t>
  </si>
  <si>
    <t>06057223041285</t>
  </si>
  <si>
    <t>0283749</t>
  </si>
  <si>
    <t>ASSAI CD920</t>
  </si>
  <si>
    <t>2606014COI</t>
  </si>
  <si>
    <t>06057223046830</t>
  </si>
  <si>
    <t>0282186</t>
  </si>
  <si>
    <t>2605044BE1</t>
  </si>
  <si>
    <t>0282187</t>
  </si>
  <si>
    <t>2605044BE2</t>
  </si>
  <si>
    <t>0287064</t>
  </si>
  <si>
    <t>2607314HXU</t>
  </si>
  <si>
    <t>0287065</t>
  </si>
  <si>
    <t>2607314HXV</t>
  </si>
  <si>
    <t>0287063</t>
  </si>
  <si>
    <t>2607314HXT</t>
  </si>
  <si>
    <t>0287038</t>
  </si>
  <si>
    <t>JF UTILIDADE</t>
  </si>
  <si>
    <t>JF CENTRAL DE UTILIDADES DOMESTICAS LTDA</t>
  </si>
  <si>
    <t>2607314HX4</t>
  </si>
  <si>
    <t>64-3411-6933</t>
  </si>
  <si>
    <t>0287037</t>
  </si>
  <si>
    <t>CARLOS FROIL</t>
  </si>
  <si>
    <t>CARLOS FROILAN CALDAS &amp; CIA LTDA</t>
  </si>
  <si>
    <t>2607314HX3</t>
  </si>
  <si>
    <t>61-3612-2999</t>
  </si>
  <si>
    <t>0287147</t>
  </si>
  <si>
    <t>JG CALDAS</t>
  </si>
  <si>
    <t>JG CALDAS COMERCIO LTDA</t>
  </si>
  <si>
    <t>2608034ITC</t>
  </si>
  <si>
    <t>(34) 98721-4804</t>
  </si>
  <si>
    <t>0287150</t>
  </si>
  <si>
    <t>LOJA TCHE</t>
  </si>
  <si>
    <t>LOJA DO TCHE PATOS DE MINAS  COMERCIO LTDA</t>
  </si>
  <si>
    <t>2608034ITF</t>
  </si>
  <si>
    <t>0287224</t>
  </si>
  <si>
    <t>TCHE ARAGUAR</t>
  </si>
  <si>
    <t>TCHE ARAGUARI LTDA</t>
  </si>
  <si>
    <t>2608034IVH</t>
  </si>
  <si>
    <t>(34) 98444-5615</t>
  </si>
  <si>
    <t>0283044</t>
  </si>
  <si>
    <t>TUDO DO LAR</t>
  </si>
  <si>
    <t>TUDO DO LAR PRESENTES E UTILIDADES LTDA</t>
  </si>
  <si>
    <t>2605264C4R</t>
  </si>
  <si>
    <t>GUAXUPE</t>
  </si>
  <si>
    <t>(35) 3551-8392</t>
  </si>
  <si>
    <t>0284796</t>
  </si>
  <si>
    <t>LOJA DO TCHE</t>
  </si>
  <si>
    <t>LOJA DO TCHE PATROCINIO LTDA</t>
  </si>
  <si>
    <t>2606234ET0</t>
  </si>
  <si>
    <t>(35) 3831-2886</t>
  </si>
  <si>
    <t>0279962</t>
  </si>
  <si>
    <t>FROILAN</t>
  </si>
  <si>
    <t>FROILAN &amp; CALDAS LTDA</t>
  </si>
  <si>
    <t>260330476W</t>
  </si>
  <si>
    <t>ANDRADAS</t>
  </si>
  <si>
    <t>(35) 3731-8251</t>
  </si>
  <si>
    <t>02968834000110</t>
  </si>
  <si>
    <t>0286009</t>
  </si>
  <si>
    <t>SUPERMAXI19</t>
  </si>
  <si>
    <t>MN SUPERMERCADOS LTDA</t>
  </si>
  <si>
    <t>2607144H4H</t>
  </si>
  <si>
    <t>09442132000300</t>
  </si>
  <si>
    <t>0017136</t>
  </si>
  <si>
    <t>ROSIVAN-PA</t>
  </si>
  <si>
    <t>BROKER CARAJAS DISTRIBUIDORA LTDA</t>
  </si>
  <si>
    <t>2606300MJR</t>
  </si>
  <si>
    <t>692925/1</t>
  </si>
  <si>
    <t>94-99232-1626</t>
  </si>
  <si>
    <t>0014234</t>
  </si>
  <si>
    <t>2606300CYW</t>
  </si>
  <si>
    <t>692925/2</t>
  </si>
  <si>
    <t>0014349</t>
  </si>
  <si>
    <t>HOT BEL- PA</t>
  </si>
  <si>
    <t>HOTBEL COMERCIAL LTDA</t>
  </si>
  <si>
    <t>2607300D41</t>
  </si>
  <si>
    <t>1950/2</t>
  </si>
  <si>
    <t>(94) 3321-6400</t>
  </si>
  <si>
    <t>0017305</t>
  </si>
  <si>
    <t>2607300MUM</t>
  </si>
  <si>
    <t>1950/1</t>
  </si>
  <si>
    <t>0285431</t>
  </si>
  <si>
    <t>ALEX SOUZA</t>
  </si>
  <si>
    <t>ALEX DE SOUZA LIMA 04258745162</t>
  </si>
  <si>
    <t>2606304FD2</t>
  </si>
  <si>
    <t>ARENAPOLIS</t>
  </si>
  <si>
    <t>65 999662766</t>
  </si>
  <si>
    <t>0285433</t>
  </si>
  <si>
    <t>D RANZULLI</t>
  </si>
  <si>
    <t>D RANZULLI MARTINS - COMERCIO</t>
  </si>
  <si>
    <t>2606304FD4</t>
  </si>
  <si>
    <t>CACERES</t>
  </si>
  <si>
    <t>65 99608 5951</t>
  </si>
  <si>
    <t>0286089</t>
  </si>
  <si>
    <t>MHI CONSTRU</t>
  </si>
  <si>
    <t>M H I MATERIAIS PARA CONSTRUCAO LTDA</t>
  </si>
  <si>
    <t>2607154H7R</t>
  </si>
  <si>
    <t>65 3326 0500</t>
  </si>
  <si>
    <t>08520428000177</t>
  </si>
  <si>
    <t>0286123</t>
  </si>
  <si>
    <t>MER ZUCCA</t>
  </si>
  <si>
    <t>L.A.ZUCCA</t>
  </si>
  <si>
    <t>2607164H8P</t>
  </si>
  <si>
    <t>65 9 991 9394</t>
  </si>
  <si>
    <t>0286243</t>
  </si>
  <si>
    <t>SUP BM PRECO</t>
  </si>
  <si>
    <t>ADP COMERCIO DE ALIMENTOS LTDA</t>
  </si>
  <si>
    <t>2607214H9U</t>
  </si>
  <si>
    <t>CHAPADA DOS GUIMARAES</t>
  </si>
  <si>
    <t>65 9 9248 0856</t>
  </si>
  <si>
    <t>0286499</t>
  </si>
  <si>
    <t>COMER ARICA</t>
  </si>
  <si>
    <t>COMERCIAL ARICA PRODUTOS AGROPECUARIOS LTDA</t>
  </si>
  <si>
    <t>2607234HGU</t>
  </si>
  <si>
    <t>SANTO ANTONIO DO LEVERGER</t>
  </si>
  <si>
    <t>65 9 9284 6844</t>
  </si>
  <si>
    <t>0287410</t>
  </si>
  <si>
    <t>BRASIL EMBA</t>
  </si>
  <si>
    <t>BRASIL COMERCIO DE EMBALAGENS LTDA</t>
  </si>
  <si>
    <t>2608064J46</t>
  </si>
  <si>
    <t>65 9 9689 1126</t>
  </si>
  <si>
    <t>0286365</t>
  </si>
  <si>
    <t>PATTU</t>
  </si>
  <si>
    <t>COMERCIAL NOVO ESTADO DE GENEROS ALIMENTICIOS LTDA</t>
  </si>
  <si>
    <t>2607224HD7</t>
  </si>
  <si>
    <t>COMODORO</t>
  </si>
  <si>
    <t>65 9 8418 1478</t>
  </si>
  <si>
    <t>0017225</t>
  </si>
  <si>
    <t>ELSON S</t>
  </si>
  <si>
    <t>ELSON S PRODUTOS ALIMENTICIOS LTDA</t>
  </si>
  <si>
    <t>2607240MSP</t>
  </si>
  <si>
    <t>VIANA</t>
  </si>
  <si>
    <t>27-3346-3200</t>
  </si>
  <si>
    <t>0017226</t>
  </si>
  <si>
    <t>2607240MSQ</t>
  </si>
  <si>
    <t>0017464</t>
  </si>
  <si>
    <t>2608110N4Y</t>
  </si>
  <si>
    <t>0017508</t>
  </si>
  <si>
    <t>2608240N66</t>
  </si>
  <si>
    <t>0017509</t>
  </si>
  <si>
    <t>2608240N67</t>
  </si>
  <si>
    <t>0017510</t>
  </si>
  <si>
    <t>2608240N68</t>
  </si>
  <si>
    <t>0017507</t>
  </si>
  <si>
    <t>ELSON S2</t>
  </si>
  <si>
    <t>2608240N65</t>
  </si>
  <si>
    <t>27 33463200</t>
  </si>
  <si>
    <t>0017223</t>
  </si>
  <si>
    <t>2607240MSN</t>
  </si>
  <si>
    <t>0017224</t>
  </si>
  <si>
    <t>2607240MSO</t>
  </si>
  <si>
    <t>0286883</t>
  </si>
  <si>
    <t>SM-OLA COML</t>
  </si>
  <si>
    <t>OLA COMERCIAL LTDA</t>
  </si>
  <si>
    <t>2607304HSW</t>
  </si>
  <si>
    <t>32-2101-8888</t>
  </si>
  <si>
    <t>05141571000160</t>
  </si>
  <si>
    <t>0284067</t>
  </si>
  <si>
    <t>UBAENSE 2</t>
  </si>
  <si>
    <t>SUPERMERCADO NOVA ERA UBAENENSE LTDA</t>
  </si>
  <si>
    <t>2606084E8D</t>
  </si>
  <si>
    <t>32-3531-2736</t>
  </si>
  <si>
    <t>07249792000181</t>
  </si>
  <si>
    <t>0287774</t>
  </si>
  <si>
    <t>MASTER DISTR</t>
  </si>
  <si>
    <t>MASTER DISTRIBUIDORA E LOGISTICA LTDA</t>
  </si>
  <si>
    <t>2608174JCZ</t>
  </si>
  <si>
    <t>CATAGUASES</t>
  </si>
  <si>
    <t>0286817</t>
  </si>
  <si>
    <t>BAHAMAS</t>
  </si>
  <si>
    <t>SUPERMERCADO BAHAMAS S/A</t>
  </si>
  <si>
    <t>2607304HR7</t>
  </si>
  <si>
    <t>(32)-2102 0771</t>
  </si>
  <si>
    <t>0284398</t>
  </si>
  <si>
    <t>2606154EHE</t>
  </si>
  <si>
    <t>0287818</t>
  </si>
  <si>
    <t>2608174JE7</t>
  </si>
  <si>
    <t>0286216</t>
  </si>
  <si>
    <t>2607244HM2</t>
  </si>
  <si>
    <t>0287817</t>
  </si>
  <si>
    <t>2608174JE6</t>
  </si>
  <si>
    <t>0285619</t>
  </si>
  <si>
    <t>2606304FIA</t>
  </si>
  <si>
    <t>0287816</t>
  </si>
  <si>
    <t>2608174JE5</t>
  </si>
  <si>
    <t>0285775</t>
  </si>
  <si>
    <t>2607064GYO</t>
  </si>
  <si>
    <t>0283466</t>
  </si>
  <si>
    <t>2606014CGN</t>
  </si>
  <si>
    <t>0282759</t>
  </si>
  <si>
    <t>2605214BX3</t>
  </si>
  <si>
    <t>0283467</t>
  </si>
  <si>
    <t>2606014CGO</t>
  </si>
  <si>
    <t>0287766</t>
  </si>
  <si>
    <t>SUPER LIMPO</t>
  </si>
  <si>
    <t>SUPER COMERCIO DE PRODUTOS  DE LIMPEZA LTDA</t>
  </si>
  <si>
    <t>2608174JCR</t>
  </si>
  <si>
    <t>64 99925-0403</t>
  </si>
  <si>
    <t>06059815000122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</si>
</sst>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B5A7-C2F9-48E4-99C5-65C4573A7271}">
  <dimension ref="A1:AH4741"/>
  <sheetViews>
    <sheetView tabSelected="1"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101</v>
      </c>
      <c r="B2" t="s">
        <v>34</v>
      </c>
      <c r="C2">
        <v>2</v>
      </c>
      <c r="D2" s="1" t="s">
        <v>35</v>
      </c>
      <c r="E2" s="1" t="s">
        <v>36</v>
      </c>
      <c r="G2">
        <v>50405</v>
      </c>
      <c r="H2" t="s">
        <v>37</v>
      </c>
      <c r="I2" t="s">
        <v>38</v>
      </c>
      <c r="J2">
        <v>32</v>
      </c>
      <c r="K2">
        <v>50405</v>
      </c>
      <c r="L2">
        <v>50033</v>
      </c>
      <c r="M2" t="s">
        <v>39</v>
      </c>
      <c r="N2">
        <v>1</v>
      </c>
      <c r="O2" s="2">
        <v>46241</v>
      </c>
      <c r="P2" s="2">
        <v>46262</v>
      </c>
      <c r="R2" t="s">
        <v>40</v>
      </c>
      <c r="S2" t="str">
        <f>"0000050413007"</f>
        <v>0000050413007</v>
      </c>
      <c r="T2" t="s">
        <v>41</v>
      </c>
      <c r="U2">
        <v>345</v>
      </c>
      <c r="V2">
        <v>345</v>
      </c>
      <c r="W2">
        <v>345</v>
      </c>
      <c r="X2">
        <v>0</v>
      </c>
      <c r="Y2">
        <v>0</v>
      </c>
      <c r="Z2">
        <v>-487</v>
      </c>
      <c r="AD2" t="s">
        <v>42</v>
      </c>
      <c r="AE2" t="s">
        <v>43</v>
      </c>
      <c r="AF2" t="s">
        <v>42</v>
      </c>
      <c r="AG2">
        <v>72794282000157</v>
      </c>
      <c r="AH2" t="s">
        <v>44</v>
      </c>
    </row>
    <row r="3" spans="1:34" x14ac:dyDescent="0.3">
      <c r="A3">
        <v>104</v>
      </c>
      <c r="B3" t="s">
        <v>34</v>
      </c>
      <c r="C3">
        <v>4</v>
      </c>
      <c r="D3" s="1" t="s">
        <v>45</v>
      </c>
      <c r="E3" s="1" t="s">
        <v>36</v>
      </c>
      <c r="G3">
        <v>51837</v>
      </c>
      <c r="H3" t="s">
        <v>46</v>
      </c>
      <c r="I3" t="s">
        <v>47</v>
      </c>
      <c r="J3">
        <v>40</v>
      </c>
      <c r="K3">
        <v>51837</v>
      </c>
      <c r="L3">
        <v>95080</v>
      </c>
      <c r="M3" t="s">
        <v>48</v>
      </c>
      <c r="N3">
        <v>1</v>
      </c>
      <c r="O3" s="2">
        <v>45329</v>
      </c>
      <c r="P3" s="2">
        <v>45376</v>
      </c>
      <c r="R3" t="s">
        <v>49</v>
      </c>
      <c r="S3" t="str">
        <f>""</f>
        <v/>
      </c>
      <c r="T3" t="s">
        <v>41</v>
      </c>
      <c r="U3">
        <v>10250.14</v>
      </c>
      <c r="V3">
        <v>10250.14</v>
      </c>
      <c r="W3">
        <v>10250.14</v>
      </c>
      <c r="X3">
        <v>0</v>
      </c>
      <c r="Y3">
        <v>0</v>
      </c>
      <c r="Z3">
        <v>399</v>
      </c>
      <c r="AD3" t="s">
        <v>50</v>
      </c>
      <c r="AE3" t="s">
        <v>51</v>
      </c>
      <c r="AF3" t="s">
        <v>50</v>
      </c>
      <c r="AG3" s="1" t="s">
        <v>52</v>
      </c>
      <c r="AH3" t="s">
        <v>44</v>
      </c>
    </row>
    <row r="4" spans="1:34" x14ac:dyDescent="0.3">
      <c r="A4">
        <v>101</v>
      </c>
      <c r="B4" t="s">
        <v>34</v>
      </c>
      <c r="C4">
        <v>2</v>
      </c>
      <c r="D4" s="1" t="s">
        <v>53</v>
      </c>
      <c r="E4" s="1" t="s">
        <v>36</v>
      </c>
      <c r="G4">
        <v>53410</v>
      </c>
      <c r="H4" t="s">
        <v>54</v>
      </c>
      <c r="I4" t="s">
        <v>55</v>
      </c>
      <c r="J4">
        <v>40</v>
      </c>
      <c r="K4">
        <v>53410</v>
      </c>
      <c r="L4">
        <v>50033</v>
      </c>
      <c r="M4" t="s">
        <v>39</v>
      </c>
      <c r="N4">
        <v>1</v>
      </c>
      <c r="O4" s="2">
        <v>46239</v>
      </c>
      <c r="P4" s="2">
        <v>46284</v>
      </c>
      <c r="R4" t="s">
        <v>56</v>
      </c>
      <c r="S4" t="str">
        <f>"0000050412434"</f>
        <v>0000050412434</v>
      </c>
      <c r="T4" t="s">
        <v>41</v>
      </c>
      <c r="U4">
        <v>41.45</v>
      </c>
      <c r="V4">
        <v>41.45</v>
      </c>
      <c r="W4">
        <v>41.45</v>
      </c>
      <c r="X4">
        <v>0</v>
      </c>
      <c r="Y4">
        <v>0</v>
      </c>
      <c r="Z4">
        <v>-509</v>
      </c>
      <c r="AD4" t="s">
        <v>57</v>
      </c>
      <c r="AE4" t="s">
        <v>58</v>
      </c>
      <c r="AF4" t="s">
        <v>57</v>
      </c>
      <c r="AG4" s="1" t="s">
        <v>59</v>
      </c>
      <c r="AH4" t="s">
        <v>44</v>
      </c>
    </row>
    <row r="5" spans="1:34" x14ac:dyDescent="0.3">
      <c r="A5">
        <v>101</v>
      </c>
      <c r="B5" t="s">
        <v>34</v>
      </c>
      <c r="C5">
        <v>2</v>
      </c>
      <c r="D5" s="1" t="s">
        <v>60</v>
      </c>
      <c r="E5" s="1" t="s">
        <v>36</v>
      </c>
      <c r="G5">
        <v>53695</v>
      </c>
      <c r="H5" t="s">
        <v>61</v>
      </c>
      <c r="I5" t="s">
        <v>62</v>
      </c>
      <c r="J5">
        <v>32</v>
      </c>
      <c r="K5">
        <v>53695</v>
      </c>
      <c r="L5">
        <v>50237</v>
      </c>
      <c r="M5" t="s">
        <v>39</v>
      </c>
      <c r="N5">
        <v>1</v>
      </c>
      <c r="O5" s="2">
        <v>46233</v>
      </c>
      <c r="P5" s="2">
        <v>46263</v>
      </c>
      <c r="R5" t="s">
        <v>63</v>
      </c>
      <c r="S5" t="str">
        <f>"330000051759"</f>
        <v>330000051759</v>
      </c>
      <c r="T5" t="s">
        <v>41</v>
      </c>
      <c r="U5">
        <v>2527</v>
      </c>
      <c r="V5">
        <v>2527</v>
      </c>
      <c r="W5">
        <v>2527</v>
      </c>
      <c r="X5">
        <v>0</v>
      </c>
      <c r="Y5">
        <v>0</v>
      </c>
      <c r="Z5">
        <v>-488</v>
      </c>
      <c r="AD5" t="s">
        <v>64</v>
      </c>
      <c r="AE5" t="s">
        <v>65</v>
      </c>
      <c r="AF5" t="s">
        <v>64</v>
      </c>
      <c r="AG5">
        <v>30920132000100</v>
      </c>
      <c r="AH5" t="s">
        <v>44</v>
      </c>
    </row>
    <row r="6" spans="1:34" x14ac:dyDescent="0.3">
      <c r="A6">
        <v>101</v>
      </c>
      <c r="B6" t="s">
        <v>34</v>
      </c>
      <c r="C6">
        <v>2</v>
      </c>
      <c r="D6" s="1" t="s">
        <v>66</v>
      </c>
      <c r="E6" s="1" t="s">
        <v>36</v>
      </c>
      <c r="G6">
        <v>451254</v>
      </c>
      <c r="H6" t="s">
        <v>67</v>
      </c>
      <c r="I6" t="s">
        <v>68</v>
      </c>
      <c r="J6">
        <v>10</v>
      </c>
      <c r="K6">
        <v>451254</v>
      </c>
      <c r="L6">
        <v>95000</v>
      </c>
      <c r="M6" t="s">
        <v>69</v>
      </c>
      <c r="N6">
        <v>1</v>
      </c>
      <c r="O6" s="2">
        <v>46239</v>
      </c>
      <c r="P6" s="2">
        <v>46271</v>
      </c>
      <c r="R6" t="s">
        <v>70</v>
      </c>
      <c r="S6" t="str">
        <f>""</f>
        <v/>
      </c>
      <c r="T6" t="s">
        <v>41</v>
      </c>
      <c r="U6">
        <v>89.88</v>
      </c>
      <c r="V6">
        <v>89.88</v>
      </c>
      <c r="W6">
        <v>89.88</v>
      </c>
      <c r="X6">
        <v>0</v>
      </c>
      <c r="Y6">
        <v>0</v>
      </c>
      <c r="Z6">
        <v>-496</v>
      </c>
      <c r="AA6">
        <v>695799</v>
      </c>
      <c r="AD6" t="s">
        <v>42</v>
      </c>
      <c r="AE6">
        <v>5516991858866</v>
      </c>
      <c r="AG6">
        <v>39868191858</v>
      </c>
      <c r="AH6" t="s">
        <v>44</v>
      </c>
    </row>
    <row r="7" spans="1:34" x14ac:dyDescent="0.3">
      <c r="A7">
        <v>101</v>
      </c>
      <c r="B7" t="s">
        <v>34</v>
      </c>
      <c r="C7">
        <v>2</v>
      </c>
      <c r="D7" s="1" t="s">
        <v>71</v>
      </c>
      <c r="E7" s="1" t="s">
        <v>36</v>
      </c>
      <c r="G7">
        <v>451254</v>
      </c>
      <c r="H7" t="s">
        <v>67</v>
      </c>
      <c r="I7" t="s">
        <v>68</v>
      </c>
      <c r="J7">
        <v>10</v>
      </c>
      <c r="K7">
        <v>451254</v>
      </c>
      <c r="L7">
        <v>95000</v>
      </c>
      <c r="M7" t="s">
        <v>69</v>
      </c>
      <c r="N7">
        <v>1</v>
      </c>
      <c r="O7" s="2">
        <v>46252</v>
      </c>
      <c r="P7" s="2">
        <v>46284</v>
      </c>
      <c r="R7" t="s">
        <v>72</v>
      </c>
      <c r="S7" t="str">
        <f>""</f>
        <v/>
      </c>
      <c r="T7" t="s">
        <v>41</v>
      </c>
      <c r="U7">
        <v>24.78</v>
      </c>
      <c r="V7">
        <v>24.78</v>
      </c>
      <c r="W7">
        <v>24.78</v>
      </c>
      <c r="X7">
        <v>0</v>
      </c>
      <c r="Y7">
        <v>0</v>
      </c>
      <c r="Z7">
        <v>-509</v>
      </c>
      <c r="AA7">
        <v>696708</v>
      </c>
      <c r="AD7" t="s">
        <v>42</v>
      </c>
      <c r="AE7">
        <v>5516991858866</v>
      </c>
      <c r="AG7">
        <v>39868191858</v>
      </c>
      <c r="AH7" t="s">
        <v>44</v>
      </c>
    </row>
    <row r="8" spans="1:34" x14ac:dyDescent="0.3">
      <c r="A8">
        <v>101</v>
      </c>
      <c r="B8" t="s">
        <v>73</v>
      </c>
      <c r="D8" t="s">
        <v>74</v>
      </c>
      <c r="G8">
        <v>451528</v>
      </c>
      <c r="H8" t="s">
        <v>75</v>
      </c>
      <c r="I8" t="s">
        <v>76</v>
      </c>
      <c r="J8">
        <v>10</v>
      </c>
      <c r="K8">
        <v>451528</v>
      </c>
      <c r="L8">
        <v>10033</v>
      </c>
      <c r="M8" t="s">
        <v>39</v>
      </c>
      <c r="N8">
        <v>1</v>
      </c>
      <c r="O8" s="2">
        <v>45973</v>
      </c>
      <c r="P8" s="2">
        <v>45973</v>
      </c>
      <c r="R8" t="s">
        <v>77</v>
      </c>
      <c r="S8" t="str">
        <f>""</f>
        <v/>
      </c>
      <c r="T8" t="s">
        <v>41</v>
      </c>
      <c r="U8">
        <v>-45145.19</v>
      </c>
      <c r="V8">
        <v>-45145.19</v>
      </c>
      <c r="W8">
        <v>-45145.19</v>
      </c>
      <c r="X8">
        <v>0</v>
      </c>
      <c r="Y8">
        <v>0</v>
      </c>
      <c r="Z8">
        <v>-198</v>
      </c>
      <c r="AD8" t="s">
        <v>64</v>
      </c>
      <c r="AF8" t="s">
        <v>64</v>
      </c>
      <c r="AG8">
        <v>29959459000107</v>
      </c>
      <c r="AH8" t="s">
        <v>44</v>
      </c>
    </row>
    <row r="9" spans="1:34" x14ac:dyDescent="0.3">
      <c r="A9">
        <v>101</v>
      </c>
      <c r="B9" t="s">
        <v>73</v>
      </c>
      <c r="D9" t="s">
        <v>78</v>
      </c>
      <c r="G9">
        <v>451528</v>
      </c>
      <c r="H9" t="s">
        <v>75</v>
      </c>
      <c r="I9" t="s">
        <v>76</v>
      </c>
      <c r="J9">
        <v>10</v>
      </c>
      <c r="K9">
        <v>451528</v>
      </c>
      <c r="L9">
        <v>10001</v>
      </c>
      <c r="M9" t="s">
        <v>39</v>
      </c>
      <c r="N9">
        <v>1</v>
      </c>
      <c r="O9" s="2">
        <v>46030</v>
      </c>
      <c r="P9" s="2">
        <v>46030</v>
      </c>
      <c r="R9" t="s">
        <v>79</v>
      </c>
      <c r="S9" t="str">
        <f>""</f>
        <v/>
      </c>
      <c r="T9" t="s">
        <v>41</v>
      </c>
      <c r="U9">
        <v>-56677.13</v>
      </c>
      <c r="V9">
        <v>-56677.13</v>
      </c>
      <c r="W9">
        <v>-56677.13</v>
      </c>
      <c r="X9">
        <v>0</v>
      </c>
      <c r="Y9">
        <v>0</v>
      </c>
      <c r="Z9">
        <v>-255</v>
      </c>
      <c r="AD9" t="s">
        <v>64</v>
      </c>
      <c r="AF9" t="s">
        <v>64</v>
      </c>
      <c r="AG9">
        <v>29959459000107</v>
      </c>
      <c r="AH9" t="s">
        <v>44</v>
      </c>
    </row>
    <row r="10" spans="1:34" x14ac:dyDescent="0.3">
      <c r="A10">
        <v>101</v>
      </c>
      <c r="B10" t="s">
        <v>34</v>
      </c>
      <c r="C10">
        <v>2</v>
      </c>
      <c r="D10" s="1" t="s">
        <v>80</v>
      </c>
      <c r="E10" s="1" t="s">
        <v>36</v>
      </c>
      <c r="G10">
        <v>456556</v>
      </c>
      <c r="H10" t="s">
        <v>81</v>
      </c>
      <c r="I10" t="s">
        <v>82</v>
      </c>
      <c r="J10">
        <v>40</v>
      </c>
      <c r="K10">
        <v>456796</v>
      </c>
      <c r="L10">
        <v>95080</v>
      </c>
      <c r="M10" t="s">
        <v>83</v>
      </c>
      <c r="N10">
        <v>1</v>
      </c>
      <c r="O10" s="2">
        <v>45635</v>
      </c>
      <c r="P10" s="2">
        <v>45665</v>
      </c>
      <c r="R10" t="s">
        <v>84</v>
      </c>
      <c r="S10" t="str">
        <f>""</f>
        <v/>
      </c>
      <c r="T10" t="s">
        <v>41</v>
      </c>
      <c r="U10">
        <v>3328.5</v>
      </c>
      <c r="V10">
        <v>3328.5</v>
      </c>
      <c r="W10">
        <v>3328.5</v>
      </c>
      <c r="X10">
        <v>0</v>
      </c>
      <c r="Y10">
        <v>0</v>
      </c>
      <c r="Z10">
        <v>110</v>
      </c>
      <c r="AD10" t="s">
        <v>85</v>
      </c>
      <c r="AE10" t="s">
        <v>86</v>
      </c>
      <c r="AF10" t="s">
        <v>85</v>
      </c>
      <c r="AG10">
        <v>32808669001504</v>
      </c>
      <c r="AH10" t="s">
        <v>87</v>
      </c>
    </row>
    <row r="11" spans="1:34" x14ac:dyDescent="0.3">
      <c r="A11">
        <v>101</v>
      </c>
      <c r="B11" t="s">
        <v>34</v>
      </c>
      <c r="C11">
        <v>2</v>
      </c>
      <c r="D11" s="1" t="s">
        <v>88</v>
      </c>
      <c r="E11" s="1" t="s">
        <v>36</v>
      </c>
      <c r="G11">
        <v>464600</v>
      </c>
      <c r="H11" t="s">
        <v>89</v>
      </c>
      <c r="I11" t="s">
        <v>90</v>
      </c>
      <c r="J11">
        <v>40</v>
      </c>
      <c r="K11">
        <v>464600</v>
      </c>
      <c r="L11">
        <v>50033</v>
      </c>
      <c r="M11" t="s">
        <v>39</v>
      </c>
      <c r="N11">
        <v>1</v>
      </c>
      <c r="O11" s="2">
        <v>46239</v>
      </c>
      <c r="P11" s="2">
        <v>46259</v>
      </c>
      <c r="R11" t="s">
        <v>91</v>
      </c>
      <c r="S11" t="str">
        <f>"0000050412361"</f>
        <v>0000050412361</v>
      </c>
      <c r="T11" t="s">
        <v>41</v>
      </c>
      <c r="U11">
        <v>475.98</v>
      </c>
      <c r="V11">
        <v>475.98</v>
      </c>
      <c r="W11">
        <v>475.98</v>
      </c>
      <c r="X11">
        <v>0</v>
      </c>
      <c r="Y11">
        <v>0</v>
      </c>
      <c r="Z11">
        <v>-484</v>
      </c>
      <c r="AD11" t="s">
        <v>50</v>
      </c>
      <c r="AE11" t="s">
        <v>92</v>
      </c>
      <c r="AF11" t="s">
        <v>50</v>
      </c>
      <c r="AG11">
        <v>13727240000134</v>
      </c>
      <c r="AH11" t="s">
        <v>44</v>
      </c>
    </row>
    <row r="12" spans="1:34" x14ac:dyDescent="0.3">
      <c r="A12">
        <v>101</v>
      </c>
      <c r="B12" t="s">
        <v>34</v>
      </c>
      <c r="C12">
        <v>2</v>
      </c>
      <c r="D12" s="1" t="s">
        <v>93</v>
      </c>
      <c r="E12" s="1" t="s">
        <v>36</v>
      </c>
      <c r="G12">
        <v>464600</v>
      </c>
      <c r="H12" t="s">
        <v>89</v>
      </c>
      <c r="I12" t="s">
        <v>90</v>
      </c>
      <c r="J12">
        <v>40</v>
      </c>
      <c r="K12">
        <v>464600</v>
      </c>
      <c r="L12">
        <v>50033</v>
      </c>
      <c r="M12" t="s">
        <v>39</v>
      </c>
      <c r="N12">
        <v>1</v>
      </c>
      <c r="O12" s="2">
        <v>46258</v>
      </c>
      <c r="P12" s="2">
        <v>46278</v>
      </c>
      <c r="R12" t="s">
        <v>94</v>
      </c>
      <c r="S12" t="str">
        <f>"0000050414771"</f>
        <v>0000050414771</v>
      </c>
      <c r="T12" t="s">
        <v>41</v>
      </c>
      <c r="U12">
        <v>268.58999999999997</v>
      </c>
      <c r="V12">
        <v>268.58999999999997</v>
      </c>
      <c r="W12">
        <v>268.58999999999997</v>
      </c>
      <c r="X12">
        <v>0</v>
      </c>
      <c r="Y12">
        <v>0</v>
      </c>
      <c r="Z12">
        <v>-503</v>
      </c>
      <c r="AD12" t="s">
        <v>50</v>
      </c>
      <c r="AE12" t="s">
        <v>92</v>
      </c>
      <c r="AF12" t="s">
        <v>50</v>
      </c>
      <c r="AG12">
        <v>13727240000134</v>
      </c>
      <c r="AH12" t="s">
        <v>44</v>
      </c>
    </row>
    <row r="13" spans="1:34" x14ac:dyDescent="0.3">
      <c r="A13">
        <v>101</v>
      </c>
      <c r="B13" t="s">
        <v>34</v>
      </c>
      <c r="C13">
        <v>2</v>
      </c>
      <c r="D13" s="1" t="s">
        <v>95</v>
      </c>
      <c r="E13" s="1" t="s">
        <v>36</v>
      </c>
      <c r="G13">
        <v>464600</v>
      </c>
      <c r="H13" t="s">
        <v>89</v>
      </c>
      <c r="I13" t="s">
        <v>90</v>
      </c>
      <c r="J13">
        <v>40</v>
      </c>
      <c r="K13">
        <v>464600</v>
      </c>
      <c r="L13">
        <v>50033</v>
      </c>
      <c r="M13" t="s">
        <v>39</v>
      </c>
      <c r="N13">
        <v>1</v>
      </c>
      <c r="O13" s="2">
        <v>46239</v>
      </c>
      <c r="P13" s="2">
        <v>46259</v>
      </c>
      <c r="R13" t="s">
        <v>96</v>
      </c>
      <c r="S13" t="str">
        <f>"0000050412370"</f>
        <v>0000050412370</v>
      </c>
      <c r="T13" t="s">
        <v>41</v>
      </c>
      <c r="U13">
        <v>466.35</v>
      </c>
      <c r="V13">
        <v>466.35</v>
      </c>
      <c r="W13">
        <v>466.35</v>
      </c>
      <c r="X13">
        <v>0</v>
      </c>
      <c r="Y13">
        <v>0</v>
      </c>
      <c r="Z13">
        <v>-484</v>
      </c>
      <c r="AD13" t="s">
        <v>50</v>
      </c>
      <c r="AE13" t="s">
        <v>92</v>
      </c>
      <c r="AF13" t="s">
        <v>50</v>
      </c>
      <c r="AG13">
        <v>13727240000134</v>
      </c>
      <c r="AH13" t="s">
        <v>44</v>
      </c>
    </row>
    <row r="14" spans="1:34" x14ac:dyDescent="0.3">
      <c r="A14">
        <v>101</v>
      </c>
      <c r="B14" t="s">
        <v>34</v>
      </c>
      <c r="C14">
        <v>2</v>
      </c>
      <c r="D14" s="1" t="s">
        <v>97</v>
      </c>
      <c r="E14" s="1" t="s">
        <v>36</v>
      </c>
      <c r="G14">
        <v>464600</v>
      </c>
      <c r="H14" t="s">
        <v>89</v>
      </c>
      <c r="I14" t="s">
        <v>90</v>
      </c>
      <c r="J14">
        <v>40</v>
      </c>
      <c r="K14">
        <v>464600</v>
      </c>
      <c r="L14">
        <v>50033</v>
      </c>
      <c r="M14" t="s">
        <v>39</v>
      </c>
      <c r="N14">
        <v>1</v>
      </c>
      <c r="O14" s="2">
        <v>46239</v>
      </c>
      <c r="P14" s="2">
        <v>46259</v>
      </c>
      <c r="R14" t="s">
        <v>98</v>
      </c>
      <c r="S14" t="str">
        <f>"0000050412337"</f>
        <v>0000050412337</v>
      </c>
      <c r="T14" t="s">
        <v>41</v>
      </c>
      <c r="U14">
        <v>279.41000000000003</v>
      </c>
      <c r="V14">
        <v>279.41000000000003</v>
      </c>
      <c r="W14">
        <v>279.41000000000003</v>
      </c>
      <c r="X14">
        <v>0</v>
      </c>
      <c r="Y14">
        <v>0</v>
      </c>
      <c r="Z14">
        <v>-484</v>
      </c>
      <c r="AD14" t="s">
        <v>50</v>
      </c>
      <c r="AE14" t="s">
        <v>92</v>
      </c>
      <c r="AF14" t="s">
        <v>50</v>
      </c>
      <c r="AG14">
        <v>13727240000134</v>
      </c>
      <c r="AH14" t="s">
        <v>44</v>
      </c>
    </row>
    <row r="15" spans="1:34" x14ac:dyDescent="0.3">
      <c r="A15">
        <v>101</v>
      </c>
      <c r="B15" t="s">
        <v>34</v>
      </c>
      <c r="C15">
        <v>2</v>
      </c>
      <c r="D15" s="1" t="s">
        <v>99</v>
      </c>
      <c r="E15" s="1" t="s">
        <v>36</v>
      </c>
      <c r="G15">
        <v>464600</v>
      </c>
      <c r="H15" t="s">
        <v>89</v>
      </c>
      <c r="I15" t="s">
        <v>90</v>
      </c>
      <c r="J15">
        <v>40</v>
      </c>
      <c r="K15">
        <v>464600</v>
      </c>
      <c r="L15">
        <v>50033</v>
      </c>
      <c r="M15" t="s">
        <v>39</v>
      </c>
      <c r="N15">
        <v>1</v>
      </c>
      <c r="O15" s="2">
        <v>46239</v>
      </c>
      <c r="P15" s="2">
        <v>46259</v>
      </c>
      <c r="R15" t="s">
        <v>100</v>
      </c>
      <c r="S15" t="str">
        <f>"0000050412388"</f>
        <v>0000050412388</v>
      </c>
      <c r="T15" t="s">
        <v>41</v>
      </c>
      <c r="U15">
        <v>131.46</v>
      </c>
      <c r="V15">
        <v>131.46</v>
      </c>
      <c r="W15">
        <v>131.46</v>
      </c>
      <c r="X15">
        <v>0</v>
      </c>
      <c r="Y15">
        <v>0</v>
      </c>
      <c r="Z15">
        <v>-484</v>
      </c>
      <c r="AD15" t="s">
        <v>50</v>
      </c>
      <c r="AE15" t="s">
        <v>92</v>
      </c>
      <c r="AF15" t="s">
        <v>50</v>
      </c>
      <c r="AG15">
        <v>13727240000134</v>
      </c>
      <c r="AH15" t="s">
        <v>44</v>
      </c>
    </row>
    <row r="16" spans="1:34" x14ac:dyDescent="0.3">
      <c r="A16">
        <v>101</v>
      </c>
      <c r="B16" t="s">
        <v>34</v>
      </c>
      <c r="C16">
        <v>2</v>
      </c>
      <c r="D16" s="1" t="s">
        <v>101</v>
      </c>
      <c r="E16" s="1" t="s">
        <v>36</v>
      </c>
      <c r="G16">
        <v>464600</v>
      </c>
      <c r="H16" t="s">
        <v>89</v>
      </c>
      <c r="I16" t="s">
        <v>90</v>
      </c>
      <c r="J16">
        <v>40</v>
      </c>
      <c r="K16">
        <v>464600</v>
      </c>
      <c r="L16">
        <v>50033</v>
      </c>
      <c r="M16" t="s">
        <v>39</v>
      </c>
      <c r="N16">
        <v>1</v>
      </c>
      <c r="O16" s="2">
        <v>46239</v>
      </c>
      <c r="P16" s="2">
        <v>46259</v>
      </c>
      <c r="R16" t="s">
        <v>102</v>
      </c>
      <c r="S16" t="str">
        <f>"0000050412396"</f>
        <v>0000050412396</v>
      </c>
      <c r="T16" t="s">
        <v>41</v>
      </c>
      <c r="U16">
        <v>208.08</v>
      </c>
      <c r="V16">
        <v>208.08</v>
      </c>
      <c r="W16">
        <v>208.08</v>
      </c>
      <c r="X16">
        <v>0</v>
      </c>
      <c r="Y16">
        <v>0</v>
      </c>
      <c r="Z16">
        <v>-484</v>
      </c>
      <c r="AD16" t="s">
        <v>50</v>
      </c>
      <c r="AE16" t="s">
        <v>92</v>
      </c>
      <c r="AF16" t="s">
        <v>50</v>
      </c>
      <c r="AG16">
        <v>13727240000134</v>
      </c>
      <c r="AH16" t="s">
        <v>44</v>
      </c>
    </row>
    <row r="17" spans="1:34" x14ac:dyDescent="0.3">
      <c r="A17">
        <v>101</v>
      </c>
      <c r="B17" t="s">
        <v>34</v>
      </c>
      <c r="C17">
        <v>2</v>
      </c>
      <c r="D17" s="1" t="s">
        <v>103</v>
      </c>
      <c r="E17" s="1" t="s">
        <v>36</v>
      </c>
      <c r="G17">
        <v>464600</v>
      </c>
      <c r="H17" t="s">
        <v>89</v>
      </c>
      <c r="I17" t="s">
        <v>90</v>
      </c>
      <c r="J17">
        <v>40</v>
      </c>
      <c r="K17">
        <v>464600</v>
      </c>
      <c r="L17">
        <v>50033</v>
      </c>
      <c r="M17" t="s">
        <v>39</v>
      </c>
      <c r="N17">
        <v>1</v>
      </c>
      <c r="O17" s="2">
        <v>46239</v>
      </c>
      <c r="P17" s="2">
        <v>46259</v>
      </c>
      <c r="R17" t="s">
        <v>104</v>
      </c>
      <c r="S17" t="str">
        <f>"0000050412418"</f>
        <v>0000050412418</v>
      </c>
      <c r="T17" t="s">
        <v>41</v>
      </c>
      <c r="U17">
        <v>122.19</v>
      </c>
      <c r="V17">
        <v>122.19</v>
      </c>
      <c r="W17">
        <v>122.19</v>
      </c>
      <c r="X17">
        <v>0</v>
      </c>
      <c r="Y17">
        <v>0</v>
      </c>
      <c r="Z17">
        <v>-484</v>
      </c>
      <c r="AD17" t="s">
        <v>50</v>
      </c>
      <c r="AE17" t="s">
        <v>92</v>
      </c>
      <c r="AF17" t="s">
        <v>50</v>
      </c>
      <c r="AG17">
        <v>13727240000134</v>
      </c>
      <c r="AH17" t="s">
        <v>44</v>
      </c>
    </row>
    <row r="18" spans="1:34" x14ac:dyDescent="0.3">
      <c r="A18">
        <v>101</v>
      </c>
      <c r="B18" t="s">
        <v>34</v>
      </c>
      <c r="C18">
        <v>2</v>
      </c>
      <c r="D18" s="1" t="s">
        <v>105</v>
      </c>
      <c r="E18" s="1" t="s">
        <v>36</v>
      </c>
      <c r="G18">
        <v>464600</v>
      </c>
      <c r="H18" t="s">
        <v>89</v>
      </c>
      <c r="I18" t="s">
        <v>90</v>
      </c>
      <c r="J18">
        <v>40</v>
      </c>
      <c r="K18">
        <v>464600</v>
      </c>
      <c r="L18">
        <v>50033</v>
      </c>
      <c r="M18" t="s">
        <v>39</v>
      </c>
      <c r="N18">
        <v>1</v>
      </c>
      <c r="O18" s="2">
        <v>46239</v>
      </c>
      <c r="P18" s="2">
        <v>46259</v>
      </c>
      <c r="R18" t="s">
        <v>106</v>
      </c>
      <c r="S18" t="str">
        <f>"0000050412442"</f>
        <v>0000050412442</v>
      </c>
      <c r="T18" t="s">
        <v>41</v>
      </c>
      <c r="U18">
        <v>3342.33</v>
      </c>
      <c r="V18">
        <v>3342.33</v>
      </c>
      <c r="W18">
        <v>3342.33</v>
      </c>
      <c r="X18">
        <v>0</v>
      </c>
      <c r="Y18">
        <v>0</v>
      </c>
      <c r="Z18">
        <v>-484</v>
      </c>
      <c r="AD18" t="s">
        <v>50</v>
      </c>
      <c r="AE18" t="s">
        <v>92</v>
      </c>
      <c r="AF18" t="s">
        <v>50</v>
      </c>
      <c r="AG18">
        <v>13727240000134</v>
      </c>
      <c r="AH18" t="s">
        <v>44</v>
      </c>
    </row>
    <row r="19" spans="1:34" x14ac:dyDescent="0.3">
      <c r="A19">
        <v>101</v>
      </c>
      <c r="B19" t="s">
        <v>34</v>
      </c>
      <c r="C19">
        <v>2</v>
      </c>
      <c r="D19" s="1" t="s">
        <v>107</v>
      </c>
      <c r="E19" s="1" t="s">
        <v>36</v>
      </c>
      <c r="G19">
        <v>464600</v>
      </c>
      <c r="H19" t="s">
        <v>89</v>
      </c>
      <c r="I19" t="s">
        <v>90</v>
      </c>
      <c r="J19">
        <v>40</v>
      </c>
      <c r="K19">
        <v>464600</v>
      </c>
      <c r="L19">
        <v>50033</v>
      </c>
      <c r="M19" t="s">
        <v>39</v>
      </c>
      <c r="N19">
        <v>1</v>
      </c>
      <c r="O19" s="2">
        <v>46239</v>
      </c>
      <c r="P19" s="2">
        <v>46259</v>
      </c>
      <c r="R19" t="s">
        <v>108</v>
      </c>
      <c r="S19" t="str">
        <f>"0000050412345"</f>
        <v>0000050412345</v>
      </c>
      <c r="T19" t="s">
        <v>41</v>
      </c>
      <c r="U19">
        <v>154.86000000000001</v>
      </c>
      <c r="V19">
        <v>154.86000000000001</v>
      </c>
      <c r="W19">
        <v>154.86000000000001</v>
      </c>
      <c r="X19">
        <v>0</v>
      </c>
      <c r="Y19">
        <v>0</v>
      </c>
      <c r="Z19">
        <v>-484</v>
      </c>
      <c r="AD19" t="s">
        <v>50</v>
      </c>
      <c r="AE19" t="s">
        <v>92</v>
      </c>
      <c r="AF19" t="s">
        <v>50</v>
      </c>
      <c r="AG19">
        <v>13727240000134</v>
      </c>
      <c r="AH19" t="s">
        <v>44</v>
      </c>
    </row>
    <row r="20" spans="1:34" x14ac:dyDescent="0.3">
      <c r="A20">
        <v>104</v>
      </c>
      <c r="B20" t="s">
        <v>34</v>
      </c>
      <c r="C20">
        <v>4</v>
      </c>
      <c r="D20" s="1" t="s">
        <v>109</v>
      </c>
      <c r="E20" s="1" t="s">
        <v>36</v>
      </c>
      <c r="G20">
        <v>464600</v>
      </c>
      <c r="H20" t="s">
        <v>89</v>
      </c>
      <c r="I20" t="s">
        <v>90</v>
      </c>
      <c r="J20">
        <v>40</v>
      </c>
      <c r="K20">
        <v>464600</v>
      </c>
      <c r="L20">
        <v>50033</v>
      </c>
      <c r="M20" t="s">
        <v>39</v>
      </c>
      <c r="N20">
        <v>1</v>
      </c>
      <c r="O20" s="2">
        <v>46239</v>
      </c>
      <c r="P20" s="2">
        <v>46259</v>
      </c>
      <c r="R20" t="s">
        <v>110</v>
      </c>
      <c r="S20" t="str">
        <f>"0000050412426"</f>
        <v>0000050412426</v>
      </c>
      <c r="T20" t="s">
        <v>41</v>
      </c>
      <c r="U20">
        <v>418.65</v>
      </c>
      <c r="V20">
        <v>418.65</v>
      </c>
      <c r="W20">
        <v>418.65</v>
      </c>
      <c r="X20">
        <v>0</v>
      </c>
      <c r="Y20">
        <v>0</v>
      </c>
      <c r="Z20">
        <v>-484</v>
      </c>
      <c r="AD20" t="s">
        <v>50</v>
      </c>
      <c r="AE20" t="s">
        <v>92</v>
      </c>
      <c r="AF20" t="s">
        <v>50</v>
      </c>
      <c r="AG20">
        <v>13727240000134</v>
      </c>
      <c r="AH20" t="s">
        <v>44</v>
      </c>
    </row>
    <row r="21" spans="1:34" x14ac:dyDescent="0.3">
      <c r="A21">
        <v>104</v>
      </c>
      <c r="B21" t="s">
        <v>34</v>
      </c>
      <c r="C21">
        <v>4</v>
      </c>
      <c r="D21" s="1" t="s">
        <v>111</v>
      </c>
      <c r="E21" s="1" t="s">
        <v>36</v>
      </c>
      <c r="G21">
        <v>464600</v>
      </c>
      <c r="H21" t="s">
        <v>89</v>
      </c>
      <c r="I21" t="s">
        <v>90</v>
      </c>
      <c r="J21">
        <v>40</v>
      </c>
      <c r="K21">
        <v>464600</v>
      </c>
      <c r="L21">
        <v>50033</v>
      </c>
      <c r="M21" t="s">
        <v>39</v>
      </c>
      <c r="N21">
        <v>1</v>
      </c>
      <c r="O21" s="2">
        <v>46239</v>
      </c>
      <c r="P21" s="2">
        <v>46259</v>
      </c>
      <c r="R21" t="s">
        <v>112</v>
      </c>
      <c r="S21" t="str">
        <f>"0000050412353"</f>
        <v>0000050412353</v>
      </c>
      <c r="T21" t="s">
        <v>41</v>
      </c>
      <c r="U21">
        <v>129.72</v>
      </c>
      <c r="V21">
        <v>129.72</v>
      </c>
      <c r="W21">
        <v>129.72</v>
      </c>
      <c r="X21">
        <v>0</v>
      </c>
      <c r="Y21">
        <v>0</v>
      </c>
      <c r="Z21">
        <v>-484</v>
      </c>
      <c r="AD21" t="s">
        <v>50</v>
      </c>
      <c r="AE21" t="s">
        <v>92</v>
      </c>
      <c r="AF21" t="s">
        <v>50</v>
      </c>
      <c r="AG21">
        <v>13727240000134</v>
      </c>
      <c r="AH21" t="s">
        <v>44</v>
      </c>
    </row>
    <row r="22" spans="1:34" x14ac:dyDescent="0.3">
      <c r="A22">
        <v>104</v>
      </c>
      <c r="B22" t="s">
        <v>34</v>
      </c>
      <c r="C22">
        <v>4</v>
      </c>
      <c r="D22" s="1" t="s">
        <v>113</v>
      </c>
      <c r="E22" s="1" t="s">
        <v>36</v>
      </c>
      <c r="G22">
        <v>464600</v>
      </c>
      <c r="H22" t="s">
        <v>89</v>
      </c>
      <c r="I22" t="s">
        <v>90</v>
      </c>
      <c r="J22">
        <v>40</v>
      </c>
      <c r="K22">
        <v>464600</v>
      </c>
      <c r="L22">
        <v>50033</v>
      </c>
      <c r="M22" t="s">
        <v>39</v>
      </c>
      <c r="N22">
        <v>1</v>
      </c>
      <c r="O22" s="2">
        <v>46239</v>
      </c>
      <c r="P22" s="2">
        <v>46259</v>
      </c>
      <c r="R22" t="s">
        <v>114</v>
      </c>
      <c r="S22" t="str">
        <f>"0000050412400"</f>
        <v>0000050412400</v>
      </c>
      <c r="T22" t="s">
        <v>41</v>
      </c>
      <c r="U22">
        <v>104.7</v>
      </c>
      <c r="V22">
        <v>104.7</v>
      </c>
      <c r="W22">
        <v>104.7</v>
      </c>
      <c r="X22">
        <v>0</v>
      </c>
      <c r="Y22">
        <v>0</v>
      </c>
      <c r="Z22">
        <v>-484</v>
      </c>
      <c r="AD22" t="s">
        <v>50</v>
      </c>
      <c r="AE22" t="s">
        <v>92</v>
      </c>
      <c r="AF22" t="s">
        <v>50</v>
      </c>
      <c r="AG22">
        <v>13727240000134</v>
      </c>
      <c r="AH22" t="s">
        <v>44</v>
      </c>
    </row>
    <row r="23" spans="1:34" x14ac:dyDescent="0.3">
      <c r="A23">
        <v>101</v>
      </c>
      <c r="B23" t="s">
        <v>34</v>
      </c>
      <c r="C23">
        <v>2</v>
      </c>
      <c r="D23" s="1" t="s">
        <v>115</v>
      </c>
      <c r="E23" s="1" t="s">
        <v>116</v>
      </c>
      <c r="G23">
        <v>470892</v>
      </c>
      <c r="H23" t="s">
        <v>117</v>
      </c>
      <c r="I23" t="s">
        <v>118</v>
      </c>
      <c r="J23">
        <v>30</v>
      </c>
      <c r="K23">
        <v>470892</v>
      </c>
      <c r="L23">
        <v>95000</v>
      </c>
      <c r="M23" t="s">
        <v>69</v>
      </c>
      <c r="N23">
        <v>1</v>
      </c>
      <c r="O23" s="2">
        <v>46192</v>
      </c>
      <c r="P23" s="2">
        <v>46276</v>
      </c>
      <c r="R23" t="s">
        <v>119</v>
      </c>
      <c r="S23" t="str">
        <f>""</f>
        <v/>
      </c>
      <c r="T23" t="s">
        <v>41</v>
      </c>
      <c r="U23">
        <v>4918.32</v>
      </c>
      <c r="V23">
        <v>4918.32</v>
      </c>
      <c r="W23">
        <v>4918.32</v>
      </c>
      <c r="X23">
        <v>0</v>
      </c>
      <c r="Y23">
        <v>0</v>
      </c>
      <c r="Z23">
        <v>-501</v>
      </c>
      <c r="AD23" t="s">
        <v>57</v>
      </c>
      <c r="AF23" t="s">
        <v>57</v>
      </c>
      <c r="AG23">
        <v>48826140000140</v>
      </c>
      <c r="AH23" t="s">
        <v>44</v>
      </c>
    </row>
    <row r="24" spans="1:34" x14ac:dyDescent="0.3">
      <c r="A24">
        <v>101</v>
      </c>
      <c r="B24" t="s">
        <v>34</v>
      </c>
      <c r="C24">
        <v>2</v>
      </c>
      <c r="D24" s="1" t="s">
        <v>120</v>
      </c>
      <c r="E24" s="1" t="s">
        <v>116</v>
      </c>
      <c r="G24">
        <v>470892</v>
      </c>
      <c r="H24" t="s">
        <v>117</v>
      </c>
      <c r="I24" t="s">
        <v>118</v>
      </c>
      <c r="J24">
        <v>30</v>
      </c>
      <c r="K24">
        <v>470892</v>
      </c>
      <c r="L24">
        <v>95000</v>
      </c>
      <c r="M24" t="s">
        <v>69</v>
      </c>
      <c r="N24">
        <v>1</v>
      </c>
      <c r="O24" s="2">
        <v>46192</v>
      </c>
      <c r="P24" s="2">
        <v>46276</v>
      </c>
      <c r="R24" t="s">
        <v>121</v>
      </c>
      <c r="S24" t="str">
        <f>""</f>
        <v/>
      </c>
      <c r="T24" t="s">
        <v>41</v>
      </c>
      <c r="U24">
        <v>5078.34</v>
      </c>
      <c r="V24">
        <v>5078.34</v>
      </c>
      <c r="W24">
        <v>5078.34</v>
      </c>
      <c r="X24">
        <v>0</v>
      </c>
      <c r="Y24">
        <v>0</v>
      </c>
      <c r="Z24">
        <v>-501</v>
      </c>
      <c r="AD24" t="s">
        <v>57</v>
      </c>
      <c r="AF24" t="s">
        <v>57</v>
      </c>
      <c r="AG24">
        <v>48826140000140</v>
      </c>
      <c r="AH24" t="s">
        <v>44</v>
      </c>
    </row>
    <row r="25" spans="1:34" x14ac:dyDescent="0.3">
      <c r="A25">
        <v>101</v>
      </c>
      <c r="B25" t="s">
        <v>34</v>
      </c>
      <c r="C25">
        <v>2</v>
      </c>
      <c r="D25" s="1" t="s">
        <v>120</v>
      </c>
      <c r="E25" s="1" t="s">
        <v>122</v>
      </c>
      <c r="G25">
        <v>470892</v>
      </c>
      <c r="H25" t="s">
        <v>117</v>
      </c>
      <c r="I25" t="s">
        <v>118</v>
      </c>
      <c r="J25">
        <v>30</v>
      </c>
      <c r="K25">
        <v>470892</v>
      </c>
      <c r="L25">
        <v>95000</v>
      </c>
      <c r="M25" t="s">
        <v>69</v>
      </c>
      <c r="N25">
        <v>1</v>
      </c>
      <c r="O25" s="2">
        <v>46192</v>
      </c>
      <c r="P25" s="2">
        <v>46248</v>
      </c>
      <c r="R25" t="s">
        <v>121</v>
      </c>
      <c r="S25" t="str">
        <f>""</f>
        <v/>
      </c>
      <c r="T25" t="s">
        <v>41</v>
      </c>
      <c r="U25">
        <v>5076.83</v>
      </c>
      <c r="V25">
        <v>76.83</v>
      </c>
      <c r="W25">
        <v>76.83</v>
      </c>
      <c r="X25">
        <v>0</v>
      </c>
      <c r="Y25">
        <v>0</v>
      </c>
      <c r="Z25">
        <v>-473</v>
      </c>
      <c r="AD25" t="s">
        <v>57</v>
      </c>
      <c r="AF25" t="s">
        <v>57</v>
      </c>
      <c r="AG25">
        <v>48826140000140</v>
      </c>
      <c r="AH25" t="s">
        <v>44</v>
      </c>
    </row>
    <row r="26" spans="1:34" x14ac:dyDescent="0.3">
      <c r="A26">
        <v>101</v>
      </c>
      <c r="B26" t="s">
        <v>34</v>
      </c>
      <c r="C26">
        <v>2</v>
      </c>
      <c r="D26" s="1" t="s">
        <v>115</v>
      </c>
      <c r="E26" s="1" t="s">
        <v>122</v>
      </c>
      <c r="G26">
        <v>470892</v>
      </c>
      <c r="H26" t="s">
        <v>117</v>
      </c>
      <c r="I26" t="s">
        <v>118</v>
      </c>
      <c r="J26">
        <v>30</v>
      </c>
      <c r="K26">
        <v>470892</v>
      </c>
      <c r="L26">
        <v>95000</v>
      </c>
      <c r="M26" t="s">
        <v>69</v>
      </c>
      <c r="N26">
        <v>1</v>
      </c>
      <c r="O26" s="2">
        <v>46192</v>
      </c>
      <c r="P26" s="2">
        <v>46248</v>
      </c>
      <c r="R26" t="s">
        <v>119</v>
      </c>
      <c r="S26" t="str">
        <f>""</f>
        <v/>
      </c>
      <c r="T26" t="s">
        <v>41</v>
      </c>
      <c r="U26">
        <v>4916.84</v>
      </c>
      <c r="V26">
        <v>4916.84</v>
      </c>
      <c r="W26">
        <v>4916.84</v>
      </c>
      <c r="X26">
        <v>0</v>
      </c>
      <c r="Y26">
        <v>0</v>
      </c>
      <c r="Z26">
        <v>-473</v>
      </c>
      <c r="AD26" t="s">
        <v>57</v>
      </c>
      <c r="AF26" t="s">
        <v>57</v>
      </c>
      <c r="AG26">
        <v>48826140000140</v>
      </c>
      <c r="AH26" t="s">
        <v>44</v>
      </c>
    </row>
    <row r="27" spans="1:34" x14ac:dyDescent="0.3">
      <c r="A27">
        <v>101</v>
      </c>
      <c r="B27" t="s">
        <v>34</v>
      </c>
      <c r="C27">
        <v>2</v>
      </c>
      <c r="D27" s="1" t="s">
        <v>123</v>
      </c>
      <c r="E27" s="1" t="s">
        <v>36</v>
      </c>
      <c r="G27">
        <v>526</v>
      </c>
      <c r="H27" t="s">
        <v>124</v>
      </c>
      <c r="I27" t="s">
        <v>125</v>
      </c>
      <c r="J27">
        <v>12</v>
      </c>
      <c r="K27">
        <v>1162</v>
      </c>
      <c r="L27">
        <v>95000</v>
      </c>
      <c r="M27" t="s">
        <v>69</v>
      </c>
      <c r="N27">
        <v>17</v>
      </c>
      <c r="O27" s="2">
        <v>46235</v>
      </c>
      <c r="P27" s="2">
        <v>46280</v>
      </c>
      <c r="R27" t="s">
        <v>126</v>
      </c>
      <c r="S27" t="str">
        <f>""</f>
        <v/>
      </c>
      <c r="T27" t="s">
        <v>41</v>
      </c>
      <c r="U27">
        <v>1967.53</v>
      </c>
      <c r="V27">
        <v>1869.15</v>
      </c>
      <c r="W27">
        <v>1869.15</v>
      </c>
      <c r="X27">
        <v>0</v>
      </c>
      <c r="Y27">
        <v>0</v>
      </c>
      <c r="Z27">
        <v>-505</v>
      </c>
      <c r="AA27">
        <v>1717</v>
      </c>
      <c r="AD27" t="s">
        <v>127</v>
      </c>
      <c r="AE27" t="s">
        <v>128</v>
      </c>
      <c r="AF27" t="s">
        <v>127</v>
      </c>
      <c r="AG27">
        <v>67228536000130</v>
      </c>
      <c r="AH27" t="s">
        <v>44</v>
      </c>
    </row>
    <row r="28" spans="1:34" x14ac:dyDescent="0.3">
      <c r="A28">
        <v>101</v>
      </c>
      <c r="B28" t="s">
        <v>34</v>
      </c>
      <c r="C28">
        <v>2</v>
      </c>
      <c r="D28" s="1" t="s">
        <v>129</v>
      </c>
      <c r="E28" s="1" t="s">
        <v>36</v>
      </c>
      <c r="G28">
        <v>1231</v>
      </c>
      <c r="H28" t="s">
        <v>130</v>
      </c>
      <c r="I28" t="s">
        <v>131</v>
      </c>
      <c r="J28">
        <v>12</v>
      </c>
      <c r="K28">
        <v>1231</v>
      </c>
      <c r="L28">
        <v>50033</v>
      </c>
      <c r="M28" t="s">
        <v>39</v>
      </c>
      <c r="N28">
        <v>17</v>
      </c>
      <c r="O28" s="2">
        <v>46255</v>
      </c>
      <c r="P28" s="2">
        <v>46283</v>
      </c>
      <c r="R28" t="s">
        <v>132</v>
      </c>
      <c r="S28" t="str">
        <f>"0000050414763"</f>
        <v>0000050414763</v>
      </c>
      <c r="T28" t="s">
        <v>41</v>
      </c>
      <c r="U28">
        <v>207.27</v>
      </c>
      <c r="V28">
        <v>207.27</v>
      </c>
      <c r="W28">
        <v>207.27</v>
      </c>
      <c r="X28">
        <v>0</v>
      </c>
      <c r="Y28">
        <v>0</v>
      </c>
      <c r="Z28">
        <v>-508</v>
      </c>
      <c r="AA28">
        <v>4947</v>
      </c>
      <c r="AD28" t="s">
        <v>133</v>
      </c>
      <c r="AE28" t="s">
        <v>134</v>
      </c>
      <c r="AF28" t="s">
        <v>133</v>
      </c>
      <c r="AG28">
        <v>43460336000140</v>
      </c>
      <c r="AH28" t="s">
        <v>44</v>
      </c>
    </row>
    <row r="29" spans="1:34" x14ac:dyDescent="0.3">
      <c r="A29">
        <v>101</v>
      </c>
      <c r="B29" t="s">
        <v>34</v>
      </c>
      <c r="C29">
        <v>2</v>
      </c>
      <c r="D29" s="1" t="s">
        <v>135</v>
      </c>
      <c r="E29" s="1" t="s">
        <v>36</v>
      </c>
      <c r="G29">
        <v>1441</v>
      </c>
      <c r="H29" t="s">
        <v>136</v>
      </c>
      <c r="I29" t="s">
        <v>137</v>
      </c>
      <c r="J29">
        <v>12</v>
      </c>
      <c r="K29">
        <v>1441</v>
      </c>
      <c r="L29">
        <v>50001</v>
      </c>
      <c r="M29" t="s">
        <v>39</v>
      </c>
      <c r="N29">
        <v>17</v>
      </c>
      <c r="O29" s="2">
        <v>46246</v>
      </c>
      <c r="P29" s="2">
        <v>46276</v>
      </c>
      <c r="R29" t="s">
        <v>138</v>
      </c>
      <c r="S29" t="str">
        <f>"25666160000051882"</f>
        <v>25666160000051882</v>
      </c>
      <c r="T29" t="s">
        <v>41</v>
      </c>
      <c r="U29">
        <v>955.98</v>
      </c>
      <c r="V29">
        <v>955.98</v>
      </c>
      <c r="W29">
        <v>955.98</v>
      </c>
      <c r="X29">
        <v>0</v>
      </c>
      <c r="Y29">
        <v>0</v>
      </c>
      <c r="Z29">
        <v>-501</v>
      </c>
      <c r="AA29">
        <v>4486</v>
      </c>
      <c r="AD29" t="s">
        <v>139</v>
      </c>
      <c r="AE29" t="s">
        <v>140</v>
      </c>
      <c r="AF29" t="s">
        <v>139</v>
      </c>
      <c r="AG29">
        <v>50582170000108</v>
      </c>
      <c r="AH29" t="s">
        <v>44</v>
      </c>
    </row>
    <row r="30" spans="1:34" x14ac:dyDescent="0.3">
      <c r="A30">
        <v>101</v>
      </c>
      <c r="B30" t="s">
        <v>34</v>
      </c>
      <c r="C30">
        <v>2</v>
      </c>
      <c r="D30" s="1" t="s">
        <v>141</v>
      </c>
      <c r="E30" s="1" t="s">
        <v>36</v>
      </c>
      <c r="G30">
        <v>1441</v>
      </c>
      <c r="H30" t="s">
        <v>136</v>
      </c>
      <c r="I30" t="s">
        <v>137</v>
      </c>
      <c r="J30">
        <v>12</v>
      </c>
      <c r="K30">
        <v>1441</v>
      </c>
      <c r="L30">
        <v>50001</v>
      </c>
      <c r="M30" t="s">
        <v>39</v>
      </c>
      <c r="N30">
        <v>17</v>
      </c>
      <c r="O30" s="2">
        <v>46246</v>
      </c>
      <c r="P30" s="2">
        <v>46276</v>
      </c>
      <c r="R30" t="s">
        <v>142</v>
      </c>
      <c r="S30" t="str">
        <f>"25666160000051852"</f>
        <v>25666160000051852</v>
      </c>
      <c r="T30" t="s">
        <v>41</v>
      </c>
      <c r="U30">
        <v>13430.59</v>
      </c>
      <c r="V30">
        <v>13430.59</v>
      </c>
      <c r="W30">
        <v>13430.59</v>
      </c>
      <c r="X30">
        <v>0</v>
      </c>
      <c r="Y30">
        <v>0</v>
      </c>
      <c r="Z30">
        <v>-501</v>
      </c>
      <c r="AA30">
        <v>4486</v>
      </c>
      <c r="AD30" t="s">
        <v>139</v>
      </c>
      <c r="AE30" t="s">
        <v>140</v>
      </c>
      <c r="AF30" t="s">
        <v>139</v>
      </c>
      <c r="AG30">
        <v>50582170000108</v>
      </c>
      <c r="AH30" t="s">
        <v>44</v>
      </c>
    </row>
    <row r="31" spans="1:34" x14ac:dyDescent="0.3">
      <c r="A31">
        <v>101</v>
      </c>
      <c r="B31" t="s">
        <v>34</v>
      </c>
      <c r="C31">
        <v>2</v>
      </c>
      <c r="D31" s="1" t="s">
        <v>143</v>
      </c>
      <c r="E31" s="1" t="s">
        <v>36</v>
      </c>
      <c r="G31">
        <v>2170</v>
      </c>
      <c r="H31" t="s">
        <v>144</v>
      </c>
      <c r="I31" t="s">
        <v>145</v>
      </c>
      <c r="J31">
        <v>12</v>
      </c>
      <c r="K31">
        <v>2170</v>
      </c>
      <c r="L31">
        <v>50341</v>
      </c>
      <c r="M31" t="s">
        <v>146</v>
      </c>
      <c r="N31">
        <v>17</v>
      </c>
      <c r="O31" s="2">
        <v>46219</v>
      </c>
      <c r="P31" s="2">
        <v>46264</v>
      </c>
      <c r="R31" t="s">
        <v>147</v>
      </c>
      <c r="S31" t="str">
        <f>"00013156"</f>
        <v>00013156</v>
      </c>
      <c r="T31" t="s">
        <v>41</v>
      </c>
      <c r="U31">
        <v>5508.25</v>
      </c>
      <c r="V31">
        <v>5508.25</v>
      </c>
      <c r="W31">
        <v>5508.25</v>
      </c>
      <c r="X31">
        <v>0</v>
      </c>
      <c r="Y31">
        <v>0</v>
      </c>
      <c r="Z31">
        <v>-489</v>
      </c>
      <c r="AA31">
        <v>1244</v>
      </c>
      <c r="AD31" t="s">
        <v>139</v>
      </c>
      <c r="AE31" t="s">
        <v>148</v>
      </c>
      <c r="AF31" t="s">
        <v>139</v>
      </c>
      <c r="AG31">
        <v>71782163000111</v>
      </c>
      <c r="AH31" t="s">
        <v>44</v>
      </c>
    </row>
    <row r="32" spans="1:34" x14ac:dyDescent="0.3">
      <c r="A32">
        <v>101</v>
      </c>
      <c r="B32" t="s">
        <v>34</v>
      </c>
      <c r="C32">
        <v>2</v>
      </c>
      <c r="D32" s="1" t="s">
        <v>149</v>
      </c>
      <c r="E32" s="1" t="s">
        <v>36</v>
      </c>
      <c r="G32">
        <v>3791</v>
      </c>
      <c r="H32" t="s">
        <v>150</v>
      </c>
      <c r="I32" t="s">
        <v>151</v>
      </c>
      <c r="J32">
        <v>12</v>
      </c>
      <c r="K32">
        <v>9454</v>
      </c>
      <c r="L32">
        <v>50001</v>
      </c>
      <c r="M32" t="s">
        <v>39</v>
      </c>
      <c r="N32">
        <v>17</v>
      </c>
      <c r="O32" s="2">
        <v>46231</v>
      </c>
      <c r="P32" s="2">
        <v>46261</v>
      </c>
      <c r="R32" t="s">
        <v>152</v>
      </c>
      <c r="S32" t="str">
        <f>"25666160000051664"</f>
        <v>25666160000051664</v>
      </c>
      <c r="T32" t="s">
        <v>41</v>
      </c>
      <c r="U32">
        <v>8338.24</v>
      </c>
      <c r="V32">
        <v>8338.24</v>
      </c>
      <c r="W32">
        <v>8338.24</v>
      </c>
      <c r="X32">
        <v>0</v>
      </c>
      <c r="Y32">
        <v>0</v>
      </c>
      <c r="Z32">
        <v>-486</v>
      </c>
      <c r="AA32">
        <v>1773</v>
      </c>
      <c r="AD32" t="s">
        <v>153</v>
      </c>
      <c r="AE32" t="s">
        <v>154</v>
      </c>
      <c r="AF32" t="s">
        <v>153</v>
      </c>
      <c r="AG32">
        <v>61168464000104</v>
      </c>
      <c r="AH32" t="s">
        <v>44</v>
      </c>
    </row>
    <row r="33" spans="1:34" x14ac:dyDescent="0.3">
      <c r="A33">
        <v>101</v>
      </c>
      <c r="B33" t="s">
        <v>34</v>
      </c>
      <c r="C33">
        <v>2</v>
      </c>
      <c r="D33" s="1" t="s">
        <v>149</v>
      </c>
      <c r="E33" s="1" t="s">
        <v>122</v>
      </c>
      <c r="G33">
        <v>3791</v>
      </c>
      <c r="H33" t="s">
        <v>150</v>
      </c>
      <c r="I33" t="s">
        <v>151</v>
      </c>
      <c r="J33">
        <v>12</v>
      </c>
      <c r="K33">
        <v>9454</v>
      </c>
      <c r="L33">
        <v>50001</v>
      </c>
      <c r="M33" t="s">
        <v>39</v>
      </c>
      <c r="N33">
        <v>17</v>
      </c>
      <c r="O33" s="2">
        <v>46231</v>
      </c>
      <c r="P33" s="2">
        <v>46276</v>
      </c>
      <c r="R33" t="s">
        <v>152</v>
      </c>
      <c r="S33" t="str">
        <f>"25666160000051665"</f>
        <v>25666160000051665</v>
      </c>
      <c r="T33" t="s">
        <v>41</v>
      </c>
      <c r="U33">
        <v>6825.18</v>
      </c>
      <c r="V33">
        <v>6825.18</v>
      </c>
      <c r="W33">
        <v>6825.18</v>
      </c>
      <c r="X33">
        <v>0</v>
      </c>
      <c r="Y33">
        <v>0</v>
      </c>
      <c r="Z33">
        <v>-501</v>
      </c>
      <c r="AA33">
        <v>1773</v>
      </c>
      <c r="AD33" t="s">
        <v>153</v>
      </c>
      <c r="AE33" t="s">
        <v>154</v>
      </c>
      <c r="AF33" t="s">
        <v>153</v>
      </c>
      <c r="AG33">
        <v>61168464000104</v>
      </c>
      <c r="AH33" t="s">
        <v>44</v>
      </c>
    </row>
    <row r="34" spans="1:34" x14ac:dyDescent="0.3">
      <c r="A34">
        <v>101</v>
      </c>
      <c r="B34" t="s">
        <v>34</v>
      </c>
      <c r="C34">
        <v>2</v>
      </c>
      <c r="D34" s="1" t="s">
        <v>155</v>
      </c>
      <c r="E34" s="1" t="s">
        <v>36</v>
      </c>
      <c r="G34">
        <v>4858</v>
      </c>
      <c r="H34" t="s">
        <v>156</v>
      </c>
      <c r="I34" t="s">
        <v>157</v>
      </c>
      <c r="J34">
        <v>50</v>
      </c>
      <c r="K34">
        <v>4858</v>
      </c>
      <c r="L34">
        <v>50341</v>
      </c>
      <c r="M34" t="s">
        <v>146</v>
      </c>
      <c r="N34">
        <v>17</v>
      </c>
      <c r="O34" s="2">
        <v>46239</v>
      </c>
      <c r="P34" s="2">
        <v>46267</v>
      </c>
      <c r="R34" t="s">
        <v>158</v>
      </c>
      <c r="S34" t="str">
        <f>"00013595"</f>
        <v>00013595</v>
      </c>
      <c r="T34" t="s">
        <v>41</v>
      </c>
      <c r="U34">
        <v>6939.52</v>
      </c>
      <c r="V34">
        <v>6939.52</v>
      </c>
      <c r="W34">
        <v>6939.52</v>
      </c>
      <c r="X34">
        <v>0</v>
      </c>
      <c r="Y34">
        <v>0</v>
      </c>
      <c r="Z34">
        <v>-492</v>
      </c>
      <c r="AA34">
        <v>4260</v>
      </c>
      <c r="AD34" t="s">
        <v>127</v>
      </c>
      <c r="AE34" t="s">
        <v>159</v>
      </c>
      <c r="AF34" t="s">
        <v>127</v>
      </c>
      <c r="AG34">
        <v>44800555000193</v>
      </c>
      <c r="AH34" t="s">
        <v>44</v>
      </c>
    </row>
    <row r="35" spans="1:34" x14ac:dyDescent="0.3">
      <c r="A35">
        <v>101</v>
      </c>
      <c r="B35" t="s">
        <v>34</v>
      </c>
      <c r="C35">
        <v>2</v>
      </c>
      <c r="D35" s="1" t="s">
        <v>160</v>
      </c>
      <c r="E35" s="1" t="s">
        <v>122</v>
      </c>
      <c r="G35">
        <v>8436</v>
      </c>
      <c r="H35" t="s">
        <v>161</v>
      </c>
      <c r="I35" t="s">
        <v>162</v>
      </c>
      <c r="J35">
        <v>12</v>
      </c>
      <c r="K35">
        <v>9454</v>
      </c>
      <c r="L35">
        <v>50001</v>
      </c>
      <c r="M35" t="s">
        <v>39</v>
      </c>
      <c r="N35">
        <v>17</v>
      </c>
      <c r="O35" s="2">
        <v>46231</v>
      </c>
      <c r="P35" s="2">
        <v>46276</v>
      </c>
      <c r="R35" t="s">
        <v>163</v>
      </c>
      <c r="S35" t="str">
        <f>"25666160000051667"</f>
        <v>25666160000051667</v>
      </c>
      <c r="T35" t="s">
        <v>41</v>
      </c>
      <c r="U35">
        <v>1343.5</v>
      </c>
      <c r="V35">
        <v>1343.5</v>
      </c>
      <c r="W35">
        <v>1343.5</v>
      </c>
      <c r="X35">
        <v>0</v>
      </c>
      <c r="Y35">
        <v>0</v>
      </c>
      <c r="Z35">
        <v>-501</v>
      </c>
      <c r="AA35">
        <v>1775</v>
      </c>
      <c r="AD35" t="s">
        <v>164</v>
      </c>
      <c r="AE35" t="s">
        <v>154</v>
      </c>
      <c r="AF35" t="s">
        <v>164</v>
      </c>
      <c r="AG35">
        <v>61168464000287</v>
      </c>
      <c r="AH35" t="s">
        <v>44</v>
      </c>
    </row>
    <row r="36" spans="1:34" x14ac:dyDescent="0.3">
      <c r="A36">
        <v>101</v>
      </c>
      <c r="B36" t="s">
        <v>34</v>
      </c>
      <c r="C36">
        <v>2</v>
      </c>
      <c r="D36" s="1" t="s">
        <v>160</v>
      </c>
      <c r="E36" s="1" t="s">
        <v>36</v>
      </c>
      <c r="G36">
        <v>8436</v>
      </c>
      <c r="H36" t="s">
        <v>161</v>
      </c>
      <c r="I36" t="s">
        <v>162</v>
      </c>
      <c r="J36">
        <v>12</v>
      </c>
      <c r="K36">
        <v>9454</v>
      </c>
      <c r="L36">
        <v>50001</v>
      </c>
      <c r="M36" t="s">
        <v>39</v>
      </c>
      <c r="N36">
        <v>17</v>
      </c>
      <c r="O36" s="2">
        <v>46231</v>
      </c>
      <c r="P36" s="2">
        <v>46261</v>
      </c>
      <c r="R36" t="s">
        <v>163</v>
      </c>
      <c r="S36" t="str">
        <f>"25666160000051666"</f>
        <v>25666160000051666</v>
      </c>
      <c r="T36" t="s">
        <v>41</v>
      </c>
      <c r="U36">
        <v>1652.57</v>
      </c>
      <c r="V36">
        <v>1652.57</v>
      </c>
      <c r="W36">
        <v>1652.57</v>
      </c>
      <c r="X36">
        <v>0</v>
      </c>
      <c r="Y36">
        <v>0</v>
      </c>
      <c r="Z36">
        <v>-486</v>
      </c>
      <c r="AA36">
        <v>1775</v>
      </c>
      <c r="AD36" t="s">
        <v>164</v>
      </c>
      <c r="AE36" t="s">
        <v>154</v>
      </c>
      <c r="AF36" t="s">
        <v>164</v>
      </c>
      <c r="AG36">
        <v>61168464000287</v>
      </c>
      <c r="AH36" t="s">
        <v>44</v>
      </c>
    </row>
    <row r="37" spans="1:34" x14ac:dyDescent="0.3">
      <c r="A37">
        <v>101</v>
      </c>
      <c r="B37" t="s">
        <v>34</v>
      </c>
      <c r="C37">
        <v>2</v>
      </c>
      <c r="D37" s="1" t="s">
        <v>165</v>
      </c>
      <c r="E37" s="1" t="s">
        <v>36</v>
      </c>
      <c r="G37">
        <v>8701</v>
      </c>
      <c r="H37" t="s">
        <v>166</v>
      </c>
      <c r="I37" t="s">
        <v>167</v>
      </c>
      <c r="J37">
        <v>12</v>
      </c>
      <c r="K37">
        <v>1441</v>
      </c>
      <c r="L37">
        <v>50001</v>
      </c>
      <c r="M37" t="s">
        <v>39</v>
      </c>
      <c r="N37">
        <v>17</v>
      </c>
      <c r="O37" s="2">
        <v>46246</v>
      </c>
      <c r="P37" s="2">
        <v>46276</v>
      </c>
      <c r="R37" t="s">
        <v>168</v>
      </c>
      <c r="S37" t="str">
        <f>"25666160000051857"</f>
        <v>25666160000051857</v>
      </c>
      <c r="T37" t="s">
        <v>41</v>
      </c>
      <c r="U37">
        <v>18198.32</v>
      </c>
      <c r="V37">
        <v>18198.32</v>
      </c>
      <c r="W37">
        <v>18198.32</v>
      </c>
      <c r="X37">
        <v>0</v>
      </c>
      <c r="Y37">
        <v>0</v>
      </c>
      <c r="Z37">
        <v>-501</v>
      </c>
      <c r="AA37">
        <v>4488</v>
      </c>
      <c r="AD37" t="s">
        <v>139</v>
      </c>
      <c r="AE37" t="s">
        <v>169</v>
      </c>
      <c r="AF37" t="s">
        <v>139</v>
      </c>
      <c r="AG37">
        <v>50582170000442</v>
      </c>
      <c r="AH37" t="s">
        <v>44</v>
      </c>
    </row>
    <row r="38" spans="1:34" x14ac:dyDescent="0.3">
      <c r="A38">
        <v>101</v>
      </c>
      <c r="B38" t="s">
        <v>34</v>
      </c>
      <c r="C38">
        <v>2</v>
      </c>
      <c r="D38" s="1" t="s">
        <v>170</v>
      </c>
      <c r="E38" s="1" t="s">
        <v>36</v>
      </c>
      <c r="G38">
        <v>8701</v>
      </c>
      <c r="H38" t="s">
        <v>166</v>
      </c>
      <c r="I38" t="s">
        <v>167</v>
      </c>
      <c r="J38">
        <v>12</v>
      </c>
      <c r="K38">
        <v>1441</v>
      </c>
      <c r="L38">
        <v>50001</v>
      </c>
      <c r="M38" t="s">
        <v>39</v>
      </c>
      <c r="N38">
        <v>17</v>
      </c>
      <c r="O38" s="2">
        <v>46246</v>
      </c>
      <c r="P38" s="2">
        <v>46276</v>
      </c>
      <c r="R38" t="s">
        <v>171</v>
      </c>
      <c r="S38" t="str">
        <f>"25666160000051884"</f>
        <v>25666160000051884</v>
      </c>
      <c r="T38" t="s">
        <v>41</v>
      </c>
      <c r="U38">
        <v>2142.1799999999998</v>
      </c>
      <c r="V38">
        <v>2142.1799999999998</v>
      </c>
      <c r="W38">
        <v>2142.1799999999998</v>
      </c>
      <c r="X38">
        <v>0</v>
      </c>
      <c r="Y38">
        <v>0</v>
      </c>
      <c r="Z38">
        <v>-501</v>
      </c>
      <c r="AA38">
        <v>4488</v>
      </c>
      <c r="AD38" t="s">
        <v>139</v>
      </c>
      <c r="AE38" t="s">
        <v>169</v>
      </c>
      <c r="AF38" t="s">
        <v>139</v>
      </c>
      <c r="AG38">
        <v>50582170000442</v>
      </c>
      <c r="AH38" t="s">
        <v>44</v>
      </c>
    </row>
    <row r="39" spans="1:34" x14ac:dyDescent="0.3">
      <c r="A39">
        <v>101</v>
      </c>
      <c r="B39" t="s">
        <v>34</v>
      </c>
      <c r="C39">
        <v>2</v>
      </c>
      <c r="D39" s="1" t="s">
        <v>172</v>
      </c>
      <c r="E39" s="1" t="s">
        <v>36</v>
      </c>
      <c r="G39">
        <v>9621</v>
      </c>
      <c r="H39" t="s">
        <v>173</v>
      </c>
      <c r="I39" t="s">
        <v>174</v>
      </c>
      <c r="J39">
        <v>12</v>
      </c>
      <c r="K39">
        <v>9621</v>
      </c>
      <c r="L39">
        <v>50001</v>
      </c>
      <c r="M39" t="s">
        <v>39</v>
      </c>
      <c r="N39">
        <v>17</v>
      </c>
      <c r="O39" s="2">
        <v>46246</v>
      </c>
      <c r="P39" s="2">
        <v>46276</v>
      </c>
      <c r="R39" t="s">
        <v>175</v>
      </c>
      <c r="S39" t="str">
        <f>"25666160000051858"</f>
        <v>25666160000051858</v>
      </c>
      <c r="T39" t="s">
        <v>41</v>
      </c>
      <c r="U39">
        <v>8604.69</v>
      </c>
      <c r="V39">
        <v>8604.69</v>
      </c>
      <c r="W39">
        <v>8604.69</v>
      </c>
      <c r="X39">
        <v>0</v>
      </c>
      <c r="Y39">
        <v>0</v>
      </c>
      <c r="Z39">
        <v>-501</v>
      </c>
      <c r="AA39">
        <v>4374</v>
      </c>
      <c r="AD39" t="s">
        <v>176</v>
      </c>
      <c r="AE39" t="s">
        <v>177</v>
      </c>
      <c r="AF39" t="s">
        <v>176</v>
      </c>
      <c r="AG39" s="1" t="s">
        <v>178</v>
      </c>
      <c r="AH39" t="s">
        <v>44</v>
      </c>
    </row>
    <row r="40" spans="1:34" x14ac:dyDescent="0.3">
      <c r="A40">
        <v>101</v>
      </c>
      <c r="B40" t="s">
        <v>34</v>
      </c>
      <c r="C40">
        <v>2</v>
      </c>
      <c r="D40" s="1" t="s">
        <v>179</v>
      </c>
      <c r="E40" s="1" t="s">
        <v>36</v>
      </c>
      <c r="G40">
        <v>12046</v>
      </c>
      <c r="H40" t="s">
        <v>180</v>
      </c>
      <c r="I40" t="s">
        <v>174</v>
      </c>
      <c r="J40">
        <v>12</v>
      </c>
      <c r="K40">
        <v>9621</v>
      </c>
      <c r="L40">
        <v>50001</v>
      </c>
      <c r="M40" t="s">
        <v>39</v>
      </c>
      <c r="N40">
        <v>17</v>
      </c>
      <c r="O40" s="2">
        <v>46246</v>
      </c>
      <c r="P40" s="2">
        <v>46276</v>
      </c>
      <c r="R40" t="s">
        <v>181</v>
      </c>
      <c r="S40" t="str">
        <f>"25666160000051860"</f>
        <v>25666160000051860</v>
      </c>
      <c r="T40" t="s">
        <v>41</v>
      </c>
      <c r="U40">
        <v>5285.61</v>
      </c>
      <c r="V40">
        <v>5285.61</v>
      </c>
      <c r="W40">
        <v>5285.61</v>
      </c>
      <c r="X40">
        <v>0</v>
      </c>
      <c r="Y40">
        <v>0</v>
      </c>
      <c r="Z40">
        <v>-501</v>
      </c>
      <c r="AA40">
        <v>4389</v>
      </c>
      <c r="AD40" t="s">
        <v>133</v>
      </c>
      <c r="AE40" t="s">
        <v>182</v>
      </c>
      <c r="AF40" t="s">
        <v>133</v>
      </c>
      <c r="AG40" s="1" t="s">
        <v>183</v>
      </c>
      <c r="AH40" t="s">
        <v>44</v>
      </c>
    </row>
    <row r="41" spans="1:34" x14ac:dyDescent="0.3">
      <c r="A41">
        <v>101</v>
      </c>
      <c r="B41" t="s">
        <v>34</v>
      </c>
      <c r="C41">
        <v>2</v>
      </c>
      <c r="D41" s="1" t="s">
        <v>184</v>
      </c>
      <c r="E41" s="1" t="s">
        <v>36</v>
      </c>
      <c r="G41">
        <v>437119</v>
      </c>
      <c r="H41" t="s">
        <v>185</v>
      </c>
      <c r="I41" t="s">
        <v>125</v>
      </c>
      <c r="J41">
        <v>12</v>
      </c>
      <c r="K41">
        <v>1162</v>
      </c>
      <c r="L41">
        <v>95000</v>
      </c>
      <c r="M41" t="s">
        <v>69</v>
      </c>
      <c r="N41">
        <v>17</v>
      </c>
      <c r="O41" s="2">
        <v>46235</v>
      </c>
      <c r="P41" s="2">
        <v>46281</v>
      </c>
      <c r="R41" t="s">
        <v>186</v>
      </c>
      <c r="S41" t="str">
        <f>""</f>
        <v/>
      </c>
      <c r="T41" t="s">
        <v>41</v>
      </c>
      <c r="U41">
        <v>2244.04</v>
      </c>
      <c r="V41">
        <v>2131.84</v>
      </c>
      <c r="W41">
        <v>2131.84</v>
      </c>
      <c r="X41">
        <v>0</v>
      </c>
      <c r="Y41">
        <v>0</v>
      </c>
      <c r="Z41">
        <v>-506</v>
      </c>
      <c r="AA41">
        <v>1710</v>
      </c>
      <c r="AD41" t="s">
        <v>176</v>
      </c>
      <c r="AE41" t="s">
        <v>187</v>
      </c>
      <c r="AF41" t="s">
        <v>176</v>
      </c>
      <c r="AG41">
        <v>67228536000725</v>
      </c>
      <c r="AH41" t="s">
        <v>44</v>
      </c>
    </row>
    <row r="42" spans="1:34" x14ac:dyDescent="0.3">
      <c r="A42">
        <v>101</v>
      </c>
      <c r="B42" t="s">
        <v>34</v>
      </c>
      <c r="C42">
        <v>2</v>
      </c>
      <c r="D42" s="1" t="s">
        <v>188</v>
      </c>
      <c r="E42" s="1" t="s">
        <v>36</v>
      </c>
      <c r="G42">
        <v>450862</v>
      </c>
      <c r="H42" t="s">
        <v>189</v>
      </c>
      <c r="I42" t="s">
        <v>190</v>
      </c>
      <c r="J42">
        <v>12</v>
      </c>
      <c r="K42">
        <v>450862</v>
      </c>
      <c r="L42">
        <v>50033</v>
      </c>
      <c r="M42" t="s">
        <v>39</v>
      </c>
      <c r="N42">
        <v>17</v>
      </c>
      <c r="O42" s="2">
        <v>46240</v>
      </c>
      <c r="P42" s="2">
        <v>46268</v>
      </c>
      <c r="R42" t="s">
        <v>191</v>
      </c>
      <c r="S42" t="str">
        <f>"0000050412949"</f>
        <v>0000050412949</v>
      </c>
      <c r="T42" t="s">
        <v>41</v>
      </c>
      <c r="U42">
        <v>675.23</v>
      </c>
      <c r="V42">
        <v>675.23</v>
      </c>
      <c r="W42">
        <v>675.23</v>
      </c>
      <c r="X42">
        <v>0</v>
      </c>
      <c r="Y42">
        <v>0</v>
      </c>
      <c r="Z42">
        <v>-493</v>
      </c>
      <c r="AA42">
        <v>4324</v>
      </c>
      <c r="AD42" t="s">
        <v>176</v>
      </c>
      <c r="AE42" t="s">
        <v>192</v>
      </c>
      <c r="AF42" t="s">
        <v>176</v>
      </c>
      <c r="AG42" s="1" t="s">
        <v>193</v>
      </c>
      <c r="AH42" t="s">
        <v>44</v>
      </c>
    </row>
    <row r="43" spans="1:34" x14ac:dyDescent="0.3">
      <c r="A43">
        <v>101</v>
      </c>
      <c r="B43" t="s">
        <v>34</v>
      </c>
      <c r="C43">
        <v>2</v>
      </c>
      <c r="D43" s="1" t="s">
        <v>188</v>
      </c>
      <c r="E43" s="1" t="s">
        <v>122</v>
      </c>
      <c r="G43">
        <v>450862</v>
      </c>
      <c r="H43" t="s">
        <v>189</v>
      </c>
      <c r="I43" t="s">
        <v>190</v>
      </c>
      <c r="J43">
        <v>12</v>
      </c>
      <c r="K43">
        <v>450862</v>
      </c>
      <c r="L43">
        <v>50033</v>
      </c>
      <c r="M43" t="s">
        <v>39</v>
      </c>
      <c r="N43">
        <v>17</v>
      </c>
      <c r="O43" s="2">
        <v>46240</v>
      </c>
      <c r="P43" s="2">
        <v>46275</v>
      </c>
      <c r="R43" t="s">
        <v>191</v>
      </c>
      <c r="S43" t="str">
        <f>"0000050412957"</f>
        <v>0000050412957</v>
      </c>
      <c r="T43" t="s">
        <v>41</v>
      </c>
      <c r="U43">
        <v>609.78</v>
      </c>
      <c r="V43">
        <v>609.78</v>
      </c>
      <c r="W43">
        <v>609.78</v>
      </c>
      <c r="X43">
        <v>0</v>
      </c>
      <c r="Y43">
        <v>0</v>
      </c>
      <c r="Z43">
        <v>-500</v>
      </c>
      <c r="AA43">
        <v>4324</v>
      </c>
      <c r="AD43" t="s">
        <v>176</v>
      </c>
      <c r="AE43" t="s">
        <v>192</v>
      </c>
      <c r="AF43" t="s">
        <v>176</v>
      </c>
      <c r="AG43" s="1" t="s">
        <v>193</v>
      </c>
      <c r="AH43" t="s">
        <v>44</v>
      </c>
    </row>
    <row r="44" spans="1:34" x14ac:dyDescent="0.3">
      <c r="A44">
        <v>101</v>
      </c>
      <c r="B44" t="s">
        <v>34</v>
      </c>
      <c r="C44">
        <v>2</v>
      </c>
      <c r="D44" s="1" t="s">
        <v>188</v>
      </c>
      <c r="E44" s="1" t="s">
        <v>116</v>
      </c>
      <c r="G44">
        <v>450862</v>
      </c>
      <c r="H44" t="s">
        <v>189</v>
      </c>
      <c r="I44" t="s">
        <v>190</v>
      </c>
      <c r="J44">
        <v>12</v>
      </c>
      <c r="K44">
        <v>450862</v>
      </c>
      <c r="L44">
        <v>50033</v>
      </c>
      <c r="M44" t="s">
        <v>39</v>
      </c>
      <c r="N44">
        <v>17</v>
      </c>
      <c r="O44" s="2">
        <v>46240</v>
      </c>
      <c r="P44" s="2">
        <v>46282</v>
      </c>
      <c r="R44" t="s">
        <v>191</v>
      </c>
      <c r="S44" t="str">
        <f>"0000050412965"</f>
        <v>0000050412965</v>
      </c>
      <c r="T44" t="s">
        <v>41</v>
      </c>
      <c r="U44">
        <v>609.96</v>
      </c>
      <c r="V44">
        <v>609.96</v>
      </c>
      <c r="W44">
        <v>609.96</v>
      </c>
      <c r="X44">
        <v>0</v>
      </c>
      <c r="Y44">
        <v>0</v>
      </c>
      <c r="Z44">
        <v>-507</v>
      </c>
      <c r="AA44">
        <v>4324</v>
      </c>
      <c r="AD44" t="s">
        <v>176</v>
      </c>
      <c r="AE44" t="s">
        <v>192</v>
      </c>
      <c r="AF44" t="s">
        <v>176</v>
      </c>
      <c r="AG44" s="1" t="s">
        <v>193</v>
      </c>
      <c r="AH44" t="s">
        <v>44</v>
      </c>
    </row>
    <row r="45" spans="1:34" x14ac:dyDescent="0.3">
      <c r="A45">
        <v>101</v>
      </c>
      <c r="B45" t="s">
        <v>34</v>
      </c>
      <c r="C45">
        <v>2</v>
      </c>
      <c r="D45" s="1" t="s">
        <v>194</v>
      </c>
      <c r="E45" s="1" t="s">
        <v>116</v>
      </c>
      <c r="G45">
        <v>450862</v>
      </c>
      <c r="H45" t="s">
        <v>189</v>
      </c>
      <c r="I45" t="s">
        <v>190</v>
      </c>
      <c r="J45">
        <v>12</v>
      </c>
      <c r="K45">
        <v>450862</v>
      </c>
      <c r="L45">
        <v>50033</v>
      </c>
      <c r="M45" t="s">
        <v>39</v>
      </c>
      <c r="N45">
        <v>17</v>
      </c>
      <c r="O45" s="2">
        <v>46216</v>
      </c>
      <c r="P45" s="2">
        <v>46258</v>
      </c>
      <c r="R45" t="s">
        <v>195</v>
      </c>
      <c r="S45" t="str">
        <f>"0000050409883"</f>
        <v>0000050409883</v>
      </c>
      <c r="T45" t="s">
        <v>41</v>
      </c>
      <c r="U45">
        <v>889.59</v>
      </c>
      <c r="V45">
        <v>889.59</v>
      </c>
      <c r="W45">
        <v>889.59</v>
      </c>
      <c r="X45">
        <v>0</v>
      </c>
      <c r="Y45">
        <v>0</v>
      </c>
      <c r="Z45">
        <v>-483</v>
      </c>
      <c r="AA45">
        <v>693851</v>
      </c>
      <c r="AD45" t="s">
        <v>176</v>
      </c>
      <c r="AE45" t="s">
        <v>192</v>
      </c>
      <c r="AF45" t="s">
        <v>176</v>
      </c>
      <c r="AG45" s="1" t="s">
        <v>193</v>
      </c>
      <c r="AH45" t="s">
        <v>44</v>
      </c>
    </row>
    <row r="46" spans="1:34" x14ac:dyDescent="0.3">
      <c r="A46">
        <v>101</v>
      </c>
      <c r="B46" t="s">
        <v>34</v>
      </c>
      <c r="C46">
        <v>2</v>
      </c>
      <c r="D46" s="1" t="s">
        <v>196</v>
      </c>
      <c r="E46" s="1" t="s">
        <v>36</v>
      </c>
      <c r="G46">
        <v>452669</v>
      </c>
      <c r="H46" t="s">
        <v>197</v>
      </c>
      <c r="I46" t="s">
        <v>125</v>
      </c>
      <c r="J46">
        <v>12</v>
      </c>
      <c r="K46">
        <v>1162</v>
      </c>
      <c r="L46">
        <v>95000</v>
      </c>
      <c r="M46" t="s">
        <v>69</v>
      </c>
      <c r="N46">
        <v>17</v>
      </c>
      <c r="O46" s="2">
        <v>46235</v>
      </c>
      <c r="P46" s="2">
        <v>46281</v>
      </c>
      <c r="R46" t="s">
        <v>198</v>
      </c>
      <c r="S46" t="str">
        <f>""</f>
        <v/>
      </c>
      <c r="T46" t="s">
        <v>41</v>
      </c>
      <c r="U46">
        <v>1832.41</v>
      </c>
      <c r="V46">
        <v>1740.79</v>
      </c>
      <c r="W46">
        <v>1740.79</v>
      </c>
      <c r="X46">
        <v>0</v>
      </c>
      <c r="Y46">
        <v>0</v>
      </c>
      <c r="Z46">
        <v>-506</v>
      </c>
      <c r="AA46">
        <v>1711</v>
      </c>
      <c r="AD46" t="s">
        <v>199</v>
      </c>
      <c r="AE46" t="s">
        <v>200</v>
      </c>
      <c r="AF46" t="s">
        <v>199</v>
      </c>
      <c r="AG46">
        <v>67228536001373</v>
      </c>
      <c r="AH46" t="s">
        <v>44</v>
      </c>
    </row>
    <row r="47" spans="1:34" x14ac:dyDescent="0.3">
      <c r="A47">
        <v>101</v>
      </c>
      <c r="B47" t="s">
        <v>34</v>
      </c>
      <c r="C47">
        <v>2</v>
      </c>
      <c r="D47" s="1" t="s">
        <v>201</v>
      </c>
      <c r="E47" s="1" t="s">
        <v>36</v>
      </c>
      <c r="G47">
        <v>452673</v>
      </c>
      <c r="H47" t="s">
        <v>202</v>
      </c>
      <c r="I47" t="s">
        <v>125</v>
      </c>
      <c r="J47">
        <v>12</v>
      </c>
      <c r="K47">
        <v>1162</v>
      </c>
      <c r="L47">
        <v>95000</v>
      </c>
      <c r="M47" t="s">
        <v>69</v>
      </c>
      <c r="N47">
        <v>17</v>
      </c>
      <c r="O47" s="2">
        <v>46235</v>
      </c>
      <c r="P47" s="2">
        <v>46280</v>
      </c>
      <c r="R47" t="s">
        <v>203</v>
      </c>
      <c r="S47" t="str">
        <f>""</f>
        <v/>
      </c>
      <c r="T47" t="s">
        <v>41</v>
      </c>
      <c r="U47">
        <v>1883.32</v>
      </c>
      <c r="V47">
        <v>1789.15</v>
      </c>
      <c r="W47">
        <v>1789.15</v>
      </c>
      <c r="X47">
        <v>0</v>
      </c>
      <c r="Y47">
        <v>0</v>
      </c>
      <c r="Z47">
        <v>-505</v>
      </c>
      <c r="AA47">
        <v>1712</v>
      </c>
      <c r="AD47" t="s">
        <v>204</v>
      </c>
      <c r="AE47" t="s">
        <v>205</v>
      </c>
      <c r="AF47" t="s">
        <v>204</v>
      </c>
      <c r="AG47">
        <v>67228536001535</v>
      </c>
      <c r="AH47" t="s">
        <v>44</v>
      </c>
    </row>
    <row r="48" spans="1:34" x14ac:dyDescent="0.3">
      <c r="A48">
        <v>101</v>
      </c>
      <c r="B48" t="s">
        <v>34</v>
      </c>
      <c r="C48">
        <v>2</v>
      </c>
      <c r="D48" s="1" t="s">
        <v>206</v>
      </c>
      <c r="E48" s="1" t="s">
        <v>36</v>
      </c>
      <c r="G48">
        <v>452739</v>
      </c>
      <c r="H48" t="s">
        <v>207</v>
      </c>
      <c r="I48" t="s">
        <v>125</v>
      </c>
      <c r="J48">
        <v>12</v>
      </c>
      <c r="K48">
        <v>1162</v>
      </c>
      <c r="L48">
        <v>95000</v>
      </c>
      <c r="M48" t="s">
        <v>69</v>
      </c>
      <c r="N48">
        <v>17</v>
      </c>
      <c r="O48" s="2">
        <v>46235</v>
      </c>
      <c r="P48" s="2">
        <v>46281</v>
      </c>
      <c r="R48" t="s">
        <v>208</v>
      </c>
      <c r="S48" t="str">
        <f>""</f>
        <v/>
      </c>
      <c r="T48" t="s">
        <v>41</v>
      </c>
      <c r="U48">
        <v>6329.07</v>
      </c>
      <c r="V48">
        <v>5949.33</v>
      </c>
      <c r="W48">
        <v>5949.33</v>
      </c>
      <c r="X48">
        <v>0</v>
      </c>
      <c r="Y48">
        <v>0</v>
      </c>
      <c r="Z48">
        <v>-506</v>
      </c>
      <c r="AA48">
        <v>1716</v>
      </c>
      <c r="AD48" t="s">
        <v>199</v>
      </c>
      <c r="AE48" t="s">
        <v>209</v>
      </c>
      <c r="AF48" t="s">
        <v>199</v>
      </c>
      <c r="AG48">
        <v>67228536001888</v>
      </c>
      <c r="AH48" t="s">
        <v>44</v>
      </c>
    </row>
    <row r="49" spans="1:34" x14ac:dyDescent="0.3">
      <c r="A49">
        <v>101</v>
      </c>
      <c r="B49" t="s">
        <v>34</v>
      </c>
      <c r="C49">
        <v>2</v>
      </c>
      <c r="D49" s="1" t="s">
        <v>210</v>
      </c>
      <c r="E49" s="1" t="s">
        <v>36</v>
      </c>
      <c r="G49">
        <v>453646</v>
      </c>
      <c r="H49" t="s">
        <v>211</v>
      </c>
      <c r="I49" t="s">
        <v>145</v>
      </c>
      <c r="J49">
        <v>12</v>
      </c>
      <c r="K49">
        <v>2170</v>
      </c>
      <c r="L49">
        <v>50341</v>
      </c>
      <c r="M49" t="s">
        <v>146</v>
      </c>
      <c r="N49">
        <v>17</v>
      </c>
      <c r="O49" s="2">
        <v>46219</v>
      </c>
      <c r="P49" s="2">
        <v>46264</v>
      </c>
      <c r="R49" t="s">
        <v>212</v>
      </c>
      <c r="S49" t="str">
        <f>"00013157"</f>
        <v>00013157</v>
      </c>
      <c r="T49" t="s">
        <v>41</v>
      </c>
      <c r="U49">
        <v>2966.53</v>
      </c>
      <c r="V49">
        <v>2966.53</v>
      </c>
      <c r="W49">
        <v>2966.53</v>
      </c>
      <c r="X49">
        <v>0</v>
      </c>
      <c r="Y49">
        <v>0</v>
      </c>
      <c r="Z49">
        <v>-489</v>
      </c>
      <c r="AA49">
        <v>1246</v>
      </c>
      <c r="AD49" t="s">
        <v>199</v>
      </c>
      <c r="AE49" t="s">
        <v>213</v>
      </c>
      <c r="AF49" t="s">
        <v>199</v>
      </c>
      <c r="AG49">
        <v>71782163000545</v>
      </c>
      <c r="AH49" t="s">
        <v>44</v>
      </c>
    </row>
    <row r="50" spans="1:34" x14ac:dyDescent="0.3">
      <c r="A50">
        <v>101</v>
      </c>
      <c r="B50" t="s">
        <v>34</v>
      </c>
      <c r="C50">
        <v>2</v>
      </c>
      <c r="D50" s="1" t="s">
        <v>214</v>
      </c>
      <c r="E50" s="1" t="s">
        <v>36</v>
      </c>
      <c r="G50">
        <v>453744</v>
      </c>
      <c r="H50" t="s">
        <v>215</v>
      </c>
      <c r="I50" t="s">
        <v>145</v>
      </c>
      <c r="J50">
        <v>12</v>
      </c>
      <c r="K50">
        <v>2170</v>
      </c>
      <c r="L50">
        <v>50341</v>
      </c>
      <c r="M50" t="s">
        <v>146</v>
      </c>
      <c r="N50">
        <v>17</v>
      </c>
      <c r="O50" s="2">
        <v>46219</v>
      </c>
      <c r="P50" s="2">
        <v>46264</v>
      </c>
      <c r="R50" t="s">
        <v>216</v>
      </c>
      <c r="S50" t="str">
        <f>"00013158"</f>
        <v>00013158</v>
      </c>
      <c r="T50" t="s">
        <v>41</v>
      </c>
      <c r="U50">
        <v>4767.96</v>
      </c>
      <c r="V50">
        <v>4767.96</v>
      </c>
      <c r="W50">
        <v>4767.96</v>
      </c>
      <c r="X50">
        <v>0</v>
      </c>
      <c r="Y50">
        <v>0</v>
      </c>
      <c r="Z50">
        <v>-489</v>
      </c>
      <c r="AA50">
        <v>1248</v>
      </c>
      <c r="AD50" t="s">
        <v>127</v>
      </c>
      <c r="AE50" t="s">
        <v>217</v>
      </c>
      <c r="AF50" t="s">
        <v>127</v>
      </c>
      <c r="AG50">
        <v>71782163000464</v>
      </c>
      <c r="AH50" t="s">
        <v>44</v>
      </c>
    </row>
    <row r="51" spans="1:34" x14ac:dyDescent="0.3">
      <c r="A51">
        <v>101</v>
      </c>
      <c r="B51" t="s">
        <v>34</v>
      </c>
      <c r="C51">
        <v>2</v>
      </c>
      <c r="D51" s="1" t="s">
        <v>218</v>
      </c>
      <c r="E51" s="1" t="s">
        <v>36</v>
      </c>
      <c r="G51">
        <v>453748</v>
      </c>
      <c r="H51" t="s">
        <v>219</v>
      </c>
      <c r="I51" t="s">
        <v>125</v>
      </c>
      <c r="J51">
        <v>12</v>
      </c>
      <c r="K51">
        <v>1162</v>
      </c>
      <c r="L51">
        <v>95000</v>
      </c>
      <c r="M51" t="s">
        <v>69</v>
      </c>
      <c r="N51">
        <v>17</v>
      </c>
      <c r="O51" s="2">
        <v>46235</v>
      </c>
      <c r="P51" s="2">
        <v>46281</v>
      </c>
      <c r="R51" t="s">
        <v>220</v>
      </c>
      <c r="S51" t="str">
        <f>""</f>
        <v/>
      </c>
      <c r="T51" t="s">
        <v>41</v>
      </c>
      <c r="U51">
        <v>3783.41</v>
      </c>
      <c r="V51">
        <v>3594.24</v>
      </c>
      <c r="W51">
        <v>3594.24</v>
      </c>
      <c r="X51">
        <v>0</v>
      </c>
      <c r="Y51">
        <v>0</v>
      </c>
      <c r="Z51">
        <v>-506</v>
      </c>
      <c r="AA51">
        <v>1713</v>
      </c>
      <c r="AD51" t="s">
        <v>221</v>
      </c>
      <c r="AE51" t="s">
        <v>222</v>
      </c>
      <c r="AF51" t="s">
        <v>221</v>
      </c>
      <c r="AG51">
        <v>67228536001969</v>
      </c>
      <c r="AH51" t="s">
        <v>44</v>
      </c>
    </row>
    <row r="52" spans="1:34" x14ac:dyDescent="0.3">
      <c r="A52">
        <v>101</v>
      </c>
      <c r="B52" t="s">
        <v>34</v>
      </c>
      <c r="C52">
        <v>2</v>
      </c>
      <c r="D52" s="1" t="s">
        <v>223</v>
      </c>
      <c r="E52" s="1" t="s">
        <v>36</v>
      </c>
      <c r="G52">
        <v>456768</v>
      </c>
      <c r="H52" t="s">
        <v>224</v>
      </c>
      <c r="I52" t="s">
        <v>174</v>
      </c>
      <c r="J52">
        <v>12</v>
      </c>
      <c r="K52">
        <v>9621</v>
      </c>
      <c r="L52">
        <v>50001</v>
      </c>
      <c r="M52" t="s">
        <v>39</v>
      </c>
      <c r="N52">
        <v>17</v>
      </c>
      <c r="O52" s="2">
        <v>46246</v>
      </c>
      <c r="P52" s="2">
        <v>46276</v>
      </c>
      <c r="R52" t="s">
        <v>225</v>
      </c>
      <c r="S52" t="str">
        <f>"25666160000051885"</f>
        <v>25666160000051885</v>
      </c>
      <c r="T52" t="s">
        <v>41</v>
      </c>
      <c r="U52">
        <v>885.24</v>
      </c>
      <c r="V52">
        <v>885.24</v>
      </c>
      <c r="W52">
        <v>885.24</v>
      </c>
      <c r="X52">
        <v>0</v>
      </c>
      <c r="Y52">
        <v>0</v>
      </c>
      <c r="Z52">
        <v>-501</v>
      </c>
      <c r="AA52">
        <v>4396</v>
      </c>
      <c r="AD52" t="s">
        <v>226</v>
      </c>
      <c r="AE52">
        <v>1939139911</v>
      </c>
      <c r="AF52" t="s">
        <v>226</v>
      </c>
      <c r="AG52" s="1" t="s">
        <v>227</v>
      </c>
      <c r="AH52" t="s">
        <v>44</v>
      </c>
    </row>
    <row r="53" spans="1:34" x14ac:dyDescent="0.3">
      <c r="A53">
        <v>101</v>
      </c>
      <c r="B53" t="s">
        <v>34</v>
      </c>
      <c r="C53">
        <v>2</v>
      </c>
      <c r="D53" s="1" t="s">
        <v>228</v>
      </c>
      <c r="E53" s="1" t="s">
        <v>36</v>
      </c>
      <c r="G53">
        <v>456768</v>
      </c>
      <c r="H53" t="s">
        <v>224</v>
      </c>
      <c r="I53" t="s">
        <v>174</v>
      </c>
      <c r="J53">
        <v>12</v>
      </c>
      <c r="K53">
        <v>9621</v>
      </c>
      <c r="L53">
        <v>50001</v>
      </c>
      <c r="M53" t="s">
        <v>39</v>
      </c>
      <c r="N53">
        <v>17</v>
      </c>
      <c r="O53" s="2">
        <v>46246</v>
      </c>
      <c r="P53" s="2">
        <v>46276</v>
      </c>
      <c r="R53" t="s">
        <v>229</v>
      </c>
      <c r="S53" t="str">
        <f>"25666160000051868"</f>
        <v>25666160000051868</v>
      </c>
      <c r="T53" t="s">
        <v>41</v>
      </c>
      <c r="U53">
        <v>7786.91</v>
      </c>
      <c r="V53">
        <v>7786.91</v>
      </c>
      <c r="W53">
        <v>7786.91</v>
      </c>
      <c r="X53">
        <v>0</v>
      </c>
      <c r="Y53">
        <v>0</v>
      </c>
      <c r="Z53">
        <v>-501</v>
      </c>
      <c r="AA53">
        <v>4396</v>
      </c>
      <c r="AD53" t="s">
        <v>226</v>
      </c>
      <c r="AE53">
        <v>1939139911</v>
      </c>
      <c r="AF53" t="s">
        <v>226</v>
      </c>
      <c r="AG53" s="1" t="s">
        <v>227</v>
      </c>
      <c r="AH53" t="s">
        <v>44</v>
      </c>
    </row>
    <row r="54" spans="1:34" x14ac:dyDescent="0.3">
      <c r="A54">
        <v>101</v>
      </c>
      <c r="B54" t="s">
        <v>34</v>
      </c>
      <c r="C54">
        <v>2</v>
      </c>
      <c r="D54" s="1" t="s">
        <v>230</v>
      </c>
      <c r="E54" s="1" t="s">
        <v>36</v>
      </c>
      <c r="G54">
        <v>460711</v>
      </c>
      <c r="H54" t="s">
        <v>231</v>
      </c>
      <c r="I54" t="s">
        <v>232</v>
      </c>
      <c r="J54">
        <v>12</v>
      </c>
      <c r="K54">
        <v>5223</v>
      </c>
      <c r="L54">
        <v>95000</v>
      </c>
      <c r="M54" t="s">
        <v>69</v>
      </c>
      <c r="N54">
        <v>17</v>
      </c>
      <c r="O54" s="2">
        <v>46233</v>
      </c>
      <c r="P54" s="2">
        <v>46296</v>
      </c>
      <c r="R54" t="s">
        <v>233</v>
      </c>
      <c r="S54" t="str">
        <f>""</f>
        <v/>
      </c>
      <c r="T54" t="s">
        <v>41</v>
      </c>
      <c r="U54">
        <v>10226.719999999999</v>
      </c>
      <c r="V54">
        <v>9204.0499999999993</v>
      </c>
      <c r="W54">
        <v>9204.0499999999993</v>
      </c>
      <c r="X54">
        <v>0</v>
      </c>
      <c r="Y54">
        <v>0</v>
      </c>
      <c r="Z54">
        <v>-521</v>
      </c>
      <c r="AA54">
        <v>4013</v>
      </c>
      <c r="AD54" t="s">
        <v>234</v>
      </c>
      <c r="AE54">
        <v>1144315745</v>
      </c>
      <c r="AF54" t="s">
        <v>234</v>
      </c>
      <c r="AG54">
        <v>50948371001905</v>
      </c>
      <c r="AH54" t="s">
        <v>44</v>
      </c>
    </row>
    <row r="55" spans="1:34" x14ac:dyDescent="0.3">
      <c r="A55">
        <v>101</v>
      </c>
      <c r="B55" t="s">
        <v>34</v>
      </c>
      <c r="C55">
        <v>2</v>
      </c>
      <c r="D55" s="1" t="s">
        <v>235</v>
      </c>
      <c r="E55" s="1" t="s">
        <v>36</v>
      </c>
      <c r="G55">
        <v>460711</v>
      </c>
      <c r="H55" t="s">
        <v>231</v>
      </c>
      <c r="I55" t="s">
        <v>232</v>
      </c>
      <c r="J55">
        <v>12</v>
      </c>
      <c r="K55">
        <v>5223</v>
      </c>
      <c r="L55">
        <v>95000</v>
      </c>
      <c r="M55" t="s">
        <v>69</v>
      </c>
      <c r="N55">
        <v>17</v>
      </c>
      <c r="O55" s="2">
        <v>46224</v>
      </c>
      <c r="P55" s="2">
        <v>46280</v>
      </c>
      <c r="R55" t="s">
        <v>236</v>
      </c>
      <c r="S55" t="str">
        <f>""</f>
        <v/>
      </c>
      <c r="T55" t="s">
        <v>41</v>
      </c>
      <c r="U55">
        <v>28812.05</v>
      </c>
      <c r="V55">
        <v>25930.85</v>
      </c>
      <c r="W55">
        <v>25930.85</v>
      </c>
      <c r="X55">
        <v>0</v>
      </c>
      <c r="Y55">
        <v>0</v>
      </c>
      <c r="Z55">
        <v>-505</v>
      </c>
      <c r="AA55">
        <v>1303</v>
      </c>
      <c r="AD55" t="s">
        <v>234</v>
      </c>
      <c r="AE55">
        <v>1144315745</v>
      </c>
      <c r="AF55" t="s">
        <v>234</v>
      </c>
      <c r="AG55">
        <v>50948371001905</v>
      </c>
      <c r="AH55" t="s">
        <v>44</v>
      </c>
    </row>
    <row r="56" spans="1:34" x14ac:dyDescent="0.3">
      <c r="A56">
        <v>101</v>
      </c>
      <c r="B56" t="s">
        <v>34</v>
      </c>
      <c r="C56">
        <v>2</v>
      </c>
      <c r="D56" s="1" t="s">
        <v>237</v>
      </c>
      <c r="E56" s="1" t="s">
        <v>36</v>
      </c>
      <c r="G56">
        <v>460711</v>
      </c>
      <c r="H56" t="s">
        <v>231</v>
      </c>
      <c r="I56" t="s">
        <v>232</v>
      </c>
      <c r="J56">
        <v>12</v>
      </c>
      <c r="K56">
        <v>5223</v>
      </c>
      <c r="L56">
        <v>95000</v>
      </c>
      <c r="M56" t="s">
        <v>69</v>
      </c>
      <c r="N56">
        <v>17</v>
      </c>
      <c r="O56" s="2">
        <v>46224</v>
      </c>
      <c r="P56" s="2">
        <v>46280</v>
      </c>
      <c r="R56" t="s">
        <v>238</v>
      </c>
      <c r="S56" t="str">
        <f>""</f>
        <v/>
      </c>
      <c r="T56" t="s">
        <v>41</v>
      </c>
      <c r="U56">
        <v>32099.75</v>
      </c>
      <c r="V56">
        <v>28889.78</v>
      </c>
      <c r="W56">
        <v>28889.78</v>
      </c>
      <c r="X56">
        <v>0</v>
      </c>
      <c r="Y56">
        <v>0</v>
      </c>
      <c r="Z56">
        <v>-505</v>
      </c>
      <c r="AA56">
        <v>1302</v>
      </c>
      <c r="AD56" t="s">
        <v>234</v>
      </c>
      <c r="AE56">
        <v>1144315745</v>
      </c>
      <c r="AF56" t="s">
        <v>234</v>
      </c>
      <c r="AG56">
        <v>50948371001905</v>
      </c>
      <c r="AH56" t="s">
        <v>44</v>
      </c>
    </row>
    <row r="57" spans="1:34" x14ac:dyDescent="0.3">
      <c r="A57">
        <v>101</v>
      </c>
      <c r="B57" t="s">
        <v>34</v>
      </c>
      <c r="C57">
        <v>2</v>
      </c>
      <c r="D57" s="1" t="s">
        <v>239</v>
      </c>
      <c r="E57" s="1" t="s">
        <v>36</v>
      </c>
      <c r="G57">
        <v>460711</v>
      </c>
      <c r="H57" t="s">
        <v>231</v>
      </c>
      <c r="I57" t="s">
        <v>232</v>
      </c>
      <c r="J57">
        <v>12</v>
      </c>
      <c r="K57">
        <v>5223</v>
      </c>
      <c r="L57">
        <v>95000</v>
      </c>
      <c r="M57" t="s">
        <v>69</v>
      </c>
      <c r="N57">
        <v>17</v>
      </c>
      <c r="O57" s="2">
        <v>46190</v>
      </c>
      <c r="P57" s="2">
        <v>46266</v>
      </c>
      <c r="R57" t="s">
        <v>240</v>
      </c>
      <c r="S57" t="str">
        <f>""</f>
        <v/>
      </c>
      <c r="T57" t="s">
        <v>41</v>
      </c>
      <c r="U57">
        <v>2078.21</v>
      </c>
      <c r="V57">
        <v>1870.39</v>
      </c>
      <c r="W57">
        <v>1870.39</v>
      </c>
      <c r="X57">
        <v>0</v>
      </c>
      <c r="Y57">
        <v>0</v>
      </c>
      <c r="Z57">
        <v>-491</v>
      </c>
      <c r="AA57">
        <v>691525</v>
      </c>
      <c r="AD57" t="s">
        <v>234</v>
      </c>
      <c r="AE57">
        <v>1144315745</v>
      </c>
      <c r="AF57" t="s">
        <v>234</v>
      </c>
      <c r="AG57">
        <v>50948371001905</v>
      </c>
      <c r="AH57" t="s">
        <v>44</v>
      </c>
    </row>
    <row r="58" spans="1:34" x14ac:dyDescent="0.3">
      <c r="A58">
        <v>101</v>
      </c>
      <c r="B58" t="s">
        <v>34</v>
      </c>
      <c r="C58">
        <v>2</v>
      </c>
      <c r="D58" s="1" t="s">
        <v>241</v>
      </c>
      <c r="E58" s="1" t="s">
        <v>36</v>
      </c>
      <c r="G58">
        <v>467606</v>
      </c>
      <c r="H58" t="s">
        <v>242</v>
      </c>
      <c r="I58" t="s">
        <v>243</v>
      </c>
      <c r="J58">
        <v>12</v>
      </c>
      <c r="K58">
        <v>8399</v>
      </c>
      <c r="L58">
        <v>50033</v>
      </c>
      <c r="M58" t="s">
        <v>39</v>
      </c>
      <c r="N58">
        <v>17</v>
      </c>
      <c r="O58" s="2">
        <v>46254</v>
      </c>
      <c r="P58" s="2">
        <v>46282</v>
      </c>
      <c r="R58" t="s">
        <v>244</v>
      </c>
      <c r="S58" t="str">
        <f>"0000050414461"</f>
        <v>0000050414461</v>
      </c>
      <c r="T58" t="s">
        <v>41</v>
      </c>
      <c r="U58">
        <v>1055.4000000000001</v>
      </c>
      <c r="V58">
        <v>1002.63</v>
      </c>
      <c r="W58">
        <v>1002.63</v>
      </c>
      <c r="X58">
        <v>0</v>
      </c>
      <c r="Y58">
        <v>0</v>
      </c>
      <c r="Z58">
        <v>-507</v>
      </c>
      <c r="AA58">
        <v>4814</v>
      </c>
      <c r="AD58" t="s">
        <v>245</v>
      </c>
      <c r="AE58" t="s">
        <v>246</v>
      </c>
      <c r="AF58" t="s">
        <v>245</v>
      </c>
      <c r="AG58" s="1" t="s">
        <v>247</v>
      </c>
      <c r="AH58" t="s">
        <v>44</v>
      </c>
    </row>
    <row r="59" spans="1:34" x14ac:dyDescent="0.3">
      <c r="A59">
        <v>101</v>
      </c>
      <c r="B59" t="s">
        <v>34</v>
      </c>
      <c r="C59">
        <v>2</v>
      </c>
      <c r="D59" s="1" t="s">
        <v>241</v>
      </c>
      <c r="E59" s="1" t="s">
        <v>122</v>
      </c>
      <c r="G59">
        <v>467606</v>
      </c>
      <c r="H59" t="s">
        <v>242</v>
      </c>
      <c r="I59" t="s">
        <v>243</v>
      </c>
      <c r="J59">
        <v>12</v>
      </c>
      <c r="K59">
        <v>8399</v>
      </c>
      <c r="L59">
        <v>50033</v>
      </c>
      <c r="M59" t="s">
        <v>39</v>
      </c>
      <c r="N59">
        <v>17</v>
      </c>
      <c r="O59" s="2">
        <v>46254</v>
      </c>
      <c r="P59" s="2">
        <v>46289</v>
      </c>
      <c r="R59" t="s">
        <v>244</v>
      </c>
      <c r="S59" t="str">
        <f>"0000050414470"</f>
        <v>0000050414470</v>
      </c>
      <c r="T59" t="s">
        <v>41</v>
      </c>
      <c r="U59">
        <v>1010</v>
      </c>
      <c r="V59">
        <v>959.5</v>
      </c>
      <c r="W59">
        <v>959.5</v>
      </c>
      <c r="X59">
        <v>0</v>
      </c>
      <c r="Y59">
        <v>0</v>
      </c>
      <c r="Z59">
        <v>-514</v>
      </c>
      <c r="AA59">
        <v>4814</v>
      </c>
      <c r="AD59" t="s">
        <v>245</v>
      </c>
      <c r="AE59" t="s">
        <v>246</v>
      </c>
      <c r="AF59" t="s">
        <v>245</v>
      </c>
      <c r="AG59" s="1" t="s">
        <v>247</v>
      </c>
      <c r="AH59" t="s">
        <v>44</v>
      </c>
    </row>
    <row r="60" spans="1:34" x14ac:dyDescent="0.3">
      <c r="A60">
        <v>101</v>
      </c>
      <c r="B60" t="s">
        <v>34</v>
      </c>
      <c r="C60">
        <v>2</v>
      </c>
      <c r="D60" s="1" t="s">
        <v>248</v>
      </c>
      <c r="E60" s="1" t="s">
        <v>36</v>
      </c>
      <c r="G60">
        <v>468733</v>
      </c>
      <c r="H60" t="s">
        <v>249</v>
      </c>
      <c r="I60" t="s">
        <v>250</v>
      </c>
      <c r="J60">
        <v>12</v>
      </c>
      <c r="K60">
        <v>9454</v>
      </c>
      <c r="L60">
        <v>50001</v>
      </c>
      <c r="M60" t="s">
        <v>39</v>
      </c>
      <c r="N60">
        <v>17</v>
      </c>
      <c r="O60" s="2">
        <v>46231</v>
      </c>
      <c r="P60" s="2">
        <v>46261</v>
      </c>
      <c r="R60" t="s">
        <v>251</v>
      </c>
      <c r="S60" t="str">
        <f>"25666160000051670"</f>
        <v>25666160000051670</v>
      </c>
      <c r="T60" t="s">
        <v>41</v>
      </c>
      <c r="U60">
        <v>1845.66</v>
      </c>
      <c r="V60">
        <v>1845.66</v>
      </c>
      <c r="W60">
        <v>1845.66</v>
      </c>
      <c r="X60">
        <v>0</v>
      </c>
      <c r="Y60">
        <v>0</v>
      </c>
      <c r="Z60">
        <v>-486</v>
      </c>
      <c r="AA60">
        <v>1774</v>
      </c>
      <c r="AD60" t="s">
        <v>153</v>
      </c>
      <c r="AE60" t="s">
        <v>252</v>
      </c>
      <c r="AF60" t="s">
        <v>153</v>
      </c>
      <c r="AG60">
        <v>61168464000368</v>
      </c>
      <c r="AH60" t="s">
        <v>44</v>
      </c>
    </row>
    <row r="61" spans="1:34" x14ac:dyDescent="0.3">
      <c r="A61">
        <v>101</v>
      </c>
      <c r="B61" t="s">
        <v>34</v>
      </c>
      <c r="C61">
        <v>2</v>
      </c>
      <c r="D61" s="1" t="s">
        <v>253</v>
      </c>
      <c r="E61" s="1" t="s">
        <v>36</v>
      </c>
      <c r="G61">
        <v>469190</v>
      </c>
      <c r="H61" t="s">
        <v>254</v>
      </c>
      <c r="I61" t="s">
        <v>255</v>
      </c>
      <c r="J61">
        <v>12</v>
      </c>
      <c r="K61">
        <v>469190</v>
      </c>
      <c r="L61">
        <v>50237</v>
      </c>
      <c r="M61" t="s">
        <v>39</v>
      </c>
      <c r="N61">
        <v>17</v>
      </c>
      <c r="O61" s="2">
        <v>46226</v>
      </c>
      <c r="P61" s="2">
        <v>46256</v>
      </c>
      <c r="R61" t="s">
        <v>256</v>
      </c>
      <c r="S61" t="str">
        <f>"330000051619"</f>
        <v>330000051619</v>
      </c>
      <c r="T61" t="s">
        <v>41</v>
      </c>
      <c r="U61">
        <v>3278.46</v>
      </c>
      <c r="V61">
        <v>3278.46</v>
      </c>
      <c r="W61">
        <v>3278.46</v>
      </c>
      <c r="X61">
        <v>0</v>
      </c>
      <c r="Y61">
        <v>0</v>
      </c>
      <c r="Z61">
        <v>-481</v>
      </c>
      <c r="AA61">
        <v>1542</v>
      </c>
      <c r="AD61" t="s">
        <v>139</v>
      </c>
      <c r="AE61">
        <v>1330237000</v>
      </c>
      <c r="AF61" t="s">
        <v>139</v>
      </c>
      <c r="AG61" s="1" t="s">
        <v>257</v>
      </c>
      <c r="AH61" t="s">
        <v>44</v>
      </c>
    </row>
    <row r="62" spans="1:34" x14ac:dyDescent="0.3">
      <c r="A62">
        <v>101</v>
      </c>
      <c r="B62" t="s">
        <v>34</v>
      </c>
      <c r="C62">
        <v>2</v>
      </c>
      <c r="D62" s="1" t="s">
        <v>258</v>
      </c>
      <c r="E62" s="1" t="s">
        <v>36</v>
      </c>
      <c r="G62">
        <v>469209</v>
      </c>
      <c r="H62" t="s">
        <v>259</v>
      </c>
      <c r="I62" t="s">
        <v>260</v>
      </c>
      <c r="J62">
        <v>12</v>
      </c>
      <c r="K62">
        <v>11553</v>
      </c>
      <c r="L62">
        <v>50237</v>
      </c>
      <c r="M62" t="s">
        <v>39</v>
      </c>
      <c r="N62">
        <v>17</v>
      </c>
      <c r="O62" s="2">
        <v>46226</v>
      </c>
      <c r="P62" s="2">
        <v>46256</v>
      </c>
      <c r="R62" t="s">
        <v>261</v>
      </c>
      <c r="S62" t="str">
        <f>"330000051627"</f>
        <v>330000051627</v>
      </c>
      <c r="T62" t="s">
        <v>41</v>
      </c>
      <c r="U62">
        <v>1714.71</v>
      </c>
      <c r="V62">
        <v>1714.71</v>
      </c>
      <c r="W62">
        <v>1714.71</v>
      </c>
      <c r="X62">
        <v>0</v>
      </c>
      <c r="Y62">
        <v>0</v>
      </c>
      <c r="Z62">
        <v>-481</v>
      </c>
      <c r="AA62">
        <v>1543</v>
      </c>
      <c r="AD62" t="s">
        <v>262</v>
      </c>
      <c r="AE62">
        <v>1935423280</v>
      </c>
      <c r="AF62" t="s">
        <v>262</v>
      </c>
      <c r="AG62">
        <v>54420625000301</v>
      </c>
      <c r="AH62" t="s">
        <v>44</v>
      </c>
    </row>
    <row r="63" spans="1:34" x14ac:dyDescent="0.3">
      <c r="A63">
        <v>101</v>
      </c>
      <c r="B63" t="s">
        <v>34</v>
      </c>
      <c r="C63">
        <v>2</v>
      </c>
      <c r="D63" s="1" t="s">
        <v>263</v>
      </c>
      <c r="E63" s="1" t="s">
        <v>36</v>
      </c>
      <c r="G63">
        <v>469210</v>
      </c>
      <c r="H63" t="s">
        <v>264</v>
      </c>
      <c r="I63" t="s">
        <v>260</v>
      </c>
      <c r="J63">
        <v>12</v>
      </c>
      <c r="K63">
        <v>11553</v>
      </c>
      <c r="L63">
        <v>50237</v>
      </c>
      <c r="M63" t="s">
        <v>39</v>
      </c>
      <c r="N63">
        <v>17</v>
      </c>
      <c r="O63" s="2">
        <v>46226</v>
      </c>
      <c r="P63" s="2">
        <v>46256</v>
      </c>
      <c r="R63" t="s">
        <v>265</v>
      </c>
      <c r="S63" t="str">
        <f>"330000051635"</f>
        <v>330000051635</v>
      </c>
      <c r="T63" t="s">
        <v>41</v>
      </c>
      <c r="U63">
        <v>4972.18</v>
      </c>
      <c r="V63">
        <v>4972.18</v>
      </c>
      <c r="W63">
        <v>4972.18</v>
      </c>
      <c r="X63">
        <v>0</v>
      </c>
      <c r="Y63">
        <v>0</v>
      </c>
      <c r="Z63">
        <v>-481</v>
      </c>
      <c r="AA63">
        <v>1545</v>
      </c>
      <c r="AD63" t="s">
        <v>262</v>
      </c>
      <c r="AE63">
        <v>1938388720</v>
      </c>
      <c r="AF63" t="s">
        <v>262</v>
      </c>
      <c r="AG63">
        <v>54420625000484</v>
      </c>
      <c r="AH63" t="s">
        <v>44</v>
      </c>
    </row>
    <row r="64" spans="1:34" x14ac:dyDescent="0.3">
      <c r="A64">
        <v>101</v>
      </c>
      <c r="B64" t="s">
        <v>34</v>
      </c>
      <c r="C64">
        <v>2</v>
      </c>
      <c r="D64" s="1" t="s">
        <v>266</v>
      </c>
      <c r="E64" s="1" t="s">
        <v>36</v>
      </c>
      <c r="G64">
        <v>469333</v>
      </c>
      <c r="H64" t="s">
        <v>267</v>
      </c>
      <c r="I64" t="s">
        <v>174</v>
      </c>
      <c r="J64">
        <v>12</v>
      </c>
      <c r="K64">
        <v>9621</v>
      </c>
      <c r="L64">
        <v>50237</v>
      </c>
      <c r="M64" t="s">
        <v>39</v>
      </c>
      <c r="N64">
        <v>17</v>
      </c>
      <c r="O64" s="2">
        <v>46246</v>
      </c>
      <c r="P64" s="2">
        <v>46276</v>
      </c>
      <c r="R64" t="s">
        <v>268</v>
      </c>
      <c r="S64" t="str">
        <f>"330000052119"</f>
        <v>330000052119</v>
      </c>
      <c r="T64" t="s">
        <v>41</v>
      </c>
      <c r="U64">
        <v>2344.54</v>
      </c>
      <c r="V64">
        <v>2344.54</v>
      </c>
      <c r="W64">
        <v>2344.54</v>
      </c>
      <c r="X64">
        <v>0</v>
      </c>
      <c r="Y64">
        <v>0</v>
      </c>
      <c r="Z64">
        <v>-501</v>
      </c>
      <c r="AA64">
        <v>4392</v>
      </c>
      <c r="AD64" t="s">
        <v>226</v>
      </c>
      <c r="AE64">
        <v>1938479911</v>
      </c>
      <c r="AF64" t="s">
        <v>226</v>
      </c>
      <c r="AG64" s="1" t="s">
        <v>269</v>
      </c>
      <c r="AH64" t="s">
        <v>44</v>
      </c>
    </row>
    <row r="65" spans="1:34" x14ac:dyDescent="0.3">
      <c r="A65">
        <v>101</v>
      </c>
      <c r="B65" t="s">
        <v>34</v>
      </c>
      <c r="C65">
        <v>2</v>
      </c>
      <c r="D65" s="1" t="s">
        <v>270</v>
      </c>
      <c r="E65" s="1" t="s">
        <v>36</v>
      </c>
      <c r="G65">
        <v>469340</v>
      </c>
      <c r="H65" t="s">
        <v>271</v>
      </c>
      <c r="I65" t="s">
        <v>272</v>
      </c>
      <c r="J65">
        <v>12</v>
      </c>
      <c r="K65">
        <v>999000845</v>
      </c>
      <c r="L65">
        <v>50237</v>
      </c>
      <c r="M65" t="s">
        <v>39</v>
      </c>
      <c r="N65">
        <v>17</v>
      </c>
      <c r="O65" s="2">
        <v>46255</v>
      </c>
      <c r="P65" s="2">
        <v>46285</v>
      </c>
      <c r="R65" t="s">
        <v>273</v>
      </c>
      <c r="S65" t="str">
        <f>"330000052402"</f>
        <v>330000052402</v>
      </c>
      <c r="T65" t="s">
        <v>41</v>
      </c>
      <c r="U65">
        <v>1223.7</v>
      </c>
      <c r="V65">
        <v>1223.7</v>
      </c>
      <c r="W65">
        <v>1223.7</v>
      </c>
      <c r="X65">
        <v>0</v>
      </c>
      <c r="Y65">
        <v>0</v>
      </c>
      <c r="Z65">
        <v>-510</v>
      </c>
      <c r="AA65">
        <v>4901</v>
      </c>
      <c r="AD65" t="s">
        <v>221</v>
      </c>
      <c r="AF65" t="s">
        <v>221</v>
      </c>
      <c r="AG65">
        <v>73031353000556</v>
      </c>
      <c r="AH65" t="s">
        <v>44</v>
      </c>
    </row>
    <row r="66" spans="1:34" x14ac:dyDescent="0.3">
      <c r="A66">
        <v>101</v>
      </c>
      <c r="B66" t="s">
        <v>34</v>
      </c>
      <c r="C66">
        <v>2</v>
      </c>
      <c r="D66" s="1" t="s">
        <v>274</v>
      </c>
      <c r="E66" s="1" t="s">
        <v>36</v>
      </c>
      <c r="G66">
        <v>469454</v>
      </c>
      <c r="H66" t="s">
        <v>275</v>
      </c>
      <c r="I66" t="s">
        <v>276</v>
      </c>
      <c r="J66">
        <v>12</v>
      </c>
      <c r="K66">
        <v>469454</v>
      </c>
      <c r="L66">
        <v>50341</v>
      </c>
      <c r="M66" t="s">
        <v>146</v>
      </c>
      <c r="N66">
        <v>17</v>
      </c>
      <c r="O66" s="2">
        <v>46254</v>
      </c>
      <c r="P66" s="2">
        <v>46284</v>
      </c>
      <c r="R66" t="s">
        <v>277</v>
      </c>
      <c r="S66" t="str">
        <f>"00013698"</f>
        <v>00013698</v>
      </c>
      <c r="T66" t="s">
        <v>41</v>
      </c>
      <c r="U66">
        <v>953.07</v>
      </c>
      <c r="V66">
        <v>953.07</v>
      </c>
      <c r="W66">
        <v>953.07</v>
      </c>
      <c r="X66">
        <v>0</v>
      </c>
      <c r="Y66">
        <v>0</v>
      </c>
      <c r="Z66">
        <v>-509</v>
      </c>
      <c r="AA66">
        <v>4373</v>
      </c>
      <c r="AD66" t="s">
        <v>278</v>
      </c>
      <c r="AE66">
        <v>19974224001</v>
      </c>
      <c r="AF66" t="s">
        <v>278</v>
      </c>
      <c r="AG66">
        <v>58359392000160</v>
      </c>
      <c r="AH66" t="s">
        <v>44</v>
      </c>
    </row>
    <row r="67" spans="1:34" x14ac:dyDescent="0.3">
      <c r="A67">
        <v>101</v>
      </c>
      <c r="B67" t="s">
        <v>34</v>
      </c>
      <c r="C67">
        <v>2</v>
      </c>
      <c r="D67" s="1" t="s">
        <v>274</v>
      </c>
      <c r="E67" s="1" t="s">
        <v>122</v>
      </c>
      <c r="G67">
        <v>469454</v>
      </c>
      <c r="H67" t="s">
        <v>275</v>
      </c>
      <c r="I67" t="s">
        <v>276</v>
      </c>
      <c r="J67">
        <v>12</v>
      </c>
      <c r="K67">
        <v>469454</v>
      </c>
      <c r="L67">
        <v>50341</v>
      </c>
      <c r="M67" t="s">
        <v>146</v>
      </c>
      <c r="N67">
        <v>17</v>
      </c>
      <c r="O67" s="2">
        <v>46254</v>
      </c>
      <c r="P67" s="2">
        <v>46299</v>
      </c>
      <c r="R67" t="s">
        <v>277</v>
      </c>
      <c r="S67" t="str">
        <f>"00013699"</f>
        <v>00013699</v>
      </c>
      <c r="T67" t="s">
        <v>41</v>
      </c>
      <c r="U67">
        <v>928.46</v>
      </c>
      <c r="V67">
        <v>928.46</v>
      </c>
      <c r="W67">
        <v>928.46</v>
      </c>
      <c r="X67">
        <v>0</v>
      </c>
      <c r="Y67">
        <v>0</v>
      </c>
      <c r="Z67">
        <v>-524</v>
      </c>
      <c r="AA67">
        <v>4373</v>
      </c>
      <c r="AD67" t="s">
        <v>278</v>
      </c>
      <c r="AE67">
        <v>19974224001</v>
      </c>
      <c r="AF67" t="s">
        <v>278</v>
      </c>
      <c r="AG67">
        <v>58359392000160</v>
      </c>
      <c r="AH67" t="s">
        <v>44</v>
      </c>
    </row>
    <row r="68" spans="1:34" x14ac:dyDescent="0.3">
      <c r="A68">
        <v>101</v>
      </c>
      <c r="B68" t="s">
        <v>34</v>
      </c>
      <c r="C68">
        <v>2</v>
      </c>
      <c r="D68" s="1" t="s">
        <v>279</v>
      </c>
      <c r="E68" s="1" t="s">
        <v>122</v>
      </c>
      <c r="G68">
        <v>469455</v>
      </c>
      <c r="H68" t="s">
        <v>280</v>
      </c>
      <c r="I68" t="s">
        <v>281</v>
      </c>
      <c r="J68">
        <v>12</v>
      </c>
      <c r="K68">
        <v>469455</v>
      </c>
      <c r="L68">
        <v>50341</v>
      </c>
      <c r="M68" t="s">
        <v>146</v>
      </c>
      <c r="N68">
        <v>17</v>
      </c>
      <c r="O68" s="2">
        <v>46254</v>
      </c>
      <c r="P68" s="2">
        <v>46299</v>
      </c>
      <c r="R68" t="s">
        <v>282</v>
      </c>
      <c r="S68" t="str">
        <f>"00013701"</f>
        <v>00013701</v>
      </c>
      <c r="T68" t="s">
        <v>41</v>
      </c>
      <c r="U68">
        <v>2289.6</v>
      </c>
      <c r="V68">
        <v>2289.6</v>
      </c>
      <c r="W68">
        <v>2289.6</v>
      </c>
      <c r="X68">
        <v>0</v>
      </c>
      <c r="Y68">
        <v>0</v>
      </c>
      <c r="Z68">
        <v>-524</v>
      </c>
      <c r="AA68">
        <v>4365</v>
      </c>
      <c r="AD68" t="s">
        <v>278</v>
      </c>
      <c r="AE68">
        <v>1938021882</v>
      </c>
      <c r="AF68" t="s">
        <v>278</v>
      </c>
      <c r="AG68">
        <v>55997441000100</v>
      </c>
      <c r="AH68" t="s">
        <v>44</v>
      </c>
    </row>
    <row r="69" spans="1:34" x14ac:dyDescent="0.3">
      <c r="A69">
        <v>101</v>
      </c>
      <c r="B69" t="s">
        <v>34</v>
      </c>
      <c r="C69">
        <v>2</v>
      </c>
      <c r="D69" s="1" t="s">
        <v>279</v>
      </c>
      <c r="E69" s="1" t="s">
        <v>36</v>
      </c>
      <c r="G69">
        <v>469455</v>
      </c>
      <c r="H69" t="s">
        <v>280</v>
      </c>
      <c r="I69" t="s">
        <v>281</v>
      </c>
      <c r="J69">
        <v>12</v>
      </c>
      <c r="K69">
        <v>469455</v>
      </c>
      <c r="L69">
        <v>50341</v>
      </c>
      <c r="M69" t="s">
        <v>146</v>
      </c>
      <c r="N69">
        <v>17</v>
      </c>
      <c r="O69" s="2">
        <v>46254</v>
      </c>
      <c r="P69" s="2">
        <v>46284</v>
      </c>
      <c r="R69" t="s">
        <v>282</v>
      </c>
      <c r="S69" t="str">
        <f>"00013700"</f>
        <v>00013700</v>
      </c>
      <c r="T69" t="s">
        <v>41</v>
      </c>
      <c r="U69">
        <v>2316.1</v>
      </c>
      <c r="V69">
        <v>2316.1</v>
      </c>
      <c r="W69">
        <v>2316.1</v>
      </c>
      <c r="X69">
        <v>0</v>
      </c>
      <c r="Y69">
        <v>0</v>
      </c>
      <c r="Z69">
        <v>-509</v>
      </c>
      <c r="AA69">
        <v>4365</v>
      </c>
      <c r="AD69" t="s">
        <v>278</v>
      </c>
      <c r="AE69">
        <v>1938021882</v>
      </c>
      <c r="AF69" t="s">
        <v>278</v>
      </c>
      <c r="AG69">
        <v>55997441000100</v>
      </c>
      <c r="AH69" t="s">
        <v>44</v>
      </c>
    </row>
    <row r="70" spans="1:34" x14ac:dyDescent="0.3">
      <c r="A70">
        <v>101</v>
      </c>
      <c r="B70" t="s">
        <v>34</v>
      </c>
      <c r="C70">
        <v>2</v>
      </c>
      <c r="D70" s="1" t="s">
        <v>283</v>
      </c>
      <c r="E70" s="1" t="s">
        <v>36</v>
      </c>
      <c r="G70">
        <v>470027</v>
      </c>
      <c r="H70" t="s">
        <v>284</v>
      </c>
      <c r="I70" t="s">
        <v>125</v>
      </c>
      <c r="J70">
        <v>12</v>
      </c>
      <c r="K70">
        <v>1162</v>
      </c>
      <c r="L70">
        <v>95000</v>
      </c>
      <c r="M70" t="s">
        <v>69</v>
      </c>
      <c r="N70">
        <v>17</v>
      </c>
      <c r="O70" s="2">
        <v>46235</v>
      </c>
      <c r="P70" s="2">
        <v>46281</v>
      </c>
      <c r="R70" t="s">
        <v>285</v>
      </c>
      <c r="S70" t="str">
        <f>""</f>
        <v/>
      </c>
      <c r="T70" t="s">
        <v>41</v>
      </c>
      <c r="U70">
        <v>2415.8000000000002</v>
      </c>
      <c r="V70">
        <v>2295.0100000000002</v>
      </c>
      <c r="W70">
        <v>2295.0100000000002</v>
      </c>
      <c r="X70">
        <v>0</v>
      </c>
      <c r="Y70">
        <v>0</v>
      </c>
      <c r="Z70">
        <v>-506</v>
      </c>
      <c r="AA70">
        <v>1714</v>
      </c>
      <c r="AD70" t="s">
        <v>139</v>
      </c>
      <c r="AE70" t="s">
        <v>286</v>
      </c>
      <c r="AF70" t="s">
        <v>139</v>
      </c>
      <c r="AG70">
        <v>67228536002779</v>
      </c>
      <c r="AH70" t="s">
        <v>44</v>
      </c>
    </row>
    <row r="71" spans="1:34" x14ac:dyDescent="0.3">
      <c r="A71">
        <v>101</v>
      </c>
      <c r="B71" t="s">
        <v>34</v>
      </c>
      <c r="C71">
        <v>2</v>
      </c>
      <c r="D71" s="1" t="s">
        <v>287</v>
      </c>
      <c r="E71" s="1" t="s">
        <v>36</v>
      </c>
      <c r="G71">
        <v>999000146</v>
      </c>
      <c r="H71" t="s">
        <v>288</v>
      </c>
      <c r="I71" t="s">
        <v>145</v>
      </c>
      <c r="J71">
        <v>12</v>
      </c>
      <c r="K71">
        <v>2170</v>
      </c>
      <c r="L71">
        <v>50341</v>
      </c>
      <c r="M71" t="s">
        <v>146</v>
      </c>
      <c r="N71">
        <v>17</v>
      </c>
      <c r="O71" s="2">
        <v>46219</v>
      </c>
      <c r="P71" s="2">
        <v>46264</v>
      </c>
      <c r="R71" t="s">
        <v>289</v>
      </c>
      <c r="S71" t="str">
        <f>"00013159"</f>
        <v>00013159</v>
      </c>
      <c r="T71" t="s">
        <v>41</v>
      </c>
      <c r="U71">
        <v>3227.3</v>
      </c>
      <c r="V71">
        <v>3227.3</v>
      </c>
      <c r="W71">
        <v>3227.3</v>
      </c>
      <c r="X71">
        <v>0</v>
      </c>
      <c r="Y71">
        <v>0</v>
      </c>
      <c r="Z71">
        <v>-489</v>
      </c>
      <c r="AA71">
        <v>1255</v>
      </c>
      <c r="AD71" t="s">
        <v>139</v>
      </c>
      <c r="AE71">
        <v>1938611804</v>
      </c>
      <c r="AF71" t="s">
        <v>139</v>
      </c>
      <c r="AG71">
        <v>71782163000200</v>
      </c>
      <c r="AH71" t="s">
        <v>44</v>
      </c>
    </row>
    <row r="72" spans="1:34" x14ac:dyDescent="0.3">
      <c r="A72">
        <v>101</v>
      </c>
      <c r="B72" t="s">
        <v>34</v>
      </c>
      <c r="C72">
        <v>2</v>
      </c>
      <c r="D72" s="1" t="s">
        <v>290</v>
      </c>
      <c r="E72" s="1" t="s">
        <v>36</v>
      </c>
      <c r="G72">
        <v>999000454</v>
      </c>
      <c r="H72" t="s">
        <v>199</v>
      </c>
      <c r="I72" t="s">
        <v>291</v>
      </c>
      <c r="J72">
        <v>12</v>
      </c>
      <c r="K72">
        <v>999000454</v>
      </c>
      <c r="L72">
        <v>50341</v>
      </c>
      <c r="M72" t="s">
        <v>146</v>
      </c>
      <c r="N72">
        <v>17</v>
      </c>
      <c r="O72" s="2">
        <v>46235</v>
      </c>
      <c r="P72" s="2">
        <v>46280</v>
      </c>
      <c r="R72" t="s">
        <v>292</v>
      </c>
      <c r="S72" t="str">
        <f>"00013535"</f>
        <v>00013535</v>
      </c>
      <c r="T72" t="s">
        <v>41</v>
      </c>
      <c r="U72">
        <v>2338.61</v>
      </c>
      <c r="V72">
        <v>2338.61</v>
      </c>
      <c r="W72">
        <v>2338.61</v>
      </c>
      <c r="X72">
        <v>0</v>
      </c>
      <c r="Y72">
        <v>0</v>
      </c>
      <c r="Z72">
        <v>-505</v>
      </c>
      <c r="AA72">
        <v>1882</v>
      </c>
      <c r="AD72" t="s">
        <v>199</v>
      </c>
      <c r="AE72" t="s">
        <v>293</v>
      </c>
      <c r="AF72" t="s">
        <v>199</v>
      </c>
      <c r="AG72">
        <v>67854547000125</v>
      </c>
      <c r="AH72" t="s">
        <v>44</v>
      </c>
    </row>
    <row r="73" spans="1:34" x14ac:dyDescent="0.3">
      <c r="A73">
        <v>101</v>
      </c>
      <c r="B73" t="s">
        <v>34</v>
      </c>
      <c r="C73">
        <v>2</v>
      </c>
      <c r="D73" s="1" t="s">
        <v>294</v>
      </c>
      <c r="E73" s="1" t="s">
        <v>36</v>
      </c>
      <c r="G73">
        <v>999001033</v>
      </c>
      <c r="H73" t="s">
        <v>295</v>
      </c>
      <c r="I73" t="s">
        <v>131</v>
      </c>
      <c r="J73">
        <v>12</v>
      </c>
      <c r="K73">
        <v>1231</v>
      </c>
      <c r="L73">
        <v>50001</v>
      </c>
      <c r="M73" t="s">
        <v>39</v>
      </c>
      <c r="N73">
        <v>17</v>
      </c>
      <c r="O73" s="2">
        <v>46255</v>
      </c>
      <c r="P73" s="2">
        <v>46283</v>
      </c>
      <c r="R73" t="s">
        <v>296</v>
      </c>
      <c r="S73" t="str">
        <f>"25666160000052024"</f>
        <v>25666160000052024</v>
      </c>
      <c r="T73" t="s">
        <v>41</v>
      </c>
      <c r="U73">
        <v>414.55</v>
      </c>
      <c r="V73">
        <v>414.55</v>
      </c>
      <c r="W73">
        <v>414.55</v>
      </c>
      <c r="X73">
        <v>0</v>
      </c>
      <c r="Y73">
        <v>0</v>
      </c>
      <c r="Z73">
        <v>-508</v>
      </c>
      <c r="AA73">
        <v>4953</v>
      </c>
      <c r="AD73" t="s">
        <v>297</v>
      </c>
      <c r="AE73" t="s">
        <v>298</v>
      </c>
      <c r="AF73" t="s">
        <v>297</v>
      </c>
      <c r="AG73">
        <v>43460336000654</v>
      </c>
      <c r="AH73" t="s">
        <v>44</v>
      </c>
    </row>
    <row r="74" spans="1:34" x14ac:dyDescent="0.3">
      <c r="A74">
        <v>101</v>
      </c>
      <c r="B74" t="s">
        <v>34</v>
      </c>
      <c r="C74">
        <v>2</v>
      </c>
      <c r="D74" s="1" t="s">
        <v>299</v>
      </c>
      <c r="E74" s="1" t="s">
        <v>36</v>
      </c>
      <c r="G74">
        <v>999001248</v>
      </c>
      <c r="H74" t="s">
        <v>300</v>
      </c>
      <c r="I74" t="s">
        <v>301</v>
      </c>
      <c r="J74">
        <v>12</v>
      </c>
      <c r="K74">
        <v>1441</v>
      </c>
      <c r="L74">
        <v>50001</v>
      </c>
      <c r="M74" t="s">
        <v>39</v>
      </c>
      <c r="N74">
        <v>17</v>
      </c>
      <c r="O74" s="2">
        <v>46246</v>
      </c>
      <c r="P74" s="2">
        <v>46276</v>
      </c>
      <c r="R74" t="s">
        <v>302</v>
      </c>
      <c r="S74" t="str">
        <f>"25666160000051872"</f>
        <v>25666160000051872</v>
      </c>
      <c r="T74" t="s">
        <v>41</v>
      </c>
      <c r="U74">
        <v>11321.46</v>
      </c>
      <c r="V74">
        <v>11321.46</v>
      </c>
      <c r="W74">
        <v>11321.46</v>
      </c>
      <c r="X74">
        <v>0</v>
      </c>
      <c r="Y74">
        <v>0</v>
      </c>
      <c r="Z74">
        <v>-501</v>
      </c>
      <c r="AA74">
        <v>4489</v>
      </c>
      <c r="AD74" t="s">
        <v>221</v>
      </c>
      <c r="AE74" t="s">
        <v>303</v>
      </c>
      <c r="AF74" t="s">
        <v>221</v>
      </c>
      <c r="AG74">
        <v>50582170000523</v>
      </c>
      <c r="AH74" t="s">
        <v>44</v>
      </c>
    </row>
    <row r="75" spans="1:34" x14ac:dyDescent="0.3">
      <c r="A75">
        <v>101</v>
      </c>
      <c r="B75" t="s">
        <v>34</v>
      </c>
      <c r="C75">
        <v>2</v>
      </c>
      <c r="D75" s="1" t="s">
        <v>304</v>
      </c>
      <c r="E75" s="1" t="s">
        <v>122</v>
      </c>
      <c r="G75">
        <v>873</v>
      </c>
      <c r="H75" t="s">
        <v>305</v>
      </c>
      <c r="I75" t="s">
        <v>306</v>
      </c>
      <c r="J75">
        <v>12</v>
      </c>
      <c r="K75">
        <v>873</v>
      </c>
      <c r="L75">
        <v>50001</v>
      </c>
      <c r="M75" t="s">
        <v>39</v>
      </c>
      <c r="N75">
        <v>31</v>
      </c>
      <c r="O75" s="2">
        <v>46254</v>
      </c>
      <c r="P75" s="2">
        <v>46314</v>
      </c>
      <c r="R75" t="s">
        <v>307</v>
      </c>
      <c r="S75" t="str">
        <f>"25666160000051955"</f>
        <v>25666160000051955</v>
      </c>
      <c r="T75" t="s">
        <v>41</v>
      </c>
      <c r="U75">
        <v>2450.69</v>
      </c>
      <c r="V75">
        <v>2450.69</v>
      </c>
      <c r="W75">
        <v>2450.69</v>
      </c>
      <c r="X75">
        <v>0</v>
      </c>
      <c r="Y75">
        <v>0</v>
      </c>
      <c r="Z75">
        <v>-539</v>
      </c>
      <c r="AA75">
        <v>4887</v>
      </c>
      <c r="AD75" t="s">
        <v>308</v>
      </c>
      <c r="AE75" t="s">
        <v>309</v>
      </c>
      <c r="AF75" t="s">
        <v>308</v>
      </c>
      <c r="AG75" s="1" t="s">
        <v>310</v>
      </c>
      <c r="AH75" t="s">
        <v>311</v>
      </c>
    </row>
    <row r="76" spans="1:34" x14ac:dyDescent="0.3">
      <c r="A76">
        <v>101</v>
      </c>
      <c r="B76" t="s">
        <v>34</v>
      </c>
      <c r="C76">
        <v>2</v>
      </c>
      <c r="D76" s="1" t="s">
        <v>304</v>
      </c>
      <c r="E76" s="1" t="s">
        <v>36</v>
      </c>
      <c r="G76">
        <v>873</v>
      </c>
      <c r="H76" t="s">
        <v>305</v>
      </c>
      <c r="I76" t="s">
        <v>306</v>
      </c>
      <c r="J76">
        <v>12</v>
      </c>
      <c r="K76">
        <v>873</v>
      </c>
      <c r="L76">
        <v>50001</v>
      </c>
      <c r="M76" t="s">
        <v>39</v>
      </c>
      <c r="N76">
        <v>31</v>
      </c>
      <c r="O76" s="2">
        <v>46254</v>
      </c>
      <c r="P76" s="2">
        <v>46284</v>
      </c>
      <c r="R76" t="s">
        <v>307</v>
      </c>
      <c r="S76" t="str">
        <f>"25666160000051954"</f>
        <v>25666160000051954</v>
      </c>
      <c r="T76" t="s">
        <v>41</v>
      </c>
      <c r="U76">
        <v>2705.73</v>
      </c>
      <c r="V76">
        <v>2705.73</v>
      </c>
      <c r="W76">
        <v>2705.73</v>
      </c>
      <c r="X76">
        <v>0</v>
      </c>
      <c r="Y76">
        <v>0</v>
      </c>
      <c r="Z76">
        <v>-509</v>
      </c>
      <c r="AA76">
        <v>4887</v>
      </c>
      <c r="AD76" t="s">
        <v>308</v>
      </c>
      <c r="AE76" t="s">
        <v>309</v>
      </c>
      <c r="AF76" t="s">
        <v>308</v>
      </c>
      <c r="AG76" s="1" t="s">
        <v>310</v>
      </c>
      <c r="AH76" t="s">
        <v>311</v>
      </c>
    </row>
    <row r="77" spans="1:34" x14ac:dyDescent="0.3">
      <c r="A77">
        <v>101</v>
      </c>
      <c r="B77" t="s">
        <v>34</v>
      </c>
      <c r="C77">
        <v>2</v>
      </c>
      <c r="D77" s="1" t="s">
        <v>312</v>
      </c>
      <c r="E77" s="1" t="s">
        <v>122</v>
      </c>
      <c r="G77">
        <v>873</v>
      </c>
      <c r="H77" t="s">
        <v>305</v>
      </c>
      <c r="I77" t="s">
        <v>306</v>
      </c>
      <c r="J77">
        <v>12</v>
      </c>
      <c r="K77">
        <v>873</v>
      </c>
      <c r="L77">
        <v>50001</v>
      </c>
      <c r="M77" t="s">
        <v>39</v>
      </c>
      <c r="N77">
        <v>31</v>
      </c>
      <c r="O77" s="2">
        <v>46219</v>
      </c>
      <c r="P77" s="2">
        <v>46279</v>
      </c>
      <c r="R77" t="s">
        <v>313</v>
      </c>
      <c r="S77" t="str">
        <f>"25666160000051492"</f>
        <v>25666160000051492</v>
      </c>
      <c r="T77" t="s">
        <v>41</v>
      </c>
      <c r="U77">
        <v>3721.57</v>
      </c>
      <c r="V77">
        <v>3721.57</v>
      </c>
      <c r="W77">
        <v>3721.57</v>
      </c>
      <c r="X77">
        <v>0</v>
      </c>
      <c r="Y77">
        <v>0</v>
      </c>
      <c r="Z77">
        <v>-504</v>
      </c>
      <c r="AA77">
        <v>694200</v>
      </c>
      <c r="AD77" t="s">
        <v>308</v>
      </c>
      <c r="AE77" t="s">
        <v>309</v>
      </c>
      <c r="AF77" t="s">
        <v>308</v>
      </c>
      <c r="AG77" s="1" t="s">
        <v>310</v>
      </c>
      <c r="AH77" t="s">
        <v>311</v>
      </c>
    </row>
    <row r="78" spans="1:34" x14ac:dyDescent="0.3">
      <c r="A78">
        <v>101</v>
      </c>
      <c r="B78" t="s">
        <v>34</v>
      </c>
      <c r="C78">
        <v>2</v>
      </c>
      <c r="D78" s="1" t="s">
        <v>314</v>
      </c>
      <c r="E78" s="1" t="s">
        <v>36</v>
      </c>
      <c r="G78">
        <v>881</v>
      </c>
      <c r="H78" t="s">
        <v>315</v>
      </c>
      <c r="I78" t="s">
        <v>316</v>
      </c>
      <c r="J78">
        <v>12</v>
      </c>
      <c r="K78">
        <v>881</v>
      </c>
      <c r="L78">
        <v>50033</v>
      </c>
      <c r="M78" t="s">
        <v>39</v>
      </c>
      <c r="N78">
        <v>31</v>
      </c>
      <c r="O78" s="2">
        <v>46232</v>
      </c>
      <c r="P78" s="2">
        <v>46292</v>
      </c>
      <c r="R78" t="s">
        <v>317</v>
      </c>
      <c r="S78" t="str">
        <f>"0000050411438"</f>
        <v>0000050411438</v>
      </c>
      <c r="T78" t="s">
        <v>41</v>
      </c>
      <c r="U78">
        <v>18571.080000000002</v>
      </c>
      <c r="V78">
        <v>18571.080000000002</v>
      </c>
      <c r="W78">
        <v>18571.080000000002</v>
      </c>
      <c r="X78">
        <v>0</v>
      </c>
      <c r="Y78">
        <v>0</v>
      </c>
      <c r="Z78">
        <v>-517</v>
      </c>
      <c r="AA78">
        <v>695293</v>
      </c>
      <c r="AD78" t="s">
        <v>318</v>
      </c>
      <c r="AE78" t="s">
        <v>319</v>
      </c>
      <c r="AF78" t="s">
        <v>318</v>
      </c>
      <c r="AG78">
        <v>86951027000185</v>
      </c>
      <c r="AH78" t="s">
        <v>311</v>
      </c>
    </row>
    <row r="79" spans="1:34" x14ac:dyDescent="0.3">
      <c r="A79">
        <v>101</v>
      </c>
      <c r="B79" t="s">
        <v>34</v>
      </c>
      <c r="C79">
        <v>2</v>
      </c>
      <c r="D79" s="1" t="s">
        <v>320</v>
      </c>
      <c r="E79" s="1" t="s">
        <v>36</v>
      </c>
      <c r="G79">
        <v>882</v>
      </c>
      <c r="H79" t="s">
        <v>321</v>
      </c>
      <c r="I79" t="s">
        <v>322</v>
      </c>
      <c r="J79">
        <v>12</v>
      </c>
      <c r="K79">
        <v>882</v>
      </c>
      <c r="L79">
        <v>50033</v>
      </c>
      <c r="M79" t="s">
        <v>39</v>
      </c>
      <c r="N79">
        <v>31</v>
      </c>
      <c r="O79" s="2">
        <v>46232</v>
      </c>
      <c r="P79" s="2">
        <v>46262</v>
      </c>
      <c r="R79" t="s">
        <v>323</v>
      </c>
      <c r="S79" t="str">
        <f>"0000050411446"</f>
        <v>0000050411446</v>
      </c>
      <c r="T79" t="s">
        <v>41</v>
      </c>
      <c r="U79">
        <v>8304</v>
      </c>
      <c r="V79">
        <v>8304</v>
      </c>
      <c r="W79">
        <v>8304</v>
      </c>
      <c r="X79">
        <v>0</v>
      </c>
      <c r="Y79">
        <v>0</v>
      </c>
      <c r="Z79">
        <v>-487</v>
      </c>
      <c r="AA79">
        <v>1844</v>
      </c>
      <c r="AD79" t="s">
        <v>318</v>
      </c>
      <c r="AE79" t="s">
        <v>324</v>
      </c>
      <c r="AF79" t="s">
        <v>318</v>
      </c>
      <c r="AG79" s="1" t="s">
        <v>325</v>
      </c>
      <c r="AH79" t="s">
        <v>311</v>
      </c>
    </row>
    <row r="80" spans="1:34" x14ac:dyDescent="0.3">
      <c r="A80">
        <v>101</v>
      </c>
      <c r="B80" t="s">
        <v>34</v>
      </c>
      <c r="C80">
        <v>2</v>
      </c>
      <c r="D80" s="1" t="s">
        <v>326</v>
      </c>
      <c r="E80" s="1" t="s">
        <v>36</v>
      </c>
      <c r="G80">
        <v>1451</v>
      </c>
      <c r="H80" t="s">
        <v>327</v>
      </c>
      <c r="I80" t="s">
        <v>328</v>
      </c>
      <c r="J80">
        <v>12</v>
      </c>
      <c r="K80">
        <v>1451</v>
      </c>
      <c r="L80">
        <v>50341</v>
      </c>
      <c r="M80" t="s">
        <v>146</v>
      </c>
      <c r="N80">
        <v>31</v>
      </c>
      <c r="O80" s="2">
        <v>46234</v>
      </c>
      <c r="P80" s="2">
        <v>46264</v>
      </c>
      <c r="R80" t="s">
        <v>329</v>
      </c>
      <c r="S80" t="str">
        <f>"00013396"</f>
        <v>00013396</v>
      </c>
      <c r="T80" t="s">
        <v>41</v>
      </c>
      <c r="U80">
        <v>1320.35</v>
      </c>
      <c r="V80">
        <v>1293.94</v>
      </c>
      <c r="W80">
        <v>1293.94</v>
      </c>
      <c r="X80">
        <v>0</v>
      </c>
      <c r="Y80">
        <v>0</v>
      </c>
      <c r="Z80">
        <v>-489</v>
      </c>
      <c r="AA80">
        <v>4135</v>
      </c>
      <c r="AD80" t="s">
        <v>330</v>
      </c>
      <c r="AE80" t="s">
        <v>331</v>
      </c>
      <c r="AF80" t="s">
        <v>330</v>
      </c>
      <c r="AG80">
        <v>37630118000103</v>
      </c>
      <c r="AH80" t="s">
        <v>311</v>
      </c>
    </row>
    <row r="81" spans="1:34" x14ac:dyDescent="0.3">
      <c r="A81">
        <v>101</v>
      </c>
      <c r="B81" t="s">
        <v>34</v>
      </c>
      <c r="C81">
        <v>2</v>
      </c>
      <c r="D81" s="1" t="s">
        <v>332</v>
      </c>
      <c r="E81" s="1" t="s">
        <v>36</v>
      </c>
      <c r="G81">
        <v>1451</v>
      </c>
      <c r="H81" t="s">
        <v>327</v>
      </c>
      <c r="I81" t="s">
        <v>328</v>
      </c>
      <c r="J81">
        <v>12</v>
      </c>
      <c r="K81">
        <v>1451</v>
      </c>
      <c r="L81">
        <v>50341</v>
      </c>
      <c r="M81" t="s">
        <v>146</v>
      </c>
      <c r="N81">
        <v>31</v>
      </c>
      <c r="O81" s="2">
        <v>46234</v>
      </c>
      <c r="P81" s="2">
        <v>46264</v>
      </c>
      <c r="R81" t="s">
        <v>333</v>
      </c>
      <c r="S81" t="str">
        <f>"00013395"</f>
        <v>00013395</v>
      </c>
      <c r="T81" t="s">
        <v>41</v>
      </c>
      <c r="U81">
        <v>7204.59</v>
      </c>
      <c r="V81">
        <v>7060.5</v>
      </c>
      <c r="W81">
        <v>7060.5</v>
      </c>
      <c r="X81">
        <v>0</v>
      </c>
      <c r="Y81">
        <v>0</v>
      </c>
      <c r="Z81">
        <v>-489</v>
      </c>
      <c r="AA81">
        <v>4055</v>
      </c>
      <c r="AD81" t="s">
        <v>330</v>
      </c>
      <c r="AE81" t="s">
        <v>331</v>
      </c>
      <c r="AF81" t="s">
        <v>330</v>
      </c>
      <c r="AG81">
        <v>37630118000103</v>
      </c>
      <c r="AH81" t="s">
        <v>311</v>
      </c>
    </row>
    <row r="82" spans="1:34" x14ac:dyDescent="0.3">
      <c r="A82">
        <v>101</v>
      </c>
      <c r="B82" t="s">
        <v>34</v>
      </c>
      <c r="C82">
        <v>2</v>
      </c>
      <c r="D82" s="1" t="s">
        <v>334</v>
      </c>
      <c r="E82" s="1" t="s">
        <v>36</v>
      </c>
      <c r="G82">
        <v>1828</v>
      </c>
      <c r="H82" t="s">
        <v>335</v>
      </c>
      <c r="I82" t="s">
        <v>336</v>
      </c>
      <c r="J82">
        <v>12</v>
      </c>
      <c r="K82">
        <v>1828</v>
      </c>
      <c r="L82">
        <v>50001</v>
      </c>
      <c r="M82" t="s">
        <v>39</v>
      </c>
      <c r="N82">
        <v>31</v>
      </c>
      <c r="O82" s="2">
        <v>46233</v>
      </c>
      <c r="P82" s="2">
        <v>46263</v>
      </c>
      <c r="R82" t="s">
        <v>337</v>
      </c>
      <c r="S82" t="str">
        <f>"25666160000051677"</f>
        <v>25666160000051677</v>
      </c>
      <c r="T82" t="s">
        <v>41</v>
      </c>
      <c r="U82">
        <v>4053.61</v>
      </c>
      <c r="V82">
        <v>4053.61</v>
      </c>
      <c r="W82">
        <v>4053.61</v>
      </c>
      <c r="X82">
        <v>0</v>
      </c>
      <c r="Y82">
        <v>0</v>
      </c>
      <c r="Z82">
        <v>-488</v>
      </c>
      <c r="AA82">
        <v>695450</v>
      </c>
      <c r="AD82" t="s">
        <v>338</v>
      </c>
      <c r="AE82" t="s">
        <v>339</v>
      </c>
      <c r="AF82" t="s">
        <v>338</v>
      </c>
      <c r="AG82" s="1" t="s">
        <v>340</v>
      </c>
      <c r="AH82" t="s">
        <v>311</v>
      </c>
    </row>
    <row r="83" spans="1:34" x14ac:dyDescent="0.3">
      <c r="A83">
        <v>101</v>
      </c>
      <c r="B83" t="s">
        <v>34</v>
      </c>
      <c r="C83">
        <v>2</v>
      </c>
      <c r="D83" s="1" t="s">
        <v>334</v>
      </c>
      <c r="E83" s="1" t="s">
        <v>122</v>
      </c>
      <c r="G83">
        <v>1828</v>
      </c>
      <c r="H83" t="s">
        <v>335</v>
      </c>
      <c r="I83" t="s">
        <v>336</v>
      </c>
      <c r="J83">
        <v>12</v>
      </c>
      <c r="K83">
        <v>1828</v>
      </c>
      <c r="L83">
        <v>50001</v>
      </c>
      <c r="M83" t="s">
        <v>39</v>
      </c>
      <c r="N83">
        <v>31</v>
      </c>
      <c r="O83" s="2">
        <v>46233</v>
      </c>
      <c r="P83" s="2">
        <v>46293</v>
      </c>
      <c r="R83" t="s">
        <v>337</v>
      </c>
      <c r="S83" t="str">
        <f>"25666160000051678"</f>
        <v>25666160000051678</v>
      </c>
      <c r="T83" t="s">
        <v>41</v>
      </c>
      <c r="U83">
        <v>4053.61</v>
      </c>
      <c r="V83">
        <v>4053.61</v>
      </c>
      <c r="W83">
        <v>4053.61</v>
      </c>
      <c r="X83">
        <v>0</v>
      </c>
      <c r="Y83">
        <v>0</v>
      </c>
      <c r="Z83">
        <v>-518</v>
      </c>
      <c r="AA83">
        <v>695450</v>
      </c>
      <c r="AD83" t="s">
        <v>338</v>
      </c>
      <c r="AE83" t="s">
        <v>339</v>
      </c>
      <c r="AF83" t="s">
        <v>338</v>
      </c>
      <c r="AG83" s="1" t="s">
        <v>340</v>
      </c>
      <c r="AH83" t="s">
        <v>311</v>
      </c>
    </row>
    <row r="84" spans="1:34" x14ac:dyDescent="0.3">
      <c r="A84">
        <v>101</v>
      </c>
      <c r="B84" t="s">
        <v>34</v>
      </c>
      <c r="C84">
        <v>2</v>
      </c>
      <c r="D84" s="1" t="s">
        <v>341</v>
      </c>
      <c r="E84" s="1" t="s">
        <v>116</v>
      </c>
      <c r="G84">
        <v>2023</v>
      </c>
      <c r="H84" t="s">
        <v>342</v>
      </c>
      <c r="I84" t="s">
        <v>343</v>
      </c>
      <c r="J84">
        <v>12</v>
      </c>
      <c r="K84">
        <v>2023</v>
      </c>
      <c r="L84">
        <v>50033</v>
      </c>
      <c r="M84" t="s">
        <v>39</v>
      </c>
      <c r="N84">
        <v>31</v>
      </c>
      <c r="O84" s="2">
        <v>46227</v>
      </c>
      <c r="P84" s="2">
        <v>46269</v>
      </c>
      <c r="R84" t="s">
        <v>344</v>
      </c>
      <c r="S84" t="str">
        <f>"0000050410776"</f>
        <v>0000050410776</v>
      </c>
      <c r="T84" t="s">
        <v>41</v>
      </c>
      <c r="U84">
        <v>1744.5</v>
      </c>
      <c r="V84">
        <v>1709.61</v>
      </c>
      <c r="W84">
        <v>1709.61</v>
      </c>
      <c r="X84">
        <v>0</v>
      </c>
      <c r="Y84">
        <v>0</v>
      </c>
      <c r="Z84">
        <v>-494</v>
      </c>
      <c r="AA84">
        <v>694617</v>
      </c>
      <c r="AD84" t="s">
        <v>345</v>
      </c>
      <c r="AE84" t="s">
        <v>346</v>
      </c>
      <c r="AF84" t="s">
        <v>345</v>
      </c>
      <c r="AG84">
        <v>11131502000178</v>
      </c>
      <c r="AH84" t="s">
        <v>311</v>
      </c>
    </row>
    <row r="85" spans="1:34" x14ac:dyDescent="0.3">
      <c r="A85">
        <v>101</v>
      </c>
      <c r="B85" t="s">
        <v>34</v>
      </c>
      <c r="C85">
        <v>2</v>
      </c>
      <c r="D85" s="1" t="s">
        <v>341</v>
      </c>
      <c r="E85" s="1" t="s">
        <v>122</v>
      </c>
      <c r="G85">
        <v>2023</v>
      </c>
      <c r="H85" t="s">
        <v>342</v>
      </c>
      <c r="I85" t="s">
        <v>343</v>
      </c>
      <c r="J85">
        <v>12</v>
      </c>
      <c r="K85">
        <v>2023</v>
      </c>
      <c r="L85">
        <v>50033</v>
      </c>
      <c r="M85" t="s">
        <v>39</v>
      </c>
      <c r="N85">
        <v>31</v>
      </c>
      <c r="O85" s="2">
        <v>46227</v>
      </c>
      <c r="P85" s="2">
        <v>46262</v>
      </c>
      <c r="R85" t="s">
        <v>344</v>
      </c>
      <c r="S85" t="str">
        <f>"0000050410768"</f>
        <v>0000050410768</v>
      </c>
      <c r="T85" t="s">
        <v>41</v>
      </c>
      <c r="U85">
        <v>1743.99</v>
      </c>
      <c r="V85">
        <v>1709.11</v>
      </c>
      <c r="W85">
        <v>1709.11</v>
      </c>
      <c r="X85">
        <v>0</v>
      </c>
      <c r="Y85">
        <v>0</v>
      </c>
      <c r="Z85">
        <v>-487</v>
      </c>
      <c r="AA85">
        <v>694617</v>
      </c>
      <c r="AD85" t="s">
        <v>345</v>
      </c>
      <c r="AE85" t="s">
        <v>346</v>
      </c>
      <c r="AF85" t="s">
        <v>345</v>
      </c>
      <c r="AG85">
        <v>11131502000178</v>
      </c>
      <c r="AH85" t="s">
        <v>311</v>
      </c>
    </row>
    <row r="86" spans="1:34" x14ac:dyDescent="0.3">
      <c r="A86">
        <v>101</v>
      </c>
      <c r="B86" t="s">
        <v>34</v>
      </c>
      <c r="C86">
        <v>2</v>
      </c>
      <c r="D86" s="1" t="s">
        <v>347</v>
      </c>
      <c r="E86" s="1" t="s">
        <v>122</v>
      </c>
      <c r="G86">
        <v>2023</v>
      </c>
      <c r="H86" t="s">
        <v>342</v>
      </c>
      <c r="I86" t="s">
        <v>343</v>
      </c>
      <c r="J86">
        <v>12</v>
      </c>
      <c r="K86">
        <v>2023</v>
      </c>
      <c r="L86">
        <v>50033</v>
      </c>
      <c r="M86" t="s">
        <v>39</v>
      </c>
      <c r="N86">
        <v>31</v>
      </c>
      <c r="O86" s="2">
        <v>46254</v>
      </c>
      <c r="P86" s="2">
        <v>46289</v>
      </c>
      <c r="R86" t="s">
        <v>348</v>
      </c>
      <c r="S86" t="str">
        <f>"0000050414496"</f>
        <v>0000050414496</v>
      </c>
      <c r="T86" t="s">
        <v>41</v>
      </c>
      <c r="U86">
        <v>1033.75</v>
      </c>
      <c r="V86">
        <v>1013.08</v>
      </c>
      <c r="W86">
        <v>1013.08</v>
      </c>
      <c r="X86">
        <v>0</v>
      </c>
      <c r="Y86">
        <v>0</v>
      </c>
      <c r="Z86">
        <v>-514</v>
      </c>
      <c r="AA86">
        <v>4775</v>
      </c>
      <c r="AD86" t="s">
        <v>345</v>
      </c>
      <c r="AE86" t="s">
        <v>346</v>
      </c>
      <c r="AF86" t="s">
        <v>345</v>
      </c>
      <c r="AG86">
        <v>11131502000178</v>
      </c>
      <c r="AH86" t="s">
        <v>311</v>
      </c>
    </row>
    <row r="87" spans="1:34" x14ac:dyDescent="0.3">
      <c r="A87">
        <v>101</v>
      </c>
      <c r="B87" t="s">
        <v>34</v>
      </c>
      <c r="C87">
        <v>2</v>
      </c>
      <c r="D87" s="1" t="s">
        <v>347</v>
      </c>
      <c r="E87" s="1" t="s">
        <v>116</v>
      </c>
      <c r="G87">
        <v>2023</v>
      </c>
      <c r="H87" t="s">
        <v>342</v>
      </c>
      <c r="I87" t="s">
        <v>343</v>
      </c>
      <c r="J87">
        <v>12</v>
      </c>
      <c r="K87">
        <v>2023</v>
      </c>
      <c r="L87">
        <v>50033</v>
      </c>
      <c r="M87" t="s">
        <v>39</v>
      </c>
      <c r="N87">
        <v>31</v>
      </c>
      <c r="O87" s="2">
        <v>46254</v>
      </c>
      <c r="P87" s="2">
        <v>46296</v>
      </c>
      <c r="R87" t="s">
        <v>348</v>
      </c>
      <c r="S87" t="str">
        <f>"0000050414500"</f>
        <v>0000050414500</v>
      </c>
      <c r="T87" t="s">
        <v>41</v>
      </c>
      <c r="U87">
        <v>1034.06</v>
      </c>
      <c r="V87">
        <v>1013.38</v>
      </c>
      <c r="W87">
        <v>1013.38</v>
      </c>
      <c r="X87">
        <v>0</v>
      </c>
      <c r="Y87">
        <v>0</v>
      </c>
      <c r="Z87">
        <v>-521</v>
      </c>
      <c r="AA87">
        <v>4775</v>
      </c>
      <c r="AD87" t="s">
        <v>345</v>
      </c>
      <c r="AE87" t="s">
        <v>346</v>
      </c>
      <c r="AF87" t="s">
        <v>345</v>
      </c>
      <c r="AG87">
        <v>11131502000178</v>
      </c>
      <c r="AH87" t="s">
        <v>311</v>
      </c>
    </row>
    <row r="88" spans="1:34" x14ac:dyDescent="0.3">
      <c r="A88">
        <v>101</v>
      </c>
      <c r="B88" t="s">
        <v>34</v>
      </c>
      <c r="C88">
        <v>2</v>
      </c>
      <c r="D88" s="1" t="s">
        <v>347</v>
      </c>
      <c r="E88" s="1" t="s">
        <v>36</v>
      </c>
      <c r="G88">
        <v>2023</v>
      </c>
      <c r="H88" t="s">
        <v>342</v>
      </c>
      <c r="I88" t="s">
        <v>343</v>
      </c>
      <c r="J88">
        <v>12</v>
      </c>
      <c r="K88">
        <v>2023</v>
      </c>
      <c r="L88">
        <v>50033</v>
      </c>
      <c r="M88" t="s">
        <v>39</v>
      </c>
      <c r="N88">
        <v>31</v>
      </c>
      <c r="O88" s="2">
        <v>46254</v>
      </c>
      <c r="P88" s="2">
        <v>46282</v>
      </c>
      <c r="R88" t="s">
        <v>348</v>
      </c>
      <c r="S88" t="str">
        <f>"0000050414488"</f>
        <v>0000050414488</v>
      </c>
      <c r="T88" t="s">
        <v>41</v>
      </c>
      <c r="U88">
        <v>1336.15</v>
      </c>
      <c r="V88">
        <v>1309.43</v>
      </c>
      <c r="W88">
        <v>1309.43</v>
      </c>
      <c r="X88">
        <v>0</v>
      </c>
      <c r="Y88">
        <v>0</v>
      </c>
      <c r="Z88">
        <v>-507</v>
      </c>
      <c r="AA88">
        <v>4775</v>
      </c>
      <c r="AD88" t="s">
        <v>345</v>
      </c>
      <c r="AE88" t="s">
        <v>346</v>
      </c>
      <c r="AF88" t="s">
        <v>345</v>
      </c>
      <c r="AG88">
        <v>11131502000178</v>
      </c>
      <c r="AH88" t="s">
        <v>311</v>
      </c>
    </row>
    <row r="89" spans="1:34" x14ac:dyDescent="0.3">
      <c r="A89">
        <v>101</v>
      </c>
      <c r="B89" t="s">
        <v>34</v>
      </c>
      <c r="C89">
        <v>2</v>
      </c>
      <c r="D89" s="1" t="s">
        <v>349</v>
      </c>
      <c r="E89" s="1" t="s">
        <v>36</v>
      </c>
      <c r="G89">
        <v>2898</v>
      </c>
      <c r="H89" t="s">
        <v>350</v>
      </c>
      <c r="I89" t="s">
        <v>351</v>
      </c>
      <c r="J89">
        <v>12</v>
      </c>
      <c r="K89">
        <v>2898</v>
      </c>
      <c r="L89">
        <v>50341</v>
      </c>
      <c r="M89" t="s">
        <v>146</v>
      </c>
      <c r="N89">
        <v>31</v>
      </c>
      <c r="O89" s="2">
        <v>46240</v>
      </c>
      <c r="P89" s="2">
        <v>46285</v>
      </c>
      <c r="R89" t="s">
        <v>352</v>
      </c>
      <c r="S89" t="str">
        <f>"00013600"</f>
        <v>00013600</v>
      </c>
      <c r="T89" t="s">
        <v>41</v>
      </c>
      <c r="U89">
        <v>11695.55</v>
      </c>
      <c r="V89">
        <v>11110.77</v>
      </c>
      <c r="W89">
        <v>11110.77</v>
      </c>
      <c r="X89">
        <v>0</v>
      </c>
      <c r="Y89">
        <v>0</v>
      </c>
      <c r="Z89">
        <v>-510</v>
      </c>
      <c r="AA89">
        <v>4275</v>
      </c>
      <c r="AD89" t="s">
        <v>330</v>
      </c>
      <c r="AE89" t="s">
        <v>353</v>
      </c>
      <c r="AF89" t="s">
        <v>330</v>
      </c>
      <c r="AG89" s="1" t="s">
        <v>354</v>
      </c>
      <c r="AH89" t="s">
        <v>311</v>
      </c>
    </row>
    <row r="90" spans="1:34" x14ac:dyDescent="0.3">
      <c r="A90">
        <v>101</v>
      </c>
      <c r="B90" t="s">
        <v>34</v>
      </c>
      <c r="C90">
        <v>2</v>
      </c>
      <c r="D90" s="1" t="s">
        <v>355</v>
      </c>
      <c r="E90" s="1" t="s">
        <v>116</v>
      </c>
      <c r="G90">
        <v>3376</v>
      </c>
      <c r="H90" t="s">
        <v>356</v>
      </c>
      <c r="I90" t="s">
        <v>357</v>
      </c>
      <c r="J90">
        <v>12</v>
      </c>
      <c r="K90">
        <v>3376</v>
      </c>
      <c r="L90">
        <v>50033</v>
      </c>
      <c r="M90" t="s">
        <v>39</v>
      </c>
      <c r="N90">
        <v>31</v>
      </c>
      <c r="O90" s="2">
        <v>46216</v>
      </c>
      <c r="P90" s="2">
        <v>46258</v>
      </c>
      <c r="R90" t="s">
        <v>358</v>
      </c>
      <c r="S90" t="str">
        <f>"0000050409689"</f>
        <v>0000050409689</v>
      </c>
      <c r="T90" t="s">
        <v>41</v>
      </c>
      <c r="U90">
        <v>2216.21</v>
      </c>
      <c r="V90">
        <v>2216.21</v>
      </c>
      <c r="W90">
        <v>2216.21</v>
      </c>
      <c r="X90">
        <v>0</v>
      </c>
      <c r="Y90">
        <v>0</v>
      </c>
      <c r="Z90">
        <v>-483</v>
      </c>
      <c r="AA90">
        <v>799</v>
      </c>
      <c r="AD90" t="s">
        <v>359</v>
      </c>
      <c r="AE90" t="s">
        <v>360</v>
      </c>
      <c r="AF90" t="s">
        <v>359</v>
      </c>
      <c r="AG90">
        <v>10456438000132</v>
      </c>
      <c r="AH90" t="s">
        <v>311</v>
      </c>
    </row>
    <row r="91" spans="1:34" x14ac:dyDescent="0.3">
      <c r="A91">
        <v>101</v>
      </c>
      <c r="B91" t="s">
        <v>34</v>
      </c>
      <c r="C91">
        <v>2</v>
      </c>
      <c r="D91" s="1" t="s">
        <v>361</v>
      </c>
      <c r="E91" s="1" t="s">
        <v>36</v>
      </c>
      <c r="G91">
        <v>6512</v>
      </c>
      <c r="H91" t="s">
        <v>362</v>
      </c>
      <c r="I91" t="s">
        <v>363</v>
      </c>
      <c r="J91">
        <v>12</v>
      </c>
      <c r="K91">
        <v>2898</v>
      </c>
      <c r="L91">
        <v>50341</v>
      </c>
      <c r="M91" t="s">
        <v>146</v>
      </c>
      <c r="N91">
        <v>31</v>
      </c>
      <c r="O91" s="2">
        <v>46240</v>
      </c>
      <c r="P91" s="2">
        <v>46285</v>
      </c>
      <c r="R91" t="s">
        <v>364</v>
      </c>
      <c r="S91" t="str">
        <f>"00013601"</f>
        <v>00013601</v>
      </c>
      <c r="T91" t="s">
        <v>41</v>
      </c>
      <c r="U91">
        <v>14824.96</v>
      </c>
      <c r="V91">
        <v>14083.71</v>
      </c>
      <c r="W91">
        <v>14083.71</v>
      </c>
      <c r="X91">
        <v>0</v>
      </c>
      <c r="Y91">
        <v>0</v>
      </c>
      <c r="Z91">
        <v>-510</v>
      </c>
      <c r="AA91">
        <v>4276</v>
      </c>
      <c r="AD91" t="s">
        <v>330</v>
      </c>
      <c r="AE91" t="s">
        <v>365</v>
      </c>
      <c r="AF91" t="s">
        <v>330</v>
      </c>
      <c r="AG91" s="1" t="s">
        <v>366</v>
      </c>
      <c r="AH91" t="s">
        <v>311</v>
      </c>
    </row>
    <row r="92" spans="1:34" x14ac:dyDescent="0.3">
      <c r="A92">
        <v>101</v>
      </c>
      <c r="B92" t="s">
        <v>34</v>
      </c>
      <c r="C92">
        <v>2</v>
      </c>
      <c r="D92" s="1" t="s">
        <v>367</v>
      </c>
      <c r="E92" s="1" t="s">
        <v>36</v>
      </c>
      <c r="G92">
        <v>6512</v>
      </c>
      <c r="H92" t="s">
        <v>362</v>
      </c>
      <c r="I92" t="s">
        <v>363</v>
      </c>
      <c r="J92">
        <v>12</v>
      </c>
      <c r="K92">
        <v>2898</v>
      </c>
      <c r="L92">
        <v>50341</v>
      </c>
      <c r="M92" t="s">
        <v>146</v>
      </c>
      <c r="N92">
        <v>31</v>
      </c>
      <c r="O92" s="2">
        <v>46254</v>
      </c>
      <c r="P92" s="2">
        <v>46299</v>
      </c>
      <c r="R92" t="s">
        <v>368</v>
      </c>
      <c r="S92" t="str">
        <f>"00013704"</f>
        <v>00013704</v>
      </c>
      <c r="T92" t="s">
        <v>41</v>
      </c>
      <c r="U92">
        <v>185.54</v>
      </c>
      <c r="V92">
        <v>176.26</v>
      </c>
      <c r="W92">
        <v>176.26</v>
      </c>
      <c r="X92">
        <v>0</v>
      </c>
      <c r="Y92">
        <v>0</v>
      </c>
      <c r="Z92">
        <v>-524</v>
      </c>
      <c r="AA92">
        <v>4276</v>
      </c>
      <c r="AD92" t="s">
        <v>330</v>
      </c>
      <c r="AE92" t="s">
        <v>365</v>
      </c>
      <c r="AF92" t="s">
        <v>330</v>
      </c>
      <c r="AG92" s="1" t="s">
        <v>366</v>
      </c>
      <c r="AH92" t="s">
        <v>311</v>
      </c>
    </row>
    <row r="93" spans="1:34" x14ac:dyDescent="0.3">
      <c r="A93">
        <v>101</v>
      </c>
      <c r="B93" t="s">
        <v>34</v>
      </c>
      <c r="C93">
        <v>2</v>
      </c>
      <c r="D93" s="1" t="s">
        <v>369</v>
      </c>
      <c r="E93" s="1" t="s">
        <v>122</v>
      </c>
      <c r="G93">
        <v>6673</v>
      </c>
      <c r="H93" t="s">
        <v>370</v>
      </c>
      <c r="I93" t="s">
        <v>371</v>
      </c>
      <c r="J93">
        <v>12</v>
      </c>
      <c r="K93">
        <v>6673</v>
      </c>
      <c r="L93">
        <v>50033</v>
      </c>
      <c r="M93" t="s">
        <v>39</v>
      </c>
      <c r="N93">
        <v>31</v>
      </c>
      <c r="O93" s="2">
        <v>46199</v>
      </c>
      <c r="P93" s="2">
        <v>46259</v>
      </c>
      <c r="R93" t="s">
        <v>372</v>
      </c>
      <c r="S93" t="str">
        <f>"0000050407457"</f>
        <v>0000050407457</v>
      </c>
      <c r="T93" t="s">
        <v>41</v>
      </c>
      <c r="U93">
        <v>1486.35</v>
      </c>
      <c r="V93">
        <v>1486.35</v>
      </c>
      <c r="W93">
        <v>1486.35</v>
      </c>
      <c r="X93">
        <v>0</v>
      </c>
      <c r="Y93">
        <v>0</v>
      </c>
      <c r="Z93">
        <v>-484</v>
      </c>
      <c r="AA93">
        <v>691759</v>
      </c>
      <c r="AD93" t="s">
        <v>373</v>
      </c>
      <c r="AE93" t="s">
        <v>374</v>
      </c>
      <c r="AF93" t="s">
        <v>373</v>
      </c>
      <c r="AG93" s="1" t="s">
        <v>375</v>
      </c>
      <c r="AH93" t="s">
        <v>311</v>
      </c>
    </row>
    <row r="94" spans="1:34" x14ac:dyDescent="0.3">
      <c r="A94">
        <v>101</v>
      </c>
      <c r="B94" t="s">
        <v>34</v>
      </c>
      <c r="C94">
        <v>2</v>
      </c>
      <c r="D94" s="1" t="s">
        <v>376</v>
      </c>
      <c r="E94" s="1" t="s">
        <v>122</v>
      </c>
      <c r="G94">
        <v>6673</v>
      </c>
      <c r="H94" t="s">
        <v>370</v>
      </c>
      <c r="I94" t="s">
        <v>371</v>
      </c>
      <c r="J94">
        <v>12</v>
      </c>
      <c r="K94">
        <v>6673</v>
      </c>
      <c r="L94">
        <v>50033</v>
      </c>
      <c r="M94" t="s">
        <v>39</v>
      </c>
      <c r="N94">
        <v>31</v>
      </c>
      <c r="O94" s="2">
        <v>46199</v>
      </c>
      <c r="P94" s="2">
        <v>46259</v>
      </c>
      <c r="R94" t="s">
        <v>377</v>
      </c>
      <c r="S94" t="str">
        <f>"0000050407430"</f>
        <v>0000050407430</v>
      </c>
      <c r="T94" t="s">
        <v>41</v>
      </c>
      <c r="U94">
        <v>2237.64</v>
      </c>
      <c r="V94">
        <v>2237.64</v>
      </c>
      <c r="W94">
        <v>2237.64</v>
      </c>
      <c r="X94">
        <v>0</v>
      </c>
      <c r="Y94">
        <v>0</v>
      </c>
      <c r="Z94">
        <v>-484</v>
      </c>
      <c r="AA94">
        <v>691755</v>
      </c>
      <c r="AD94" t="s">
        <v>373</v>
      </c>
      <c r="AE94" t="s">
        <v>374</v>
      </c>
      <c r="AF94" t="s">
        <v>373</v>
      </c>
      <c r="AG94" s="1" t="s">
        <v>375</v>
      </c>
      <c r="AH94" t="s">
        <v>311</v>
      </c>
    </row>
    <row r="95" spans="1:34" x14ac:dyDescent="0.3">
      <c r="A95">
        <v>101</v>
      </c>
      <c r="B95" t="s">
        <v>34</v>
      </c>
      <c r="C95">
        <v>2</v>
      </c>
      <c r="D95" s="1" t="s">
        <v>378</v>
      </c>
      <c r="E95" s="1" t="s">
        <v>36</v>
      </c>
      <c r="G95">
        <v>10693</v>
      </c>
      <c r="H95" t="s">
        <v>379</v>
      </c>
      <c r="I95" t="s">
        <v>380</v>
      </c>
      <c r="J95">
        <v>12</v>
      </c>
      <c r="K95">
        <v>10693</v>
      </c>
      <c r="L95">
        <v>50033</v>
      </c>
      <c r="M95" t="s">
        <v>39</v>
      </c>
      <c r="N95">
        <v>31</v>
      </c>
      <c r="O95" s="2">
        <v>46224</v>
      </c>
      <c r="P95" s="2">
        <v>46268</v>
      </c>
      <c r="R95" t="s">
        <v>381</v>
      </c>
      <c r="S95" t="str">
        <f>"0000050410458"</f>
        <v>0000050410458</v>
      </c>
      <c r="T95" t="s">
        <v>41</v>
      </c>
      <c r="U95">
        <v>5560.89</v>
      </c>
      <c r="V95">
        <v>5560.89</v>
      </c>
      <c r="W95">
        <v>5560.89</v>
      </c>
      <c r="X95">
        <v>0</v>
      </c>
      <c r="Y95">
        <v>0</v>
      </c>
      <c r="Z95">
        <v>-493</v>
      </c>
      <c r="AA95">
        <v>694445</v>
      </c>
      <c r="AD95" t="s">
        <v>308</v>
      </c>
      <c r="AE95" t="s">
        <v>382</v>
      </c>
      <c r="AF95" t="s">
        <v>308</v>
      </c>
      <c r="AG95" s="1" t="s">
        <v>383</v>
      </c>
      <c r="AH95" t="s">
        <v>311</v>
      </c>
    </row>
    <row r="96" spans="1:34" x14ac:dyDescent="0.3">
      <c r="A96">
        <v>101</v>
      </c>
      <c r="B96" t="s">
        <v>34</v>
      </c>
      <c r="C96">
        <v>2</v>
      </c>
      <c r="D96" s="1" t="s">
        <v>384</v>
      </c>
      <c r="E96" s="1" t="s">
        <v>36</v>
      </c>
      <c r="G96">
        <v>10778</v>
      </c>
      <c r="H96" t="s">
        <v>385</v>
      </c>
      <c r="I96" t="s">
        <v>386</v>
      </c>
      <c r="J96">
        <v>12</v>
      </c>
      <c r="K96">
        <v>10778</v>
      </c>
      <c r="L96">
        <v>50237</v>
      </c>
      <c r="M96" t="s">
        <v>39</v>
      </c>
      <c r="N96">
        <v>31</v>
      </c>
      <c r="O96" s="2">
        <v>46234</v>
      </c>
      <c r="P96" s="2">
        <v>46264</v>
      </c>
      <c r="R96" t="s">
        <v>387</v>
      </c>
      <c r="S96" t="str">
        <f>"330000051775"</f>
        <v>330000051775</v>
      </c>
      <c r="T96" t="s">
        <v>41</v>
      </c>
      <c r="U96">
        <v>3468.51</v>
      </c>
      <c r="V96">
        <v>3468.51</v>
      </c>
      <c r="W96">
        <v>3468.51</v>
      </c>
      <c r="X96">
        <v>0</v>
      </c>
      <c r="Y96">
        <v>0</v>
      </c>
      <c r="Z96">
        <v>-489</v>
      </c>
      <c r="AA96" t="s">
        <v>388</v>
      </c>
      <c r="AD96" t="s">
        <v>308</v>
      </c>
      <c r="AE96" t="s">
        <v>389</v>
      </c>
      <c r="AF96" t="s">
        <v>308</v>
      </c>
      <c r="AG96" s="1" t="s">
        <v>390</v>
      </c>
      <c r="AH96" t="s">
        <v>311</v>
      </c>
    </row>
    <row r="97" spans="1:34" x14ac:dyDescent="0.3">
      <c r="A97">
        <v>106</v>
      </c>
      <c r="B97" t="s">
        <v>34</v>
      </c>
      <c r="C97">
        <v>2</v>
      </c>
      <c r="D97" s="1" t="s">
        <v>391</v>
      </c>
      <c r="E97" s="1" t="s">
        <v>36</v>
      </c>
      <c r="G97">
        <v>10778</v>
      </c>
      <c r="H97" t="s">
        <v>385</v>
      </c>
      <c r="I97" t="s">
        <v>386</v>
      </c>
      <c r="J97">
        <v>12</v>
      </c>
      <c r="K97">
        <v>10778</v>
      </c>
      <c r="L97">
        <v>50237</v>
      </c>
      <c r="M97" t="s">
        <v>39</v>
      </c>
      <c r="N97">
        <v>31</v>
      </c>
      <c r="O97" s="2">
        <v>46234</v>
      </c>
      <c r="P97" s="2">
        <v>46264</v>
      </c>
      <c r="R97" t="s">
        <v>392</v>
      </c>
      <c r="S97" t="str">
        <f>"330000051937"</f>
        <v>330000051937</v>
      </c>
      <c r="T97" t="s">
        <v>41</v>
      </c>
      <c r="U97">
        <v>1526.96</v>
      </c>
      <c r="V97">
        <v>1526.96</v>
      </c>
      <c r="W97">
        <v>1526.96</v>
      </c>
      <c r="X97">
        <v>0</v>
      </c>
      <c r="Y97">
        <v>0</v>
      </c>
      <c r="Z97">
        <v>-489</v>
      </c>
      <c r="AA97" t="s">
        <v>393</v>
      </c>
      <c r="AD97" t="s">
        <v>308</v>
      </c>
      <c r="AE97" t="s">
        <v>389</v>
      </c>
      <c r="AF97" t="s">
        <v>308</v>
      </c>
      <c r="AG97" s="1" t="s">
        <v>390</v>
      </c>
      <c r="AH97" t="s">
        <v>311</v>
      </c>
    </row>
    <row r="98" spans="1:34" x14ac:dyDescent="0.3">
      <c r="A98">
        <v>101</v>
      </c>
      <c r="B98" t="s">
        <v>34</v>
      </c>
      <c r="C98">
        <v>2</v>
      </c>
      <c r="D98" s="1" t="s">
        <v>394</v>
      </c>
      <c r="E98" s="1" t="s">
        <v>36</v>
      </c>
      <c r="G98">
        <v>405577</v>
      </c>
      <c r="H98" t="s">
        <v>395</v>
      </c>
      <c r="I98" t="s">
        <v>396</v>
      </c>
      <c r="J98">
        <v>12</v>
      </c>
      <c r="K98">
        <v>1451</v>
      </c>
      <c r="L98">
        <v>50341</v>
      </c>
      <c r="M98" t="s">
        <v>146</v>
      </c>
      <c r="N98">
        <v>31</v>
      </c>
      <c r="O98" s="2">
        <v>46234</v>
      </c>
      <c r="P98" s="2">
        <v>46264</v>
      </c>
      <c r="R98" t="s">
        <v>397</v>
      </c>
      <c r="S98" t="str">
        <f>"00013400"</f>
        <v>00013400</v>
      </c>
      <c r="T98" t="s">
        <v>41</v>
      </c>
      <c r="U98">
        <v>415.66</v>
      </c>
      <c r="V98">
        <v>407.35</v>
      </c>
      <c r="W98">
        <v>407.35</v>
      </c>
      <c r="X98">
        <v>0</v>
      </c>
      <c r="Y98">
        <v>0</v>
      </c>
      <c r="Z98">
        <v>-489</v>
      </c>
      <c r="AA98">
        <v>4140</v>
      </c>
      <c r="AD98" t="s">
        <v>330</v>
      </c>
      <c r="AE98" t="s">
        <v>398</v>
      </c>
      <c r="AF98" t="s">
        <v>330</v>
      </c>
      <c r="AG98">
        <v>37630118000537</v>
      </c>
      <c r="AH98" t="s">
        <v>311</v>
      </c>
    </row>
    <row r="99" spans="1:34" x14ac:dyDescent="0.3">
      <c r="A99">
        <v>101</v>
      </c>
      <c r="B99" t="s">
        <v>34</v>
      </c>
      <c r="C99">
        <v>2</v>
      </c>
      <c r="D99" s="1" t="s">
        <v>399</v>
      </c>
      <c r="E99" s="1" t="s">
        <v>36</v>
      </c>
      <c r="G99">
        <v>405577</v>
      </c>
      <c r="H99" t="s">
        <v>395</v>
      </c>
      <c r="I99" t="s">
        <v>396</v>
      </c>
      <c r="J99">
        <v>12</v>
      </c>
      <c r="K99">
        <v>1451</v>
      </c>
      <c r="L99">
        <v>50341</v>
      </c>
      <c r="M99" t="s">
        <v>146</v>
      </c>
      <c r="N99">
        <v>31</v>
      </c>
      <c r="O99" s="2">
        <v>46234</v>
      </c>
      <c r="P99" s="2">
        <v>46264</v>
      </c>
      <c r="R99" t="s">
        <v>400</v>
      </c>
      <c r="S99" t="str">
        <f>"00013399"</f>
        <v>00013399</v>
      </c>
      <c r="T99" t="s">
        <v>41</v>
      </c>
      <c r="U99">
        <v>2863.75</v>
      </c>
      <c r="V99">
        <v>2806.48</v>
      </c>
      <c r="W99">
        <v>2806.48</v>
      </c>
      <c r="X99">
        <v>0</v>
      </c>
      <c r="Y99">
        <v>0</v>
      </c>
      <c r="Z99">
        <v>-489</v>
      </c>
      <c r="AA99">
        <v>4080</v>
      </c>
      <c r="AD99" t="s">
        <v>330</v>
      </c>
      <c r="AE99" t="s">
        <v>398</v>
      </c>
      <c r="AF99" t="s">
        <v>330</v>
      </c>
      <c r="AG99">
        <v>37630118000537</v>
      </c>
      <c r="AH99" t="s">
        <v>311</v>
      </c>
    </row>
    <row r="100" spans="1:34" x14ac:dyDescent="0.3">
      <c r="A100">
        <v>101</v>
      </c>
      <c r="B100" t="s">
        <v>34</v>
      </c>
      <c r="C100">
        <v>2</v>
      </c>
      <c r="D100" s="1" t="s">
        <v>401</v>
      </c>
      <c r="E100" s="1" t="s">
        <v>36</v>
      </c>
      <c r="G100">
        <v>433600</v>
      </c>
      <c r="H100" t="s">
        <v>402</v>
      </c>
      <c r="I100" t="s">
        <v>403</v>
      </c>
      <c r="J100">
        <v>12</v>
      </c>
      <c r="K100">
        <v>433600</v>
      </c>
      <c r="L100">
        <v>50001</v>
      </c>
      <c r="M100" t="s">
        <v>39</v>
      </c>
      <c r="N100">
        <v>31</v>
      </c>
      <c r="O100" s="2">
        <v>46227</v>
      </c>
      <c r="P100" s="2">
        <v>46272</v>
      </c>
      <c r="R100" t="s">
        <v>404</v>
      </c>
      <c r="S100" t="str">
        <f>"25666160000051598"</f>
        <v>25666160000051598</v>
      </c>
      <c r="T100" t="s">
        <v>41</v>
      </c>
      <c r="U100">
        <v>4732.83</v>
      </c>
      <c r="V100">
        <v>4591.2</v>
      </c>
      <c r="W100">
        <v>4591.2</v>
      </c>
      <c r="X100">
        <v>0</v>
      </c>
      <c r="Y100">
        <v>0</v>
      </c>
      <c r="Z100">
        <v>-497</v>
      </c>
      <c r="AA100">
        <v>694640</v>
      </c>
      <c r="AD100" t="s">
        <v>345</v>
      </c>
      <c r="AE100">
        <v>6436584064</v>
      </c>
      <c r="AF100" t="s">
        <v>345</v>
      </c>
      <c r="AG100">
        <v>18701940000173</v>
      </c>
      <c r="AH100" t="s">
        <v>311</v>
      </c>
    </row>
    <row r="101" spans="1:34" x14ac:dyDescent="0.3">
      <c r="A101">
        <v>101</v>
      </c>
      <c r="B101" t="s">
        <v>34</v>
      </c>
      <c r="C101">
        <v>2</v>
      </c>
      <c r="D101" s="1" t="s">
        <v>405</v>
      </c>
      <c r="E101" s="1" t="s">
        <v>36</v>
      </c>
      <c r="G101">
        <v>436218</v>
      </c>
      <c r="H101" t="s">
        <v>406</v>
      </c>
      <c r="I101" t="s">
        <v>407</v>
      </c>
      <c r="J101">
        <v>12</v>
      </c>
      <c r="K101">
        <v>436218</v>
      </c>
      <c r="L101">
        <v>50001</v>
      </c>
      <c r="M101" t="s">
        <v>39</v>
      </c>
      <c r="N101">
        <v>31</v>
      </c>
      <c r="O101" s="2">
        <v>46230</v>
      </c>
      <c r="P101" s="2">
        <v>46260</v>
      </c>
      <c r="R101" t="s">
        <v>408</v>
      </c>
      <c r="S101" t="str">
        <f>"25666160000051640"</f>
        <v>25666160000051640</v>
      </c>
      <c r="T101" t="s">
        <v>41</v>
      </c>
      <c r="U101">
        <v>6182.84</v>
      </c>
      <c r="V101">
        <v>6182.84</v>
      </c>
      <c r="W101">
        <v>6182.84</v>
      </c>
      <c r="X101">
        <v>0</v>
      </c>
      <c r="Y101">
        <v>0</v>
      </c>
      <c r="Z101">
        <v>-485</v>
      </c>
      <c r="AA101">
        <v>694766</v>
      </c>
      <c r="AD101" t="s">
        <v>409</v>
      </c>
      <c r="AE101">
        <v>6436551064</v>
      </c>
      <c r="AF101" t="s">
        <v>409</v>
      </c>
      <c r="AG101">
        <v>20236241000141</v>
      </c>
      <c r="AH101" t="s">
        <v>311</v>
      </c>
    </row>
    <row r="102" spans="1:34" x14ac:dyDescent="0.3">
      <c r="A102">
        <v>101</v>
      </c>
      <c r="B102" t="s">
        <v>34</v>
      </c>
      <c r="C102">
        <v>2</v>
      </c>
      <c r="D102" s="1" t="s">
        <v>410</v>
      </c>
      <c r="E102" s="1" t="s">
        <v>36</v>
      </c>
      <c r="G102">
        <v>436350</v>
      </c>
      <c r="H102" t="s">
        <v>411</v>
      </c>
      <c r="I102" t="s">
        <v>412</v>
      </c>
      <c r="J102">
        <v>12</v>
      </c>
      <c r="K102">
        <v>436350</v>
      </c>
      <c r="L102">
        <v>50033</v>
      </c>
      <c r="M102" t="s">
        <v>39</v>
      </c>
      <c r="N102">
        <v>31</v>
      </c>
      <c r="O102" s="2">
        <v>46254</v>
      </c>
      <c r="P102" s="2">
        <v>46284</v>
      </c>
      <c r="R102" t="s">
        <v>413</v>
      </c>
      <c r="S102" t="str">
        <f>"0000050414518"</f>
        <v>0000050414518</v>
      </c>
      <c r="T102" t="s">
        <v>41</v>
      </c>
      <c r="U102">
        <v>649</v>
      </c>
      <c r="V102">
        <v>649</v>
      </c>
      <c r="W102">
        <v>649</v>
      </c>
      <c r="X102">
        <v>0</v>
      </c>
      <c r="Y102">
        <v>0</v>
      </c>
      <c r="Z102">
        <v>-509</v>
      </c>
      <c r="AA102">
        <v>4790</v>
      </c>
      <c r="AD102" t="s">
        <v>330</v>
      </c>
      <c r="AE102">
        <v>6436132273</v>
      </c>
      <c r="AF102" t="s">
        <v>330</v>
      </c>
      <c r="AG102" s="1" t="s">
        <v>414</v>
      </c>
      <c r="AH102" t="s">
        <v>311</v>
      </c>
    </row>
    <row r="103" spans="1:34" x14ac:dyDescent="0.3">
      <c r="A103">
        <v>101</v>
      </c>
      <c r="B103" t="s">
        <v>34</v>
      </c>
      <c r="C103">
        <v>2</v>
      </c>
      <c r="D103" s="1" t="s">
        <v>415</v>
      </c>
      <c r="E103" s="1" t="s">
        <v>122</v>
      </c>
      <c r="G103">
        <v>436350</v>
      </c>
      <c r="H103" t="s">
        <v>411</v>
      </c>
      <c r="I103" t="s">
        <v>412</v>
      </c>
      <c r="J103">
        <v>12</v>
      </c>
      <c r="K103">
        <v>436350</v>
      </c>
      <c r="L103">
        <v>50033</v>
      </c>
      <c r="M103" t="s">
        <v>39</v>
      </c>
      <c r="N103">
        <v>31</v>
      </c>
      <c r="O103" s="2">
        <v>46254</v>
      </c>
      <c r="P103" s="2">
        <v>46294</v>
      </c>
      <c r="R103" t="s">
        <v>416</v>
      </c>
      <c r="S103" t="str">
        <f>"0000050414550"</f>
        <v>0000050414550</v>
      </c>
      <c r="T103" t="s">
        <v>41</v>
      </c>
      <c r="U103">
        <v>3674.86</v>
      </c>
      <c r="V103">
        <v>3674.86</v>
      </c>
      <c r="W103">
        <v>3674.86</v>
      </c>
      <c r="X103">
        <v>0</v>
      </c>
      <c r="Y103">
        <v>0</v>
      </c>
      <c r="Z103">
        <v>-519</v>
      </c>
      <c r="AA103">
        <v>4790</v>
      </c>
      <c r="AD103" t="s">
        <v>330</v>
      </c>
      <c r="AE103">
        <v>6436132273</v>
      </c>
      <c r="AF103" t="s">
        <v>330</v>
      </c>
      <c r="AG103" s="1" t="s">
        <v>414</v>
      </c>
      <c r="AH103" t="s">
        <v>311</v>
      </c>
    </row>
    <row r="104" spans="1:34" x14ac:dyDescent="0.3">
      <c r="A104">
        <v>101</v>
      </c>
      <c r="B104" t="s">
        <v>34</v>
      </c>
      <c r="C104">
        <v>2</v>
      </c>
      <c r="D104" s="1" t="s">
        <v>415</v>
      </c>
      <c r="E104" s="1" t="s">
        <v>36</v>
      </c>
      <c r="G104">
        <v>436350</v>
      </c>
      <c r="H104" t="s">
        <v>411</v>
      </c>
      <c r="I104" t="s">
        <v>412</v>
      </c>
      <c r="J104">
        <v>12</v>
      </c>
      <c r="K104">
        <v>436350</v>
      </c>
      <c r="L104">
        <v>50033</v>
      </c>
      <c r="M104" t="s">
        <v>39</v>
      </c>
      <c r="N104">
        <v>31</v>
      </c>
      <c r="O104" s="2">
        <v>46254</v>
      </c>
      <c r="P104" s="2">
        <v>46284</v>
      </c>
      <c r="R104" t="s">
        <v>416</v>
      </c>
      <c r="S104" t="str">
        <f>"0000050414542"</f>
        <v>0000050414542</v>
      </c>
      <c r="T104" t="s">
        <v>41</v>
      </c>
      <c r="U104">
        <v>3692.14</v>
      </c>
      <c r="V104">
        <v>3692.14</v>
      </c>
      <c r="W104">
        <v>3692.14</v>
      </c>
      <c r="X104">
        <v>0</v>
      </c>
      <c r="Y104">
        <v>0</v>
      </c>
      <c r="Z104">
        <v>-509</v>
      </c>
      <c r="AA104">
        <v>4790</v>
      </c>
      <c r="AD104" t="s">
        <v>330</v>
      </c>
      <c r="AE104">
        <v>6436132273</v>
      </c>
      <c r="AF104" t="s">
        <v>330</v>
      </c>
      <c r="AG104" s="1" t="s">
        <v>414</v>
      </c>
      <c r="AH104" t="s">
        <v>311</v>
      </c>
    </row>
    <row r="105" spans="1:34" x14ac:dyDescent="0.3">
      <c r="A105">
        <v>101</v>
      </c>
      <c r="B105" t="s">
        <v>34</v>
      </c>
      <c r="C105">
        <v>2</v>
      </c>
      <c r="D105" s="1" t="s">
        <v>410</v>
      </c>
      <c r="E105" s="1" t="s">
        <v>122</v>
      </c>
      <c r="G105">
        <v>436350</v>
      </c>
      <c r="H105" t="s">
        <v>411</v>
      </c>
      <c r="I105" t="s">
        <v>412</v>
      </c>
      <c r="J105">
        <v>12</v>
      </c>
      <c r="K105">
        <v>436350</v>
      </c>
      <c r="L105">
        <v>50033</v>
      </c>
      <c r="M105" t="s">
        <v>39</v>
      </c>
      <c r="N105">
        <v>31</v>
      </c>
      <c r="O105" s="2">
        <v>46254</v>
      </c>
      <c r="P105" s="2">
        <v>46294</v>
      </c>
      <c r="R105" t="s">
        <v>413</v>
      </c>
      <c r="S105" t="str">
        <f>"0000050414526"</f>
        <v>0000050414526</v>
      </c>
      <c r="T105" t="s">
        <v>41</v>
      </c>
      <c r="U105">
        <v>649</v>
      </c>
      <c r="V105">
        <v>649</v>
      </c>
      <c r="W105">
        <v>649</v>
      </c>
      <c r="X105">
        <v>0</v>
      </c>
      <c r="Y105">
        <v>0</v>
      </c>
      <c r="Z105">
        <v>-519</v>
      </c>
      <c r="AA105">
        <v>4790</v>
      </c>
      <c r="AD105" t="s">
        <v>330</v>
      </c>
      <c r="AE105">
        <v>6436132273</v>
      </c>
      <c r="AF105" t="s">
        <v>330</v>
      </c>
      <c r="AG105" s="1" t="s">
        <v>414</v>
      </c>
      <c r="AH105" t="s">
        <v>311</v>
      </c>
    </row>
    <row r="106" spans="1:34" x14ac:dyDescent="0.3">
      <c r="A106">
        <v>101</v>
      </c>
      <c r="B106" t="s">
        <v>34</v>
      </c>
      <c r="C106">
        <v>2</v>
      </c>
      <c r="D106" s="1" t="s">
        <v>410</v>
      </c>
      <c r="E106" s="1" t="s">
        <v>116</v>
      </c>
      <c r="G106">
        <v>436350</v>
      </c>
      <c r="H106" t="s">
        <v>411</v>
      </c>
      <c r="I106" t="s">
        <v>412</v>
      </c>
      <c r="J106">
        <v>12</v>
      </c>
      <c r="K106">
        <v>436350</v>
      </c>
      <c r="L106">
        <v>50033</v>
      </c>
      <c r="M106" t="s">
        <v>39</v>
      </c>
      <c r="N106">
        <v>31</v>
      </c>
      <c r="O106" s="2">
        <v>46254</v>
      </c>
      <c r="P106" s="2">
        <v>46304</v>
      </c>
      <c r="R106" t="s">
        <v>413</v>
      </c>
      <c r="S106" t="str">
        <f>"0000050414534"</f>
        <v>0000050414534</v>
      </c>
      <c r="T106" t="s">
        <v>41</v>
      </c>
      <c r="U106">
        <v>649.20000000000005</v>
      </c>
      <c r="V106">
        <v>649.20000000000005</v>
      </c>
      <c r="W106">
        <v>649.20000000000005</v>
      </c>
      <c r="X106">
        <v>0</v>
      </c>
      <c r="Y106">
        <v>0</v>
      </c>
      <c r="Z106">
        <v>-529</v>
      </c>
      <c r="AA106">
        <v>4790</v>
      </c>
      <c r="AD106" t="s">
        <v>330</v>
      </c>
      <c r="AE106">
        <v>6436132273</v>
      </c>
      <c r="AF106" t="s">
        <v>330</v>
      </c>
      <c r="AG106" s="1" t="s">
        <v>414</v>
      </c>
      <c r="AH106" t="s">
        <v>311</v>
      </c>
    </row>
    <row r="107" spans="1:34" x14ac:dyDescent="0.3">
      <c r="A107">
        <v>101</v>
      </c>
      <c r="B107" t="s">
        <v>34</v>
      </c>
      <c r="C107">
        <v>2</v>
      </c>
      <c r="D107" s="1" t="s">
        <v>415</v>
      </c>
      <c r="E107" s="1" t="s">
        <v>116</v>
      </c>
      <c r="G107">
        <v>436350</v>
      </c>
      <c r="H107" t="s">
        <v>411</v>
      </c>
      <c r="I107" t="s">
        <v>412</v>
      </c>
      <c r="J107">
        <v>12</v>
      </c>
      <c r="K107">
        <v>436350</v>
      </c>
      <c r="L107">
        <v>50033</v>
      </c>
      <c r="M107" t="s">
        <v>39</v>
      </c>
      <c r="N107">
        <v>31</v>
      </c>
      <c r="O107" s="2">
        <v>46254</v>
      </c>
      <c r="P107" s="2">
        <v>46304</v>
      </c>
      <c r="R107" t="s">
        <v>416</v>
      </c>
      <c r="S107" t="str">
        <f>"0000050414569"</f>
        <v>0000050414569</v>
      </c>
      <c r="T107" t="s">
        <v>41</v>
      </c>
      <c r="U107">
        <v>3675.97</v>
      </c>
      <c r="V107">
        <v>3675.97</v>
      </c>
      <c r="W107">
        <v>3675.97</v>
      </c>
      <c r="X107">
        <v>0</v>
      </c>
      <c r="Y107">
        <v>0</v>
      </c>
      <c r="Z107">
        <v>-529</v>
      </c>
      <c r="AA107">
        <v>4790</v>
      </c>
      <c r="AD107" t="s">
        <v>330</v>
      </c>
      <c r="AE107">
        <v>6436132273</v>
      </c>
      <c r="AF107" t="s">
        <v>330</v>
      </c>
      <c r="AG107" s="1" t="s">
        <v>414</v>
      </c>
      <c r="AH107" t="s">
        <v>311</v>
      </c>
    </row>
    <row r="108" spans="1:34" x14ac:dyDescent="0.3">
      <c r="A108">
        <v>101</v>
      </c>
      <c r="B108" t="s">
        <v>34</v>
      </c>
      <c r="C108">
        <v>2</v>
      </c>
      <c r="D108" s="1" t="s">
        <v>417</v>
      </c>
      <c r="E108" s="1" t="s">
        <v>122</v>
      </c>
      <c r="G108">
        <v>436521</v>
      </c>
      <c r="H108" t="s">
        <v>418</v>
      </c>
      <c r="I108" t="s">
        <v>419</v>
      </c>
      <c r="J108">
        <v>12</v>
      </c>
      <c r="K108">
        <v>436521</v>
      </c>
      <c r="L108">
        <v>50001</v>
      </c>
      <c r="M108" t="s">
        <v>39</v>
      </c>
      <c r="N108">
        <v>31</v>
      </c>
      <c r="O108" s="2">
        <v>46254</v>
      </c>
      <c r="P108" s="2">
        <v>46294</v>
      </c>
      <c r="R108" t="s">
        <v>420</v>
      </c>
      <c r="S108" t="str">
        <f>"25666160000051961"</f>
        <v>25666160000051961</v>
      </c>
      <c r="T108" t="s">
        <v>41</v>
      </c>
      <c r="U108">
        <v>4471.04</v>
      </c>
      <c r="V108">
        <v>4277.59</v>
      </c>
      <c r="W108">
        <v>4277.59</v>
      </c>
      <c r="X108">
        <v>0</v>
      </c>
      <c r="Y108">
        <v>0</v>
      </c>
      <c r="Z108">
        <v>-519</v>
      </c>
      <c r="AA108">
        <v>4319</v>
      </c>
      <c r="AD108" t="s">
        <v>421</v>
      </c>
      <c r="AE108">
        <v>6634015516</v>
      </c>
      <c r="AF108" t="s">
        <v>421</v>
      </c>
      <c r="AG108" s="1" t="s">
        <v>422</v>
      </c>
      <c r="AH108" t="s">
        <v>423</v>
      </c>
    </row>
    <row r="109" spans="1:34" x14ac:dyDescent="0.3">
      <c r="A109">
        <v>101</v>
      </c>
      <c r="B109" t="s">
        <v>34</v>
      </c>
      <c r="C109">
        <v>2</v>
      </c>
      <c r="D109" s="1" t="s">
        <v>417</v>
      </c>
      <c r="E109" s="1" t="s">
        <v>116</v>
      </c>
      <c r="G109">
        <v>436521</v>
      </c>
      <c r="H109" t="s">
        <v>418</v>
      </c>
      <c r="I109" t="s">
        <v>419</v>
      </c>
      <c r="J109">
        <v>12</v>
      </c>
      <c r="K109">
        <v>436521</v>
      </c>
      <c r="L109">
        <v>50001</v>
      </c>
      <c r="M109" t="s">
        <v>39</v>
      </c>
      <c r="N109">
        <v>31</v>
      </c>
      <c r="O109" s="2">
        <v>46254</v>
      </c>
      <c r="P109" s="2">
        <v>46304</v>
      </c>
      <c r="R109" t="s">
        <v>420</v>
      </c>
      <c r="S109" t="str">
        <f>"25666160000051962"</f>
        <v>25666160000051962</v>
      </c>
      <c r="T109" t="s">
        <v>41</v>
      </c>
      <c r="U109">
        <v>4472.38</v>
      </c>
      <c r="V109">
        <v>4278.93</v>
      </c>
      <c r="W109">
        <v>4278.93</v>
      </c>
      <c r="X109">
        <v>0</v>
      </c>
      <c r="Y109">
        <v>0</v>
      </c>
      <c r="Z109">
        <v>-529</v>
      </c>
      <c r="AA109">
        <v>4319</v>
      </c>
      <c r="AD109" t="s">
        <v>421</v>
      </c>
      <c r="AE109">
        <v>6634015516</v>
      </c>
      <c r="AF109" t="s">
        <v>421</v>
      </c>
      <c r="AG109" s="1" t="s">
        <v>422</v>
      </c>
      <c r="AH109" t="s">
        <v>423</v>
      </c>
    </row>
    <row r="110" spans="1:34" x14ac:dyDescent="0.3">
      <c r="A110">
        <v>101</v>
      </c>
      <c r="B110" t="s">
        <v>34</v>
      </c>
      <c r="C110">
        <v>2</v>
      </c>
      <c r="D110" s="1" t="s">
        <v>417</v>
      </c>
      <c r="E110" s="1" t="s">
        <v>36</v>
      </c>
      <c r="G110">
        <v>436521</v>
      </c>
      <c r="H110" t="s">
        <v>418</v>
      </c>
      <c r="I110" t="s">
        <v>419</v>
      </c>
      <c r="J110">
        <v>12</v>
      </c>
      <c r="K110">
        <v>436521</v>
      </c>
      <c r="L110">
        <v>50001</v>
      </c>
      <c r="M110" t="s">
        <v>39</v>
      </c>
      <c r="N110">
        <v>31</v>
      </c>
      <c r="O110" s="2">
        <v>46254</v>
      </c>
      <c r="P110" s="2">
        <v>46284</v>
      </c>
      <c r="R110" t="s">
        <v>420</v>
      </c>
      <c r="S110" t="str">
        <f>"25666160000051960"</f>
        <v>25666160000051960</v>
      </c>
      <c r="T110" t="s">
        <v>41</v>
      </c>
      <c r="U110">
        <v>4562.8599999999997</v>
      </c>
      <c r="V110">
        <v>4369.41</v>
      </c>
      <c r="W110">
        <v>4369.41</v>
      </c>
      <c r="X110">
        <v>0</v>
      </c>
      <c r="Y110">
        <v>0</v>
      </c>
      <c r="Z110">
        <v>-509</v>
      </c>
      <c r="AA110">
        <v>4319</v>
      </c>
      <c r="AD110" t="s">
        <v>421</v>
      </c>
      <c r="AE110">
        <v>6634015516</v>
      </c>
      <c r="AF110" t="s">
        <v>421</v>
      </c>
      <c r="AG110" s="1" t="s">
        <v>422</v>
      </c>
      <c r="AH110" t="s">
        <v>423</v>
      </c>
    </row>
    <row r="111" spans="1:34" x14ac:dyDescent="0.3">
      <c r="A111">
        <v>101</v>
      </c>
      <c r="B111" t="s">
        <v>34</v>
      </c>
      <c r="C111">
        <v>2</v>
      </c>
      <c r="D111" s="1" t="s">
        <v>424</v>
      </c>
      <c r="E111" s="1" t="s">
        <v>122</v>
      </c>
      <c r="G111">
        <v>436521</v>
      </c>
      <c r="H111" t="s">
        <v>418</v>
      </c>
      <c r="I111" t="s">
        <v>419</v>
      </c>
      <c r="J111">
        <v>12</v>
      </c>
      <c r="K111">
        <v>436521</v>
      </c>
      <c r="L111">
        <v>50001</v>
      </c>
      <c r="M111" t="s">
        <v>39</v>
      </c>
      <c r="N111">
        <v>31</v>
      </c>
      <c r="O111" s="2">
        <v>46225</v>
      </c>
      <c r="P111" s="2">
        <v>46265</v>
      </c>
      <c r="R111" t="s">
        <v>425</v>
      </c>
      <c r="S111" t="str">
        <f>"25666160000051525"</f>
        <v>25666160000051525</v>
      </c>
      <c r="T111" t="s">
        <v>41</v>
      </c>
      <c r="U111">
        <v>3390.89</v>
      </c>
      <c r="V111">
        <v>3253.63</v>
      </c>
      <c r="W111">
        <v>3253.63</v>
      </c>
      <c r="X111">
        <v>0</v>
      </c>
      <c r="Y111">
        <v>0</v>
      </c>
      <c r="Z111">
        <v>-490</v>
      </c>
      <c r="AA111">
        <v>1121</v>
      </c>
      <c r="AD111" t="s">
        <v>421</v>
      </c>
      <c r="AE111">
        <v>6634015516</v>
      </c>
      <c r="AF111" t="s">
        <v>421</v>
      </c>
      <c r="AG111" s="1" t="s">
        <v>422</v>
      </c>
      <c r="AH111" t="s">
        <v>423</v>
      </c>
    </row>
    <row r="112" spans="1:34" x14ac:dyDescent="0.3">
      <c r="A112">
        <v>101</v>
      </c>
      <c r="B112" t="s">
        <v>34</v>
      </c>
      <c r="C112">
        <v>2</v>
      </c>
      <c r="D112" s="1" t="s">
        <v>424</v>
      </c>
      <c r="E112" s="1" t="s">
        <v>116</v>
      </c>
      <c r="G112">
        <v>436521</v>
      </c>
      <c r="H112" t="s">
        <v>418</v>
      </c>
      <c r="I112" t="s">
        <v>419</v>
      </c>
      <c r="J112">
        <v>12</v>
      </c>
      <c r="K112">
        <v>436521</v>
      </c>
      <c r="L112">
        <v>50001</v>
      </c>
      <c r="M112" t="s">
        <v>39</v>
      </c>
      <c r="N112">
        <v>31</v>
      </c>
      <c r="O112" s="2">
        <v>46225</v>
      </c>
      <c r="P112" s="2">
        <v>46275</v>
      </c>
      <c r="R112" t="s">
        <v>425</v>
      </c>
      <c r="S112" t="str">
        <f>"25666160000051526"</f>
        <v>25666160000051526</v>
      </c>
      <c r="T112" t="s">
        <v>41</v>
      </c>
      <c r="U112">
        <v>3391.9</v>
      </c>
      <c r="V112">
        <v>3254.64</v>
      </c>
      <c r="W112">
        <v>3254.64</v>
      </c>
      <c r="X112">
        <v>0</v>
      </c>
      <c r="Y112">
        <v>0</v>
      </c>
      <c r="Z112">
        <v>-500</v>
      </c>
      <c r="AA112">
        <v>1121</v>
      </c>
      <c r="AD112" t="s">
        <v>421</v>
      </c>
      <c r="AE112">
        <v>6634015516</v>
      </c>
      <c r="AF112" t="s">
        <v>421</v>
      </c>
      <c r="AG112" s="1" t="s">
        <v>422</v>
      </c>
      <c r="AH112" t="s">
        <v>423</v>
      </c>
    </row>
    <row r="113" spans="1:34" x14ac:dyDescent="0.3">
      <c r="A113">
        <v>101</v>
      </c>
      <c r="B113" t="s">
        <v>34</v>
      </c>
      <c r="C113">
        <v>2</v>
      </c>
      <c r="D113" s="1" t="s">
        <v>426</v>
      </c>
      <c r="E113" s="1" t="s">
        <v>116</v>
      </c>
      <c r="G113">
        <v>436523</v>
      </c>
      <c r="H113" t="s">
        <v>427</v>
      </c>
      <c r="I113" t="s">
        <v>419</v>
      </c>
      <c r="J113">
        <v>12</v>
      </c>
      <c r="K113">
        <v>436521</v>
      </c>
      <c r="L113">
        <v>50001</v>
      </c>
      <c r="M113" t="s">
        <v>39</v>
      </c>
      <c r="N113">
        <v>31</v>
      </c>
      <c r="O113" s="2">
        <v>46217</v>
      </c>
      <c r="P113" s="2">
        <v>46267</v>
      </c>
      <c r="R113" t="s">
        <v>428</v>
      </c>
      <c r="S113" t="str">
        <f>"25666160000051422"</f>
        <v>25666160000051422</v>
      </c>
      <c r="T113" t="s">
        <v>41</v>
      </c>
      <c r="U113">
        <v>866.36</v>
      </c>
      <c r="V113">
        <v>831.4</v>
      </c>
      <c r="W113">
        <v>831.4</v>
      </c>
      <c r="X113">
        <v>0</v>
      </c>
      <c r="Y113">
        <v>0</v>
      </c>
      <c r="Z113">
        <v>-492</v>
      </c>
      <c r="AA113">
        <v>1122</v>
      </c>
      <c r="AD113" t="s">
        <v>421</v>
      </c>
      <c r="AE113" t="s">
        <v>429</v>
      </c>
      <c r="AF113" t="s">
        <v>421</v>
      </c>
      <c r="AG113" s="1" t="s">
        <v>430</v>
      </c>
      <c r="AH113" t="s">
        <v>423</v>
      </c>
    </row>
    <row r="114" spans="1:34" x14ac:dyDescent="0.3">
      <c r="A114">
        <v>101</v>
      </c>
      <c r="B114" t="s">
        <v>34</v>
      </c>
      <c r="C114">
        <v>2</v>
      </c>
      <c r="D114" s="1" t="s">
        <v>426</v>
      </c>
      <c r="E114" s="1" t="s">
        <v>122</v>
      </c>
      <c r="G114">
        <v>436523</v>
      </c>
      <c r="H114" t="s">
        <v>427</v>
      </c>
      <c r="I114" t="s">
        <v>419</v>
      </c>
      <c r="J114">
        <v>12</v>
      </c>
      <c r="K114">
        <v>436521</v>
      </c>
      <c r="L114">
        <v>50001</v>
      </c>
      <c r="M114" t="s">
        <v>39</v>
      </c>
      <c r="N114">
        <v>31</v>
      </c>
      <c r="O114" s="2">
        <v>46217</v>
      </c>
      <c r="P114" s="2">
        <v>46257</v>
      </c>
      <c r="R114" t="s">
        <v>428</v>
      </c>
      <c r="S114" t="str">
        <f>"25666160000051421"</f>
        <v>25666160000051421</v>
      </c>
      <c r="T114" t="s">
        <v>41</v>
      </c>
      <c r="U114">
        <v>866.1</v>
      </c>
      <c r="V114">
        <v>831.14</v>
      </c>
      <c r="W114">
        <v>831.14</v>
      </c>
      <c r="X114">
        <v>0</v>
      </c>
      <c r="Y114">
        <v>0</v>
      </c>
      <c r="Z114">
        <v>-482</v>
      </c>
      <c r="AA114">
        <v>1122</v>
      </c>
      <c r="AD114" t="s">
        <v>421</v>
      </c>
      <c r="AE114" t="s">
        <v>429</v>
      </c>
      <c r="AF114" t="s">
        <v>421</v>
      </c>
      <c r="AG114" s="1" t="s">
        <v>430</v>
      </c>
      <c r="AH114" t="s">
        <v>423</v>
      </c>
    </row>
    <row r="115" spans="1:34" x14ac:dyDescent="0.3">
      <c r="A115">
        <v>101</v>
      </c>
      <c r="B115" t="s">
        <v>34</v>
      </c>
      <c r="C115">
        <v>2</v>
      </c>
      <c r="D115" s="1" t="s">
        <v>431</v>
      </c>
      <c r="E115" s="1" t="s">
        <v>36</v>
      </c>
      <c r="G115">
        <v>436523</v>
      </c>
      <c r="H115" t="s">
        <v>427</v>
      </c>
      <c r="I115" t="s">
        <v>419</v>
      </c>
      <c r="J115">
        <v>12</v>
      </c>
      <c r="K115">
        <v>436521</v>
      </c>
      <c r="L115">
        <v>50001</v>
      </c>
      <c r="M115" t="s">
        <v>39</v>
      </c>
      <c r="N115">
        <v>31</v>
      </c>
      <c r="O115" s="2">
        <v>46254</v>
      </c>
      <c r="P115" s="2">
        <v>46284</v>
      </c>
      <c r="R115" t="s">
        <v>432</v>
      </c>
      <c r="S115" t="str">
        <f>"25666160000051925"</f>
        <v>25666160000051925</v>
      </c>
      <c r="T115" t="s">
        <v>41</v>
      </c>
      <c r="U115">
        <v>1537.05</v>
      </c>
      <c r="V115">
        <v>1478.18</v>
      </c>
      <c r="W115">
        <v>1478.18</v>
      </c>
      <c r="X115">
        <v>0</v>
      </c>
      <c r="Y115">
        <v>0</v>
      </c>
      <c r="Z115">
        <v>-509</v>
      </c>
      <c r="AA115">
        <v>4320</v>
      </c>
      <c r="AD115" t="s">
        <v>421</v>
      </c>
      <c r="AE115" t="s">
        <v>429</v>
      </c>
      <c r="AF115" t="s">
        <v>421</v>
      </c>
      <c r="AG115" s="1" t="s">
        <v>430</v>
      </c>
      <c r="AH115" t="s">
        <v>423</v>
      </c>
    </row>
    <row r="116" spans="1:34" x14ac:dyDescent="0.3">
      <c r="A116">
        <v>101</v>
      </c>
      <c r="B116" t="s">
        <v>34</v>
      </c>
      <c r="C116">
        <v>2</v>
      </c>
      <c r="D116" s="1" t="s">
        <v>431</v>
      </c>
      <c r="E116" s="1" t="s">
        <v>122</v>
      </c>
      <c r="G116">
        <v>436523</v>
      </c>
      <c r="H116" t="s">
        <v>427</v>
      </c>
      <c r="I116" t="s">
        <v>419</v>
      </c>
      <c r="J116">
        <v>12</v>
      </c>
      <c r="K116">
        <v>436521</v>
      </c>
      <c r="L116">
        <v>50001</v>
      </c>
      <c r="M116" t="s">
        <v>39</v>
      </c>
      <c r="N116">
        <v>31</v>
      </c>
      <c r="O116" s="2">
        <v>46254</v>
      </c>
      <c r="P116" s="2">
        <v>46294</v>
      </c>
      <c r="R116" t="s">
        <v>432</v>
      </c>
      <c r="S116" t="str">
        <f>"25666160000051926"</f>
        <v>25666160000051926</v>
      </c>
      <c r="T116" t="s">
        <v>41</v>
      </c>
      <c r="U116">
        <v>1471.65</v>
      </c>
      <c r="V116">
        <v>1412.78</v>
      </c>
      <c r="W116">
        <v>1412.78</v>
      </c>
      <c r="X116">
        <v>0</v>
      </c>
      <c r="Y116">
        <v>0</v>
      </c>
      <c r="Z116">
        <v>-519</v>
      </c>
      <c r="AA116">
        <v>4320</v>
      </c>
      <c r="AD116" t="s">
        <v>421</v>
      </c>
      <c r="AE116" t="s">
        <v>429</v>
      </c>
      <c r="AF116" t="s">
        <v>421</v>
      </c>
      <c r="AG116" s="1" t="s">
        <v>430</v>
      </c>
      <c r="AH116" t="s">
        <v>423</v>
      </c>
    </row>
    <row r="117" spans="1:34" x14ac:dyDescent="0.3">
      <c r="A117">
        <v>101</v>
      </c>
      <c r="B117" t="s">
        <v>34</v>
      </c>
      <c r="C117">
        <v>2</v>
      </c>
      <c r="D117" s="1" t="s">
        <v>431</v>
      </c>
      <c r="E117" s="1" t="s">
        <v>116</v>
      </c>
      <c r="G117">
        <v>436523</v>
      </c>
      <c r="H117" t="s">
        <v>427</v>
      </c>
      <c r="I117" t="s">
        <v>419</v>
      </c>
      <c r="J117">
        <v>12</v>
      </c>
      <c r="K117">
        <v>436521</v>
      </c>
      <c r="L117">
        <v>50001</v>
      </c>
      <c r="M117" t="s">
        <v>39</v>
      </c>
      <c r="N117">
        <v>31</v>
      </c>
      <c r="O117" s="2">
        <v>46254</v>
      </c>
      <c r="P117" s="2">
        <v>46304</v>
      </c>
      <c r="R117" t="s">
        <v>432</v>
      </c>
      <c r="S117" t="str">
        <f>"25666160000051927"</f>
        <v>25666160000051927</v>
      </c>
      <c r="T117" t="s">
        <v>41</v>
      </c>
      <c r="U117">
        <v>1472.1</v>
      </c>
      <c r="V117">
        <v>1413.23</v>
      </c>
      <c r="W117">
        <v>1413.23</v>
      </c>
      <c r="X117">
        <v>0</v>
      </c>
      <c r="Y117">
        <v>0</v>
      </c>
      <c r="Z117">
        <v>-529</v>
      </c>
      <c r="AA117">
        <v>4320</v>
      </c>
      <c r="AD117" t="s">
        <v>421</v>
      </c>
      <c r="AE117" t="s">
        <v>429</v>
      </c>
      <c r="AF117" t="s">
        <v>421</v>
      </c>
      <c r="AG117" s="1" t="s">
        <v>430</v>
      </c>
      <c r="AH117" t="s">
        <v>423</v>
      </c>
    </row>
    <row r="118" spans="1:34" x14ac:dyDescent="0.3">
      <c r="A118">
        <v>101</v>
      </c>
      <c r="B118" t="s">
        <v>34</v>
      </c>
      <c r="C118">
        <v>2</v>
      </c>
      <c r="D118" s="1" t="s">
        <v>433</v>
      </c>
      <c r="E118" s="1" t="s">
        <v>122</v>
      </c>
      <c r="G118">
        <v>439483</v>
      </c>
      <c r="H118" t="s">
        <v>434</v>
      </c>
      <c r="I118" t="s">
        <v>435</v>
      </c>
      <c r="J118">
        <v>12</v>
      </c>
      <c r="K118">
        <v>439483</v>
      </c>
      <c r="L118">
        <v>50033</v>
      </c>
      <c r="M118" t="s">
        <v>39</v>
      </c>
      <c r="N118">
        <v>31</v>
      </c>
      <c r="O118" s="2">
        <v>46224</v>
      </c>
      <c r="P118" s="2">
        <v>46259</v>
      </c>
      <c r="R118" t="s">
        <v>436</v>
      </c>
      <c r="S118" t="str">
        <f>"0000050410474"</f>
        <v>0000050410474</v>
      </c>
      <c r="T118" t="s">
        <v>41</v>
      </c>
      <c r="U118">
        <v>878.14</v>
      </c>
      <c r="V118">
        <v>878.14</v>
      </c>
      <c r="W118">
        <v>878.14</v>
      </c>
      <c r="X118">
        <v>0</v>
      </c>
      <c r="Y118">
        <v>0</v>
      </c>
      <c r="Z118">
        <v>-484</v>
      </c>
      <c r="AA118">
        <v>1411</v>
      </c>
      <c r="AD118" t="s">
        <v>437</v>
      </c>
      <c r="AE118" t="s">
        <v>438</v>
      </c>
      <c r="AF118" t="s">
        <v>437</v>
      </c>
      <c r="AG118">
        <v>18260772000128</v>
      </c>
      <c r="AH118" t="s">
        <v>311</v>
      </c>
    </row>
    <row r="119" spans="1:34" x14ac:dyDescent="0.3">
      <c r="A119">
        <v>101</v>
      </c>
      <c r="B119" t="s">
        <v>34</v>
      </c>
      <c r="C119">
        <v>2</v>
      </c>
      <c r="D119" s="1" t="s">
        <v>433</v>
      </c>
      <c r="E119" s="1" t="s">
        <v>116</v>
      </c>
      <c r="G119">
        <v>439483</v>
      </c>
      <c r="H119" t="s">
        <v>434</v>
      </c>
      <c r="I119" t="s">
        <v>435</v>
      </c>
      <c r="J119">
        <v>12</v>
      </c>
      <c r="K119">
        <v>439483</v>
      </c>
      <c r="L119">
        <v>50033</v>
      </c>
      <c r="M119" t="s">
        <v>39</v>
      </c>
      <c r="N119">
        <v>31</v>
      </c>
      <c r="O119" s="2">
        <v>46224</v>
      </c>
      <c r="P119" s="2">
        <v>46266</v>
      </c>
      <c r="R119" t="s">
        <v>436</v>
      </c>
      <c r="S119" t="str">
        <f>"0000050410482"</f>
        <v>0000050410482</v>
      </c>
      <c r="T119" t="s">
        <v>41</v>
      </c>
      <c r="U119">
        <v>878.4</v>
      </c>
      <c r="V119">
        <v>878.4</v>
      </c>
      <c r="W119">
        <v>878.4</v>
      </c>
      <c r="X119">
        <v>0</v>
      </c>
      <c r="Y119">
        <v>0</v>
      </c>
      <c r="Z119">
        <v>-491</v>
      </c>
      <c r="AA119">
        <v>1411</v>
      </c>
      <c r="AD119" t="s">
        <v>437</v>
      </c>
      <c r="AE119" t="s">
        <v>438</v>
      </c>
      <c r="AF119" t="s">
        <v>437</v>
      </c>
      <c r="AG119">
        <v>18260772000128</v>
      </c>
      <c r="AH119" t="s">
        <v>311</v>
      </c>
    </row>
    <row r="120" spans="1:34" x14ac:dyDescent="0.3">
      <c r="A120">
        <v>101</v>
      </c>
      <c r="B120" t="s">
        <v>34</v>
      </c>
      <c r="C120">
        <v>2</v>
      </c>
      <c r="D120" s="1" t="s">
        <v>439</v>
      </c>
      <c r="E120" s="1" t="s">
        <v>122</v>
      </c>
      <c r="G120">
        <v>440496</v>
      </c>
      <c r="H120" t="s">
        <v>440</v>
      </c>
      <c r="I120" t="s">
        <v>441</v>
      </c>
      <c r="J120">
        <v>12</v>
      </c>
      <c r="K120">
        <v>440496</v>
      </c>
      <c r="L120">
        <v>50033</v>
      </c>
      <c r="M120" t="s">
        <v>39</v>
      </c>
      <c r="N120">
        <v>31</v>
      </c>
      <c r="O120" s="2">
        <v>46245</v>
      </c>
      <c r="P120" s="2">
        <v>46290</v>
      </c>
      <c r="R120" t="s">
        <v>442</v>
      </c>
      <c r="S120" t="str">
        <f>"0000050413066"</f>
        <v>0000050413066</v>
      </c>
      <c r="T120" t="s">
        <v>41</v>
      </c>
      <c r="U120">
        <v>3360.3</v>
      </c>
      <c r="V120">
        <v>3360.3</v>
      </c>
      <c r="W120">
        <v>3360.3</v>
      </c>
      <c r="X120">
        <v>0</v>
      </c>
      <c r="Y120">
        <v>0</v>
      </c>
      <c r="Z120">
        <v>-515</v>
      </c>
      <c r="AA120">
        <v>4310</v>
      </c>
      <c r="AD120" t="s">
        <v>330</v>
      </c>
      <c r="AE120">
        <v>6436132268</v>
      </c>
      <c r="AF120" t="s">
        <v>330</v>
      </c>
      <c r="AG120">
        <v>24200829000104</v>
      </c>
      <c r="AH120" t="s">
        <v>311</v>
      </c>
    </row>
    <row r="121" spans="1:34" x14ac:dyDescent="0.3">
      <c r="A121">
        <v>101</v>
      </c>
      <c r="B121" t="s">
        <v>34</v>
      </c>
      <c r="C121">
        <v>2</v>
      </c>
      <c r="D121" s="1" t="s">
        <v>439</v>
      </c>
      <c r="E121" s="1" t="s">
        <v>36</v>
      </c>
      <c r="G121">
        <v>440496</v>
      </c>
      <c r="H121" t="s">
        <v>440</v>
      </c>
      <c r="I121" t="s">
        <v>441</v>
      </c>
      <c r="J121">
        <v>12</v>
      </c>
      <c r="K121">
        <v>440496</v>
      </c>
      <c r="L121">
        <v>50033</v>
      </c>
      <c r="M121" t="s">
        <v>39</v>
      </c>
      <c r="N121">
        <v>31</v>
      </c>
      <c r="O121" s="2">
        <v>46245</v>
      </c>
      <c r="P121" s="2">
        <v>46275</v>
      </c>
      <c r="R121" t="s">
        <v>442</v>
      </c>
      <c r="S121" t="str">
        <f>"0000050413058"</f>
        <v>0000050413058</v>
      </c>
      <c r="T121" t="s">
        <v>41</v>
      </c>
      <c r="U121">
        <v>3360.3</v>
      </c>
      <c r="V121">
        <v>3360.3</v>
      </c>
      <c r="W121">
        <v>3360.3</v>
      </c>
      <c r="X121">
        <v>0</v>
      </c>
      <c r="Y121">
        <v>0</v>
      </c>
      <c r="Z121">
        <v>-500</v>
      </c>
      <c r="AA121">
        <v>4310</v>
      </c>
      <c r="AD121" t="s">
        <v>330</v>
      </c>
      <c r="AE121">
        <v>6436132268</v>
      </c>
      <c r="AF121" t="s">
        <v>330</v>
      </c>
      <c r="AG121">
        <v>24200829000104</v>
      </c>
      <c r="AH121" t="s">
        <v>311</v>
      </c>
    </row>
    <row r="122" spans="1:34" x14ac:dyDescent="0.3">
      <c r="A122">
        <v>101</v>
      </c>
      <c r="B122" t="s">
        <v>34</v>
      </c>
      <c r="C122">
        <v>2</v>
      </c>
      <c r="D122" s="1" t="s">
        <v>443</v>
      </c>
      <c r="E122" s="1" t="s">
        <v>36</v>
      </c>
      <c r="G122">
        <v>440710</v>
      </c>
      <c r="H122" t="s">
        <v>444</v>
      </c>
      <c r="I122" t="s">
        <v>445</v>
      </c>
      <c r="J122">
        <v>12</v>
      </c>
      <c r="K122">
        <v>440710</v>
      </c>
      <c r="L122">
        <v>50341</v>
      </c>
      <c r="M122" t="s">
        <v>146</v>
      </c>
      <c r="N122">
        <v>31</v>
      </c>
      <c r="O122" s="2">
        <v>46245</v>
      </c>
      <c r="P122" s="2">
        <v>46305</v>
      </c>
      <c r="R122" t="s">
        <v>446</v>
      </c>
      <c r="S122" t="str">
        <f>"00013647"</f>
        <v>00013647</v>
      </c>
      <c r="T122" t="s">
        <v>41</v>
      </c>
      <c r="U122">
        <v>1972.14</v>
      </c>
      <c r="V122">
        <v>1972.14</v>
      </c>
      <c r="W122">
        <v>1972.14</v>
      </c>
      <c r="X122">
        <v>0</v>
      </c>
      <c r="Y122">
        <v>0</v>
      </c>
      <c r="Z122">
        <v>-530</v>
      </c>
      <c r="AA122">
        <v>4433</v>
      </c>
      <c r="AD122" t="s">
        <v>437</v>
      </c>
      <c r="AE122">
        <v>6436614773</v>
      </c>
      <c r="AF122" t="s">
        <v>437</v>
      </c>
      <c r="AG122">
        <v>20500092000186</v>
      </c>
      <c r="AH122" t="s">
        <v>311</v>
      </c>
    </row>
    <row r="123" spans="1:34" x14ac:dyDescent="0.3">
      <c r="A123">
        <v>101</v>
      </c>
      <c r="B123" t="s">
        <v>34</v>
      </c>
      <c r="C123">
        <v>2</v>
      </c>
      <c r="D123" s="1" t="s">
        <v>447</v>
      </c>
      <c r="E123" s="1" t="s">
        <v>36</v>
      </c>
      <c r="G123">
        <v>440710</v>
      </c>
      <c r="H123" t="s">
        <v>444</v>
      </c>
      <c r="I123" t="s">
        <v>445</v>
      </c>
      <c r="J123">
        <v>12</v>
      </c>
      <c r="K123">
        <v>440710</v>
      </c>
      <c r="L123">
        <v>50341</v>
      </c>
      <c r="M123" t="s">
        <v>146</v>
      </c>
      <c r="N123">
        <v>31</v>
      </c>
      <c r="O123" s="2">
        <v>46209</v>
      </c>
      <c r="P123" s="2">
        <v>46269</v>
      </c>
      <c r="R123" t="s">
        <v>448</v>
      </c>
      <c r="S123" t="str">
        <f>"00013076"</f>
        <v>00013076</v>
      </c>
      <c r="T123" t="s">
        <v>41</v>
      </c>
      <c r="U123">
        <v>5450.89</v>
      </c>
      <c r="V123">
        <v>5450.89</v>
      </c>
      <c r="W123">
        <v>5450.89</v>
      </c>
      <c r="X123">
        <v>0</v>
      </c>
      <c r="Y123">
        <v>0</v>
      </c>
      <c r="Z123">
        <v>-494</v>
      </c>
      <c r="AA123">
        <v>693691</v>
      </c>
      <c r="AD123" t="s">
        <v>437</v>
      </c>
      <c r="AE123">
        <v>6436614773</v>
      </c>
      <c r="AF123" t="s">
        <v>437</v>
      </c>
      <c r="AG123">
        <v>20500092000186</v>
      </c>
      <c r="AH123" t="s">
        <v>311</v>
      </c>
    </row>
    <row r="124" spans="1:34" x14ac:dyDescent="0.3">
      <c r="A124">
        <v>101</v>
      </c>
      <c r="B124" t="s">
        <v>34</v>
      </c>
      <c r="C124">
        <v>2</v>
      </c>
      <c r="D124" s="1" t="s">
        <v>449</v>
      </c>
      <c r="E124" s="1" t="s">
        <v>122</v>
      </c>
      <c r="G124">
        <v>443829</v>
      </c>
      <c r="H124" t="s">
        <v>450</v>
      </c>
      <c r="I124" t="s">
        <v>451</v>
      </c>
      <c r="J124">
        <v>12</v>
      </c>
      <c r="K124">
        <v>443829</v>
      </c>
      <c r="L124">
        <v>50033</v>
      </c>
      <c r="M124" t="s">
        <v>39</v>
      </c>
      <c r="N124">
        <v>31</v>
      </c>
      <c r="O124" s="2">
        <v>46119</v>
      </c>
      <c r="P124" s="2">
        <v>46154</v>
      </c>
      <c r="R124" t="s">
        <v>452</v>
      </c>
      <c r="S124" t="str">
        <f>"0000050395629"</f>
        <v>0000050395629</v>
      </c>
      <c r="T124" t="s">
        <v>41</v>
      </c>
      <c r="U124">
        <v>552.4</v>
      </c>
      <c r="V124">
        <v>552.4</v>
      </c>
      <c r="W124">
        <v>552.4</v>
      </c>
      <c r="X124">
        <v>0</v>
      </c>
      <c r="Y124">
        <v>0</v>
      </c>
      <c r="Z124">
        <v>-379</v>
      </c>
      <c r="AA124">
        <v>684118</v>
      </c>
      <c r="AD124" t="s">
        <v>338</v>
      </c>
      <c r="AE124" t="s">
        <v>453</v>
      </c>
      <c r="AF124" t="s">
        <v>338</v>
      </c>
      <c r="AG124">
        <v>13199243000142</v>
      </c>
      <c r="AH124" t="s">
        <v>311</v>
      </c>
    </row>
    <row r="125" spans="1:34" x14ac:dyDescent="0.3">
      <c r="A125">
        <v>101</v>
      </c>
      <c r="B125" t="s">
        <v>34</v>
      </c>
      <c r="C125">
        <v>2</v>
      </c>
      <c r="D125" s="1" t="s">
        <v>454</v>
      </c>
      <c r="E125" s="1" t="s">
        <v>36</v>
      </c>
      <c r="G125">
        <v>443829</v>
      </c>
      <c r="H125" t="s">
        <v>450</v>
      </c>
      <c r="I125" t="s">
        <v>451</v>
      </c>
      <c r="J125">
        <v>12</v>
      </c>
      <c r="K125">
        <v>443829</v>
      </c>
      <c r="L125">
        <v>50033</v>
      </c>
      <c r="M125" t="s">
        <v>39</v>
      </c>
      <c r="N125">
        <v>31</v>
      </c>
      <c r="O125" s="2">
        <v>46119</v>
      </c>
      <c r="P125" s="2">
        <v>46147</v>
      </c>
      <c r="R125" t="s">
        <v>455</v>
      </c>
      <c r="S125" t="str">
        <f>"0000050395653"</f>
        <v>0000050395653</v>
      </c>
      <c r="T125" t="s">
        <v>41</v>
      </c>
      <c r="U125">
        <v>588.59</v>
      </c>
      <c r="V125">
        <v>588.59</v>
      </c>
      <c r="W125">
        <v>588.59</v>
      </c>
      <c r="X125">
        <v>0</v>
      </c>
      <c r="Y125">
        <v>0</v>
      </c>
      <c r="Z125">
        <v>-372</v>
      </c>
      <c r="AA125">
        <v>684172</v>
      </c>
      <c r="AD125" t="s">
        <v>338</v>
      </c>
      <c r="AE125" t="s">
        <v>453</v>
      </c>
      <c r="AF125" t="s">
        <v>338</v>
      </c>
      <c r="AG125">
        <v>13199243000142</v>
      </c>
      <c r="AH125" t="s">
        <v>311</v>
      </c>
    </row>
    <row r="126" spans="1:34" x14ac:dyDescent="0.3">
      <c r="A126">
        <v>101</v>
      </c>
      <c r="B126" t="s">
        <v>34</v>
      </c>
      <c r="C126">
        <v>2</v>
      </c>
      <c r="D126" s="1" t="s">
        <v>454</v>
      </c>
      <c r="E126" s="1" t="s">
        <v>122</v>
      </c>
      <c r="G126">
        <v>443829</v>
      </c>
      <c r="H126" t="s">
        <v>450</v>
      </c>
      <c r="I126" t="s">
        <v>451</v>
      </c>
      <c r="J126">
        <v>12</v>
      </c>
      <c r="K126">
        <v>443829</v>
      </c>
      <c r="L126">
        <v>50033</v>
      </c>
      <c r="M126" t="s">
        <v>39</v>
      </c>
      <c r="N126">
        <v>31</v>
      </c>
      <c r="O126" s="2">
        <v>46119</v>
      </c>
      <c r="P126" s="2">
        <v>46154</v>
      </c>
      <c r="R126" t="s">
        <v>455</v>
      </c>
      <c r="S126" t="str">
        <f>"0000050395661"</f>
        <v>0000050395661</v>
      </c>
      <c r="T126" t="s">
        <v>41</v>
      </c>
      <c r="U126">
        <v>588.59</v>
      </c>
      <c r="V126">
        <v>588.59</v>
      </c>
      <c r="W126">
        <v>588.59</v>
      </c>
      <c r="X126">
        <v>0</v>
      </c>
      <c r="Y126">
        <v>0</v>
      </c>
      <c r="Z126">
        <v>-379</v>
      </c>
      <c r="AA126">
        <v>684172</v>
      </c>
      <c r="AD126" t="s">
        <v>338</v>
      </c>
      <c r="AE126" t="s">
        <v>453</v>
      </c>
      <c r="AF126" t="s">
        <v>338</v>
      </c>
      <c r="AG126">
        <v>13199243000142</v>
      </c>
      <c r="AH126" t="s">
        <v>311</v>
      </c>
    </row>
    <row r="127" spans="1:34" x14ac:dyDescent="0.3">
      <c r="A127">
        <v>101</v>
      </c>
      <c r="B127" t="s">
        <v>34</v>
      </c>
      <c r="C127">
        <v>2</v>
      </c>
      <c r="D127" s="1" t="s">
        <v>449</v>
      </c>
      <c r="E127" s="1" t="s">
        <v>36</v>
      </c>
      <c r="G127">
        <v>443829</v>
      </c>
      <c r="H127" t="s">
        <v>450</v>
      </c>
      <c r="I127" t="s">
        <v>451</v>
      </c>
      <c r="J127">
        <v>12</v>
      </c>
      <c r="K127">
        <v>443829</v>
      </c>
      <c r="L127">
        <v>50033</v>
      </c>
      <c r="M127" t="s">
        <v>39</v>
      </c>
      <c r="N127">
        <v>31</v>
      </c>
      <c r="O127" s="2">
        <v>46119</v>
      </c>
      <c r="P127" s="2">
        <v>46147</v>
      </c>
      <c r="R127" t="s">
        <v>452</v>
      </c>
      <c r="S127" t="str">
        <f>"0000050395610"</f>
        <v>0000050395610</v>
      </c>
      <c r="T127" t="s">
        <v>41</v>
      </c>
      <c r="U127">
        <v>552.4</v>
      </c>
      <c r="V127">
        <v>552.4</v>
      </c>
      <c r="W127">
        <v>552.4</v>
      </c>
      <c r="X127">
        <v>0</v>
      </c>
      <c r="Y127">
        <v>0</v>
      </c>
      <c r="Z127">
        <v>-372</v>
      </c>
      <c r="AA127">
        <v>684118</v>
      </c>
      <c r="AD127" t="s">
        <v>338</v>
      </c>
      <c r="AE127" t="s">
        <v>453</v>
      </c>
      <c r="AF127" t="s">
        <v>338</v>
      </c>
      <c r="AG127">
        <v>13199243000142</v>
      </c>
      <c r="AH127" t="s">
        <v>311</v>
      </c>
    </row>
    <row r="128" spans="1:34" x14ac:dyDescent="0.3">
      <c r="A128">
        <v>101</v>
      </c>
      <c r="B128" t="s">
        <v>34</v>
      </c>
      <c r="C128">
        <v>2</v>
      </c>
      <c r="D128" s="1" t="s">
        <v>456</v>
      </c>
      <c r="E128" s="1" t="s">
        <v>36</v>
      </c>
      <c r="G128">
        <v>447292</v>
      </c>
      <c r="H128" t="s">
        <v>457</v>
      </c>
      <c r="I128" t="s">
        <v>396</v>
      </c>
      <c r="J128">
        <v>12</v>
      </c>
      <c r="K128">
        <v>1451</v>
      </c>
      <c r="L128">
        <v>50341</v>
      </c>
      <c r="M128" t="s">
        <v>146</v>
      </c>
      <c r="N128">
        <v>31</v>
      </c>
      <c r="O128" s="2">
        <v>46234</v>
      </c>
      <c r="P128" s="2">
        <v>46264</v>
      </c>
      <c r="R128" t="s">
        <v>458</v>
      </c>
      <c r="S128" t="str">
        <f>"00013401"</f>
        <v>00013401</v>
      </c>
      <c r="T128" t="s">
        <v>41</v>
      </c>
      <c r="U128">
        <v>1177.32</v>
      </c>
      <c r="V128">
        <v>1153.77</v>
      </c>
      <c r="W128">
        <v>1153.77</v>
      </c>
      <c r="X128">
        <v>0</v>
      </c>
      <c r="Y128">
        <v>0</v>
      </c>
      <c r="Z128">
        <v>-489</v>
      </c>
      <c r="AA128">
        <v>4081</v>
      </c>
      <c r="AD128" t="s">
        <v>330</v>
      </c>
      <c r="AE128" t="s">
        <v>459</v>
      </c>
      <c r="AF128" t="s">
        <v>330</v>
      </c>
      <c r="AG128">
        <v>37630118000618</v>
      </c>
      <c r="AH128" t="s">
        <v>311</v>
      </c>
    </row>
    <row r="129" spans="1:34" x14ac:dyDescent="0.3">
      <c r="A129">
        <v>101</v>
      </c>
      <c r="B129" t="s">
        <v>34</v>
      </c>
      <c r="C129">
        <v>2</v>
      </c>
      <c r="D129" s="1" t="s">
        <v>460</v>
      </c>
      <c r="E129" s="1" t="s">
        <v>36</v>
      </c>
      <c r="G129">
        <v>449137</v>
      </c>
      <c r="H129" t="s">
        <v>461</v>
      </c>
      <c r="I129" t="s">
        <v>445</v>
      </c>
      <c r="J129">
        <v>12</v>
      </c>
      <c r="K129">
        <v>440710</v>
      </c>
      <c r="L129">
        <v>50341</v>
      </c>
      <c r="M129" t="s">
        <v>146</v>
      </c>
      <c r="N129">
        <v>31</v>
      </c>
      <c r="O129" s="2">
        <v>46209</v>
      </c>
      <c r="P129" s="2">
        <v>46269</v>
      </c>
      <c r="R129" t="s">
        <v>462</v>
      </c>
      <c r="S129" t="str">
        <f>"00013080"</f>
        <v>00013080</v>
      </c>
      <c r="T129" t="s">
        <v>41</v>
      </c>
      <c r="U129">
        <v>4242.53</v>
      </c>
      <c r="V129">
        <v>4242.53</v>
      </c>
      <c r="W129">
        <v>4242.53</v>
      </c>
      <c r="X129">
        <v>0</v>
      </c>
      <c r="Y129">
        <v>0</v>
      </c>
      <c r="Z129">
        <v>-494</v>
      </c>
      <c r="AA129">
        <v>693689</v>
      </c>
      <c r="AD129" t="s">
        <v>437</v>
      </c>
      <c r="AE129" t="s">
        <v>463</v>
      </c>
      <c r="AF129" t="s">
        <v>437</v>
      </c>
      <c r="AG129">
        <v>20500092000267</v>
      </c>
      <c r="AH129" t="s">
        <v>311</v>
      </c>
    </row>
    <row r="130" spans="1:34" x14ac:dyDescent="0.3">
      <c r="A130">
        <v>101</v>
      </c>
      <c r="B130" t="s">
        <v>34</v>
      </c>
      <c r="C130">
        <v>2</v>
      </c>
      <c r="D130" s="1" t="s">
        <v>464</v>
      </c>
      <c r="E130" s="1" t="s">
        <v>36</v>
      </c>
      <c r="G130">
        <v>449137</v>
      </c>
      <c r="H130" t="s">
        <v>461</v>
      </c>
      <c r="I130" t="s">
        <v>445</v>
      </c>
      <c r="J130">
        <v>12</v>
      </c>
      <c r="K130">
        <v>440710</v>
      </c>
      <c r="L130">
        <v>50341</v>
      </c>
      <c r="M130" t="s">
        <v>146</v>
      </c>
      <c r="N130">
        <v>31</v>
      </c>
      <c r="O130" s="2">
        <v>46245</v>
      </c>
      <c r="P130" s="2">
        <v>46305</v>
      </c>
      <c r="R130" t="s">
        <v>465</v>
      </c>
      <c r="S130" t="str">
        <f>"00013648"</f>
        <v>00013648</v>
      </c>
      <c r="T130" t="s">
        <v>41</v>
      </c>
      <c r="U130">
        <v>2208.4299999999998</v>
      </c>
      <c r="V130">
        <v>2208.4299999999998</v>
      </c>
      <c r="W130">
        <v>2208.4299999999998</v>
      </c>
      <c r="X130">
        <v>0</v>
      </c>
      <c r="Y130">
        <v>0</v>
      </c>
      <c r="Z130">
        <v>-530</v>
      </c>
      <c r="AA130">
        <v>4432</v>
      </c>
      <c r="AD130" t="s">
        <v>437</v>
      </c>
      <c r="AE130" t="s">
        <v>463</v>
      </c>
      <c r="AF130" t="s">
        <v>437</v>
      </c>
      <c r="AG130">
        <v>20500092000267</v>
      </c>
      <c r="AH130" t="s">
        <v>311</v>
      </c>
    </row>
    <row r="131" spans="1:34" x14ac:dyDescent="0.3">
      <c r="A131">
        <v>101</v>
      </c>
      <c r="B131" t="s">
        <v>34</v>
      </c>
      <c r="C131">
        <v>2</v>
      </c>
      <c r="D131" s="1" t="s">
        <v>466</v>
      </c>
      <c r="E131" s="1" t="s">
        <v>122</v>
      </c>
      <c r="G131">
        <v>450672</v>
      </c>
      <c r="H131" t="s">
        <v>467</v>
      </c>
      <c r="I131" t="s">
        <v>468</v>
      </c>
      <c r="J131">
        <v>12</v>
      </c>
      <c r="K131">
        <v>450672</v>
      </c>
      <c r="L131">
        <v>50001</v>
      </c>
      <c r="M131" t="s">
        <v>39</v>
      </c>
      <c r="N131">
        <v>31</v>
      </c>
      <c r="O131" s="2">
        <v>46050</v>
      </c>
      <c r="P131" s="2">
        <v>46105</v>
      </c>
      <c r="R131" t="s">
        <v>469</v>
      </c>
      <c r="S131" t="str">
        <f>"25666160000048913"</f>
        <v>25666160000048913</v>
      </c>
      <c r="T131" t="s">
        <v>41</v>
      </c>
      <c r="U131">
        <v>950.44</v>
      </c>
      <c r="V131">
        <v>950.44</v>
      </c>
      <c r="W131">
        <v>950.44</v>
      </c>
      <c r="X131">
        <v>0</v>
      </c>
      <c r="Y131">
        <v>0</v>
      </c>
      <c r="Z131">
        <v>-330</v>
      </c>
      <c r="AA131">
        <v>675908</v>
      </c>
      <c r="AD131" t="s">
        <v>470</v>
      </c>
      <c r="AE131" t="s">
        <v>471</v>
      </c>
      <c r="AF131" t="s">
        <v>470</v>
      </c>
      <c r="AG131" s="1" t="s">
        <v>472</v>
      </c>
      <c r="AH131" t="s">
        <v>311</v>
      </c>
    </row>
    <row r="132" spans="1:34" x14ac:dyDescent="0.3">
      <c r="A132">
        <v>101</v>
      </c>
      <c r="B132" t="s">
        <v>34</v>
      </c>
      <c r="C132">
        <v>2</v>
      </c>
      <c r="D132" s="1" t="s">
        <v>466</v>
      </c>
      <c r="E132" s="1" t="s">
        <v>36</v>
      </c>
      <c r="G132">
        <v>450672</v>
      </c>
      <c r="H132" t="s">
        <v>467</v>
      </c>
      <c r="I132" t="s">
        <v>468</v>
      </c>
      <c r="J132">
        <v>12</v>
      </c>
      <c r="K132">
        <v>450672</v>
      </c>
      <c r="L132">
        <v>50001</v>
      </c>
      <c r="M132" t="s">
        <v>39</v>
      </c>
      <c r="N132">
        <v>31</v>
      </c>
      <c r="O132" s="2">
        <v>46050</v>
      </c>
      <c r="P132" s="2">
        <v>46098</v>
      </c>
      <c r="R132" t="s">
        <v>469</v>
      </c>
      <c r="S132" t="str">
        <f>"25666160000048912"</f>
        <v>25666160000048912</v>
      </c>
      <c r="T132" t="s">
        <v>41</v>
      </c>
      <c r="U132">
        <v>950.44</v>
      </c>
      <c r="V132">
        <v>950.44</v>
      </c>
      <c r="W132">
        <v>950.44</v>
      </c>
      <c r="X132">
        <v>0</v>
      </c>
      <c r="Y132">
        <v>0</v>
      </c>
      <c r="Z132">
        <v>-323</v>
      </c>
      <c r="AA132">
        <v>675908</v>
      </c>
      <c r="AD132" t="s">
        <v>470</v>
      </c>
      <c r="AE132" t="s">
        <v>471</v>
      </c>
      <c r="AF132" t="s">
        <v>470</v>
      </c>
      <c r="AG132" s="1" t="s">
        <v>472</v>
      </c>
      <c r="AH132" t="s">
        <v>311</v>
      </c>
    </row>
    <row r="133" spans="1:34" x14ac:dyDescent="0.3">
      <c r="A133">
        <v>101</v>
      </c>
      <c r="B133" t="s">
        <v>34</v>
      </c>
      <c r="C133">
        <v>2</v>
      </c>
      <c r="D133" s="1" t="s">
        <v>466</v>
      </c>
      <c r="E133" s="1" t="s">
        <v>116</v>
      </c>
      <c r="G133">
        <v>450672</v>
      </c>
      <c r="H133" t="s">
        <v>467</v>
      </c>
      <c r="I133" t="s">
        <v>468</v>
      </c>
      <c r="J133">
        <v>12</v>
      </c>
      <c r="K133">
        <v>450672</v>
      </c>
      <c r="L133">
        <v>50001</v>
      </c>
      <c r="M133" t="s">
        <v>39</v>
      </c>
      <c r="N133">
        <v>31</v>
      </c>
      <c r="O133" s="2">
        <v>46050</v>
      </c>
      <c r="P133" s="2">
        <v>46112</v>
      </c>
      <c r="R133" t="s">
        <v>469</v>
      </c>
      <c r="S133" t="str">
        <f>"25666160000048914"</f>
        <v>25666160000048914</v>
      </c>
      <c r="T133" t="s">
        <v>41</v>
      </c>
      <c r="U133">
        <v>950.73</v>
      </c>
      <c r="V133">
        <v>950.73</v>
      </c>
      <c r="W133">
        <v>950.73</v>
      </c>
      <c r="X133">
        <v>0</v>
      </c>
      <c r="Y133">
        <v>0</v>
      </c>
      <c r="Z133">
        <v>-337</v>
      </c>
      <c r="AA133">
        <v>675908</v>
      </c>
      <c r="AD133" t="s">
        <v>470</v>
      </c>
      <c r="AE133" t="s">
        <v>471</v>
      </c>
      <c r="AF133" t="s">
        <v>470</v>
      </c>
      <c r="AG133" s="1" t="s">
        <v>472</v>
      </c>
      <c r="AH133" t="s">
        <v>311</v>
      </c>
    </row>
    <row r="134" spans="1:34" x14ac:dyDescent="0.3">
      <c r="A134">
        <v>101</v>
      </c>
      <c r="B134" t="s">
        <v>34</v>
      </c>
      <c r="C134">
        <v>2</v>
      </c>
      <c r="D134" s="1" t="s">
        <v>473</v>
      </c>
      <c r="E134" s="1" t="s">
        <v>36</v>
      </c>
      <c r="G134">
        <v>451025</v>
      </c>
      <c r="H134" t="s">
        <v>474</v>
      </c>
      <c r="I134" t="s">
        <v>475</v>
      </c>
      <c r="J134">
        <v>12</v>
      </c>
      <c r="K134">
        <v>440710</v>
      </c>
      <c r="L134">
        <v>50341</v>
      </c>
      <c r="M134" t="s">
        <v>146</v>
      </c>
      <c r="N134">
        <v>31</v>
      </c>
      <c r="O134" s="2">
        <v>46245</v>
      </c>
      <c r="P134" s="2">
        <v>46305</v>
      </c>
      <c r="R134" t="s">
        <v>476</v>
      </c>
      <c r="S134" t="str">
        <f>"00013649"</f>
        <v>00013649</v>
      </c>
      <c r="T134" t="s">
        <v>41</v>
      </c>
      <c r="U134">
        <v>11032.58</v>
      </c>
      <c r="V134">
        <v>11032.58</v>
      </c>
      <c r="W134">
        <v>11032.58</v>
      </c>
      <c r="X134">
        <v>0</v>
      </c>
      <c r="Y134">
        <v>0</v>
      </c>
      <c r="Z134">
        <v>-530</v>
      </c>
      <c r="AA134">
        <v>4431</v>
      </c>
      <c r="AD134" t="s">
        <v>437</v>
      </c>
      <c r="AE134" t="s">
        <v>463</v>
      </c>
      <c r="AF134" t="s">
        <v>437</v>
      </c>
      <c r="AG134">
        <v>20500092000429</v>
      </c>
      <c r="AH134" t="s">
        <v>311</v>
      </c>
    </row>
    <row r="135" spans="1:34" x14ac:dyDescent="0.3">
      <c r="A135">
        <v>101</v>
      </c>
      <c r="B135" t="s">
        <v>34</v>
      </c>
      <c r="C135">
        <v>2</v>
      </c>
      <c r="D135" s="1" t="s">
        <v>477</v>
      </c>
      <c r="E135" s="1" t="s">
        <v>36</v>
      </c>
      <c r="G135">
        <v>451025</v>
      </c>
      <c r="H135" t="s">
        <v>474</v>
      </c>
      <c r="I135" t="s">
        <v>475</v>
      </c>
      <c r="J135">
        <v>12</v>
      </c>
      <c r="K135">
        <v>440710</v>
      </c>
      <c r="L135">
        <v>50341</v>
      </c>
      <c r="M135" t="s">
        <v>146</v>
      </c>
      <c r="N135">
        <v>31</v>
      </c>
      <c r="O135" s="2">
        <v>46210</v>
      </c>
      <c r="P135" s="2">
        <v>46270</v>
      </c>
      <c r="R135" t="s">
        <v>478</v>
      </c>
      <c r="S135" t="str">
        <f>"00013132"</f>
        <v>00013132</v>
      </c>
      <c r="T135" t="s">
        <v>41</v>
      </c>
      <c r="U135">
        <v>22047.11</v>
      </c>
      <c r="V135">
        <v>22047.11</v>
      </c>
      <c r="W135">
        <v>22047.11</v>
      </c>
      <c r="X135">
        <v>0</v>
      </c>
      <c r="Y135">
        <v>0</v>
      </c>
      <c r="Z135">
        <v>-495</v>
      </c>
      <c r="AA135">
        <v>693688</v>
      </c>
      <c r="AD135" t="s">
        <v>437</v>
      </c>
      <c r="AE135" t="s">
        <v>463</v>
      </c>
      <c r="AF135" t="s">
        <v>437</v>
      </c>
      <c r="AG135">
        <v>20500092000429</v>
      </c>
      <c r="AH135" t="s">
        <v>311</v>
      </c>
    </row>
    <row r="136" spans="1:34" x14ac:dyDescent="0.3">
      <c r="A136">
        <v>101</v>
      </c>
      <c r="B136" t="s">
        <v>34</v>
      </c>
      <c r="C136">
        <v>2</v>
      </c>
      <c r="D136" s="1" t="s">
        <v>479</v>
      </c>
      <c r="E136" s="1" t="s">
        <v>36</v>
      </c>
      <c r="G136">
        <v>451025</v>
      </c>
      <c r="H136" t="s">
        <v>474</v>
      </c>
      <c r="I136" t="s">
        <v>475</v>
      </c>
      <c r="J136">
        <v>12</v>
      </c>
      <c r="K136">
        <v>440710</v>
      </c>
      <c r="L136">
        <v>50341</v>
      </c>
      <c r="M136" t="s">
        <v>146</v>
      </c>
      <c r="N136">
        <v>31</v>
      </c>
      <c r="O136" s="2">
        <v>46210</v>
      </c>
      <c r="P136" s="2">
        <v>46270</v>
      </c>
      <c r="R136" t="s">
        <v>480</v>
      </c>
      <c r="S136" t="str">
        <f>"00013133"</f>
        <v>00013133</v>
      </c>
      <c r="T136" t="s">
        <v>41</v>
      </c>
      <c r="U136">
        <v>3842.73</v>
      </c>
      <c r="V136">
        <v>3842.73</v>
      </c>
      <c r="W136">
        <v>3842.73</v>
      </c>
      <c r="X136">
        <v>0</v>
      </c>
      <c r="Y136">
        <v>0</v>
      </c>
      <c r="Z136">
        <v>-495</v>
      </c>
      <c r="AA136">
        <v>1022</v>
      </c>
      <c r="AD136" t="s">
        <v>437</v>
      </c>
      <c r="AE136" t="s">
        <v>463</v>
      </c>
      <c r="AF136" t="s">
        <v>437</v>
      </c>
      <c r="AG136">
        <v>20500092000429</v>
      </c>
      <c r="AH136" t="s">
        <v>311</v>
      </c>
    </row>
    <row r="137" spans="1:34" x14ac:dyDescent="0.3">
      <c r="A137">
        <v>101</v>
      </c>
      <c r="B137" t="s">
        <v>34</v>
      </c>
      <c r="C137">
        <v>2</v>
      </c>
      <c r="D137" s="1" t="s">
        <v>481</v>
      </c>
      <c r="E137" s="1" t="s">
        <v>36</v>
      </c>
      <c r="G137">
        <v>451025</v>
      </c>
      <c r="H137" t="s">
        <v>474</v>
      </c>
      <c r="I137" t="s">
        <v>475</v>
      </c>
      <c r="J137">
        <v>12</v>
      </c>
      <c r="K137">
        <v>440710</v>
      </c>
      <c r="L137">
        <v>50341</v>
      </c>
      <c r="M137" t="s">
        <v>146</v>
      </c>
      <c r="N137">
        <v>31</v>
      </c>
      <c r="O137" s="2">
        <v>46254</v>
      </c>
      <c r="P137" s="2">
        <v>46314</v>
      </c>
      <c r="R137" t="s">
        <v>482</v>
      </c>
      <c r="S137" t="str">
        <f>"00013702"</f>
        <v>00013702</v>
      </c>
      <c r="T137" t="s">
        <v>41</v>
      </c>
      <c r="U137">
        <v>3384.83</v>
      </c>
      <c r="V137">
        <v>3384.83</v>
      </c>
      <c r="W137">
        <v>3384.83</v>
      </c>
      <c r="X137">
        <v>0</v>
      </c>
      <c r="Y137">
        <v>0</v>
      </c>
      <c r="Z137">
        <v>-539</v>
      </c>
      <c r="AA137">
        <v>4431</v>
      </c>
      <c r="AD137" t="s">
        <v>437</v>
      </c>
      <c r="AE137" t="s">
        <v>463</v>
      </c>
      <c r="AF137" t="s">
        <v>437</v>
      </c>
      <c r="AG137">
        <v>20500092000429</v>
      </c>
      <c r="AH137" t="s">
        <v>311</v>
      </c>
    </row>
    <row r="138" spans="1:34" x14ac:dyDescent="0.3">
      <c r="A138">
        <v>101</v>
      </c>
      <c r="B138" t="s">
        <v>34</v>
      </c>
      <c r="C138">
        <v>2</v>
      </c>
      <c r="D138" s="1" t="s">
        <v>483</v>
      </c>
      <c r="E138" s="1" t="s">
        <v>36</v>
      </c>
      <c r="G138">
        <v>451104</v>
      </c>
      <c r="H138" t="s">
        <v>484</v>
      </c>
      <c r="I138" t="s">
        <v>386</v>
      </c>
      <c r="J138">
        <v>12</v>
      </c>
      <c r="K138">
        <v>10778</v>
      </c>
      <c r="L138">
        <v>50001</v>
      </c>
      <c r="M138" t="s">
        <v>39</v>
      </c>
      <c r="N138">
        <v>31</v>
      </c>
      <c r="O138" s="2">
        <v>46234</v>
      </c>
      <c r="P138" s="2">
        <v>46264</v>
      </c>
      <c r="R138" t="s">
        <v>485</v>
      </c>
      <c r="S138" t="str">
        <f>"25666160000051705"</f>
        <v>25666160000051705</v>
      </c>
      <c r="T138" t="s">
        <v>41</v>
      </c>
      <c r="U138">
        <v>5790.3</v>
      </c>
      <c r="V138">
        <v>5790.3</v>
      </c>
      <c r="W138">
        <v>5790.3</v>
      </c>
      <c r="X138">
        <v>0</v>
      </c>
      <c r="Y138">
        <v>0</v>
      </c>
      <c r="Z138">
        <v>-489</v>
      </c>
      <c r="AA138" t="s">
        <v>486</v>
      </c>
      <c r="AD138" t="s">
        <v>308</v>
      </c>
      <c r="AE138" t="s">
        <v>487</v>
      </c>
      <c r="AF138" t="s">
        <v>308</v>
      </c>
      <c r="AG138" s="1" t="s">
        <v>488</v>
      </c>
      <c r="AH138" t="s">
        <v>311</v>
      </c>
    </row>
    <row r="139" spans="1:34" x14ac:dyDescent="0.3">
      <c r="A139">
        <v>106</v>
      </c>
      <c r="B139" t="s">
        <v>34</v>
      </c>
      <c r="C139">
        <v>2</v>
      </c>
      <c r="D139" s="1" t="s">
        <v>489</v>
      </c>
      <c r="E139" s="1" t="s">
        <v>36</v>
      </c>
      <c r="G139">
        <v>451104</v>
      </c>
      <c r="H139" t="s">
        <v>484</v>
      </c>
      <c r="I139" t="s">
        <v>386</v>
      </c>
      <c r="J139">
        <v>12</v>
      </c>
      <c r="K139">
        <v>10778</v>
      </c>
      <c r="L139">
        <v>50001</v>
      </c>
      <c r="M139" t="s">
        <v>39</v>
      </c>
      <c r="N139">
        <v>31</v>
      </c>
      <c r="O139" s="2">
        <v>46234</v>
      </c>
      <c r="P139" s="2">
        <v>46264</v>
      </c>
      <c r="R139" t="s">
        <v>490</v>
      </c>
      <c r="S139" t="str">
        <f>"25666160000051805"</f>
        <v>25666160000051805</v>
      </c>
      <c r="T139" t="s">
        <v>41</v>
      </c>
      <c r="U139">
        <v>7705.8</v>
      </c>
      <c r="V139">
        <v>7705.8</v>
      </c>
      <c r="W139">
        <v>7705.8</v>
      </c>
      <c r="X139">
        <v>0</v>
      </c>
      <c r="Y139">
        <v>0</v>
      </c>
      <c r="Z139">
        <v>-489</v>
      </c>
      <c r="AA139" t="s">
        <v>491</v>
      </c>
      <c r="AD139" t="s">
        <v>308</v>
      </c>
      <c r="AE139" t="s">
        <v>487</v>
      </c>
      <c r="AF139" t="s">
        <v>308</v>
      </c>
      <c r="AG139" s="1" t="s">
        <v>488</v>
      </c>
      <c r="AH139" t="s">
        <v>311</v>
      </c>
    </row>
    <row r="140" spans="1:34" x14ac:dyDescent="0.3">
      <c r="A140">
        <v>101</v>
      </c>
      <c r="B140" t="s">
        <v>34</v>
      </c>
      <c r="C140">
        <v>2</v>
      </c>
      <c r="D140" s="1" t="s">
        <v>492</v>
      </c>
      <c r="E140" s="1" t="s">
        <v>36</v>
      </c>
      <c r="G140">
        <v>451509</v>
      </c>
      <c r="H140" t="s">
        <v>493</v>
      </c>
      <c r="I140" t="s">
        <v>494</v>
      </c>
      <c r="J140">
        <v>12</v>
      </c>
      <c r="K140">
        <v>451509</v>
      </c>
      <c r="L140">
        <v>50001</v>
      </c>
      <c r="M140" t="s">
        <v>39</v>
      </c>
      <c r="N140">
        <v>31</v>
      </c>
      <c r="O140" s="2">
        <v>46230</v>
      </c>
      <c r="P140" s="2">
        <v>46260</v>
      </c>
      <c r="R140" t="s">
        <v>495</v>
      </c>
      <c r="S140" t="str">
        <f>"25666160000051644"</f>
        <v>25666160000051644</v>
      </c>
      <c r="T140" t="s">
        <v>41</v>
      </c>
      <c r="U140">
        <v>4792.51</v>
      </c>
      <c r="V140">
        <v>4648.7299999999996</v>
      </c>
      <c r="W140">
        <v>4648.7299999999996</v>
      </c>
      <c r="X140">
        <v>0</v>
      </c>
      <c r="Y140">
        <v>0</v>
      </c>
      <c r="Z140">
        <v>-485</v>
      </c>
      <c r="AA140">
        <v>1700</v>
      </c>
      <c r="AD140" t="s">
        <v>496</v>
      </c>
      <c r="AE140" t="s">
        <v>497</v>
      </c>
      <c r="AF140" t="s">
        <v>496</v>
      </c>
      <c r="AG140">
        <v>31627994000102</v>
      </c>
      <c r="AH140" t="s">
        <v>311</v>
      </c>
    </row>
    <row r="141" spans="1:34" x14ac:dyDescent="0.3">
      <c r="A141">
        <v>101</v>
      </c>
      <c r="B141" t="s">
        <v>34</v>
      </c>
      <c r="C141">
        <v>2</v>
      </c>
      <c r="D141" s="1" t="s">
        <v>498</v>
      </c>
      <c r="E141" s="1" t="s">
        <v>36</v>
      </c>
      <c r="G141">
        <v>451509</v>
      </c>
      <c r="H141" t="s">
        <v>493</v>
      </c>
      <c r="I141" t="s">
        <v>494</v>
      </c>
      <c r="J141">
        <v>12</v>
      </c>
      <c r="K141">
        <v>451509</v>
      </c>
      <c r="L141">
        <v>50001</v>
      </c>
      <c r="M141" t="s">
        <v>39</v>
      </c>
      <c r="N141">
        <v>31</v>
      </c>
      <c r="O141" s="2">
        <v>46254</v>
      </c>
      <c r="P141" s="2">
        <v>46284</v>
      </c>
      <c r="R141" t="s">
        <v>499</v>
      </c>
      <c r="S141" t="str">
        <f>"25666160000051971"</f>
        <v>25666160000051971</v>
      </c>
      <c r="T141" t="s">
        <v>41</v>
      </c>
      <c r="U141">
        <v>4057.53</v>
      </c>
      <c r="V141">
        <v>3935.8</v>
      </c>
      <c r="W141">
        <v>3935.8</v>
      </c>
      <c r="X141">
        <v>0</v>
      </c>
      <c r="Y141">
        <v>0</v>
      </c>
      <c r="Z141">
        <v>-509</v>
      </c>
      <c r="AA141">
        <v>4850</v>
      </c>
      <c r="AD141" t="s">
        <v>496</v>
      </c>
      <c r="AE141" t="s">
        <v>497</v>
      </c>
      <c r="AF141" t="s">
        <v>496</v>
      </c>
      <c r="AG141">
        <v>31627994000102</v>
      </c>
      <c r="AH141" t="s">
        <v>311</v>
      </c>
    </row>
    <row r="142" spans="1:34" x14ac:dyDescent="0.3">
      <c r="A142">
        <v>101</v>
      </c>
      <c r="B142" t="s">
        <v>34</v>
      </c>
      <c r="C142">
        <v>2</v>
      </c>
      <c r="D142" s="1" t="s">
        <v>500</v>
      </c>
      <c r="E142" s="1" t="s">
        <v>36</v>
      </c>
      <c r="G142">
        <v>451906</v>
      </c>
      <c r="H142" t="s">
        <v>501</v>
      </c>
      <c r="I142" t="s">
        <v>502</v>
      </c>
      <c r="J142">
        <v>15</v>
      </c>
      <c r="K142">
        <v>9321</v>
      </c>
      <c r="L142">
        <v>95000</v>
      </c>
      <c r="M142" t="s">
        <v>69</v>
      </c>
      <c r="N142">
        <v>31</v>
      </c>
      <c r="O142" s="2">
        <v>46182</v>
      </c>
      <c r="P142" s="2">
        <v>46281</v>
      </c>
      <c r="R142" s="1" t="s">
        <v>503</v>
      </c>
      <c r="S142" t="str">
        <f>""</f>
        <v/>
      </c>
      <c r="T142" t="s">
        <v>41</v>
      </c>
      <c r="U142">
        <v>4887.45</v>
      </c>
      <c r="V142">
        <v>4887.45</v>
      </c>
      <c r="W142">
        <v>4887.45</v>
      </c>
      <c r="X142">
        <v>0</v>
      </c>
      <c r="Y142">
        <v>0</v>
      </c>
      <c r="Z142">
        <v>-506</v>
      </c>
      <c r="AA142">
        <v>690925</v>
      </c>
      <c r="AD142" t="s">
        <v>308</v>
      </c>
      <c r="AE142" t="s">
        <v>504</v>
      </c>
      <c r="AF142" t="s">
        <v>308</v>
      </c>
      <c r="AG142" s="1" t="s">
        <v>505</v>
      </c>
      <c r="AH142" t="s">
        <v>311</v>
      </c>
    </row>
    <row r="143" spans="1:34" x14ac:dyDescent="0.3">
      <c r="A143">
        <v>101</v>
      </c>
      <c r="B143" t="s">
        <v>34</v>
      </c>
      <c r="C143">
        <v>2</v>
      </c>
      <c r="D143" s="1" t="s">
        <v>506</v>
      </c>
      <c r="E143" s="1" t="s">
        <v>36</v>
      </c>
      <c r="G143">
        <v>451906</v>
      </c>
      <c r="H143" t="s">
        <v>501</v>
      </c>
      <c r="I143" t="s">
        <v>502</v>
      </c>
      <c r="J143">
        <v>15</v>
      </c>
      <c r="K143">
        <v>9321</v>
      </c>
      <c r="L143">
        <v>95000</v>
      </c>
      <c r="M143" t="s">
        <v>69</v>
      </c>
      <c r="N143">
        <v>31</v>
      </c>
      <c r="O143" s="2">
        <v>46197</v>
      </c>
      <c r="P143" s="2">
        <v>46295</v>
      </c>
      <c r="R143" t="s">
        <v>507</v>
      </c>
      <c r="S143" t="str">
        <f>""</f>
        <v/>
      </c>
      <c r="T143" t="s">
        <v>41</v>
      </c>
      <c r="U143">
        <v>2129.7600000000002</v>
      </c>
      <c r="V143">
        <v>2129.7600000000002</v>
      </c>
      <c r="W143">
        <v>2129.7600000000002</v>
      </c>
      <c r="X143">
        <v>0</v>
      </c>
      <c r="Y143">
        <v>0</v>
      </c>
      <c r="Z143">
        <v>-520</v>
      </c>
      <c r="AA143">
        <v>692091</v>
      </c>
      <c r="AD143" t="s">
        <v>308</v>
      </c>
      <c r="AE143" t="s">
        <v>504</v>
      </c>
      <c r="AF143" t="s">
        <v>308</v>
      </c>
      <c r="AG143" s="1" t="s">
        <v>505</v>
      </c>
      <c r="AH143" t="s">
        <v>311</v>
      </c>
    </row>
    <row r="144" spans="1:34" x14ac:dyDescent="0.3">
      <c r="A144">
        <v>101</v>
      </c>
      <c r="B144" t="s">
        <v>34</v>
      </c>
      <c r="C144">
        <v>2</v>
      </c>
      <c r="D144" s="1" t="s">
        <v>508</v>
      </c>
      <c r="E144" s="1" t="s">
        <v>116</v>
      </c>
      <c r="G144">
        <v>452810</v>
      </c>
      <c r="H144" t="s">
        <v>509</v>
      </c>
      <c r="I144" t="s">
        <v>510</v>
      </c>
      <c r="J144">
        <v>12</v>
      </c>
      <c r="K144">
        <v>452810</v>
      </c>
      <c r="L144">
        <v>50033</v>
      </c>
      <c r="M144" t="s">
        <v>39</v>
      </c>
      <c r="N144">
        <v>31</v>
      </c>
      <c r="O144" s="2">
        <v>46254</v>
      </c>
      <c r="P144" s="2">
        <v>46304</v>
      </c>
      <c r="R144" t="s">
        <v>511</v>
      </c>
      <c r="S144" t="str">
        <f>"0000050414593"</f>
        <v>0000050414593</v>
      </c>
      <c r="T144" t="s">
        <v>41</v>
      </c>
      <c r="U144">
        <v>774.96</v>
      </c>
      <c r="V144">
        <v>774.96</v>
      </c>
      <c r="W144">
        <v>774.96</v>
      </c>
      <c r="X144">
        <v>0</v>
      </c>
      <c r="Y144">
        <v>0</v>
      </c>
      <c r="Z144">
        <v>-529</v>
      </c>
      <c r="AA144">
        <v>4819</v>
      </c>
      <c r="AD144" t="s">
        <v>330</v>
      </c>
      <c r="AE144" t="s">
        <v>512</v>
      </c>
      <c r="AF144" t="s">
        <v>330</v>
      </c>
      <c r="AG144">
        <v>34715021000105</v>
      </c>
      <c r="AH144" t="s">
        <v>311</v>
      </c>
    </row>
    <row r="145" spans="1:34" x14ac:dyDescent="0.3">
      <c r="A145">
        <v>101</v>
      </c>
      <c r="B145" t="s">
        <v>34</v>
      </c>
      <c r="C145">
        <v>2</v>
      </c>
      <c r="D145" s="1" t="s">
        <v>508</v>
      </c>
      <c r="E145" s="1" t="s">
        <v>36</v>
      </c>
      <c r="G145">
        <v>452810</v>
      </c>
      <c r="H145" t="s">
        <v>509</v>
      </c>
      <c r="I145" t="s">
        <v>510</v>
      </c>
      <c r="J145">
        <v>12</v>
      </c>
      <c r="K145">
        <v>452810</v>
      </c>
      <c r="L145">
        <v>50033</v>
      </c>
      <c r="M145" t="s">
        <v>39</v>
      </c>
      <c r="N145">
        <v>31</v>
      </c>
      <c r="O145" s="2">
        <v>46254</v>
      </c>
      <c r="P145" s="2">
        <v>46284</v>
      </c>
      <c r="R145" t="s">
        <v>511</v>
      </c>
      <c r="S145" t="str">
        <f>"0000050414577"</f>
        <v>0000050414577</v>
      </c>
      <c r="T145" t="s">
        <v>41</v>
      </c>
      <c r="U145">
        <v>774.72</v>
      </c>
      <c r="V145">
        <v>774.72</v>
      </c>
      <c r="W145">
        <v>774.72</v>
      </c>
      <c r="X145">
        <v>0</v>
      </c>
      <c r="Y145">
        <v>0</v>
      </c>
      <c r="Z145">
        <v>-509</v>
      </c>
      <c r="AA145">
        <v>4819</v>
      </c>
      <c r="AD145" t="s">
        <v>330</v>
      </c>
      <c r="AE145" t="s">
        <v>512</v>
      </c>
      <c r="AF145" t="s">
        <v>330</v>
      </c>
      <c r="AG145">
        <v>34715021000105</v>
      </c>
      <c r="AH145" t="s">
        <v>311</v>
      </c>
    </row>
    <row r="146" spans="1:34" x14ac:dyDescent="0.3">
      <c r="A146">
        <v>101</v>
      </c>
      <c r="B146" t="s">
        <v>34</v>
      </c>
      <c r="C146">
        <v>2</v>
      </c>
      <c r="D146" s="1" t="s">
        <v>508</v>
      </c>
      <c r="E146" s="1" t="s">
        <v>122</v>
      </c>
      <c r="G146">
        <v>452810</v>
      </c>
      <c r="H146" t="s">
        <v>509</v>
      </c>
      <c r="I146" t="s">
        <v>510</v>
      </c>
      <c r="J146">
        <v>12</v>
      </c>
      <c r="K146">
        <v>452810</v>
      </c>
      <c r="L146">
        <v>50033</v>
      </c>
      <c r="M146" t="s">
        <v>39</v>
      </c>
      <c r="N146">
        <v>31</v>
      </c>
      <c r="O146" s="2">
        <v>46254</v>
      </c>
      <c r="P146" s="2">
        <v>46294</v>
      </c>
      <c r="R146" t="s">
        <v>511</v>
      </c>
      <c r="S146" t="str">
        <f>"0000050414585"</f>
        <v>0000050414585</v>
      </c>
      <c r="T146" t="s">
        <v>41</v>
      </c>
      <c r="U146">
        <v>774.72</v>
      </c>
      <c r="V146">
        <v>774.72</v>
      </c>
      <c r="W146">
        <v>774.72</v>
      </c>
      <c r="X146">
        <v>0</v>
      </c>
      <c r="Y146">
        <v>0</v>
      </c>
      <c r="Z146">
        <v>-519</v>
      </c>
      <c r="AA146">
        <v>4819</v>
      </c>
      <c r="AD146" t="s">
        <v>330</v>
      </c>
      <c r="AE146" t="s">
        <v>512</v>
      </c>
      <c r="AF146" t="s">
        <v>330</v>
      </c>
      <c r="AG146">
        <v>34715021000105</v>
      </c>
      <c r="AH146" t="s">
        <v>311</v>
      </c>
    </row>
    <row r="147" spans="1:34" x14ac:dyDescent="0.3">
      <c r="A147">
        <v>101</v>
      </c>
      <c r="B147" t="s">
        <v>34</v>
      </c>
      <c r="C147">
        <v>2</v>
      </c>
      <c r="D147" s="1" t="s">
        <v>513</v>
      </c>
      <c r="E147" s="1" t="s">
        <v>36</v>
      </c>
      <c r="G147">
        <v>453037</v>
      </c>
      <c r="H147" t="s">
        <v>514</v>
      </c>
      <c r="I147" t="s">
        <v>515</v>
      </c>
      <c r="J147">
        <v>12</v>
      </c>
      <c r="K147">
        <v>453037</v>
      </c>
      <c r="L147">
        <v>50033</v>
      </c>
      <c r="M147" t="s">
        <v>39</v>
      </c>
      <c r="N147">
        <v>31</v>
      </c>
      <c r="O147" s="2">
        <v>46254</v>
      </c>
      <c r="P147" s="2">
        <v>46284</v>
      </c>
      <c r="R147" t="s">
        <v>516</v>
      </c>
      <c r="S147" t="str">
        <f>"0000050414640"</f>
        <v>0000050414640</v>
      </c>
      <c r="T147" t="s">
        <v>41</v>
      </c>
      <c r="U147">
        <v>5302.47</v>
      </c>
      <c r="V147">
        <v>5302.47</v>
      </c>
      <c r="W147">
        <v>5302.47</v>
      </c>
      <c r="X147">
        <v>0</v>
      </c>
      <c r="Y147">
        <v>0</v>
      </c>
      <c r="Z147">
        <v>-509</v>
      </c>
      <c r="AA147">
        <v>4843</v>
      </c>
      <c r="AD147" t="s">
        <v>308</v>
      </c>
      <c r="AE147">
        <v>6436317069</v>
      </c>
      <c r="AF147" t="s">
        <v>308</v>
      </c>
      <c r="AG147">
        <v>37037428000119</v>
      </c>
      <c r="AH147" t="s">
        <v>311</v>
      </c>
    </row>
    <row r="148" spans="1:34" x14ac:dyDescent="0.3">
      <c r="A148">
        <v>101</v>
      </c>
      <c r="B148" t="s">
        <v>34</v>
      </c>
      <c r="C148">
        <v>2</v>
      </c>
      <c r="D148" s="1" t="s">
        <v>517</v>
      </c>
      <c r="E148" s="1" t="s">
        <v>36</v>
      </c>
      <c r="G148">
        <v>453146</v>
      </c>
      <c r="H148" t="s">
        <v>518</v>
      </c>
      <c r="I148" t="s">
        <v>419</v>
      </c>
      <c r="J148">
        <v>12</v>
      </c>
      <c r="K148">
        <v>436521</v>
      </c>
      <c r="L148">
        <v>50001</v>
      </c>
      <c r="M148" t="s">
        <v>39</v>
      </c>
      <c r="N148">
        <v>31</v>
      </c>
      <c r="O148" s="2">
        <v>46254</v>
      </c>
      <c r="P148" s="2">
        <v>46284</v>
      </c>
      <c r="R148" t="s">
        <v>519</v>
      </c>
      <c r="S148" t="str">
        <f>"25666160000051928"</f>
        <v>25666160000051928</v>
      </c>
      <c r="T148" t="s">
        <v>41</v>
      </c>
      <c r="U148">
        <v>3805.51</v>
      </c>
      <c r="V148">
        <v>3655.69</v>
      </c>
      <c r="W148">
        <v>3655.69</v>
      </c>
      <c r="X148">
        <v>0</v>
      </c>
      <c r="Y148">
        <v>0</v>
      </c>
      <c r="Z148">
        <v>-509</v>
      </c>
      <c r="AA148">
        <v>4321</v>
      </c>
      <c r="AD148" t="s">
        <v>520</v>
      </c>
      <c r="AE148" t="s">
        <v>521</v>
      </c>
      <c r="AF148" t="s">
        <v>520</v>
      </c>
      <c r="AG148" s="1" t="s">
        <v>522</v>
      </c>
      <c r="AH148" t="s">
        <v>423</v>
      </c>
    </row>
    <row r="149" spans="1:34" x14ac:dyDescent="0.3">
      <c r="A149">
        <v>101</v>
      </c>
      <c r="B149" t="s">
        <v>34</v>
      </c>
      <c r="C149">
        <v>2</v>
      </c>
      <c r="D149" s="1" t="s">
        <v>517</v>
      </c>
      <c r="E149" s="1" t="s">
        <v>122</v>
      </c>
      <c r="G149">
        <v>453146</v>
      </c>
      <c r="H149" t="s">
        <v>518</v>
      </c>
      <c r="I149" t="s">
        <v>419</v>
      </c>
      <c r="J149">
        <v>12</v>
      </c>
      <c r="K149">
        <v>436521</v>
      </c>
      <c r="L149">
        <v>50001</v>
      </c>
      <c r="M149" t="s">
        <v>39</v>
      </c>
      <c r="N149">
        <v>31</v>
      </c>
      <c r="O149" s="2">
        <v>46254</v>
      </c>
      <c r="P149" s="2">
        <v>46294</v>
      </c>
      <c r="R149" t="s">
        <v>519</v>
      </c>
      <c r="S149" t="str">
        <f>"25666160000051929"</f>
        <v>25666160000051929</v>
      </c>
      <c r="T149" t="s">
        <v>41</v>
      </c>
      <c r="U149">
        <v>3707.32</v>
      </c>
      <c r="V149">
        <v>3557.5</v>
      </c>
      <c r="W149">
        <v>3557.5</v>
      </c>
      <c r="X149">
        <v>0</v>
      </c>
      <c r="Y149">
        <v>0</v>
      </c>
      <c r="Z149">
        <v>-519</v>
      </c>
      <c r="AA149">
        <v>4321</v>
      </c>
      <c r="AD149" t="s">
        <v>520</v>
      </c>
      <c r="AE149" t="s">
        <v>521</v>
      </c>
      <c r="AF149" t="s">
        <v>520</v>
      </c>
      <c r="AG149" s="1" t="s">
        <v>522</v>
      </c>
      <c r="AH149" t="s">
        <v>423</v>
      </c>
    </row>
    <row r="150" spans="1:34" x14ac:dyDescent="0.3">
      <c r="A150">
        <v>101</v>
      </c>
      <c r="B150" t="s">
        <v>34</v>
      </c>
      <c r="C150">
        <v>2</v>
      </c>
      <c r="D150" s="1" t="s">
        <v>517</v>
      </c>
      <c r="E150" s="1" t="s">
        <v>116</v>
      </c>
      <c r="G150">
        <v>453146</v>
      </c>
      <c r="H150" t="s">
        <v>518</v>
      </c>
      <c r="I150" t="s">
        <v>419</v>
      </c>
      <c r="J150">
        <v>12</v>
      </c>
      <c r="K150">
        <v>436521</v>
      </c>
      <c r="L150">
        <v>50001</v>
      </c>
      <c r="M150" t="s">
        <v>39</v>
      </c>
      <c r="N150">
        <v>31</v>
      </c>
      <c r="O150" s="2">
        <v>46254</v>
      </c>
      <c r="P150" s="2">
        <v>46304</v>
      </c>
      <c r="R150" t="s">
        <v>519</v>
      </c>
      <c r="S150" t="str">
        <f>"25666160000051930"</f>
        <v>25666160000051930</v>
      </c>
      <c r="T150" t="s">
        <v>41</v>
      </c>
      <c r="U150">
        <v>3708.42</v>
      </c>
      <c r="V150">
        <v>3558.6</v>
      </c>
      <c r="W150">
        <v>3558.6</v>
      </c>
      <c r="X150">
        <v>0</v>
      </c>
      <c r="Y150">
        <v>0</v>
      </c>
      <c r="Z150">
        <v>-529</v>
      </c>
      <c r="AA150">
        <v>4321</v>
      </c>
      <c r="AD150" t="s">
        <v>520</v>
      </c>
      <c r="AE150" t="s">
        <v>521</v>
      </c>
      <c r="AF150" t="s">
        <v>520</v>
      </c>
      <c r="AG150" s="1" t="s">
        <v>522</v>
      </c>
      <c r="AH150" t="s">
        <v>423</v>
      </c>
    </row>
    <row r="151" spans="1:34" x14ac:dyDescent="0.3">
      <c r="A151">
        <v>101</v>
      </c>
      <c r="B151" t="s">
        <v>34</v>
      </c>
      <c r="C151">
        <v>2</v>
      </c>
      <c r="D151" s="1" t="s">
        <v>523</v>
      </c>
      <c r="E151" s="1" t="s">
        <v>116</v>
      </c>
      <c r="G151">
        <v>453146</v>
      </c>
      <c r="H151" t="s">
        <v>518</v>
      </c>
      <c r="I151" t="s">
        <v>419</v>
      </c>
      <c r="J151">
        <v>12</v>
      </c>
      <c r="K151">
        <v>436521</v>
      </c>
      <c r="L151">
        <v>50001</v>
      </c>
      <c r="M151" t="s">
        <v>39</v>
      </c>
      <c r="N151">
        <v>31</v>
      </c>
      <c r="O151" s="2">
        <v>46217</v>
      </c>
      <c r="P151" s="2">
        <v>46267</v>
      </c>
      <c r="R151" t="s">
        <v>524</v>
      </c>
      <c r="S151" t="str">
        <f>"25666160000051428"</f>
        <v>25666160000051428</v>
      </c>
      <c r="T151" t="s">
        <v>41</v>
      </c>
      <c r="U151">
        <v>1253.04</v>
      </c>
      <c r="V151">
        <v>1202.53</v>
      </c>
      <c r="W151">
        <v>1202.53</v>
      </c>
      <c r="X151">
        <v>0</v>
      </c>
      <c r="Y151">
        <v>0</v>
      </c>
      <c r="Z151">
        <v>-492</v>
      </c>
      <c r="AA151">
        <v>1123</v>
      </c>
      <c r="AD151" t="s">
        <v>520</v>
      </c>
      <c r="AE151" t="s">
        <v>521</v>
      </c>
      <c r="AF151" t="s">
        <v>520</v>
      </c>
      <c r="AG151" s="1" t="s">
        <v>522</v>
      </c>
      <c r="AH151" t="s">
        <v>423</v>
      </c>
    </row>
    <row r="152" spans="1:34" x14ac:dyDescent="0.3">
      <c r="A152">
        <v>101</v>
      </c>
      <c r="B152" t="s">
        <v>34</v>
      </c>
      <c r="C152">
        <v>2</v>
      </c>
      <c r="D152" s="1" t="s">
        <v>523</v>
      </c>
      <c r="E152" s="1" t="s">
        <v>122</v>
      </c>
      <c r="G152">
        <v>453146</v>
      </c>
      <c r="H152" t="s">
        <v>518</v>
      </c>
      <c r="I152" t="s">
        <v>419</v>
      </c>
      <c r="J152">
        <v>12</v>
      </c>
      <c r="K152">
        <v>436521</v>
      </c>
      <c r="L152">
        <v>50001</v>
      </c>
      <c r="M152" t="s">
        <v>39</v>
      </c>
      <c r="N152">
        <v>31</v>
      </c>
      <c r="O152" s="2">
        <v>46217</v>
      </c>
      <c r="P152" s="2">
        <v>46257</v>
      </c>
      <c r="R152" t="s">
        <v>524</v>
      </c>
      <c r="S152" t="str">
        <f>"25666160000051427"</f>
        <v>25666160000051427</v>
      </c>
      <c r="T152" t="s">
        <v>41</v>
      </c>
      <c r="U152">
        <v>1252.6500000000001</v>
      </c>
      <c r="V152">
        <v>1202.1400000000001</v>
      </c>
      <c r="W152">
        <v>1202.1400000000001</v>
      </c>
      <c r="X152">
        <v>0</v>
      </c>
      <c r="Y152">
        <v>0</v>
      </c>
      <c r="Z152">
        <v>-482</v>
      </c>
      <c r="AA152">
        <v>1123</v>
      </c>
      <c r="AD152" t="s">
        <v>520</v>
      </c>
      <c r="AE152" t="s">
        <v>521</v>
      </c>
      <c r="AF152" t="s">
        <v>520</v>
      </c>
      <c r="AG152" s="1" t="s">
        <v>522</v>
      </c>
      <c r="AH152" t="s">
        <v>423</v>
      </c>
    </row>
    <row r="153" spans="1:34" x14ac:dyDescent="0.3">
      <c r="A153">
        <v>101</v>
      </c>
      <c r="B153" t="s">
        <v>34</v>
      </c>
      <c r="C153">
        <v>2</v>
      </c>
      <c r="D153" s="1" t="s">
        <v>525</v>
      </c>
      <c r="E153" s="1" t="s">
        <v>36</v>
      </c>
      <c r="G153">
        <v>453621</v>
      </c>
      <c r="H153" t="s">
        <v>526</v>
      </c>
      <c r="I153" t="s">
        <v>475</v>
      </c>
      <c r="J153">
        <v>12</v>
      </c>
      <c r="K153">
        <v>440710</v>
      </c>
      <c r="L153">
        <v>50341</v>
      </c>
      <c r="M153" t="s">
        <v>146</v>
      </c>
      <c r="N153">
        <v>31</v>
      </c>
      <c r="O153" s="2">
        <v>46254</v>
      </c>
      <c r="P153" s="2">
        <v>46314</v>
      </c>
      <c r="R153" t="s">
        <v>527</v>
      </c>
      <c r="S153" t="str">
        <f>"00013709"</f>
        <v>00013709</v>
      </c>
      <c r="T153" t="s">
        <v>41</v>
      </c>
      <c r="U153">
        <v>493.81</v>
      </c>
      <c r="V153">
        <v>493.81</v>
      </c>
      <c r="W153">
        <v>493.81</v>
      </c>
      <c r="X153">
        <v>0</v>
      </c>
      <c r="Y153">
        <v>0</v>
      </c>
      <c r="Z153">
        <v>-539</v>
      </c>
      <c r="AA153">
        <v>4434</v>
      </c>
      <c r="AD153" t="s">
        <v>437</v>
      </c>
      <c r="AE153" t="s">
        <v>463</v>
      </c>
      <c r="AF153" t="s">
        <v>437</v>
      </c>
      <c r="AG153">
        <v>20500092000348</v>
      </c>
      <c r="AH153" t="s">
        <v>311</v>
      </c>
    </row>
    <row r="154" spans="1:34" x14ac:dyDescent="0.3">
      <c r="A154">
        <v>101</v>
      </c>
      <c r="B154" t="s">
        <v>34</v>
      </c>
      <c r="C154">
        <v>2</v>
      </c>
      <c r="D154" s="1" t="s">
        <v>528</v>
      </c>
      <c r="E154" s="1" t="s">
        <v>36</v>
      </c>
      <c r="G154">
        <v>453621</v>
      </c>
      <c r="H154" t="s">
        <v>526</v>
      </c>
      <c r="I154" t="s">
        <v>475</v>
      </c>
      <c r="J154">
        <v>12</v>
      </c>
      <c r="K154">
        <v>440710</v>
      </c>
      <c r="L154">
        <v>50341</v>
      </c>
      <c r="M154" t="s">
        <v>146</v>
      </c>
      <c r="N154">
        <v>31</v>
      </c>
      <c r="O154" s="2">
        <v>46210</v>
      </c>
      <c r="P154" s="2">
        <v>46270</v>
      </c>
      <c r="R154" t="s">
        <v>529</v>
      </c>
      <c r="S154" t="str">
        <f>"00013143"</f>
        <v>00013143</v>
      </c>
      <c r="T154" t="s">
        <v>41</v>
      </c>
      <c r="U154">
        <v>5687.32</v>
      </c>
      <c r="V154">
        <v>5687.32</v>
      </c>
      <c r="W154">
        <v>5687.32</v>
      </c>
      <c r="X154">
        <v>0</v>
      </c>
      <c r="Y154">
        <v>0</v>
      </c>
      <c r="Z154">
        <v>-495</v>
      </c>
      <c r="AA154">
        <v>693694</v>
      </c>
      <c r="AD154" t="s">
        <v>437</v>
      </c>
      <c r="AE154" t="s">
        <v>463</v>
      </c>
      <c r="AF154" t="s">
        <v>437</v>
      </c>
      <c r="AG154">
        <v>20500092000348</v>
      </c>
      <c r="AH154" t="s">
        <v>311</v>
      </c>
    </row>
    <row r="155" spans="1:34" x14ac:dyDescent="0.3">
      <c r="A155">
        <v>101</v>
      </c>
      <c r="B155" t="s">
        <v>34</v>
      </c>
      <c r="C155">
        <v>2</v>
      </c>
      <c r="D155" s="1" t="s">
        <v>530</v>
      </c>
      <c r="E155" s="1" t="s">
        <v>36</v>
      </c>
      <c r="G155">
        <v>453621</v>
      </c>
      <c r="H155" t="s">
        <v>526</v>
      </c>
      <c r="I155" t="s">
        <v>475</v>
      </c>
      <c r="J155">
        <v>12</v>
      </c>
      <c r="K155">
        <v>440710</v>
      </c>
      <c r="L155">
        <v>50341</v>
      </c>
      <c r="M155" t="s">
        <v>146</v>
      </c>
      <c r="N155">
        <v>31</v>
      </c>
      <c r="O155" s="2">
        <v>46245</v>
      </c>
      <c r="P155" s="2">
        <v>46305</v>
      </c>
      <c r="R155" t="s">
        <v>531</v>
      </c>
      <c r="S155" t="str">
        <f>"00013650"</f>
        <v>00013650</v>
      </c>
      <c r="T155" t="s">
        <v>41</v>
      </c>
      <c r="U155">
        <v>1805.43</v>
      </c>
      <c r="V155">
        <v>1805.43</v>
      </c>
      <c r="W155">
        <v>1805.43</v>
      </c>
      <c r="X155">
        <v>0</v>
      </c>
      <c r="Y155">
        <v>0</v>
      </c>
      <c r="Z155">
        <v>-530</v>
      </c>
      <c r="AA155">
        <v>4434</v>
      </c>
      <c r="AD155" t="s">
        <v>437</v>
      </c>
      <c r="AE155" t="s">
        <v>463</v>
      </c>
      <c r="AF155" t="s">
        <v>437</v>
      </c>
      <c r="AG155">
        <v>20500092000348</v>
      </c>
      <c r="AH155" t="s">
        <v>311</v>
      </c>
    </row>
    <row r="156" spans="1:34" x14ac:dyDescent="0.3">
      <c r="A156">
        <v>101</v>
      </c>
      <c r="B156" t="s">
        <v>34</v>
      </c>
      <c r="C156">
        <v>2</v>
      </c>
      <c r="D156" s="1" t="s">
        <v>532</v>
      </c>
      <c r="E156" s="1" t="s">
        <v>36</v>
      </c>
      <c r="G156">
        <v>453749</v>
      </c>
      <c r="H156" t="s">
        <v>533</v>
      </c>
      <c r="I156" t="s">
        <v>396</v>
      </c>
      <c r="J156">
        <v>12</v>
      </c>
      <c r="K156">
        <v>1451</v>
      </c>
      <c r="L156">
        <v>50341</v>
      </c>
      <c r="M156" t="s">
        <v>146</v>
      </c>
      <c r="N156">
        <v>31</v>
      </c>
      <c r="O156" s="2">
        <v>46234</v>
      </c>
      <c r="P156" s="2">
        <v>46264</v>
      </c>
      <c r="R156" t="s">
        <v>534</v>
      </c>
      <c r="S156" t="str">
        <f>"00013405"</f>
        <v>00013405</v>
      </c>
      <c r="T156" t="s">
        <v>41</v>
      </c>
      <c r="U156">
        <v>5103.67</v>
      </c>
      <c r="V156">
        <v>5001.6000000000004</v>
      </c>
      <c r="W156">
        <v>5001.6000000000004</v>
      </c>
      <c r="X156">
        <v>0</v>
      </c>
      <c r="Y156">
        <v>0</v>
      </c>
      <c r="Z156">
        <v>-489</v>
      </c>
      <c r="AA156">
        <v>4082</v>
      </c>
      <c r="AD156" t="s">
        <v>338</v>
      </c>
      <c r="AE156" t="s">
        <v>331</v>
      </c>
      <c r="AF156" t="s">
        <v>338</v>
      </c>
      <c r="AG156">
        <v>37630118000880</v>
      </c>
      <c r="AH156" t="s">
        <v>311</v>
      </c>
    </row>
    <row r="157" spans="1:34" x14ac:dyDescent="0.3">
      <c r="A157">
        <v>101</v>
      </c>
      <c r="B157" t="s">
        <v>34</v>
      </c>
      <c r="C157">
        <v>2</v>
      </c>
      <c r="D157" s="1" t="s">
        <v>535</v>
      </c>
      <c r="E157" s="1" t="s">
        <v>36</v>
      </c>
      <c r="G157">
        <v>454094</v>
      </c>
      <c r="H157" t="s">
        <v>536</v>
      </c>
      <c r="I157" t="s">
        <v>475</v>
      </c>
      <c r="J157">
        <v>12</v>
      </c>
      <c r="K157">
        <v>440710</v>
      </c>
      <c r="L157">
        <v>50341</v>
      </c>
      <c r="M157" t="s">
        <v>146</v>
      </c>
      <c r="N157">
        <v>31</v>
      </c>
      <c r="O157" s="2">
        <v>46245</v>
      </c>
      <c r="P157" s="2">
        <v>46305</v>
      </c>
      <c r="R157" t="s">
        <v>537</v>
      </c>
      <c r="S157" t="str">
        <f>"00013651"</f>
        <v>00013651</v>
      </c>
      <c r="T157" t="s">
        <v>41</v>
      </c>
      <c r="U157">
        <v>1633.24</v>
      </c>
      <c r="V157">
        <v>1633.24</v>
      </c>
      <c r="W157">
        <v>1633.24</v>
      </c>
      <c r="X157">
        <v>0</v>
      </c>
      <c r="Y157">
        <v>0</v>
      </c>
      <c r="Z157">
        <v>-530</v>
      </c>
      <c r="AA157">
        <v>4435</v>
      </c>
      <c r="AD157" t="s">
        <v>437</v>
      </c>
      <c r="AE157">
        <v>6439424472</v>
      </c>
      <c r="AF157" t="s">
        <v>437</v>
      </c>
      <c r="AG157">
        <v>20500092000500</v>
      </c>
      <c r="AH157" t="s">
        <v>311</v>
      </c>
    </row>
    <row r="158" spans="1:34" x14ac:dyDescent="0.3">
      <c r="A158">
        <v>101</v>
      </c>
      <c r="B158" t="s">
        <v>34</v>
      </c>
      <c r="C158">
        <v>2</v>
      </c>
      <c r="D158" s="1" t="s">
        <v>538</v>
      </c>
      <c r="E158" s="1" t="s">
        <v>36</v>
      </c>
      <c r="G158">
        <v>454094</v>
      </c>
      <c r="H158" t="s">
        <v>536</v>
      </c>
      <c r="I158" t="s">
        <v>475</v>
      </c>
      <c r="J158">
        <v>12</v>
      </c>
      <c r="K158">
        <v>440710</v>
      </c>
      <c r="L158">
        <v>50341</v>
      </c>
      <c r="M158" t="s">
        <v>146</v>
      </c>
      <c r="N158">
        <v>31</v>
      </c>
      <c r="O158" s="2">
        <v>46209</v>
      </c>
      <c r="P158" s="2">
        <v>46277</v>
      </c>
      <c r="R158" t="s">
        <v>539</v>
      </c>
      <c r="S158" t="str">
        <f>"00013086"</f>
        <v>00013086</v>
      </c>
      <c r="T158" t="s">
        <v>41</v>
      </c>
      <c r="U158">
        <v>3538.98</v>
      </c>
      <c r="V158">
        <v>3538.98</v>
      </c>
      <c r="W158">
        <v>3538.98</v>
      </c>
      <c r="X158">
        <v>0</v>
      </c>
      <c r="Y158">
        <v>0</v>
      </c>
      <c r="Z158">
        <v>-502</v>
      </c>
      <c r="AA158">
        <v>693693</v>
      </c>
      <c r="AD158" t="s">
        <v>437</v>
      </c>
      <c r="AE158">
        <v>6439424472</v>
      </c>
      <c r="AF158" t="s">
        <v>437</v>
      </c>
      <c r="AG158">
        <v>20500092000500</v>
      </c>
      <c r="AH158" t="s">
        <v>311</v>
      </c>
    </row>
    <row r="159" spans="1:34" x14ac:dyDescent="0.3">
      <c r="A159">
        <v>101</v>
      </c>
      <c r="B159" t="s">
        <v>34</v>
      </c>
      <c r="C159">
        <v>2</v>
      </c>
      <c r="D159" s="1" t="s">
        <v>540</v>
      </c>
      <c r="E159" s="1" t="s">
        <v>36</v>
      </c>
      <c r="G159">
        <v>454094</v>
      </c>
      <c r="H159" t="s">
        <v>536</v>
      </c>
      <c r="I159" t="s">
        <v>475</v>
      </c>
      <c r="J159">
        <v>12</v>
      </c>
      <c r="K159">
        <v>440710</v>
      </c>
      <c r="L159">
        <v>50341</v>
      </c>
      <c r="M159" t="s">
        <v>146</v>
      </c>
      <c r="N159">
        <v>31</v>
      </c>
      <c r="O159" s="2">
        <v>46254</v>
      </c>
      <c r="P159" s="2">
        <v>46314</v>
      </c>
      <c r="R159" t="s">
        <v>541</v>
      </c>
      <c r="S159" t="str">
        <f>"00013710"</f>
        <v>00013710</v>
      </c>
      <c r="T159" t="s">
        <v>41</v>
      </c>
      <c r="U159">
        <v>164.6</v>
      </c>
      <c r="V159">
        <v>164.6</v>
      </c>
      <c r="W159">
        <v>164.6</v>
      </c>
      <c r="X159">
        <v>0</v>
      </c>
      <c r="Y159">
        <v>0</v>
      </c>
      <c r="Z159">
        <v>-539</v>
      </c>
      <c r="AA159">
        <v>4435</v>
      </c>
      <c r="AD159" t="s">
        <v>437</v>
      </c>
      <c r="AE159">
        <v>6439424472</v>
      </c>
      <c r="AF159" t="s">
        <v>437</v>
      </c>
      <c r="AG159">
        <v>20500092000500</v>
      </c>
      <c r="AH159" t="s">
        <v>311</v>
      </c>
    </row>
    <row r="160" spans="1:34" x14ac:dyDescent="0.3">
      <c r="A160">
        <v>101</v>
      </c>
      <c r="B160" t="s">
        <v>34</v>
      </c>
      <c r="C160">
        <v>2</v>
      </c>
      <c r="D160" s="1" t="s">
        <v>542</v>
      </c>
      <c r="E160" s="1" t="s">
        <v>36</v>
      </c>
      <c r="G160">
        <v>454341</v>
      </c>
      <c r="H160" t="s">
        <v>543</v>
      </c>
      <c r="I160" t="s">
        <v>544</v>
      </c>
      <c r="J160">
        <v>12</v>
      </c>
      <c r="K160">
        <v>451509</v>
      </c>
      <c r="L160">
        <v>50001</v>
      </c>
      <c r="M160" t="s">
        <v>39</v>
      </c>
      <c r="N160">
        <v>31</v>
      </c>
      <c r="O160" s="2">
        <v>46254</v>
      </c>
      <c r="P160" s="2">
        <v>46284</v>
      </c>
      <c r="R160" t="s">
        <v>545</v>
      </c>
      <c r="S160" t="str">
        <f>"25666160000051975"</f>
        <v>25666160000051975</v>
      </c>
      <c r="T160" t="s">
        <v>41</v>
      </c>
      <c r="U160">
        <v>2570.33</v>
      </c>
      <c r="V160">
        <v>2493.2199999999998</v>
      </c>
      <c r="W160">
        <v>2493.2199999999998</v>
      </c>
      <c r="X160">
        <v>0</v>
      </c>
      <c r="Y160">
        <v>0</v>
      </c>
      <c r="Z160">
        <v>-509</v>
      </c>
      <c r="AA160">
        <v>4853</v>
      </c>
      <c r="AD160" t="s">
        <v>546</v>
      </c>
      <c r="AE160">
        <v>6436591172</v>
      </c>
      <c r="AF160" t="s">
        <v>546</v>
      </c>
      <c r="AG160">
        <v>32011202000125</v>
      </c>
      <c r="AH160" t="s">
        <v>311</v>
      </c>
    </row>
    <row r="161" spans="1:34" x14ac:dyDescent="0.3">
      <c r="A161">
        <v>101</v>
      </c>
      <c r="B161" t="s">
        <v>34</v>
      </c>
      <c r="C161">
        <v>2</v>
      </c>
      <c r="D161" s="1" t="s">
        <v>547</v>
      </c>
      <c r="E161" s="1" t="s">
        <v>36</v>
      </c>
      <c r="G161">
        <v>454341</v>
      </c>
      <c r="H161" t="s">
        <v>543</v>
      </c>
      <c r="I161" t="s">
        <v>544</v>
      </c>
      <c r="J161">
        <v>12</v>
      </c>
      <c r="K161">
        <v>451509</v>
      </c>
      <c r="L161">
        <v>50001</v>
      </c>
      <c r="M161" t="s">
        <v>39</v>
      </c>
      <c r="N161">
        <v>31</v>
      </c>
      <c r="O161" s="2">
        <v>46230</v>
      </c>
      <c r="P161" s="2">
        <v>46260</v>
      </c>
      <c r="R161" t="s">
        <v>548</v>
      </c>
      <c r="S161" t="str">
        <f>"25666160000051646"</f>
        <v>25666160000051646</v>
      </c>
      <c r="T161" t="s">
        <v>41</v>
      </c>
      <c r="U161">
        <v>2479.19</v>
      </c>
      <c r="V161">
        <v>2327.02</v>
      </c>
      <c r="W161">
        <v>2327.02</v>
      </c>
      <c r="X161">
        <v>0</v>
      </c>
      <c r="Y161">
        <v>0</v>
      </c>
      <c r="Z161">
        <v>-485</v>
      </c>
      <c r="AA161">
        <v>1698</v>
      </c>
      <c r="AD161" t="s">
        <v>546</v>
      </c>
      <c r="AE161">
        <v>6436591172</v>
      </c>
      <c r="AF161" t="s">
        <v>546</v>
      </c>
      <c r="AG161">
        <v>32011202000125</v>
      </c>
      <c r="AH161" t="s">
        <v>311</v>
      </c>
    </row>
    <row r="162" spans="1:34" x14ac:dyDescent="0.3">
      <c r="A162">
        <v>101</v>
      </c>
      <c r="B162" t="s">
        <v>34</v>
      </c>
      <c r="C162">
        <v>2</v>
      </c>
      <c r="D162" s="1" t="s">
        <v>549</v>
      </c>
      <c r="E162" s="1" t="s">
        <v>36</v>
      </c>
      <c r="G162">
        <v>455011</v>
      </c>
      <c r="H162" t="s">
        <v>550</v>
      </c>
      <c r="I162" t="s">
        <v>551</v>
      </c>
      <c r="J162">
        <v>12</v>
      </c>
      <c r="K162">
        <v>447288</v>
      </c>
      <c r="L162">
        <v>50001</v>
      </c>
      <c r="M162" t="s">
        <v>39</v>
      </c>
      <c r="N162">
        <v>31</v>
      </c>
      <c r="O162" s="2">
        <v>46254</v>
      </c>
      <c r="P162" s="2">
        <v>46282</v>
      </c>
      <c r="R162" t="s">
        <v>552</v>
      </c>
      <c r="S162" t="str">
        <f>"25666160000051931"</f>
        <v>25666160000051931</v>
      </c>
      <c r="T162" t="s">
        <v>41</v>
      </c>
      <c r="U162">
        <v>1058.29</v>
      </c>
      <c r="V162">
        <v>1058.29</v>
      </c>
      <c r="W162">
        <v>1058.29</v>
      </c>
      <c r="X162">
        <v>0</v>
      </c>
      <c r="Y162">
        <v>0</v>
      </c>
      <c r="Z162">
        <v>-507</v>
      </c>
      <c r="AA162">
        <v>4768</v>
      </c>
      <c r="AD162" t="s">
        <v>330</v>
      </c>
      <c r="AE162">
        <v>6430504699</v>
      </c>
      <c r="AF162" t="s">
        <v>330</v>
      </c>
      <c r="AG162">
        <v>35152756000130</v>
      </c>
      <c r="AH162" t="s">
        <v>311</v>
      </c>
    </row>
    <row r="163" spans="1:34" x14ac:dyDescent="0.3">
      <c r="A163">
        <v>101</v>
      </c>
      <c r="B163" t="s">
        <v>34</v>
      </c>
      <c r="C163">
        <v>2</v>
      </c>
      <c r="D163" s="1" t="s">
        <v>549</v>
      </c>
      <c r="E163" s="1" t="s">
        <v>122</v>
      </c>
      <c r="G163">
        <v>455011</v>
      </c>
      <c r="H163" t="s">
        <v>550</v>
      </c>
      <c r="I163" t="s">
        <v>551</v>
      </c>
      <c r="J163">
        <v>12</v>
      </c>
      <c r="K163">
        <v>447288</v>
      </c>
      <c r="L163">
        <v>50001</v>
      </c>
      <c r="M163" t="s">
        <v>39</v>
      </c>
      <c r="N163">
        <v>31</v>
      </c>
      <c r="O163" s="2">
        <v>46254</v>
      </c>
      <c r="P163" s="2">
        <v>46289</v>
      </c>
      <c r="R163" t="s">
        <v>552</v>
      </c>
      <c r="S163" t="str">
        <f>"25666160000051932"</f>
        <v>25666160000051932</v>
      </c>
      <c r="T163" t="s">
        <v>41</v>
      </c>
      <c r="U163">
        <v>1058.29</v>
      </c>
      <c r="V163">
        <v>1058.29</v>
      </c>
      <c r="W163">
        <v>1058.29</v>
      </c>
      <c r="X163">
        <v>0</v>
      </c>
      <c r="Y163">
        <v>0</v>
      </c>
      <c r="Z163">
        <v>-514</v>
      </c>
      <c r="AA163">
        <v>4768</v>
      </c>
      <c r="AD163" t="s">
        <v>330</v>
      </c>
      <c r="AE163">
        <v>6430504699</v>
      </c>
      <c r="AF163" t="s">
        <v>330</v>
      </c>
      <c r="AG163">
        <v>35152756000130</v>
      </c>
      <c r="AH163" t="s">
        <v>311</v>
      </c>
    </row>
    <row r="164" spans="1:34" x14ac:dyDescent="0.3">
      <c r="A164">
        <v>101</v>
      </c>
      <c r="B164" t="s">
        <v>34</v>
      </c>
      <c r="C164">
        <v>2</v>
      </c>
      <c r="D164" s="1" t="s">
        <v>549</v>
      </c>
      <c r="E164" s="1" t="s">
        <v>116</v>
      </c>
      <c r="G164">
        <v>455011</v>
      </c>
      <c r="H164" t="s">
        <v>550</v>
      </c>
      <c r="I164" t="s">
        <v>551</v>
      </c>
      <c r="J164">
        <v>12</v>
      </c>
      <c r="K164">
        <v>447288</v>
      </c>
      <c r="L164">
        <v>50001</v>
      </c>
      <c r="M164" t="s">
        <v>39</v>
      </c>
      <c r="N164">
        <v>31</v>
      </c>
      <c r="O164" s="2">
        <v>46254</v>
      </c>
      <c r="P164" s="2">
        <v>46296</v>
      </c>
      <c r="R164" t="s">
        <v>552</v>
      </c>
      <c r="S164" t="str">
        <f>"25666160000051933"</f>
        <v>25666160000051933</v>
      </c>
      <c r="T164" t="s">
        <v>41</v>
      </c>
      <c r="U164">
        <v>1058.5999999999999</v>
      </c>
      <c r="V164">
        <v>1058.5999999999999</v>
      </c>
      <c r="W164">
        <v>1058.5999999999999</v>
      </c>
      <c r="X164">
        <v>0</v>
      </c>
      <c r="Y164">
        <v>0</v>
      </c>
      <c r="Z164">
        <v>-521</v>
      </c>
      <c r="AA164">
        <v>4768</v>
      </c>
      <c r="AD164" t="s">
        <v>330</v>
      </c>
      <c r="AE164">
        <v>6430504699</v>
      </c>
      <c r="AF164" t="s">
        <v>330</v>
      </c>
      <c r="AG164">
        <v>35152756000130</v>
      </c>
      <c r="AH164" t="s">
        <v>311</v>
      </c>
    </row>
    <row r="165" spans="1:34" x14ac:dyDescent="0.3">
      <c r="A165">
        <v>101</v>
      </c>
      <c r="B165" t="s">
        <v>34</v>
      </c>
      <c r="C165">
        <v>2</v>
      </c>
      <c r="D165" s="1" t="s">
        <v>553</v>
      </c>
      <c r="E165" s="1" t="s">
        <v>122</v>
      </c>
      <c r="G165">
        <v>455350</v>
      </c>
      <c r="H165" t="s">
        <v>554</v>
      </c>
      <c r="I165" t="s">
        <v>419</v>
      </c>
      <c r="J165">
        <v>12</v>
      </c>
      <c r="K165">
        <v>436521</v>
      </c>
      <c r="L165">
        <v>50001</v>
      </c>
      <c r="M165" t="s">
        <v>39</v>
      </c>
      <c r="N165">
        <v>31</v>
      </c>
      <c r="O165" s="2">
        <v>46254</v>
      </c>
      <c r="P165" s="2">
        <v>46294</v>
      </c>
      <c r="R165" t="s">
        <v>555</v>
      </c>
      <c r="S165" t="str">
        <f>"25666160000051935"</f>
        <v>25666160000051935</v>
      </c>
      <c r="T165" t="s">
        <v>41</v>
      </c>
      <c r="U165">
        <v>4720.1499999999996</v>
      </c>
      <c r="V165">
        <v>4518.3500000000004</v>
      </c>
      <c r="W165">
        <v>4518.3500000000004</v>
      </c>
      <c r="X165">
        <v>0</v>
      </c>
      <c r="Y165">
        <v>0</v>
      </c>
      <c r="Z165">
        <v>-519</v>
      </c>
      <c r="AA165">
        <v>4315</v>
      </c>
      <c r="AD165" t="s">
        <v>556</v>
      </c>
      <c r="AE165">
        <v>6634015516</v>
      </c>
      <c r="AF165" t="s">
        <v>556</v>
      </c>
      <c r="AG165" s="1" t="s">
        <v>557</v>
      </c>
      <c r="AH165" t="s">
        <v>423</v>
      </c>
    </row>
    <row r="166" spans="1:34" x14ac:dyDescent="0.3">
      <c r="A166">
        <v>101</v>
      </c>
      <c r="B166" t="s">
        <v>34</v>
      </c>
      <c r="C166">
        <v>2</v>
      </c>
      <c r="D166" s="1" t="s">
        <v>553</v>
      </c>
      <c r="E166" s="1" t="s">
        <v>36</v>
      </c>
      <c r="G166">
        <v>455350</v>
      </c>
      <c r="H166" t="s">
        <v>554</v>
      </c>
      <c r="I166" t="s">
        <v>419</v>
      </c>
      <c r="J166">
        <v>12</v>
      </c>
      <c r="K166">
        <v>436521</v>
      </c>
      <c r="L166">
        <v>50001</v>
      </c>
      <c r="M166" t="s">
        <v>39</v>
      </c>
      <c r="N166">
        <v>31</v>
      </c>
      <c r="O166" s="2">
        <v>46254</v>
      </c>
      <c r="P166" s="2">
        <v>46284</v>
      </c>
      <c r="R166" t="s">
        <v>555</v>
      </c>
      <c r="S166" t="str">
        <f>"25666160000051934"</f>
        <v>25666160000051934</v>
      </c>
      <c r="T166" t="s">
        <v>41</v>
      </c>
      <c r="U166">
        <v>4842.0200000000004</v>
      </c>
      <c r="V166">
        <v>4640.22</v>
      </c>
      <c r="W166">
        <v>4640.22</v>
      </c>
      <c r="X166">
        <v>0</v>
      </c>
      <c r="Y166">
        <v>0</v>
      </c>
      <c r="Z166">
        <v>-509</v>
      </c>
      <c r="AA166">
        <v>4315</v>
      </c>
      <c r="AD166" t="s">
        <v>556</v>
      </c>
      <c r="AE166">
        <v>6634015516</v>
      </c>
      <c r="AF166" t="s">
        <v>556</v>
      </c>
      <c r="AG166" s="1" t="s">
        <v>557</v>
      </c>
      <c r="AH166" t="s">
        <v>423</v>
      </c>
    </row>
    <row r="167" spans="1:34" x14ac:dyDescent="0.3">
      <c r="A167">
        <v>101</v>
      </c>
      <c r="B167" t="s">
        <v>34</v>
      </c>
      <c r="C167">
        <v>2</v>
      </c>
      <c r="D167" s="1" t="s">
        <v>553</v>
      </c>
      <c r="E167" s="1" t="s">
        <v>116</v>
      </c>
      <c r="G167">
        <v>455350</v>
      </c>
      <c r="H167" t="s">
        <v>554</v>
      </c>
      <c r="I167" t="s">
        <v>419</v>
      </c>
      <c r="J167">
        <v>12</v>
      </c>
      <c r="K167">
        <v>436521</v>
      </c>
      <c r="L167">
        <v>50001</v>
      </c>
      <c r="M167" t="s">
        <v>39</v>
      </c>
      <c r="N167">
        <v>31</v>
      </c>
      <c r="O167" s="2">
        <v>46254</v>
      </c>
      <c r="P167" s="2">
        <v>46304</v>
      </c>
      <c r="R167" t="s">
        <v>555</v>
      </c>
      <c r="S167" t="str">
        <f>"25666160000051936"</f>
        <v>25666160000051936</v>
      </c>
      <c r="T167" t="s">
        <v>41</v>
      </c>
      <c r="U167">
        <v>4721.5600000000004</v>
      </c>
      <c r="V167">
        <v>4519.76</v>
      </c>
      <c r="W167">
        <v>4519.76</v>
      </c>
      <c r="X167">
        <v>0</v>
      </c>
      <c r="Y167">
        <v>0</v>
      </c>
      <c r="Z167">
        <v>-529</v>
      </c>
      <c r="AA167">
        <v>4315</v>
      </c>
      <c r="AD167" t="s">
        <v>556</v>
      </c>
      <c r="AE167">
        <v>6634015516</v>
      </c>
      <c r="AF167" t="s">
        <v>556</v>
      </c>
      <c r="AG167" s="1" t="s">
        <v>557</v>
      </c>
      <c r="AH167" t="s">
        <v>423</v>
      </c>
    </row>
    <row r="168" spans="1:34" x14ac:dyDescent="0.3">
      <c r="A168">
        <v>101</v>
      </c>
      <c r="B168" t="s">
        <v>34</v>
      </c>
      <c r="C168">
        <v>2</v>
      </c>
      <c r="D168" s="1" t="s">
        <v>558</v>
      </c>
      <c r="E168" s="1" t="s">
        <v>116</v>
      </c>
      <c r="G168">
        <v>455350</v>
      </c>
      <c r="H168" t="s">
        <v>554</v>
      </c>
      <c r="I168" t="s">
        <v>419</v>
      </c>
      <c r="J168">
        <v>12</v>
      </c>
      <c r="K168">
        <v>436521</v>
      </c>
      <c r="L168">
        <v>50001</v>
      </c>
      <c r="M168" t="s">
        <v>39</v>
      </c>
      <c r="N168">
        <v>31</v>
      </c>
      <c r="O168" s="2">
        <v>46217</v>
      </c>
      <c r="P168" s="2">
        <v>46267</v>
      </c>
      <c r="R168" t="s">
        <v>559</v>
      </c>
      <c r="S168" t="str">
        <f>"25666160000051435"</f>
        <v>25666160000051435</v>
      </c>
      <c r="T168" t="s">
        <v>41</v>
      </c>
      <c r="U168">
        <v>1687.4</v>
      </c>
      <c r="V168">
        <v>1619.54</v>
      </c>
      <c r="W168">
        <v>1619.54</v>
      </c>
      <c r="X168">
        <v>0</v>
      </c>
      <c r="Y168">
        <v>0</v>
      </c>
      <c r="Z168">
        <v>-492</v>
      </c>
      <c r="AA168">
        <v>1124</v>
      </c>
      <c r="AD168" t="s">
        <v>556</v>
      </c>
      <c r="AE168">
        <v>6634015516</v>
      </c>
      <c r="AF168" t="s">
        <v>556</v>
      </c>
      <c r="AG168" s="1" t="s">
        <v>557</v>
      </c>
      <c r="AH168" t="s">
        <v>423</v>
      </c>
    </row>
    <row r="169" spans="1:34" x14ac:dyDescent="0.3">
      <c r="A169">
        <v>101</v>
      </c>
      <c r="B169" t="s">
        <v>34</v>
      </c>
      <c r="C169">
        <v>2</v>
      </c>
      <c r="D169" s="1" t="s">
        <v>558</v>
      </c>
      <c r="E169" s="1" t="s">
        <v>122</v>
      </c>
      <c r="G169">
        <v>455350</v>
      </c>
      <c r="H169" t="s">
        <v>554</v>
      </c>
      <c r="I169" t="s">
        <v>419</v>
      </c>
      <c r="J169">
        <v>12</v>
      </c>
      <c r="K169">
        <v>436521</v>
      </c>
      <c r="L169">
        <v>50001</v>
      </c>
      <c r="M169" t="s">
        <v>39</v>
      </c>
      <c r="N169">
        <v>31</v>
      </c>
      <c r="O169" s="2">
        <v>46217</v>
      </c>
      <c r="P169" s="2">
        <v>46257</v>
      </c>
      <c r="R169" t="s">
        <v>559</v>
      </c>
      <c r="S169" t="str">
        <f>"25666160000051434"</f>
        <v>25666160000051434</v>
      </c>
      <c r="T169" t="s">
        <v>41</v>
      </c>
      <c r="U169">
        <v>1686.88</v>
      </c>
      <c r="V169">
        <v>1619.02</v>
      </c>
      <c r="W169">
        <v>1619.02</v>
      </c>
      <c r="X169">
        <v>0</v>
      </c>
      <c r="Y169">
        <v>0</v>
      </c>
      <c r="Z169">
        <v>-482</v>
      </c>
      <c r="AA169">
        <v>1124</v>
      </c>
      <c r="AD169" t="s">
        <v>556</v>
      </c>
      <c r="AE169">
        <v>6634015516</v>
      </c>
      <c r="AF169" t="s">
        <v>556</v>
      </c>
      <c r="AG169" s="1" t="s">
        <v>557</v>
      </c>
      <c r="AH169" t="s">
        <v>423</v>
      </c>
    </row>
    <row r="170" spans="1:34" x14ac:dyDescent="0.3">
      <c r="A170">
        <v>101</v>
      </c>
      <c r="B170" t="s">
        <v>34</v>
      </c>
      <c r="C170">
        <v>2</v>
      </c>
      <c r="D170" s="1" t="s">
        <v>560</v>
      </c>
      <c r="E170" s="1" t="s">
        <v>36</v>
      </c>
      <c r="G170">
        <v>456362</v>
      </c>
      <c r="H170" t="s">
        <v>561</v>
      </c>
      <c r="I170" t="s">
        <v>396</v>
      </c>
      <c r="J170">
        <v>12</v>
      </c>
      <c r="K170">
        <v>1451</v>
      </c>
      <c r="L170">
        <v>50341</v>
      </c>
      <c r="M170" t="s">
        <v>146</v>
      </c>
      <c r="N170">
        <v>31</v>
      </c>
      <c r="O170" s="2">
        <v>46234</v>
      </c>
      <c r="P170" s="2">
        <v>46264</v>
      </c>
      <c r="R170" t="s">
        <v>562</v>
      </c>
      <c r="S170" t="str">
        <f>"00013406"</f>
        <v>00013406</v>
      </c>
      <c r="T170" t="s">
        <v>41</v>
      </c>
      <c r="U170">
        <v>5722.75</v>
      </c>
      <c r="V170">
        <v>5608.3</v>
      </c>
      <c r="W170">
        <v>5608.3</v>
      </c>
      <c r="X170">
        <v>0</v>
      </c>
      <c r="Y170">
        <v>0</v>
      </c>
      <c r="Z170">
        <v>-489</v>
      </c>
      <c r="AA170">
        <v>4083</v>
      </c>
      <c r="AD170" t="s">
        <v>330</v>
      </c>
      <c r="AE170" t="s">
        <v>563</v>
      </c>
      <c r="AF170" t="s">
        <v>330</v>
      </c>
      <c r="AG170">
        <v>37630118000960</v>
      </c>
      <c r="AH170" t="s">
        <v>311</v>
      </c>
    </row>
    <row r="171" spans="1:34" x14ac:dyDescent="0.3">
      <c r="A171">
        <v>101</v>
      </c>
      <c r="B171" t="s">
        <v>34</v>
      </c>
      <c r="C171">
        <v>2</v>
      </c>
      <c r="D171" s="1" t="s">
        <v>564</v>
      </c>
      <c r="E171" s="1" t="s">
        <v>36</v>
      </c>
      <c r="G171">
        <v>456362</v>
      </c>
      <c r="H171" t="s">
        <v>561</v>
      </c>
      <c r="I171" t="s">
        <v>396</v>
      </c>
      <c r="J171">
        <v>12</v>
      </c>
      <c r="K171">
        <v>1451</v>
      </c>
      <c r="L171">
        <v>50341</v>
      </c>
      <c r="M171" t="s">
        <v>146</v>
      </c>
      <c r="N171">
        <v>31</v>
      </c>
      <c r="O171" s="2">
        <v>46234</v>
      </c>
      <c r="P171" s="2">
        <v>46264</v>
      </c>
      <c r="R171" t="s">
        <v>565</v>
      </c>
      <c r="S171" t="str">
        <f>"00013407"</f>
        <v>00013407</v>
      </c>
      <c r="T171" t="s">
        <v>41</v>
      </c>
      <c r="U171">
        <v>417.86</v>
      </c>
      <c r="V171">
        <v>409.5</v>
      </c>
      <c r="W171">
        <v>409.5</v>
      </c>
      <c r="X171">
        <v>0</v>
      </c>
      <c r="Y171">
        <v>0</v>
      </c>
      <c r="Z171">
        <v>-489</v>
      </c>
      <c r="AA171">
        <v>4139</v>
      </c>
      <c r="AD171" t="s">
        <v>330</v>
      </c>
      <c r="AE171" t="s">
        <v>563</v>
      </c>
      <c r="AF171" t="s">
        <v>330</v>
      </c>
      <c r="AG171">
        <v>37630118000960</v>
      </c>
      <c r="AH171" t="s">
        <v>311</v>
      </c>
    </row>
    <row r="172" spans="1:34" x14ac:dyDescent="0.3">
      <c r="A172">
        <v>101</v>
      </c>
      <c r="B172" t="s">
        <v>34</v>
      </c>
      <c r="C172">
        <v>2</v>
      </c>
      <c r="D172" s="1" t="s">
        <v>566</v>
      </c>
      <c r="E172" s="1" t="s">
        <v>36</v>
      </c>
      <c r="G172">
        <v>460614</v>
      </c>
      <c r="H172" t="s">
        <v>567</v>
      </c>
      <c r="I172" t="s">
        <v>568</v>
      </c>
      <c r="J172">
        <v>12</v>
      </c>
      <c r="K172">
        <v>451509</v>
      </c>
      <c r="L172">
        <v>50341</v>
      </c>
      <c r="M172" t="s">
        <v>146</v>
      </c>
      <c r="N172">
        <v>31</v>
      </c>
      <c r="O172" s="2">
        <v>46230</v>
      </c>
      <c r="P172" s="2">
        <v>46260</v>
      </c>
      <c r="R172" t="s">
        <v>569</v>
      </c>
      <c r="S172" t="str">
        <f>"00013343"</f>
        <v>00013343</v>
      </c>
      <c r="T172" t="s">
        <v>41</v>
      </c>
      <c r="U172">
        <v>3674.14</v>
      </c>
      <c r="V172">
        <v>3563.92</v>
      </c>
      <c r="W172">
        <v>3563.92</v>
      </c>
      <c r="X172">
        <v>0</v>
      </c>
      <c r="Y172">
        <v>0</v>
      </c>
      <c r="Z172">
        <v>-485</v>
      </c>
      <c r="AA172">
        <v>1699</v>
      </c>
      <c r="AD172" t="s">
        <v>345</v>
      </c>
      <c r="AE172">
        <v>64999263058</v>
      </c>
      <c r="AF172" t="s">
        <v>345</v>
      </c>
      <c r="AG172">
        <v>43624407000100</v>
      </c>
      <c r="AH172" t="s">
        <v>311</v>
      </c>
    </row>
    <row r="173" spans="1:34" x14ac:dyDescent="0.3">
      <c r="A173">
        <v>101</v>
      </c>
      <c r="B173" t="s">
        <v>34</v>
      </c>
      <c r="C173">
        <v>2</v>
      </c>
      <c r="D173" s="1" t="s">
        <v>570</v>
      </c>
      <c r="E173" s="1" t="s">
        <v>36</v>
      </c>
      <c r="G173">
        <v>460614</v>
      </c>
      <c r="H173" t="s">
        <v>567</v>
      </c>
      <c r="I173" t="s">
        <v>568</v>
      </c>
      <c r="J173">
        <v>12</v>
      </c>
      <c r="K173">
        <v>451509</v>
      </c>
      <c r="L173">
        <v>50341</v>
      </c>
      <c r="M173" t="s">
        <v>146</v>
      </c>
      <c r="N173">
        <v>31</v>
      </c>
      <c r="O173" s="2">
        <v>46254</v>
      </c>
      <c r="P173" s="2">
        <v>46284</v>
      </c>
      <c r="R173" t="s">
        <v>571</v>
      </c>
      <c r="S173" t="str">
        <f>"00013712"</f>
        <v>00013712</v>
      </c>
      <c r="T173" t="s">
        <v>41</v>
      </c>
      <c r="U173">
        <v>3019.06</v>
      </c>
      <c r="V173">
        <v>2928.49</v>
      </c>
      <c r="W173">
        <v>2928.49</v>
      </c>
      <c r="X173">
        <v>0</v>
      </c>
      <c r="Y173">
        <v>0</v>
      </c>
      <c r="Z173">
        <v>-509</v>
      </c>
      <c r="AA173">
        <v>4852</v>
      </c>
      <c r="AD173" t="s">
        <v>345</v>
      </c>
      <c r="AE173">
        <v>64999263058</v>
      </c>
      <c r="AF173" t="s">
        <v>345</v>
      </c>
      <c r="AG173">
        <v>43624407000100</v>
      </c>
      <c r="AH173" t="s">
        <v>311</v>
      </c>
    </row>
    <row r="174" spans="1:34" x14ac:dyDescent="0.3">
      <c r="A174">
        <v>101</v>
      </c>
      <c r="B174" t="s">
        <v>34</v>
      </c>
      <c r="C174">
        <v>2</v>
      </c>
      <c r="D174" s="1" t="s">
        <v>572</v>
      </c>
      <c r="E174" s="1" t="s">
        <v>36</v>
      </c>
      <c r="G174">
        <v>460779</v>
      </c>
      <c r="H174" t="s">
        <v>573</v>
      </c>
      <c r="I174" t="s">
        <v>396</v>
      </c>
      <c r="J174">
        <v>12</v>
      </c>
      <c r="K174">
        <v>1451</v>
      </c>
      <c r="L174">
        <v>50341</v>
      </c>
      <c r="M174" t="s">
        <v>146</v>
      </c>
      <c r="N174">
        <v>31</v>
      </c>
      <c r="O174" s="2">
        <v>46234</v>
      </c>
      <c r="P174" s="2">
        <v>46264</v>
      </c>
      <c r="R174" t="s">
        <v>574</v>
      </c>
      <c r="S174" t="str">
        <f>"00013409"</f>
        <v>00013409</v>
      </c>
      <c r="T174" t="s">
        <v>41</v>
      </c>
      <c r="U174">
        <v>585.67999999999995</v>
      </c>
      <c r="V174">
        <v>573.97</v>
      </c>
      <c r="W174">
        <v>573.97</v>
      </c>
      <c r="X174">
        <v>0</v>
      </c>
      <c r="Y174">
        <v>0</v>
      </c>
      <c r="Z174">
        <v>-489</v>
      </c>
      <c r="AA174">
        <v>4138</v>
      </c>
      <c r="AD174" t="s">
        <v>308</v>
      </c>
      <c r="AE174">
        <v>6436110300</v>
      </c>
      <c r="AF174" t="s">
        <v>308</v>
      </c>
      <c r="AG174">
        <v>37630118001002</v>
      </c>
      <c r="AH174" t="s">
        <v>311</v>
      </c>
    </row>
    <row r="175" spans="1:34" x14ac:dyDescent="0.3">
      <c r="A175">
        <v>101</v>
      </c>
      <c r="B175" t="s">
        <v>34</v>
      </c>
      <c r="C175">
        <v>2</v>
      </c>
      <c r="D175" s="1" t="s">
        <v>575</v>
      </c>
      <c r="E175" s="1" t="s">
        <v>36</v>
      </c>
      <c r="G175">
        <v>460779</v>
      </c>
      <c r="H175" t="s">
        <v>573</v>
      </c>
      <c r="I175" t="s">
        <v>396</v>
      </c>
      <c r="J175">
        <v>12</v>
      </c>
      <c r="K175">
        <v>1451</v>
      </c>
      <c r="L175">
        <v>50341</v>
      </c>
      <c r="M175" t="s">
        <v>146</v>
      </c>
      <c r="N175">
        <v>31</v>
      </c>
      <c r="O175" s="2">
        <v>46234</v>
      </c>
      <c r="P175" s="2">
        <v>46264</v>
      </c>
      <c r="R175" t="s">
        <v>576</v>
      </c>
      <c r="S175" t="str">
        <f>"00013408"</f>
        <v>00013408</v>
      </c>
      <c r="T175" t="s">
        <v>41</v>
      </c>
      <c r="U175">
        <v>2746.05</v>
      </c>
      <c r="V175">
        <v>2691.13</v>
      </c>
      <c r="W175">
        <v>2691.13</v>
      </c>
      <c r="X175">
        <v>0</v>
      </c>
      <c r="Y175">
        <v>0</v>
      </c>
      <c r="Z175">
        <v>-489</v>
      </c>
      <c r="AA175">
        <v>4085</v>
      </c>
      <c r="AD175" t="s">
        <v>308</v>
      </c>
      <c r="AE175">
        <v>6436110300</v>
      </c>
      <c r="AF175" t="s">
        <v>308</v>
      </c>
      <c r="AG175">
        <v>37630118001002</v>
      </c>
      <c r="AH175" t="s">
        <v>311</v>
      </c>
    </row>
    <row r="176" spans="1:34" x14ac:dyDescent="0.3">
      <c r="A176">
        <v>101</v>
      </c>
      <c r="B176" t="s">
        <v>34</v>
      </c>
      <c r="C176">
        <v>2</v>
      </c>
      <c r="D176" s="1" t="s">
        <v>577</v>
      </c>
      <c r="E176" s="1" t="s">
        <v>116</v>
      </c>
      <c r="G176">
        <v>462536</v>
      </c>
      <c r="H176" t="s">
        <v>578</v>
      </c>
      <c r="I176" t="s">
        <v>579</v>
      </c>
      <c r="J176">
        <v>12</v>
      </c>
      <c r="K176">
        <v>436521</v>
      </c>
      <c r="L176">
        <v>50001</v>
      </c>
      <c r="M176" t="s">
        <v>39</v>
      </c>
      <c r="N176">
        <v>31</v>
      </c>
      <c r="O176" s="2">
        <v>46254</v>
      </c>
      <c r="P176" s="2">
        <v>46304</v>
      </c>
      <c r="R176" t="s">
        <v>580</v>
      </c>
      <c r="S176" t="str">
        <f>"25666160000051939"</f>
        <v>25666160000051939</v>
      </c>
      <c r="T176" t="s">
        <v>41</v>
      </c>
      <c r="U176">
        <v>5561.35</v>
      </c>
      <c r="V176">
        <v>5289.77</v>
      </c>
      <c r="W176">
        <v>5289.77</v>
      </c>
      <c r="X176">
        <v>0</v>
      </c>
      <c r="Y176">
        <v>0</v>
      </c>
      <c r="Z176">
        <v>-529</v>
      </c>
      <c r="AA176">
        <v>4313</v>
      </c>
      <c r="AD176" t="s">
        <v>581</v>
      </c>
      <c r="AE176">
        <v>66340155166</v>
      </c>
      <c r="AF176" t="s">
        <v>581</v>
      </c>
      <c r="AG176" s="1" t="s">
        <v>582</v>
      </c>
      <c r="AH176" t="s">
        <v>423</v>
      </c>
    </row>
    <row r="177" spans="1:34" x14ac:dyDescent="0.3">
      <c r="A177">
        <v>101</v>
      </c>
      <c r="B177" t="s">
        <v>34</v>
      </c>
      <c r="C177">
        <v>2</v>
      </c>
      <c r="D177" s="1" t="s">
        <v>577</v>
      </c>
      <c r="E177" s="1" t="s">
        <v>36</v>
      </c>
      <c r="G177">
        <v>462536</v>
      </c>
      <c r="H177" t="s">
        <v>578</v>
      </c>
      <c r="I177" t="s">
        <v>579</v>
      </c>
      <c r="J177">
        <v>12</v>
      </c>
      <c r="K177">
        <v>436521</v>
      </c>
      <c r="L177">
        <v>50001</v>
      </c>
      <c r="M177" t="s">
        <v>39</v>
      </c>
      <c r="N177">
        <v>31</v>
      </c>
      <c r="O177" s="2">
        <v>46254</v>
      </c>
      <c r="P177" s="2">
        <v>46284</v>
      </c>
      <c r="R177" t="s">
        <v>580</v>
      </c>
      <c r="S177" t="str">
        <f>"25666160000051937"</f>
        <v>25666160000051937</v>
      </c>
      <c r="T177" t="s">
        <v>41</v>
      </c>
      <c r="U177">
        <v>5575.88</v>
      </c>
      <c r="V177">
        <v>5304.3</v>
      </c>
      <c r="W177">
        <v>5304.3</v>
      </c>
      <c r="X177">
        <v>0</v>
      </c>
      <c r="Y177">
        <v>0</v>
      </c>
      <c r="Z177">
        <v>-509</v>
      </c>
      <c r="AA177">
        <v>4313</v>
      </c>
      <c r="AD177" t="s">
        <v>581</v>
      </c>
      <c r="AE177">
        <v>66340155166</v>
      </c>
      <c r="AF177" t="s">
        <v>581</v>
      </c>
      <c r="AG177" s="1" t="s">
        <v>582</v>
      </c>
      <c r="AH177" t="s">
        <v>423</v>
      </c>
    </row>
    <row r="178" spans="1:34" x14ac:dyDescent="0.3">
      <c r="A178">
        <v>101</v>
      </c>
      <c r="B178" t="s">
        <v>34</v>
      </c>
      <c r="C178">
        <v>2</v>
      </c>
      <c r="D178" s="1" t="s">
        <v>577</v>
      </c>
      <c r="E178" s="1" t="s">
        <v>122</v>
      </c>
      <c r="G178">
        <v>462536</v>
      </c>
      <c r="H178" t="s">
        <v>578</v>
      </c>
      <c r="I178" t="s">
        <v>579</v>
      </c>
      <c r="J178">
        <v>12</v>
      </c>
      <c r="K178">
        <v>436521</v>
      </c>
      <c r="L178">
        <v>50001</v>
      </c>
      <c r="M178" t="s">
        <v>39</v>
      </c>
      <c r="N178">
        <v>31</v>
      </c>
      <c r="O178" s="2">
        <v>46254</v>
      </c>
      <c r="P178" s="2">
        <v>46294</v>
      </c>
      <c r="R178" t="s">
        <v>580</v>
      </c>
      <c r="S178" t="str">
        <f>"25666160000051938"</f>
        <v>25666160000051938</v>
      </c>
      <c r="T178" t="s">
        <v>41</v>
      </c>
      <c r="U178">
        <v>5559.67</v>
      </c>
      <c r="V178">
        <v>5288.09</v>
      </c>
      <c r="W178">
        <v>5288.09</v>
      </c>
      <c r="X178">
        <v>0</v>
      </c>
      <c r="Y178">
        <v>0</v>
      </c>
      <c r="Z178">
        <v>-519</v>
      </c>
      <c r="AA178">
        <v>4313</v>
      </c>
      <c r="AD178" t="s">
        <v>581</v>
      </c>
      <c r="AE178">
        <v>66340155166</v>
      </c>
      <c r="AF178" t="s">
        <v>581</v>
      </c>
      <c r="AG178" s="1" t="s">
        <v>582</v>
      </c>
      <c r="AH178" t="s">
        <v>423</v>
      </c>
    </row>
    <row r="179" spans="1:34" x14ac:dyDescent="0.3">
      <c r="A179">
        <v>101</v>
      </c>
      <c r="B179" t="s">
        <v>34</v>
      </c>
      <c r="C179">
        <v>2</v>
      </c>
      <c r="D179" s="1" t="s">
        <v>583</v>
      </c>
      <c r="E179" s="1" t="s">
        <v>116</v>
      </c>
      <c r="G179">
        <v>462536</v>
      </c>
      <c r="H179" t="s">
        <v>578</v>
      </c>
      <c r="I179" t="s">
        <v>579</v>
      </c>
      <c r="J179">
        <v>12</v>
      </c>
      <c r="K179">
        <v>436521</v>
      </c>
      <c r="L179">
        <v>50001</v>
      </c>
      <c r="M179" t="s">
        <v>39</v>
      </c>
      <c r="N179">
        <v>31</v>
      </c>
      <c r="O179" s="2">
        <v>46217</v>
      </c>
      <c r="P179" s="2">
        <v>46267</v>
      </c>
      <c r="R179" t="s">
        <v>584</v>
      </c>
      <c r="S179" t="str">
        <f>"25666160000051443"</f>
        <v>25666160000051443</v>
      </c>
      <c r="T179" t="s">
        <v>41</v>
      </c>
      <c r="U179">
        <v>4459.2</v>
      </c>
      <c r="V179">
        <v>4278.3599999999997</v>
      </c>
      <c r="W179">
        <v>4278.3599999999997</v>
      </c>
      <c r="X179">
        <v>0</v>
      </c>
      <c r="Y179">
        <v>0</v>
      </c>
      <c r="Z179">
        <v>-492</v>
      </c>
      <c r="AA179">
        <v>1125</v>
      </c>
      <c r="AD179" t="s">
        <v>581</v>
      </c>
      <c r="AE179">
        <v>66340155166</v>
      </c>
      <c r="AF179" t="s">
        <v>581</v>
      </c>
      <c r="AG179" s="1" t="s">
        <v>582</v>
      </c>
      <c r="AH179" t="s">
        <v>423</v>
      </c>
    </row>
    <row r="180" spans="1:34" x14ac:dyDescent="0.3">
      <c r="A180">
        <v>101</v>
      </c>
      <c r="B180" t="s">
        <v>34</v>
      </c>
      <c r="C180">
        <v>2</v>
      </c>
      <c r="D180" s="1" t="s">
        <v>583</v>
      </c>
      <c r="E180" s="1" t="s">
        <v>122</v>
      </c>
      <c r="G180">
        <v>462536</v>
      </c>
      <c r="H180" t="s">
        <v>578</v>
      </c>
      <c r="I180" t="s">
        <v>579</v>
      </c>
      <c r="J180">
        <v>12</v>
      </c>
      <c r="K180">
        <v>436521</v>
      </c>
      <c r="L180">
        <v>50001</v>
      </c>
      <c r="M180" t="s">
        <v>39</v>
      </c>
      <c r="N180">
        <v>31</v>
      </c>
      <c r="O180" s="2">
        <v>46217</v>
      </c>
      <c r="P180" s="2">
        <v>46257</v>
      </c>
      <c r="R180" t="s">
        <v>584</v>
      </c>
      <c r="S180" t="str">
        <f>"25666160000051442"</f>
        <v>25666160000051442</v>
      </c>
      <c r="T180" t="s">
        <v>41</v>
      </c>
      <c r="U180">
        <v>4457.8500000000004</v>
      </c>
      <c r="V180">
        <v>4277.01</v>
      </c>
      <c r="W180">
        <v>4277.01</v>
      </c>
      <c r="X180">
        <v>0</v>
      </c>
      <c r="Y180">
        <v>0</v>
      </c>
      <c r="Z180">
        <v>-482</v>
      </c>
      <c r="AA180">
        <v>1125</v>
      </c>
      <c r="AD180" t="s">
        <v>581</v>
      </c>
      <c r="AE180">
        <v>66340155166</v>
      </c>
      <c r="AF180" t="s">
        <v>581</v>
      </c>
      <c r="AG180" s="1" t="s">
        <v>582</v>
      </c>
      <c r="AH180" t="s">
        <v>423</v>
      </c>
    </row>
    <row r="181" spans="1:34" x14ac:dyDescent="0.3">
      <c r="A181">
        <v>101</v>
      </c>
      <c r="B181" t="s">
        <v>34</v>
      </c>
      <c r="C181">
        <v>2</v>
      </c>
      <c r="D181" s="1" t="s">
        <v>585</v>
      </c>
      <c r="E181" s="1" t="s">
        <v>116</v>
      </c>
      <c r="G181">
        <v>464526</v>
      </c>
      <c r="H181" t="s">
        <v>586</v>
      </c>
      <c r="I181" t="s">
        <v>587</v>
      </c>
      <c r="J181">
        <v>12</v>
      </c>
      <c r="K181">
        <v>464526</v>
      </c>
      <c r="L181">
        <v>50341</v>
      </c>
      <c r="M181" t="s">
        <v>146</v>
      </c>
      <c r="N181">
        <v>31</v>
      </c>
      <c r="O181" s="2">
        <v>46225</v>
      </c>
      <c r="P181" s="2">
        <v>46285</v>
      </c>
      <c r="R181" t="s">
        <v>588</v>
      </c>
      <c r="S181" t="str">
        <f>"00013218"</f>
        <v>00013218</v>
      </c>
      <c r="T181" t="s">
        <v>41</v>
      </c>
      <c r="U181">
        <v>1977.44</v>
      </c>
      <c r="V181">
        <v>1977.44</v>
      </c>
      <c r="W181">
        <v>1977.44</v>
      </c>
      <c r="X181">
        <v>0</v>
      </c>
      <c r="Y181">
        <v>0</v>
      </c>
      <c r="Z181">
        <v>-510</v>
      </c>
      <c r="AA181">
        <v>1443</v>
      </c>
      <c r="AD181" t="s">
        <v>308</v>
      </c>
      <c r="AE181" t="s">
        <v>589</v>
      </c>
      <c r="AF181" t="s">
        <v>308</v>
      </c>
      <c r="AG181">
        <v>22710878000153</v>
      </c>
      <c r="AH181" t="s">
        <v>311</v>
      </c>
    </row>
    <row r="182" spans="1:34" x14ac:dyDescent="0.3">
      <c r="A182">
        <v>101</v>
      </c>
      <c r="B182" t="s">
        <v>34</v>
      </c>
      <c r="C182">
        <v>2</v>
      </c>
      <c r="D182" s="1" t="s">
        <v>585</v>
      </c>
      <c r="E182" s="1" t="s">
        <v>122</v>
      </c>
      <c r="G182">
        <v>464526</v>
      </c>
      <c r="H182" t="s">
        <v>586</v>
      </c>
      <c r="I182" t="s">
        <v>587</v>
      </c>
      <c r="J182">
        <v>12</v>
      </c>
      <c r="K182">
        <v>464526</v>
      </c>
      <c r="L182">
        <v>50341</v>
      </c>
      <c r="M182" t="s">
        <v>146</v>
      </c>
      <c r="N182">
        <v>31</v>
      </c>
      <c r="O182" s="2">
        <v>46225</v>
      </c>
      <c r="P182" s="2">
        <v>46270</v>
      </c>
      <c r="R182" t="s">
        <v>588</v>
      </c>
      <c r="S182" t="str">
        <f>"00013217"</f>
        <v>00013217</v>
      </c>
      <c r="T182" t="s">
        <v>41</v>
      </c>
      <c r="U182">
        <v>1976.86</v>
      </c>
      <c r="V182">
        <v>1976.86</v>
      </c>
      <c r="W182">
        <v>1976.86</v>
      </c>
      <c r="X182">
        <v>0</v>
      </c>
      <c r="Y182">
        <v>0</v>
      </c>
      <c r="Z182">
        <v>-495</v>
      </c>
      <c r="AA182">
        <v>1443</v>
      </c>
      <c r="AD182" t="s">
        <v>308</v>
      </c>
      <c r="AE182" t="s">
        <v>589</v>
      </c>
      <c r="AF182" t="s">
        <v>308</v>
      </c>
      <c r="AG182">
        <v>22710878000153</v>
      </c>
      <c r="AH182" t="s">
        <v>311</v>
      </c>
    </row>
    <row r="183" spans="1:34" x14ac:dyDescent="0.3">
      <c r="A183">
        <v>101</v>
      </c>
      <c r="B183" t="s">
        <v>34</v>
      </c>
      <c r="C183">
        <v>2</v>
      </c>
      <c r="D183" s="1" t="s">
        <v>590</v>
      </c>
      <c r="E183" s="1" t="s">
        <v>36</v>
      </c>
      <c r="G183">
        <v>464875</v>
      </c>
      <c r="H183" t="s">
        <v>591</v>
      </c>
      <c r="I183" t="s">
        <v>592</v>
      </c>
      <c r="J183">
        <v>12</v>
      </c>
      <c r="K183">
        <v>464875</v>
      </c>
      <c r="L183">
        <v>50001</v>
      </c>
      <c r="M183" t="s">
        <v>39</v>
      </c>
      <c r="N183">
        <v>31</v>
      </c>
      <c r="O183" s="2">
        <v>46232</v>
      </c>
      <c r="P183" s="2">
        <v>46262</v>
      </c>
      <c r="R183" t="s">
        <v>593</v>
      </c>
      <c r="S183" t="str">
        <f>"25666160000051675"</f>
        <v>25666160000051675</v>
      </c>
      <c r="T183" t="s">
        <v>41</v>
      </c>
      <c r="U183">
        <v>4938.42</v>
      </c>
      <c r="V183">
        <v>4938.42</v>
      </c>
      <c r="W183">
        <v>4938.42</v>
      </c>
      <c r="X183">
        <v>0</v>
      </c>
      <c r="Y183">
        <v>0</v>
      </c>
      <c r="Z183">
        <v>-487</v>
      </c>
      <c r="AA183">
        <v>1843</v>
      </c>
      <c r="AD183" t="s">
        <v>437</v>
      </c>
      <c r="AE183" t="s">
        <v>594</v>
      </c>
      <c r="AF183" t="s">
        <v>437</v>
      </c>
      <c r="AG183" s="1" t="s">
        <v>595</v>
      </c>
      <c r="AH183" t="s">
        <v>311</v>
      </c>
    </row>
    <row r="184" spans="1:34" x14ac:dyDescent="0.3">
      <c r="A184">
        <v>101</v>
      </c>
      <c r="B184" t="s">
        <v>34</v>
      </c>
      <c r="C184">
        <v>2</v>
      </c>
      <c r="D184" s="1" t="s">
        <v>596</v>
      </c>
      <c r="E184" s="1" t="s">
        <v>36</v>
      </c>
      <c r="G184">
        <v>465159</v>
      </c>
      <c r="H184" t="s">
        <v>597</v>
      </c>
      <c r="I184" t="s">
        <v>598</v>
      </c>
      <c r="J184">
        <v>12</v>
      </c>
      <c r="K184">
        <v>440710</v>
      </c>
      <c r="L184">
        <v>50341</v>
      </c>
      <c r="M184" t="s">
        <v>146</v>
      </c>
      <c r="N184">
        <v>31</v>
      </c>
      <c r="O184" s="2">
        <v>46209</v>
      </c>
      <c r="P184" s="2">
        <v>46277</v>
      </c>
      <c r="R184" t="s">
        <v>599</v>
      </c>
      <c r="S184" t="str">
        <f>"00013092"</f>
        <v>00013092</v>
      </c>
      <c r="T184" t="s">
        <v>41</v>
      </c>
      <c r="U184">
        <v>206.52</v>
      </c>
      <c r="V184">
        <v>206.52</v>
      </c>
      <c r="W184">
        <v>206.52</v>
      </c>
      <c r="X184">
        <v>0</v>
      </c>
      <c r="Y184">
        <v>0</v>
      </c>
      <c r="Z184">
        <v>-502</v>
      </c>
      <c r="AA184">
        <v>693696</v>
      </c>
      <c r="AD184" t="s">
        <v>437</v>
      </c>
      <c r="AE184" t="s">
        <v>600</v>
      </c>
      <c r="AF184" t="s">
        <v>437</v>
      </c>
      <c r="AG184">
        <v>20500092000690</v>
      </c>
      <c r="AH184" t="s">
        <v>311</v>
      </c>
    </row>
    <row r="185" spans="1:34" x14ac:dyDescent="0.3">
      <c r="A185">
        <v>101</v>
      </c>
      <c r="B185" t="s">
        <v>34</v>
      </c>
      <c r="C185">
        <v>2</v>
      </c>
      <c r="D185" s="1" t="s">
        <v>601</v>
      </c>
      <c r="E185" s="1" t="s">
        <v>36</v>
      </c>
      <c r="G185">
        <v>465159</v>
      </c>
      <c r="H185" t="s">
        <v>597</v>
      </c>
      <c r="I185" t="s">
        <v>598</v>
      </c>
      <c r="J185">
        <v>12</v>
      </c>
      <c r="K185">
        <v>440710</v>
      </c>
      <c r="L185">
        <v>50341</v>
      </c>
      <c r="M185" t="s">
        <v>146</v>
      </c>
      <c r="N185">
        <v>31</v>
      </c>
      <c r="O185" s="2">
        <v>46254</v>
      </c>
      <c r="P185" s="2">
        <v>46314</v>
      </c>
      <c r="R185" t="s">
        <v>602</v>
      </c>
      <c r="S185" t="str">
        <f>"00013714"</f>
        <v>00013714</v>
      </c>
      <c r="T185" t="s">
        <v>41</v>
      </c>
      <c r="U185">
        <v>164.6</v>
      </c>
      <c r="V185">
        <v>164.6</v>
      </c>
      <c r="W185">
        <v>164.6</v>
      </c>
      <c r="X185">
        <v>0</v>
      </c>
      <c r="Y185">
        <v>0</v>
      </c>
      <c r="Z185">
        <v>-539</v>
      </c>
      <c r="AA185">
        <v>4436</v>
      </c>
      <c r="AD185" t="s">
        <v>437</v>
      </c>
      <c r="AE185" t="s">
        <v>600</v>
      </c>
      <c r="AF185" t="s">
        <v>437</v>
      </c>
      <c r="AG185">
        <v>20500092000690</v>
      </c>
      <c r="AH185" t="s">
        <v>311</v>
      </c>
    </row>
    <row r="186" spans="1:34" x14ac:dyDescent="0.3">
      <c r="A186">
        <v>101</v>
      </c>
      <c r="B186" t="s">
        <v>34</v>
      </c>
      <c r="C186">
        <v>2</v>
      </c>
      <c r="D186" s="1" t="s">
        <v>603</v>
      </c>
      <c r="E186" s="1" t="s">
        <v>36</v>
      </c>
      <c r="G186">
        <v>465159</v>
      </c>
      <c r="H186" t="s">
        <v>597</v>
      </c>
      <c r="I186" t="s">
        <v>598</v>
      </c>
      <c r="J186">
        <v>12</v>
      </c>
      <c r="K186">
        <v>440710</v>
      </c>
      <c r="L186">
        <v>50341</v>
      </c>
      <c r="M186" t="s">
        <v>146</v>
      </c>
      <c r="N186">
        <v>31</v>
      </c>
      <c r="O186" s="2">
        <v>46210</v>
      </c>
      <c r="P186" s="2">
        <v>46270</v>
      </c>
      <c r="R186" t="s">
        <v>604</v>
      </c>
      <c r="S186" t="str">
        <f>"00013144"</f>
        <v>00013144</v>
      </c>
      <c r="T186" t="s">
        <v>41</v>
      </c>
      <c r="U186">
        <v>3624.61</v>
      </c>
      <c r="V186">
        <v>3624.61</v>
      </c>
      <c r="W186">
        <v>3624.61</v>
      </c>
      <c r="X186">
        <v>0</v>
      </c>
      <c r="Y186">
        <v>0</v>
      </c>
      <c r="Z186">
        <v>-495</v>
      </c>
      <c r="AA186">
        <v>693696</v>
      </c>
      <c r="AD186" t="s">
        <v>437</v>
      </c>
      <c r="AE186" t="s">
        <v>600</v>
      </c>
      <c r="AF186" t="s">
        <v>437</v>
      </c>
      <c r="AG186">
        <v>20500092000690</v>
      </c>
      <c r="AH186" t="s">
        <v>311</v>
      </c>
    </row>
    <row r="187" spans="1:34" x14ac:dyDescent="0.3">
      <c r="A187">
        <v>101</v>
      </c>
      <c r="B187" t="s">
        <v>34</v>
      </c>
      <c r="C187">
        <v>2</v>
      </c>
      <c r="D187" s="1" t="s">
        <v>605</v>
      </c>
      <c r="E187" s="1" t="s">
        <v>36</v>
      </c>
      <c r="G187">
        <v>465159</v>
      </c>
      <c r="H187" t="s">
        <v>597</v>
      </c>
      <c r="I187" t="s">
        <v>598</v>
      </c>
      <c r="J187">
        <v>12</v>
      </c>
      <c r="K187">
        <v>440710</v>
      </c>
      <c r="L187">
        <v>50341</v>
      </c>
      <c r="M187" t="s">
        <v>146</v>
      </c>
      <c r="N187">
        <v>31</v>
      </c>
      <c r="O187" s="2">
        <v>46245</v>
      </c>
      <c r="P187" s="2">
        <v>46305</v>
      </c>
      <c r="R187" t="s">
        <v>606</v>
      </c>
      <c r="S187" t="str">
        <f>"00013652"</f>
        <v>00013652</v>
      </c>
      <c r="T187" t="s">
        <v>41</v>
      </c>
      <c r="U187">
        <v>1642.72</v>
      </c>
      <c r="V187">
        <v>1642.72</v>
      </c>
      <c r="W187">
        <v>1642.72</v>
      </c>
      <c r="X187">
        <v>0</v>
      </c>
      <c r="Y187">
        <v>0</v>
      </c>
      <c r="Z187">
        <v>-530</v>
      </c>
      <c r="AA187">
        <v>4436</v>
      </c>
      <c r="AD187" t="s">
        <v>437</v>
      </c>
      <c r="AE187" t="s">
        <v>600</v>
      </c>
      <c r="AF187" t="s">
        <v>437</v>
      </c>
      <c r="AG187">
        <v>20500092000690</v>
      </c>
      <c r="AH187" t="s">
        <v>311</v>
      </c>
    </row>
    <row r="188" spans="1:34" x14ac:dyDescent="0.3">
      <c r="A188">
        <v>101</v>
      </c>
      <c r="B188" t="s">
        <v>34</v>
      </c>
      <c r="C188">
        <v>2</v>
      </c>
      <c r="D188" s="1" t="s">
        <v>607</v>
      </c>
      <c r="E188" s="1" t="s">
        <v>36</v>
      </c>
      <c r="G188">
        <v>467172</v>
      </c>
      <c r="H188" t="s">
        <v>608</v>
      </c>
      <c r="I188" t="s">
        <v>609</v>
      </c>
      <c r="J188">
        <v>12</v>
      </c>
      <c r="K188">
        <v>467172</v>
      </c>
      <c r="L188">
        <v>50033</v>
      </c>
      <c r="M188" t="s">
        <v>39</v>
      </c>
      <c r="N188">
        <v>31</v>
      </c>
      <c r="O188" s="2">
        <v>46227</v>
      </c>
      <c r="P188" s="2">
        <v>46257</v>
      </c>
      <c r="R188" t="s">
        <v>610</v>
      </c>
      <c r="S188" t="str">
        <f>"0000050410881"</f>
        <v>0000050410881</v>
      </c>
      <c r="T188" t="s">
        <v>41</v>
      </c>
      <c r="U188">
        <v>1102.6400000000001</v>
      </c>
      <c r="V188">
        <v>1102.6400000000001</v>
      </c>
      <c r="W188">
        <v>1102.6400000000001</v>
      </c>
      <c r="X188">
        <v>0</v>
      </c>
      <c r="Y188">
        <v>0</v>
      </c>
      <c r="Z188">
        <v>-482</v>
      </c>
      <c r="AA188">
        <v>1730</v>
      </c>
      <c r="AD188" t="s">
        <v>373</v>
      </c>
      <c r="AE188">
        <v>64984410762</v>
      </c>
      <c r="AF188" t="s">
        <v>373</v>
      </c>
      <c r="AG188">
        <v>25244696000122</v>
      </c>
      <c r="AH188" t="s">
        <v>311</v>
      </c>
    </row>
    <row r="189" spans="1:34" x14ac:dyDescent="0.3">
      <c r="A189">
        <v>101</v>
      </c>
      <c r="B189" t="s">
        <v>34</v>
      </c>
      <c r="C189">
        <v>2</v>
      </c>
      <c r="D189" s="1" t="s">
        <v>607</v>
      </c>
      <c r="E189" s="1" t="s">
        <v>122</v>
      </c>
      <c r="G189">
        <v>467172</v>
      </c>
      <c r="H189" t="s">
        <v>608</v>
      </c>
      <c r="I189" t="s">
        <v>609</v>
      </c>
      <c r="J189">
        <v>12</v>
      </c>
      <c r="K189">
        <v>467172</v>
      </c>
      <c r="L189">
        <v>50033</v>
      </c>
      <c r="M189" t="s">
        <v>39</v>
      </c>
      <c r="N189">
        <v>31</v>
      </c>
      <c r="O189" s="2">
        <v>46227</v>
      </c>
      <c r="P189" s="2">
        <v>46272</v>
      </c>
      <c r="R189" t="s">
        <v>610</v>
      </c>
      <c r="S189" t="str">
        <f>"0000050410890"</f>
        <v>0000050410890</v>
      </c>
      <c r="T189" t="s">
        <v>41</v>
      </c>
      <c r="U189">
        <v>1102.6300000000001</v>
      </c>
      <c r="V189">
        <v>1102.6300000000001</v>
      </c>
      <c r="W189">
        <v>1102.6300000000001</v>
      </c>
      <c r="X189">
        <v>0</v>
      </c>
      <c r="Y189">
        <v>0</v>
      </c>
      <c r="Z189">
        <v>-497</v>
      </c>
      <c r="AA189">
        <v>1730</v>
      </c>
      <c r="AD189" t="s">
        <v>373</v>
      </c>
      <c r="AE189">
        <v>64984410762</v>
      </c>
      <c r="AF189" t="s">
        <v>373</v>
      </c>
      <c r="AG189">
        <v>25244696000122</v>
      </c>
      <c r="AH189" t="s">
        <v>311</v>
      </c>
    </row>
    <row r="190" spans="1:34" x14ac:dyDescent="0.3">
      <c r="A190">
        <v>101</v>
      </c>
      <c r="B190" t="s">
        <v>34</v>
      </c>
      <c r="C190">
        <v>2</v>
      </c>
      <c r="D190" s="1" t="s">
        <v>611</v>
      </c>
      <c r="E190" s="1" t="s">
        <v>116</v>
      </c>
      <c r="G190">
        <v>468135</v>
      </c>
      <c r="H190" t="s">
        <v>612</v>
      </c>
      <c r="I190" t="s">
        <v>579</v>
      </c>
      <c r="J190">
        <v>12</v>
      </c>
      <c r="K190">
        <v>436521</v>
      </c>
      <c r="L190">
        <v>50001</v>
      </c>
      <c r="M190" t="s">
        <v>39</v>
      </c>
      <c r="N190">
        <v>31</v>
      </c>
      <c r="O190" s="2">
        <v>46217</v>
      </c>
      <c r="P190" s="2">
        <v>46267</v>
      </c>
      <c r="R190" t="s">
        <v>613</v>
      </c>
      <c r="S190" t="str">
        <f>"25666160000051453"</f>
        <v>25666160000051453</v>
      </c>
      <c r="T190" t="s">
        <v>41</v>
      </c>
      <c r="U190">
        <v>635.98</v>
      </c>
      <c r="V190">
        <v>610.27</v>
      </c>
      <c r="W190">
        <v>610.27</v>
      </c>
      <c r="X190">
        <v>0</v>
      </c>
      <c r="Y190">
        <v>0</v>
      </c>
      <c r="Z190">
        <v>-492</v>
      </c>
      <c r="AA190">
        <v>1126</v>
      </c>
      <c r="AD190" t="s">
        <v>614</v>
      </c>
      <c r="AE190" t="s">
        <v>615</v>
      </c>
      <c r="AF190" t="s">
        <v>614</v>
      </c>
      <c r="AG190" s="1" t="s">
        <v>616</v>
      </c>
      <c r="AH190" t="s">
        <v>311</v>
      </c>
    </row>
    <row r="191" spans="1:34" x14ac:dyDescent="0.3">
      <c r="A191">
        <v>101</v>
      </c>
      <c r="B191" t="s">
        <v>34</v>
      </c>
      <c r="C191">
        <v>2</v>
      </c>
      <c r="D191" s="1" t="s">
        <v>611</v>
      </c>
      <c r="E191" s="1" t="s">
        <v>122</v>
      </c>
      <c r="G191">
        <v>468135</v>
      </c>
      <c r="H191" t="s">
        <v>612</v>
      </c>
      <c r="I191" t="s">
        <v>579</v>
      </c>
      <c r="J191">
        <v>12</v>
      </c>
      <c r="K191">
        <v>436521</v>
      </c>
      <c r="L191">
        <v>50001</v>
      </c>
      <c r="M191" t="s">
        <v>39</v>
      </c>
      <c r="N191">
        <v>31</v>
      </c>
      <c r="O191" s="2">
        <v>46217</v>
      </c>
      <c r="P191" s="2">
        <v>46257</v>
      </c>
      <c r="R191" t="s">
        <v>613</v>
      </c>
      <c r="S191" t="str">
        <f>"25666160000051452"</f>
        <v>25666160000051452</v>
      </c>
      <c r="T191" t="s">
        <v>41</v>
      </c>
      <c r="U191">
        <v>635.78</v>
      </c>
      <c r="V191">
        <v>610.07000000000005</v>
      </c>
      <c r="W191">
        <v>610.07000000000005</v>
      </c>
      <c r="X191">
        <v>0</v>
      </c>
      <c r="Y191">
        <v>0</v>
      </c>
      <c r="Z191">
        <v>-482</v>
      </c>
      <c r="AA191">
        <v>1126</v>
      </c>
      <c r="AD191" t="s">
        <v>614</v>
      </c>
      <c r="AE191" t="s">
        <v>615</v>
      </c>
      <c r="AF191" t="s">
        <v>614</v>
      </c>
      <c r="AG191" s="1" t="s">
        <v>616</v>
      </c>
      <c r="AH191" t="s">
        <v>311</v>
      </c>
    </row>
    <row r="192" spans="1:34" x14ac:dyDescent="0.3">
      <c r="A192">
        <v>101</v>
      </c>
      <c r="B192" t="s">
        <v>34</v>
      </c>
      <c r="C192">
        <v>2</v>
      </c>
      <c r="D192" s="1" t="s">
        <v>617</v>
      </c>
      <c r="E192" s="1" t="s">
        <v>36</v>
      </c>
      <c r="G192">
        <v>468135</v>
      </c>
      <c r="H192" t="s">
        <v>612</v>
      </c>
      <c r="I192" t="s">
        <v>579</v>
      </c>
      <c r="J192">
        <v>12</v>
      </c>
      <c r="K192">
        <v>436521</v>
      </c>
      <c r="L192">
        <v>50001</v>
      </c>
      <c r="M192" t="s">
        <v>39</v>
      </c>
      <c r="N192">
        <v>31</v>
      </c>
      <c r="O192" s="2">
        <v>46254</v>
      </c>
      <c r="P192" s="2">
        <v>46284</v>
      </c>
      <c r="R192" t="s">
        <v>618</v>
      </c>
      <c r="S192" t="str">
        <f>"25666160000051940"</f>
        <v>25666160000051940</v>
      </c>
      <c r="T192" t="s">
        <v>41</v>
      </c>
      <c r="U192">
        <v>1259.52</v>
      </c>
      <c r="V192">
        <v>1209.52</v>
      </c>
      <c r="W192">
        <v>1209.52</v>
      </c>
      <c r="X192">
        <v>0</v>
      </c>
      <c r="Y192">
        <v>0</v>
      </c>
      <c r="Z192">
        <v>-509</v>
      </c>
      <c r="AA192">
        <v>4312</v>
      </c>
      <c r="AD192" t="s">
        <v>614</v>
      </c>
      <c r="AE192" t="s">
        <v>615</v>
      </c>
      <c r="AF192" t="s">
        <v>614</v>
      </c>
      <c r="AG192" s="1" t="s">
        <v>616</v>
      </c>
      <c r="AH192" t="s">
        <v>311</v>
      </c>
    </row>
    <row r="193" spans="1:34" x14ac:dyDescent="0.3">
      <c r="A193">
        <v>101</v>
      </c>
      <c r="B193" t="s">
        <v>34</v>
      </c>
      <c r="C193">
        <v>2</v>
      </c>
      <c r="D193" s="1" t="s">
        <v>617</v>
      </c>
      <c r="E193" s="1" t="s">
        <v>122</v>
      </c>
      <c r="G193">
        <v>468135</v>
      </c>
      <c r="H193" t="s">
        <v>612</v>
      </c>
      <c r="I193" t="s">
        <v>579</v>
      </c>
      <c r="J193">
        <v>12</v>
      </c>
      <c r="K193">
        <v>436521</v>
      </c>
      <c r="L193">
        <v>50001</v>
      </c>
      <c r="M193" t="s">
        <v>39</v>
      </c>
      <c r="N193">
        <v>31</v>
      </c>
      <c r="O193" s="2">
        <v>46254</v>
      </c>
      <c r="P193" s="2">
        <v>46294</v>
      </c>
      <c r="R193" t="s">
        <v>618</v>
      </c>
      <c r="S193" t="str">
        <f>"25666160000051941"</f>
        <v>25666160000051941</v>
      </c>
      <c r="T193" t="s">
        <v>41</v>
      </c>
      <c r="U193">
        <v>1250.03</v>
      </c>
      <c r="V193">
        <v>1200.03</v>
      </c>
      <c r="W193">
        <v>1200.03</v>
      </c>
      <c r="X193">
        <v>0</v>
      </c>
      <c r="Y193">
        <v>0</v>
      </c>
      <c r="Z193">
        <v>-519</v>
      </c>
      <c r="AA193">
        <v>4312</v>
      </c>
      <c r="AD193" t="s">
        <v>614</v>
      </c>
      <c r="AE193" t="s">
        <v>615</v>
      </c>
      <c r="AF193" t="s">
        <v>614</v>
      </c>
      <c r="AG193" s="1" t="s">
        <v>616</v>
      </c>
      <c r="AH193" t="s">
        <v>311</v>
      </c>
    </row>
    <row r="194" spans="1:34" x14ac:dyDescent="0.3">
      <c r="A194">
        <v>101</v>
      </c>
      <c r="B194" t="s">
        <v>34</v>
      </c>
      <c r="C194">
        <v>2</v>
      </c>
      <c r="D194" s="1" t="s">
        <v>617</v>
      </c>
      <c r="E194" s="1" t="s">
        <v>116</v>
      </c>
      <c r="G194">
        <v>468135</v>
      </c>
      <c r="H194" t="s">
        <v>612</v>
      </c>
      <c r="I194" t="s">
        <v>579</v>
      </c>
      <c r="J194">
        <v>12</v>
      </c>
      <c r="K194">
        <v>436521</v>
      </c>
      <c r="L194">
        <v>50001</v>
      </c>
      <c r="M194" t="s">
        <v>39</v>
      </c>
      <c r="N194">
        <v>31</v>
      </c>
      <c r="O194" s="2">
        <v>46254</v>
      </c>
      <c r="P194" s="2">
        <v>46304</v>
      </c>
      <c r="R194" t="s">
        <v>618</v>
      </c>
      <c r="S194" t="str">
        <f>"25666160000051942"</f>
        <v>25666160000051942</v>
      </c>
      <c r="T194" t="s">
        <v>41</v>
      </c>
      <c r="U194">
        <v>1250.4000000000001</v>
      </c>
      <c r="V194">
        <v>1200.4000000000001</v>
      </c>
      <c r="W194">
        <v>1200.4000000000001</v>
      </c>
      <c r="X194">
        <v>0</v>
      </c>
      <c r="Y194">
        <v>0</v>
      </c>
      <c r="Z194">
        <v>-529</v>
      </c>
      <c r="AA194">
        <v>4312</v>
      </c>
      <c r="AD194" t="s">
        <v>614</v>
      </c>
      <c r="AE194" t="s">
        <v>615</v>
      </c>
      <c r="AF194" t="s">
        <v>614</v>
      </c>
      <c r="AG194" s="1" t="s">
        <v>616</v>
      </c>
      <c r="AH194" t="s">
        <v>311</v>
      </c>
    </row>
    <row r="195" spans="1:34" x14ac:dyDescent="0.3">
      <c r="A195">
        <v>101</v>
      </c>
      <c r="B195" t="s">
        <v>34</v>
      </c>
      <c r="C195">
        <v>2</v>
      </c>
      <c r="D195" s="1" t="s">
        <v>619</v>
      </c>
      <c r="E195" s="1" t="s">
        <v>36</v>
      </c>
      <c r="G195">
        <v>469601</v>
      </c>
      <c r="H195" t="s">
        <v>620</v>
      </c>
      <c r="I195" t="s">
        <v>568</v>
      </c>
      <c r="J195">
        <v>12</v>
      </c>
      <c r="K195">
        <v>451509</v>
      </c>
      <c r="L195">
        <v>50001</v>
      </c>
      <c r="M195" t="s">
        <v>39</v>
      </c>
      <c r="N195">
        <v>31</v>
      </c>
      <c r="O195" s="2">
        <v>46230</v>
      </c>
      <c r="P195" s="2">
        <v>46260</v>
      </c>
      <c r="R195" t="s">
        <v>621</v>
      </c>
      <c r="S195" t="str">
        <f>"25666160000051651"</f>
        <v>25666160000051651</v>
      </c>
      <c r="T195" t="s">
        <v>41</v>
      </c>
      <c r="U195">
        <v>4381.43</v>
      </c>
      <c r="V195">
        <v>4249.99</v>
      </c>
      <c r="W195">
        <v>4249.99</v>
      </c>
      <c r="X195">
        <v>0</v>
      </c>
      <c r="Y195">
        <v>0</v>
      </c>
      <c r="Z195">
        <v>-485</v>
      </c>
      <c r="AA195">
        <v>1702</v>
      </c>
      <c r="AD195" t="s">
        <v>409</v>
      </c>
      <c r="AE195" t="s">
        <v>622</v>
      </c>
      <c r="AF195" t="s">
        <v>409</v>
      </c>
      <c r="AG195">
        <v>43624407000283</v>
      </c>
      <c r="AH195" t="s">
        <v>311</v>
      </c>
    </row>
    <row r="196" spans="1:34" x14ac:dyDescent="0.3">
      <c r="A196">
        <v>101</v>
      </c>
      <c r="B196" t="s">
        <v>34</v>
      </c>
      <c r="C196">
        <v>2</v>
      </c>
      <c r="D196" s="1" t="s">
        <v>623</v>
      </c>
      <c r="E196" s="1" t="s">
        <v>36</v>
      </c>
      <c r="G196">
        <v>469602</v>
      </c>
      <c r="H196" t="s">
        <v>624</v>
      </c>
      <c r="I196" t="s">
        <v>625</v>
      </c>
      <c r="J196">
        <v>12</v>
      </c>
      <c r="K196">
        <v>469602</v>
      </c>
      <c r="L196">
        <v>50237</v>
      </c>
      <c r="M196" t="s">
        <v>39</v>
      </c>
      <c r="N196">
        <v>31</v>
      </c>
      <c r="O196" s="2">
        <v>46254</v>
      </c>
      <c r="P196" s="2">
        <v>46284</v>
      </c>
      <c r="R196" t="s">
        <v>626</v>
      </c>
      <c r="S196" t="str">
        <f>"330000052291"</f>
        <v>330000052291</v>
      </c>
      <c r="T196" t="s">
        <v>41</v>
      </c>
      <c r="U196">
        <v>11433.05</v>
      </c>
      <c r="V196">
        <v>11433.05</v>
      </c>
      <c r="W196">
        <v>11433.05</v>
      </c>
      <c r="X196">
        <v>0</v>
      </c>
      <c r="Y196">
        <v>0</v>
      </c>
      <c r="Z196">
        <v>-509</v>
      </c>
      <c r="AA196">
        <v>4744</v>
      </c>
      <c r="AD196" t="s">
        <v>581</v>
      </c>
      <c r="AE196" t="s">
        <v>627</v>
      </c>
      <c r="AF196" t="s">
        <v>581</v>
      </c>
      <c r="AG196" s="1" t="s">
        <v>628</v>
      </c>
      <c r="AH196" t="s">
        <v>423</v>
      </c>
    </row>
    <row r="197" spans="1:34" x14ac:dyDescent="0.3">
      <c r="A197">
        <v>101</v>
      </c>
      <c r="B197" t="s">
        <v>34</v>
      </c>
      <c r="C197">
        <v>2</v>
      </c>
      <c r="D197" s="1" t="s">
        <v>629</v>
      </c>
      <c r="E197" s="1" t="s">
        <v>36</v>
      </c>
      <c r="G197">
        <v>469603</v>
      </c>
      <c r="H197" t="s">
        <v>630</v>
      </c>
      <c r="I197" t="s">
        <v>625</v>
      </c>
      <c r="J197">
        <v>12</v>
      </c>
      <c r="K197">
        <v>469602</v>
      </c>
      <c r="L197">
        <v>50237</v>
      </c>
      <c r="M197" t="s">
        <v>39</v>
      </c>
      <c r="N197">
        <v>31</v>
      </c>
      <c r="O197" s="2">
        <v>46254</v>
      </c>
      <c r="P197" s="2">
        <v>46284</v>
      </c>
      <c r="R197" t="s">
        <v>631</v>
      </c>
      <c r="S197" t="str">
        <f>"330000052305"</f>
        <v>330000052305</v>
      </c>
      <c r="T197" t="s">
        <v>41</v>
      </c>
      <c r="U197">
        <v>12288.39</v>
      </c>
      <c r="V197">
        <v>12288.39</v>
      </c>
      <c r="W197">
        <v>12288.39</v>
      </c>
      <c r="X197">
        <v>0</v>
      </c>
      <c r="Y197">
        <v>0</v>
      </c>
      <c r="Z197">
        <v>-509</v>
      </c>
      <c r="AA197">
        <v>4748</v>
      </c>
      <c r="AD197" t="s">
        <v>581</v>
      </c>
      <c r="AE197" t="s">
        <v>627</v>
      </c>
      <c r="AF197" t="s">
        <v>581</v>
      </c>
      <c r="AG197" s="1" t="s">
        <v>632</v>
      </c>
      <c r="AH197" t="s">
        <v>423</v>
      </c>
    </row>
    <row r="198" spans="1:34" x14ac:dyDescent="0.3">
      <c r="A198">
        <v>101</v>
      </c>
      <c r="B198" t="s">
        <v>34</v>
      </c>
      <c r="C198">
        <v>2</v>
      </c>
      <c r="D198" s="1" t="s">
        <v>633</v>
      </c>
      <c r="E198" s="1" t="s">
        <v>36</v>
      </c>
      <c r="G198">
        <v>469604</v>
      </c>
      <c r="H198" t="s">
        <v>634</v>
      </c>
      <c r="I198" t="s">
        <v>625</v>
      </c>
      <c r="J198">
        <v>12</v>
      </c>
      <c r="K198">
        <v>469602</v>
      </c>
      <c r="L198">
        <v>50237</v>
      </c>
      <c r="M198" t="s">
        <v>39</v>
      </c>
      <c r="N198">
        <v>31</v>
      </c>
      <c r="O198" s="2">
        <v>46254</v>
      </c>
      <c r="P198" s="2">
        <v>46284</v>
      </c>
      <c r="R198" t="s">
        <v>635</v>
      </c>
      <c r="S198" t="str">
        <f>"330000052313"</f>
        <v>330000052313</v>
      </c>
      <c r="T198" t="s">
        <v>41</v>
      </c>
      <c r="U198">
        <v>1907.38</v>
      </c>
      <c r="V198">
        <v>1907.38</v>
      </c>
      <c r="W198">
        <v>1907.38</v>
      </c>
      <c r="X198">
        <v>0</v>
      </c>
      <c r="Y198">
        <v>0</v>
      </c>
      <c r="Z198">
        <v>-509</v>
      </c>
      <c r="AA198">
        <v>4747</v>
      </c>
      <c r="AD198" t="s">
        <v>581</v>
      </c>
      <c r="AE198">
        <v>6635291488</v>
      </c>
      <c r="AF198" t="s">
        <v>581</v>
      </c>
      <c r="AG198" s="1" t="s">
        <v>636</v>
      </c>
      <c r="AH198" t="s">
        <v>423</v>
      </c>
    </row>
    <row r="199" spans="1:34" x14ac:dyDescent="0.3">
      <c r="A199">
        <v>101</v>
      </c>
      <c r="B199" t="s">
        <v>34</v>
      </c>
      <c r="C199">
        <v>2</v>
      </c>
      <c r="D199" s="1" t="s">
        <v>637</v>
      </c>
      <c r="E199" s="1" t="s">
        <v>36</v>
      </c>
      <c r="G199">
        <v>470081</v>
      </c>
      <c r="H199" t="s">
        <v>638</v>
      </c>
      <c r="I199" t="s">
        <v>579</v>
      </c>
      <c r="J199">
        <v>12</v>
      </c>
      <c r="K199">
        <v>436521</v>
      </c>
      <c r="L199">
        <v>50001</v>
      </c>
      <c r="M199" t="s">
        <v>39</v>
      </c>
      <c r="N199">
        <v>31</v>
      </c>
      <c r="O199" s="2">
        <v>46254</v>
      </c>
      <c r="P199" s="2">
        <v>46284</v>
      </c>
      <c r="R199" t="s">
        <v>639</v>
      </c>
      <c r="S199" t="str">
        <f>"25666160000051949"</f>
        <v>25666160000051949</v>
      </c>
      <c r="T199" t="s">
        <v>41</v>
      </c>
      <c r="U199">
        <v>3819.74</v>
      </c>
      <c r="V199">
        <v>3670.41</v>
      </c>
      <c r="W199">
        <v>3670.41</v>
      </c>
      <c r="X199">
        <v>0</v>
      </c>
      <c r="Y199">
        <v>0</v>
      </c>
      <c r="Z199">
        <v>-509</v>
      </c>
      <c r="AA199">
        <v>4311</v>
      </c>
      <c r="AD199" t="s">
        <v>640</v>
      </c>
      <c r="AE199">
        <v>66984468028</v>
      </c>
      <c r="AF199" t="s">
        <v>640</v>
      </c>
      <c r="AG199" s="1" t="s">
        <v>641</v>
      </c>
      <c r="AH199" t="s">
        <v>423</v>
      </c>
    </row>
    <row r="200" spans="1:34" x14ac:dyDescent="0.3">
      <c r="A200">
        <v>101</v>
      </c>
      <c r="B200" t="s">
        <v>34</v>
      </c>
      <c r="C200">
        <v>2</v>
      </c>
      <c r="D200" s="1" t="s">
        <v>637</v>
      </c>
      <c r="E200" s="1" t="s">
        <v>116</v>
      </c>
      <c r="G200">
        <v>470081</v>
      </c>
      <c r="H200" t="s">
        <v>638</v>
      </c>
      <c r="I200" t="s">
        <v>579</v>
      </c>
      <c r="J200">
        <v>12</v>
      </c>
      <c r="K200">
        <v>436521</v>
      </c>
      <c r="L200">
        <v>50001</v>
      </c>
      <c r="M200" t="s">
        <v>39</v>
      </c>
      <c r="N200">
        <v>31</v>
      </c>
      <c r="O200" s="2">
        <v>46254</v>
      </c>
      <c r="P200" s="2">
        <v>46304</v>
      </c>
      <c r="R200" t="s">
        <v>639</v>
      </c>
      <c r="S200" t="str">
        <f>"25666160000051951"</f>
        <v>25666160000051951</v>
      </c>
      <c r="T200" t="s">
        <v>41</v>
      </c>
      <c r="U200">
        <v>3736.44</v>
      </c>
      <c r="V200">
        <v>3587.11</v>
      </c>
      <c r="W200">
        <v>3587.11</v>
      </c>
      <c r="X200">
        <v>0</v>
      </c>
      <c r="Y200">
        <v>0</v>
      </c>
      <c r="Z200">
        <v>-529</v>
      </c>
      <c r="AA200">
        <v>4311</v>
      </c>
      <c r="AD200" t="s">
        <v>640</v>
      </c>
      <c r="AE200">
        <v>66984468028</v>
      </c>
      <c r="AF200" t="s">
        <v>640</v>
      </c>
      <c r="AG200" s="1" t="s">
        <v>641</v>
      </c>
      <c r="AH200" t="s">
        <v>423</v>
      </c>
    </row>
    <row r="201" spans="1:34" x14ac:dyDescent="0.3">
      <c r="A201">
        <v>101</v>
      </c>
      <c r="B201" t="s">
        <v>34</v>
      </c>
      <c r="C201">
        <v>2</v>
      </c>
      <c r="D201" s="1" t="s">
        <v>637</v>
      </c>
      <c r="E201" s="1" t="s">
        <v>122</v>
      </c>
      <c r="G201">
        <v>470081</v>
      </c>
      <c r="H201" t="s">
        <v>638</v>
      </c>
      <c r="I201" t="s">
        <v>579</v>
      </c>
      <c r="J201">
        <v>12</v>
      </c>
      <c r="K201">
        <v>436521</v>
      </c>
      <c r="L201">
        <v>50001</v>
      </c>
      <c r="M201" t="s">
        <v>39</v>
      </c>
      <c r="N201">
        <v>31</v>
      </c>
      <c r="O201" s="2">
        <v>46254</v>
      </c>
      <c r="P201" s="2">
        <v>46294</v>
      </c>
      <c r="R201" t="s">
        <v>639</v>
      </c>
      <c r="S201" t="str">
        <f>"25666160000051950"</f>
        <v>25666160000051950</v>
      </c>
      <c r="T201" t="s">
        <v>41</v>
      </c>
      <c r="U201">
        <v>3735.33</v>
      </c>
      <c r="V201">
        <v>3586</v>
      </c>
      <c r="W201">
        <v>3586</v>
      </c>
      <c r="X201">
        <v>0</v>
      </c>
      <c r="Y201">
        <v>0</v>
      </c>
      <c r="Z201">
        <v>-519</v>
      </c>
      <c r="AA201">
        <v>4311</v>
      </c>
      <c r="AD201" t="s">
        <v>640</v>
      </c>
      <c r="AE201">
        <v>66984468028</v>
      </c>
      <c r="AF201" t="s">
        <v>640</v>
      </c>
      <c r="AG201" s="1" t="s">
        <v>641</v>
      </c>
      <c r="AH201" t="s">
        <v>423</v>
      </c>
    </row>
    <row r="202" spans="1:34" x14ac:dyDescent="0.3">
      <c r="A202">
        <v>101</v>
      </c>
      <c r="B202" t="s">
        <v>34</v>
      </c>
      <c r="C202">
        <v>2</v>
      </c>
      <c r="D202" s="1" t="s">
        <v>642</v>
      </c>
      <c r="E202" s="1" t="s">
        <v>122</v>
      </c>
      <c r="G202">
        <v>470081</v>
      </c>
      <c r="H202" t="s">
        <v>638</v>
      </c>
      <c r="I202" t="s">
        <v>579</v>
      </c>
      <c r="J202">
        <v>12</v>
      </c>
      <c r="K202">
        <v>436521</v>
      </c>
      <c r="L202">
        <v>50001</v>
      </c>
      <c r="M202" t="s">
        <v>39</v>
      </c>
      <c r="N202">
        <v>31</v>
      </c>
      <c r="O202" s="2">
        <v>46217</v>
      </c>
      <c r="P202" s="2">
        <v>46257</v>
      </c>
      <c r="R202" t="s">
        <v>643</v>
      </c>
      <c r="S202" t="str">
        <f>"25666160000051457"</f>
        <v>25666160000051457</v>
      </c>
      <c r="T202" t="s">
        <v>41</v>
      </c>
      <c r="U202">
        <v>1359.9</v>
      </c>
      <c r="V202">
        <v>1304.71</v>
      </c>
      <c r="W202">
        <v>1304.71</v>
      </c>
      <c r="X202">
        <v>0</v>
      </c>
      <c r="Y202">
        <v>0</v>
      </c>
      <c r="Z202">
        <v>-482</v>
      </c>
      <c r="AA202">
        <v>1127</v>
      </c>
      <c r="AD202" t="s">
        <v>640</v>
      </c>
      <c r="AE202">
        <v>66984468028</v>
      </c>
      <c r="AF202" t="s">
        <v>640</v>
      </c>
      <c r="AG202" s="1" t="s">
        <v>641</v>
      </c>
      <c r="AH202" t="s">
        <v>423</v>
      </c>
    </row>
    <row r="203" spans="1:34" x14ac:dyDescent="0.3">
      <c r="A203">
        <v>101</v>
      </c>
      <c r="B203" t="s">
        <v>34</v>
      </c>
      <c r="C203">
        <v>2</v>
      </c>
      <c r="D203" s="1" t="s">
        <v>642</v>
      </c>
      <c r="E203" s="1" t="s">
        <v>116</v>
      </c>
      <c r="G203">
        <v>470081</v>
      </c>
      <c r="H203" t="s">
        <v>638</v>
      </c>
      <c r="I203" t="s">
        <v>579</v>
      </c>
      <c r="J203">
        <v>12</v>
      </c>
      <c r="K203">
        <v>436521</v>
      </c>
      <c r="L203">
        <v>50001</v>
      </c>
      <c r="M203" t="s">
        <v>39</v>
      </c>
      <c r="N203">
        <v>31</v>
      </c>
      <c r="O203" s="2">
        <v>46217</v>
      </c>
      <c r="P203" s="2">
        <v>46267</v>
      </c>
      <c r="R203" t="s">
        <v>643</v>
      </c>
      <c r="S203" t="str">
        <f>"25666160000051458"</f>
        <v>25666160000051458</v>
      </c>
      <c r="T203" t="s">
        <v>41</v>
      </c>
      <c r="U203">
        <v>1360.3</v>
      </c>
      <c r="V203">
        <v>1305.1099999999999</v>
      </c>
      <c r="W203">
        <v>1305.1099999999999</v>
      </c>
      <c r="X203">
        <v>0</v>
      </c>
      <c r="Y203">
        <v>0</v>
      </c>
      <c r="Z203">
        <v>-492</v>
      </c>
      <c r="AA203">
        <v>1127</v>
      </c>
      <c r="AD203" t="s">
        <v>640</v>
      </c>
      <c r="AE203">
        <v>66984468028</v>
      </c>
      <c r="AF203" t="s">
        <v>640</v>
      </c>
      <c r="AG203" s="1" t="s">
        <v>641</v>
      </c>
      <c r="AH203" t="s">
        <v>423</v>
      </c>
    </row>
    <row r="204" spans="1:34" x14ac:dyDescent="0.3">
      <c r="A204">
        <v>101</v>
      </c>
      <c r="B204" t="s">
        <v>34</v>
      </c>
      <c r="C204">
        <v>2</v>
      </c>
      <c r="D204" s="1" t="s">
        <v>644</v>
      </c>
      <c r="E204" s="1" t="s">
        <v>36</v>
      </c>
      <c r="G204">
        <v>470105</v>
      </c>
      <c r="H204" t="s">
        <v>645</v>
      </c>
      <c r="I204" t="s">
        <v>646</v>
      </c>
      <c r="J204">
        <v>12</v>
      </c>
      <c r="K204">
        <v>470105</v>
      </c>
      <c r="L204">
        <v>50001</v>
      </c>
      <c r="M204" t="s">
        <v>39</v>
      </c>
      <c r="N204">
        <v>31</v>
      </c>
      <c r="O204" s="2">
        <v>46240</v>
      </c>
      <c r="P204" s="2">
        <v>46270</v>
      </c>
      <c r="R204" t="s">
        <v>647</v>
      </c>
      <c r="S204" t="str">
        <f>"25666160000051832"</f>
        <v>25666160000051832</v>
      </c>
      <c r="T204" t="s">
        <v>41</v>
      </c>
      <c r="U204">
        <v>3951.49</v>
      </c>
      <c r="V204">
        <v>3951.49</v>
      </c>
      <c r="W204">
        <v>3951.49</v>
      </c>
      <c r="X204">
        <v>0</v>
      </c>
      <c r="Y204">
        <v>0</v>
      </c>
      <c r="Z204">
        <v>-495</v>
      </c>
      <c r="AA204">
        <v>4274</v>
      </c>
      <c r="AD204" t="s">
        <v>437</v>
      </c>
      <c r="AE204" t="s">
        <v>648</v>
      </c>
      <c r="AF204" t="s">
        <v>437</v>
      </c>
      <c r="AG204">
        <v>41644406000194</v>
      </c>
      <c r="AH204" t="s">
        <v>311</v>
      </c>
    </row>
    <row r="205" spans="1:34" x14ac:dyDescent="0.3">
      <c r="A205">
        <v>101</v>
      </c>
      <c r="B205" t="s">
        <v>34</v>
      </c>
      <c r="C205">
        <v>2</v>
      </c>
      <c r="D205" s="1" t="s">
        <v>649</v>
      </c>
      <c r="E205" s="1" t="s">
        <v>36</v>
      </c>
      <c r="G205">
        <v>470596</v>
      </c>
      <c r="H205" t="s">
        <v>650</v>
      </c>
      <c r="I205" t="s">
        <v>651</v>
      </c>
      <c r="J205">
        <v>12</v>
      </c>
      <c r="K205">
        <v>470596</v>
      </c>
      <c r="L205">
        <v>50001</v>
      </c>
      <c r="M205" t="s">
        <v>39</v>
      </c>
      <c r="N205">
        <v>31</v>
      </c>
      <c r="O205" s="2">
        <v>46135</v>
      </c>
      <c r="P205" s="2">
        <v>46161</v>
      </c>
      <c r="R205" t="s">
        <v>652</v>
      </c>
      <c r="S205" t="str">
        <f>"25666160000050269"</f>
        <v>25666160000050269</v>
      </c>
      <c r="T205" t="s">
        <v>41</v>
      </c>
      <c r="U205">
        <v>1099.6300000000001</v>
      </c>
      <c r="V205">
        <v>1099.6300000000001</v>
      </c>
      <c r="W205">
        <v>1099.6300000000001</v>
      </c>
      <c r="X205">
        <v>0</v>
      </c>
      <c r="Y205">
        <v>0</v>
      </c>
      <c r="Z205">
        <v>-386</v>
      </c>
      <c r="AA205">
        <v>685785</v>
      </c>
      <c r="AD205" t="s">
        <v>308</v>
      </c>
      <c r="AE205">
        <v>64999594564</v>
      </c>
      <c r="AF205" t="s">
        <v>308</v>
      </c>
      <c r="AG205">
        <v>58192662000190</v>
      </c>
      <c r="AH205" t="s">
        <v>311</v>
      </c>
    </row>
    <row r="206" spans="1:34" x14ac:dyDescent="0.3">
      <c r="A206">
        <v>101</v>
      </c>
      <c r="B206" t="s">
        <v>34</v>
      </c>
      <c r="C206">
        <v>2</v>
      </c>
      <c r="D206" s="1" t="s">
        <v>653</v>
      </c>
      <c r="E206" s="1" t="s">
        <v>36</v>
      </c>
      <c r="G206">
        <v>470860</v>
      </c>
      <c r="H206" t="s">
        <v>654</v>
      </c>
      <c r="I206" t="s">
        <v>655</v>
      </c>
      <c r="J206">
        <v>12</v>
      </c>
      <c r="K206">
        <v>451509</v>
      </c>
      <c r="L206">
        <v>50001</v>
      </c>
      <c r="M206" t="s">
        <v>39</v>
      </c>
      <c r="N206">
        <v>31</v>
      </c>
      <c r="O206" s="2">
        <v>46254</v>
      </c>
      <c r="P206" s="2">
        <v>46284</v>
      </c>
      <c r="R206" t="s">
        <v>656</v>
      </c>
      <c r="S206" t="str">
        <f>"25666160000051979"</f>
        <v>25666160000051979</v>
      </c>
      <c r="T206" t="s">
        <v>41</v>
      </c>
      <c r="U206">
        <v>2844.68</v>
      </c>
      <c r="V206">
        <v>2759.34</v>
      </c>
      <c r="W206">
        <v>2759.34</v>
      </c>
      <c r="X206">
        <v>0</v>
      </c>
      <c r="Y206">
        <v>0</v>
      </c>
      <c r="Z206">
        <v>-509</v>
      </c>
      <c r="AA206">
        <v>4857</v>
      </c>
      <c r="AD206" t="s">
        <v>657</v>
      </c>
      <c r="AE206" t="s">
        <v>658</v>
      </c>
      <c r="AF206" t="s">
        <v>657</v>
      </c>
      <c r="AG206">
        <v>52673790000170</v>
      </c>
      <c r="AH206" t="s">
        <v>311</v>
      </c>
    </row>
    <row r="207" spans="1:34" x14ac:dyDescent="0.3">
      <c r="A207">
        <v>101</v>
      </c>
      <c r="B207" t="s">
        <v>34</v>
      </c>
      <c r="C207">
        <v>2</v>
      </c>
      <c r="D207" s="1" t="s">
        <v>659</v>
      </c>
      <c r="E207" s="1" t="s">
        <v>36</v>
      </c>
      <c r="G207">
        <v>470860</v>
      </c>
      <c r="H207" t="s">
        <v>654</v>
      </c>
      <c r="I207" t="s">
        <v>655</v>
      </c>
      <c r="J207">
        <v>12</v>
      </c>
      <c r="K207">
        <v>451509</v>
      </c>
      <c r="L207">
        <v>50001</v>
      </c>
      <c r="M207" t="s">
        <v>39</v>
      </c>
      <c r="N207">
        <v>31</v>
      </c>
      <c r="O207" s="2">
        <v>46254</v>
      </c>
      <c r="P207" s="2">
        <v>46284</v>
      </c>
      <c r="R207" t="s">
        <v>660</v>
      </c>
      <c r="S207" t="str">
        <f>"25666160000051978"</f>
        <v>25666160000051978</v>
      </c>
      <c r="T207" t="s">
        <v>41</v>
      </c>
      <c r="U207">
        <v>2059.4699999999998</v>
      </c>
      <c r="V207">
        <v>1997.69</v>
      </c>
      <c r="W207">
        <v>1997.69</v>
      </c>
      <c r="X207">
        <v>0</v>
      </c>
      <c r="Y207">
        <v>0</v>
      </c>
      <c r="Z207">
        <v>-509</v>
      </c>
      <c r="AA207">
        <v>4847</v>
      </c>
      <c r="AD207" t="s">
        <v>657</v>
      </c>
      <c r="AE207" t="s">
        <v>658</v>
      </c>
      <c r="AF207" t="s">
        <v>657</v>
      </c>
      <c r="AG207">
        <v>52673790000170</v>
      </c>
      <c r="AH207" t="s">
        <v>311</v>
      </c>
    </row>
    <row r="208" spans="1:34" x14ac:dyDescent="0.3">
      <c r="A208">
        <v>101</v>
      </c>
      <c r="B208" t="s">
        <v>34</v>
      </c>
      <c r="C208">
        <v>2</v>
      </c>
      <c r="D208" s="1" t="s">
        <v>661</v>
      </c>
      <c r="E208" s="1" t="s">
        <v>36</v>
      </c>
      <c r="G208">
        <v>471121</v>
      </c>
      <c r="H208" t="s">
        <v>662</v>
      </c>
      <c r="I208" t="s">
        <v>663</v>
      </c>
      <c r="J208">
        <v>12</v>
      </c>
      <c r="K208">
        <v>444416</v>
      </c>
      <c r="L208">
        <v>50001</v>
      </c>
      <c r="M208" t="s">
        <v>39</v>
      </c>
      <c r="N208">
        <v>31</v>
      </c>
      <c r="O208" s="2">
        <v>46234</v>
      </c>
      <c r="P208" s="2">
        <v>46294</v>
      </c>
      <c r="R208" t="s">
        <v>664</v>
      </c>
      <c r="S208" t="str">
        <f>"25666160000051766"</f>
        <v>25666160000051766</v>
      </c>
      <c r="T208" t="s">
        <v>41</v>
      </c>
      <c r="U208">
        <v>3812.82</v>
      </c>
      <c r="V208">
        <v>3698.44</v>
      </c>
      <c r="W208">
        <v>3698.44</v>
      </c>
      <c r="X208">
        <v>0</v>
      </c>
      <c r="Y208">
        <v>0</v>
      </c>
      <c r="Z208">
        <v>-519</v>
      </c>
      <c r="AA208">
        <v>4110</v>
      </c>
      <c r="AD208" t="s">
        <v>665</v>
      </c>
      <c r="AE208" t="s">
        <v>666</v>
      </c>
      <c r="AF208" t="s">
        <v>665</v>
      </c>
      <c r="AG208">
        <v>26465367002975</v>
      </c>
      <c r="AH208" t="s">
        <v>311</v>
      </c>
    </row>
    <row r="209" spans="1:34" x14ac:dyDescent="0.3">
      <c r="A209">
        <v>101</v>
      </c>
      <c r="B209" t="s">
        <v>34</v>
      </c>
      <c r="C209">
        <v>2</v>
      </c>
      <c r="D209" s="1" t="s">
        <v>667</v>
      </c>
      <c r="E209" s="1" t="s">
        <v>36</v>
      </c>
      <c r="G209">
        <v>471162</v>
      </c>
      <c r="H209" t="s">
        <v>668</v>
      </c>
      <c r="I209" t="s">
        <v>669</v>
      </c>
      <c r="J209">
        <v>12</v>
      </c>
      <c r="K209">
        <v>471162</v>
      </c>
      <c r="L209">
        <v>50001</v>
      </c>
      <c r="M209" t="s">
        <v>39</v>
      </c>
      <c r="N209">
        <v>31</v>
      </c>
      <c r="O209" s="2">
        <v>46254</v>
      </c>
      <c r="P209" s="2">
        <v>46284</v>
      </c>
      <c r="R209" t="s">
        <v>670</v>
      </c>
      <c r="S209" t="str">
        <f>"25666160000051952"</f>
        <v>25666160000051952</v>
      </c>
      <c r="T209" t="s">
        <v>41</v>
      </c>
      <c r="U209">
        <v>4799.6000000000004</v>
      </c>
      <c r="V209">
        <v>4799.6000000000004</v>
      </c>
      <c r="W209">
        <v>4799.6000000000004</v>
      </c>
      <c r="X209">
        <v>0</v>
      </c>
      <c r="Y209">
        <v>0</v>
      </c>
      <c r="Z209">
        <v>-509</v>
      </c>
      <c r="AA209">
        <v>4650</v>
      </c>
      <c r="AD209" t="s">
        <v>330</v>
      </c>
      <c r="AE209">
        <v>64992134978</v>
      </c>
      <c r="AF209" t="s">
        <v>330</v>
      </c>
      <c r="AG209">
        <v>21085060000124</v>
      </c>
      <c r="AH209" t="s">
        <v>311</v>
      </c>
    </row>
    <row r="210" spans="1:34" x14ac:dyDescent="0.3">
      <c r="A210">
        <v>101</v>
      </c>
      <c r="B210" t="s">
        <v>34</v>
      </c>
      <c r="C210">
        <v>2</v>
      </c>
      <c r="D210" s="1" t="s">
        <v>671</v>
      </c>
      <c r="E210" s="1" t="s">
        <v>36</v>
      </c>
      <c r="G210">
        <v>471197</v>
      </c>
      <c r="H210" t="s">
        <v>672</v>
      </c>
      <c r="I210" t="s">
        <v>625</v>
      </c>
      <c r="J210">
        <v>12</v>
      </c>
      <c r="K210">
        <v>469602</v>
      </c>
      <c r="L210">
        <v>50001</v>
      </c>
      <c r="M210" t="s">
        <v>39</v>
      </c>
      <c r="N210">
        <v>31</v>
      </c>
      <c r="O210" s="2">
        <v>46254</v>
      </c>
      <c r="P210" s="2">
        <v>46304</v>
      </c>
      <c r="R210" t="s">
        <v>673</v>
      </c>
      <c r="S210" t="str">
        <f>"25666160000051953"</f>
        <v>25666160000051953</v>
      </c>
      <c r="T210" t="s">
        <v>41</v>
      </c>
      <c r="U210">
        <v>12435.73</v>
      </c>
      <c r="V210">
        <v>12435.73</v>
      </c>
      <c r="W210">
        <v>12435.73</v>
      </c>
      <c r="X210">
        <v>0</v>
      </c>
      <c r="Y210">
        <v>0</v>
      </c>
      <c r="Z210">
        <v>-529</v>
      </c>
      <c r="AA210">
        <v>4817</v>
      </c>
      <c r="AD210" t="s">
        <v>674</v>
      </c>
      <c r="AE210" t="s">
        <v>675</v>
      </c>
      <c r="AF210" t="s">
        <v>674</v>
      </c>
      <c r="AG210" s="1" t="s">
        <v>676</v>
      </c>
      <c r="AH210" t="s">
        <v>423</v>
      </c>
    </row>
    <row r="211" spans="1:34" x14ac:dyDescent="0.3">
      <c r="A211">
        <v>101</v>
      </c>
      <c r="B211" t="s">
        <v>34</v>
      </c>
      <c r="C211">
        <v>2</v>
      </c>
      <c r="D211" s="1" t="s">
        <v>677</v>
      </c>
      <c r="E211" s="1" t="s">
        <v>36</v>
      </c>
      <c r="G211">
        <v>471208</v>
      </c>
      <c r="H211" t="s">
        <v>678</v>
      </c>
      <c r="I211" t="s">
        <v>679</v>
      </c>
      <c r="J211">
        <v>12</v>
      </c>
      <c r="K211">
        <v>464526</v>
      </c>
      <c r="L211">
        <v>50001</v>
      </c>
      <c r="M211" t="s">
        <v>39</v>
      </c>
      <c r="N211">
        <v>31</v>
      </c>
      <c r="O211" s="2">
        <v>46254</v>
      </c>
      <c r="P211" s="2">
        <v>46284</v>
      </c>
      <c r="R211" t="s">
        <v>680</v>
      </c>
      <c r="S211" t="str">
        <f>"25666160000051994"</f>
        <v>25666160000051994</v>
      </c>
      <c r="T211" t="s">
        <v>41</v>
      </c>
      <c r="U211">
        <v>636.20000000000005</v>
      </c>
      <c r="V211">
        <v>636.20000000000005</v>
      </c>
      <c r="W211">
        <v>636.20000000000005</v>
      </c>
      <c r="X211">
        <v>0</v>
      </c>
      <c r="Y211">
        <v>0</v>
      </c>
      <c r="Z211">
        <v>-509</v>
      </c>
      <c r="AA211">
        <v>4930</v>
      </c>
      <c r="AD211" t="s">
        <v>308</v>
      </c>
      <c r="AE211" t="s">
        <v>681</v>
      </c>
      <c r="AF211" t="s">
        <v>308</v>
      </c>
      <c r="AG211">
        <v>67879863000151</v>
      </c>
      <c r="AH211" t="s">
        <v>311</v>
      </c>
    </row>
    <row r="212" spans="1:34" x14ac:dyDescent="0.3">
      <c r="A212">
        <v>101</v>
      </c>
      <c r="B212" t="s">
        <v>34</v>
      </c>
      <c r="C212">
        <v>2</v>
      </c>
      <c r="D212" s="1" t="s">
        <v>677</v>
      </c>
      <c r="E212" s="1" t="s">
        <v>122</v>
      </c>
      <c r="G212">
        <v>471208</v>
      </c>
      <c r="H212" t="s">
        <v>678</v>
      </c>
      <c r="I212" t="s">
        <v>679</v>
      </c>
      <c r="J212">
        <v>12</v>
      </c>
      <c r="K212">
        <v>464526</v>
      </c>
      <c r="L212">
        <v>50001</v>
      </c>
      <c r="M212" t="s">
        <v>39</v>
      </c>
      <c r="N212">
        <v>31</v>
      </c>
      <c r="O212" s="2">
        <v>46254</v>
      </c>
      <c r="P212" s="2">
        <v>46299</v>
      </c>
      <c r="R212" t="s">
        <v>680</v>
      </c>
      <c r="S212" t="str">
        <f>"25666160000051995"</f>
        <v>25666160000051995</v>
      </c>
      <c r="T212" t="s">
        <v>41</v>
      </c>
      <c r="U212">
        <v>626.53</v>
      </c>
      <c r="V212">
        <v>626.53</v>
      </c>
      <c r="W212">
        <v>626.53</v>
      </c>
      <c r="X212">
        <v>0</v>
      </c>
      <c r="Y212">
        <v>0</v>
      </c>
      <c r="Z212">
        <v>-524</v>
      </c>
      <c r="AA212">
        <v>4930</v>
      </c>
      <c r="AD212" t="s">
        <v>308</v>
      </c>
      <c r="AE212" t="s">
        <v>681</v>
      </c>
      <c r="AF212" t="s">
        <v>308</v>
      </c>
      <c r="AG212">
        <v>67879863000151</v>
      </c>
      <c r="AH212" t="s">
        <v>311</v>
      </c>
    </row>
    <row r="213" spans="1:34" x14ac:dyDescent="0.3">
      <c r="A213">
        <v>101</v>
      </c>
      <c r="B213" t="s">
        <v>34</v>
      </c>
      <c r="C213">
        <v>2</v>
      </c>
      <c r="D213" s="1" t="s">
        <v>677</v>
      </c>
      <c r="E213" s="1" t="s">
        <v>116</v>
      </c>
      <c r="G213">
        <v>471208</v>
      </c>
      <c r="H213" t="s">
        <v>678</v>
      </c>
      <c r="I213" t="s">
        <v>679</v>
      </c>
      <c r="J213">
        <v>12</v>
      </c>
      <c r="K213">
        <v>464526</v>
      </c>
      <c r="L213">
        <v>50001</v>
      </c>
      <c r="M213" t="s">
        <v>39</v>
      </c>
      <c r="N213">
        <v>31</v>
      </c>
      <c r="O213" s="2">
        <v>46254</v>
      </c>
      <c r="P213" s="2">
        <v>46314</v>
      </c>
      <c r="R213" t="s">
        <v>680</v>
      </c>
      <c r="S213" t="str">
        <f>"25666160000051996"</f>
        <v>25666160000051996</v>
      </c>
      <c r="T213" t="s">
        <v>41</v>
      </c>
      <c r="U213">
        <v>626.72</v>
      </c>
      <c r="V213">
        <v>626.72</v>
      </c>
      <c r="W213">
        <v>626.72</v>
      </c>
      <c r="X213">
        <v>0</v>
      </c>
      <c r="Y213">
        <v>0</v>
      </c>
      <c r="Z213">
        <v>-539</v>
      </c>
      <c r="AA213">
        <v>4930</v>
      </c>
      <c r="AD213" t="s">
        <v>308</v>
      </c>
      <c r="AE213" t="s">
        <v>681</v>
      </c>
      <c r="AF213" t="s">
        <v>308</v>
      </c>
      <c r="AG213">
        <v>67879863000151</v>
      </c>
      <c r="AH213" t="s">
        <v>311</v>
      </c>
    </row>
    <row r="214" spans="1:34" x14ac:dyDescent="0.3">
      <c r="A214">
        <v>101</v>
      </c>
      <c r="B214" t="s">
        <v>34</v>
      </c>
      <c r="C214">
        <v>2</v>
      </c>
      <c r="D214" s="1" t="s">
        <v>682</v>
      </c>
      <c r="E214" s="1" t="s">
        <v>36</v>
      </c>
      <c r="G214">
        <v>999000083</v>
      </c>
      <c r="H214" t="s">
        <v>683</v>
      </c>
      <c r="I214" t="s">
        <v>684</v>
      </c>
      <c r="J214">
        <v>12</v>
      </c>
      <c r="K214">
        <v>2898</v>
      </c>
      <c r="L214">
        <v>50341</v>
      </c>
      <c r="M214" t="s">
        <v>146</v>
      </c>
      <c r="N214">
        <v>31</v>
      </c>
      <c r="O214" s="2">
        <v>46240</v>
      </c>
      <c r="P214" s="2">
        <v>46285</v>
      </c>
      <c r="R214" t="s">
        <v>685</v>
      </c>
      <c r="S214" t="str">
        <f>"00013643"</f>
        <v>00013643</v>
      </c>
      <c r="T214" t="s">
        <v>41</v>
      </c>
      <c r="U214">
        <v>10773.79</v>
      </c>
      <c r="V214">
        <v>10235.1</v>
      </c>
      <c r="W214">
        <v>10235.1</v>
      </c>
      <c r="X214">
        <v>0</v>
      </c>
      <c r="Y214">
        <v>0</v>
      </c>
      <c r="Z214">
        <v>-510</v>
      </c>
      <c r="AA214">
        <v>4277</v>
      </c>
      <c r="AD214" t="s">
        <v>330</v>
      </c>
      <c r="AE214" t="s">
        <v>686</v>
      </c>
      <c r="AF214" t="s">
        <v>330</v>
      </c>
      <c r="AG214" s="1" t="s">
        <v>687</v>
      </c>
      <c r="AH214" t="s">
        <v>311</v>
      </c>
    </row>
    <row r="215" spans="1:34" x14ac:dyDescent="0.3">
      <c r="A215">
        <v>101</v>
      </c>
      <c r="B215" t="s">
        <v>34</v>
      </c>
      <c r="C215">
        <v>2</v>
      </c>
      <c r="D215" s="1" t="s">
        <v>688</v>
      </c>
      <c r="E215" s="1" t="s">
        <v>36</v>
      </c>
      <c r="G215">
        <v>999000348</v>
      </c>
      <c r="H215" t="s">
        <v>689</v>
      </c>
      <c r="I215" t="s">
        <v>690</v>
      </c>
      <c r="J215">
        <v>12</v>
      </c>
      <c r="K215">
        <v>1451</v>
      </c>
      <c r="L215">
        <v>50341</v>
      </c>
      <c r="M215" t="s">
        <v>146</v>
      </c>
      <c r="N215">
        <v>31</v>
      </c>
      <c r="O215" s="2">
        <v>46234</v>
      </c>
      <c r="P215" s="2">
        <v>46264</v>
      </c>
      <c r="R215" t="s">
        <v>691</v>
      </c>
      <c r="S215" t="str">
        <f>"00013417"</f>
        <v>00013417</v>
      </c>
      <c r="T215" t="s">
        <v>41</v>
      </c>
      <c r="U215">
        <v>145.84</v>
      </c>
      <c r="V215">
        <v>142.91999999999999</v>
      </c>
      <c r="W215">
        <v>142.91999999999999</v>
      </c>
      <c r="X215">
        <v>0</v>
      </c>
      <c r="Y215">
        <v>0</v>
      </c>
      <c r="Z215">
        <v>-489</v>
      </c>
      <c r="AA215">
        <v>4142</v>
      </c>
      <c r="AD215" t="s">
        <v>330</v>
      </c>
      <c r="AE215" t="s">
        <v>692</v>
      </c>
      <c r="AF215" t="s">
        <v>330</v>
      </c>
      <c r="AG215">
        <v>37630118000375</v>
      </c>
      <c r="AH215" t="s">
        <v>311</v>
      </c>
    </row>
    <row r="216" spans="1:34" x14ac:dyDescent="0.3">
      <c r="A216">
        <v>101</v>
      </c>
      <c r="B216" t="s">
        <v>34</v>
      </c>
      <c r="C216">
        <v>2</v>
      </c>
      <c r="D216" s="1" t="s">
        <v>693</v>
      </c>
      <c r="E216" s="1" t="s">
        <v>36</v>
      </c>
      <c r="G216">
        <v>999000348</v>
      </c>
      <c r="H216" t="s">
        <v>689</v>
      </c>
      <c r="I216" t="s">
        <v>690</v>
      </c>
      <c r="J216">
        <v>12</v>
      </c>
      <c r="K216">
        <v>1451</v>
      </c>
      <c r="L216">
        <v>50341</v>
      </c>
      <c r="M216" t="s">
        <v>146</v>
      </c>
      <c r="N216">
        <v>31</v>
      </c>
      <c r="O216" s="2">
        <v>46234</v>
      </c>
      <c r="P216" s="2">
        <v>46264</v>
      </c>
      <c r="R216" t="s">
        <v>694</v>
      </c>
      <c r="S216" t="str">
        <f>"00013416"</f>
        <v>00013416</v>
      </c>
      <c r="T216" t="s">
        <v>41</v>
      </c>
      <c r="U216">
        <v>3570.66</v>
      </c>
      <c r="V216">
        <v>3499.25</v>
      </c>
      <c r="W216">
        <v>3499.25</v>
      </c>
      <c r="X216">
        <v>0</v>
      </c>
      <c r="Y216">
        <v>0</v>
      </c>
      <c r="Z216">
        <v>-489</v>
      </c>
      <c r="AA216">
        <v>4075</v>
      </c>
      <c r="AD216" t="s">
        <v>330</v>
      </c>
      <c r="AE216" t="s">
        <v>692</v>
      </c>
      <c r="AF216" t="s">
        <v>330</v>
      </c>
      <c r="AG216">
        <v>37630118000375</v>
      </c>
      <c r="AH216" t="s">
        <v>311</v>
      </c>
    </row>
    <row r="217" spans="1:34" x14ac:dyDescent="0.3">
      <c r="A217">
        <v>101</v>
      </c>
      <c r="B217" t="s">
        <v>34</v>
      </c>
      <c r="C217">
        <v>2</v>
      </c>
      <c r="D217" s="1" t="s">
        <v>695</v>
      </c>
      <c r="E217" s="1" t="s">
        <v>36</v>
      </c>
      <c r="G217">
        <v>999001868</v>
      </c>
      <c r="H217" t="s">
        <v>696</v>
      </c>
      <c r="I217" t="s">
        <v>697</v>
      </c>
      <c r="J217">
        <v>12</v>
      </c>
      <c r="K217">
        <v>881</v>
      </c>
      <c r="L217">
        <v>50001</v>
      </c>
      <c r="M217" t="s">
        <v>39</v>
      </c>
      <c r="N217">
        <v>31</v>
      </c>
      <c r="O217" s="2">
        <v>46232</v>
      </c>
      <c r="P217" s="2">
        <v>46292</v>
      </c>
      <c r="R217" t="s">
        <v>698</v>
      </c>
      <c r="S217" t="str">
        <f>"25666160000051676"</f>
        <v>25666160000051676</v>
      </c>
      <c r="T217" t="s">
        <v>41</v>
      </c>
      <c r="U217">
        <v>8400.09</v>
      </c>
      <c r="V217">
        <v>8400.09</v>
      </c>
      <c r="W217">
        <v>8400.09</v>
      </c>
      <c r="X217">
        <v>0</v>
      </c>
      <c r="Y217">
        <v>0</v>
      </c>
      <c r="Z217">
        <v>-517</v>
      </c>
      <c r="AA217">
        <v>695307</v>
      </c>
      <c r="AD217" t="s">
        <v>318</v>
      </c>
      <c r="AE217" t="s">
        <v>699</v>
      </c>
      <c r="AF217" t="s">
        <v>318</v>
      </c>
      <c r="AG217" s="1" t="s">
        <v>700</v>
      </c>
      <c r="AH217" t="s">
        <v>311</v>
      </c>
    </row>
    <row r="218" spans="1:34" x14ac:dyDescent="0.3">
      <c r="A218">
        <v>101</v>
      </c>
      <c r="B218" t="s">
        <v>34</v>
      </c>
      <c r="C218">
        <v>2</v>
      </c>
      <c r="D218" s="1" t="s">
        <v>701</v>
      </c>
      <c r="E218" s="1" t="s">
        <v>36</v>
      </c>
      <c r="G218">
        <v>999002497</v>
      </c>
      <c r="H218" t="s">
        <v>702</v>
      </c>
      <c r="I218" t="s">
        <v>396</v>
      </c>
      <c r="J218">
        <v>12</v>
      </c>
      <c r="K218">
        <v>1451</v>
      </c>
      <c r="L218">
        <v>50341</v>
      </c>
      <c r="M218" t="s">
        <v>146</v>
      </c>
      <c r="N218">
        <v>31</v>
      </c>
      <c r="O218" s="2">
        <v>46234</v>
      </c>
      <c r="P218" s="2">
        <v>46264</v>
      </c>
      <c r="R218" t="s">
        <v>703</v>
      </c>
      <c r="S218" t="str">
        <f>"00013419"</f>
        <v>00013419</v>
      </c>
      <c r="T218" t="s">
        <v>41</v>
      </c>
      <c r="U218">
        <v>436.71</v>
      </c>
      <c r="V218">
        <v>427.98</v>
      </c>
      <c r="W218">
        <v>427.98</v>
      </c>
      <c r="X218">
        <v>0</v>
      </c>
      <c r="Y218">
        <v>0</v>
      </c>
      <c r="Z218">
        <v>-489</v>
      </c>
      <c r="AA218">
        <v>4141</v>
      </c>
      <c r="AD218" t="s">
        <v>330</v>
      </c>
      <c r="AE218" t="s">
        <v>704</v>
      </c>
      <c r="AF218" t="s">
        <v>330</v>
      </c>
      <c r="AG218">
        <v>37630118000456</v>
      </c>
      <c r="AH218" t="s">
        <v>311</v>
      </c>
    </row>
    <row r="219" spans="1:34" x14ac:dyDescent="0.3">
      <c r="A219">
        <v>101</v>
      </c>
      <c r="B219" t="s">
        <v>34</v>
      </c>
      <c r="C219">
        <v>2</v>
      </c>
      <c r="D219" s="1" t="s">
        <v>705</v>
      </c>
      <c r="E219" s="1" t="s">
        <v>36</v>
      </c>
      <c r="G219">
        <v>999002497</v>
      </c>
      <c r="H219" t="s">
        <v>702</v>
      </c>
      <c r="I219" t="s">
        <v>396</v>
      </c>
      <c r="J219">
        <v>12</v>
      </c>
      <c r="K219">
        <v>1451</v>
      </c>
      <c r="L219">
        <v>50341</v>
      </c>
      <c r="M219" t="s">
        <v>146</v>
      </c>
      <c r="N219">
        <v>31</v>
      </c>
      <c r="O219" s="2">
        <v>46234</v>
      </c>
      <c r="P219" s="2">
        <v>46264</v>
      </c>
      <c r="R219" t="s">
        <v>706</v>
      </c>
      <c r="S219" t="str">
        <f>"00013418"</f>
        <v>00013418</v>
      </c>
      <c r="T219" t="s">
        <v>41</v>
      </c>
      <c r="U219">
        <v>3065.99</v>
      </c>
      <c r="V219">
        <v>3004.67</v>
      </c>
      <c r="W219">
        <v>3004.67</v>
      </c>
      <c r="X219">
        <v>0</v>
      </c>
      <c r="Y219">
        <v>0</v>
      </c>
      <c r="Z219">
        <v>-489</v>
      </c>
      <c r="AA219">
        <v>4078</v>
      </c>
      <c r="AD219" t="s">
        <v>330</v>
      </c>
      <c r="AE219" t="s">
        <v>704</v>
      </c>
      <c r="AF219" t="s">
        <v>330</v>
      </c>
      <c r="AG219">
        <v>37630118000456</v>
      </c>
      <c r="AH219" t="s">
        <v>311</v>
      </c>
    </row>
    <row r="220" spans="1:34" x14ac:dyDescent="0.3">
      <c r="A220">
        <v>101</v>
      </c>
      <c r="B220" t="s">
        <v>34</v>
      </c>
      <c r="C220">
        <v>2</v>
      </c>
      <c r="D220" s="1" t="s">
        <v>707</v>
      </c>
      <c r="E220" s="1" t="s">
        <v>36</v>
      </c>
      <c r="G220">
        <v>543</v>
      </c>
      <c r="H220" t="s">
        <v>708</v>
      </c>
      <c r="I220" t="s">
        <v>709</v>
      </c>
      <c r="J220">
        <v>12</v>
      </c>
      <c r="K220">
        <v>543</v>
      </c>
      <c r="L220">
        <v>50033</v>
      </c>
      <c r="M220" t="s">
        <v>39</v>
      </c>
      <c r="N220">
        <v>32</v>
      </c>
      <c r="O220" s="2">
        <v>46233</v>
      </c>
      <c r="P220" s="2">
        <v>46273</v>
      </c>
      <c r="R220" t="s">
        <v>710</v>
      </c>
      <c r="S220" t="str">
        <f>"0000050411578"</f>
        <v>0000050411578</v>
      </c>
      <c r="T220" t="s">
        <v>41</v>
      </c>
      <c r="U220">
        <v>1977.04</v>
      </c>
      <c r="V220">
        <v>1977.04</v>
      </c>
      <c r="W220">
        <v>1977.04</v>
      </c>
      <c r="X220">
        <v>0</v>
      </c>
      <c r="Y220">
        <v>0</v>
      </c>
      <c r="Z220">
        <v>-498</v>
      </c>
      <c r="AA220">
        <v>1936</v>
      </c>
      <c r="AD220" t="s">
        <v>711</v>
      </c>
      <c r="AE220" t="s">
        <v>712</v>
      </c>
      <c r="AF220" t="s">
        <v>711</v>
      </c>
      <c r="AG220" s="1" t="s">
        <v>713</v>
      </c>
      <c r="AH220" t="s">
        <v>714</v>
      </c>
    </row>
    <row r="221" spans="1:34" x14ac:dyDescent="0.3">
      <c r="A221">
        <v>101</v>
      </c>
      <c r="B221" t="s">
        <v>34</v>
      </c>
      <c r="C221">
        <v>2</v>
      </c>
      <c r="D221" s="1" t="s">
        <v>715</v>
      </c>
      <c r="E221" s="1" t="s">
        <v>36</v>
      </c>
      <c r="G221">
        <v>3768</v>
      </c>
      <c r="H221" t="s">
        <v>716</v>
      </c>
      <c r="I221" t="s">
        <v>717</v>
      </c>
      <c r="J221">
        <v>12</v>
      </c>
      <c r="K221">
        <v>3768</v>
      </c>
      <c r="L221">
        <v>50033</v>
      </c>
      <c r="M221" t="s">
        <v>39</v>
      </c>
      <c r="N221">
        <v>32</v>
      </c>
      <c r="O221" s="2">
        <v>46232</v>
      </c>
      <c r="P221" s="2">
        <v>46267</v>
      </c>
      <c r="R221" t="s">
        <v>718</v>
      </c>
      <c r="S221" t="str">
        <f>"0000050411489"</f>
        <v>0000050411489</v>
      </c>
      <c r="T221" t="s">
        <v>41</v>
      </c>
      <c r="U221">
        <v>18113.55</v>
      </c>
      <c r="V221">
        <v>18113.55</v>
      </c>
      <c r="W221">
        <v>18113.55</v>
      </c>
      <c r="X221">
        <v>0</v>
      </c>
      <c r="Y221">
        <v>0</v>
      </c>
      <c r="Z221">
        <v>-492</v>
      </c>
      <c r="AA221">
        <v>1719</v>
      </c>
      <c r="AD221" t="s">
        <v>719</v>
      </c>
      <c r="AE221" t="s">
        <v>720</v>
      </c>
      <c r="AF221" t="s">
        <v>719</v>
      </c>
      <c r="AG221">
        <v>15901440000197</v>
      </c>
      <c r="AH221" t="s">
        <v>714</v>
      </c>
    </row>
    <row r="222" spans="1:34" x14ac:dyDescent="0.3">
      <c r="A222">
        <v>101</v>
      </c>
      <c r="B222" t="s">
        <v>34</v>
      </c>
      <c r="C222">
        <v>2</v>
      </c>
      <c r="D222" s="1" t="s">
        <v>721</v>
      </c>
      <c r="E222" s="1" t="s">
        <v>122</v>
      </c>
      <c r="G222">
        <v>3769</v>
      </c>
      <c r="H222" t="s">
        <v>722</v>
      </c>
      <c r="I222" t="s">
        <v>723</v>
      </c>
      <c r="J222">
        <v>12</v>
      </c>
      <c r="K222">
        <v>3769</v>
      </c>
      <c r="L222">
        <v>50033</v>
      </c>
      <c r="M222" t="s">
        <v>39</v>
      </c>
      <c r="N222">
        <v>32</v>
      </c>
      <c r="O222" s="2">
        <v>46232</v>
      </c>
      <c r="P222" s="2">
        <v>46267</v>
      </c>
      <c r="R222" t="s">
        <v>724</v>
      </c>
      <c r="S222" t="str">
        <f>"0000050411500"</f>
        <v>0000050411500</v>
      </c>
      <c r="T222" t="s">
        <v>41</v>
      </c>
      <c r="U222">
        <v>1182.71</v>
      </c>
      <c r="V222">
        <v>1182.71</v>
      </c>
      <c r="W222">
        <v>1182.71</v>
      </c>
      <c r="X222">
        <v>0</v>
      </c>
      <c r="Y222">
        <v>0</v>
      </c>
      <c r="Z222">
        <v>-492</v>
      </c>
      <c r="AA222">
        <v>1937</v>
      </c>
      <c r="AD222" t="s">
        <v>725</v>
      </c>
      <c r="AE222" t="s">
        <v>726</v>
      </c>
      <c r="AF222" t="s">
        <v>725</v>
      </c>
      <c r="AG222">
        <v>10141170000140</v>
      </c>
      <c r="AH222" t="s">
        <v>714</v>
      </c>
    </row>
    <row r="223" spans="1:34" x14ac:dyDescent="0.3">
      <c r="A223">
        <v>101</v>
      </c>
      <c r="B223" t="s">
        <v>34</v>
      </c>
      <c r="C223">
        <v>2</v>
      </c>
      <c r="D223" s="1" t="s">
        <v>721</v>
      </c>
      <c r="E223" s="1" t="s">
        <v>36</v>
      </c>
      <c r="G223">
        <v>3769</v>
      </c>
      <c r="H223" t="s">
        <v>722</v>
      </c>
      <c r="I223" t="s">
        <v>723</v>
      </c>
      <c r="J223">
        <v>12</v>
      </c>
      <c r="K223">
        <v>3769</v>
      </c>
      <c r="L223">
        <v>50033</v>
      </c>
      <c r="M223" t="s">
        <v>39</v>
      </c>
      <c r="N223">
        <v>32</v>
      </c>
      <c r="O223" s="2">
        <v>46232</v>
      </c>
      <c r="P223" s="2">
        <v>46260</v>
      </c>
      <c r="R223" t="s">
        <v>724</v>
      </c>
      <c r="S223" t="str">
        <f>"0000050411497"</f>
        <v>0000050411497</v>
      </c>
      <c r="T223" t="s">
        <v>41</v>
      </c>
      <c r="U223">
        <v>1199.28</v>
      </c>
      <c r="V223">
        <v>1199.28</v>
      </c>
      <c r="W223">
        <v>1199.28</v>
      </c>
      <c r="X223">
        <v>0</v>
      </c>
      <c r="Y223">
        <v>0</v>
      </c>
      <c r="Z223">
        <v>-485</v>
      </c>
      <c r="AA223">
        <v>1937</v>
      </c>
      <c r="AD223" t="s">
        <v>725</v>
      </c>
      <c r="AE223" t="s">
        <v>726</v>
      </c>
      <c r="AF223" t="s">
        <v>725</v>
      </c>
      <c r="AG223">
        <v>10141170000140</v>
      </c>
      <c r="AH223" t="s">
        <v>714</v>
      </c>
    </row>
    <row r="224" spans="1:34" x14ac:dyDescent="0.3">
      <c r="A224">
        <v>101</v>
      </c>
      <c r="B224" t="s">
        <v>34</v>
      </c>
      <c r="C224">
        <v>2</v>
      </c>
      <c r="D224" s="1" t="s">
        <v>727</v>
      </c>
      <c r="E224" s="1" t="s">
        <v>36</v>
      </c>
      <c r="G224">
        <v>4124</v>
      </c>
      <c r="H224" t="s">
        <v>728</v>
      </c>
      <c r="I224" t="s">
        <v>729</v>
      </c>
      <c r="J224">
        <v>12</v>
      </c>
      <c r="K224">
        <v>4124</v>
      </c>
      <c r="L224">
        <v>50237</v>
      </c>
      <c r="M224" t="s">
        <v>39</v>
      </c>
      <c r="N224">
        <v>32</v>
      </c>
      <c r="O224" s="2">
        <v>46234</v>
      </c>
      <c r="P224" s="2">
        <v>46274</v>
      </c>
      <c r="R224" t="s">
        <v>730</v>
      </c>
      <c r="S224" t="str">
        <f>"330000051767"</f>
        <v>330000051767</v>
      </c>
      <c r="T224" t="s">
        <v>41</v>
      </c>
      <c r="U224">
        <v>10827.37</v>
      </c>
      <c r="V224">
        <v>10827.37</v>
      </c>
      <c r="W224">
        <v>10827.37</v>
      </c>
      <c r="X224">
        <v>0</v>
      </c>
      <c r="Y224">
        <v>0</v>
      </c>
      <c r="Z224">
        <v>-499</v>
      </c>
      <c r="AA224">
        <v>4057</v>
      </c>
      <c r="AD224" t="s">
        <v>731</v>
      </c>
      <c r="AE224" t="s">
        <v>732</v>
      </c>
      <c r="AF224" t="s">
        <v>731</v>
      </c>
      <c r="AG224" s="1" t="s">
        <v>733</v>
      </c>
      <c r="AH224" t="s">
        <v>714</v>
      </c>
    </row>
    <row r="225" spans="1:34" x14ac:dyDescent="0.3">
      <c r="A225">
        <v>101</v>
      </c>
      <c r="B225" t="s">
        <v>34</v>
      </c>
      <c r="C225">
        <v>2</v>
      </c>
      <c r="D225" s="1" t="s">
        <v>734</v>
      </c>
      <c r="E225" s="1" t="s">
        <v>116</v>
      </c>
      <c r="G225">
        <v>4440</v>
      </c>
      <c r="H225" t="s">
        <v>735</v>
      </c>
      <c r="I225" t="s">
        <v>736</v>
      </c>
      <c r="J225">
        <v>15</v>
      </c>
      <c r="K225">
        <v>4967</v>
      </c>
      <c r="L225">
        <v>50341</v>
      </c>
      <c r="M225" t="s">
        <v>146</v>
      </c>
      <c r="N225">
        <v>32</v>
      </c>
      <c r="O225" s="2">
        <v>46225</v>
      </c>
      <c r="P225" s="2">
        <v>46305</v>
      </c>
      <c r="R225" t="s">
        <v>737</v>
      </c>
      <c r="S225" t="str">
        <f>"00013179"</f>
        <v>00013179</v>
      </c>
      <c r="T225" t="s">
        <v>41</v>
      </c>
      <c r="U225">
        <v>2970.76</v>
      </c>
      <c r="V225">
        <v>2970.76</v>
      </c>
      <c r="W225">
        <v>2970.76</v>
      </c>
      <c r="X225">
        <v>0</v>
      </c>
      <c r="Y225">
        <v>0</v>
      </c>
      <c r="Z225">
        <v>-530</v>
      </c>
      <c r="AA225">
        <v>1390</v>
      </c>
      <c r="AD225" t="s">
        <v>738</v>
      </c>
      <c r="AE225" t="s">
        <v>739</v>
      </c>
      <c r="AF225" t="s">
        <v>738</v>
      </c>
      <c r="AG225" s="1" t="s">
        <v>740</v>
      </c>
      <c r="AH225" t="s">
        <v>714</v>
      </c>
    </row>
    <row r="226" spans="1:34" x14ac:dyDescent="0.3">
      <c r="A226">
        <v>101</v>
      </c>
      <c r="B226" t="s">
        <v>34</v>
      </c>
      <c r="C226">
        <v>2</v>
      </c>
      <c r="D226" s="1" t="s">
        <v>734</v>
      </c>
      <c r="E226" s="1" t="s">
        <v>122</v>
      </c>
      <c r="G226">
        <v>4440</v>
      </c>
      <c r="H226" t="s">
        <v>735</v>
      </c>
      <c r="I226" t="s">
        <v>736</v>
      </c>
      <c r="J226">
        <v>15</v>
      </c>
      <c r="K226">
        <v>4967</v>
      </c>
      <c r="L226">
        <v>50341</v>
      </c>
      <c r="M226" t="s">
        <v>146</v>
      </c>
      <c r="N226">
        <v>32</v>
      </c>
      <c r="O226" s="2">
        <v>46225</v>
      </c>
      <c r="P226" s="2">
        <v>46285</v>
      </c>
      <c r="R226" t="s">
        <v>737</v>
      </c>
      <c r="S226" t="str">
        <f>"00013178"</f>
        <v>00013178</v>
      </c>
      <c r="T226" t="s">
        <v>41</v>
      </c>
      <c r="U226">
        <v>2969.86</v>
      </c>
      <c r="V226">
        <v>2969.86</v>
      </c>
      <c r="W226">
        <v>2969.86</v>
      </c>
      <c r="X226">
        <v>0</v>
      </c>
      <c r="Y226">
        <v>0</v>
      </c>
      <c r="Z226">
        <v>-510</v>
      </c>
      <c r="AA226">
        <v>1390</v>
      </c>
      <c r="AD226" t="s">
        <v>738</v>
      </c>
      <c r="AE226" t="s">
        <v>739</v>
      </c>
      <c r="AF226" t="s">
        <v>738</v>
      </c>
      <c r="AG226" s="1" t="s">
        <v>740</v>
      </c>
      <c r="AH226" t="s">
        <v>714</v>
      </c>
    </row>
    <row r="227" spans="1:34" x14ac:dyDescent="0.3">
      <c r="A227">
        <v>101</v>
      </c>
      <c r="B227" t="s">
        <v>34</v>
      </c>
      <c r="C227">
        <v>2</v>
      </c>
      <c r="D227" s="1" t="s">
        <v>734</v>
      </c>
      <c r="E227" s="1" t="s">
        <v>36</v>
      </c>
      <c r="G227">
        <v>4440</v>
      </c>
      <c r="H227" t="s">
        <v>735</v>
      </c>
      <c r="I227" t="s">
        <v>736</v>
      </c>
      <c r="J227">
        <v>15</v>
      </c>
      <c r="K227">
        <v>4967</v>
      </c>
      <c r="L227">
        <v>50341</v>
      </c>
      <c r="M227" t="s">
        <v>146</v>
      </c>
      <c r="N227">
        <v>32</v>
      </c>
      <c r="O227" s="2">
        <v>46225</v>
      </c>
      <c r="P227" s="2">
        <v>46265</v>
      </c>
      <c r="R227" t="s">
        <v>737</v>
      </c>
      <c r="S227" t="str">
        <f>"00013177"</f>
        <v>00013177</v>
      </c>
      <c r="T227" t="s">
        <v>41</v>
      </c>
      <c r="U227">
        <v>3094.08</v>
      </c>
      <c r="V227">
        <v>3094.08</v>
      </c>
      <c r="W227">
        <v>3094.08</v>
      </c>
      <c r="X227">
        <v>0</v>
      </c>
      <c r="Y227">
        <v>0</v>
      </c>
      <c r="Z227">
        <v>-490</v>
      </c>
      <c r="AA227">
        <v>1390</v>
      </c>
      <c r="AD227" t="s">
        <v>738</v>
      </c>
      <c r="AE227" t="s">
        <v>739</v>
      </c>
      <c r="AF227" t="s">
        <v>738</v>
      </c>
      <c r="AG227" s="1" t="s">
        <v>740</v>
      </c>
      <c r="AH227" t="s">
        <v>714</v>
      </c>
    </row>
    <row r="228" spans="1:34" x14ac:dyDescent="0.3">
      <c r="A228">
        <v>101</v>
      </c>
      <c r="B228" t="s">
        <v>34</v>
      </c>
      <c r="C228">
        <v>2</v>
      </c>
      <c r="D228" s="1" t="s">
        <v>741</v>
      </c>
      <c r="E228" s="1" t="s">
        <v>122</v>
      </c>
      <c r="G228">
        <v>4440</v>
      </c>
      <c r="H228" t="s">
        <v>735</v>
      </c>
      <c r="I228" t="s">
        <v>736</v>
      </c>
      <c r="J228">
        <v>15</v>
      </c>
      <c r="K228">
        <v>4967</v>
      </c>
      <c r="L228">
        <v>50341</v>
      </c>
      <c r="M228" t="s">
        <v>146</v>
      </c>
      <c r="N228">
        <v>32</v>
      </c>
      <c r="O228" s="2">
        <v>46196</v>
      </c>
      <c r="P228" s="2">
        <v>46256</v>
      </c>
      <c r="R228" t="s">
        <v>742</v>
      </c>
      <c r="S228" t="str">
        <f>"00012674"</f>
        <v>00012674</v>
      </c>
      <c r="T228" t="s">
        <v>41</v>
      </c>
      <c r="U228">
        <v>2466.75</v>
      </c>
      <c r="V228">
        <v>2466.75</v>
      </c>
      <c r="W228">
        <v>2466.75</v>
      </c>
      <c r="X228">
        <v>0</v>
      </c>
      <c r="Y228">
        <v>0</v>
      </c>
      <c r="Z228">
        <v>-481</v>
      </c>
      <c r="AA228">
        <v>812</v>
      </c>
      <c r="AD228" t="s">
        <v>738</v>
      </c>
      <c r="AE228" t="s">
        <v>739</v>
      </c>
      <c r="AF228" t="s">
        <v>738</v>
      </c>
      <c r="AG228" s="1" t="s">
        <v>740</v>
      </c>
      <c r="AH228" t="s">
        <v>714</v>
      </c>
    </row>
    <row r="229" spans="1:34" x14ac:dyDescent="0.3">
      <c r="A229">
        <v>101</v>
      </c>
      <c r="B229" t="s">
        <v>34</v>
      </c>
      <c r="C229">
        <v>2</v>
      </c>
      <c r="D229" s="1" t="s">
        <v>741</v>
      </c>
      <c r="E229" s="1" t="s">
        <v>116</v>
      </c>
      <c r="G229">
        <v>4440</v>
      </c>
      <c r="H229" t="s">
        <v>735</v>
      </c>
      <c r="I229" t="s">
        <v>736</v>
      </c>
      <c r="J229">
        <v>15</v>
      </c>
      <c r="K229">
        <v>4967</v>
      </c>
      <c r="L229">
        <v>50341</v>
      </c>
      <c r="M229" t="s">
        <v>146</v>
      </c>
      <c r="N229">
        <v>32</v>
      </c>
      <c r="O229" s="2">
        <v>46196</v>
      </c>
      <c r="P229" s="2">
        <v>46276</v>
      </c>
      <c r="R229" t="s">
        <v>742</v>
      </c>
      <c r="S229" t="str">
        <f>"00012675"</f>
        <v>00012675</v>
      </c>
      <c r="T229" t="s">
        <v>41</v>
      </c>
      <c r="U229">
        <v>2467.48</v>
      </c>
      <c r="V229">
        <v>2467.48</v>
      </c>
      <c r="W229">
        <v>2467.48</v>
      </c>
      <c r="X229">
        <v>0</v>
      </c>
      <c r="Y229">
        <v>0</v>
      </c>
      <c r="Z229">
        <v>-501</v>
      </c>
      <c r="AA229">
        <v>812</v>
      </c>
      <c r="AD229" t="s">
        <v>738</v>
      </c>
      <c r="AE229" t="s">
        <v>739</v>
      </c>
      <c r="AF229" t="s">
        <v>738</v>
      </c>
      <c r="AG229" s="1" t="s">
        <v>740</v>
      </c>
      <c r="AH229" t="s">
        <v>714</v>
      </c>
    </row>
    <row r="230" spans="1:34" x14ac:dyDescent="0.3">
      <c r="A230">
        <v>101</v>
      </c>
      <c r="B230" t="s">
        <v>34</v>
      </c>
      <c r="C230">
        <v>2</v>
      </c>
      <c r="D230" s="1" t="s">
        <v>743</v>
      </c>
      <c r="E230" s="1" t="s">
        <v>122</v>
      </c>
      <c r="G230">
        <v>4440</v>
      </c>
      <c r="H230" t="s">
        <v>735</v>
      </c>
      <c r="I230" t="s">
        <v>736</v>
      </c>
      <c r="J230">
        <v>15</v>
      </c>
      <c r="K230">
        <v>4967</v>
      </c>
      <c r="L230">
        <v>50341</v>
      </c>
      <c r="M230" t="s">
        <v>146</v>
      </c>
      <c r="N230">
        <v>32</v>
      </c>
      <c r="O230" s="2">
        <v>46196</v>
      </c>
      <c r="P230" s="2">
        <v>46256</v>
      </c>
      <c r="R230" t="s">
        <v>744</v>
      </c>
      <c r="S230" t="str">
        <f>"00012677"</f>
        <v>00012677</v>
      </c>
      <c r="T230" t="s">
        <v>41</v>
      </c>
      <c r="U230">
        <v>436.27</v>
      </c>
      <c r="V230">
        <v>436.27</v>
      </c>
      <c r="W230">
        <v>436.27</v>
      </c>
      <c r="X230">
        <v>0</v>
      </c>
      <c r="Y230">
        <v>0</v>
      </c>
      <c r="Z230">
        <v>-481</v>
      </c>
      <c r="AA230">
        <v>834</v>
      </c>
      <c r="AD230" t="s">
        <v>738</v>
      </c>
      <c r="AE230" t="s">
        <v>739</v>
      </c>
      <c r="AF230" t="s">
        <v>738</v>
      </c>
      <c r="AG230" s="1" t="s">
        <v>740</v>
      </c>
      <c r="AH230" t="s">
        <v>714</v>
      </c>
    </row>
    <row r="231" spans="1:34" x14ac:dyDescent="0.3">
      <c r="A231">
        <v>101</v>
      </c>
      <c r="B231" t="s">
        <v>34</v>
      </c>
      <c r="C231">
        <v>2</v>
      </c>
      <c r="D231" s="1" t="s">
        <v>743</v>
      </c>
      <c r="E231" s="1" t="s">
        <v>116</v>
      </c>
      <c r="G231">
        <v>4440</v>
      </c>
      <c r="H231" t="s">
        <v>735</v>
      </c>
      <c r="I231" t="s">
        <v>736</v>
      </c>
      <c r="J231">
        <v>15</v>
      </c>
      <c r="K231">
        <v>4967</v>
      </c>
      <c r="L231">
        <v>50341</v>
      </c>
      <c r="M231" t="s">
        <v>146</v>
      </c>
      <c r="N231">
        <v>32</v>
      </c>
      <c r="O231" s="2">
        <v>46196</v>
      </c>
      <c r="P231" s="2">
        <v>46276</v>
      </c>
      <c r="R231" t="s">
        <v>744</v>
      </c>
      <c r="S231" t="str">
        <f>"00012678"</f>
        <v>00012678</v>
      </c>
      <c r="T231" t="s">
        <v>41</v>
      </c>
      <c r="U231">
        <v>436.39</v>
      </c>
      <c r="V231">
        <v>436.39</v>
      </c>
      <c r="W231">
        <v>436.39</v>
      </c>
      <c r="X231">
        <v>0</v>
      </c>
      <c r="Y231">
        <v>0</v>
      </c>
      <c r="Z231">
        <v>-501</v>
      </c>
      <c r="AA231">
        <v>834</v>
      </c>
      <c r="AD231" t="s">
        <v>738</v>
      </c>
      <c r="AE231" t="s">
        <v>739</v>
      </c>
      <c r="AF231" t="s">
        <v>738</v>
      </c>
      <c r="AG231" s="1" t="s">
        <v>740</v>
      </c>
      <c r="AH231" t="s">
        <v>714</v>
      </c>
    </row>
    <row r="232" spans="1:34" x14ac:dyDescent="0.3">
      <c r="A232">
        <v>101</v>
      </c>
      <c r="B232" t="s">
        <v>34</v>
      </c>
      <c r="C232">
        <v>2</v>
      </c>
      <c r="D232" s="1" t="s">
        <v>745</v>
      </c>
      <c r="E232" s="1" t="s">
        <v>116</v>
      </c>
      <c r="G232">
        <v>4967</v>
      </c>
      <c r="H232" t="s">
        <v>746</v>
      </c>
      <c r="I232" t="s">
        <v>747</v>
      </c>
      <c r="J232">
        <v>15</v>
      </c>
      <c r="K232">
        <v>4967</v>
      </c>
      <c r="L232">
        <v>50341</v>
      </c>
      <c r="M232" t="s">
        <v>146</v>
      </c>
      <c r="N232">
        <v>32</v>
      </c>
      <c r="O232" s="2">
        <v>46196</v>
      </c>
      <c r="P232" s="2">
        <v>46276</v>
      </c>
      <c r="R232" t="s">
        <v>748</v>
      </c>
      <c r="S232" t="str">
        <f>"00012681"</f>
        <v>00012681</v>
      </c>
      <c r="T232" t="s">
        <v>41</v>
      </c>
      <c r="U232">
        <v>3532.7</v>
      </c>
      <c r="V232">
        <v>3532.7</v>
      </c>
      <c r="W232">
        <v>3532.7</v>
      </c>
      <c r="X232">
        <v>0</v>
      </c>
      <c r="Y232">
        <v>0</v>
      </c>
      <c r="Z232">
        <v>-501</v>
      </c>
      <c r="AA232">
        <v>852</v>
      </c>
      <c r="AD232" t="s">
        <v>731</v>
      </c>
      <c r="AE232" t="s">
        <v>749</v>
      </c>
      <c r="AF232" t="s">
        <v>731</v>
      </c>
      <c r="AG232" s="1" t="s">
        <v>750</v>
      </c>
      <c r="AH232" t="s">
        <v>714</v>
      </c>
    </row>
    <row r="233" spans="1:34" x14ac:dyDescent="0.3">
      <c r="A233">
        <v>101</v>
      </c>
      <c r="B233" t="s">
        <v>34</v>
      </c>
      <c r="C233">
        <v>2</v>
      </c>
      <c r="D233" s="1" t="s">
        <v>745</v>
      </c>
      <c r="E233" s="1" t="s">
        <v>122</v>
      </c>
      <c r="G233">
        <v>4967</v>
      </c>
      <c r="H233" t="s">
        <v>746</v>
      </c>
      <c r="I233" t="s">
        <v>747</v>
      </c>
      <c r="J233">
        <v>15</v>
      </c>
      <c r="K233">
        <v>4967</v>
      </c>
      <c r="L233">
        <v>50341</v>
      </c>
      <c r="M233" t="s">
        <v>146</v>
      </c>
      <c r="N233">
        <v>32</v>
      </c>
      <c r="O233" s="2">
        <v>46196</v>
      </c>
      <c r="P233" s="2">
        <v>46256</v>
      </c>
      <c r="R233" t="s">
        <v>748</v>
      </c>
      <c r="S233" t="str">
        <f>"00012680"</f>
        <v>00012680</v>
      </c>
      <c r="T233" t="s">
        <v>41</v>
      </c>
      <c r="U233">
        <v>3531.65</v>
      </c>
      <c r="V233">
        <v>3531.65</v>
      </c>
      <c r="W233">
        <v>3531.65</v>
      </c>
      <c r="X233">
        <v>0</v>
      </c>
      <c r="Y233">
        <v>0</v>
      </c>
      <c r="Z233">
        <v>-481</v>
      </c>
      <c r="AA233">
        <v>852</v>
      </c>
      <c r="AD233" t="s">
        <v>731</v>
      </c>
      <c r="AE233" t="s">
        <v>749</v>
      </c>
      <c r="AF233" t="s">
        <v>731</v>
      </c>
      <c r="AG233" s="1" t="s">
        <v>750</v>
      </c>
      <c r="AH233" t="s">
        <v>714</v>
      </c>
    </row>
    <row r="234" spans="1:34" x14ac:dyDescent="0.3">
      <c r="A234">
        <v>101</v>
      </c>
      <c r="B234" t="s">
        <v>34</v>
      </c>
      <c r="C234">
        <v>2</v>
      </c>
      <c r="D234" s="1" t="s">
        <v>751</v>
      </c>
      <c r="E234" s="1" t="s">
        <v>116</v>
      </c>
      <c r="G234">
        <v>5069</v>
      </c>
      <c r="H234" t="s">
        <v>752</v>
      </c>
      <c r="I234" t="s">
        <v>753</v>
      </c>
      <c r="J234">
        <v>15</v>
      </c>
      <c r="K234">
        <v>4967</v>
      </c>
      <c r="L234">
        <v>50341</v>
      </c>
      <c r="M234" t="s">
        <v>146</v>
      </c>
      <c r="N234">
        <v>32</v>
      </c>
      <c r="O234" s="2">
        <v>46225</v>
      </c>
      <c r="P234" s="2">
        <v>46305</v>
      </c>
      <c r="R234" t="s">
        <v>754</v>
      </c>
      <c r="S234" t="str">
        <f>"00013185"</f>
        <v>00013185</v>
      </c>
      <c r="T234" t="s">
        <v>41</v>
      </c>
      <c r="U234">
        <v>62.35</v>
      </c>
      <c r="V234">
        <v>62.35</v>
      </c>
      <c r="W234">
        <v>62.35</v>
      </c>
      <c r="X234">
        <v>0</v>
      </c>
      <c r="Y234">
        <v>0</v>
      </c>
      <c r="Z234">
        <v>-530</v>
      </c>
      <c r="AA234">
        <v>1567</v>
      </c>
      <c r="AD234" t="s">
        <v>731</v>
      </c>
      <c r="AE234" t="s">
        <v>755</v>
      </c>
      <c r="AF234" t="s">
        <v>731</v>
      </c>
      <c r="AG234" s="1" t="s">
        <v>756</v>
      </c>
      <c r="AH234" t="s">
        <v>714</v>
      </c>
    </row>
    <row r="235" spans="1:34" x14ac:dyDescent="0.3">
      <c r="A235">
        <v>101</v>
      </c>
      <c r="B235" t="s">
        <v>34</v>
      </c>
      <c r="C235">
        <v>2</v>
      </c>
      <c r="D235" s="1" t="s">
        <v>757</v>
      </c>
      <c r="E235" s="1" t="s">
        <v>122</v>
      </c>
      <c r="G235">
        <v>5069</v>
      </c>
      <c r="H235" t="s">
        <v>752</v>
      </c>
      <c r="I235" t="s">
        <v>753</v>
      </c>
      <c r="J235">
        <v>15</v>
      </c>
      <c r="K235">
        <v>4967</v>
      </c>
      <c r="L235">
        <v>50341</v>
      </c>
      <c r="M235" t="s">
        <v>146</v>
      </c>
      <c r="N235">
        <v>32</v>
      </c>
      <c r="O235" s="2">
        <v>46196</v>
      </c>
      <c r="P235" s="2">
        <v>46256</v>
      </c>
      <c r="R235" t="s">
        <v>758</v>
      </c>
      <c r="S235" t="str">
        <f>"00012683"</f>
        <v>00012683</v>
      </c>
      <c r="T235" t="s">
        <v>41</v>
      </c>
      <c r="U235">
        <v>1127.8499999999999</v>
      </c>
      <c r="V235">
        <v>1127.8499999999999</v>
      </c>
      <c r="W235">
        <v>1127.8499999999999</v>
      </c>
      <c r="X235">
        <v>0</v>
      </c>
      <c r="Y235">
        <v>0</v>
      </c>
      <c r="Z235">
        <v>-481</v>
      </c>
      <c r="AA235">
        <v>816</v>
      </c>
      <c r="AD235" t="s">
        <v>731</v>
      </c>
      <c r="AE235" t="s">
        <v>755</v>
      </c>
      <c r="AF235" t="s">
        <v>731</v>
      </c>
      <c r="AG235" s="1" t="s">
        <v>756</v>
      </c>
      <c r="AH235" t="s">
        <v>714</v>
      </c>
    </row>
    <row r="236" spans="1:34" x14ac:dyDescent="0.3">
      <c r="A236">
        <v>101</v>
      </c>
      <c r="B236" t="s">
        <v>34</v>
      </c>
      <c r="C236">
        <v>2</v>
      </c>
      <c r="D236" s="1" t="s">
        <v>759</v>
      </c>
      <c r="E236" s="1" t="s">
        <v>36</v>
      </c>
      <c r="G236">
        <v>5069</v>
      </c>
      <c r="H236" t="s">
        <v>752</v>
      </c>
      <c r="I236" t="s">
        <v>753</v>
      </c>
      <c r="J236">
        <v>15</v>
      </c>
      <c r="K236">
        <v>4967</v>
      </c>
      <c r="L236">
        <v>50341</v>
      </c>
      <c r="M236" t="s">
        <v>146</v>
      </c>
      <c r="N236">
        <v>32</v>
      </c>
      <c r="O236" s="2">
        <v>46225</v>
      </c>
      <c r="P236" s="2">
        <v>46265</v>
      </c>
      <c r="R236" t="s">
        <v>760</v>
      </c>
      <c r="S236" t="str">
        <f>"00013180"</f>
        <v>00013180</v>
      </c>
      <c r="T236" t="s">
        <v>41</v>
      </c>
      <c r="U236">
        <v>1567.69</v>
      </c>
      <c r="V236">
        <v>1567.69</v>
      </c>
      <c r="W236">
        <v>1567.69</v>
      </c>
      <c r="X236">
        <v>0</v>
      </c>
      <c r="Y236">
        <v>0</v>
      </c>
      <c r="Z236">
        <v>-490</v>
      </c>
      <c r="AA236">
        <v>1392</v>
      </c>
      <c r="AD236" t="s">
        <v>731</v>
      </c>
      <c r="AE236" t="s">
        <v>755</v>
      </c>
      <c r="AF236" t="s">
        <v>731</v>
      </c>
      <c r="AG236" s="1" t="s">
        <v>756</v>
      </c>
      <c r="AH236" t="s">
        <v>714</v>
      </c>
    </row>
    <row r="237" spans="1:34" x14ac:dyDescent="0.3">
      <c r="A237">
        <v>101</v>
      </c>
      <c r="B237" t="s">
        <v>34</v>
      </c>
      <c r="C237">
        <v>2</v>
      </c>
      <c r="D237" s="1" t="s">
        <v>757</v>
      </c>
      <c r="E237" s="1" t="s">
        <v>116</v>
      </c>
      <c r="G237">
        <v>5069</v>
      </c>
      <c r="H237" t="s">
        <v>752</v>
      </c>
      <c r="I237" t="s">
        <v>753</v>
      </c>
      <c r="J237">
        <v>15</v>
      </c>
      <c r="K237">
        <v>4967</v>
      </c>
      <c r="L237">
        <v>50341</v>
      </c>
      <c r="M237" t="s">
        <v>146</v>
      </c>
      <c r="N237">
        <v>32</v>
      </c>
      <c r="O237" s="2">
        <v>46196</v>
      </c>
      <c r="P237" s="2">
        <v>46276</v>
      </c>
      <c r="R237" t="s">
        <v>758</v>
      </c>
      <c r="S237" t="str">
        <f>"00012684"</f>
        <v>00012684</v>
      </c>
      <c r="T237" t="s">
        <v>41</v>
      </c>
      <c r="U237">
        <v>1128.19</v>
      </c>
      <c r="V237">
        <v>1128.19</v>
      </c>
      <c r="W237">
        <v>1128.19</v>
      </c>
      <c r="X237">
        <v>0</v>
      </c>
      <c r="Y237">
        <v>0</v>
      </c>
      <c r="Z237">
        <v>-501</v>
      </c>
      <c r="AA237">
        <v>816</v>
      </c>
      <c r="AD237" t="s">
        <v>731</v>
      </c>
      <c r="AE237" t="s">
        <v>755</v>
      </c>
      <c r="AF237" t="s">
        <v>731</v>
      </c>
      <c r="AG237" s="1" t="s">
        <v>756</v>
      </c>
      <c r="AH237" t="s">
        <v>714</v>
      </c>
    </row>
    <row r="238" spans="1:34" x14ac:dyDescent="0.3">
      <c r="A238">
        <v>101</v>
      </c>
      <c r="B238" t="s">
        <v>34</v>
      </c>
      <c r="C238">
        <v>2</v>
      </c>
      <c r="D238" s="1" t="s">
        <v>759</v>
      </c>
      <c r="E238" s="1" t="s">
        <v>122</v>
      </c>
      <c r="G238">
        <v>5069</v>
      </c>
      <c r="H238" t="s">
        <v>752</v>
      </c>
      <c r="I238" t="s">
        <v>753</v>
      </c>
      <c r="J238">
        <v>15</v>
      </c>
      <c r="K238">
        <v>4967</v>
      </c>
      <c r="L238">
        <v>50341</v>
      </c>
      <c r="M238" t="s">
        <v>146</v>
      </c>
      <c r="N238">
        <v>32</v>
      </c>
      <c r="O238" s="2">
        <v>46225</v>
      </c>
      <c r="P238" s="2">
        <v>46285</v>
      </c>
      <c r="R238" t="s">
        <v>760</v>
      </c>
      <c r="S238" t="str">
        <f>"00013181"</f>
        <v>00013181</v>
      </c>
      <c r="T238" t="s">
        <v>41</v>
      </c>
      <c r="U238">
        <v>1454.52</v>
      </c>
      <c r="V238">
        <v>1454.52</v>
      </c>
      <c r="W238">
        <v>1454.52</v>
      </c>
      <c r="X238">
        <v>0</v>
      </c>
      <c r="Y238">
        <v>0</v>
      </c>
      <c r="Z238">
        <v>-510</v>
      </c>
      <c r="AA238">
        <v>1392</v>
      </c>
      <c r="AD238" t="s">
        <v>731</v>
      </c>
      <c r="AE238" t="s">
        <v>755</v>
      </c>
      <c r="AF238" t="s">
        <v>731</v>
      </c>
      <c r="AG238" s="1" t="s">
        <v>756</v>
      </c>
      <c r="AH238" t="s">
        <v>714</v>
      </c>
    </row>
    <row r="239" spans="1:34" x14ac:dyDescent="0.3">
      <c r="A239">
        <v>101</v>
      </c>
      <c r="B239" t="s">
        <v>34</v>
      </c>
      <c r="C239">
        <v>2</v>
      </c>
      <c r="D239" s="1" t="s">
        <v>759</v>
      </c>
      <c r="E239" s="1" t="s">
        <v>116</v>
      </c>
      <c r="G239">
        <v>5069</v>
      </c>
      <c r="H239" t="s">
        <v>752</v>
      </c>
      <c r="I239" t="s">
        <v>753</v>
      </c>
      <c r="J239">
        <v>15</v>
      </c>
      <c r="K239">
        <v>4967</v>
      </c>
      <c r="L239">
        <v>50341</v>
      </c>
      <c r="M239" t="s">
        <v>146</v>
      </c>
      <c r="N239">
        <v>32</v>
      </c>
      <c r="O239" s="2">
        <v>46225</v>
      </c>
      <c r="P239" s="2">
        <v>46305</v>
      </c>
      <c r="R239" t="s">
        <v>760</v>
      </c>
      <c r="S239" t="str">
        <f>"00013182"</f>
        <v>00013182</v>
      </c>
      <c r="T239" t="s">
        <v>41</v>
      </c>
      <c r="U239">
        <v>1454.96</v>
      </c>
      <c r="V239">
        <v>1454.96</v>
      </c>
      <c r="W239">
        <v>1454.96</v>
      </c>
      <c r="X239">
        <v>0</v>
      </c>
      <c r="Y239">
        <v>0</v>
      </c>
      <c r="Z239">
        <v>-530</v>
      </c>
      <c r="AA239">
        <v>1392</v>
      </c>
      <c r="AD239" t="s">
        <v>731</v>
      </c>
      <c r="AE239" t="s">
        <v>755</v>
      </c>
      <c r="AF239" t="s">
        <v>731</v>
      </c>
      <c r="AG239" s="1" t="s">
        <v>756</v>
      </c>
      <c r="AH239" t="s">
        <v>714</v>
      </c>
    </row>
    <row r="240" spans="1:34" x14ac:dyDescent="0.3">
      <c r="A240">
        <v>101</v>
      </c>
      <c r="B240" t="s">
        <v>34</v>
      </c>
      <c r="C240">
        <v>2</v>
      </c>
      <c r="D240" s="1" t="s">
        <v>751</v>
      </c>
      <c r="E240" s="1" t="s">
        <v>36</v>
      </c>
      <c r="G240">
        <v>5069</v>
      </c>
      <c r="H240" t="s">
        <v>752</v>
      </c>
      <c r="I240" t="s">
        <v>753</v>
      </c>
      <c r="J240">
        <v>15</v>
      </c>
      <c r="K240">
        <v>4967</v>
      </c>
      <c r="L240">
        <v>50341</v>
      </c>
      <c r="M240" t="s">
        <v>146</v>
      </c>
      <c r="N240">
        <v>32</v>
      </c>
      <c r="O240" s="2">
        <v>46225</v>
      </c>
      <c r="P240" s="2">
        <v>46265</v>
      </c>
      <c r="R240" t="s">
        <v>754</v>
      </c>
      <c r="S240" t="str">
        <f>"00013183"</f>
        <v>00013183</v>
      </c>
      <c r="T240" t="s">
        <v>41</v>
      </c>
      <c r="U240">
        <v>62.32</v>
      </c>
      <c r="V240">
        <v>62.32</v>
      </c>
      <c r="W240">
        <v>62.32</v>
      </c>
      <c r="X240">
        <v>0</v>
      </c>
      <c r="Y240">
        <v>0</v>
      </c>
      <c r="Z240">
        <v>-490</v>
      </c>
      <c r="AA240">
        <v>1567</v>
      </c>
      <c r="AD240" t="s">
        <v>731</v>
      </c>
      <c r="AE240" t="s">
        <v>755</v>
      </c>
      <c r="AF240" t="s">
        <v>731</v>
      </c>
      <c r="AG240" s="1" t="s">
        <v>756</v>
      </c>
      <c r="AH240" t="s">
        <v>714</v>
      </c>
    </row>
    <row r="241" spans="1:34" x14ac:dyDescent="0.3">
      <c r="A241">
        <v>101</v>
      </c>
      <c r="B241" t="s">
        <v>34</v>
      </c>
      <c r="C241">
        <v>2</v>
      </c>
      <c r="D241" s="1" t="s">
        <v>751</v>
      </c>
      <c r="E241" s="1" t="s">
        <v>122</v>
      </c>
      <c r="G241">
        <v>5069</v>
      </c>
      <c r="H241" t="s">
        <v>752</v>
      </c>
      <c r="I241" t="s">
        <v>753</v>
      </c>
      <c r="J241">
        <v>15</v>
      </c>
      <c r="K241">
        <v>4967</v>
      </c>
      <c r="L241">
        <v>50341</v>
      </c>
      <c r="M241" t="s">
        <v>146</v>
      </c>
      <c r="N241">
        <v>32</v>
      </c>
      <c r="O241" s="2">
        <v>46225</v>
      </c>
      <c r="P241" s="2">
        <v>46285</v>
      </c>
      <c r="R241" t="s">
        <v>754</v>
      </c>
      <c r="S241" t="str">
        <f>"00013184"</f>
        <v>00013184</v>
      </c>
      <c r="T241" t="s">
        <v>41</v>
      </c>
      <c r="U241">
        <v>62.32</v>
      </c>
      <c r="V241">
        <v>62.32</v>
      </c>
      <c r="W241">
        <v>62.32</v>
      </c>
      <c r="X241">
        <v>0</v>
      </c>
      <c r="Y241">
        <v>0</v>
      </c>
      <c r="Z241">
        <v>-510</v>
      </c>
      <c r="AA241">
        <v>1567</v>
      </c>
      <c r="AD241" t="s">
        <v>731</v>
      </c>
      <c r="AE241" t="s">
        <v>755</v>
      </c>
      <c r="AF241" t="s">
        <v>731</v>
      </c>
      <c r="AG241" s="1" t="s">
        <v>756</v>
      </c>
      <c r="AH241" t="s">
        <v>714</v>
      </c>
    </row>
    <row r="242" spans="1:34" x14ac:dyDescent="0.3">
      <c r="A242">
        <v>101</v>
      </c>
      <c r="B242" t="s">
        <v>34</v>
      </c>
      <c r="C242">
        <v>2</v>
      </c>
      <c r="D242" s="1" t="s">
        <v>761</v>
      </c>
      <c r="E242" s="1" t="s">
        <v>116</v>
      </c>
      <c r="G242">
        <v>5069</v>
      </c>
      <c r="H242" t="s">
        <v>752</v>
      </c>
      <c r="I242" t="s">
        <v>753</v>
      </c>
      <c r="J242">
        <v>15</v>
      </c>
      <c r="K242">
        <v>4967</v>
      </c>
      <c r="L242">
        <v>50341</v>
      </c>
      <c r="M242" t="s">
        <v>146</v>
      </c>
      <c r="N242">
        <v>32</v>
      </c>
      <c r="O242" s="2">
        <v>46167</v>
      </c>
      <c r="P242" s="2">
        <v>46269</v>
      </c>
      <c r="R242" t="s">
        <v>762</v>
      </c>
      <c r="S242" t="str">
        <f>"00012229"</f>
        <v>00012229</v>
      </c>
      <c r="T242" t="s">
        <v>41</v>
      </c>
      <c r="U242">
        <v>992.54</v>
      </c>
      <c r="V242">
        <v>992.54</v>
      </c>
      <c r="W242">
        <v>992.54</v>
      </c>
      <c r="X242">
        <v>0</v>
      </c>
      <c r="Y242">
        <v>0</v>
      </c>
      <c r="Z242">
        <v>-494</v>
      </c>
      <c r="AA242">
        <v>591</v>
      </c>
      <c r="AD242" t="s">
        <v>731</v>
      </c>
      <c r="AE242" t="s">
        <v>755</v>
      </c>
      <c r="AF242" t="s">
        <v>731</v>
      </c>
      <c r="AG242" s="1" t="s">
        <v>756</v>
      </c>
      <c r="AH242" t="s">
        <v>714</v>
      </c>
    </row>
    <row r="243" spans="1:34" x14ac:dyDescent="0.3">
      <c r="A243">
        <v>101</v>
      </c>
      <c r="B243" t="s">
        <v>34</v>
      </c>
      <c r="C243">
        <v>2</v>
      </c>
      <c r="D243" s="1" t="s">
        <v>763</v>
      </c>
      <c r="E243" s="1" t="s">
        <v>122</v>
      </c>
      <c r="G243">
        <v>6989</v>
      </c>
      <c r="H243" t="s">
        <v>764</v>
      </c>
      <c r="I243" t="s">
        <v>765</v>
      </c>
      <c r="J243">
        <v>15</v>
      </c>
      <c r="K243">
        <v>4967</v>
      </c>
      <c r="L243">
        <v>50341</v>
      </c>
      <c r="M243" t="s">
        <v>146</v>
      </c>
      <c r="N243">
        <v>32</v>
      </c>
      <c r="O243" s="2">
        <v>46225</v>
      </c>
      <c r="P243" s="2">
        <v>46285</v>
      </c>
      <c r="R243" t="s">
        <v>766</v>
      </c>
      <c r="S243" t="str">
        <f>"00013187"</f>
        <v>00013187</v>
      </c>
      <c r="T243" t="s">
        <v>41</v>
      </c>
      <c r="U243">
        <v>3243.1</v>
      </c>
      <c r="V243">
        <v>3243.1</v>
      </c>
      <c r="W243">
        <v>3243.1</v>
      </c>
      <c r="X243">
        <v>0</v>
      </c>
      <c r="Y243">
        <v>0</v>
      </c>
      <c r="Z243">
        <v>-510</v>
      </c>
      <c r="AA243">
        <v>1391</v>
      </c>
      <c r="AD243" t="s">
        <v>731</v>
      </c>
      <c r="AE243" t="s">
        <v>767</v>
      </c>
      <c r="AF243" t="s">
        <v>731</v>
      </c>
      <c r="AG243" s="1" t="s">
        <v>768</v>
      </c>
      <c r="AH243" t="s">
        <v>714</v>
      </c>
    </row>
    <row r="244" spans="1:34" x14ac:dyDescent="0.3">
      <c r="A244">
        <v>101</v>
      </c>
      <c r="B244" t="s">
        <v>34</v>
      </c>
      <c r="C244">
        <v>2</v>
      </c>
      <c r="D244" s="1" t="s">
        <v>769</v>
      </c>
      <c r="E244" s="1" t="s">
        <v>122</v>
      </c>
      <c r="G244">
        <v>6989</v>
      </c>
      <c r="H244" t="s">
        <v>764</v>
      </c>
      <c r="I244" t="s">
        <v>765</v>
      </c>
      <c r="J244">
        <v>15</v>
      </c>
      <c r="K244">
        <v>4967</v>
      </c>
      <c r="L244">
        <v>50341</v>
      </c>
      <c r="M244" t="s">
        <v>146</v>
      </c>
      <c r="N244">
        <v>32</v>
      </c>
      <c r="O244" s="2">
        <v>46196</v>
      </c>
      <c r="P244" s="2">
        <v>46256</v>
      </c>
      <c r="R244" t="s">
        <v>770</v>
      </c>
      <c r="S244" t="str">
        <f>"00012689"</f>
        <v>00012689</v>
      </c>
      <c r="T244" t="s">
        <v>41</v>
      </c>
      <c r="U244">
        <v>311.62</v>
      </c>
      <c r="V244">
        <v>311.62</v>
      </c>
      <c r="W244">
        <v>311.62</v>
      </c>
      <c r="X244">
        <v>0</v>
      </c>
      <c r="Y244">
        <v>0</v>
      </c>
      <c r="Z244">
        <v>-481</v>
      </c>
      <c r="AA244">
        <v>835</v>
      </c>
      <c r="AD244" t="s">
        <v>731</v>
      </c>
      <c r="AE244" t="s">
        <v>767</v>
      </c>
      <c r="AF244" t="s">
        <v>731</v>
      </c>
      <c r="AG244" s="1" t="s">
        <v>768</v>
      </c>
      <c r="AH244" t="s">
        <v>714</v>
      </c>
    </row>
    <row r="245" spans="1:34" x14ac:dyDescent="0.3">
      <c r="A245">
        <v>101</v>
      </c>
      <c r="B245" t="s">
        <v>34</v>
      </c>
      <c r="C245">
        <v>2</v>
      </c>
      <c r="D245" s="1" t="s">
        <v>763</v>
      </c>
      <c r="E245" s="1" t="s">
        <v>36</v>
      </c>
      <c r="G245">
        <v>6989</v>
      </c>
      <c r="H245" t="s">
        <v>764</v>
      </c>
      <c r="I245" t="s">
        <v>765</v>
      </c>
      <c r="J245">
        <v>15</v>
      </c>
      <c r="K245">
        <v>4967</v>
      </c>
      <c r="L245">
        <v>50341</v>
      </c>
      <c r="M245" t="s">
        <v>146</v>
      </c>
      <c r="N245">
        <v>32</v>
      </c>
      <c r="O245" s="2">
        <v>46225</v>
      </c>
      <c r="P245" s="2">
        <v>46265</v>
      </c>
      <c r="R245" t="s">
        <v>766</v>
      </c>
      <c r="S245" t="str">
        <f>"00013186"</f>
        <v>00013186</v>
      </c>
      <c r="T245" t="s">
        <v>41</v>
      </c>
      <c r="U245">
        <v>3702.29</v>
      </c>
      <c r="V245">
        <v>3702.29</v>
      </c>
      <c r="W245">
        <v>3702.29</v>
      </c>
      <c r="X245">
        <v>0</v>
      </c>
      <c r="Y245">
        <v>0</v>
      </c>
      <c r="Z245">
        <v>-490</v>
      </c>
      <c r="AA245">
        <v>1391</v>
      </c>
      <c r="AD245" t="s">
        <v>731</v>
      </c>
      <c r="AE245" t="s">
        <v>767</v>
      </c>
      <c r="AF245" t="s">
        <v>731</v>
      </c>
      <c r="AG245" s="1" t="s">
        <v>768</v>
      </c>
      <c r="AH245" t="s">
        <v>714</v>
      </c>
    </row>
    <row r="246" spans="1:34" x14ac:dyDescent="0.3">
      <c r="A246">
        <v>101</v>
      </c>
      <c r="B246" t="s">
        <v>34</v>
      </c>
      <c r="C246">
        <v>2</v>
      </c>
      <c r="D246" s="1" t="s">
        <v>771</v>
      </c>
      <c r="E246" s="1" t="s">
        <v>122</v>
      </c>
      <c r="G246">
        <v>6989</v>
      </c>
      <c r="H246" t="s">
        <v>764</v>
      </c>
      <c r="I246" t="s">
        <v>765</v>
      </c>
      <c r="J246">
        <v>15</v>
      </c>
      <c r="K246">
        <v>4967</v>
      </c>
      <c r="L246">
        <v>50341</v>
      </c>
      <c r="M246" t="s">
        <v>146</v>
      </c>
      <c r="N246">
        <v>32</v>
      </c>
      <c r="O246" s="2">
        <v>46196</v>
      </c>
      <c r="P246" s="2">
        <v>46256</v>
      </c>
      <c r="R246" t="s">
        <v>772</v>
      </c>
      <c r="S246" t="str">
        <f>"00012686"</f>
        <v>00012686</v>
      </c>
      <c r="T246" t="s">
        <v>41</v>
      </c>
      <c r="U246">
        <v>2028.5</v>
      </c>
      <c r="V246">
        <v>2028.5</v>
      </c>
      <c r="W246">
        <v>2028.5</v>
      </c>
      <c r="X246">
        <v>0</v>
      </c>
      <c r="Y246">
        <v>0</v>
      </c>
      <c r="Z246">
        <v>-481</v>
      </c>
      <c r="AA246">
        <v>815</v>
      </c>
      <c r="AD246" t="s">
        <v>731</v>
      </c>
      <c r="AE246" t="s">
        <v>767</v>
      </c>
      <c r="AF246" t="s">
        <v>731</v>
      </c>
      <c r="AG246" s="1" t="s">
        <v>768</v>
      </c>
      <c r="AH246" t="s">
        <v>714</v>
      </c>
    </row>
    <row r="247" spans="1:34" x14ac:dyDescent="0.3">
      <c r="A247">
        <v>101</v>
      </c>
      <c r="B247" t="s">
        <v>34</v>
      </c>
      <c r="C247">
        <v>2</v>
      </c>
      <c r="D247" s="1" t="s">
        <v>763</v>
      </c>
      <c r="E247" s="1" t="s">
        <v>116</v>
      </c>
      <c r="G247">
        <v>6989</v>
      </c>
      <c r="H247" t="s">
        <v>764</v>
      </c>
      <c r="I247" t="s">
        <v>765</v>
      </c>
      <c r="J247">
        <v>15</v>
      </c>
      <c r="K247">
        <v>4967</v>
      </c>
      <c r="L247">
        <v>50341</v>
      </c>
      <c r="M247" t="s">
        <v>146</v>
      </c>
      <c r="N247">
        <v>32</v>
      </c>
      <c r="O247" s="2">
        <v>46225</v>
      </c>
      <c r="P247" s="2">
        <v>46305</v>
      </c>
      <c r="R247" t="s">
        <v>766</v>
      </c>
      <c r="S247" t="str">
        <f>"00013188"</f>
        <v>00013188</v>
      </c>
      <c r="T247" t="s">
        <v>41</v>
      </c>
      <c r="U247">
        <v>3244.06</v>
      </c>
      <c r="V247">
        <v>3244.06</v>
      </c>
      <c r="W247">
        <v>3244.06</v>
      </c>
      <c r="X247">
        <v>0</v>
      </c>
      <c r="Y247">
        <v>0</v>
      </c>
      <c r="Z247">
        <v>-530</v>
      </c>
      <c r="AA247">
        <v>1391</v>
      </c>
      <c r="AD247" t="s">
        <v>731</v>
      </c>
      <c r="AE247" t="s">
        <v>767</v>
      </c>
      <c r="AF247" t="s">
        <v>731</v>
      </c>
      <c r="AG247" s="1" t="s">
        <v>768</v>
      </c>
      <c r="AH247" t="s">
        <v>714</v>
      </c>
    </row>
    <row r="248" spans="1:34" x14ac:dyDescent="0.3">
      <c r="A248">
        <v>101</v>
      </c>
      <c r="B248" t="s">
        <v>34</v>
      </c>
      <c r="C248">
        <v>2</v>
      </c>
      <c r="D248" s="1" t="s">
        <v>769</v>
      </c>
      <c r="E248" s="1" t="s">
        <v>116</v>
      </c>
      <c r="G248">
        <v>6989</v>
      </c>
      <c r="H248" t="s">
        <v>764</v>
      </c>
      <c r="I248" t="s">
        <v>765</v>
      </c>
      <c r="J248">
        <v>15</v>
      </c>
      <c r="K248">
        <v>4967</v>
      </c>
      <c r="L248">
        <v>50341</v>
      </c>
      <c r="M248" t="s">
        <v>146</v>
      </c>
      <c r="N248">
        <v>32</v>
      </c>
      <c r="O248" s="2">
        <v>46196</v>
      </c>
      <c r="P248" s="2">
        <v>46276</v>
      </c>
      <c r="R248" t="s">
        <v>770</v>
      </c>
      <c r="S248" t="str">
        <f>"00012690"</f>
        <v>00012690</v>
      </c>
      <c r="T248" t="s">
        <v>41</v>
      </c>
      <c r="U248">
        <v>311.70999999999998</v>
      </c>
      <c r="V248">
        <v>311.70999999999998</v>
      </c>
      <c r="W248">
        <v>311.70999999999998</v>
      </c>
      <c r="X248">
        <v>0</v>
      </c>
      <c r="Y248">
        <v>0</v>
      </c>
      <c r="Z248">
        <v>-501</v>
      </c>
      <c r="AA248">
        <v>835</v>
      </c>
      <c r="AD248" t="s">
        <v>731</v>
      </c>
      <c r="AE248" t="s">
        <v>767</v>
      </c>
      <c r="AF248" t="s">
        <v>731</v>
      </c>
      <c r="AG248" s="1" t="s">
        <v>768</v>
      </c>
      <c r="AH248" t="s">
        <v>714</v>
      </c>
    </row>
    <row r="249" spans="1:34" x14ac:dyDescent="0.3">
      <c r="A249">
        <v>101</v>
      </c>
      <c r="B249" t="s">
        <v>34</v>
      </c>
      <c r="C249">
        <v>2</v>
      </c>
      <c r="D249" s="1" t="s">
        <v>771</v>
      </c>
      <c r="E249" s="1" t="s">
        <v>116</v>
      </c>
      <c r="G249">
        <v>6989</v>
      </c>
      <c r="H249" t="s">
        <v>764</v>
      </c>
      <c r="I249" t="s">
        <v>765</v>
      </c>
      <c r="J249">
        <v>15</v>
      </c>
      <c r="K249">
        <v>4967</v>
      </c>
      <c r="L249">
        <v>50341</v>
      </c>
      <c r="M249" t="s">
        <v>146</v>
      </c>
      <c r="N249">
        <v>32</v>
      </c>
      <c r="O249" s="2">
        <v>46196</v>
      </c>
      <c r="P249" s="2">
        <v>46276</v>
      </c>
      <c r="R249" t="s">
        <v>772</v>
      </c>
      <c r="S249" t="str">
        <f>"00012687"</f>
        <v>00012687</v>
      </c>
      <c r="T249" t="s">
        <v>41</v>
      </c>
      <c r="U249">
        <v>2029.12</v>
      </c>
      <c r="V249">
        <v>2029.12</v>
      </c>
      <c r="W249">
        <v>2029.12</v>
      </c>
      <c r="X249">
        <v>0</v>
      </c>
      <c r="Y249">
        <v>0</v>
      </c>
      <c r="Z249">
        <v>-501</v>
      </c>
      <c r="AA249">
        <v>815</v>
      </c>
      <c r="AD249" t="s">
        <v>731</v>
      </c>
      <c r="AE249" t="s">
        <v>767</v>
      </c>
      <c r="AF249" t="s">
        <v>731</v>
      </c>
      <c r="AG249" s="1" t="s">
        <v>768</v>
      </c>
      <c r="AH249" t="s">
        <v>714</v>
      </c>
    </row>
    <row r="250" spans="1:34" x14ac:dyDescent="0.3">
      <c r="A250">
        <v>101</v>
      </c>
      <c r="B250" t="s">
        <v>34</v>
      </c>
      <c r="C250">
        <v>2</v>
      </c>
      <c r="D250" s="1" t="s">
        <v>773</v>
      </c>
      <c r="E250" s="1" t="s">
        <v>116</v>
      </c>
      <c r="G250">
        <v>6989</v>
      </c>
      <c r="H250" t="s">
        <v>764</v>
      </c>
      <c r="I250" t="s">
        <v>765</v>
      </c>
      <c r="J250">
        <v>15</v>
      </c>
      <c r="K250">
        <v>4967</v>
      </c>
      <c r="L250">
        <v>50341</v>
      </c>
      <c r="M250" t="s">
        <v>146</v>
      </c>
      <c r="N250">
        <v>32</v>
      </c>
      <c r="O250" s="2">
        <v>46226</v>
      </c>
      <c r="P250" s="2">
        <v>46306</v>
      </c>
      <c r="R250" t="s">
        <v>774</v>
      </c>
      <c r="S250" t="str">
        <f>"00013268"</f>
        <v>00013268</v>
      </c>
      <c r="T250" t="s">
        <v>41</v>
      </c>
      <c r="U250">
        <v>124.68</v>
      </c>
      <c r="V250">
        <v>124.68</v>
      </c>
      <c r="W250">
        <v>124.68</v>
      </c>
      <c r="X250">
        <v>0</v>
      </c>
      <c r="Y250">
        <v>0</v>
      </c>
      <c r="Z250">
        <v>-531</v>
      </c>
      <c r="AA250">
        <v>1566</v>
      </c>
      <c r="AD250" t="s">
        <v>731</v>
      </c>
      <c r="AE250" t="s">
        <v>767</v>
      </c>
      <c r="AF250" t="s">
        <v>731</v>
      </c>
      <c r="AG250" s="1" t="s">
        <v>768</v>
      </c>
      <c r="AH250" t="s">
        <v>714</v>
      </c>
    </row>
    <row r="251" spans="1:34" x14ac:dyDescent="0.3">
      <c r="A251">
        <v>101</v>
      </c>
      <c r="B251" t="s">
        <v>34</v>
      </c>
      <c r="C251">
        <v>2</v>
      </c>
      <c r="D251" s="1" t="s">
        <v>773</v>
      </c>
      <c r="E251" s="1" t="s">
        <v>122</v>
      </c>
      <c r="G251">
        <v>6989</v>
      </c>
      <c r="H251" t="s">
        <v>764</v>
      </c>
      <c r="I251" t="s">
        <v>765</v>
      </c>
      <c r="J251">
        <v>15</v>
      </c>
      <c r="K251">
        <v>4967</v>
      </c>
      <c r="L251">
        <v>50341</v>
      </c>
      <c r="M251" t="s">
        <v>146</v>
      </c>
      <c r="N251">
        <v>32</v>
      </c>
      <c r="O251" s="2">
        <v>46226</v>
      </c>
      <c r="P251" s="2">
        <v>46286</v>
      </c>
      <c r="R251" t="s">
        <v>774</v>
      </c>
      <c r="S251" t="str">
        <f>"00013267"</f>
        <v>00013267</v>
      </c>
      <c r="T251" t="s">
        <v>41</v>
      </c>
      <c r="U251">
        <v>124.65</v>
      </c>
      <c r="V251">
        <v>124.65</v>
      </c>
      <c r="W251">
        <v>124.65</v>
      </c>
      <c r="X251">
        <v>0</v>
      </c>
      <c r="Y251">
        <v>0</v>
      </c>
      <c r="Z251">
        <v>-511</v>
      </c>
      <c r="AA251">
        <v>1566</v>
      </c>
      <c r="AD251" t="s">
        <v>731</v>
      </c>
      <c r="AE251" t="s">
        <v>767</v>
      </c>
      <c r="AF251" t="s">
        <v>731</v>
      </c>
      <c r="AG251" s="1" t="s">
        <v>768</v>
      </c>
      <c r="AH251" t="s">
        <v>714</v>
      </c>
    </row>
    <row r="252" spans="1:34" x14ac:dyDescent="0.3">
      <c r="A252">
        <v>101</v>
      </c>
      <c r="B252" t="s">
        <v>34</v>
      </c>
      <c r="C252">
        <v>2</v>
      </c>
      <c r="D252" s="1" t="s">
        <v>773</v>
      </c>
      <c r="E252" s="1" t="s">
        <v>36</v>
      </c>
      <c r="G252">
        <v>6989</v>
      </c>
      <c r="H252" t="s">
        <v>764</v>
      </c>
      <c r="I252" t="s">
        <v>765</v>
      </c>
      <c r="J252">
        <v>15</v>
      </c>
      <c r="K252">
        <v>4967</v>
      </c>
      <c r="L252">
        <v>50341</v>
      </c>
      <c r="M252" t="s">
        <v>146</v>
      </c>
      <c r="N252">
        <v>32</v>
      </c>
      <c r="O252" s="2">
        <v>46226</v>
      </c>
      <c r="P252" s="2">
        <v>46266</v>
      </c>
      <c r="R252" t="s">
        <v>774</v>
      </c>
      <c r="S252" t="str">
        <f>"00013266"</f>
        <v>00013266</v>
      </c>
      <c r="T252" t="s">
        <v>41</v>
      </c>
      <c r="U252">
        <v>124.65</v>
      </c>
      <c r="V252">
        <v>124.65</v>
      </c>
      <c r="W252">
        <v>124.65</v>
      </c>
      <c r="X252">
        <v>0</v>
      </c>
      <c r="Y252">
        <v>0</v>
      </c>
      <c r="Z252">
        <v>-491</v>
      </c>
      <c r="AA252">
        <v>1566</v>
      </c>
      <c r="AD252" t="s">
        <v>731</v>
      </c>
      <c r="AE252" t="s">
        <v>767</v>
      </c>
      <c r="AF252" t="s">
        <v>731</v>
      </c>
      <c r="AG252" s="1" t="s">
        <v>768</v>
      </c>
      <c r="AH252" t="s">
        <v>714</v>
      </c>
    </row>
    <row r="253" spans="1:34" x14ac:dyDescent="0.3">
      <c r="A253">
        <v>101</v>
      </c>
      <c r="B253" t="s">
        <v>34</v>
      </c>
      <c r="C253">
        <v>2</v>
      </c>
      <c r="D253" s="1" t="s">
        <v>775</v>
      </c>
      <c r="E253" s="1" t="s">
        <v>36</v>
      </c>
      <c r="G253">
        <v>7714</v>
      </c>
      <c r="H253" t="s">
        <v>776</v>
      </c>
      <c r="I253" t="s">
        <v>777</v>
      </c>
      <c r="J253">
        <v>12</v>
      </c>
      <c r="K253">
        <v>7714</v>
      </c>
      <c r="L253">
        <v>50001</v>
      </c>
      <c r="M253" t="s">
        <v>39</v>
      </c>
      <c r="N253">
        <v>32</v>
      </c>
      <c r="O253" s="2">
        <v>46232</v>
      </c>
      <c r="P253" s="2">
        <v>46262</v>
      </c>
      <c r="R253" t="s">
        <v>778</v>
      </c>
      <c r="S253" t="str">
        <f>"25666160000051671"</f>
        <v>25666160000051671</v>
      </c>
      <c r="T253" t="s">
        <v>41</v>
      </c>
      <c r="U253">
        <v>2141.59</v>
      </c>
      <c r="V253">
        <v>2141.59</v>
      </c>
      <c r="W253">
        <v>2141.59</v>
      </c>
      <c r="X253">
        <v>0</v>
      </c>
      <c r="Y253">
        <v>0</v>
      </c>
      <c r="Z253">
        <v>-487</v>
      </c>
      <c r="AA253">
        <v>1783</v>
      </c>
      <c r="AD253" t="s">
        <v>711</v>
      </c>
      <c r="AE253" t="s">
        <v>779</v>
      </c>
      <c r="AF253" t="s">
        <v>711</v>
      </c>
      <c r="AG253">
        <v>15508682000115</v>
      </c>
      <c r="AH253" t="s">
        <v>714</v>
      </c>
    </row>
    <row r="254" spans="1:34" x14ac:dyDescent="0.3">
      <c r="A254">
        <v>101</v>
      </c>
      <c r="B254" t="s">
        <v>34</v>
      </c>
      <c r="C254">
        <v>2</v>
      </c>
      <c r="D254" s="1" t="s">
        <v>775</v>
      </c>
      <c r="E254" s="1" t="s">
        <v>122</v>
      </c>
      <c r="G254">
        <v>7714</v>
      </c>
      <c r="H254" t="s">
        <v>776</v>
      </c>
      <c r="I254" t="s">
        <v>777</v>
      </c>
      <c r="J254">
        <v>12</v>
      </c>
      <c r="K254">
        <v>7714</v>
      </c>
      <c r="L254">
        <v>50001</v>
      </c>
      <c r="M254" t="s">
        <v>39</v>
      </c>
      <c r="N254">
        <v>32</v>
      </c>
      <c r="O254" s="2">
        <v>46232</v>
      </c>
      <c r="P254" s="2">
        <v>46272</v>
      </c>
      <c r="R254" t="s">
        <v>778</v>
      </c>
      <c r="S254" t="str">
        <f>"25666160000051672"</f>
        <v>25666160000051672</v>
      </c>
      <c r="T254" t="s">
        <v>41</v>
      </c>
      <c r="U254">
        <v>2141.58</v>
      </c>
      <c r="V254">
        <v>2141.58</v>
      </c>
      <c r="W254">
        <v>2141.58</v>
      </c>
      <c r="X254">
        <v>0</v>
      </c>
      <c r="Y254">
        <v>0</v>
      </c>
      <c r="Z254">
        <v>-497</v>
      </c>
      <c r="AA254">
        <v>1783</v>
      </c>
      <c r="AD254" t="s">
        <v>711</v>
      </c>
      <c r="AE254" t="s">
        <v>779</v>
      </c>
      <c r="AF254" t="s">
        <v>711</v>
      </c>
      <c r="AG254">
        <v>15508682000115</v>
      </c>
      <c r="AH254" t="s">
        <v>714</v>
      </c>
    </row>
    <row r="255" spans="1:34" x14ac:dyDescent="0.3">
      <c r="A255">
        <v>101</v>
      </c>
      <c r="B255" t="s">
        <v>34</v>
      </c>
      <c r="C255">
        <v>2</v>
      </c>
      <c r="D255" s="1" t="s">
        <v>780</v>
      </c>
      <c r="E255" s="1" t="s">
        <v>36</v>
      </c>
      <c r="G255">
        <v>8554</v>
      </c>
      <c r="H255" t="s">
        <v>781</v>
      </c>
      <c r="I255" t="s">
        <v>782</v>
      </c>
      <c r="J255">
        <v>12</v>
      </c>
      <c r="K255">
        <v>8554</v>
      </c>
      <c r="L255">
        <v>50001</v>
      </c>
      <c r="M255" t="s">
        <v>39</v>
      </c>
      <c r="N255">
        <v>32</v>
      </c>
      <c r="O255" s="2">
        <v>46232</v>
      </c>
      <c r="P255" s="2">
        <v>46272</v>
      </c>
      <c r="R255" t="s">
        <v>783</v>
      </c>
      <c r="S255" t="str">
        <f>"25666160000051673"</f>
        <v>25666160000051673</v>
      </c>
      <c r="T255" t="s">
        <v>41</v>
      </c>
      <c r="U255">
        <v>7697.17</v>
      </c>
      <c r="V255">
        <v>7697.17</v>
      </c>
      <c r="W255">
        <v>7697.17</v>
      </c>
      <c r="X255">
        <v>0</v>
      </c>
      <c r="Y255">
        <v>0</v>
      </c>
      <c r="Z255">
        <v>-497</v>
      </c>
      <c r="AA255">
        <v>1778</v>
      </c>
      <c r="AD255" t="s">
        <v>711</v>
      </c>
      <c r="AE255" t="s">
        <v>784</v>
      </c>
      <c r="AF255" t="s">
        <v>711</v>
      </c>
      <c r="AG255" s="1" t="s">
        <v>785</v>
      </c>
      <c r="AH255" t="s">
        <v>714</v>
      </c>
    </row>
    <row r="256" spans="1:34" x14ac:dyDescent="0.3">
      <c r="A256">
        <v>101</v>
      </c>
      <c r="B256" t="s">
        <v>34</v>
      </c>
      <c r="C256">
        <v>2</v>
      </c>
      <c r="D256" s="1" t="s">
        <v>786</v>
      </c>
      <c r="E256" s="1" t="s">
        <v>36</v>
      </c>
      <c r="G256">
        <v>11179</v>
      </c>
      <c r="H256" t="s">
        <v>787</v>
      </c>
      <c r="I256" t="s">
        <v>788</v>
      </c>
      <c r="J256">
        <v>12</v>
      </c>
      <c r="K256">
        <v>11179</v>
      </c>
      <c r="L256">
        <v>50033</v>
      </c>
      <c r="M256" t="s">
        <v>39</v>
      </c>
      <c r="N256">
        <v>32</v>
      </c>
      <c r="O256" s="2">
        <v>46230</v>
      </c>
      <c r="P256" s="2">
        <v>46270</v>
      </c>
      <c r="R256" t="s">
        <v>789</v>
      </c>
      <c r="S256" t="str">
        <f>"0000050411209"</f>
        <v>0000050411209</v>
      </c>
      <c r="T256" t="s">
        <v>41</v>
      </c>
      <c r="U256">
        <v>7447.88</v>
      </c>
      <c r="V256">
        <v>7447.88</v>
      </c>
      <c r="W256">
        <v>7447.88</v>
      </c>
      <c r="X256">
        <v>0</v>
      </c>
      <c r="Y256">
        <v>0</v>
      </c>
      <c r="Z256">
        <v>-495</v>
      </c>
      <c r="AA256">
        <v>1585</v>
      </c>
      <c r="AD256" t="s">
        <v>790</v>
      </c>
      <c r="AE256" t="s">
        <v>791</v>
      </c>
      <c r="AF256" t="s">
        <v>790</v>
      </c>
      <c r="AG256" s="1" t="s">
        <v>792</v>
      </c>
      <c r="AH256" t="s">
        <v>714</v>
      </c>
    </row>
    <row r="257" spans="1:34" x14ac:dyDescent="0.3">
      <c r="A257">
        <v>101</v>
      </c>
      <c r="B257" t="s">
        <v>34</v>
      </c>
      <c r="C257">
        <v>2</v>
      </c>
      <c r="D257" s="1" t="s">
        <v>793</v>
      </c>
      <c r="E257" s="1" t="s">
        <v>116</v>
      </c>
      <c r="G257">
        <v>11381</v>
      </c>
      <c r="H257" t="s">
        <v>794</v>
      </c>
      <c r="I257" t="s">
        <v>795</v>
      </c>
      <c r="J257">
        <v>15</v>
      </c>
      <c r="K257">
        <v>4967</v>
      </c>
      <c r="L257">
        <v>50341</v>
      </c>
      <c r="M257" t="s">
        <v>146</v>
      </c>
      <c r="N257">
        <v>32</v>
      </c>
      <c r="O257" s="2">
        <v>46196</v>
      </c>
      <c r="P257" s="2">
        <v>46292</v>
      </c>
      <c r="R257" t="s">
        <v>796</v>
      </c>
      <c r="S257" t="str">
        <f>"00012693"</f>
        <v>00012693</v>
      </c>
      <c r="T257" t="s">
        <v>41</v>
      </c>
      <c r="U257">
        <v>2423.4</v>
      </c>
      <c r="V257">
        <v>2423.4</v>
      </c>
      <c r="W257">
        <v>2423.4</v>
      </c>
      <c r="X257">
        <v>0</v>
      </c>
      <c r="Y257">
        <v>0</v>
      </c>
      <c r="Z257">
        <v>-517</v>
      </c>
      <c r="AA257">
        <v>820</v>
      </c>
      <c r="AD257" t="s">
        <v>731</v>
      </c>
      <c r="AE257" t="s">
        <v>797</v>
      </c>
      <c r="AF257" t="s">
        <v>731</v>
      </c>
      <c r="AG257" s="1" t="s">
        <v>798</v>
      </c>
      <c r="AH257" t="s">
        <v>714</v>
      </c>
    </row>
    <row r="258" spans="1:34" x14ac:dyDescent="0.3">
      <c r="A258">
        <v>101</v>
      </c>
      <c r="B258" t="s">
        <v>34</v>
      </c>
      <c r="C258">
        <v>2</v>
      </c>
      <c r="D258" s="1" t="s">
        <v>799</v>
      </c>
      <c r="E258" s="1" t="s">
        <v>122</v>
      </c>
      <c r="G258">
        <v>11381</v>
      </c>
      <c r="H258" t="s">
        <v>794</v>
      </c>
      <c r="I258" t="s">
        <v>795</v>
      </c>
      <c r="J258">
        <v>15</v>
      </c>
      <c r="K258">
        <v>4967</v>
      </c>
      <c r="L258">
        <v>50341</v>
      </c>
      <c r="M258" t="s">
        <v>146</v>
      </c>
      <c r="N258">
        <v>32</v>
      </c>
      <c r="O258" s="2">
        <v>46196</v>
      </c>
      <c r="P258" s="2">
        <v>46272</v>
      </c>
      <c r="R258" t="s">
        <v>800</v>
      </c>
      <c r="S258" t="str">
        <f>"00012695"</f>
        <v>00012695</v>
      </c>
      <c r="T258" t="s">
        <v>41</v>
      </c>
      <c r="U258">
        <v>186.97</v>
      </c>
      <c r="V258">
        <v>186.97</v>
      </c>
      <c r="W258">
        <v>186.97</v>
      </c>
      <c r="X258">
        <v>0</v>
      </c>
      <c r="Y258">
        <v>0</v>
      </c>
      <c r="Z258">
        <v>-497</v>
      </c>
      <c r="AA258">
        <v>840</v>
      </c>
      <c r="AD258" t="s">
        <v>731</v>
      </c>
      <c r="AE258" t="s">
        <v>797</v>
      </c>
      <c r="AF258" t="s">
        <v>731</v>
      </c>
      <c r="AG258" s="1" t="s">
        <v>798</v>
      </c>
      <c r="AH258" t="s">
        <v>714</v>
      </c>
    </row>
    <row r="259" spans="1:34" x14ac:dyDescent="0.3">
      <c r="A259">
        <v>101</v>
      </c>
      <c r="B259" t="s">
        <v>34</v>
      </c>
      <c r="C259">
        <v>2</v>
      </c>
      <c r="D259" s="1" t="s">
        <v>799</v>
      </c>
      <c r="E259" s="1" t="s">
        <v>116</v>
      </c>
      <c r="G259">
        <v>11381</v>
      </c>
      <c r="H259" t="s">
        <v>794</v>
      </c>
      <c r="I259" t="s">
        <v>795</v>
      </c>
      <c r="J259">
        <v>15</v>
      </c>
      <c r="K259">
        <v>4967</v>
      </c>
      <c r="L259">
        <v>50341</v>
      </c>
      <c r="M259" t="s">
        <v>146</v>
      </c>
      <c r="N259">
        <v>32</v>
      </c>
      <c r="O259" s="2">
        <v>46196</v>
      </c>
      <c r="P259" s="2">
        <v>46292</v>
      </c>
      <c r="R259" t="s">
        <v>800</v>
      </c>
      <c r="S259" t="str">
        <f>"00012696"</f>
        <v>00012696</v>
      </c>
      <c r="T259" t="s">
        <v>41</v>
      </c>
      <c r="U259">
        <v>187.03</v>
      </c>
      <c r="V259">
        <v>187.03</v>
      </c>
      <c r="W259">
        <v>187.03</v>
      </c>
      <c r="X259">
        <v>0</v>
      </c>
      <c r="Y259">
        <v>0</v>
      </c>
      <c r="Z259">
        <v>-517</v>
      </c>
      <c r="AA259">
        <v>840</v>
      </c>
      <c r="AD259" t="s">
        <v>731</v>
      </c>
      <c r="AE259" t="s">
        <v>797</v>
      </c>
      <c r="AF259" t="s">
        <v>731</v>
      </c>
      <c r="AG259" s="1" t="s">
        <v>798</v>
      </c>
      <c r="AH259" t="s">
        <v>714</v>
      </c>
    </row>
    <row r="260" spans="1:34" x14ac:dyDescent="0.3">
      <c r="A260">
        <v>101</v>
      </c>
      <c r="B260" t="s">
        <v>34</v>
      </c>
      <c r="C260">
        <v>2</v>
      </c>
      <c r="D260" s="1" t="s">
        <v>793</v>
      </c>
      <c r="E260" s="1" t="s">
        <v>122</v>
      </c>
      <c r="G260">
        <v>11381</v>
      </c>
      <c r="H260" t="s">
        <v>794</v>
      </c>
      <c r="I260" t="s">
        <v>795</v>
      </c>
      <c r="J260">
        <v>15</v>
      </c>
      <c r="K260">
        <v>4967</v>
      </c>
      <c r="L260">
        <v>50341</v>
      </c>
      <c r="M260" t="s">
        <v>146</v>
      </c>
      <c r="N260">
        <v>32</v>
      </c>
      <c r="O260" s="2">
        <v>46196</v>
      </c>
      <c r="P260" s="2">
        <v>46272</v>
      </c>
      <c r="R260" t="s">
        <v>796</v>
      </c>
      <c r="S260" t="str">
        <f>"00012692"</f>
        <v>00012692</v>
      </c>
      <c r="T260" t="s">
        <v>41</v>
      </c>
      <c r="U260">
        <v>2422.6799999999998</v>
      </c>
      <c r="V260">
        <v>2422.6799999999998</v>
      </c>
      <c r="W260">
        <v>2422.6799999999998</v>
      </c>
      <c r="X260">
        <v>0</v>
      </c>
      <c r="Y260">
        <v>0</v>
      </c>
      <c r="Z260">
        <v>-497</v>
      </c>
      <c r="AA260">
        <v>820</v>
      </c>
      <c r="AD260" t="s">
        <v>731</v>
      </c>
      <c r="AE260" t="s">
        <v>797</v>
      </c>
      <c r="AF260" t="s">
        <v>731</v>
      </c>
      <c r="AG260" s="1" t="s">
        <v>798</v>
      </c>
      <c r="AH260" t="s">
        <v>714</v>
      </c>
    </row>
    <row r="261" spans="1:34" x14ac:dyDescent="0.3">
      <c r="A261">
        <v>101</v>
      </c>
      <c r="B261" t="s">
        <v>34</v>
      </c>
      <c r="C261">
        <v>2</v>
      </c>
      <c r="D261" s="1" t="s">
        <v>801</v>
      </c>
      <c r="E261" s="1" t="s">
        <v>36</v>
      </c>
      <c r="G261">
        <v>11381</v>
      </c>
      <c r="H261" t="s">
        <v>794</v>
      </c>
      <c r="I261" t="s">
        <v>795</v>
      </c>
      <c r="J261">
        <v>15</v>
      </c>
      <c r="K261">
        <v>4967</v>
      </c>
      <c r="L261">
        <v>50341</v>
      </c>
      <c r="M261" t="s">
        <v>146</v>
      </c>
      <c r="N261">
        <v>32</v>
      </c>
      <c r="O261" s="2">
        <v>46225</v>
      </c>
      <c r="P261" s="2">
        <v>46265</v>
      </c>
      <c r="R261" t="s">
        <v>802</v>
      </c>
      <c r="S261" t="str">
        <f>"00013190"</f>
        <v>00013190</v>
      </c>
      <c r="T261" t="s">
        <v>41</v>
      </c>
      <c r="U261">
        <v>1690.58</v>
      </c>
      <c r="V261">
        <v>1690.58</v>
      </c>
      <c r="W261">
        <v>1690.58</v>
      </c>
      <c r="X261">
        <v>0</v>
      </c>
      <c r="Y261">
        <v>0</v>
      </c>
      <c r="Z261">
        <v>-490</v>
      </c>
      <c r="AA261">
        <v>1395</v>
      </c>
      <c r="AD261" t="s">
        <v>731</v>
      </c>
      <c r="AE261" t="s">
        <v>797</v>
      </c>
      <c r="AF261" t="s">
        <v>731</v>
      </c>
      <c r="AG261" s="1" t="s">
        <v>798</v>
      </c>
      <c r="AH261" t="s">
        <v>714</v>
      </c>
    </row>
    <row r="262" spans="1:34" x14ac:dyDescent="0.3">
      <c r="A262">
        <v>101</v>
      </c>
      <c r="B262" t="s">
        <v>34</v>
      </c>
      <c r="C262">
        <v>2</v>
      </c>
      <c r="D262" s="1" t="s">
        <v>801</v>
      </c>
      <c r="E262" s="1" t="s">
        <v>122</v>
      </c>
      <c r="G262">
        <v>11381</v>
      </c>
      <c r="H262" t="s">
        <v>794</v>
      </c>
      <c r="I262" t="s">
        <v>795</v>
      </c>
      <c r="J262">
        <v>15</v>
      </c>
      <c r="K262">
        <v>4967</v>
      </c>
      <c r="L262">
        <v>50341</v>
      </c>
      <c r="M262" t="s">
        <v>146</v>
      </c>
      <c r="N262">
        <v>32</v>
      </c>
      <c r="O262" s="2">
        <v>46225</v>
      </c>
      <c r="P262" s="2">
        <v>46285</v>
      </c>
      <c r="R262" t="s">
        <v>802</v>
      </c>
      <c r="S262" t="str">
        <f>"00013191"</f>
        <v>00013191</v>
      </c>
      <c r="T262" t="s">
        <v>41</v>
      </c>
      <c r="U262">
        <v>1484.63</v>
      </c>
      <c r="V262">
        <v>1484.63</v>
      </c>
      <c r="W262">
        <v>1484.63</v>
      </c>
      <c r="X262">
        <v>0</v>
      </c>
      <c r="Y262">
        <v>0</v>
      </c>
      <c r="Z262">
        <v>-510</v>
      </c>
      <c r="AA262">
        <v>1395</v>
      </c>
      <c r="AD262" t="s">
        <v>731</v>
      </c>
      <c r="AE262" t="s">
        <v>797</v>
      </c>
      <c r="AF262" t="s">
        <v>731</v>
      </c>
      <c r="AG262" s="1" t="s">
        <v>798</v>
      </c>
      <c r="AH262" t="s">
        <v>714</v>
      </c>
    </row>
    <row r="263" spans="1:34" x14ac:dyDescent="0.3">
      <c r="A263">
        <v>101</v>
      </c>
      <c r="B263" t="s">
        <v>34</v>
      </c>
      <c r="C263">
        <v>2</v>
      </c>
      <c r="D263" s="1" t="s">
        <v>801</v>
      </c>
      <c r="E263" s="1" t="s">
        <v>116</v>
      </c>
      <c r="G263">
        <v>11381</v>
      </c>
      <c r="H263" t="s">
        <v>794</v>
      </c>
      <c r="I263" t="s">
        <v>795</v>
      </c>
      <c r="J263">
        <v>15</v>
      </c>
      <c r="K263">
        <v>4967</v>
      </c>
      <c r="L263">
        <v>50341</v>
      </c>
      <c r="M263" t="s">
        <v>146</v>
      </c>
      <c r="N263">
        <v>32</v>
      </c>
      <c r="O263" s="2">
        <v>46225</v>
      </c>
      <c r="P263" s="2">
        <v>46305</v>
      </c>
      <c r="R263" t="s">
        <v>802</v>
      </c>
      <c r="S263" t="str">
        <f>"00013192"</f>
        <v>00013192</v>
      </c>
      <c r="T263" t="s">
        <v>41</v>
      </c>
      <c r="U263">
        <v>1485.09</v>
      </c>
      <c r="V263">
        <v>1485.09</v>
      </c>
      <c r="W263">
        <v>1485.09</v>
      </c>
      <c r="X263">
        <v>0</v>
      </c>
      <c r="Y263">
        <v>0</v>
      </c>
      <c r="Z263">
        <v>-530</v>
      </c>
      <c r="AA263">
        <v>1395</v>
      </c>
      <c r="AD263" t="s">
        <v>731</v>
      </c>
      <c r="AE263" t="s">
        <v>797</v>
      </c>
      <c r="AF263" t="s">
        <v>731</v>
      </c>
      <c r="AG263" s="1" t="s">
        <v>798</v>
      </c>
      <c r="AH263" t="s">
        <v>714</v>
      </c>
    </row>
    <row r="264" spans="1:34" x14ac:dyDescent="0.3">
      <c r="A264">
        <v>101</v>
      </c>
      <c r="B264" t="s">
        <v>34</v>
      </c>
      <c r="C264">
        <v>2</v>
      </c>
      <c r="D264" s="1" t="s">
        <v>803</v>
      </c>
      <c r="E264" s="1" t="s">
        <v>36</v>
      </c>
      <c r="G264">
        <v>12096</v>
      </c>
      <c r="H264" t="s">
        <v>804</v>
      </c>
      <c r="I264" t="s">
        <v>805</v>
      </c>
      <c r="J264">
        <v>15</v>
      </c>
      <c r="K264">
        <v>4967</v>
      </c>
      <c r="L264">
        <v>50341</v>
      </c>
      <c r="M264" t="s">
        <v>146</v>
      </c>
      <c r="N264">
        <v>32</v>
      </c>
      <c r="O264" s="2">
        <v>46225</v>
      </c>
      <c r="P264" s="2">
        <v>46265</v>
      </c>
      <c r="R264" t="s">
        <v>806</v>
      </c>
      <c r="S264" t="str">
        <f>"00013193"</f>
        <v>00013193</v>
      </c>
      <c r="T264" t="s">
        <v>41</v>
      </c>
      <c r="U264">
        <v>597.27</v>
      </c>
      <c r="V264">
        <v>597.27</v>
      </c>
      <c r="W264">
        <v>597.27</v>
      </c>
      <c r="X264">
        <v>0</v>
      </c>
      <c r="Y264">
        <v>0</v>
      </c>
      <c r="Z264">
        <v>-490</v>
      </c>
      <c r="AA264">
        <v>1396</v>
      </c>
      <c r="AD264" t="s">
        <v>807</v>
      </c>
      <c r="AE264" t="s">
        <v>808</v>
      </c>
      <c r="AF264" t="s">
        <v>807</v>
      </c>
      <c r="AG264" s="1" t="s">
        <v>809</v>
      </c>
      <c r="AH264" t="s">
        <v>714</v>
      </c>
    </row>
    <row r="265" spans="1:34" x14ac:dyDescent="0.3">
      <c r="A265">
        <v>101</v>
      </c>
      <c r="B265" t="s">
        <v>34</v>
      </c>
      <c r="C265">
        <v>2</v>
      </c>
      <c r="D265" s="1" t="s">
        <v>803</v>
      </c>
      <c r="E265" s="1" t="s">
        <v>122</v>
      </c>
      <c r="G265">
        <v>12096</v>
      </c>
      <c r="H265" t="s">
        <v>804</v>
      </c>
      <c r="I265" t="s">
        <v>805</v>
      </c>
      <c r="J265">
        <v>15</v>
      </c>
      <c r="K265">
        <v>4967</v>
      </c>
      <c r="L265">
        <v>50341</v>
      </c>
      <c r="M265" t="s">
        <v>146</v>
      </c>
      <c r="N265">
        <v>32</v>
      </c>
      <c r="O265" s="2">
        <v>46225</v>
      </c>
      <c r="P265" s="2">
        <v>46285</v>
      </c>
      <c r="R265" t="s">
        <v>806</v>
      </c>
      <c r="S265" t="str">
        <f>"00013194"</f>
        <v>00013194</v>
      </c>
      <c r="T265" t="s">
        <v>41</v>
      </c>
      <c r="U265">
        <v>597.27</v>
      </c>
      <c r="V265">
        <v>597.27</v>
      </c>
      <c r="W265">
        <v>597.27</v>
      </c>
      <c r="X265">
        <v>0</v>
      </c>
      <c r="Y265">
        <v>0</v>
      </c>
      <c r="Z265">
        <v>-510</v>
      </c>
      <c r="AA265">
        <v>1396</v>
      </c>
      <c r="AD265" t="s">
        <v>807</v>
      </c>
      <c r="AE265" t="s">
        <v>808</v>
      </c>
      <c r="AF265" t="s">
        <v>807</v>
      </c>
      <c r="AG265" s="1" t="s">
        <v>809</v>
      </c>
      <c r="AH265" t="s">
        <v>714</v>
      </c>
    </row>
    <row r="266" spans="1:34" x14ac:dyDescent="0.3">
      <c r="A266">
        <v>101</v>
      </c>
      <c r="B266" t="s">
        <v>34</v>
      </c>
      <c r="C266">
        <v>2</v>
      </c>
      <c r="D266" s="1" t="s">
        <v>803</v>
      </c>
      <c r="E266" s="1" t="s">
        <v>116</v>
      </c>
      <c r="G266">
        <v>12096</v>
      </c>
      <c r="H266" t="s">
        <v>804</v>
      </c>
      <c r="I266" t="s">
        <v>805</v>
      </c>
      <c r="J266">
        <v>15</v>
      </c>
      <c r="K266">
        <v>4967</v>
      </c>
      <c r="L266">
        <v>50341</v>
      </c>
      <c r="M266" t="s">
        <v>146</v>
      </c>
      <c r="N266">
        <v>32</v>
      </c>
      <c r="O266" s="2">
        <v>46225</v>
      </c>
      <c r="P266" s="2">
        <v>46305</v>
      </c>
      <c r="R266" t="s">
        <v>806</v>
      </c>
      <c r="S266" t="str">
        <f>"00013195"</f>
        <v>00013195</v>
      </c>
      <c r="T266" t="s">
        <v>41</v>
      </c>
      <c r="U266">
        <v>597.46</v>
      </c>
      <c r="V266">
        <v>597.46</v>
      </c>
      <c r="W266">
        <v>597.46</v>
      </c>
      <c r="X266">
        <v>0</v>
      </c>
      <c r="Y266">
        <v>0</v>
      </c>
      <c r="Z266">
        <v>-530</v>
      </c>
      <c r="AA266">
        <v>1396</v>
      </c>
      <c r="AD266" t="s">
        <v>807</v>
      </c>
      <c r="AE266" t="s">
        <v>808</v>
      </c>
      <c r="AF266" t="s">
        <v>807</v>
      </c>
      <c r="AG266" s="1" t="s">
        <v>809</v>
      </c>
      <c r="AH266" t="s">
        <v>714</v>
      </c>
    </row>
    <row r="267" spans="1:34" x14ac:dyDescent="0.3">
      <c r="A267">
        <v>101</v>
      </c>
      <c r="B267" t="s">
        <v>34</v>
      </c>
      <c r="C267">
        <v>2</v>
      </c>
      <c r="D267" s="1" t="s">
        <v>810</v>
      </c>
      <c r="E267" s="1" t="s">
        <v>116</v>
      </c>
      <c r="G267">
        <v>12096</v>
      </c>
      <c r="H267" t="s">
        <v>804</v>
      </c>
      <c r="I267" t="s">
        <v>805</v>
      </c>
      <c r="J267">
        <v>15</v>
      </c>
      <c r="K267">
        <v>4967</v>
      </c>
      <c r="L267">
        <v>50341</v>
      </c>
      <c r="M267" t="s">
        <v>146</v>
      </c>
      <c r="N267">
        <v>32</v>
      </c>
      <c r="O267" s="2">
        <v>46196</v>
      </c>
      <c r="P267" s="2">
        <v>46276</v>
      </c>
      <c r="R267" t="s">
        <v>811</v>
      </c>
      <c r="S267" t="str">
        <f>"00012699"</f>
        <v>00012699</v>
      </c>
      <c r="T267" t="s">
        <v>41</v>
      </c>
      <c r="U267">
        <v>531.27</v>
      </c>
      <c r="V267">
        <v>531.27</v>
      </c>
      <c r="W267">
        <v>531.27</v>
      </c>
      <c r="X267">
        <v>0</v>
      </c>
      <c r="Y267">
        <v>0</v>
      </c>
      <c r="Z267">
        <v>-501</v>
      </c>
      <c r="AA267">
        <v>821</v>
      </c>
      <c r="AD267" t="s">
        <v>807</v>
      </c>
      <c r="AE267" t="s">
        <v>808</v>
      </c>
      <c r="AF267" t="s">
        <v>807</v>
      </c>
      <c r="AG267" s="1" t="s">
        <v>809</v>
      </c>
      <c r="AH267" t="s">
        <v>714</v>
      </c>
    </row>
    <row r="268" spans="1:34" x14ac:dyDescent="0.3">
      <c r="A268">
        <v>101</v>
      </c>
      <c r="B268" t="s">
        <v>34</v>
      </c>
      <c r="C268">
        <v>2</v>
      </c>
      <c r="D268" s="1" t="s">
        <v>810</v>
      </c>
      <c r="E268" s="1" t="s">
        <v>122</v>
      </c>
      <c r="G268">
        <v>12096</v>
      </c>
      <c r="H268" t="s">
        <v>804</v>
      </c>
      <c r="I268" t="s">
        <v>805</v>
      </c>
      <c r="J268">
        <v>15</v>
      </c>
      <c r="K268">
        <v>4967</v>
      </c>
      <c r="L268">
        <v>50341</v>
      </c>
      <c r="M268" t="s">
        <v>146</v>
      </c>
      <c r="N268">
        <v>32</v>
      </c>
      <c r="O268" s="2">
        <v>46196</v>
      </c>
      <c r="P268" s="2">
        <v>46256</v>
      </c>
      <c r="R268" t="s">
        <v>811</v>
      </c>
      <c r="S268" t="str">
        <f>"00012698"</f>
        <v>00012698</v>
      </c>
      <c r="T268" t="s">
        <v>41</v>
      </c>
      <c r="U268">
        <v>531.11</v>
      </c>
      <c r="V268">
        <v>531.11</v>
      </c>
      <c r="W268">
        <v>531.11</v>
      </c>
      <c r="X268">
        <v>0</v>
      </c>
      <c r="Y268">
        <v>0</v>
      </c>
      <c r="Z268">
        <v>-481</v>
      </c>
      <c r="AA268">
        <v>821</v>
      </c>
      <c r="AD268" t="s">
        <v>807</v>
      </c>
      <c r="AE268" t="s">
        <v>808</v>
      </c>
      <c r="AF268" t="s">
        <v>807</v>
      </c>
      <c r="AG268" s="1" t="s">
        <v>809</v>
      </c>
      <c r="AH268" t="s">
        <v>714</v>
      </c>
    </row>
    <row r="269" spans="1:34" x14ac:dyDescent="0.3">
      <c r="A269">
        <v>101</v>
      </c>
      <c r="B269" t="s">
        <v>34</v>
      </c>
      <c r="C269">
        <v>2</v>
      </c>
      <c r="D269" s="1" t="s">
        <v>812</v>
      </c>
      <c r="E269" s="1" t="s">
        <v>116</v>
      </c>
      <c r="G269">
        <v>12096</v>
      </c>
      <c r="H269" t="s">
        <v>804</v>
      </c>
      <c r="I269" t="s">
        <v>805</v>
      </c>
      <c r="J269">
        <v>15</v>
      </c>
      <c r="K269">
        <v>4967</v>
      </c>
      <c r="L269">
        <v>50341</v>
      </c>
      <c r="M269" t="s">
        <v>146</v>
      </c>
      <c r="N269">
        <v>32</v>
      </c>
      <c r="O269" s="2">
        <v>46196</v>
      </c>
      <c r="P269" s="2">
        <v>46276</v>
      </c>
      <c r="R269" t="s">
        <v>813</v>
      </c>
      <c r="S269" t="str">
        <f>"00012702"</f>
        <v>00012702</v>
      </c>
      <c r="T269" t="s">
        <v>41</v>
      </c>
      <c r="U269">
        <v>249.36</v>
      </c>
      <c r="V269">
        <v>249.36</v>
      </c>
      <c r="W269">
        <v>249.36</v>
      </c>
      <c r="X269">
        <v>0</v>
      </c>
      <c r="Y269">
        <v>0</v>
      </c>
      <c r="Z269">
        <v>-501</v>
      </c>
      <c r="AA269">
        <v>841</v>
      </c>
      <c r="AD269" t="s">
        <v>807</v>
      </c>
      <c r="AE269" t="s">
        <v>808</v>
      </c>
      <c r="AF269" t="s">
        <v>807</v>
      </c>
      <c r="AG269" s="1" t="s">
        <v>809</v>
      </c>
      <c r="AH269" t="s">
        <v>714</v>
      </c>
    </row>
    <row r="270" spans="1:34" x14ac:dyDescent="0.3">
      <c r="A270">
        <v>101</v>
      </c>
      <c r="B270" t="s">
        <v>34</v>
      </c>
      <c r="C270">
        <v>2</v>
      </c>
      <c r="D270" s="1" t="s">
        <v>812</v>
      </c>
      <c r="E270" s="1" t="s">
        <v>122</v>
      </c>
      <c r="G270">
        <v>12096</v>
      </c>
      <c r="H270" t="s">
        <v>804</v>
      </c>
      <c r="I270" t="s">
        <v>805</v>
      </c>
      <c r="J270">
        <v>15</v>
      </c>
      <c r="K270">
        <v>4967</v>
      </c>
      <c r="L270">
        <v>50341</v>
      </c>
      <c r="M270" t="s">
        <v>146</v>
      </c>
      <c r="N270">
        <v>32</v>
      </c>
      <c r="O270" s="2">
        <v>46196</v>
      </c>
      <c r="P270" s="2">
        <v>46256</v>
      </c>
      <c r="R270" t="s">
        <v>813</v>
      </c>
      <c r="S270" t="str">
        <f>"00012701"</f>
        <v>00012701</v>
      </c>
      <c r="T270" t="s">
        <v>41</v>
      </c>
      <c r="U270">
        <v>249.3</v>
      </c>
      <c r="V270">
        <v>249.3</v>
      </c>
      <c r="W270">
        <v>249.3</v>
      </c>
      <c r="X270">
        <v>0</v>
      </c>
      <c r="Y270">
        <v>0</v>
      </c>
      <c r="Z270">
        <v>-481</v>
      </c>
      <c r="AA270">
        <v>841</v>
      </c>
      <c r="AD270" t="s">
        <v>807</v>
      </c>
      <c r="AE270" t="s">
        <v>808</v>
      </c>
      <c r="AF270" t="s">
        <v>807</v>
      </c>
      <c r="AG270" s="1" t="s">
        <v>809</v>
      </c>
      <c r="AH270" t="s">
        <v>714</v>
      </c>
    </row>
    <row r="271" spans="1:34" x14ac:dyDescent="0.3">
      <c r="A271">
        <v>101</v>
      </c>
      <c r="B271" t="s">
        <v>34</v>
      </c>
      <c r="C271">
        <v>2</v>
      </c>
      <c r="D271" s="1" t="s">
        <v>814</v>
      </c>
      <c r="E271" s="1" t="s">
        <v>36</v>
      </c>
      <c r="G271">
        <v>12646</v>
      </c>
      <c r="H271" t="s">
        <v>815</v>
      </c>
      <c r="I271" t="s">
        <v>816</v>
      </c>
      <c r="J271">
        <v>12</v>
      </c>
      <c r="K271">
        <v>12646</v>
      </c>
      <c r="L271">
        <v>50033</v>
      </c>
      <c r="M271" t="s">
        <v>39</v>
      </c>
      <c r="N271">
        <v>32</v>
      </c>
      <c r="O271" s="2">
        <v>46231</v>
      </c>
      <c r="P271" s="2">
        <v>46271</v>
      </c>
      <c r="R271" t="s">
        <v>817</v>
      </c>
      <c r="S271" t="str">
        <f>"0000050411306"</f>
        <v>0000050411306</v>
      </c>
      <c r="T271" t="s">
        <v>41</v>
      </c>
      <c r="U271">
        <v>9713.51</v>
      </c>
      <c r="V271">
        <v>9664.76</v>
      </c>
      <c r="W271">
        <v>9664.76</v>
      </c>
      <c r="X271">
        <v>0</v>
      </c>
      <c r="Y271">
        <v>0</v>
      </c>
      <c r="Z271">
        <v>-496</v>
      </c>
      <c r="AA271">
        <v>1784</v>
      </c>
      <c r="AD271" t="s">
        <v>818</v>
      </c>
      <c r="AE271" t="s">
        <v>819</v>
      </c>
      <c r="AF271" t="s">
        <v>818</v>
      </c>
      <c r="AG271">
        <v>12934721000158</v>
      </c>
      <c r="AH271" t="s">
        <v>714</v>
      </c>
    </row>
    <row r="272" spans="1:34" x14ac:dyDescent="0.3">
      <c r="A272">
        <v>101</v>
      </c>
      <c r="B272" t="s">
        <v>34</v>
      </c>
      <c r="C272">
        <v>2</v>
      </c>
      <c r="D272" s="1" t="s">
        <v>820</v>
      </c>
      <c r="E272" s="1" t="s">
        <v>36</v>
      </c>
      <c r="G272">
        <v>12696</v>
      </c>
      <c r="H272" t="s">
        <v>821</v>
      </c>
      <c r="I272" t="s">
        <v>822</v>
      </c>
      <c r="J272">
        <v>12</v>
      </c>
      <c r="K272">
        <v>12696</v>
      </c>
      <c r="L272">
        <v>50033</v>
      </c>
      <c r="M272" t="s">
        <v>39</v>
      </c>
      <c r="N272">
        <v>32</v>
      </c>
      <c r="O272" s="2">
        <v>46232</v>
      </c>
      <c r="P272" s="2">
        <v>46262</v>
      </c>
      <c r="R272" t="s">
        <v>823</v>
      </c>
      <c r="S272" t="str">
        <f>"0000050411519"</f>
        <v>0000050411519</v>
      </c>
      <c r="T272" t="s">
        <v>41</v>
      </c>
      <c r="U272">
        <v>2449.84</v>
      </c>
      <c r="V272">
        <v>2449.84</v>
      </c>
      <c r="W272">
        <v>2449.84</v>
      </c>
      <c r="X272">
        <v>0</v>
      </c>
      <c r="Y272">
        <v>0</v>
      </c>
      <c r="Z272">
        <v>-487</v>
      </c>
      <c r="AA272">
        <v>1786</v>
      </c>
      <c r="AD272" t="s">
        <v>711</v>
      </c>
      <c r="AE272" t="s">
        <v>824</v>
      </c>
      <c r="AF272" t="s">
        <v>711</v>
      </c>
      <c r="AG272" s="1" t="s">
        <v>825</v>
      </c>
      <c r="AH272" t="s">
        <v>714</v>
      </c>
    </row>
    <row r="273" spans="1:34" x14ac:dyDescent="0.3">
      <c r="A273">
        <v>101</v>
      </c>
      <c r="B273" t="s">
        <v>34</v>
      </c>
      <c r="C273">
        <v>2</v>
      </c>
      <c r="D273" s="1" t="s">
        <v>826</v>
      </c>
      <c r="E273" s="1" t="s">
        <v>36</v>
      </c>
      <c r="G273">
        <v>12696</v>
      </c>
      <c r="H273" t="s">
        <v>821</v>
      </c>
      <c r="I273" t="s">
        <v>822</v>
      </c>
      <c r="J273">
        <v>12</v>
      </c>
      <c r="K273">
        <v>12696</v>
      </c>
      <c r="L273">
        <v>50033</v>
      </c>
      <c r="M273" t="s">
        <v>39</v>
      </c>
      <c r="N273">
        <v>32</v>
      </c>
      <c r="O273" s="2">
        <v>46232</v>
      </c>
      <c r="P273" s="2">
        <v>46262</v>
      </c>
      <c r="R273" t="s">
        <v>827</v>
      </c>
      <c r="S273" t="str">
        <f>"0000050411527"</f>
        <v>0000050411527</v>
      </c>
      <c r="T273" t="s">
        <v>41</v>
      </c>
      <c r="U273">
        <v>1557.87</v>
      </c>
      <c r="V273">
        <v>1557.87</v>
      </c>
      <c r="W273">
        <v>1557.87</v>
      </c>
      <c r="X273">
        <v>0</v>
      </c>
      <c r="Y273">
        <v>0</v>
      </c>
      <c r="Z273">
        <v>-487</v>
      </c>
      <c r="AA273">
        <v>1787</v>
      </c>
      <c r="AD273" t="s">
        <v>711</v>
      </c>
      <c r="AE273" t="s">
        <v>824</v>
      </c>
      <c r="AF273" t="s">
        <v>711</v>
      </c>
      <c r="AG273" s="1" t="s">
        <v>825</v>
      </c>
      <c r="AH273" t="s">
        <v>714</v>
      </c>
    </row>
    <row r="274" spans="1:34" x14ac:dyDescent="0.3">
      <c r="A274">
        <v>101</v>
      </c>
      <c r="B274" t="s">
        <v>34</v>
      </c>
      <c r="C274">
        <v>2</v>
      </c>
      <c r="D274" s="1" t="s">
        <v>828</v>
      </c>
      <c r="E274" s="1" t="s">
        <v>36</v>
      </c>
      <c r="G274">
        <v>12708</v>
      </c>
      <c r="H274" t="s">
        <v>829</v>
      </c>
      <c r="I274" t="s">
        <v>830</v>
      </c>
      <c r="J274">
        <v>12</v>
      </c>
      <c r="K274">
        <v>12708</v>
      </c>
      <c r="L274">
        <v>50033</v>
      </c>
      <c r="M274" t="s">
        <v>39</v>
      </c>
      <c r="N274">
        <v>32</v>
      </c>
      <c r="O274" s="2">
        <v>46233</v>
      </c>
      <c r="P274" s="2">
        <v>46273</v>
      </c>
      <c r="R274" t="s">
        <v>831</v>
      </c>
      <c r="S274" t="str">
        <f>"0000050411586"</f>
        <v>0000050411586</v>
      </c>
      <c r="T274" t="s">
        <v>41</v>
      </c>
      <c r="U274">
        <v>5249.34</v>
      </c>
      <c r="V274">
        <v>5249.34</v>
      </c>
      <c r="W274">
        <v>5249.34</v>
      </c>
      <c r="X274">
        <v>0</v>
      </c>
      <c r="Y274">
        <v>0</v>
      </c>
      <c r="Z274">
        <v>-498</v>
      </c>
      <c r="AA274">
        <v>1935</v>
      </c>
      <c r="AD274" t="s">
        <v>832</v>
      </c>
      <c r="AE274" t="s">
        <v>833</v>
      </c>
      <c r="AF274" t="s">
        <v>832</v>
      </c>
      <c r="AG274">
        <v>37178340000117</v>
      </c>
      <c r="AH274" t="s">
        <v>714</v>
      </c>
    </row>
    <row r="275" spans="1:34" x14ac:dyDescent="0.3">
      <c r="A275">
        <v>101</v>
      </c>
      <c r="B275" t="s">
        <v>34</v>
      </c>
      <c r="C275">
        <v>2</v>
      </c>
      <c r="D275" s="1" t="s">
        <v>834</v>
      </c>
      <c r="E275" s="1" t="s">
        <v>116</v>
      </c>
      <c r="G275">
        <v>434968</v>
      </c>
      <c r="H275" t="s">
        <v>835</v>
      </c>
      <c r="I275" t="s">
        <v>753</v>
      </c>
      <c r="J275">
        <v>15</v>
      </c>
      <c r="K275">
        <v>4967</v>
      </c>
      <c r="L275">
        <v>50341</v>
      </c>
      <c r="M275" t="s">
        <v>146</v>
      </c>
      <c r="N275">
        <v>32</v>
      </c>
      <c r="O275" s="2">
        <v>46196</v>
      </c>
      <c r="P275" s="2">
        <v>46292</v>
      </c>
      <c r="R275" t="s">
        <v>836</v>
      </c>
      <c r="S275" t="str">
        <f>"00012705"</f>
        <v>00012705</v>
      </c>
      <c r="T275" t="s">
        <v>41</v>
      </c>
      <c r="U275">
        <v>1369.77</v>
      </c>
      <c r="V275">
        <v>1369.77</v>
      </c>
      <c r="W275">
        <v>1369.77</v>
      </c>
      <c r="X275">
        <v>0</v>
      </c>
      <c r="Y275">
        <v>0</v>
      </c>
      <c r="Z275">
        <v>-517</v>
      </c>
      <c r="AA275">
        <v>822</v>
      </c>
      <c r="AD275" t="s">
        <v>837</v>
      </c>
      <c r="AE275">
        <v>6734107219</v>
      </c>
      <c r="AF275" t="s">
        <v>837</v>
      </c>
      <c r="AG275" s="1" t="s">
        <v>838</v>
      </c>
      <c r="AH275" t="s">
        <v>714</v>
      </c>
    </row>
    <row r="276" spans="1:34" x14ac:dyDescent="0.3">
      <c r="A276">
        <v>101</v>
      </c>
      <c r="B276" t="s">
        <v>34</v>
      </c>
      <c r="C276">
        <v>2</v>
      </c>
      <c r="D276" s="1" t="s">
        <v>839</v>
      </c>
      <c r="E276" s="1" t="s">
        <v>116</v>
      </c>
      <c r="G276">
        <v>434968</v>
      </c>
      <c r="H276" t="s">
        <v>835</v>
      </c>
      <c r="I276" t="s">
        <v>753</v>
      </c>
      <c r="J276">
        <v>15</v>
      </c>
      <c r="K276">
        <v>4967</v>
      </c>
      <c r="L276">
        <v>50341</v>
      </c>
      <c r="M276" t="s">
        <v>146</v>
      </c>
      <c r="N276">
        <v>32</v>
      </c>
      <c r="O276" s="2">
        <v>46225</v>
      </c>
      <c r="P276" s="2">
        <v>46305</v>
      </c>
      <c r="R276" t="s">
        <v>840</v>
      </c>
      <c r="S276" t="str">
        <f>"00013201"</f>
        <v>00013201</v>
      </c>
      <c r="T276" t="s">
        <v>41</v>
      </c>
      <c r="U276">
        <v>62.35</v>
      </c>
      <c r="V276">
        <v>62.35</v>
      </c>
      <c r="W276">
        <v>62.35</v>
      </c>
      <c r="X276">
        <v>0</v>
      </c>
      <c r="Y276">
        <v>0</v>
      </c>
      <c r="Z276">
        <v>-530</v>
      </c>
      <c r="AA276">
        <v>1569</v>
      </c>
      <c r="AD276" t="s">
        <v>837</v>
      </c>
      <c r="AE276">
        <v>6734107219</v>
      </c>
      <c r="AF276" t="s">
        <v>837</v>
      </c>
      <c r="AG276" s="1" t="s">
        <v>838</v>
      </c>
      <c r="AH276" t="s">
        <v>714</v>
      </c>
    </row>
    <row r="277" spans="1:34" x14ac:dyDescent="0.3">
      <c r="A277">
        <v>101</v>
      </c>
      <c r="B277" t="s">
        <v>34</v>
      </c>
      <c r="C277">
        <v>2</v>
      </c>
      <c r="D277" s="1" t="s">
        <v>834</v>
      </c>
      <c r="E277" s="1" t="s">
        <v>122</v>
      </c>
      <c r="G277">
        <v>434968</v>
      </c>
      <c r="H277" t="s">
        <v>835</v>
      </c>
      <c r="I277" t="s">
        <v>753</v>
      </c>
      <c r="J277">
        <v>15</v>
      </c>
      <c r="K277">
        <v>4967</v>
      </c>
      <c r="L277">
        <v>50341</v>
      </c>
      <c r="M277" t="s">
        <v>146</v>
      </c>
      <c r="N277">
        <v>32</v>
      </c>
      <c r="O277" s="2">
        <v>46196</v>
      </c>
      <c r="P277" s="2">
        <v>46272</v>
      </c>
      <c r="R277" t="s">
        <v>836</v>
      </c>
      <c r="S277" t="str">
        <f>"00012704"</f>
        <v>00012704</v>
      </c>
      <c r="T277" t="s">
        <v>41</v>
      </c>
      <c r="U277">
        <v>1369.35</v>
      </c>
      <c r="V277">
        <v>1369.35</v>
      </c>
      <c r="W277">
        <v>1369.35</v>
      </c>
      <c r="X277">
        <v>0</v>
      </c>
      <c r="Y277">
        <v>0</v>
      </c>
      <c r="Z277">
        <v>-497</v>
      </c>
      <c r="AA277">
        <v>822</v>
      </c>
      <c r="AD277" t="s">
        <v>837</v>
      </c>
      <c r="AE277">
        <v>6734107219</v>
      </c>
      <c r="AF277" t="s">
        <v>837</v>
      </c>
      <c r="AG277" s="1" t="s">
        <v>838</v>
      </c>
      <c r="AH277" t="s">
        <v>714</v>
      </c>
    </row>
    <row r="278" spans="1:34" x14ac:dyDescent="0.3">
      <c r="A278">
        <v>101</v>
      </c>
      <c r="B278" t="s">
        <v>34</v>
      </c>
      <c r="C278">
        <v>2</v>
      </c>
      <c r="D278" s="1" t="s">
        <v>839</v>
      </c>
      <c r="E278" s="1" t="s">
        <v>122</v>
      </c>
      <c r="G278">
        <v>434968</v>
      </c>
      <c r="H278" t="s">
        <v>835</v>
      </c>
      <c r="I278" t="s">
        <v>753</v>
      </c>
      <c r="J278">
        <v>15</v>
      </c>
      <c r="K278">
        <v>4967</v>
      </c>
      <c r="L278">
        <v>50341</v>
      </c>
      <c r="M278" t="s">
        <v>146</v>
      </c>
      <c r="N278">
        <v>32</v>
      </c>
      <c r="O278" s="2">
        <v>46225</v>
      </c>
      <c r="P278" s="2">
        <v>46285</v>
      </c>
      <c r="R278" t="s">
        <v>840</v>
      </c>
      <c r="S278" t="str">
        <f>"00013200"</f>
        <v>00013200</v>
      </c>
      <c r="T278" t="s">
        <v>41</v>
      </c>
      <c r="U278">
        <v>62.32</v>
      </c>
      <c r="V278">
        <v>62.32</v>
      </c>
      <c r="W278">
        <v>62.32</v>
      </c>
      <c r="X278">
        <v>0</v>
      </c>
      <c r="Y278">
        <v>0</v>
      </c>
      <c r="Z278">
        <v>-510</v>
      </c>
      <c r="AA278">
        <v>1569</v>
      </c>
      <c r="AD278" t="s">
        <v>837</v>
      </c>
      <c r="AE278">
        <v>6734107219</v>
      </c>
      <c r="AF278" t="s">
        <v>837</v>
      </c>
      <c r="AG278" s="1" t="s">
        <v>838</v>
      </c>
      <c r="AH278" t="s">
        <v>714</v>
      </c>
    </row>
    <row r="279" spans="1:34" x14ac:dyDescent="0.3">
      <c r="A279">
        <v>101</v>
      </c>
      <c r="B279" t="s">
        <v>34</v>
      </c>
      <c r="C279">
        <v>2</v>
      </c>
      <c r="D279" s="1" t="s">
        <v>841</v>
      </c>
      <c r="E279" s="1" t="s">
        <v>116</v>
      </c>
      <c r="G279">
        <v>434968</v>
      </c>
      <c r="H279" t="s">
        <v>835</v>
      </c>
      <c r="I279" t="s">
        <v>753</v>
      </c>
      <c r="J279">
        <v>15</v>
      </c>
      <c r="K279">
        <v>4967</v>
      </c>
      <c r="L279">
        <v>50341</v>
      </c>
      <c r="M279" t="s">
        <v>146</v>
      </c>
      <c r="N279">
        <v>32</v>
      </c>
      <c r="O279" s="2">
        <v>46196</v>
      </c>
      <c r="P279" s="2">
        <v>46292</v>
      </c>
      <c r="R279" t="s">
        <v>842</v>
      </c>
      <c r="S279" t="str">
        <f>"00012708"</f>
        <v>00012708</v>
      </c>
      <c r="T279" t="s">
        <v>41</v>
      </c>
      <c r="U279">
        <v>498.74</v>
      </c>
      <c r="V279">
        <v>498.74</v>
      </c>
      <c r="W279">
        <v>498.74</v>
      </c>
      <c r="X279">
        <v>0</v>
      </c>
      <c r="Y279">
        <v>0</v>
      </c>
      <c r="Z279">
        <v>-517</v>
      </c>
      <c r="AA279">
        <v>842</v>
      </c>
      <c r="AD279" t="s">
        <v>837</v>
      </c>
      <c r="AE279">
        <v>6734107219</v>
      </c>
      <c r="AF279" t="s">
        <v>837</v>
      </c>
      <c r="AG279" s="1" t="s">
        <v>838</v>
      </c>
      <c r="AH279" t="s">
        <v>714</v>
      </c>
    </row>
    <row r="280" spans="1:34" x14ac:dyDescent="0.3">
      <c r="A280">
        <v>101</v>
      </c>
      <c r="B280" t="s">
        <v>34</v>
      </c>
      <c r="C280">
        <v>2</v>
      </c>
      <c r="D280" s="1" t="s">
        <v>839</v>
      </c>
      <c r="E280" s="1" t="s">
        <v>36</v>
      </c>
      <c r="G280">
        <v>434968</v>
      </c>
      <c r="H280" t="s">
        <v>835</v>
      </c>
      <c r="I280" t="s">
        <v>753</v>
      </c>
      <c r="J280">
        <v>15</v>
      </c>
      <c r="K280">
        <v>4967</v>
      </c>
      <c r="L280">
        <v>50341</v>
      </c>
      <c r="M280" t="s">
        <v>146</v>
      </c>
      <c r="N280">
        <v>32</v>
      </c>
      <c r="O280" s="2">
        <v>46225</v>
      </c>
      <c r="P280" s="2">
        <v>46265</v>
      </c>
      <c r="R280" t="s">
        <v>840</v>
      </c>
      <c r="S280" t="str">
        <f>"00013199"</f>
        <v>00013199</v>
      </c>
      <c r="T280" t="s">
        <v>41</v>
      </c>
      <c r="U280">
        <v>62.32</v>
      </c>
      <c r="V280">
        <v>62.32</v>
      </c>
      <c r="W280">
        <v>62.32</v>
      </c>
      <c r="X280">
        <v>0</v>
      </c>
      <c r="Y280">
        <v>0</v>
      </c>
      <c r="Z280">
        <v>-490</v>
      </c>
      <c r="AA280">
        <v>1569</v>
      </c>
      <c r="AD280" t="s">
        <v>837</v>
      </c>
      <c r="AE280">
        <v>6734107219</v>
      </c>
      <c r="AF280" t="s">
        <v>837</v>
      </c>
      <c r="AG280" s="1" t="s">
        <v>838</v>
      </c>
      <c r="AH280" t="s">
        <v>714</v>
      </c>
    </row>
    <row r="281" spans="1:34" x14ac:dyDescent="0.3">
      <c r="A281">
        <v>101</v>
      </c>
      <c r="B281" t="s">
        <v>34</v>
      </c>
      <c r="C281">
        <v>2</v>
      </c>
      <c r="D281" s="1" t="s">
        <v>841</v>
      </c>
      <c r="E281" s="1" t="s">
        <v>122</v>
      </c>
      <c r="G281">
        <v>434968</v>
      </c>
      <c r="H281" t="s">
        <v>835</v>
      </c>
      <c r="I281" t="s">
        <v>753</v>
      </c>
      <c r="J281">
        <v>15</v>
      </c>
      <c r="K281">
        <v>4967</v>
      </c>
      <c r="L281">
        <v>50341</v>
      </c>
      <c r="M281" t="s">
        <v>146</v>
      </c>
      <c r="N281">
        <v>32</v>
      </c>
      <c r="O281" s="2">
        <v>46196</v>
      </c>
      <c r="P281" s="2">
        <v>46272</v>
      </c>
      <c r="R281" t="s">
        <v>842</v>
      </c>
      <c r="S281" t="str">
        <f>"00012707"</f>
        <v>00012707</v>
      </c>
      <c r="T281" t="s">
        <v>41</v>
      </c>
      <c r="U281">
        <v>498.59</v>
      </c>
      <c r="V281">
        <v>498.59</v>
      </c>
      <c r="W281">
        <v>498.59</v>
      </c>
      <c r="X281">
        <v>0</v>
      </c>
      <c r="Y281">
        <v>0</v>
      </c>
      <c r="Z281">
        <v>-497</v>
      </c>
      <c r="AA281">
        <v>842</v>
      </c>
      <c r="AD281" t="s">
        <v>837</v>
      </c>
      <c r="AE281">
        <v>6734107219</v>
      </c>
      <c r="AF281" t="s">
        <v>837</v>
      </c>
      <c r="AG281" s="1" t="s">
        <v>838</v>
      </c>
      <c r="AH281" t="s">
        <v>714</v>
      </c>
    </row>
    <row r="282" spans="1:34" x14ac:dyDescent="0.3">
      <c r="A282">
        <v>101</v>
      </c>
      <c r="B282" t="s">
        <v>34</v>
      </c>
      <c r="C282">
        <v>2</v>
      </c>
      <c r="D282" s="1" t="s">
        <v>843</v>
      </c>
      <c r="E282" s="1" t="s">
        <v>36</v>
      </c>
      <c r="G282">
        <v>434968</v>
      </c>
      <c r="H282" t="s">
        <v>835</v>
      </c>
      <c r="I282" t="s">
        <v>753</v>
      </c>
      <c r="J282">
        <v>15</v>
      </c>
      <c r="K282">
        <v>4967</v>
      </c>
      <c r="L282">
        <v>50341</v>
      </c>
      <c r="M282" t="s">
        <v>146</v>
      </c>
      <c r="N282">
        <v>32</v>
      </c>
      <c r="O282" s="2">
        <v>46225</v>
      </c>
      <c r="P282" s="2">
        <v>46265</v>
      </c>
      <c r="R282" t="s">
        <v>844</v>
      </c>
      <c r="S282" t="str">
        <f>"00013196"</f>
        <v>00013196</v>
      </c>
      <c r="T282" t="s">
        <v>41</v>
      </c>
      <c r="U282">
        <v>2331.2600000000002</v>
      </c>
      <c r="V282">
        <v>2331.2600000000002</v>
      </c>
      <c r="W282">
        <v>2331.2600000000002</v>
      </c>
      <c r="X282">
        <v>0</v>
      </c>
      <c r="Y282">
        <v>0</v>
      </c>
      <c r="Z282">
        <v>-490</v>
      </c>
      <c r="AA282">
        <v>1397</v>
      </c>
      <c r="AD282" t="s">
        <v>837</v>
      </c>
      <c r="AE282">
        <v>6734107219</v>
      </c>
      <c r="AF282" t="s">
        <v>837</v>
      </c>
      <c r="AG282" s="1" t="s">
        <v>838</v>
      </c>
      <c r="AH282" t="s">
        <v>714</v>
      </c>
    </row>
    <row r="283" spans="1:34" x14ac:dyDescent="0.3">
      <c r="A283">
        <v>101</v>
      </c>
      <c r="B283" t="s">
        <v>34</v>
      </c>
      <c r="C283">
        <v>2</v>
      </c>
      <c r="D283" s="1" t="s">
        <v>843</v>
      </c>
      <c r="E283" s="1" t="s">
        <v>122</v>
      </c>
      <c r="G283">
        <v>434968</v>
      </c>
      <c r="H283" t="s">
        <v>835</v>
      </c>
      <c r="I283" t="s">
        <v>753</v>
      </c>
      <c r="J283">
        <v>15</v>
      </c>
      <c r="K283">
        <v>4967</v>
      </c>
      <c r="L283">
        <v>50341</v>
      </c>
      <c r="M283" t="s">
        <v>146</v>
      </c>
      <c r="N283">
        <v>32</v>
      </c>
      <c r="O283" s="2">
        <v>46225</v>
      </c>
      <c r="P283" s="2">
        <v>46285</v>
      </c>
      <c r="R283" t="s">
        <v>844</v>
      </c>
      <c r="S283" t="str">
        <f>"00013197"</f>
        <v>00013197</v>
      </c>
      <c r="T283" t="s">
        <v>41</v>
      </c>
      <c r="U283">
        <v>2268.27</v>
      </c>
      <c r="V283">
        <v>2268.27</v>
      </c>
      <c r="W283">
        <v>2268.27</v>
      </c>
      <c r="X283">
        <v>0</v>
      </c>
      <c r="Y283">
        <v>0</v>
      </c>
      <c r="Z283">
        <v>-510</v>
      </c>
      <c r="AA283">
        <v>1397</v>
      </c>
      <c r="AD283" t="s">
        <v>837</v>
      </c>
      <c r="AE283">
        <v>6734107219</v>
      </c>
      <c r="AF283" t="s">
        <v>837</v>
      </c>
      <c r="AG283" s="1" t="s">
        <v>838</v>
      </c>
      <c r="AH283" t="s">
        <v>714</v>
      </c>
    </row>
    <row r="284" spans="1:34" x14ac:dyDescent="0.3">
      <c r="A284">
        <v>101</v>
      </c>
      <c r="B284" t="s">
        <v>34</v>
      </c>
      <c r="C284">
        <v>2</v>
      </c>
      <c r="D284" s="1" t="s">
        <v>843</v>
      </c>
      <c r="E284" s="1" t="s">
        <v>116</v>
      </c>
      <c r="G284">
        <v>434968</v>
      </c>
      <c r="H284" t="s">
        <v>835</v>
      </c>
      <c r="I284" t="s">
        <v>753</v>
      </c>
      <c r="J284">
        <v>15</v>
      </c>
      <c r="K284">
        <v>4967</v>
      </c>
      <c r="L284">
        <v>50341</v>
      </c>
      <c r="M284" t="s">
        <v>146</v>
      </c>
      <c r="N284">
        <v>32</v>
      </c>
      <c r="O284" s="2">
        <v>46225</v>
      </c>
      <c r="P284" s="2">
        <v>46305</v>
      </c>
      <c r="R284" t="s">
        <v>844</v>
      </c>
      <c r="S284" t="str">
        <f>"00013198"</f>
        <v>00013198</v>
      </c>
      <c r="T284" t="s">
        <v>41</v>
      </c>
      <c r="U284">
        <v>2268.96</v>
      </c>
      <c r="V284">
        <v>2268.96</v>
      </c>
      <c r="W284">
        <v>2268.96</v>
      </c>
      <c r="X284">
        <v>0</v>
      </c>
      <c r="Y284">
        <v>0</v>
      </c>
      <c r="Z284">
        <v>-530</v>
      </c>
      <c r="AA284">
        <v>1397</v>
      </c>
      <c r="AD284" t="s">
        <v>837</v>
      </c>
      <c r="AE284">
        <v>6734107219</v>
      </c>
      <c r="AF284" t="s">
        <v>837</v>
      </c>
      <c r="AG284" s="1" t="s">
        <v>838</v>
      </c>
      <c r="AH284" t="s">
        <v>714</v>
      </c>
    </row>
    <row r="285" spans="1:34" x14ac:dyDescent="0.3">
      <c r="A285">
        <v>101</v>
      </c>
      <c r="B285" t="s">
        <v>34</v>
      </c>
      <c r="C285">
        <v>2</v>
      </c>
      <c r="D285" s="1" t="s">
        <v>845</v>
      </c>
      <c r="E285" s="1" t="s">
        <v>116</v>
      </c>
      <c r="G285">
        <v>434968</v>
      </c>
      <c r="H285" t="s">
        <v>835</v>
      </c>
      <c r="I285" t="s">
        <v>753</v>
      </c>
      <c r="J285">
        <v>15</v>
      </c>
      <c r="K285">
        <v>4967</v>
      </c>
      <c r="L285">
        <v>50341</v>
      </c>
      <c r="M285" t="s">
        <v>146</v>
      </c>
      <c r="N285">
        <v>32</v>
      </c>
      <c r="O285" s="2">
        <v>46167</v>
      </c>
      <c r="P285" s="2">
        <v>46261</v>
      </c>
      <c r="R285" t="s">
        <v>846</v>
      </c>
      <c r="S285" t="str">
        <f>"00012239"</f>
        <v>00012239</v>
      </c>
      <c r="T285" t="s">
        <v>41</v>
      </c>
      <c r="U285">
        <v>5326.74</v>
      </c>
      <c r="V285">
        <v>5326.74</v>
      </c>
      <c r="W285">
        <v>5326.74</v>
      </c>
      <c r="X285">
        <v>0</v>
      </c>
      <c r="Y285">
        <v>0</v>
      </c>
      <c r="Z285">
        <v>-486</v>
      </c>
      <c r="AA285">
        <v>597</v>
      </c>
      <c r="AD285" t="s">
        <v>837</v>
      </c>
      <c r="AE285">
        <v>6734107219</v>
      </c>
      <c r="AF285" t="s">
        <v>837</v>
      </c>
      <c r="AG285" s="1" t="s">
        <v>838</v>
      </c>
      <c r="AH285" t="s">
        <v>714</v>
      </c>
    </row>
    <row r="286" spans="1:34" x14ac:dyDescent="0.3">
      <c r="A286">
        <v>101</v>
      </c>
      <c r="B286" t="s">
        <v>34</v>
      </c>
      <c r="C286">
        <v>2</v>
      </c>
      <c r="D286" s="1" t="s">
        <v>847</v>
      </c>
      <c r="E286" s="1" t="s">
        <v>36</v>
      </c>
      <c r="G286">
        <v>435828</v>
      </c>
      <c r="H286" t="s">
        <v>848</v>
      </c>
      <c r="I286" t="s">
        <v>753</v>
      </c>
      <c r="J286">
        <v>15</v>
      </c>
      <c r="K286">
        <v>4967</v>
      </c>
      <c r="L286">
        <v>50341</v>
      </c>
      <c r="M286" t="s">
        <v>146</v>
      </c>
      <c r="N286">
        <v>32</v>
      </c>
      <c r="O286" s="2">
        <v>46225</v>
      </c>
      <c r="P286" s="2">
        <v>46265</v>
      </c>
      <c r="R286" t="s">
        <v>849</v>
      </c>
      <c r="S286" t="str">
        <f>"00013205"</f>
        <v>00013205</v>
      </c>
      <c r="T286" t="s">
        <v>41</v>
      </c>
      <c r="U286">
        <v>124.65</v>
      </c>
      <c r="V286">
        <v>124.65</v>
      </c>
      <c r="W286">
        <v>124.65</v>
      </c>
      <c r="X286">
        <v>0</v>
      </c>
      <c r="Y286">
        <v>0</v>
      </c>
      <c r="Z286">
        <v>-490</v>
      </c>
      <c r="AA286">
        <v>1570</v>
      </c>
      <c r="AD286" t="s">
        <v>731</v>
      </c>
      <c r="AE286" t="s">
        <v>850</v>
      </c>
      <c r="AF286" t="s">
        <v>731</v>
      </c>
      <c r="AG286" s="1" t="s">
        <v>851</v>
      </c>
      <c r="AH286" t="s">
        <v>714</v>
      </c>
    </row>
    <row r="287" spans="1:34" x14ac:dyDescent="0.3">
      <c r="A287">
        <v>101</v>
      </c>
      <c r="B287" t="s">
        <v>34</v>
      </c>
      <c r="C287">
        <v>2</v>
      </c>
      <c r="D287" s="1" t="s">
        <v>847</v>
      </c>
      <c r="E287" s="1" t="s">
        <v>122</v>
      </c>
      <c r="G287">
        <v>435828</v>
      </c>
      <c r="H287" t="s">
        <v>848</v>
      </c>
      <c r="I287" t="s">
        <v>753</v>
      </c>
      <c r="J287">
        <v>15</v>
      </c>
      <c r="K287">
        <v>4967</v>
      </c>
      <c r="L287">
        <v>50341</v>
      </c>
      <c r="M287" t="s">
        <v>146</v>
      </c>
      <c r="N287">
        <v>32</v>
      </c>
      <c r="O287" s="2">
        <v>46225</v>
      </c>
      <c r="P287" s="2">
        <v>46285</v>
      </c>
      <c r="R287" t="s">
        <v>849</v>
      </c>
      <c r="S287" t="str">
        <f>"00013206"</f>
        <v>00013206</v>
      </c>
      <c r="T287" t="s">
        <v>41</v>
      </c>
      <c r="U287">
        <v>124.65</v>
      </c>
      <c r="V287">
        <v>124.65</v>
      </c>
      <c r="W287">
        <v>124.65</v>
      </c>
      <c r="X287">
        <v>0</v>
      </c>
      <c r="Y287">
        <v>0</v>
      </c>
      <c r="Z287">
        <v>-510</v>
      </c>
      <c r="AA287">
        <v>1570</v>
      </c>
      <c r="AD287" t="s">
        <v>731</v>
      </c>
      <c r="AE287" t="s">
        <v>850</v>
      </c>
      <c r="AF287" t="s">
        <v>731</v>
      </c>
      <c r="AG287" s="1" t="s">
        <v>851</v>
      </c>
      <c r="AH287" t="s">
        <v>714</v>
      </c>
    </row>
    <row r="288" spans="1:34" x14ac:dyDescent="0.3">
      <c r="A288">
        <v>101</v>
      </c>
      <c r="B288" t="s">
        <v>34</v>
      </c>
      <c r="C288">
        <v>2</v>
      </c>
      <c r="D288" s="1" t="s">
        <v>847</v>
      </c>
      <c r="E288" s="1" t="s">
        <v>116</v>
      </c>
      <c r="G288">
        <v>435828</v>
      </c>
      <c r="H288" t="s">
        <v>848</v>
      </c>
      <c r="I288" t="s">
        <v>753</v>
      </c>
      <c r="J288">
        <v>15</v>
      </c>
      <c r="K288">
        <v>4967</v>
      </c>
      <c r="L288">
        <v>50341</v>
      </c>
      <c r="M288" t="s">
        <v>146</v>
      </c>
      <c r="N288">
        <v>32</v>
      </c>
      <c r="O288" s="2">
        <v>46225</v>
      </c>
      <c r="P288" s="2">
        <v>46305</v>
      </c>
      <c r="R288" t="s">
        <v>849</v>
      </c>
      <c r="S288" t="str">
        <f>"00013207"</f>
        <v>00013207</v>
      </c>
      <c r="T288" t="s">
        <v>41</v>
      </c>
      <c r="U288">
        <v>124.68</v>
      </c>
      <c r="V288">
        <v>124.68</v>
      </c>
      <c r="W288">
        <v>124.68</v>
      </c>
      <c r="X288">
        <v>0</v>
      </c>
      <c r="Y288">
        <v>0</v>
      </c>
      <c r="Z288">
        <v>-530</v>
      </c>
      <c r="AA288">
        <v>1570</v>
      </c>
      <c r="AD288" t="s">
        <v>731</v>
      </c>
      <c r="AE288" t="s">
        <v>850</v>
      </c>
      <c r="AF288" t="s">
        <v>731</v>
      </c>
      <c r="AG288" s="1" t="s">
        <v>851</v>
      </c>
      <c r="AH288" t="s">
        <v>714</v>
      </c>
    </row>
    <row r="289" spans="1:34" x14ac:dyDescent="0.3">
      <c r="A289">
        <v>101</v>
      </c>
      <c r="B289" t="s">
        <v>34</v>
      </c>
      <c r="C289">
        <v>2</v>
      </c>
      <c r="D289" s="1" t="s">
        <v>852</v>
      </c>
      <c r="E289" s="1" t="s">
        <v>36</v>
      </c>
      <c r="G289">
        <v>435828</v>
      </c>
      <c r="H289" t="s">
        <v>848</v>
      </c>
      <c r="I289" t="s">
        <v>753</v>
      </c>
      <c r="J289">
        <v>15</v>
      </c>
      <c r="K289">
        <v>4967</v>
      </c>
      <c r="L289">
        <v>50341</v>
      </c>
      <c r="M289" t="s">
        <v>146</v>
      </c>
      <c r="N289">
        <v>32</v>
      </c>
      <c r="O289" s="2">
        <v>46225</v>
      </c>
      <c r="P289" s="2">
        <v>46265</v>
      </c>
      <c r="R289" t="s">
        <v>853</v>
      </c>
      <c r="S289" t="str">
        <f>"00013202"</f>
        <v>00013202</v>
      </c>
      <c r="T289" t="s">
        <v>41</v>
      </c>
      <c r="U289">
        <v>1753.09</v>
      </c>
      <c r="V289">
        <v>1753.09</v>
      </c>
      <c r="W289">
        <v>1753.09</v>
      </c>
      <c r="X289">
        <v>0</v>
      </c>
      <c r="Y289">
        <v>0</v>
      </c>
      <c r="Z289">
        <v>-490</v>
      </c>
      <c r="AA289">
        <v>1398</v>
      </c>
      <c r="AD289" t="s">
        <v>731</v>
      </c>
      <c r="AE289" t="s">
        <v>850</v>
      </c>
      <c r="AF289" t="s">
        <v>731</v>
      </c>
      <c r="AG289" s="1" t="s">
        <v>851</v>
      </c>
      <c r="AH289" t="s">
        <v>714</v>
      </c>
    </row>
    <row r="290" spans="1:34" x14ac:dyDescent="0.3">
      <c r="A290">
        <v>101</v>
      </c>
      <c r="B290" t="s">
        <v>34</v>
      </c>
      <c r="C290">
        <v>2</v>
      </c>
      <c r="D290" s="1" t="s">
        <v>852</v>
      </c>
      <c r="E290" s="1" t="s">
        <v>122</v>
      </c>
      <c r="G290">
        <v>435828</v>
      </c>
      <c r="H290" t="s">
        <v>848</v>
      </c>
      <c r="I290" t="s">
        <v>753</v>
      </c>
      <c r="J290">
        <v>15</v>
      </c>
      <c r="K290">
        <v>4967</v>
      </c>
      <c r="L290">
        <v>50341</v>
      </c>
      <c r="M290" t="s">
        <v>146</v>
      </c>
      <c r="N290">
        <v>32</v>
      </c>
      <c r="O290" s="2">
        <v>46225</v>
      </c>
      <c r="P290" s="2">
        <v>46285</v>
      </c>
      <c r="R290" t="s">
        <v>853</v>
      </c>
      <c r="S290" t="str">
        <f>"00013203"</f>
        <v>00013203</v>
      </c>
      <c r="T290" t="s">
        <v>41</v>
      </c>
      <c r="U290">
        <v>1652.32</v>
      </c>
      <c r="V290">
        <v>1652.32</v>
      </c>
      <c r="W290">
        <v>1652.32</v>
      </c>
      <c r="X290">
        <v>0</v>
      </c>
      <c r="Y290">
        <v>0</v>
      </c>
      <c r="Z290">
        <v>-510</v>
      </c>
      <c r="AA290">
        <v>1398</v>
      </c>
      <c r="AD290" t="s">
        <v>731</v>
      </c>
      <c r="AE290" t="s">
        <v>850</v>
      </c>
      <c r="AF290" t="s">
        <v>731</v>
      </c>
      <c r="AG290" s="1" t="s">
        <v>851</v>
      </c>
      <c r="AH290" t="s">
        <v>714</v>
      </c>
    </row>
    <row r="291" spans="1:34" x14ac:dyDescent="0.3">
      <c r="A291">
        <v>101</v>
      </c>
      <c r="B291" t="s">
        <v>34</v>
      </c>
      <c r="C291">
        <v>2</v>
      </c>
      <c r="D291" s="1" t="s">
        <v>852</v>
      </c>
      <c r="E291" s="1" t="s">
        <v>116</v>
      </c>
      <c r="G291">
        <v>435828</v>
      </c>
      <c r="H291" t="s">
        <v>848</v>
      </c>
      <c r="I291" t="s">
        <v>753</v>
      </c>
      <c r="J291">
        <v>15</v>
      </c>
      <c r="K291">
        <v>4967</v>
      </c>
      <c r="L291">
        <v>50341</v>
      </c>
      <c r="M291" t="s">
        <v>146</v>
      </c>
      <c r="N291">
        <v>32</v>
      </c>
      <c r="O291" s="2">
        <v>46225</v>
      </c>
      <c r="P291" s="2">
        <v>46305</v>
      </c>
      <c r="R291" t="s">
        <v>853</v>
      </c>
      <c r="S291" t="str">
        <f>"00013204"</f>
        <v>00013204</v>
      </c>
      <c r="T291" t="s">
        <v>41</v>
      </c>
      <c r="U291">
        <v>1652.81</v>
      </c>
      <c r="V291">
        <v>1652.81</v>
      </c>
      <c r="W291">
        <v>1652.81</v>
      </c>
      <c r="X291">
        <v>0</v>
      </c>
      <c r="Y291">
        <v>0</v>
      </c>
      <c r="Z291">
        <v>-530</v>
      </c>
      <c r="AA291">
        <v>1398</v>
      </c>
      <c r="AD291" t="s">
        <v>731</v>
      </c>
      <c r="AE291" t="s">
        <v>850</v>
      </c>
      <c r="AF291" t="s">
        <v>731</v>
      </c>
      <c r="AG291" s="1" t="s">
        <v>851</v>
      </c>
      <c r="AH291" t="s">
        <v>714</v>
      </c>
    </row>
    <row r="292" spans="1:34" x14ac:dyDescent="0.3">
      <c r="A292">
        <v>101</v>
      </c>
      <c r="B292" t="s">
        <v>34</v>
      </c>
      <c r="C292">
        <v>2</v>
      </c>
      <c r="D292" s="1" t="s">
        <v>854</v>
      </c>
      <c r="E292" s="1" t="s">
        <v>116</v>
      </c>
      <c r="G292">
        <v>435828</v>
      </c>
      <c r="H292" t="s">
        <v>848</v>
      </c>
      <c r="I292" t="s">
        <v>753</v>
      </c>
      <c r="J292">
        <v>15</v>
      </c>
      <c r="K292">
        <v>4967</v>
      </c>
      <c r="L292">
        <v>50341</v>
      </c>
      <c r="M292" t="s">
        <v>146</v>
      </c>
      <c r="N292">
        <v>32</v>
      </c>
      <c r="O292" s="2">
        <v>46196</v>
      </c>
      <c r="P292" s="2">
        <v>46276</v>
      </c>
      <c r="R292" t="s">
        <v>855</v>
      </c>
      <c r="S292" t="str">
        <f>"00012711"</f>
        <v>00012711</v>
      </c>
      <c r="T292" t="s">
        <v>41</v>
      </c>
      <c r="U292">
        <v>1723.32</v>
      </c>
      <c r="V292">
        <v>1723.32</v>
      </c>
      <c r="W292">
        <v>1723.32</v>
      </c>
      <c r="X292">
        <v>0</v>
      </c>
      <c r="Y292">
        <v>0</v>
      </c>
      <c r="Z292">
        <v>-501</v>
      </c>
      <c r="AA292">
        <v>823</v>
      </c>
      <c r="AD292" t="s">
        <v>731</v>
      </c>
      <c r="AE292" t="s">
        <v>850</v>
      </c>
      <c r="AF292" t="s">
        <v>731</v>
      </c>
      <c r="AG292" s="1" t="s">
        <v>851</v>
      </c>
      <c r="AH292" t="s">
        <v>714</v>
      </c>
    </row>
    <row r="293" spans="1:34" x14ac:dyDescent="0.3">
      <c r="A293">
        <v>101</v>
      </c>
      <c r="B293" t="s">
        <v>34</v>
      </c>
      <c r="C293">
        <v>2</v>
      </c>
      <c r="D293" s="1" t="s">
        <v>854</v>
      </c>
      <c r="E293" s="1" t="s">
        <v>122</v>
      </c>
      <c r="G293">
        <v>435828</v>
      </c>
      <c r="H293" t="s">
        <v>848</v>
      </c>
      <c r="I293" t="s">
        <v>753</v>
      </c>
      <c r="J293">
        <v>15</v>
      </c>
      <c r="K293">
        <v>4967</v>
      </c>
      <c r="L293">
        <v>50341</v>
      </c>
      <c r="M293" t="s">
        <v>146</v>
      </c>
      <c r="N293">
        <v>32</v>
      </c>
      <c r="O293" s="2">
        <v>46196</v>
      </c>
      <c r="P293" s="2">
        <v>46256</v>
      </c>
      <c r="R293" t="s">
        <v>855</v>
      </c>
      <c r="S293" t="str">
        <f>"00012710"</f>
        <v>00012710</v>
      </c>
      <c r="T293" t="s">
        <v>41</v>
      </c>
      <c r="U293">
        <v>1722.81</v>
      </c>
      <c r="V293">
        <v>1722.81</v>
      </c>
      <c r="W293">
        <v>1722.81</v>
      </c>
      <c r="X293">
        <v>0</v>
      </c>
      <c r="Y293">
        <v>0</v>
      </c>
      <c r="Z293">
        <v>-481</v>
      </c>
      <c r="AA293">
        <v>823</v>
      </c>
      <c r="AD293" t="s">
        <v>731</v>
      </c>
      <c r="AE293" t="s">
        <v>850</v>
      </c>
      <c r="AF293" t="s">
        <v>731</v>
      </c>
      <c r="AG293" s="1" t="s">
        <v>851</v>
      </c>
      <c r="AH293" t="s">
        <v>714</v>
      </c>
    </row>
    <row r="294" spans="1:34" x14ac:dyDescent="0.3">
      <c r="A294">
        <v>101</v>
      </c>
      <c r="B294" t="s">
        <v>34</v>
      </c>
      <c r="C294">
        <v>2</v>
      </c>
      <c r="D294" s="1" t="s">
        <v>856</v>
      </c>
      <c r="E294" s="1" t="s">
        <v>116</v>
      </c>
      <c r="G294">
        <v>435828</v>
      </c>
      <c r="H294" t="s">
        <v>848</v>
      </c>
      <c r="I294" t="s">
        <v>753</v>
      </c>
      <c r="J294">
        <v>15</v>
      </c>
      <c r="K294">
        <v>4967</v>
      </c>
      <c r="L294">
        <v>50341</v>
      </c>
      <c r="M294" t="s">
        <v>146</v>
      </c>
      <c r="N294">
        <v>32</v>
      </c>
      <c r="O294" s="2">
        <v>46196</v>
      </c>
      <c r="P294" s="2">
        <v>46276</v>
      </c>
      <c r="R294" t="s">
        <v>857</v>
      </c>
      <c r="S294" t="str">
        <f>"00012714"</f>
        <v>00012714</v>
      </c>
      <c r="T294" t="s">
        <v>41</v>
      </c>
      <c r="U294">
        <v>311.70999999999998</v>
      </c>
      <c r="V294">
        <v>311.70999999999998</v>
      </c>
      <c r="W294">
        <v>311.70999999999998</v>
      </c>
      <c r="X294">
        <v>0</v>
      </c>
      <c r="Y294">
        <v>0</v>
      </c>
      <c r="Z294">
        <v>-501</v>
      </c>
      <c r="AA294">
        <v>843</v>
      </c>
      <c r="AD294" t="s">
        <v>731</v>
      </c>
      <c r="AE294" t="s">
        <v>850</v>
      </c>
      <c r="AF294" t="s">
        <v>731</v>
      </c>
      <c r="AG294" s="1" t="s">
        <v>851</v>
      </c>
      <c r="AH294" t="s">
        <v>714</v>
      </c>
    </row>
    <row r="295" spans="1:34" x14ac:dyDescent="0.3">
      <c r="A295">
        <v>101</v>
      </c>
      <c r="B295" t="s">
        <v>34</v>
      </c>
      <c r="C295">
        <v>2</v>
      </c>
      <c r="D295" s="1" t="s">
        <v>856</v>
      </c>
      <c r="E295" s="1" t="s">
        <v>122</v>
      </c>
      <c r="G295">
        <v>435828</v>
      </c>
      <c r="H295" t="s">
        <v>848</v>
      </c>
      <c r="I295" t="s">
        <v>753</v>
      </c>
      <c r="J295">
        <v>15</v>
      </c>
      <c r="K295">
        <v>4967</v>
      </c>
      <c r="L295">
        <v>50341</v>
      </c>
      <c r="M295" t="s">
        <v>146</v>
      </c>
      <c r="N295">
        <v>32</v>
      </c>
      <c r="O295" s="2">
        <v>46196</v>
      </c>
      <c r="P295" s="2">
        <v>46256</v>
      </c>
      <c r="R295" t="s">
        <v>857</v>
      </c>
      <c r="S295" t="str">
        <f>"00012713"</f>
        <v>00012713</v>
      </c>
      <c r="T295" t="s">
        <v>41</v>
      </c>
      <c r="U295">
        <v>311.62</v>
      </c>
      <c r="V295">
        <v>311.62</v>
      </c>
      <c r="W295">
        <v>311.62</v>
      </c>
      <c r="X295">
        <v>0</v>
      </c>
      <c r="Y295">
        <v>0</v>
      </c>
      <c r="Z295">
        <v>-481</v>
      </c>
      <c r="AA295">
        <v>843</v>
      </c>
      <c r="AD295" t="s">
        <v>731</v>
      </c>
      <c r="AE295" t="s">
        <v>850</v>
      </c>
      <c r="AF295" t="s">
        <v>731</v>
      </c>
      <c r="AG295" s="1" t="s">
        <v>851</v>
      </c>
      <c r="AH295" t="s">
        <v>714</v>
      </c>
    </row>
    <row r="296" spans="1:34" x14ac:dyDescent="0.3">
      <c r="A296">
        <v>101</v>
      </c>
      <c r="B296" t="s">
        <v>34</v>
      </c>
      <c r="C296">
        <v>2</v>
      </c>
      <c r="D296" s="1" t="s">
        <v>858</v>
      </c>
      <c r="E296" s="1" t="s">
        <v>122</v>
      </c>
      <c r="G296">
        <v>436726</v>
      </c>
      <c r="H296" t="s">
        <v>859</v>
      </c>
      <c r="I296" t="s">
        <v>860</v>
      </c>
      <c r="J296">
        <v>15</v>
      </c>
      <c r="K296">
        <v>4967</v>
      </c>
      <c r="L296">
        <v>50341</v>
      </c>
      <c r="M296" t="s">
        <v>146</v>
      </c>
      <c r="N296">
        <v>32</v>
      </c>
      <c r="O296" s="2">
        <v>46196</v>
      </c>
      <c r="P296" s="2">
        <v>46256</v>
      </c>
      <c r="R296" t="s">
        <v>861</v>
      </c>
      <c r="S296" t="str">
        <f>"00012719"</f>
        <v>00012719</v>
      </c>
      <c r="T296" t="s">
        <v>41</v>
      </c>
      <c r="U296">
        <v>436.27</v>
      </c>
      <c r="V296">
        <v>436.27</v>
      </c>
      <c r="W296">
        <v>436.27</v>
      </c>
      <c r="X296">
        <v>0</v>
      </c>
      <c r="Y296">
        <v>0</v>
      </c>
      <c r="Z296">
        <v>-481</v>
      </c>
      <c r="AA296">
        <v>844</v>
      </c>
      <c r="AD296" t="s">
        <v>711</v>
      </c>
      <c r="AE296">
        <v>6734107220</v>
      </c>
      <c r="AF296" t="s">
        <v>711</v>
      </c>
      <c r="AG296" s="1" t="s">
        <v>862</v>
      </c>
      <c r="AH296" t="s">
        <v>714</v>
      </c>
    </row>
    <row r="297" spans="1:34" x14ac:dyDescent="0.3">
      <c r="A297">
        <v>101</v>
      </c>
      <c r="B297" t="s">
        <v>34</v>
      </c>
      <c r="C297">
        <v>2</v>
      </c>
      <c r="D297" s="1" t="s">
        <v>863</v>
      </c>
      <c r="E297" s="1" t="s">
        <v>122</v>
      </c>
      <c r="G297">
        <v>436726</v>
      </c>
      <c r="H297" t="s">
        <v>859</v>
      </c>
      <c r="I297" t="s">
        <v>860</v>
      </c>
      <c r="J297">
        <v>15</v>
      </c>
      <c r="K297">
        <v>4967</v>
      </c>
      <c r="L297">
        <v>50341</v>
      </c>
      <c r="M297" t="s">
        <v>146</v>
      </c>
      <c r="N297">
        <v>32</v>
      </c>
      <c r="O297" s="2">
        <v>46196</v>
      </c>
      <c r="P297" s="2">
        <v>46256</v>
      </c>
      <c r="R297" t="s">
        <v>864</v>
      </c>
      <c r="S297" t="str">
        <f>"00012716"</f>
        <v>00012716</v>
      </c>
      <c r="T297" t="s">
        <v>41</v>
      </c>
      <c r="U297">
        <v>1280.3599999999999</v>
      </c>
      <c r="V297">
        <v>1280.3599999999999</v>
      </c>
      <c r="W297">
        <v>1280.3599999999999</v>
      </c>
      <c r="X297">
        <v>0</v>
      </c>
      <c r="Y297">
        <v>0</v>
      </c>
      <c r="Z297">
        <v>-481</v>
      </c>
      <c r="AA297">
        <v>824</v>
      </c>
      <c r="AD297" t="s">
        <v>711</v>
      </c>
      <c r="AE297">
        <v>6734107220</v>
      </c>
      <c r="AF297" t="s">
        <v>711</v>
      </c>
      <c r="AG297" s="1" t="s">
        <v>862</v>
      </c>
      <c r="AH297" t="s">
        <v>714</v>
      </c>
    </row>
    <row r="298" spans="1:34" x14ac:dyDescent="0.3">
      <c r="A298">
        <v>101</v>
      </c>
      <c r="B298" t="s">
        <v>34</v>
      </c>
      <c r="C298">
        <v>2</v>
      </c>
      <c r="D298" s="1" t="s">
        <v>863</v>
      </c>
      <c r="E298" s="1" t="s">
        <v>116</v>
      </c>
      <c r="G298">
        <v>436726</v>
      </c>
      <c r="H298" t="s">
        <v>859</v>
      </c>
      <c r="I298" t="s">
        <v>860</v>
      </c>
      <c r="J298">
        <v>15</v>
      </c>
      <c r="K298">
        <v>4967</v>
      </c>
      <c r="L298">
        <v>50341</v>
      </c>
      <c r="M298" t="s">
        <v>146</v>
      </c>
      <c r="N298">
        <v>32</v>
      </c>
      <c r="O298" s="2">
        <v>46196</v>
      </c>
      <c r="P298" s="2">
        <v>46276</v>
      </c>
      <c r="R298" t="s">
        <v>864</v>
      </c>
      <c r="S298" t="str">
        <f>"00012717"</f>
        <v>00012717</v>
      </c>
      <c r="T298" t="s">
        <v>41</v>
      </c>
      <c r="U298">
        <v>1280.75</v>
      </c>
      <c r="V298">
        <v>1280.75</v>
      </c>
      <c r="W298">
        <v>1280.75</v>
      </c>
      <c r="X298">
        <v>0</v>
      </c>
      <c r="Y298">
        <v>0</v>
      </c>
      <c r="Z298">
        <v>-501</v>
      </c>
      <c r="AA298">
        <v>824</v>
      </c>
      <c r="AD298" t="s">
        <v>711</v>
      </c>
      <c r="AE298">
        <v>6734107220</v>
      </c>
      <c r="AF298" t="s">
        <v>711</v>
      </c>
      <c r="AG298" s="1" t="s">
        <v>862</v>
      </c>
      <c r="AH298" t="s">
        <v>714</v>
      </c>
    </row>
    <row r="299" spans="1:34" x14ac:dyDescent="0.3">
      <c r="A299">
        <v>101</v>
      </c>
      <c r="B299" t="s">
        <v>34</v>
      </c>
      <c r="C299">
        <v>2</v>
      </c>
      <c r="D299" s="1" t="s">
        <v>858</v>
      </c>
      <c r="E299" s="1" t="s">
        <v>116</v>
      </c>
      <c r="G299">
        <v>436726</v>
      </c>
      <c r="H299" t="s">
        <v>859</v>
      </c>
      <c r="I299" t="s">
        <v>860</v>
      </c>
      <c r="J299">
        <v>15</v>
      </c>
      <c r="K299">
        <v>4967</v>
      </c>
      <c r="L299">
        <v>50341</v>
      </c>
      <c r="M299" t="s">
        <v>146</v>
      </c>
      <c r="N299">
        <v>32</v>
      </c>
      <c r="O299" s="2">
        <v>46196</v>
      </c>
      <c r="P299" s="2">
        <v>46276</v>
      </c>
      <c r="R299" t="s">
        <v>861</v>
      </c>
      <c r="S299" t="str">
        <f>"00012720"</f>
        <v>00012720</v>
      </c>
      <c r="T299" t="s">
        <v>41</v>
      </c>
      <c r="U299">
        <v>436.39</v>
      </c>
      <c r="V299">
        <v>436.39</v>
      </c>
      <c r="W299">
        <v>436.39</v>
      </c>
      <c r="X299">
        <v>0</v>
      </c>
      <c r="Y299">
        <v>0</v>
      </c>
      <c r="Z299">
        <v>-501</v>
      </c>
      <c r="AA299">
        <v>844</v>
      </c>
      <c r="AD299" t="s">
        <v>711</v>
      </c>
      <c r="AE299">
        <v>6734107220</v>
      </c>
      <c r="AF299" t="s">
        <v>711</v>
      </c>
      <c r="AG299" s="1" t="s">
        <v>862</v>
      </c>
      <c r="AH299" t="s">
        <v>714</v>
      </c>
    </row>
    <row r="300" spans="1:34" x14ac:dyDescent="0.3">
      <c r="A300">
        <v>101</v>
      </c>
      <c r="B300" t="s">
        <v>34</v>
      </c>
      <c r="C300">
        <v>2</v>
      </c>
      <c r="D300" s="1" t="s">
        <v>865</v>
      </c>
      <c r="E300" s="1" t="s">
        <v>122</v>
      </c>
      <c r="G300">
        <v>436726</v>
      </c>
      <c r="H300" t="s">
        <v>859</v>
      </c>
      <c r="I300" t="s">
        <v>860</v>
      </c>
      <c r="J300">
        <v>15</v>
      </c>
      <c r="K300">
        <v>4967</v>
      </c>
      <c r="L300">
        <v>50341</v>
      </c>
      <c r="M300" t="s">
        <v>146</v>
      </c>
      <c r="N300">
        <v>32</v>
      </c>
      <c r="O300" s="2">
        <v>46225</v>
      </c>
      <c r="P300" s="2">
        <v>46285</v>
      </c>
      <c r="R300" t="s">
        <v>866</v>
      </c>
      <c r="S300" t="str">
        <f>"00013209"</f>
        <v>00013209</v>
      </c>
      <c r="T300" t="s">
        <v>41</v>
      </c>
      <c r="U300">
        <v>1746.48</v>
      </c>
      <c r="V300">
        <v>1746.48</v>
      </c>
      <c r="W300">
        <v>1746.48</v>
      </c>
      <c r="X300">
        <v>0</v>
      </c>
      <c r="Y300">
        <v>0</v>
      </c>
      <c r="Z300">
        <v>-510</v>
      </c>
      <c r="AA300">
        <v>1399</v>
      </c>
      <c r="AD300" t="s">
        <v>711</v>
      </c>
      <c r="AE300">
        <v>6734107220</v>
      </c>
      <c r="AF300" t="s">
        <v>711</v>
      </c>
      <c r="AG300" s="1" t="s">
        <v>862</v>
      </c>
      <c r="AH300" t="s">
        <v>714</v>
      </c>
    </row>
    <row r="301" spans="1:34" x14ac:dyDescent="0.3">
      <c r="A301">
        <v>101</v>
      </c>
      <c r="B301" t="s">
        <v>34</v>
      </c>
      <c r="C301">
        <v>2</v>
      </c>
      <c r="D301" s="1" t="s">
        <v>865</v>
      </c>
      <c r="E301" s="1" t="s">
        <v>116</v>
      </c>
      <c r="G301">
        <v>436726</v>
      </c>
      <c r="H301" t="s">
        <v>859</v>
      </c>
      <c r="I301" t="s">
        <v>860</v>
      </c>
      <c r="J301">
        <v>15</v>
      </c>
      <c r="K301">
        <v>4967</v>
      </c>
      <c r="L301">
        <v>50341</v>
      </c>
      <c r="M301" t="s">
        <v>146</v>
      </c>
      <c r="N301">
        <v>32</v>
      </c>
      <c r="O301" s="2">
        <v>46225</v>
      </c>
      <c r="P301" s="2">
        <v>46305</v>
      </c>
      <c r="R301" t="s">
        <v>866</v>
      </c>
      <c r="S301" t="str">
        <f>"00013210"</f>
        <v>00013210</v>
      </c>
      <c r="T301" t="s">
        <v>41</v>
      </c>
      <c r="U301">
        <v>1746.99</v>
      </c>
      <c r="V301">
        <v>1746.99</v>
      </c>
      <c r="W301">
        <v>1746.99</v>
      </c>
      <c r="X301">
        <v>0</v>
      </c>
      <c r="Y301">
        <v>0</v>
      </c>
      <c r="Z301">
        <v>-530</v>
      </c>
      <c r="AA301">
        <v>1399</v>
      </c>
      <c r="AD301" t="s">
        <v>711</v>
      </c>
      <c r="AE301">
        <v>6734107220</v>
      </c>
      <c r="AF301" t="s">
        <v>711</v>
      </c>
      <c r="AG301" s="1" t="s">
        <v>862</v>
      </c>
      <c r="AH301" t="s">
        <v>714</v>
      </c>
    </row>
    <row r="302" spans="1:34" x14ac:dyDescent="0.3">
      <c r="A302">
        <v>101</v>
      </c>
      <c r="B302" t="s">
        <v>34</v>
      </c>
      <c r="C302">
        <v>2</v>
      </c>
      <c r="D302" s="1" t="s">
        <v>865</v>
      </c>
      <c r="E302" s="1" t="s">
        <v>36</v>
      </c>
      <c r="G302">
        <v>436726</v>
      </c>
      <c r="H302" t="s">
        <v>859</v>
      </c>
      <c r="I302" t="s">
        <v>860</v>
      </c>
      <c r="J302">
        <v>15</v>
      </c>
      <c r="K302">
        <v>4967</v>
      </c>
      <c r="L302">
        <v>50341</v>
      </c>
      <c r="M302" t="s">
        <v>146</v>
      </c>
      <c r="N302">
        <v>32</v>
      </c>
      <c r="O302" s="2">
        <v>46225</v>
      </c>
      <c r="P302" s="2">
        <v>46265</v>
      </c>
      <c r="R302" t="s">
        <v>866</v>
      </c>
      <c r="S302" t="str">
        <f>"00013208"</f>
        <v>00013208</v>
      </c>
      <c r="T302" t="s">
        <v>41</v>
      </c>
      <c r="U302">
        <v>1847.8</v>
      </c>
      <c r="V302">
        <v>1847.8</v>
      </c>
      <c r="W302">
        <v>1847.8</v>
      </c>
      <c r="X302">
        <v>0</v>
      </c>
      <c r="Y302">
        <v>0</v>
      </c>
      <c r="Z302">
        <v>-490</v>
      </c>
      <c r="AA302">
        <v>1399</v>
      </c>
      <c r="AD302" t="s">
        <v>711</v>
      </c>
      <c r="AE302">
        <v>6734107220</v>
      </c>
      <c r="AF302" t="s">
        <v>711</v>
      </c>
      <c r="AG302" s="1" t="s">
        <v>862</v>
      </c>
      <c r="AH302" t="s">
        <v>714</v>
      </c>
    </row>
    <row r="303" spans="1:34" x14ac:dyDescent="0.3">
      <c r="A303">
        <v>101</v>
      </c>
      <c r="B303" t="s">
        <v>34</v>
      </c>
      <c r="C303">
        <v>2</v>
      </c>
      <c r="D303" s="1" t="s">
        <v>867</v>
      </c>
      <c r="E303" s="1" t="s">
        <v>36</v>
      </c>
      <c r="G303">
        <v>443051</v>
      </c>
      <c r="H303" t="s">
        <v>868</v>
      </c>
      <c r="I303" t="s">
        <v>869</v>
      </c>
      <c r="J303">
        <v>15</v>
      </c>
      <c r="K303">
        <v>4967</v>
      </c>
      <c r="L303">
        <v>50341</v>
      </c>
      <c r="M303" t="s">
        <v>146</v>
      </c>
      <c r="N303">
        <v>32</v>
      </c>
      <c r="O303" s="2">
        <v>46225</v>
      </c>
      <c r="P303" s="2">
        <v>46265</v>
      </c>
      <c r="R303" t="s">
        <v>870</v>
      </c>
      <c r="S303" t="str">
        <f>"00013211"</f>
        <v>00013211</v>
      </c>
      <c r="T303" t="s">
        <v>41</v>
      </c>
      <c r="U303">
        <v>249.3</v>
      </c>
      <c r="V303">
        <v>249.3</v>
      </c>
      <c r="W303">
        <v>249.3</v>
      </c>
      <c r="X303">
        <v>0</v>
      </c>
      <c r="Y303">
        <v>0</v>
      </c>
      <c r="Z303">
        <v>-490</v>
      </c>
      <c r="AA303">
        <v>1573</v>
      </c>
      <c r="AD303" t="s">
        <v>871</v>
      </c>
      <c r="AE303" t="s">
        <v>850</v>
      </c>
      <c r="AF303" t="s">
        <v>871</v>
      </c>
      <c r="AG303" s="1" t="s">
        <v>872</v>
      </c>
      <c r="AH303" t="s">
        <v>714</v>
      </c>
    </row>
    <row r="304" spans="1:34" x14ac:dyDescent="0.3">
      <c r="A304">
        <v>101</v>
      </c>
      <c r="B304" t="s">
        <v>34</v>
      </c>
      <c r="C304">
        <v>2</v>
      </c>
      <c r="D304" s="1" t="s">
        <v>867</v>
      </c>
      <c r="E304" s="1" t="s">
        <v>116</v>
      </c>
      <c r="G304">
        <v>443051</v>
      </c>
      <c r="H304" t="s">
        <v>868</v>
      </c>
      <c r="I304" t="s">
        <v>869</v>
      </c>
      <c r="J304">
        <v>15</v>
      </c>
      <c r="K304">
        <v>4967</v>
      </c>
      <c r="L304">
        <v>50341</v>
      </c>
      <c r="M304" t="s">
        <v>146</v>
      </c>
      <c r="N304">
        <v>32</v>
      </c>
      <c r="O304" s="2">
        <v>46225</v>
      </c>
      <c r="P304" s="2">
        <v>46305</v>
      </c>
      <c r="R304" t="s">
        <v>870</v>
      </c>
      <c r="S304" t="str">
        <f>"00013213"</f>
        <v>00013213</v>
      </c>
      <c r="T304" t="s">
        <v>41</v>
      </c>
      <c r="U304">
        <v>249.36</v>
      </c>
      <c r="V304">
        <v>249.36</v>
      </c>
      <c r="W304">
        <v>249.36</v>
      </c>
      <c r="X304">
        <v>0</v>
      </c>
      <c r="Y304">
        <v>0</v>
      </c>
      <c r="Z304">
        <v>-530</v>
      </c>
      <c r="AA304">
        <v>1573</v>
      </c>
      <c r="AD304" t="s">
        <v>871</v>
      </c>
      <c r="AE304" t="s">
        <v>850</v>
      </c>
      <c r="AF304" t="s">
        <v>871</v>
      </c>
      <c r="AG304" s="1" t="s">
        <v>872</v>
      </c>
      <c r="AH304" t="s">
        <v>714</v>
      </c>
    </row>
    <row r="305" spans="1:34" x14ac:dyDescent="0.3">
      <c r="A305">
        <v>101</v>
      </c>
      <c r="B305" t="s">
        <v>34</v>
      </c>
      <c r="C305">
        <v>2</v>
      </c>
      <c r="D305" s="1" t="s">
        <v>867</v>
      </c>
      <c r="E305" s="1" t="s">
        <v>122</v>
      </c>
      <c r="G305">
        <v>443051</v>
      </c>
      <c r="H305" t="s">
        <v>868</v>
      </c>
      <c r="I305" t="s">
        <v>869</v>
      </c>
      <c r="J305">
        <v>15</v>
      </c>
      <c r="K305">
        <v>4967</v>
      </c>
      <c r="L305">
        <v>50341</v>
      </c>
      <c r="M305" t="s">
        <v>146</v>
      </c>
      <c r="N305">
        <v>32</v>
      </c>
      <c r="O305" s="2">
        <v>46225</v>
      </c>
      <c r="P305" s="2">
        <v>46285</v>
      </c>
      <c r="R305" t="s">
        <v>870</v>
      </c>
      <c r="S305" t="str">
        <f>"00013212"</f>
        <v>00013212</v>
      </c>
      <c r="T305" t="s">
        <v>41</v>
      </c>
      <c r="U305">
        <v>249.3</v>
      </c>
      <c r="V305">
        <v>249.3</v>
      </c>
      <c r="W305">
        <v>249.3</v>
      </c>
      <c r="X305">
        <v>0</v>
      </c>
      <c r="Y305">
        <v>0</v>
      </c>
      <c r="Z305">
        <v>-510</v>
      </c>
      <c r="AA305">
        <v>1573</v>
      </c>
      <c r="AD305" t="s">
        <v>871</v>
      </c>
      <c r="AE305" t="s">
        <v>850</v>
      </c>
      <c r="AF305" t="s">
        <v>871</v>
      </c>
      <c r="AG305" s="1" t="s">
        <v>872</v>
      </c>
      <c r="AH305" t="s">
        <v>714</v>
      </c>
    </row>
    <row r="306" spans="1:34" x14ac:dyDescent="0.3">
      <c r="A306">
        <v>101</v>
      </c>
      <c r="B306" t="s">
        <v>34</v>
      </c>
      <c r="C306">
        <v>2</v>
      </c>
      <c r="D306" s="1" t="s">
        <v>873</v>
      </c>
      <c r="E306" s="1" t="s">
        <v>36</v>
      </c>
      <c r="G306">
        <v>450465</v>
      </c>
      <c r="H306" t="s">
        <v>874</v>
      </c>
      <c r="I306" t="s">
        <v>875</v>
      </c>
      <c r="J306">
        <v>12</v>
      </c>
      <c r="K306">
        <v>450465</v>
      </c>
      <c r="L306">
        <v>50001</v>
      </c>
      <c r="M306" t="s">
        <v>39</v>
      </c>
      <c r="N306">
        <v>32</v>
      </c>
      <c r="O306" s="2">
        <v>46234</v>
      </c>
      <c r="P306" s="2">
        <v>46279</v>
      </c>
      <c r="R306" t="s">
        <v>876</v>
      </c>
      <c r="S306" t="str">
        <f>"25666160000051701"</f>
        <v>25666160000051701</v>
      </c>
      <c r="T306" t="s">
        <v>41</v>
      </c>
      <c r="U306">
        <v>14146.14</v>
      </c>
      <c r="V306">
        <v>14146.14</v>
      </c>
      <c r="W306">
        <v>14146.14</v>
      </c>
      <c r="X306">
        <v>0</v>
      </c>
      <c r="Y306">
        <v>0</v>
      </c>
      <c r="Z306">
        <v>-504</v>
      </c>
      <c r="AA306">
        <v>1934</v>
      </c>
      <c r="AD306" t="s">
        <v>877</v>
      </c>
      <c r="AE306" t="s">
        <v>878</v>
      </c>
      <c r="AF306" t="s">
        <v>877</v>
      </c>
      <c r="AG306">
        <v>18201846000155</v>
      </c>
      <c r="AH306" t="s">
        <v>714</v>
      </c>
    </row>
    <row r="307" spans="1:34" x14ac:dyDescent="0.3">
      <c r="A307">
        <v>101</v>
      </c>
      <c r="B307" t="s">
        <v>34</v>
      </c>
      <c r="C307">
        <v>2</v>
      </c>
      <c r="D307" s="1" t="s">
        <v>879</v>
      </c>
      <c r="E307" s="1" t="s">
        <v>36</v>
      </c>
      <c r="G307">
        <v>451799</v>
      </c>
      <c r="H307" t="s">
        <v>880</v>
      </c>
      <c r="I307" t="s">
        <v>881</v>
      </c>
      <c r="J307">
        <v>12</v>
      </c>
      <c r="K307">
        <v>9083</v>
      </c>
      <c r="L307">
        <v>50001</v>
      </c>
      <c r="M307" t="s">
        <v>39</v>
      </c>
      <c r="N307">
        <v>32</v>
      </c>
      <c r="O307" s="2">
        <v>46234</v>
      </c>
      <c r="P307" s="2">
        <v>46279</v>
      </c>
      <c r="R307" t="s">
        <v>882</v>
      </c>
      <c r="S307" t="str">
        <f>"25666160000051706"</f>
        <v>25666160000051706</v>
      </c>
      <c r="T307" t="s">
        <v>41</v>
      </c>
      <c r="U307">
        <v>14074.19</v>
      </c>
      <c r="V307">
        <v>12574.19</v>
      </c>
      <c r="W307">
        <v>12574.19</v>
      </c>
      <c r="X307">
        <v>0</v>
      </c>
      <c r="Y307">
        <v>0</v>
      </c>
      <c r="Z307">
        <v>-504</v>
      </c>
      <c r="AA307">
        <v>4022</v>
      </c>
      <c r="AD307" t="s">
        <v>731</v>
      </c>
      <c r="AE307" t="s">
        <v>883</v>
      </c>
      <c r="AF307" t="s">
        <v>731</v>
      </c>
      <c r="AG307">
        <v>11259189000158</v>
      </c>
      <c r="AH307" t="s">
        <v>714</v>
      </c>
    </row>
    <row r="308" spans="1:34" x14ac:dyDescent="0.3">
      <c r="A308">
        <v>101</v>
      </c>
      <c r="B308" t="s">
        <v>34</v>
      </c>
      <c r="C308">
        <v>2</v>
      </c>
      <c r="D308" s="1" t="s">
        <v>884</v>
      </c>
      <c r="E308" s="1" t="s">
        <v>36</v>
      </c>
      <c r="G308">
        <v>464531</v>
      </c>
      <c r="H308" t="s">
        <v>885</v>
      </c>
      <c r="I308" t="s">
        <v>886</v>
      </c>
      <c r="J308">
        <v>12</v>
      </c>
      <c r="K308">
        <v>442959</v>
      </c>
      <c r="L308">
        <v>50237</v>
      </c>
      <c r="M308" t="s">
        <v>39</v>
      </c>
      <c r="N308">
        <v>32</v>
      </c>
      <c r="O308" s="2">
        <v>46232</v>
      </c>
      <c r="P308" s="2">
        <v>46272</v>
      </c>
      <c r="R308" t="s">
        <v>887</v>
      </c>
      <c r="S308" t="str">
        <f>"330000051686"</f>
        <v>330000051686</v>
      </c>
      <c r="T308" t="s">
        <v>41</v>
      </c>
      <c r="U308">
        <v>40460.129999999997</v>
      </c>
      <c r="V308">
        <v>40460.129999999997</v>
      </c>
      <c r="W308">
        <v>40460.129999999997</v>
      </c>
      <c r="X308">
        <v>0</v>
      </c>
      <c r="Y308">
        <v>0</v>
      </c>
      <c r="Z308">
        <v>-497</v>
      </c>
      <c r="AA308">
        <v>1862</v>
      </c>
      <c r="AD308" t="s">
        <v>871</v>
      </c>
      <c r="AE308" t="s">
        <v>888</v>
      </c>
      <c r="AF308" t="s">
        <v>871</v>
      </c>
      <c r="AG308">
        <v>20335148000607</v>
      </c>
      <c r="AH308" t="s">
        <v>714</v>
      </c>
    </row>
    <row r="309" spans="1:34" x14ac:dyDescent="0.3">
      <c r="A309">
        <v>101</v>
      </c>
      <c r="B309" t="s">
        <v>34</v>
      </c>
      <c r="C309">
        <v>2</v>
      </c>
      <c r="D309" s="1" t="s">
        <v>889</v>
      </c>
      <c r="E309" s="1" t="s">
        <v>122</v>
      </c>
      <c r="G309">
        <v>465849</v>
      </c>
      <c r="H309" t="s">
        <v>890</v>
      </c>
      <c r="I309" t="s">
        <v>753</v>
      </c>
      <c r="J309">
        <v>15</v>
      </c>
      <c r="K309">
        <v>4967</v>
      </c>
      <c r="L309">
        <v>50341</v>
      </c>
      <c r="M309" t="s">
        <v>146</v>
      </c>
      <c r="N309">
        <v>32</v>
      </c>
      <c r="O309" s="2">
        <v>46225</v>
      </c>
      <c r="P309" s="2">
        <v>46285</v>
      </c>
      <c r="R309" t="s">
        <v>891</v>
      </c>
      <c r="S309" t="str">
        <f>"00013220"</f>
        <v>00013220</v>
      </c>
      <c r="T309" t="s">
        <v>41</v>
      </c>
      <c r="U309">
        <v>10024.77</v>
      </c>
      <c r="V309">
        <v>10024.77</v>
      </c>
      <c r="W309">
        <v>10024.77</v>
      </c>
      <c r="X309">
        <v>0</v>
      </c>
      <c r="Y309">
        <v>0</v>
      </c>
      <c r="Z309">
        <v>-510</v>
      </c>
      <c r="AA309">
        <v>1394</v>
      </c>
      <c r="AD309" t="s">
        <v>731</v>
      </c>
      <c r="AE309" t="s">
        <v>850</v>
      </c>
      <c r="AF309" t="s">
        <v>731</v>
      </c>
      <c r="AG309" s="1" t="s">
        <v>892</v>
      </c>
      <c r="AH309" t="s">
        <v>714</v>
      </c>
    </row>
    <row r="310" spans="1:34" x14ac:dyDescent="0.3">
      <c r="A310">
        <v>101</v>
      </c>
      <c r="B310" t="s">
        <v>34</v>
      </c>
      <c r="C310">
        <v>2</v>
      </c>
      <c r="D310" s="1" t="s">
        <v>893</v>
      </c>
      <c r="E310" s="1" t="s">
        <v>116</v>
      </c>
      <c r="G310">
        <v>465849</v>
      </c>
      <c r="H310" t="s">
        <v>890</v>
      </c>
      <c r="I310" t="s">
        <v>753</v>
      </c>
      <c r="J310">
        <v>15</v>
      </c>
      <c r="K310">
        <v>4967</v>
      </c>
      <c r="L310">
        <v>50341</v>
      </c>
      <c r="M310" t="s">
        <v>146</v>
      </c>
      <c r="N310">
        <v>32</v>
      </c>
      <c r="O310" s="2">
        <v>46226</v>
      </c>
      <c r="P310" s="2">
        <v>46306</v>
      </c>
      <c r="R310" t="s">
        <v>894</v>
      </c>
      <c r="S310" t="str">
        <f>"00013292"</f>
        <v>00013292</v>
      </c>
      <c r="T310" t="s">
        <v>41</v>
      </c>
      <c r="U310">
        <v>436.39</v>
      </c>
      <c r="V310">
        <v>436.39</v>
      </c>
      <c r="W310">
        <v>436.39</v>
      </c>
      <c r="X310">
        <v>0</v>
      </c>
      <c r="Y310">
        <v>0</v>
      </c>
      <c r="Z310">
        <v>-531</v>
      </c>
      <c r="AA310">
        <v>1568</v>
      </c>
      <c r="AD310" t="s">
        <v>731</v>
      </c>
      <c r="AE310" t="s">
        <v>850</v>
      </c>
      <c r="AF310" t="s">
        <v>731</v>
      </c>
      <c r="AG310" s="1" t="s">
        <v>892</v>
      </c>
      <c r="AH310" t="s">
        <v>714</v>
      </c>
    </row>
    <row r="311" spans="1:34" x14ac:dyDescent="0.3">
      <c r="A311">
        <v>101</v>
      </c>
      <c r="B311" t="s">
        <v>34</v>
      </c>
      <c r="C311">
        <v>2</v>
      </c>
      <c r="D311" s="1" t="s">
        <v>889</v>
      </c>
      <c r="E311" s="1" t="s">
        <v>36</v>
      </c>
      <c r="G311">
        <v>465849</v>
      </c>
      <c r="H311" t="s">
        <v>890</v>
      </c>
      <c r="I311" t="s">
        <v>753</v>
      </c>
      <c r="J311">
        <v>15</v>
      </c>
      <c r="K311">
        <v>4967</v>
      </c>
      <c r="L311">
        <v>50341</v>
      </c>
      <c r="M311" t="s">
        <v>146</v>
      </c>
      <c r="N311">
        <v>32</v>
      </c>
      <c r="O311" s="2">
        <v>46225</v>
      </c>
      <c r="P311" s="2">
        <v>46265</v>
      </c>
      <c r="R311" t="s">
        <v>891</v>
      </c>
      <c r="S311" t="str">
        <f>"00013219"</f>
        <v>00013219</v>
      </c>
      <c r="T311" t="s">
        <v>41</v>
      </c>
      <c r="U311">
        <v>10590.66</v>
      </c>
      <c r="V311">
        <v>10590.66</v>
      </c>
      <c r="W311">
        <v>10590.66</v>
      </c>
      <c r="X311">
        <v>0</v>
      </c>
      <c r="Y311">
        <v>0</v>
      </c>
      <c r="Z311">
        <v>-490</v>
      </c>
      <c r="AA311">
        <v>1394</v>
      </c>
      <c r="AD311" t="s">
        <v>731</v>
      </c>
      <c r="AE311" t="s">
        <v>850</v>
      </c>
      <c r="AF311" t="s">
        <v>731</v>
      </c>
      <c r="AG311" s="1" t="s">
        <v>892</v>
      </c>
      <c r="AH311" t="s">
        <v>714</v>
      </c>
    </row>
    <row r="312" spans="1:34" x14ac:dyDescent="0.3">
      <c r="A312">
        <v>101</v>
      </c>
      <c r="B312" t="s">
        <v>34</v>
      </c>
      <c r="C312">
        <v>2</v>
      </c>
      <c r="D312" s="1" t="s">
        <v>893</v>
      </c>
      <c r="E312" s="1" t="s">
        <v>122</v>
      </c>
      <c r="G312">
        <v>465849</v>
      </c>
      <c r="H312" t="s">
        <v>890</v>
      </c>
      <c r="I312" t="s">
        <v>753</v>
      </c>
      <c r="J312">
        <v>15</v>
      </c>
      <c r="K312">
        <v>4967</v>
      </c>
      <c r="L312">
        <v>50341</v>
      </c>
      <c r="M312" t="s">
        <v>146</v>
      </c>
      <c r="N312">
        <v>32</v>
      </c>
      <c r="O312" s="2">
        <v>46226</v>
      </c>
      <c r="P312" s="2">
        <v>46286</v>
      </c>
      <c r="R312" t="s">
        <v>894</v>
      </c>
      <c r="S312" t="str">
        <f>"00013291"</f>
        <v>00013291</v>
      </c>
      <c r="T312" t="s">
        <v>41</v>
      </c>
      <c r="U312">
        <v>436.27</v>
      </c>
      <c r="V312">
        <v>436.27</v>
      </c>
      <c r="W312">
        <v>436.27</v>
      </c>
      <c r="X312">
        <v>0</v>
      </c>
      <c r="Y312">
        <v>0</v>
      </c>
      <c r="Z312">
        <v>-511</v>
      </c>
      <c r="AA312">
        <v>1568</v>
      </c>
      <c r="AD312" t="s">
        <v>731</v>
      </c>
      <c r="AE312" t="s">
        <v>850</v>
      </c>
      <c r="AF312" t="s">
        <v>731</v>
      </c>
      <c r="AG312" s="1" t="s">
        <v>892</v>
      </c>
      <c r="AH312" t="s">
        <v>714</v>
      </c>
    </row>
    <row r="313" spans="1:34" x14ac:dyDescent="0.3">
      <c r="A313">
        <v>101</v>
      </c>
      <c r="B313" t="s">
        <v>34</v>
      </c>
      <c r="C313">
        <v>2</v>
      </c>
      <c r="D313" s="1" t="s">
        <v>889</v>
      </c>
      <c r="E313" s="1" t="s">
        <v>116</v>
      </c>
      <c r="G313">
        <v>465849</v>
      </c>
      <c r="H313" t="s">
        <v>890</v>
      </c>
      <c r="I313" t="s">
        <v>753</v>
      </c>
      <c r="J313">
        <v>15</v>
      </c>
      <c r="K313">
        <v>4967</v>
      </c>
      <c r="L313">
        <v>50341</v>
      </c>
      <c r="M313" t="s">
        <v>146</v>
      </c>
      <c r="N313">
        <v>32</v>
      </c>
      <c r="O313" s="2">
        <v>46225</v>
      </c>
      <c r="P313" s="2">
        <v>46305</v>
      </c>
      <c r="R313" t="s">
        <v>891</v>
      </c>
      <c r="S313" t="str">
        <f>"00013221"</f>
        <v>00013221</v>
      </c>
      <c r="T313" t="s">
        <v>41</v>
      </c>
      <c r="U313">
        <v>10027.780000000001</v>
      </c>
      <c r="V313">
        <v>10027.780000000001</v>
      </c>
      <c r="W313">
        <v>10027.780000000001</v>
      </c>
      <c r="X313">
        <v>0</v>
      </c>
      <c r="Y313">
        <v>0</v>
      </c>
      <c r="Z313">
        <v>-530</v>
      </c>
      <c r="AA313">
        <v>1394</v>
      </c>
      <c r="AD313" t="s">
        <v>731</v>
      </c>
      <c r="AE313" t="s">
        <v>850</v>
      </c>
      <c r="AF313" t="s">
        <v>731</v>
      </c>
      <c r="AG313" s="1" t="s">
        <v>892</v>
      </c>
      <c r="AH313" t="s">
        <v>714</v>
      </c>
    </row>
    <row r="314" spans="1:34" x14ac:dyDescent="0.3">
      <c r="A314">
        <v>101</v>
      </c>
      <c r="B314" t="s">
        <v>34</v>
      </c>
      <c r="C314">
        <v>2</v>
      </c>
      <c r="D314" s="1" t="s">
        <v>893</v>
      </c>
      <c r="E314" s="1" t="s">
        <v>36</v>
      </c>
      <c r="G314">
        <v>465849</v>
      </c>
      <c r="H314" t="s">
        <v>890</v>
      </c>
      <c r="I314" t="s">
        <v>753</v>
      </c>
      <c r="J314">
        <v>15</v>
      </c>
      <c r="K314">
        <v>4967</v>
      </c>
      <c r="L314">
        <v>50341</v>
      </c>
      <c r="M314" t="s">
        <v>146</v>
      </c>
      <c r="N314">
        <v>32</v>
      </c>
      <c r="O314" s="2">
        <v>46226</v>
      </c>
      <c r="P314" s="2">
        <v>46266</v>
      </c>
      <c r="R314" t="s">
        <v>894</v>
      </c>
      <c r="S314" t="str">
        <f>"00013290"</f>
        <v>00013290</v>
      </c>
      <c r="T314" t="s">
        <v>41</v>
      </c>
      <c r="U314">
        <v>436.27</v>
      </c>
      <c r="V314">
        <v>436.27</v>
      </c>
      <c r="W314">
        <v>436.27</v>
      </c>
      <c r="X314">
        <v>0</v>
      </c>
      <c r="Y314">
        <v>0</v>
      </c>
      <c r="Z314">
        <v>-491</v>
      </c>
      <c r="AA314">
        <v>1568</v>
      </c>
      <c r="AD314" t="s">
        <v>731</v>
      </c>
      <c r="AE314" t="s">
        <v>850</v>
      </c>
      <c r="AF314" t="s">
        <v>731</v>
      </c>
      <c r="AG314" s="1" t="s">
        <v>892</v>
      </c>
      <c r="AH314" t="s">
        <v>714</v>
      </c>
    </row>
    <row r="315" spans="1:34" x14ac:dyDescent="0.3">
      <c r="A315">
        <v>101</v>
      </c>
      <c r="B315" t="s">
        <v>34</v>
      </c>
      <c r="C315">
        <v>2</v>
      </c>
      <c r="D315" s="1" t="s">
        <v>895</v>
      </c>
      <c r="E315" s="1" t="s">
        <v>116</v>
      </c>
      <c r="G315">
        <v>465849</v>
      </c>
      <c r="H315" t="s">
        <v>890</v>
      </c>
      <c r="I315" t="s">
        <v>753</v>
      </c>
      <c r="J315">
        <v>15</v>
      </c>
      <c r="K315">
        <v>4967</v>
      </c>
      <c r="L315">
        <v>50341</v>
      </c>
      <c r="M315" t="s">
        <v>146</v>
      </c>
      <c r="N315">
        <v>32</v>
      </c>
      <c r="O315" s="2">
        <v>46196</v>
      </c>
      <c r="P315" s="2">
        <v>46296</v>
      </c>
      <c r="R315" t="s">
        <v>896</v>
      </c>
      <c r="S315" t="str">
        <f>"00012726"</f>
        <v>00012726</v>
      </c>
      <c r="T315" t="s">
        <v>41</v>
      </c>
      <c r="U315">
        <v>1059.83</v>
      </c>
      <c r="V315">
        <v>1059.83</v>
      </c>
      <c r="W315">
        <v>1059.83</v>
      </c>
      <c r="X315">
        <v>0</v>
      </c>
      <c r="Y315">
        <v>0</v>
      </c>
      <c r="Z315">
        <v>-521</v>
      </c>
      <c r="AA315">
        <v>839</v>
      </c>
      <c r="AD315" t="s">
        <v>731</v>
      </c>
      <c r="AE315" t="s">
        <v>850</v>
      </c>
      <c r="AF315" t="s">
        <v>731</v>
      </c>
      <c r="AG315" s="1" t="s">
        <v>892</v>
      </c>
      <c r="AH315" t="s">
        <v>714</v>
      </c>
    </row>
    <row r="316" spans="1:34" x14ac:dyDescent="0.3">
      <c r="A316">
        <v>101</v>
      </c>
      <c r="B316" t="s">
        <v>34</v>
      </c>
      <c r="C316">
        <v>2</v>
      </c>
      <c r="D316" s="1" t="s">
        <v>895</v>
      </c>
      <c r="E316" s="1" t="s">
        <v>122</v>
      </c>
      <c r="G316">
        <v>465849</v>
      </c>
      <c r="H316" t="s">
        <v>890</v>
      </c>
      <c r="I316" t="s">
        <v>753</v>
      </c>
      <c r="J316">
        <v>15</v>
      </c>
      <c r="K316">
        <v>4967</v>
      </c>
      <c r="L316">
        <v>50341</v>
      </c>
      <c r="M316" t="s">
        <v>146</v>
      </c>
      <c r="N316">
        <v>32</v>
      </c>
      <c r="O316" s="2">
        <v>46196</v>
      </c>
      <c r="P316" s="2">
        <v>46276</v>
      </c>
      <c r="R316" t="s">
        <v>896</v>
      </c>
      <c r="S316" t="str">
        <f>"00012725"</f>
        <v>00012725</v>
      </c>
      <c r="T316" t="s">
        <v>41</v>
      </c>
      <c r="U316">
        <v>1059.5</v>
      </c>
      <c r="V316">
        <v>1059.5</v>
      </c>
      <c r="W316">
        <v>1059.5</v>
      </c>
      <c r="X316">
        <v>0</v>
      </c>
      <c r="Y316">
        <v>0</v>
      </c>
      <c r="Z316">
        <v>-501</v>
      </c>
      <c r="AA316">
        <v>839</v>
      </c>
      <c r="AD316" t="s">
        <v>731</v>
      </c>
      <c r="AE316" t="s">
        <v>850</v>
      </c>
      <c r="AF316" t="s">
        <v>731</v>
      </c>
      <c r="AG316" s="1" t="s">
        <v>892</v>
      </c>
      <c r="AH316" t="s">
        <v>714</v>
      </c>
    </row>
    <row r="317" spans="1:34" x14ac:dyDescent="0.3">
      <c r="A317">
        <v>101</v>
      </c>
      <c r="B317" t="s">
        <v>34</v>
      </c>
      <c r="C317">
        <v>2</v>
      </c>
      <c r="D317" s="1" t="s">
        <v>895</v>
      </c>
      <c r="E317" s="1" t="s">
        <v>36</v>
      </c>
      <c r="G317">
        <v>465849</v>
      </c>
      <c r="H317" t="s">
        <v>890</v>
      </c>
      <c r="I317" t="s">
        <v>753</v>
      </c>
      <c r="J317">
        <v>15</v>
      </c>
      <c r="K317">
        <v>4967</v>
      </c>
      <c r="L317">
        <v>50341</v>
      </c>
      <c r="M317" t="s">
        <v>146</v>
      </c>
      <c r="N317">
        <v>32</v>
      </c>
      <c r="O317" s="2">
        <v>46196</v>
      </c>
      <c r="P317" s="2">
        <v>46256</v>
      </c>
      <c r="R317" t="s">
        <v>896</v>
      </c>
      <c r="S317" t="str">
        <f>"00012724"</f>
        <v>00012724</v>
      </c>
      <c r="T317" t="s">
        <v>41</v>
      </c>
      <c r="U317">
        <v>1059.5</v>
      </c>
      <c r="V317">
        <v>1059.5</v>
      </c>
      <c r="W317">
        <v>1059.5</v>
      </c>
      <c r="X317">
        <v>0</v>
      </c>
      <c r="Y317">
        <v>0</v>
      </c>
      <c r="Z317">
        <v>-481</v>
      </c>
      <c r="AA317">
        <v>839</v>
      </c>
      <c r="AD317" t="s">
        <v>731</v>
      </c>
      <c r="AE317" t="s">
        <v>850</v>
      </c>
      <c r="AF317" t="s">
        <v>731</v>
      </c>
      <c r="AG317" s="1" t="s">
        <v>892</v>
      </c>
      <c r="AH317" t="s">
        <v>714</v>
      </c>
    </row>
    <row r="318" spans="1:34" x14ac:dyDescent="0.3">
      <c r="A318">
        <v>101</v>
      </c>
      <c r="B318" t="s">
        <v>34</v>
      </c>
      <c r="C318">
        <v>2</v>
      </c>
      <c r="D318" s="1" t="s">
        <v>897</v>
      </c>
      <c r="E318" s="1" t="s">
        <v>122</v>
      </c>
      <c r="G318">
        <v>465849</v>
      </c>
      <c r="H318" t="s">
        <v>890</v>
      </c>
      <c r="I318" t="s">
        <v>753</v>
      </c>
      <c r="J318">
        <v>15</v>
      </c>
      <c r="K318">
        <v>4967</v>
      </c>
      <c r="L318">
        <v>50341</v>
      </c>
      <c r="M318" t="s">
        <v>146</v>
      </c>
      <c r="N318">
        <v>32</v>
      </c>
      <c r="O318" s="2">
        <v>46196</v>
      </c>
      <c r="P318" s="2">
        <v>46276</v>
      </c>
      <c r="R318" t="s">
        <v>898</v>
      </c>
      <c r="S318" t="str">
        <f>"00012722"</f>
        <v>00012722</v>
      </c>
      <c r="T318" t="s">
        <v>41</v>
      </c>
      <c r="U318">
        <v>7451.01</v>
      </c>
      <c r="V318">
        <v>5048.59</v>
      </c>
      <c r="W318">
        <v>5048.59</v>
      </c>
      <c r="X318">
        <v>0</v>
      </c>
      <c r="Y318">
        <v>0</v>
      </c>
      <c r="Z318">
        <v>-501</v>
      </c>
      <c r="AA318">
        <v>819</v>
      </c>
      <c r="AD318" t="s">
        <v>731</v>
      </c>
      <c r="AE318" t="s">
        <v>850</v>
      </c>
      <c r="AF318" t="s">
        <v>731</v>
      </c>
      <c r="AG318" s="1" t="s">
        <v>892</v>
      </c>
      <c r="AH318" t="s">
        <v>714</v>
      </c>
    </row>
    <row r="319" spans="1:34" x14ac:dyDescent="0.3">
      <c r="A319">
        <v>101</v>
      </c>
      <c r="B319" t="s">
        <v>34</v>
      </c>
      <c r="C319">
        <v>2</v>
      </c>
      <c r="D319" s="1" t="s">
        <v>897</v>
      </c>
      <c r="E319" s="1" t="s">
        <v>116</v>
      </c>
      <c r="G319">
        <v>465849</v>
      </c>
      <c r="H319" t="s">
        <v>890</v>
      </c>
      <c r="I319" t="s">
        <v>753</v>
      </c>
      <c r="J319">
        <v>15</v>
      </c>
      <c r="K319">
        <v>4967</v>
      </c>
      <c r="L319">
        <v>50341</v>
      </c>
      <c r="M319" t="s">
        <v>146</v>
      </c>
      <c r="N319">
        <v>32</v>
      </c>
      <c r="O319" s="2">
        <v>46196</v>
      </c>
      <c r="P319" s="2">
        <v>46296</v>
      </c>
      <c r="R319" t="s">
        <v>898</v>
      </c>
      <c r="S319" t="str">
        <f>"00012723"</f>
        <v>00012723</v>
      </c>
      <c r="T319" t="s">
        <v>41</v>
      </c>
      <c r="U319">
        <v>7453.25</v>
      </c>
      <c r="V319">
        <v>7453.25</v>
      </c>
      <c r="W319">
        <v>7453.25</v>
      </c>
      <c r="X319">
        <v>0</v>
      </c>
      <c r="Y319">
        <v>0</v>
      </c>
      <c r="Z319">
        <v>-521</v>
      </c>
      <c r="AA319">
        <v>819</v>
      </c>
      <c r="AD319" t="s">
        <v>731</v>
      </c>
      <c r="AE319" t="s">
        <v>850</v>
      </c>
      <c r="AF319" t="s">
        <v>731</v>
      </c>
      <c r="AG319" s="1" t="s">
        <v>892</v>
      </c>
      <c r="AH319" t="s">
        <v>714</v>
      </c>
    </row>
    <row r="320" spans="1:34" x14ac:dyDescent="0.3">
      <c r="A320">
        <v>101</v>
      </c>
      <c r="B320" t="s">
        <v>34</v>
      </c>
      <c r="C320">
        <v>2</v>
      </c>
      <c r="D320" s="1" t="s">
        <v>899</v>
      </c>
      <c r="E320" s="1" t="s">
        <v>116</v>
      </c>
      <c r="G320">
        <v>465849</v>
      </c>
      <c r="H320" t="s">
        <v>890</v>
      </c>
      <c r="I320" t="s">
        <v>753</v>
      </c>
      <c r="J320">
        <v>15</v>
      </c>
      <c r="K320">
        <v>4967</v>
      </c>
      <c r="L320">
        <v>50341</v>
      </c>
      <c r="M320" t="s">
        <v>146</v>
      </c>
      <c r="N320">
        <v>32</v>
      </c>
      <c r="O320" s="2">
        <v>46167</v>
      </c>
      <c r="P320" s="2">
        <v>46278</v>
      </c>
      <c r="R320" t="s">
        <v>900</v>
      </c>
      <c r="S320" t="str">
        <f>"00012330"</f>
        <v>00012330</v>
      </c>
      <c r="T320" t="s">
        <v>41</v>
      </c>
      <c r="U320">
        <v>4030.46</v>
      </c>
      <c r="V320">
        <v>4030.46</v>
      </c>
      <c r="W320">
        <v>4030.46</v>
      </c>
      <c r="X320">
        <v>0</v>
      </c>
      <c r="Y320">
        <v>0</v>
      </c>
      <c r="Z320">
        <v>-503</v>
      </c>
      <c r="AA320">
        <v>688941</v>
      </c>
      <c r="AD320" t="s">
        <v>731</v>
      </c>
      <c r="AE320" t="s">
        <v>850</v>
      </c>
      <c r="AF320" t="s">
        <v>731</v>
      </c>
      <c r="AG320" s="1" t="s">
        <v>892</v>
      </c>
      <c r="AH320" t="s">
        <v>714</v>
      </c>
    </row>
    <row r="321" spans="1:34" x14ac:dyDescent="0.3">
      <c r="A321">
        <v>101</v>
      </c>
      <c r="B321" t="s">
        <v>34</v>
      </c>
      <c r="C321">
        <v>2</v>
      </c>
      <c r="D321" s="1" t="s">
        <v>901</v>
      </c>
      <c r="E321" s="1" t="s">
        <v>116</v>
      </c>
      <c r="G321">
        <v>465849</v>
      </c>
      <c r="H321" t="s">
        <v>890</v>
      </c>
      <c r="I321" t="s">
        <v>753</v>
      </c>
      <c r="J321">
        <v>15</v>
      </c>
      <c r="K321">
        <v>4967</v>
      </c>
      <c r="L321">
        <v>50341</v>
      </c>
      <c r="M321" t="s">
        <v>146</v>
      </c>
      <c r="N321">
        <v>32</v>
      </c>
      <c r="O321" s="2">
        <v>46171</v>
      </c>
      <c r="P321" s="2">
        <v>46269</v>
      </c>
      <c r="R321" t="s">
        <v>902</v>
      </c>
      <c r="S321" t="str">
        <f>"00012497"</f>
        <v>00012497</v>
      </c>
      <c r="T321" t="s">
        <v>41</v>
      </c>
      <c r="U321">
        <v>866.84</v>
      </c>
      <c r="V321">
        <v>866.84</v>
      </c>
      <c r="W321">
        <v>866.84</v>
      </c>
      <c r="X321">
        <v>0</v>
      </c>
      <c r="Y321">
        <v>0</v>
      </c>
      <c r="Z321">
        <v>-494</v>
      </c>
      <c r="AA321">
        <v>688941</v>
      </c>
      <c r="AD321" t="s">
        <v>731</v>
      </c>
      <c r="AE321" t="s">
        <v>850</v>
      </c>
      <c r="AF321" t="s">
        <v>731</v>
      </c>
      <c r="AG321" s="1" t="s">
        <v>892</v>
      </c>
      <c r="AH321" t="s">
        <v>714</v>
      </c>
    </row>
    <row r="322" spans="1:34" x14ac:dyDescent="0.3">
      <c r="A322">
        <v>101</v>
      </c>
      <c r="B322" t="s">
        <v>34</v>
      </c>
      <c r="C322">
        <v>2</v>
      </c>
      <c r="D322" s="1" t="s">
        <v>899</v>
      </c>
      <c r="E322" s="1" t="s">
        <v>122</v>
      </c>
      <c r="G322">
        <v>465849</v>
      </c>
      <c r="H322" t="s">
        <v>890</v>
      </c>
      <c r="I322" t="s">
        <v>753</v>
      </c>
      <c r="J322">
        <v>15</v>
      </c>
      <c r="K322">
        <v>4967</v>
      </c>
      <c r="L322">
        <v>50341</v>
      </c>
      <c r="M322" t="s">
        <v>146</v>
      </c>
      <c r="N322">
        <v>32</v>
      </c>
      <c r="O322" s="2">
        <v>46167</v>
      </c>
      <c r="P322" s="2">
        <v>46258</v>
      </c>
      <c r="R322" t="s">
        <v>900</v>
      </c>
      <c r="S322" t="str">
        <f>"00012329"</f>
        <v>00012329</v>
      </c>
      <c r="T322" t="s">
        <v>41</v>
      </c>
      <c r="U322">
        <v>4029.25</v>
      </c>
      <c r="V322">
        <v>4029.25</v>
      </c>
      <c r="W322">
        <v>4029.25</v>
      </c>
      <c r="X322">
        <v>0</v>
      </c>
      <c r="Y322">
        <v>0</v>
      </c>
      <c r="Z322">
        <v>-483</v>
      </c>
      <c r="AA322">
        <v>688941</v>
      </c>
      <c r="AD322" t="s">
        <v>731</v>
      </c>
      <c r="AE322" t="s">
        <v>850</v>
      </c>
      <c r="AF322" t="s">
        <v>731</v>
      </c>
      <c r="AG322" s="1" t="s">
        <v>892</v>
      </c>
      <c r="AH322" t="s">
        <v>714</v>
      </c>
    </row>
    <row r="323" spans="1:34" x14ac:dyDescent="0.3">
      <c r="A323">
        <v>101</v>
      </c>
      <c r="B323" t="s">
        <v>34</v>
      </c>
      <c r="C323">
        <v>2</v>
      </c>
      <c r="D323" s="1" t="s">
        <v>903</v>
      </c>
      <c r="E323" s="1" t="s">
        <v>116</v>
      </c>
      <c r="G323">
        <v>465852</v>
      </c>
      <c r="H323" t="s">
        <v>904</v>
      </c>
      <c r="I323" t="s">
        <v>753</v>
      </c>
      <c r="J323">
        <v>15</v>
      </c>
      <c r="K323">
        <v>4967</v>
      </c>
      <c r="L323">
        <v>50341</v>
      </c>
      <c r="M323" t="s">
        <v>146</v>
      </c>
      <c r="N323">
        <v>32</v>
      </c>
      <c r="O323" s="2">
        <v>46196</v>
      </c>
      <c r="P323" s="2">
        <v>46276</v>
      </c>
      <c r="R323" t="s">
        <v>905</v>
      </c>
      <c r="S323" t="str">
        <f>"00012735"</f>
        <v>00012735</v>
      </c>
      <c r="T323" t="s">
        <v>41</v>
      </c>
      <c r="U323">
        <v>2481.16</v>
      </c>
      <c r="V323">
        <v>2481.16</v>
      </c>
      <c r="W323">
        <v>2481.16</v>
      </c>
      <c r="X323">
        <v>0</v>
      </c>
      <c r="Y323">
        <v>0</v>
      </c>
      <c r="Z323">
        <v>-501</v>
      </c>
      <c r="AA323">
        <v>825</v>
      </c>
      <c r="AD323" t="s">
        <v>906</v>
      </c>
      <c r="AE323" t="s">
        <v>850</v>
      </c>
      <c r="AF323" t="s">
        <v>906</v>
      </c>
      <c r="AG323" s="1" t="s">
        <v>907</v>
      </c>
      <c r="AH323" t="s">
        <v>714</v>
      </c>
    </row>
    <row r="324" spans="1:34" x14ac:dyDescent="0.3">
      <c r="A324">
        <v>101</v>
      </c>
      <c r="B324" t="s">
        <v>34</v>
      </c>
      <c r="C324">
        <v>2</v>
      </c>
      <c r="D324" s="1" t="s">
        <v>903</v>
      </c>
      <c r="E324" s="1" t="s">
        <v>122</v>
      </c>
      <c r="G324">
        <v>465852</v>
      </c>
      <c r="H324" t="s">
        <v>904</v>
      </c>
      <c r="I324" t="s">
        <v>753</v>
      </c>
      <c r="J324">
        <v>15</v>
      </c>
      <c r="K324">
        <v>4967</v>
      </c>
      <c r="L324">
        <v>50341</v>
      </c>
      <c r="M324" t="s">
        <v>146</v>
      </c>
      <c r="N324">
        <v>32</v>
      </c>
      <c r="O324" s="2">
        <v>46196</v>
      </c>
      <c r="P324" s="2">
        <v>46256</v>
      </c>
      <c r="R324" t="s">
        <v>905</v>
      </c>
      <c r="S324" t="str">
        <f>"00012734"</f>
        <v>00012734</v>
      </c>
      <c r="T324" t="s">
        <v>41</v>
      </c>
      <c r="U324">
        <v>2480.41</v>
      </c>
      <c r="V324">
        <v>2480.41</v>
      </c>
      <c r="W324">
        <v>2480.41</v>
      </c>
      <c r="X324">
        <v>0</v>
      </c>
      <c r="Y324">
        <v>0</v>
      </c>
      <c r="Z324">
        <v>-481</v>
      </c>
      <c r="AA324">
        <v>825</v>
      </c>
      <c r="AD324" t="s">
        <v>906</v>
      </c>
      <c r="AE324" t="s">
        <v>850</v>
      </c>
      <c r="AF324" t="s">
        <v>906</v>
      </c>
      <c r="AG324" s="1" t="s">
        <v>907</v>
      </c>
      <c r="AH324" t="s">
        <v>714</v>
      </c>
    </row>
    <row r="325" spans="1:34" x14ac:dyDescent="0.3">
      <c r="A325">
        <v>101</v>
      </c>
      <c r="B325" t="s">
        <v>34</v>
      </c>
      <c r="C325">
        <v>2</v>
      </c>
      <c r="D325" s="1" t="s">
        <v>908</v>
      </c>
      <c r="E325" s="1" t="s">
        <v>122</v>
      </c>
      <c r="G325">
        <v>465852</v>
      </c>
      <c r="H325" t="s">
        <v>904</v>
      </c>
      <c r="I325" t="s">
        <v>753</v>
      </c>
      <c r="J325">
        <v>15</v>
      </c>
      <c r="K325">
        <v>4967</v>
      </c>
      <c r="L325">
        <v>50341</v>
      </c>
      <c r="M325" t="s">
        <v>146</v>
      </c>
      <c r="N325">
        <v>32</v>
      </c>
      <c r="O325" s="2">
        <v>46225</v>
      </c>
      <c r="P325" s="2">
        <v>46285</v>
      </c>
      <c r="R325" t="s">
        <v>909</v>
      </c>
      <c r="S325" t="str">
        <f>"00013226"</f>
        <v>00013226</v>
      </c>
      <c r="T325" t="s">
        <v>41</v>
      </c>
      <c r="U325">
        <v>186.97</v>
      </c>
      <c r="V325">
        <v>186.97</v>
      </c>
      <c r="W325">
        <v>186.97</v>
      </c>
      <c r="X325">
        <v>0</v>
      </c>
      <c r="Y325">
        <v>0</v>
      </c>
      <c r="Z325">
        <v>-510</v>
      </c>
      <c r="AA325">
        <v>1571</v>
      </c>
      <c r="AD325" t="s">
        <v>906</v>
      </c>
      <c r="AE325" t="s">
        <v>850</v>
      </c>
      <c r="AF325" t="s">
        <v>906</v>
      </c>
      <c r="AG325" s="1" t="s">
        <v>907</v>
      </c>
      <c r="AH325" t="s">
        <v>714</v>
      </c>
    </row>
    <row r="326" spans="1:34" x14ac:dyDescent="0.3">
      <c r="A326">
        <v>101</v>
      </c>
      <c r="B326" t="s">
        <v>34</v>
      </c>
      <c r="C326">
        <v>2</v>
      </c>
      <c r="D326" s="1" t="s">
        <v>908</v>
      </c>
      <c r="E326" s="1" t="s">
        <v>116</v>
      </c>
      <c r="G326">
        <v>465852</v>
      </c>
      <c r="H326" t="s">
        <v>904</v>
      </c>
      <c r="I326" t="s">
        <v>753</v>
      </c>
      <c r="J326">
        <v>15</v>
      </c>
      <c r="K326">
        <v>4967</v>
      </c>
      <c r="L326">
        <v>50341</v>
      </c>
      <c r="M326" t="s">
        <v>146</v>
      </c>
      <c r="N326">
        <v>32</v>
      </c>
      <c r="O326" s="2">
        <v>46225</v>
      </c>
      <c r="P326" s="2">
        <v>46305</v>
      </c>
      <c r="R326" t="s">
        <v>909</v>
      </c>
      <c r="S326" t="str">
        <f>"00013227"</f>
        <v>00013227</v>
      </c>
      <c r="T326" t="s">
        <v>41</v>
      </c>
      <c r="U326">
        <v>187.03</v>
      </c>
      <c r="V326">
        <v>187.03</v>
      </c>
      <c r="W326">
        <v>187.03</v>
      </c>
      <c r="X326">
        <v>0</v>
      </c>
      <c r="Y326">
        <v>0</v>
      </c>
      <c r="Z326">
        <v>-530</v>
      </c>
      <c r="AA326">
        <v>1571</v>
      </c>
      <c r="AD326" t="s">
        <v>906</v>
      </c>
      <c r="AE326" t="s">
        <v>850</v>
      </c>
      <c r="AF326" t="s">
        <v>906</v>
      </c>
      <c r="AG326" s="1" t="s">
        <v>907</v>
      </c>
      <c r="AH326" t="s">
        <v>714</v>
      </c>
    </row>
    <row r="327" spans="1:34" x14ac:dyDescent="0.3">
      <c r="A327">
        <v>101</v>
      </c>
      <c r="B327" t="s">
        <v>34</v>
      </c>
      <c r="C327">
        <v>2</v>
      </c>
      <c r="D327" s="1" t="s">
        <v>908</v>
      </c>
      <c r="E327" s="1" t="s">
        <v>36</v>
      </c>
      <c r="G327">
        <v>465852</v>
      </c>
      <c r="H327" t="s">
        <v>904</v>
      </c>
      <c r="I327" t="s">
        <v>753</v>
      </c>
      <c r="J327">
        <v>15</v>
      </c>
      <c r="K327">
        <v>4967</v>
      </c>
      <c r="L327">
        <v>50341</v>
      </c>
      <c r="M327" t="s">
        <v>146</v>
      </c>
      <c r="N327">
        <v>32</v>
      </c>
      <c r="O327" s="2">
        <v>46225</v>
      </c>
      <c r="P327" s="2">
        <v>46265</v>
      </c>
      <c r="R327" t="s">
        <v>909</v>
      </c>
      <c r="S327" t="str">
        <f>"00013225"</f>
        <v>00013225</v>
      </c>
      <c r="T327" t="s">
        <v>41</v>
      </c>
      <c r="U327">
        <v>186.97</v>
      </c>
      <c r="V327">
        <v>186.97</v>
      </c>
      <c r="W327">
        <v>186.97</v>
      </c>
      <c r="X327">
        <v>0</v>
      </c>
      <c r="Y327">
        <v>0</v>
      </c>
      <c r="Z327">
        <v>-490</v>
      </c>
      <c r="AA327">
        <v>1571</v>
      </c>
      <c r="AD327" t="s">
        <v>906</v>
      </c>
      <c r="AE327" t="s">
        <v>850</v>
      </c>
      <c r="AF327" t="s">
        <v>906</v>
      </c>
      <c r="AG327" s="1" t="s">
        <v>907</v>
      </c>
      <c r="AH327" t="s">
        <v>714</v>
      </c>
    </row>
    <row r="328" spans="1:34" x14ac:dyDescent="0.3">
      <c r="A328">
        <v>101</v>
      </c>
      <c r="B328" t="s">
        <v>34</v>
      </c>
      <c r="C328">
        <v>2</v>
      </c>
      <c r="D328" s="1" t="s">
        <v>910</v>
      </c>
      <c r="E328" s="1" t="s">
        <v>36</v>
      </c>
      <c r="G328">
        <v>465852</v>
      </c>
      <c r="H328" t="s">
        <v>904</v>
      </c>
      <c r="I328" t="s">
        <v>753</v>
      </c>
      <c r="J328">
        <v>15</v>
      </c>
      <c r="K328">
        <v>4967</v>
      </c>
      <c r="L328">
        <v>50341</v>
      </c>
      <c r="M328" t="s">
        <v>146</v>
      </c>
      <c r="N328">
        <v>32</v>
      </c>
      <c r="O328" s="2">
        <v>46225</v>
      </c>
      <c r="P328" s="2">
        <v>46265</v>
      </c>
      <c r="R328" t="s">
        <v>911</v>
      </c>
      <c r="S328" t="str">
        <f>"00013222"</f>
        <v>00013222</v>
      </c>
      <c r="T328" t="s">
        <v>41</v>
      </c>
      <c r="U328">
        <v>1761.94</v>
      </c>
      <c r="V328">
        <v>1761.94</v>
      </c>
      <c r="W328">
        <v>1761.94</v>
      </c>
      <c r="X328">
        <v>0</v>
      </c>
      <c r="Y328">
        <v>0</v>
      </c>
      <c r="Z328">
        <v>-490</v>
      </c>
      <c r="AA328">
        <v>1400</v>
      </c>
      <c r="AD328" t="s">
        <v>906</v>
      </c>
      <c r="AE328" t="s">
        <v>850</v>
      </c>
      <c r="AF328" t="s">
        <v>906</v>
      </c>
      <c r="AG328" s="1" t="s">
        <v>907</v>
      </c>
      <c r="AH328" t="s">
        <v>714</v>
      </c>
    </row>
    <row r="329" spans="1:34" x14ac:dyDescent="0.3">
      <c r="A329">
        <v>101</v>
      </c>
      <c r="B329" t="s">
        <v>34</v>
      </c>
      <c r="C329">
        <v>2</v>
      </c>
      <c r="D329" s="1" t="s">
        <v>910</v>
      </c>
      <c r="E329" s="1" t="s">
        <v>122</v>
      </c>
      <c r="G329">
        <v>465852</v>
      </c>
      <c r="H329" t="s">
        <v>904</v>
      </c>
      <c r="I329" t="s">
        <v>753</v>
      </c>
      <c r="J329">
        <v>15</v>
      </c>
      <c r="K329">
        <v>4967</v>
      </c>
      <c r="L329">
        <v>50341</v>
      </c>
      <c r="M329" t="s">
        <v>146</v>
      </c>
      <c r="N329">
        <v>32</v>
      </c>
      <c r="O329" s="2">
        <v>46225</v>
      </c>
      <c r="P329" s="2">
        <v>46285</v>
      </c>
      <c r="R329" t="s">
        <v>911</v>
      </c>
      <c r="S329" t="str">
        <f>"00013223"</f>
        <v>00013223</v>
      </c>
      <c r="T329" t="s">
        <v>41</v>
      </c>
      <c r="U329">
        <v>1675.15</v>
      </c>
      <c r="V329">
        <v>1675.15</v>
      </c>
      <c r="W329">
        <v>1675.15</v>
      </c>
      <c r="X329">
        <v>0</v>
      </c>
      <c r="Y329">
        <v>0</v>
      </c>
      <c r="Z329">
        <v>-510</v>
      </c>
      <c r="AA329">
        <v>1400</v>
      </c>
      <c r="AD329" t="s">
        <v>906</v>
      </c>
      <c r="AE329" t="s">
        <v>850</v>
      </c>
      <c r="AF329" t="s">
        <v>906</v>
      </c>
      <c r="AG329" s="1" t="s">
        <v>907</v>
      </c>
      <c r="AH329" t="s">
        <v>714</v>
      </c>
    </row>
    <row r="330" spans="1:34" x14ac:dyDescent="0.3">
      <c r="A330">
        <v>101</v>
      </c>
      <c r="B330" t="s">
        <v>34</v>
      </c>
      <c r="C330">
        <v>2</v>
      </c>
      <c r="D330" s="1" t="s">
        <v>910</v>
      </c>
      <c r="E330" s="1" t="s">
        <v>116</v>
      </c>
      <c r="G330">
        <v>465852</v>
      </c>
      <c r="H330" t="s">
        <v>904</v>
      </c>
      <c r="I330" t="s">
        <v>753</v>
      </c>
      <c r="J330">
        <v>15</v>
      </c>
      <c r="K330">
        <v>4967</v>
      </c>
      <c r="L330">
        <v>50341</v>
      </c>
      <c r="M330" t="s">
        <v>146</v>
      </c>
      <c r="N330">
        <v>32</v>
      </c>
      <c r="O330" s="2">
        <v>46225</v>
      </c>
      <c r="P330" s="2">
        <v>46305</v>
      </c>
      <c r="R330" t="s">
        <v>911</v>
      </c>
      <c r="S330" t="str">
        <f>"00013224"</f>
        <v>00013224</v>
      </c>
      <c r="T330" t="s">
        <v>41</v>
      </c>
      <c r="U330">
        <v>1675.65</v>
      </c>
      <c r="V330">
        <v>1675.65</v>
      </c>
      <c r="W330">
        <v>1675.65</v>
      </c>
      <c r="X330">
        <v>0</v>
      </c>
      <c r="Y330">
        <v>0</v>
      </c>
      <c r="Z330">
        <v>-530</v>
      </c>
      <c r="AA330">
        <v>1400</v>
      </c>
      <c r="AD330" t="s">
        <v>906</v>
      </c>
      <c r="AE330" t="s">
        <v>850</v>
      </c>
      <c r="AF330" t="s">
        <v>906</v>
      </c>
      <c r="AG330" s="1" t="s">
        <v>907</v>
      </c>
      <c r="AH330" t="s">
        <v>714</v>
      </c>
    </row>
    <row r="331" spans="1:34" x14ac:dyDescent="0.3">
      <c r="A331">
        <v>101</v>
      </c>
      <c r="B331" t="s">
        <v>34</v>
      </c>
      <c r="C331">
        <v>2</v>
      </c>
      <c r="D331" s="1" t="s">
        <v>912</v>
      </c>
      <c r="E331" s="1" t="s">
        <v>116</v>
      </c>
      <c r="G331">
        <v>465873</v>
      </c>
      <c r="H331" t="s">
        <v>913</v>
      </c>
      <c r="I331" t="s">
        <v>753</v>
      </c>
      <c r="J331">
        <v>15</v>
      </c>
      <c r="K331">
        <v>4967</v>
      </c>
      <c r="L331">
        <v>50341</v>
      </c>
      <c r="M331" t="s">
        <v>146</v>
      </c>
      <c r="N331">
        <v>32</v>
      </c>
      <c r="O331" s="2">
        <v>46196</v>
      </c>
      <c r="P331" s="2">
        <v>46276</v>
      </c>
      <c r="R331" t="s">
        <v>914</v>
      </c>
      <c r="S331" t="str">
        <f>"00012738"</f>
        <v>00012738</v>
      </c>
      <c r="T331" t="s">
        <v>41</v>
      </c>
      <c r="U331">
        <v>2532.29</v>
      </c>
      <c r="V331">
        <v>2532.29</v>
      </c>
      <c r="W331">
        <v>2532.29</v>
      </c>
      <c r="X331">
        <v>0</v>
      </c>
      <c r="Y331">
        <v>0</v>
      </c>
      <c r="Z331">
        <v>-501</v>
      </c>
      <c r="AA331">
        <v>826</v>
      </c>
      <c r="AD331" t="s">
        <v>915</v>
      </c>
      <c r="AE331" t="s">
        <v>850</v>
      </c>
      <c r="AF331" t="s">
        <v>915</v>
      </c>
      <c r="AG331" s="1" t="s">
        <v>916</v>
      </c>
      <c r="AH331" t="s">
        <v>714</v>
      </c>
    </row>
    <row r="332" spans="1:34" x14ac:dyDescent="0.3">
      <c r="A332">
        <v>101</v>
      </c>
      <c r="B332" t="s">
        <v>34</v>
      </c>
      <c r="C332">
        <v>2</v>
      </c>
      <c r="D332" s="1" t="s">
        <v>917</v>
      </c>
      <c r="E332" s="1" t="s">
        <v>116</v>
      </c>
      <c r="G332">
        <v>465873</v>
      </c>
      <c r="H332" t="s">
        <v>913</v>
      </c>
      <c r="I332" t="s">
        <v>753</v>
      </c>
      <c r="J332">
        <v>15</v>
      </c>
      <c r="K332">
        <v>4967</v>
      </c>
      <c r="L332">
        <v>50341</v>
      </c>
      <c r="M332" t="s">
        <v>146</v>
      </c>
      <c r="N332">
        <v>32</v>
      </c>
      <c r="O332" s="2">
        <v>46225</v>
      </c>
      <c r="P332" s="2">
        <v>46305</v>
      </c>
      <c r="R332" t="s">
        <v>918</v>
      </c>
      <c r="S332" t="str">
        <f>"00013230"</f>
        <v>00013230</v>
      </c>
      <c r="T332" t="s">
        <v>41</v>
      </c>
      <c r="U332">
        <v>5558.32</v>
      </c>
      <c r="V332">
        <v>5558.32</v>
      </c>
      <c r="W332">
        <v>5558.32</v>
      </c>
      <c r="X332">
        <v>0</v>
      </c>
      <c r="Y332">
        <v>0</v>
      </c>
      <c r="Z332">
        <v>-530</v>
      </c>
      <c r="AA332">
        <v>1401</v>
      </c>
      <c r="AD332" t="s">
        <v>915</v>
      </c>
      <c r="AE332" t="s">
        <v>850</v>
      </c>
      <c r="AF332" t="s">
        <v>915</v>
      </c>
      <c r="AG332" s="1" t="s">
        <v>916</v>
      </c>
      <c r="AH332" t="s">
        <v>714</v>
      </c>
    </row>
    <row r="333" spans="1:34" x14ac:dyDescent="0.3">
      <c r="A333">
        <v>101</v>
      </c>
      <c r="B333" t="s">
        <v>34</v>
      </c>
      <c r="C333">
        <v>2</v>
      </c>
      <c r="D333" s="1" t="s">
        <v>912</v>
      </c>
      <c r="E333" s="1" t="s">
        <v>122</v>
      </c>
      <c r="G333">
        <v>465873</v>
      </c>
      <c r="H333" t="s">
        <v>913</v>
      </c>
      <c r="I333" t="s">
        <v>753</v>
      </c>
      <c r="J333">
        <v>15</v>
      </c>
      <c r="K333">
        <v>4967</v>
      </c>
      <c r="L333">
        <v>50341</v>
      </c>
      <c r="M333" t="s">
        <v>146</v>
      </c>
      <c r="N333">
        <v>32</v>
      </c>
      <c r="O333" s="2">
        <v>46196</v>
      </c>
      <c r="P333" s="2">
        <v>46256</v>
      </c>
      <c r="R333" t="s">
        <v>914</v>
      </c>
      <c r="S333" t="str">
        <f>"00012737"</f>
        <v>00012737</v>
      </c>
      <c r="T333" t="s">
        <v>41</v>
      </c>
      <c r="U333">
        <v>2531.5300000000002</v>
      </c>
      <c r="V333">
        <v>2531.5300000000002</v>
      </c>
      <c r="W333">
        <v>2531.5300000000002</v>
      </c>
      <c r="X333">
        <v>0</v>
      </c>
      <c r="Y333">
        <v>0</v>
      </c>
      <c r="Z333">
        <v>-481</v>
      </c>
      <c r="AA333">
        <v>826</v>
      </c>
      <c r="AD333" t="s">
        <v>915</v>
      </c>
      <c r="AE333" t="s">
        <v>850</v>
      </c>
      <c r="AF333" t="s">
        <v>915</v>
      </c>
      <c r="AG333" s="1" t="s">
        <v>916</v>
      </c>
      <c r="AH333" t="s">
        <v>714</v>
      </c>
    </row>
    <row r="334" spans="1:34" x14ac:dyDescent="0.3">
      <c r="A334">
        <v>101</v>
      </c>
      <c r="B334" t="s">
        <v>34</v>
      </c>
      <c r="C334">
        <v>2</v>
      </c>
      <c r="D334" s="1" t="s">
        <v>917</v>
      </c>
      <c r="E334" s="1" t="s">
        <v>122</v>
      </c>
      <c r="G334">
        <v>465873</v>
      </c>
      <c r="H334" t="s">
        <v>913</v>
      </c>
      <c r="I334" t="s">
        <v>753</v>
      </c>
      <c r="J334">
        <v>15</v>
      </c>
      <c r="K334">
        <v>4967</v>
      </c>
      <c r="L334">
        <v>50341</v>
      </c>
      <c r="M334" t="s">
        <v>146</v>
      </c>
      <c r="N334">
        <v>32</v>
      </c>
      <c r="O334" s="2">
        <v>46225</v>
      </c>
      <c r="P334" s="2">
        <v>46285</v>
      </c>
      <c r="R334" t="s">
        <v>918</v>
      </c>
      <c r="S334" t="str">
        <f>"00013229"</f>
        <v>00013229</v>
      </c>
      <c r="T334" t="s">
        <v>41</v>
      </c>
      <c r="U334">
        <v>5556.66</v>
      </c>
      <c r="V334">
        <v>5556.66</v>
      </c>
      <c r="W334">
        <v>5556.66</v>
      </c>
      <c r="X334">
        <v>0</v>
      </c>
      <c r="Y334">
        <v>0</v>
      </c>
      <c r="Z334">
        <v>-510</v>
      </c>
      <c r="AA334">
        <v>1401</v>
      </c>
      <c r="AD334" t="s">
        <v>915</v>
      </c>
      <c r="AE334" t="s">
        <v>850</v>
      </c>
      <c r="AF334" t="s">
        <v>915</v>
      </c>
      <c r="AG334" s="1" t="s">
        <v>916</v>
      </c>
      <c r="AH334" t="s">
        <v>714</v>
      </c>
    </row>
    <row r="335" spans="1:34" x14ac:dyDescent="0.3">
      <c r="A335">
        <v>101</v>
      </c>
      <c r="B335" t="s">
        <v>34</v>
      </c>
      <c r="C335">
        <v>2</v>
      </c>
      <c r="D335" s="1" t="s">
        <v>919</v>
      </c>
      <c r="E335" s="1" t="s">
        <v>116</v>
      </c>
      <c r="G335">
        <v>465873</v>
      </c>
      <c r="H335" t="s">
        <v>913</v>
      </c>
      <c r="I335" t="s">
        <v>753</v>
      </c>
      <c r="J335">
        <v>15</v>
      </c>
      <c r="K335">
        <v>4967</v>
      </c>
      <c r="L335">
        <v>50341</v>
      </c>
      <c r="M335" t="s">
        <v>146</v>
      </c>
      <c r="N335">
        <v>32</v>
      </c>
      <c r="O335" s="2">
        <v>46196</v>
      </c>
      <c r="P335" s="2">
        <v>46276</v>
      </c>
      <c r="R335" t="s">
        <v>920</v>
      </c>
      <c r="S335" t="str">
        <f>"00012741"</f>
        <v>00012741</v>
      </c>
      <c r="T335" t="s">
        <v>41</v>
      </c>
      <c r="U335">
        <v>623.41999999999996</v>
      </c>
      <c r="V335">
        <v>623.41999999999996</v>
      </c>
      <c r="W335">
        <v>623.41999999999996</v>
      </c>
      <c r="X335">
        <v>0</v>
      </c>
      <c r="Y335">
        <v>0</v>
      </c>
      <c r="Z335">
        <v>-501</v>
      </c>
      <c r="AA335">
        <v>845</v>
      </c>
      <c r="AD335" t="s">
        <v>915</v>
      </c>
      <c r="AE335" t="s">
        <v>850</v>
      </c>
      <c r="AF335" t="s">
        <v>915</v>
      </c>
      <c r="AG335" s="1" t="s">
        <v>916</v>
      </c>
      <c r="AH335" t="s">
        <v>714</v>
      </c>
    </row>
    <row r="336" spans="1:34" x14ac:dyDescent="0.3">
      <c r="A336">
        <v>101</v>
      </c>
      <c r="B336" t="s">
        <v>34</v>
      </c>
      <c r="C336">
        <v>2</v>
      </c>
      <c r="D336" s="1" t="s">
        <v>917</v>
      </c>
      <c r="E336" s="1" t="s">
        <v>36</v>
      </c>
      <c r="G336">
        <v>465873</v>
      </c>
      <c r="H336" t="s">
        <v>913</v>
      </c>
      <c r="I336" t="s">
        <v>753</v>
      </c>
      <c r="J336">
        <v>15</v>
      </c>
      <c r="K336">
        <v>4967</v>
      </c>
      <c r="L336">
        <v>50341</v>
      </c>
      <c r="M336" t="s">
        <v>146</v>
      </c>
      <c r="N336">
        <v>32</v>
      </c>
      <c r="O336" s="2">
        <v>46225</v>
      </c>
      <c r="P336" s="2">
        <v>46265</v>
      </c>
      <c r="R336" t="s">
        <v>918</v>
      </c>
      <c r="S336" t="str">
        <f>"00013228"</f>
        <v>00013228</v>
      </c>
      <c r="T336" t="s">
        <v>41</v>
      </c>
      <c r="U336">
        <v>6057.61</v>
      </c>
      <c r="V336">
        <v>6057.61</v>
      </c>
      <c r="W336">
        <v>6057.61</v>
      </c>
      <c r="X336">
        <v>0</v>
      </c>
      <c r="Y336">
        <v>0</v>
      </c>
      <c r="Z336">
        <v>-490</v>
      </c>
      <c r="AA336">
        <v>1401</v>
      </c>
      <c r="AD336" t="s">
        <v>915</v>
      </c>
      <c r="AE336" t="s">
        <v>850</v>
      </c>
      <c r="AF336" t="s">
        <v>915</v>
      </c>
      <c r="AG336" s="1" t="s">
        <v>916</v>
      </c>
      <c r="AH336" t="s">
        <v>714</v>
      </c>
    </row>
    <row r="337" spans="1:34" x14ac:dyDescent="0.3">
      <c r="A337">
        <v>101</v>
      </c>
      <c r="B337" t="s">
        <v>34</v>
      </c>
      <c r="C337">
        <v>2</v>
      </c>
      <c r="D337" s="1" t="s">
        <v>919</v>
      </c>
      <c r="E337" s="1" t="s">
        <v>122</v>
      </c>
      <c r="G337">
        <v>465873</v>
      </c>
      <c r="H337" t="s">
        <v>913</v>
      </c>
      <c r="I337" t="s">
        <v>753</v>
      </c>
      <c r="J337">
        <v>15</v>
      </c>
      <c r="K337">
        <v>4967</v>
      </c>
      <c r="L337">
        <v>50341</v>
      </c>
      <c r="M337" t="s">
        <v>146</v>
      </c>
      <c r="N337">
        <v>32</v>
      </c>
      <c r="O337" s="2">
        <v>46196</v>
      </c>
      <c r="P337" s="2">
        <v>46256</v>
      </c>
      <c r="R337" t="s">
        <v>920</v>
      </c>
      <c r="S337" t="str">
        <f>"00012740"</f>
        <v>00012740</v>
      </c>
      <c r="T337" t="s">
        <v>41</v>
      </c>
      <c r="U337">
        <v>623.24</v>
      </c>
      <c r="V337">
        <v>623.24</v>
      </c>
      <c r="W337">
        <v>623.24</v>
      </c>
      <c r="X337">
        <v>0</v>
      </c>
      <c r="Y337">
        <v>0</v>
      </c>
      <c r="Z337">
        <v>-481</v>
      </c>
      <c r="AA337">
        <v>845</v>
      </c>
      <c r="AD337" t="s">
        <v>915</v>
      </c>
      <c r="AE337" t="s">
        <v>850</v>
      </c>
      <c r="AF337" t="s">
        <v>915</v>
      </c>
      <c r="AG337" s="1" t="s">
        <v>916</v>
      </c>
      <c r="AH337" t="s">
        <v>714</v>
      </c>
    </row>
    <row r="338" spans="1:34" x14ac:dyDescent="0.3">
      <c r="A338">
        <v>101</v>
      </c>
      <c r="B338" t="s">
        <v>34</v>
      </c>
      <c r="C338">
        <v>2</v>
      </c>
      <c r="D338" s="1" t="s">
        <v>921</v>
      </c>
      <c r="E338" s="1" t="s">
        <v>116</v>
      </c>
      <c r="G338">
        <v>465873</v>
      </c>
      <c r="H338" t="s">
        <v>913</v>
      </c>
      <c r="I338" t="s">
        <v>753</v>
      </c>
      <c r="J338">
        <v>15</v>
      </c>
      <c r="K338">
        <v>4967</v>
      </c>
      <c r="L338">
        <v>50341</v>
      </c>
      <c r="M338" t="s">
        <v>146</v>
      </c>
      <c r="N338">
        <v>32</v>
      </c>
      <c r="O338" s="2">
        <v>46167</v>
      </c>
      <c r="P338" s="2">
        <v>46261</v>
      </c>
      <c r="R338" t="s">
        <v>922</v>
      </c>
      <c r="S338" t="str">
        <f>"00012266"</f>
        <v>00012266</v>
      </c>
      <c r="T338" t="s">
        <v>41</v>
      </c>
      <c r="U338">
        <v>5774.82</v>
      </c>
      <c r="V338">
        <v>5774.82</v>
      </c>
      <c r="W338">
        <v>5774.82</v>
      </c>
      <c r="X338">
        <v>0</v>
      </c>
      <c r="Y338">
        <v>0</v>
      </c>
      <c r="Z338">
        <v>-486</v>
      </c>
      <c r="AA338">
        <v>600</v>
      </c>
      <c r="AD338" t="s">
        <v>915</v>
      </c>
      <c r="AE338" t="s">
        <v>850</v>
      </c>
      <c r="AF338" t="s">
        <v>915</v>
      </c>
      <c r="AG338" s="1" t="s">
        <v>916</v>
      </c>
      <c r="AH338" t="s">
        <v>714</v>
      </c>
    </row>
    <row r="339" spans="1:34" x14ac:dyDescent="0.3">
      <c r="A339">
        <v>101</v>
      </c>
      <c r="B339" t="s">
        <v>34</v>
      </c>
      <c r="C339">
        <v>2</v>
      </c>
      <c r="D339" s="1" t="s">
        <v>923</v>
      </c>
      <c r="E339" s="1" t="s">
        <v>116</v>
      </c>
      <c r="G339">
        <v>465874</v>
      </c>
      <c r="H339" t="s">
        <v>924</v>
      </c>
      <c r="I339" t="s">
        <v>753</v>
      </c>
      <c r="J339">
        <v>15</v>
      </c>
      <c r="K339">
        <v>4967</v>
      </c>
      <c r="L339">
        <v>50341</v>
      </c>
      <c r="M339" t="s">
        <v>146</v>
      </c>
      <c r="N339">
        <v>32</v>
      </c>
      <c r="O339" s="2">
        <v>46196</v>
      </c>
      <c r="P339" s="2">
        <v>46276</v>
      </c>
      <c r="R339" t="s">
        <v>925</v>
      </c>
      <c r="S339" t="str">
        <f>"00012744"</f>
        <v>00012744</v>
      </c>
      <c r="T339" t="s">
        <v>41</v>
      </c>
      <c r="U339">
        <v>2519.9899999999998</v>
      </c>
      <c r="V339">
        <v>2519.9899999999998</v>
      </c>
      <c r="W339">
        <v>2519.9899999999998</v>
      </c>
      <c r="X339">
        <v>0</v>
      </c>
      <c r="Y339">
        <v>0</v>
      </c>
      <c r="Z339">
        <v>-501</v>
      </c>
      <c r="AA339">
        <v>827</v>
      </c>
      <c r="AD339" t="s">
        <v>926</v>
      </c>
      <c r="AE339" t="s">
        <v>850</v>
      </c>
      <c r="AF339" t="s">
        <v>926</v>
      </c>
      <c r="AG339" s="1" t="s">
        <v>927</v>
      </c>
      <c r="AH339" t="s">
        <v>714</v>
      </c>
    </row>
    <row r="340" spans="1:34" x14ac:dyDescent="0.3">
      <c r="A340">
        <v>101</v>
      </c>
      <c r="B340" t="s">
        <v>34</v>
      </c>
      <c r="C340">
        <v>2</v>
      </c>
      <c r="D340" s="1" t="s">
        <v>928</v>
      </c>
      <c r="E340" s="1" t="s">
        <v>122</v>
      </c>
      <c r="G340">
        <v>465874</v>
      </c>
      <c r="H340" t="s">
        <v>924</v>
      </c>
      <c r="I340" t="s">
        <v>753</v>
      </c>
      <c r="J340">
        <v>15</v>
      </c>
      <c r="K340">
        <v>4967</v>
      </c>
      <c r="L340">
        <v>50341</v>
      </c>
      <c r="M340" t="s">
        <v>146</v>
      </c>
      <c r="N340">
        <v>32</v>
      </c>
      <c r="O340" s="2">
        <v>46225</v>
      </c>
      <c r="P340" s="2">
        <v>46285</v>
      </c>
      <c r="R340" t="s">
        <v>929</v>
      </c>
      <c r="S340" t="str">
        <f>"00013232"</f>
        <v>00013232</v>
      </c>
      <c r="T340" t="s">
        <v>41</v>
      </c>
      <c r="U340">
        <v>2075.1</v>
      </c>
      <c r="V340">
        <v>2075.1</v>
      </c>
      <c r="W340">
        <v>2075.1</v>
      </c>
      <c r="X340">
        <v>0</v>
      </c>
      <c r="Y340">
        <v>0</v>
      </c>
      <c r="Z340">
        <v>-510</v>
      </c>
      <c r="AA340">
        <v>1402</v>
      </c>
      <c r="AD340" t="s">
        <v>926</v>
      </c>
      <c r="AE340" t="s">
        <v>850</v>
      </c>
      <c r="AF340" t="s">
        <v>926</v>
      </c>
      <c r="AG340" s="1" t="s">
        <v>927</v>
      </c>
      <c r="AH340" t="s">
        <v>714</v>
      </c>
    </row>
    <row r="341" spans="1:34" x14ac:dyDescent="0.3">
      <c r="A341">
        <v>101</v>
      </c>
      <c r="B341" t="s">
        <v>34</v>
      </c>
      <c r="C341">
        <v>2</v>
      </c>
      <c r="D341" s="1" t="s">
        <v>923</v>
      </c>
      <c r="E341" s="1" t="s">
        <v>122</v>
      </c>
      <c r="G341">
        <v>465874</v>
      </c>
      <c r="H341" t="s">
        <v>924</v>
      </c>
      <c r="I341" t="s">
        <v>753</v>
      </c>
      <c r="J341">
        <v>15</v>
      </c>
      <c r="K341">
        <v>4967</v>
      </c>
      <c r="L341">
        <v>50341</v>
      </c>
      <c r="M341" t="s">
        <v>146</v>
      </c>
      <c r="N341">
        <v>32</v>
      </c>
      <c r="O341" s="2">
        <v>46196</v>
      </c>
      <c r="P341" s="2">
        <v>46256</v>
      </c>
      <c r="R341" t="s">
        <v>925</v>
      </c>
      <c r="S341" t="str">
        <f>"00012743"</f>
        <v>00012743</v>
      </c>
      <c r="T341" t="s">
        <v>41</v>
      </c>
      <c r="U341">
        <v>2519.2199999999998</v>
      </c>
      <c r="V341">
        <v>2519.2199999999998</v>
      </c>
      <c r="W341">
        <v>2519.2199999999998</v>
      </c>
      <c r="X341">
        <v>0</v>
      </c>
      <c r="Y341">
        <v>0</v>
      </c>
      <c r="Z341">
        <v>-481</v>
      </c>
      <c r="AA341">
        <v>827</v>
      </c>
      <c r="AD341" t="s">
        <v>926</v>
      </c>
      <c r="AE341" t="s">
        <v>850</v>
      </c>
      <c r="AF341" t="s">
        <v>926</v>
      </c>
      <c r="AG341" s="1" t="s">
        <v>927</v>
      </c>
      <c r="AH341" t="s">
        <v>714</v>
      </c>
    </row>
    <row r="342" spans="1:34" x14ac:dyDescent="0.3">
      <c r="A342">
        <v>101</v>
      </c>
      <c r="B342" t="s">
        <v>34</v>
      </c>
      <c r="C342">
        <v>2</v>
      </c>
      <c r="D342" s="1" t="s">
        <v>928</v>
      </c>
      <c r="E342" s="1" t="s">
        <v>36</v>
      </c>
      <c r="G342">
        <v>465874</v>
      </c>
      <c r="H342" t="s">
        <v>924</v>
      </c>
      <c r="I342" t="s">
        <v>753</v>
      </c>
      <c r="J342">
        <v>15</v>
      </c>
      <c r="K342">
        <v>4967</v>
      </c>
      <c r="L342">
        <v>50341</v>
      </c>
      <c r="M342" t="s">
        <v>146</v>
      </c>
      <c r="N342">
        <v>32</v>
      </c>
      <c r="O342" s="2">
        <v>46225</v>
      </c>
      <c r="P342" s="2">
        <v>46265</v>
      </c>
      <c r="R342" t="s">
        <v>929</v>
      </c>
      <c r="S342" t="str">
        <f>"00013231"</f>
        <v>00013231</v>
      </c>
      <c r="T342" t="s">
        <v>41</v>
      </c>
      <c r="U342">
        <v>2247.1</v>
      </c>
      <c r="V342">
        <v>2247.1</v>
      </c>
      <c r="W342">
        <v>2247.1</v>
      </c>
      <c r="X342">
        <v>0</v>
      </c>
      <c r="Y342">
        <v>0</v>
      </c>
      <c r="Z342">
        <v>-490</v>
      </c>
      <c r="AA342">
        <v>1402</v>
      </c>
      <c r="AD342" t="s">
        <v>926</v>
      </c>
      <c r="AE342" t="s">
        <v>850</v>
      </c>
      <c r="AF342" t="s">
        <v>926</v>
      </c>
      <c r="AG342" s="1" t="s">
        <v>927</v>
      </c>
      <c r="AH342" t="s">
        <v>714</v>
      </c>
    </row>
    <row r="343" spans="1:34" x14ac:dyDescent="0.3">
      <c r="A343">
        <v>101</v>
      </c>
      <c r="B343" t="s">
        <v>34</v>
      </c>
      <c r="C343">
        <v>2</v>
      </c>
      <c r="D343" s="1" t="s">
        <v>930</v>
      </c>
      <c r="E343" s="1" t="s">
        <v>116</v>
      </c>
      <c r="G343">
        <v>465874</v>
      </c>
      <c r="H343" t="s">
        <v>924</v>
      </c>
      <c r="I343" t="s">
        <v>753</v>
      </c>
      <c r="J343">
        <v>15</v>
      </c>
      <c r="K343">
        <v>4967</v>
      </c>
      <c r="L343">
        <v>50341</v>
      </c>
      <c r="M343" t="s">
        <v>146</v>
      </c>
      <c r="N343">
        <v>32</v>
      </c>
      <c r="O343" s="2">
        <v>46196</v>
      </c>
      <c r="P343" s="2">
        <v>46276</v>
      </c>
      <c r="R343" t="s">
        <v>931</v>
      </c>
      <c r="S343" t="str">
        <f>"00012747"</f>
        <v>00012747</v>
      </c>
      <c r="T343" t="s">
        <v>41</v>
      </c>
      <c r="U343">
        <v>249.36</v>
      </c>
      <c r="V343">
        <v>249.36</v>
      </c>
      <c r="W343">
        <v>249.36</v>
      </c>
      <c r="X343">
        <v>0</v>
      </c>
      <c r="Y343">
        <v>0</v>
      </c>
      <c r="Z343">
        <v>-501</v>
      </c>
      <c r="AA343">
        <v>846</v>
      </c>
      <c r="AD343" t="s">
        <v>926</v>
      </c>
      <c r="AE343" t="s">
        <v>850</v>
      </c>
      <c r="AF343" t="s">
        <v>926</v>
      </c>
      <c r="AG343" s="1" t="s">
        <v>927</v>
      </c>
      <c r="AH343" t="s">
        <v>714</v>
      </c>
    </row>
    <row r="344" spans="1:34" x14ac:dyDescent="0.3">
      <c r="A344">
        <v>101</v>
      </c>
      <c r="B344" t="s">
        <v>34</v>
      </c>
      <c r="C344">
        <v>2</v>
      </c>
      <c r="D344" s="1" t="s">
        <v>928</v>
      </c>
      <c r="E344" s="1" t="s">
        <v>116</v>
      </c>
      <c r="G344">
        <v>465874</v>
      </c>
      <c r="H344" t="s">
        <v>924</v>
      </c>
      <c r="I344" t="s">
        <v>753</v>
      </c>
      <c r="J344">
        <v>15</v>
      </c>
      <c r="K344">
        <v>4967</v>
      </c>
      <c r="L344">
        <v>50341</v>
      </c>
      <c r="M344" t="s">
        <v>146</v>
      </c>
      <c r="N344">
        <v>32</v>
      </c>
      <c r="O344" s="2">
        <v>46225</v>
      </c>
      <c r="P344" s="2">
        <v>46305</v>
      </c>
      <c r="R344" t="s">
        <v>929</v>
      </c>
      <c r="S344" t="str">
        <f>"00013233"</f>
        <v>00013233</v>
      </c>
      <c r="T344" t="s">
        <v>41</v>
      </c>
      <c r="U344">
        <v>2075.71</v>
      </c>
      <c r="V344">
        <v>2075.71</v>
      </c>
      <c r="W344">
        <v>2075.71</v>
      </c>
      <c r="X344">
        <v>0</v>
      </c>
      <c r="Y344">
        <v>0</v>
      </c>
      <c r="Z344">
        <v>-530</v>
      </c>
      <c r="AA344">
        <v>1402</v>
      </c>
      <c r="AD344" t="s">
        <v>926</v>
      </c>
      <c r="AE344" t="s">
        <v>850</v>
      </c>
      <c r="AF344" t="s">
        <v>926</v>
      </c>
      <c r="AG344" s="1" t="s">
        <v>927</v>
      </c>
      <c r="AH344" t="s">
        <v>714</v>
      </c>
    </row>
    <row r="345" spans="1:34" x14ac:dyDescent="0.3">
      <c r="A345">
        <v>101</v>
      </c>
      <c r="B345" t="s">
        <v>34</v>
      </c>
      <c r="C345">
        <v>2</v>
      </c>
      <c r="D345" s="1" t="s">
        <v>930</v>
      </c>
      <c r="E345" s="1" t="s">
        <v>122</v>
      </c>
      <c r="G345">
        <v>465874</v>
      </c>
      <c r="H345" t="s">
        <v>924</v>
      </c>
      <c r="I345" t="s">
        <v>753</v>
      </c>
      <c r="J345">
        <v>15</v>
      </c>
      <c r="K345">
        <v>4967</v>
      </c>
      <c r="L345">
        <v>50341</v>
      </c>
      <c r="M345" t="s">
        <v>146</v>
      </c>
      <c r="N345">
        <v>32</v>
      </c>
      <c r="O345" s="2">
        <v>46196</v>
      </c>
      <c r="P345" s="2">
        <v>46256</v>
      </c>
      <c r="R345" t="s">
        <v>931</v>
      </c>
      <c r="S345" t="str">
        <f>"00012746"</f>
        <v>00012746</v>
      </c>
      <c r="T345" t="s">
        <v>41</v>
      </c>
      <c r="U345">
        <v>249.3</v>
      </c>
      <c r="V345">
        <v>249.3</v>
      </c>
      <c r="W345">
        <v>249.3</v>
      </c>
      <c r="X345">
        <v>0</v>
      </c>
      <c r="Y345">
        <v>0</v>
      </c>
      <c r="Z345">
        <v>-481</v>
      </c>
      <c r="AA345">
        <v>846</v>
      </c>
      <c r="AD345" t="s">
        <v>926</v>
      </c>
      <c r="AE345" t="s">
        <v>850</v>
      </c>
      <c r="AF345" t="s">
        <v>926</v>
      </c>
      <c r="AG345" s="1" t="s">
        <v>927</v>
      </c>
      <c r="AH345" t="s">
        <v>714</v>
      </c>
    </row>
    <row r="346" spans="1:34" x14ac:dyDescent="0.3">
      <c r="A346">
        <v>101</v>
      </c>
      <c r="B346" t="s">
        <v>34</v>
      </c>
      <c r="C346">
        <v>2</v>
      </c>
      <c r="D346" s="1" t="s">
        <v>932</v>
      </c>
      <c r="E346" s="1" t="s">
        <v>122</v>
      </c>
      <c r="G346">
        <v>465874</v>
      </c>
      <c r="H346" t="s">
        <v>924</v>
      </c>
      <c r="I346" t="s">
        <v>753</v>
      </c>
      <c r="J346">
        <v>15</v>
      </c>
      <c r="K346">
        <v>4967</v>
      </c>
      <c r="L346">
        <v>50341</v>
      </c>
      <c r="M346" t="s">
        <v>146</v>
      </c>
      <c r="N346">
        <v>32</v>
      </c>
      <c r="O346" s="2">
        <v>46226</v>
      </c>
      <c r="P346" s="2">
        <v>46286</v>
      </c>
      <c r="R346" t="s">
        <v>933</v>
      </c>
      <c r="S346" t="str">
        <f>"00013294"</f>
        <v>00013294</v>
      </c>
      <c r="T346" t="s">
        <v>41</v>
      </c>
      <c r="U346">
        <v>124.65</v>
      </c>
      <c r="V346">
        <v>124.65</v>
      </c>
      <c r="W346">
        <v>124.65</v>
      </c>
      <c r="X346">
        <v>0</v>
      </c>
      <c r="Y346">
        <v>0</v>
      </c>
      <c r="Z346">
        <v>-511</v>
      </c>
      <c r="AA346">
        <v>1572</v>
      </c>
      <c r="AD346" t="s">
        <v>926</v>
      </c>
      <c r="AE346" t="s">
        <v>850</v>
      </c>
      <c r="AF346" t="s">
        <v>926</v>
      </c>
      <c r="AG346" s="1" t="s">
        <v>927</v>
      </c>
      <c r="AH346" t="s">
        <v>714</v>
      </c>
    </row>
    <row r="347" spans="1:34" x14ac:dyDescent="0.3">
      <c r="A347">
        <v>101</v>
      </c>
      <c r="B347" t="s">
        <v>34</v>
      </c>
      <c r="C347">
        <v>2</v>
      </c>
      <c r="D347" s="1" t="s">
        <v>932</v>
      </c>
      <c r="E347" s="1" t="s">
        <v>116</v>
      </c>
      <c r="G347">
        <v>465874</v>
      </c>
      <c r="H347" t="s">
        <v>924</v>
      </c>
      <c r="I347" t="s">
        <v>753</v>
      </c>
      <c r="J347">
        <v>15</v>
      </c>
      <c r="K347">
        <v>4967</v>
      </c>
      <c r="L347">
        <v>50341</v>
      </c>
      <c r="M347" t="s">
        <v>146</v>
      </c>
      <c r="N347">
        <v>32</v>
      </c>
      <c r="O347" s="2">
        <v>46226</v>
      </c>
      <c r="P347" s="2">
        <v>46306</v>
      </c>
      <c r="R347" t="s">
        <v>933</v>
      </c>
      <c r="S347" t="str">
        <f>"00013295"</f>
        <v>00013295</v>
      </c>
      <c r="T347" t="s">
        <v>41</v>
      </c>
      <c r="U347">
        <v>124.68</v>
      </c>
      <c r="V347">
        <v>124.68</v>
      </c>
      <c r="W347">
        <v>124.68</v>
      </c>
      <c r="X347">
        <v>0</v>
      </c>
      <c r="Y347">
        <v>0</v>
      </c>
      <c r="Z347">
        <v>-531</v>
      </c>
      <c r="AA347">
        <v>1572</v>
      </c>
      <c r="AD347" t="s">
        <v>926</v>
      </c>
      <c r="AE347" t="s">
        <v>850</v>
      </c>
      <c r="AF347" t="s">
        <v>926</v>
      </c>
      <c r="AG347" s="1" t="s">
        <v>927</v>
      </c>
      <c r="AH347" t="s">
        <v>714</v>
      </c>
    </row>
    <row r="348" spans="1:34" x14ac:dyDescent="0.3">
      <c r="A348">
        <v>101</v>
      </c>
      <c r="B348" t="s">
        <v>34</v>
      </c>
      <c r="C348">
        <v>2</v>
      </c>
      <c r="D348" s="1" t="s">
        <v>932</v>
      </c>
      <c r="E348" s="1" t="s">
        <v>36</v>
      </c>
      <c r="G348">
        <v>465874</v>
      </c>
      <c r="H348" t="s">
        <v>924</v>
      </c>
      <c r="I348" t="s">
        <v>753</v>
      </c>
      <c r="J348">
        <v>15</v>
      </c>
      <c r="K348">
        <v>4967</v>
      </c>
      <c r="L348">
        <v>50341</v>
      </c>
      <c r="M348" t="s">
        <v>146</v>
      </c>
      <c r="N348">
        <v>32</v>
      </c>
      <c r="O348" s="2">
        <v>46226</v>
      </c>
      <c r="P348" s="2">
        <v>46266</v>
      </c>
      <c r="R348" t="s">
        <v>933</v>
      </c>
      <c r="S348" t="str">
        <f>"00013293"</f>
        <v>00013293</v>
      </c>
      <c r="T348" t="s">
        <v>41</v>
      </c>
      <c r="U348">
        <v>124.65</v>
      </c>
      <c r="V348">
        <v>124.65</v>
      </c>
      <c r="W348">
        <v>124.65</v>
      </c>
      <c r="X348">
        <v>0</v>
      </c>
      <c r="Y348">
        <v>0</v>
      </c>
      <c r="Z348">
        <v>-491</v>
      </c>
      <c r="AA348">
        <v>1572</v>
      </c>
      <c r="AD348" t="s">
        <v>926</v>
      </c>
      <c r="AE348" t="s">
        <v>850</v>
      </c>
      <c r="AF348" t="s">
        <v>926</v>
      </c>
      <c r="AG348" s="1" t="s">
        <v>927</v>
      </c>
      <c r="AH348" t="s">
        <v>714</v>
      </c>
    </row>
    <row r="349" spans="1:34" x14ac:dyDescent="0.3">
      <c r="A349">
        <v>101</v>
      </c>
      <c r="B349" t="s">
        <v>34</v>
      </c>
      <c r="C349">
        <v>2</v>
      </c>
      <c r="D349" s="1" t="s">
        <v>934</v>
      </c>
      <c r="E349" s="1" t="s">
        <v>116</v>
      </c>
      <c r="G349">
        <v>465875</v>
      </c>
      <c r="H349" t="s">
        <v>935</v>
      </c>
      <c r="I349" t="s">
        <v>753</v>
      </c>
      <c r="J349">
        <v>15</v>
      </c>
      <c r="K349">
        <v>4967</v>
      </c>
      <c r="L349">
        <v>50341</v>
      </c>
      <c r="M349" t="s">
        <v>146</v>
      </c>
      <c r="N349">
        <v>32</v>
      </c>
      <c r="O349" s="2">
        <v>46196</v>
      </c>
      <c r="P349" s="2">
        <v>46276</v>
      </c>
      <c r="R349" t="s">
        <v>936</v>
      </c>
      <c r="S349" t="str">
        <f>"00012750"</f>
        <v>00012750</v>
      </c>
      <c r="T349" t="s">
        <v>41</v>
      </c>
      <c r="U349">
        <v>570.37</v>
      </c>
      <c r="V349">
        <v>570.37</v>
      </c>
      <c r="W349">
        <v>570.37</v>
      </c>
      <c r="X349">
        <v>0</v>
      </c>
      <c r="Y349">
        <v>0</v>
      </c>
      <c r="Z349">
        <v>-501</v>
      </c>
      <c r="AA349">
        <v>828</v>
      </c>
      <c r="AD349" t="s">
        <v>937</v>
      </c>
      <c r="AE349" t="s">
        <v>850</v>
      </c>
      <c r="AF349" t="s">
        <v>937</v>
      </c>
      <c r="AG349" s="1" t="s">
        <v>938</v>
      </c>
      <c r="AH349" t="s">
        <v>714</v>
      </c>
    </row>
    <row r="350" spans="1:34" x14ac:dyDescent="0.3">
      <c r="A350">
        <v>101</v>
      </c>
      <c r="B350" t="s">
        <v>34</v>
      </c>
      <c r="C350">
        <v>2</v>
      </c>
      <c r="D350" s="1" t="s">
        <v>934</v>
      </c>
      <c r="E350" s="1" t="s">
        <v>122</v>
      </c>
      <c r="G350">
        <v>465875</v>
      </c>
      <c r="H350" t="s">
        <v>935</v>
      </c>
      <c r="I350" t="s">
        <v>753</v>
      </c>
      <c r="J350">
        <v>15</v>
      </c>
      <c r="K350">
        <v>4967</v>
      </c>
      <c r="L350">
        <v>50341</v>
      </c>
      <c r="M350" t="s">
        <v>146</v>
      </c>
      <c r="N350">
        <v>32</v>
      </c>
      <c r="O350" s="2">
        <v>46196</v>
      </c>
      <c r="P350" s="2">
        <v>46256</v>
      </c>
      <c r="R350" t="s">
        <v>936</v>
      </c>
      <c r="S350" t="str">
        <f>"00012749"</f>
        <v>00012749</v>
      </c>
      <c r="T350" t="s">
        <v>41</v>
      </c>
      <c r="U350">
        <v>570.20000000000005</v>
      </c>
      <c r="V350">
        <v>570.20000000000005</v>
      </c>
      <c r="W350">
        <v>570.20000000000005</v>
      </c>
      <c r="X350">
        <v>0</v>
      </c>
      <c r="Y350">
        <v>0</v>
      </c>
      <c r="Z350">
        <v>-481</v>
      </c>
      <c r="AA350">
        <v>828</v>
      </c>
      <c r="AD350" t="s">
        <v>937</v>
      </c>
      <c r="AE350" t="s">
        <v>850</v>
      </c>
      <c r="AF350" t="s">
        <v>937</v>
      </c>
      <c r="AG350" s="1" t="s">
        <v>938</v>
      </c>
      <c r="AH350" t="s">
        <v>714</v>
      </c>
    </row>
    <row r="351" spans="1:34" x14ac:dyDescent="0.3">
      <c r="A351">
        <v>101</v>
      </c>
      <c r="B351" t="s">
        <v>34</v>
      </c>
      <c r="C351">
        <v>2</v>
      </c>
      <c r="D351" s="1" t="s">
        <v>939</v>
      </c>
      <c r="E351" s="1" t="s">
        <v>116</v>
      </c>
      <c r="G351">
        <v>465875</v>
      </c>
      <c r="H351" t="s">
        <v>935</v>
      </c>
      <c r="I351" t="s">
        <v>753</v>
      </c>
      <c r="J351">
        <v>15</v>
      </c>
      <c r="K351">
        <v>4967</v>
      </c>
      <c r="L351">
        <v>50341</v>
      </c>
      <c r="M351" t="s">
        <v>146</v>
      </c>
      <c r="N351">
        <v>32</v>
      </c>
      <c r="O351" s="2">
        <v>46196</v>
      </c>
      <c r="P351" s="2">
        <v>46276</v>
      </c>
      <c r="R351" t="s">
        <v>940</v>
      </c>
      <c r="S351" t="str">
        <f>"00012753"</f>
        <v>00012753</v>
      </c>
      <c r="T351" t="s">
        <v>41</v>
      </c>
      <c r="U351">
        <v>498.74</v>
      </c>
      <c r="V351">
        <v>498.74</v>
      </c>
      <c r="W351">
        <v>498.74</v>
      </c>
      <c r="X351">
        <v>0</v>
      </c>
      <c r="Y351">
        <v>0</v>
      </c>
      <c r="Z351">
        <v>-501</v>
      </c>
      <c r="AA351">
        <v>847</v>
      </c>
      <c r="AD351" t="s">
        <v>937</v>
      </c>
      <c r="AE351" t="s">
        <v>850</v>
      </c>
      <c r="AF351" t="s">
        <v>937</v>
      </c>
      <c r="AG351" s="1" t="s">
        <v>938</v>
      </c>
      <c r="AH351" t="s">
        <v>714</v>
      </c>
    </row>
    <row r="352" spans="1:34" x14ac:dyDescent="0.3">
      <c r="A352">
        <v>101</v>
      </c>
      <c r="B352" t="s">
        <v>34</v>
      </c>
      <c r="C352">
        <v>2</v>
      </c>
      <c r="D352" s="1" t="s">
        <v>939</v>
      </c>
      <c r="E352" s="1" t="s">
        <v>122</v>
      </c>
      <c r="G352">
        <v>465875</v>
      </c>
      <c r="H352" t="s">
        <v>935</v>
      </c>
      <c r="I352" t="s">
        <v>753</v>
      </c>
      <c r="J352">
        <v>15</v>
      </c>
      <c r="K352">
        <v>4967</v>
      </c>
      <c r="L352">
        <v>50341</v>
      </c>
      <c r="M352" t="s">
        <v>146</v>
      </c>
      <c r="N352">
        <v>32</v>
      </c>
      <c r="O352" s="2">
        <v>46196</v>
      </c>
      <c r="P352" s="2">
        <v>46256</v>
      </c>
      <c r="R352" t="s">
        <v>940</v>
      </c>
      <c r="S352" t="str">
        <f>"00012752"</f>
        <v>00012752</v>
      </c>
      <c r="T352" t="s">
        <v>41</v>
      </c>
      <c r="U352">
        <v>498.59</v>
      </c>
      <c r="V352">
        <v>498.59</v>
      </c>
      <c r="W352">
        <v>498.59</v>
      </c>
      <c r="X352">
        <v>0</v>
      </c>
      <c r="Y352">
        <v>0</v>
      </c>
      <c r="Z352">
        <v>-481</v>
      </c>
      <c r="AA352">
        <v>847</v>
      </c>
      <c r="AD352" t="s">
        <v>937</v>
      </c>
      <c r="AE352" t="s">
        <v>850</v>
      </c>
      <c r="AF352" t="s">
        <v>937</v>
      </c>
      <c r="AG352" s="1" t="s">
        <v>938</v>
      </c>
      <c r="AH352" t="s">
        <v>714</v>
      </c>
    </row>
    <row r="353" spans="1:34" x14ac:dyDescent="0.3">
      <c r="A353">
        <v>101</v>
      </c>
      <c r="B353" t="s">
        <v>34</v>
      </c>
      <c r="C353">
        <v>2</v>
      </c>
      <c r="D353" s="1" t="s">
        <v>941</v>
      </c>
      <c r="E353" s="1" t="s">
        <v>116</v>
      </c>
      <c r="G353">
        <v>465875</v>
      </c>
      <c r="H353" t="s">
        <v>935</v>
      </c>
      <c r="I353" t="s">
        <v>753</v>
      </c>
      <c r="J353">
        <v>15</v>
      </c>
      <c r="K353">
        <v>4967</v>
      </c>
      <c r="L353">
        <v>50341</v>
      </c>
      <c r="M353" t="s">
        <v>146</v>
      </c>
      <c r="N353">
        <v>32</v>
      </c>
      <c r="O353" s="2">
        <v>46225</v>
      </c>
      <c r="P353" s="2">
        <v>46305</v>
      </c>
      <c r="R353" t="s">
        <v>942</v>
      </c>
      <c r="S353" t="str">
        <f>"00013236"</f>
        <v>00013236</v>
      </c>
      <c r="T353" t="s">
        <v>41</v>
      </c>
      <c r="U353">
        <v>2103.4</v>
      </c>
      <c r="V353">
        <v>2103.4</v>
      </c>
      <c r="W353">
        <v>2103.4</v>
      </c>
      <c r="X353">
        <v>0</v>
      </c>
      <c r="Y353">
        <v>0</v>
      </c>
      <c r="Z353">
        <v>-530</v>
      </c>
      <c r="AA353">
        <v>1403</v>
      </c>
      <c r="AD353" t="s">
        <v>937</v>
      </c>
      <c r="AE353" t="s">
        <v>850</v>
      </c>
      <c r="AF353" t="s">
        <v>937</v>
      </c>
      <c r="AG353" s="1" t="s">
        <v>938</v>
      </c>
      <c r="AH353" t="s">
        <v>714</v>
      </c>
    </row>
    <row r="354" spans="1:34" x14ac:dyDescent="0.3">
      <c r="A354">
        <v>101</v>
      </c>
      <c r="B354" t="s">
        <v>34</v>
      </c>
      <c r="C354">
        <v>2</v>
      </c>
      <c r="D354" s="1" t="s">
        <v>943</v>
      </c>
      <c r="E354" s="1" t="s">
        <v>36</v>
      </c>
      <c r="G354">
        <v>465875</v>
      </c>
      <c r="H354" t="s">
        <v>935</v>
      </c>
      <c r="I354" t="s">
        <v>753</v>
      </c>
      <c r="J354">
        <v>15</v>
      </c>
      <c r="K354">
        <v>4967</v>
      </c>
      <c r="L354">
        <v>50341</v>
      </c>
      <c r="M354" t="s">
        <v>146</v>
      </c>
      <c r="N354">
        <v>32</v>
      </c>
      <c r="O354" s="2">
        <v>46225</v>
      </c>
      <c r="P354" s="2">
        <v>46265</v>
      </c>
      <c r="R354" t="s">
        <v>944</v>
      </c>
      <c r="S354" t="str">
        <f>"00013237"</f>
        <v>00013237</v>
      </c>
      <c r="T354" t="s">
        <v>41</v>
      </c>
      <c r="U354">
        <v>249.3</v>
      </c>
      <c r="V354">
        <v>249.3</v>
      </c>
      <c r="W354">
        <v>249.3</v>
      </c>
      <c r="X354">
        <v>0</v>
      </c>
      <c r="Y354">
        <v>0</v>
      </c>
      <c r="Z354">
        <v>-490</v>
      </c>
      <c r="AA354">
        <v>1574</v>
      </c>
      <c r="AD354" t="s">
        <v>937</v>
      </c>
      <c r="AE354" t="s">
        <v>850</v>
      </c>
      <c r="AF354" t="s">
        <v>937</v>
      </c>
      <c r="AG354" s="1" t="s">
        <v>938</v>
      </c>
      <c r="AH354" t="s">
        <v>714</v>
      </c>
    </row>
    <row r="355" spans="1:34" x14ac:dyDescent="0.3">
      <c r="A355">
        <v>101</v>
      </c>
      <c r="B355" t="s">
        <v>34</v>
      </c>
      <c r="C355">
        <v>2</v>
      </c>
      <c r="D355" s="1" t="s">
        <v>943</v>
      </c>
      <c r="E355" s="1" t="s">
        <v>122</v>
      </c>
      <c r="G355">
        <v>465875</v>
      </c>
      <c r="H355" t="s">
        <v>935</v>
      </c>
      <c r="I355" t="s">
        <v>753</v>
      </c>
      <c r="J355">
        <v>15</v>
      </c>
      <c r="K355">
        <v>4967</v>
      </c>
      <c r="L355">
        <v>50341</v>
      </c>
      <c r="M355" t="s">
        <v>146</v>
      </c>
      <c r="N355">
        <v>32</v>
      </c>
      <c r="O355" s="2">
        <v>46225</v>
      </c>
      <c r="P355" s="2">
        <v>46285</v>
      </c>
      <c r="R355" t="s">
        <v>944</v>
      </c>
      <c r="S355" t="str">
        <f>"00013238"</f>
        <v>00013238</v>
      </c>
      <c r="T355" t="s">
        <v>41</v>
      </c>
      <c r="U355">
        <v>249.3</v>
      </c>
      <c r="V355">
        <v>249.3</v>
      </c>
      <c r="W355">
        <v>249.3</v>
      </c>
      <c r="X355">
        <v>0</v>
      </c>
      <c r="Y355">
        <v>0</v>
      </c>
      <c r="Z355">
        <v>-510</v>
      </c>
      <c r="AA355">
        <v>1574</v>
      </c>
      <c r="AD355" t="s">
        <v>937</v>
      </c>
      <c r="AE355" t="s">
        <v>850</v>
      </c>
      <c r="AF355" t="s">
        <v>937</v>
      </c>
      <c r="AG355" s="1" t="s">
        <v>938</v>
      </c>
      <c r="AH355" t="s">
        <v>714</v>
      </c>
    </row>
    <row r="356" spans="1:34" x14ac:dyDescent="0.3">
      <c r="A356">
        <v>101</v>
      </c>
      <c r="B356" t="s">
        <v>34</v>
      </c>
      <c r="C356">
        <v>2</v>
      </c>
      <c r="D356" s="1" t="s">
        <v>943</v>
      </c>
      <c r="E356" s="1" t="s">
        <v>116</v>
      </c>
      <c r="G356">
        <v>465875</v>
      </c>
      <c r="H356" t="s">
        <v>935</v>
      </c>
      <c r="I356" t="s">
        <v>753</v>
      </c>
      <c r="J356">
        <v>15</v>
      </c>
      <c r="K356">
        <v>4967</v>
      </c>
      <c r="L356">
        <v>50341</v>
      </c>
      <c r="M356" t="s">
        <v>146</v>
      </c>
      <c r="N356">
        <v>32</v>
      </c>
      <c r="O356" s="2">
        <v>46225</v>
      </c>
      <c r="P356" s="2">
        <v>46305</v>
      </c>
      <c r="R356" t="s">
        <v>944</v>
      </c>
      <c r="S356" t="str">
        <f>"00013239"</f>
        <v>00013239</v>
      </c>
      <c r="T356" t="s">
        <v>41</v>
      </c>
      <c r="U356">
        <v>249.36</v>
      </c>
      <c r="V356">
        <v>249.36</v>
      </c>
      <c r="W356">
        <v>249.36</v>
      </c>
      <c r="X356">
        <v>0</v>
      </c>
      <c r="Y356">
        <v>0</v>
      </c>
      <c r="Z356">
        <v>-530</v>
      </c>
      <c r="AA356">
        <v>1574</v>
      </c>
      <c r="AD356" t="s">
        <v>937</v>
      </c>
      <c r="AE356" t="s">
        <v>850</v>
      </c>
      <c r="AF356" t="s">
        <v>937</v>
      </c>
      <c r="AG356" s="1" t="s">
        <v>938</v>
      </c>
      <c r="AH356" t="s">
        <v>714</v>
      </c>
    </row>
    <row r="357" spans="1:34" x14ac:dyDescent="0.3">
      <c r="A357">
        <v>101</v>
      </c>
      <c r="B357" t="s">
        <v>34</v>
      </c>
      <c r="C357">
        <v>2</v>
      </c>
      <c r="D357" s="1" t="s">
        <v>941</v>
      </c>
      <c r="E357" s="1" t="s">
        <v>36</v>
      </c>
      <c r="G357">
        <v>465875</v>
      </c>
      <c r="H357" t="s">
        <v>935</v>
      </c>
      <c r="I357" t="s">
        <v>753</v>
      </c>
      <c r="J357">
        <v>15</v>
      </c>
      <c r="K357">
        <v>4967</v>
      </c>
      <c r="L357">
        <v>50341</v>
      </c>
      <c r="M357" t="s">
        <v>146</v>
      </c>
      <c r="N357">
        <v>32</v>
      </c>
      <c r="O357" s="2">
        <v>46225</v>
      </c>
      <c r="P357" s="2">
        <v>46265</v>
      </c>
      <c r="R357" t="s">
        <v>942</v>
      </c>
      <c r="S357" t="str">
        <f>"00013234"</f>
        <v>00013234</v>
      </c>
      <c r="T357" t="s">
        <v>41</v>
      </c>
      <c r="U357">
        <v>2220.1799999999998</v>
      </c>
      <c r="V357">
        <v>2220.1799999999998</v>
      </c>
      <c r="W357">
        <v>2220.1799999999998</v>
      </c>
      <c r="X357">
        <v>0</v>
      </c>
      <c r="Y357">
        <v>0</v>
      </c>
      <c r="Z357">
        <v>-490</v>
      </c>
      <c r="AA357">
        <v>1403</v>
      </c>
      <c r="AD357" t="s">
        <v>937</v>
      </c>
      <c r="AE357" t="s">
        <v>850</v>
      </c>
      <c r="AF357" t="s">
        <v>937</v>
      </c>
      <c r="AG357" s="1" t="s">
        <v>938</v>
      </c>
      <c r="AH357" t="s">
        <v>714</v>
      </c>
    </row>
    <row r="358" spans="1:34" x14ac:dyDescent="0.3">
      <c r="A358">
        <v>101</v>
      </c>
      <c r="B358" t="s">
        <v>34</v>
      </c>
      <c r="C358">
        <v>2</v>
      </c>
      <c r="D358" s="1" t="s">
        <v>941</v>
      </c>
      <c r="E358" s="1" t="s">
        <v>122</v>
      </c>
      <c r="G358">
        <v>465875</v>
      </c>
      <c r="H358" t="s">
        <v>935</v>
      </c>
      <c r="I358" t="s">
        <v>753</v>
      </c>
      <c r="J358">
        <v>15</v>
      </c>
      <c r="K358">
        <v>4967</v>
      </c>
      <c r="L358">
        <v>50341</v>
      </c>
      <c r="M358" t="s">
        <v>146</v>
      </c>
      <c r="N358">
        <v>32</v>
      </c>
      <c r="O358" s="2">
        <v>46225</v>
      </c>
      <c r="P358" s="2">
        <v>46285</v>
      </c>
      <c r="R358" t="s">
        <v>942</v>
      </c>
      <c r="S358" t="str">
        <f>"00013235"</f>
        <v>00013235</v>
      </c>
      <c r="T358" t="s">
        <v>41</v>
      </c>
      <c r="U358">
        <v>2102.7600000000002</v>
      </c>
      <c r="V358">
        <v>2102.7600000000002</v>
      </c>
      <c r="W358">
        <v>2102.7600000000002</v>
      </c>
      <c r="X358">
        <v>0</v>
      </c>
      <c r="Y358">
        <v>0</v>
      </c>
      <c r="Z358">
        <v>-510</v>
      </c>
      <c r="AA358">
        <v>1403</v>
      </c>
      <c r="AD358" t="s">
        <v>937</v>
      </c>
      <c r="AE358" t="s">
        <v>850</v>
      </c>
      <c r="AF358" t="s">
        <v>937</v>
      </c>
      <c r="AG358" s="1" t="s">
        <v>938</v>
      </c>
      <c r="AH358" t="s">
        <v>714</v>
      </c>
    </row>
    <row r="359" spans="1:34" x14ac:dyDescent="0.3">
      <c r="A359">
        <v>101</v>
      </c>
      <c r="B359" t="s">
        <v>34</v>
      </c>
      <c r="C359">
        <v>2</v>
      </c>
      <c r="D359" s="1" t="s">
        <v>945</v>
      </c>
      <c r="E359" s="1" t="s">
        <v>122</v>
      </c>
      <c r="G359">
        <v>465876</v>
      </c>
      <c r="H359" t="s">
        <v>946</v>
      </c>
      <c r="I359" t="s">
        <v>753</v>
      </c>
      <c r="J359">
        <v>15</v>
      </c>
      <c r="K359">
        <v>4967</v>
      </c>
      <c r="L359">
        <v>50341</v>
      </c>
      <c r="M359" t="s">
        <v>146</v>
      </c>
      <c r="N359">
        <v>32</v>
      </c>
      <c r="O359" s="2">
        <v>46196</v>
      </c>
      <c r="P359" s="2">
        <v>46256</v>
      </c>
      <c r="R359" t="s">
        <v>947</v>
      </c>
      <c r="S359" t="str">
        <f>"00012755"</f>
        <v>00012755</v>
      </c>
      <c r="T359" t="s">
        <v>41</v>
      </c>
      <c r="U359">
        <v>1017.89</v>
      </c>
      <c r="V359">
        <v>1017.89</v>
      </c>
      <c r="W359">
        <v>1017.89</v>
      </c>
      <c r="X359">
        <v>0</v>
      </c>
      <c r="Y359">
        <v>0</v>
      </c>
      <c r="Z359">
        <v>-481</v>
      </c>
      <c r="AA359">
        <v>829</v>
      </c>
      <c r="AD359" t="s">
        <v>871</v>
      </c>
      <c r="AE359" t="s">
        <v>850</v>
      </c>
      <c r="AF359" t="s">
        <v>871</v>
      </c>
      <c r="AG359" s="1" t="s">
        <v>948</v>
      </c>
      <c r="AH359" t="s">
        <v>714</v>
      </c>
    </row>
    <row r="360" spans="1:34" x14ac:dyDescent="0.3">
      <c r="A360">
        <v>101</v>
      </c>
      <c r="B360" t="s">
        <v>34</v>
      </c>
      <c r="C360">
        <v>2</v>
      </c>
      <c r="D360" s="1" t="s">
        <v>949</v>
      </c>
      <c r="E360" s="1" t="s">
        <v>122</v>
      </c>
      <c r="G360">
        <v>465876</v>
      </c>
      <c r="H360" t="s">
        <v>946</v>
      </c>
      <c r="I360" t="s">
        <v>753</v>
      </c>
      <c r="J360">
        <v>15</v>
      </c>
      <c r="K360">
        <v>4967</v>
      </c>
      <c r="L360">
        <v>50341</v>
      </c>
      <c r="M360" t="s">
        <v>146</v>
      </c>
      <c r="N360">
        <v>32</v>
      </c>
      <c r="O360" s="2">
        <v>46225</v>
      </c>
      <c r="P360" s="2">
        <v>46285</v>
      </c>
      <c r="R360" t="s">
        <v>950</v>
      </c>
      <c r="S360" t="str">
        <f>"00013241"</f>
        <v>00013241</v>
      </c>
      <c r="T360" t="s">
        <v>41</v>
      </c>
      <c r="U360">
        <v>2420.0700000000002</v>
      </c>
      <c r="V360">
        <v>2420.0700000000002</v>
      </c>
      <c r="W360">
        <v>2420.0700000000002</v>
      </c>
      <c r="X360">
        <v>0</v>
      </c>
      <c r="Y360">
        <v>0</v>
      </c>
      <c r="Z360">
        <v>-510</v>
      </c>
      <c r="AA360">
        <v>1404</v>
      </c>
      <c r="AD360" t="s">
        <v>871</v>
      </c>
      <c r="AE360" t="s">
        <v>850</v>
      </c>
      <c r="AF360" t="s">
        <v>871</v>
      </c>
      <c r="AG360" s="1" t="s">
        <v>948</v>
      </c>
      <c r="AH360" t="s">
        <v>714</v>
      </c>
    </row>
    <row r="361" spans="1:34" x14ac:dyDescent="0.3">
      <c r="A361">
        <v>101</v>
      </c>
      <c r="B361" t="s">
        <v>34</v>
      </c>
      <c r="C361">
        <v>2</v>
      </c>
      <c r="D361" s="1" t="s">
        <v>945</v>
      </c>
      <c r="E361" s="1" t="s">
        <v>116</v>
      </c>
      <c r="G361">
        <v>465876</v>
      </c>
      <c r="H361" t="s">
        <v>946</v>
      </c>
      <c r="I361" t="s">
        <v>753</v>
      </c>
      <c r="J361">
        <v>15</v>
      </c>
      <c r="K361">
        <v>4967</v>
      </c>
      <c r="L361">
        <v>50341</v>
      </c>
      <c r="M361" t="s">
        <v>146</v>
      </c>
      <c r="N361">
        <v>32</v>
      </c>
      <c r="O361" s="2">
        <v>46196</v>
      </c>
      <c r="P361" s="2">
        <v>46276</v>
      </c>
      <c r="R361" t="s">
        <v>947</v>
      </c>
      <c r="S361" t="str">
        <f>"00012756"</f>
        <v>00012756</v>
      </c>
      <c r="T361" t="s">
        <v>41</v>
      </c>
      <c r="U361">
        <v>1018.2</v>
      </c>
      <c r="V361">
        <v>1018.2</v>
      </c>
      <c r="W361">
        <v>1018.2</v>
      </c>
      <c r="X361">
        <v>0</v>
      </c>
      <c r="Y361">
        <v>0</v>
      </c>
      <c r="Z361">
        <v>-501</v>
      </c>
      <c r="AA361">
        <v>829</v>
      </c>
      <c r="AD361" t="s">
        <v>871</v>
      </c>
      <c r="AE361" t="s">
        <v>850</v>
      </c>
      <c r="AF361" t="s">
        <v>871</v>
      </c>
      <c r="AG361" s="1" t="s">
        <v>948</v>
      </c>
      <c r="AH361" t="s">
        <v>714</v>
      </c>
    </row>
    <row r="362" spans="1:34" x14ac:dyDescent="0.3">
      <c r="A362">
        <v>101</v>
      </c>
      <c r="B362" t="s">
        <v>34</v>
      </c>
      <c r="C362">
        <v>2</v>
      </c>
      <c r="D362" s="1" t="s">
        <v>949</v>
      </c>
      <c r="E362" s="1" t="s">
        <v>116</v>
      </c>
      <c r="G362">
        <v>465876</v>
      </c>
      <c r="H362" t="s">
        <v>946</v>
      </c>
      <c r="I362" t="s">
        <v>753</v>
      </c>
      <c r="J362">
        <v>15</v>
      </c>
      <c r="K362">
        <v>4967</v>
      </c>
      <c r="L362">
        <v>50341</v>
      </c>
      <c r="M362" t="s">
        <v>146</v>
      </c>
      <c r="N362">
        <v>32</v>
      </c>
      <c r="O362" s="2">
        <v>46225</v>
      </c>
      <c r="P362" s="2">
        <v>46305</v>
      </c>
      <c r="R362" t="s">
        <v>950</v>
      </c>
      <c r="S362" t="str">
        <f>"00013242"</f>
        <v>00013242</v>
      </c>
      <c r="T362" t="s">
        <v>41</v>
      </c>
      <c r="U362">
        <v>2420.81</v>
      </c>
      <c r="V362">
        <v>2420.81</v>
      </c>
      <c r="W362">
        <v>2420.81</v>
      </c>
      <c r="X362">
        <v>0</v>
      </c>
      <c r="Y362">
        <v>0</v>
      </c>
      <c r="Z362">
        <v>-530</v>
      </c>
      <c r="AA362">
        <v>1404</v>
      </c>
      <c r="AD362" t="s">
        <v>871</v>
      </c>
      <c r="AE362" t="s">
        <v>850</v>
      </c>
      <c r="AF362" t="s">
        <v>871</v>
      </c>
      <c r="AG362" s="1" t="s">
        <v>948</v>
      </c>
      <c r="AH362" t="s">
        <v>714</v>
      </c>
    </row>
    <row r="363" spans="1:34" x14ac:dyDescent="0.3">
      <c r="A363">
        <v>101</v>
      </c>
      <c r="B363" t="s">
        <v>34</v>
      </c>
      <c r="C363">
        <v>2</v>
      </c>
      <c r="D363" s="1" t="s">
        <v>951</v>
      </c>
      <c r="E363" s="1" t="s">
        <v>36</v>
      </c>
      <c r="G363">
        <v>465876</v>
      </c>
      <c r="H363" t="s">
        <v>946</v>
      </c>
      <c r="I363" t="s">
        <v>753</v>
      </c>
      <c r="J363">
        <v>15</v>
      </c>
      <c r="K363">
        <v>4967</v>
      </c>
      <c r="L363">
        <v>50341</v>
      </c>
      <c r="M363" t="s">
        <v>146</v>
      </c>
      <c r="N363">
        <v>32</v>
      </c>
      <c r="O363" s="2">
        <v>46225</v>
      </c>
      <c r="P363" s="2">
        <v>46265</v>
      </c>
      <c r="R363" t="s">
        <v>952</v>
      </c>
      <c r="S363" t="str">
        <f>"00013243"</f>
        <v>00013243</v>
      </c>
      <c r="T363" t="s">
        <v>41</v>
      </c>
      <c r="U363">
        <v>62.32</v>
      </c>
      <c r="V363">
        <v>62.32</v>
      </c>
      <c r="W363">
        <v>62.32</v>
      </c>
      <c r="X363">
        <v>0</v>
      </c>
      <c r="Y363">
        <v>0</v>
      </c>
      <c r="Z363">
        <v>-490</v>
      </c>
      <c r="AA363">
        <v>1575</v>
      </c>
      <c r="AD363" t="s">
        <v>871</v>
      </c>
      <c r="AE363" t="s">
        <v>850</v>
      </c>
      <c r="AF363" t="s">
        <v>871</v>
      </c>
      <c r="AG363" s="1" t="s">
        <v>948</v>
      </c>
      <c r="AH363" t="s">
        <v>714</v>
      </c>
    </row>
    <row r="364" spans="1:34" x14ac:dyDescent="0.3">
      <c r="A364">
        <v>101</v>
      </c>
      <c r="B364" t="s">
        <v>34</v>
      </c>
      <c r="C364">
        <v>2</v>
      </c>
      <c r="D364" s="1" t="s">
        <v>949</v>
      </c>
      <c r="E364" s="1" t="s">
        <v>36</v>
      </c>
      <c r="G364">
        <v>465876</v>
      </c>
      <c r="H364" t="s">
        <v>946</v>
      </c>
      <c r="I364" t="s">
        <v>753</v>
      </c>
      <c r="J364">
        <v>15</v>
      </c>
      <c r="K364">
        <v>4967</v>
      </c>
      <c r="L364">
        <v>50341</v>
      </c>
      <c r="M364" t="s">
        <v>146</v>
      </c>
      <c r="N364">
        <v>32</v>
      </c>
      <c r="O364" s="2">
        <v>46225</v>
      </c>
      <c r="P364" s="2">
        <v>46265</v>
      </c>
      <c r="R364" t="s">
        <v>950</v>
      </c>
      <c r="S364" t="str">
        <f>"00013240"</f>
        <v>00013240</v>
      </c>
      <c r="T364" t="s">
        <v>41</v>
      </c>
      <c r="U364">
        <v>2567.6799999999998</v>
      </c>
      <c r="V364">
        <v>2567.6799999999998</v>
      </c>
      <c r="W364">
        <v>2567.6799999999998</v>
      </c>
      <c r="X364">
        <v>0</v>
      </c>
      <c r="Y364">
        <v>0</v>
      </c>
      <c r="Z364">
        <v>-490</v>
      </c>
      <c r="AA364">
        <v>1404</v>
      </c>
      <c r="AD364" t="s">
        <v>871</v>
      </c>
      <c r="AE364" t="s">
        <v>850</v>
      </c>
      <c r="AF364" t="s">
        <v>871</v>
      </c>
      <c r="AG364" s="1" t="s">
        <v>948</v>
      </c>
      <c r="AH364" t="s">
        <v>714</v>
      </c>
    </row>
    <row r="365" spans="1:34" x14ac:dyDescent="0.3">
      <c r="A365">
        <v>101</v>
      </c>
      <c r="B365" t="s">
        <v>34</v>
      </c>
      <c r="C365">
        <v>2</v>
      </c>
      <c r="D365" s="1" t="s">
        <v>951</v>
      </c>
      <c r="E365" s="1" t="s">
        <v>122</v>
      </c>
      <c r="G365">
        <v>465876</v>
      </c>
      <c r="H365" t="s">
        <v>946</v>
      </c>
      <c r="I365" t="s">
        <v>753</v>
      </c>
      <c r="J365">
        <v>15</v>
      </c>
      <c r="K365">
        <v>4967</v>
      </c>
      <c r="L365">
        <v>50341</v>
      </c>
      <c r="M365" t="s">
        <v>146</v>
      </c>
      <c r="N365">
        <v>32</v>
      </c>
      <c r="O365" s="2">
        <v>46225</v>
      </c>
      <c r="P365" s="2">
        <v>46285</v>
      </c>
      <c r="R365" t="s">
        <v>952</v>
      </c>
      <c r="S365" t="str">
        <f>"00013244"</f>
        <v>00013244</v>
      </c>
      <c r="T365" t="s">
        <v>41</v>
      </c>
      <c r="U365">
        <v>62.32</v>
      </c>
      <c r="V365">
        <v>62.32</v>
      </c>
      <c r="W365">
        <v>62.32</v>
      </c>
      <c r="X365">
        <v>0</v>
      </c>
      <c r="Y365">
        <v>0</v>
      </c>
      <c r="Z365">
        <v>-510</v>
      </c>
      <c r="AA365">
        <v>1575</v>
      </c>
      <c r="AD365" t="s">
        <v>871</v>
      </c>
      <c r="AE365" t="s">
        <v>850</v>
      </c>
      <c r="AF365" t="s">
        <v>871</v>
      </c>
      <c r="AG365" s="1" t="s">
        <v>948</v>
      </c>
      <c r="AH365" t="s">
        <v>714</v>
      </c>
    </row>
    <row r="366" spans="1:34" x14ac:dyDescent="0.3">
      <c r="A366">
        <v>101</v>
      </c>
      <c r="B366" t="s">
        <v>34</v>
      </c>
      <c r="C366">
        <v>2</v>
      </c>
      <c r="D366" s="1" t="s">
        <v>951</v>
      </c>
      <c r="E366" s="1" t="s">
        <v>116</v>
      </c>
      <c r="G366">
        <v>465876</v>
      </c>
      <c r="H366" t="s">
        <v>946</v>
      </c>
      <c r="I366" t="s">
        <v>753</v>
      </c>
      <c r="J366">
        <v>15</v>
      </c>
      <c r="K366">
        <v>4967</v>
      </c>
      <c r="L366">
        <v>50341</v>
      </c>
      <c r="M366" t="s">
        <v>146</v>
      </c>
      <c r="N366">
        <v>32</v>
      </c>
      <c r="O366" s="2">
        <v>46225</v>
      </c>
      <c r="P366" s="2">
        <v>46305</v>
      </c>
      <c r="R366" t="s">
        <v>952</v>
      </c>
      <c r="S366" t="str">
        <f>"00013245"</f>
        <v>00013245</v>
      </c>
      <c r="T366" t="s">
        <v>41</v>
      </c>
      <c r="U366">
        <v>62.35</v>
      </c>
      <c r="V366">
        <v>62.35</v>
      </c>
      <c r="W366">
        <v>62.35</v>
      </c>
      <c r="X366">
        <v>0</v>
      </c>
      <c r="Y366">
        <v>0</v>
      </c>
      <c r="Z366">
        <v>-530</v>
      </c>
      <c r="AA366">
        <v>1575</v>
      </c>
      <c r="AD366" t="s">
        <v>871</v>
      </c>
      <c r="AE366" t="s">
        <v>850</v>
      </c>
      <c r="AF366" t="s">
        <v>871</v>
      </c>
      <c r="AG366" s="1" t="s">
        <v>948</v>
      </c>
      <c r="AH366" t="s">
        <v>714</v>
      </c>
    </row>
    <row r="367" spans="1:34" x14ac:dyDescent="0.3">
      <c r="A367">
        <v>101</v>
      </c>
      <c r="B367" t="s">
        <v>34</v>
      </c>
      <c r="C367">
        <v>2</v>
      </c>
      <c r="D367" s="1" t="s">
        <v>953</v>
      </c>
      <c r="E367" s="1" t="s">
        <v>122</v>
      </c>
      <c r="G367">
        <v>467462</v>
      </c>
      <c r="H367" t="s">
        <v>954</v>
      </c>
      <c r="I367" t="s">
        <v>753</v>
      </c>
      <c r="J367">
        <v>15</v>
      </c>
      <c r="K367">
        <v>4967</v>
      </c>
      <c r="L367">
        <v>50341</v>
      </c>
      <c r="M367" t="s">
        <v>146</v>
      </c>
      <c r="N367">
        <v>32</v>
      </c>
      <c r="O367" s="2">
        <v>46196</v>
      </c>
      <c r="P367" s="2">
        <v>46256</v>
      </c>
      <c r="R367" t="s">
        <v>955</v>
      </c>
      <c r="S367" t="str">
        <f>"00012773"</f>
        <v>00012773</v>
      </c>
      <c r="T367" t="s">
        <v>41</v>
      </c>
      <c r="U367">
        <v>623.24</v>
      </c>
      <c r="V367">
        <v>623.24</v>
      </c>
      <c r="W367">
        <v>623.24</v>
      </c>
      <c r="X367">
        <v>0</v>
      </c>
      <c r="Y367">
        <v>0</v>
      </c>
      <c r="Z367">
        <v>-481</v>
      </c>
      <c r="AA367">
        <v>850</v>
      </c>
      <c r="AD367" t="s">
        <v>956</v>
      </c>
      <c r="AE367" t="s">
        <v>957</v>
      </c>
      <c r="AF367" t="s">
        <v>956</v>
      </c>
      <c r="AG367" s="1" t="s">
        <v>958</v>
      </c>
      <c r="AH367" t="s">
        <v>714</v>
      </c>
    </row>
    <row r="368" spans="1:34" x14ac:dyDescent="0.3">
      <c r="A368">
        <v>101</v>
      </c>
      <c r="B368" t="s">
        <v>34</v>
      </c>
      <c r="C368">
        <v>2</v>
      </c>
      <c r="D368" s="1" t="s">
        <v>959</v>
      </c>
      <c r="E368" s="1" t="s">
        <v>116</v>
      </c>
      <c r="G368">
        <v>467462</v>
      </c>
      <c r="H368" t="s">
        <v>954</v>
      </c>
      <c r="I368" t="s">
        <v>753</v>
      </c>
      <c r="J368">
        <v>15</v>
      </c>
      <c r="K368">
        <v>4967</v>
      </c>
      <c r="L368">
        <v>50341</v>
      </c>
      <c r="M368" t="s">
        <v>146</v>
      </c>
      <c r="N368">
        <v>32</v>
      </c>
      <c r="O368" s="2">
        <v>46225</v>
      </c>
      <c r="P368" s="2">
        <v>46305</v>
      </c>
      <c r="R368" t="s">
        <v>960</v>
      </c>
      <c r="S368" t="str">
        <f>"00013257"</f>
        <v>00013257</v>
      </c>
      <c r="T368" t="s">
        <v>41</v>
      </c>
      <c r="U368">
        <v>2513.46</v>
      </c>
      <c r="V368">
        <v>2513.46</v>
      </c>
      <c r="W368">
        <v>2513.46</v>
      </c>
      <c r="X368">
        <v>0</v>
      </c>
      <c r="Y368">
        <v>0</v>
      </c>
      <c r="Z368">
        <v>-530</v>
      </c>
      <c r="AA368">
        <v>1406</v>
      </c>
      <c r="AD368" t="s">
        <v>956</v>
      </c>
      <c r="AE368" t="s">
        <v>957</v>
      </c>
      <c r="AF368" t="s">
        <v>956</v>
      </c>
      <c r="AG368" s="1" t="s">
        <v>958</v>
      </c>
      <c r="AH368" t="s">
        <v>714</v>
      </c>
    </row>
    <row r="369" spans="1:34" x14ac:dyDescent="0.3">
      <c r="A369">
        <v>101</v>
      </c>
      <c r="B369" t="s">
        <v>34</v>
      </c>
      <c r="C369">
        <v>2</v>
      </c>
      <c r="D369" s="1" t="s">
        <v>953</v>
      </c>
      <c r="E369" s="1" t="s">
        <v>116</v>
      </c>
      <c r="G369">
        <v>467462</v>
      </c>
      <c r="H369" t="s">
        <v>954</v>
      </c>
      <c r="I369" t="s">
        <v>753</v>
      </c>
      <c r="J369">
        <v>15</v>
      </c>
      <c r="K369">
        <v>4967</v>
      </c>
      <c r="L369">
        <v>50341</v>
      </c>
      <c r="M369" t="s">
        <v>146</v>
      </c>
      <c r="N369">
        <v>32</v>
      </c>
      <c r="O369" s="2">
        <v>46196</v>
      </c>
      <c r="P369" s="2">
        <v>46276</v>
      </c>
      <c r="R369" t="s">
        <v>955</v>
      </c>
      <c r="S369" t="str">
        <f>"00012774"</f>
        <v>00012774</v>
      </c>
      <c r="T369" t="s">
        <v>41</v>
      </c>
      <c r="U369">
        <v>623.41999999999996</v>
      </c>
      <c r="V369">
        <v>623.41999999999996</v>
      </c>
      <c r="W369">
        <v>623.41999999999996</v>
      </c>
      <c r="X369">
        <v>0</v>
      </c>
      <c r="Y369">
        <v>0</v>
      </c>
      <c r="Z369">
        <v>-501</v>
      </c>
      <c r="AA369">
        <v>850</v>
      </c>
      <c r="AD369" t="s">
        <v>956</v>
      </c>
      <c r="AE369" t="s">
        <v>957</v>
      </c>
      <c r="AF369" t="s">
        <v>956</v>
      </c>
      <c r="AG369" s="1" t="s">
        <v>958</v>
      </c>
      <c r="AH369" t="s">
        <v>714</v>
      </c>
    </row>
    <row r="370" spans="1:34" x14ac:dyDescent="0.3">
      <c r="A370">
        <v>101</v>
      </c>
      <c r="B370" t="s">
        <v>34</v>
      </c>
      <c r="C370">
        <v>2</v>
      </c>
      <c r="D370" s="1" t="s">
        <v>959</v>
      </c>
      <c r="E370" s="1" t="s">
        <v>36</v>
      </c>
      <c r="G370">
        <v>467462</v>
      </c>
      <c r="H370" t="s">
        <v>954</v>
      </c>
      <c r="I370" t="s">
        <v>753</v>
      </c>
      <c r="J370">
        <v>15</v>
      </c>
      <c r="K370">
        <v>4967</v>
      </c>
      <c r="L370">
        <v>50341</v>
      </c>
      <c r="M370" t="s">
        <v>146</v>
      </c>
      <c r="N370">
        <v>32</v>
      </c>
      <c r="O370" s="2">
        <v>46225</v>
      </c>
      <c r="P370" s="2">
        <v>46265</v>
      </c>
      <c r="R370" t="s">
        <v>960</v>
      </c>
      <c r="S370" t="str">
        <f>"00013255"</f>
        <v>00013255</v>
      </c>
      <c r="T370" t="s">
        <v>41</v>
      </c>
      <c r="U370">
        <v>2690.66</v>
      </c>
      <c r="V370">
        <v>2690.66</v>
      </c>
      <c r="W370">
        <v>2690.66</v>
      </c>
      <c r="X370">
        <v>0</v>
      </c>
      <c r="Y370">
        <v>0</v>
      </c>
      <c r="Z370">
        <v>-490</v>
      </c>
      <c r="AA370">
        <v>1406</v>
      </c>
      <c r="AD370" t="s">
        <v>956</v>
      </c>
      <c r="AE370" t="s">
        <v>957</v>
      </c>
      <c r="AF370" t="s">
        <v>956</v>
      </c>
      <c r="AG370" s="1" t="s">
        <v>958</v>
      </c>
      <c r="AH370" t="s">
        <v>714</v>
      </c>
    </row>
    <row r="371" spans="1:34" x14ac:dyDescent="0.3">
      <c r="A371">
        <v>101</v>
      </c>
      <c r="B371" t="s">
        <v>34</v>
      </c>
      <c r="C371">
        <v>2</v>
      </c>
      <c r="D371" s="1" t="s">
        <v>961</v>
      </c>
      <c r="E371" s="1" t="s">
        <v>116</v>
      </c>
      <c r="G371">
        <v>467462</v>
      </c>
      <c r="H371" t="s">
        <v>954</v>
      </c>
      <c r="I371" t="s">
        <v>753</v>
      </c>
      <c r="J371">
        <v>15</v>
      </c>
      <c r="K371">
        <v>4967</v>
      </c>
      <c r="L371">
        <v>50341</v>
      </c>
      <c r="M371" t="s">
        <v>146</v>
      </c>
      <c r="N371">
        <v>32</v>
      </c>
      <c r="O371" s="2">
        <v>46196</v>
      </c>
      <c r="P371" s="2">
        <v>46276</v>
      </c>
      <c r="R371" t="s">
        <v>962</v>
      </c>
      <c r="S371" t="str">
        <f>"00012771"</f>
        <v>00012771</v>
      </c>
      <c r="T371" t="s">
        <v>41</v>
      </c>
      <c r="U371">
        <v>3967.04</v>
      </c>
      <c r="V371">
        <v>3967.04</v>
      </c>
      <c r="W371">
        <v>3967.04</v>
      </c>
      <c r="X371">
        <v>0</v>
      </c>
      <c r="Y371">
        <v>0</v>
      </c>
      <c r="Z371">
        <v>-501</v>
      </c>
      <c r="AA371">
        <v>831</v>
      </c>
      <c r="AD371" t="s">
        <v>956</v>
      </c>
      <c r="AE371" t="s">
        <v>957</v>
      </c>
      <c r="AF371" t="s">
        <v>956</v>
      </c>
      <c r="AG371" s="1" t="s">
        <v>958</v>
      </c>
      <c r="AH371" t="s">
        <v>714</v>
      </c>
    </row>
    <row r="372" spans="1:34" x14ac:dyDescent="0.3">
      <c r="A372">
        <v>101</v>
      </c>
      <c r="B372" t="s">
        <v>34</v>
      </c>
      <c r="C372">
        <v>2</v>
      </c>
      <c r="D372" s="1" t="s">
        <v>959</v>
      </c>
      <c r="E372" s="1" t="s">
        <v>122</v>
      </c>
      <c r="G372">
        <v>467462</v>
      </c>
      <c r="H372" t="s">
        <v>954</v>
      </c>
      <c r="I372" t="s">
        <v>753</v>
      </c>
      <c r="J372">
        <v>15</v>
      </c>
      <c r="K372">
        <v>4967</v>
      </c>
      <c r="L372">
        <v>50341</v>
      </c>
      <c r="M372" t="s">
        <v>146</v>
      </c>
      <c r="N372">
        <v>32</v>
      </c>
      <c r="O372" s="2">
        <v>46225</v>
      </c>
      <c r="P372" s="2">
        <v>46285</v>
      </c>
      <c r="R372" t="s">
        <v>960</v>
      </c>
      <c r="S372" t="str">
        <f>"00013256"</f>
        <v>00013256</v>
      </c>
      <c r="T372" t="s">
        <v>41</v>
      </c>
      <c r="U372">
        <v>2512.6999999999998</v>
      </c>
      <c r="V372">
        <v>2512.6999999999998</v>
      </c>
      <c r="W372">
        <v>2512.6999999999998</v>
      </c>
      <c r="X372">
        <v>0</v>
      </c>
      <c r="Y372">
        <v>0</v>
      </c>
      <c r="Z372">
        <v>-510</v>
      </c>
      <c r="AA372">
        <v>1406</v>
      </c>
      <c r="AD372" t="s">
        <v>956</v>
      </c>
      <c r="AE372" t="s">
        <v>957</v>
      </c>
      <c r="AF372" t="s">
        <v>956</v>
      </c>
      <c r="AG372" s="1" t="s">
        <v>958</v>
      </c>
      <c r="AH372" t="s">
        <v>714</v>
      </c>
    </row>
    <row r="373" spans="1:34" x14ac:dyDescent="0.3">
      <c r="A373">
        <v>101</v>
      </c>
      <c r="B373" t="s">
        <v>34</v>
      </c>
      <c r="C373">
        <v>2</v>
      </c>
      <c r="D373" s="1" t="s">
        <v>961</v>
      </c>
      <c r="E373" s="1" t="s">
        <v>122</v>
      </c>
      <c r="G373">
        <v>467462</v>
      </c>
      <c r="H373" t="s">
        <v>954</v>
      </c>
      <c r="I373" t="s">
        <v>753</v>
      </c>
      <c r="J373">
        <v>15</v>
      </c>
      <c r="K373">
        <v>4967</v>
      </c>
      <c r="L373">
        <v>50341</v>
      </c>
      <c r="M373" t="s">
        <v>146</v>
      </c>
      <c r="N373">
        <v>32</v>
      </c>
      <c r="O373" s="2">
        <v>46196</v>
      </c>
      <c r="P373" s="2">
        <v>46256</v>
      </c>
      <c r="R373" t="s">
        <v>962</v>
      </c>
      <c r="S373" t="str">
        <f>"00012770"</f>
        <v>00012770</v>
      </c>
      <c r="T373" t="s">
        <v>41</v>
      </c>
      <c r="U373">
        <v>3965.85</v>
      </c>
      <c r="V373">
        <v>3965.85</v>
      </c>
      <c r="W373">
        <v>3965.85</v>
      </c>
      <c r="X373">
        <v>0</v>
      </c>
      <c r="Y373">
        <v>0</v>
      </c>
      <c r="Z373">
        <v>-481</v>
      </c>
      <c r="AA373">
        <v>831</v>
      </c>
      <c r="AD373" t="s">
        <v>956</v>
      </c>
      <c r="AE373" t="s">
        <v>957</v>
      </c>
      <c r="AF373" t="s">
        <v>956</v>
      </c>
      <c r="AG373" s="1" t="s">
        <v>958</v>
      </c>
      <c r="AH373" t="s">
        <v>714</v>
      </c>
    </row>
    <row r="374" spans="1:34" x14ac:dyDescent="0.3">
      <c r="A374">
        <v>101</v>
      </c>
      <c r="B374" t="s">
        <v>34</v>
      </c>
      <c r="C374">
        <v>2</v>
      </c>
      <c r="D374" s="1" t="s">
        <v>963</v>
      </c>
      <c r="E374" s="1" t="s">
        <v>36</v>
      </c>
      <c r="G374">
        <v>467462</v>
      </c>
      <c r="H374" t="s">
        <v>954</v>
      </c>
      <c r="I374" t="s">
        <v>753</v>
      </c>
      <c r="J374">
        <v>15</v>
      </c>
      <c r="K374">
        <v>4967</v>
      </c>
      <c r="L374">
        <v>50341</v>
      </c>
      <c r="M374" t="s">
        <v>146</v>
      </c>
      <c r="N374">
        <v>32</v>
      </c>
      <c r="O374" s="2">
        <v>46225</v>
      </c>
      <c r="P374" s="2">
        <v>46265</v>
      </c>
      <c r="R374" t="s">
        <v>964</v>
      </c>
      <c r="S374" t="str">
        <f>"00013252"</f>
        <v>00013252</v>
      </c>
      <c r="T374" t="s">
        <v>41</v>
      </c>
      <c r="U374">
        <v>498.59</v>
      </c>
      <c r="V374">
        <v>498.59</v>
      </c>
      <c r="W374">
        <v>498.59</v>
      </c>
      <c r="X374">
        <v>0</v>
      </c>
      <c r="Y374">
        <v>0</v>
      </c>
      <c r="Z374">
        <v>-490</v>
      </c>
      <c r="AA374">
        <v>1577</v>
      </c>
      <c r="AD374" t="s">
        <v>956</v>
      </c>
      <c r="AE374" t="s">
        <v>957</v>
      </c>
      <c r="AF374" t="s">
        <v>956</v>
      </c>
      <c r="AG374" s="1" t="s">
        <v>958</v>
      </c>
      <c r="AH374" t="s">
        <v>714</v>
      </c>
    </row>
    <row r="375" spans="1:34" x14ac:dyDescent="0.3">
      <c r="A375">
        <v>101</v>
      </c>
      <c r="B375" t="s">
        <v>34</v>
      </c>
      <c r="C375">
        <v>2</v>
      </c>
      <c r="D375" s="1" t="s">
        <v>963</v>
      </c>
      <c r="E375" s="1" t="s">
        <v>122</v>
      </c>
      <c r="G375">
        <v>467462</v>
      </c>
      <c r="H375" t="s">
        <v>954</v>
      </c>
      <c r="I375" t="s">
        <v>753</v>
      </c>
      <c r="J375">
        <v>15</v>
      </c>
      <c r="K375">
        <v>4967</v>
      </c>
      <c r="L375">
        <v>50341</v>
      </c>
      <c r="M375" t="s">
        <v>146</v>
      </c>
      <c r="N375">
        <v>32</v>
      </c>
      <c r="O375" s="2">
        <v>46225</v>
      </c>
      <c r="P375" s="2">
        <v>46285</v>
      </c>
      <c r="R375" t="s">
        <v>964</v>
      </c>
      <c r="S375" t="str">
        <f>"00013253"</f>
        <v>00013253</v>
      </c>
      <c r="T375" t="s">
        <v>41</v>
      </c>
      <c r="U375">
        <v>498.59</v>
      </c>
      <c r="V375">
        <v>498.59</v>
      </c>
      <c r="W375">
        <v>498.59</v>
      </c>
      <c r="X375">
        <v>0</v>
      </c>
      <c r="Y375">
        <v>0</v>
      </c>
      <c r="Z375">
        <v>-510</v>
      </c>
      <c r="AA375">
        <v>1577</v>
      </c>
      <c r="AD375" t="s">
        <v>956</v>
      </c>
      <c r="AE375" t="s">
        <v>957</v>
      </c>
      <c r="AF375" t="s">
        <v>956</v>
      </c>
      <c r="AG375" s="1" t="s">
        <v>958</v>
      </c>
      <c r="AH375" t="s">
        <v>714</v>
      </c>
    </row>
    <row r="376" spans="1:34" x14ac:dyDescent="0.3">
      <c r="A376">
        <v>101</v>
      </c>
      <c r="B376" t="s">
        <v>34</v>
      </c>
      <c r="C376">
        <v>2</v>
      </c>
      <c r="D376" s="1" t="s">
        <v>963</v>
      </c>
      <c r="E376" s="1" t="s">
        <v>116</v>
      </c>
      <c r="G376">
        <v>467462</v>
      </c>
      <c r="H376" t="s">
        <v>954</v>
      </c>
      <c r="I376" t="s">
        <v>753</v>
      </c>
      <c r="J376">
        <v>15</v>
      </c>
      <c r="K376">
        <v>4967</v>
      </c>
      <c r="L376">
        <v>50341</v>
      </c>
      <c r="M376" t="s">
        <v>146</v>
      </c>
      <c r="N376">
        <v>32</v>
      </c>
      <c r="O376" s="2">
        <v>46225</v>
      </c>
      <c r="P376" s="2">
        <v>46305</v>
      </c>
      <c r="R376" t="s">
        <v>964</v>
      </c>
      <c r="S376" t="str">
        <f>"00013254"</f>
        <v>00013254</v>
      </c>
      <c r="T376" t="s">
        <v>41</v>
      </c>
      <c r="U376">
        <v>498.74</v>
      </c>
      <c r="V376">
        <v>498.74</v>
      </c>
      <c r="W376">
        <v>498.74</v>
      </c>
      <c r="X376">
        <v>0</v>
      </c>
      <c r="Y376">
        <v>0</v>
      </c>
      <c r="Z376">
        <v>-530</v>
      </c>
      <c r="AA376">
        <v>1577</v>
      </c>
      <c r="AD376" t="s">
        <v>956</v>
      </c>
      <c r="AE376" t="s">
        <v>957</v>
      </c>
      <c r="AF376" t="s">
        <v>956</v>
      </c>
      <c r="AG376" s="1" t="s">
        <v>958</v>
      </c>
      <c r="AH376" t="s">
        <v>714</v>
      </c>
    </row>
    <row r="377" spans="1:34" x14ac:dyDescent="0.3">
      <c r="A377">
        <v>101</v>
      </c>
      <c r="B377" t="s">
        <v>34</v>
      </c>
      <c r="C377">
        <v>2</v>
      </c>
      <c r="D377" s="1" t="s">
        <v>965</v>
      </c>
      <c r="E377" s="1" t="s">
        <v>116</v>
      </c>
      <c r="G377">
        <v>467462</v>
      </c>
      <c r="H377" t="s">
        <v>954</v>
      </c>
      <c r="I377" t="s">
        <v>753</v>
      </c>
      <c r="J377">
        <v>15</v>
      </c>
      <c r="K377">
        <v>4967</v>
      </c>
      <c r="L377">
        <v>50341</v>
      </c>
      <c r="M377" t="s">
        <v>146</v>
      </c>
      <c r="N377">
        <v>32</v>
      </c>
      <c r="O377" s="2">
        <v>46171</v>
      </c>
      <c r="P377" s="2">
        <v>46269</v>
      </c>
      <c r="R377" t="s">
        <v>966</v>
      </c>
      <c r="S377" t="str">
        <f>"00012503"</f>
        <v>00012503</v>
      </c>
      <c r="T377" t="s">
        <v>41</v>
      </c>
      <c r="U377">
        <v>858.5</v>
      </c>
      <c r="V377">
        <v>858.5</v>
      </c>
      <c r="W377">
        <v>858.5</v>
      </c>
      <c r="X377">
        <v>0</v>
      </c>
      <c r="Y377">
        <v>0</v>
      </c>
      <c r="Z377">
        <v>-494</v>
      </c>
      <c r="AA377">
        <v>611</v>
      </c>
      <c r="AD377" t="s">
        <v>956</v>
      </c>
      <c r="AE377" t="s">
        <v>957</v>
      </c>
      <c r="AF377" t="s">
        <v>956</v>
      </c>
      <c r="AG377" s="1" t="s">
        <v>958</v>
      </c>
      <c r="AH377" t="s">
        <v>714</v>
      </c>
    </row>
    <row r="378" spans="1:34" x14ac:dyDescent="0.3">
      <c r="A378">
        <v>101</v>
      </c>
      <c r="B378" t="s">
        <v>34</v>
      </c>
      <c r="C378">
        <v>2</v>
      </c>
      <c r="D378" s="1" t="s">
        <v>967</v>
      </c>
      <c r="E378" s="1" t="s">
        <v>116</v>
      </c>
      <c r="G378">
        <v>467851</v>
      </c>
      <c r="H378" t="s">
        <v>968</v>
      </c>
      <c r="I378" t="s">
        <v>753</v>
      </c>
      <c r="J378">
        <v>15</v>
      </c>
      <c r="K378">
        <v>4967</v>
      </c>
      <c r="L378">
        <v>50341</v>
      </c>
      <c r="M378" t="s">
        <v>146</v>
      </c>
      <c r="N378">
        <v>32</v>
      </c>
      <c r="O378" s="2">
        <v>46226</v>
      </c>
      <c r="P378" s="2">
        <v>46306</v>
      </c>
      <c r="R378" t="s">
        <v>969</v>
      </c>
      <c r="S378" t="str">
        <f>"00013301"</f>
        <v>00013301</v>
      </c>
      <c r="T378" t="s">
        <v>41</v>
      </c>
      <c r="U378">
        <v>249.36</v>
      </c>
      <c r="V378">
        <v>249.36</v>
      </c>
      <c r="W378">
        <v>249.36</v>
      </c>
      <c r="X378">
        <v>0</v>
      </c>
      <c r="Y378">
        <v>0</v>
      </c>
      <c r="Z378">
        <v>-531</v>
      </c>
      <c r="AA378">
        <v>1576</v>
      </c>
      <c r="AD378" t="s">
        <v>731</v>
      </c>
      <c r="AE378" t="s">
        <v>957</v>
      </c>
      <c r="AF378" t="s">
        <v>731</v>
      </c>
      <c r="AG378" s="1" t="s">
        <v>970</v>
      </c>
      <c r="AH378" t="s">
        <v>714</v>
      </c>
    </row>
    <row r="379" spans="1:34" x14ac:dyDescent="0.3">
      <c r="A379">
        <v>101</v>
      </c>
      <c r="B379" t="s">
        <v>34</v>
      </c>
      <c r="C379">
        <v>2</v>
      </c>
      <c r="D379" s="1" t="s">
        <v>971</v>
      </c>
      <c r="E379" s="1" t="s">
        <v>116</v>
      </c>
      <c r="G379">
        <v>467851</v>
      </c>
      <c r="H379" t="s">
        <v>968</v>
      </c>
      <c r="I379" t="s">
        <v>753</v>
      </c>
      <c r="J379">
        <v>15</v>
      </c>
      <c r="K379">
        <v>4967</v>
      </c>
      <c r="L379">
        <v>50341</v>
      </c>
      <c r="M379" t="s">
        <v>146</v>
      </c>
      <c r="N379">
        <v>32</v>
      </c>
      <c r="O379" s="2">
        <v>46167</v>
      </c>
      <c r="P379" s="2">
        <v>46258</v>
      </c>
      <c r="R379" t="s">
        <v>972</v>
      </c>
      <c r="S379" t="str">
        <f>"00012294"</f>
        <v>00012294</v>
      </c>
      <c r="T379" t="s">
        <v>41</v>
      </c>
      <c r="U379">
        <v>4485.57</v>
      </c>
      <c r="V379">
        <v>4485.57</v>
      </c>
      <c r="W379">
        <v>4485.57</v>
      </c>
      <c r="X379">
        <v>0</v>
      </c>
      <c r="Y379">
        <v>0</v>
      </c>
      <c r="Z379">
        <v>-483</v>
      </c>
      <c r="AA379">
        <v>608</v>
      </c>
      <c r="AD379" t="s">
        <v>731</v>
      </c>
      <c r="AE379" t="s">
        <v>957</v>
      </c>
      <c r="AF379" t="s">
        <v>731</v>
      </c>
      <c r="AG379" s="1" t="s">
        <v>970</v>
      </c>
      <c r="AH379" t="s">
        <v>714</v>
      </c>
    </row>
    <row r="380" spans="1:34" x14ac:dyDescent="0.3">
      <c r="A380">
        <v>101</v>
      </c>
      <c r="B380" t="s">
        <v>34</v>
      </c>
      <c r="C380">
        <v>2</v>
      </c>
      <c r="D380" s="1" t="s">
        <v>973</v>
      </c>
      <c r="E380" s="1" t="s">
        <v>116</v>
      </c>
      <c r="G380">
        <v>467851</v>
      </c>
      <c r="H380" t="s">
        <v>968</v>
      </c>
      <c r="I380" t="s">
        <v>753</v>
      </c>
      <c r="J380">
        <v>15</v>
      </c>
      <c r="K380">
        <v>4967</v>
      </c>
      <c r="L380">
        <v>50341</v>
      </c>
      <c r="M380" t="s">
        <v>146</v>
      </c>
      <c r="N380">
        <v>32</v>
      </c>
      <c r="O380" s="2">
        <v>46225</v>
      </c>
      <c r="P380" s="2">
        <v>46305</v>
      </c>
      <c r="R380" t="s">
        <v>974</v>
      </c>
      <c r="S380" t="str">
        <f>"00013260"</f>
        <v>00013260</v>
      </c>
      <c r="T380" t="s">
        <v>41</v>
      </c>
      <c r="U380">
        <v>1683.47</v>
      </c>
      <c r="V380">
        <v>1683.47</v>
      </c>
      <c r="W380">
        <v>1683.47</v>
      </c>
      <c r="X380">
        <v>0</v>
      </c>
      <c r="Y380">
        <v>0</v>
      </c>
      <c r="Z380">
        <v>-530</v>
      </c>
      <c r="AA380">
        <v>1405</v>
      </c>
      <c r="AD380" t="s">
        <v>731</v>
      </c>
      <c r="AE380" t="s">
        <v>957</v>
      </c>
      <c r="AF380" t="s">
        <v>731</v>
      </c>
      <c r="AG380" s="1" t="s">
        <v>970</v>
      </c>
      <c r="AH380" t="s">
        <v>714</v>
      </c>
    </row>
    <row r="381" spans="1:34" x14ac:dyDescent="0.3">
      <c r="A381">
        <v>101</v>
      </c>
      <c r="B381" t="s">
        <v>34</v>
      </c>
      <c r="C381">
        <v>2</v>
      </c>
      <c r="D381" s="1" t="s">
        <v>975</v>
      </c>
      <c r="E381" s="1" t="s">
        <v>116</v>
      </c>
      <c r="G381">
        <v>467851</v>
      </c>
      <c r="H381" t="s">
        <v>968</v>
      </c>
      <c r="I381" t="s">
        <v>753</v>
      </c>
      <c r="J381">
        <v>15</v>
      </c>
      <c r="K381">
        <v>4967</v>
      </c>
      <c r="L381">
        <v>50341</v>
      </c>
      <c r="M381" t="s">
        <v>146</v>
      </c>
      <c r="N381">
        <v>32</v>
      </c>
      <c r="O381" s="2">
        <v>46171</v>
      </c>
      <c r="P381" s="2">
        <v>46270</v>
      </c>
      <c r="R381" t="s">
        <v>976</v>
      </c>
      <c r="S381" t="str">
        <f>"00012510"</f>
        <v>00012510</v>
      </c>
      <c r="T381" t="s">
        <v>41</v>
      </c>
      <c r="U381">
        <v>1201.9000000000001</v>
      </c>
      <c r="V381">
        <v>1201.9000000000001</v>
      </c>
      <c r="W381">
        <v>1201.9000000000001</v>
      </c>
      <c r="X381">
        <v>0</v>
      </c>
      <c r="Y381">
        <v>0</v>
      </c>
      <c r="Z381">
        <v>-495</v>
      </c>
      <c r="AA381">
        <v>608</v>
      </c>
      <c r="AD381" t="s">
        <v>731</v>
      </c>
      <c r="AE381" t="s">
        <v>957</v>
      </c>
      <c r="AF381" t="s">
        <v>731</v>
      </c>
      <c r="AG381" s="1" t="s">
        <v>970</v>
      </c>
      <c r="AH381" t="s">
        <v>714</v>
      </c>
    </row>
    <row r="382" spans="1:34" x14ac:dyDescent="0.3">
      <c r="A382">
        <v>101</v>
      </c>
      <c r="B382" t="s">
        <v>34</v>
      </c>
      <c r="C382">
        <v>2</v>
      </c>
      <c r="D382" s="1" t="s">
        <v>967</v>
      </c>
      <c r="E382" s="1" t="s">
        <v>36</v>
      </c>
      <c r="G382">
        <v>467851</v>
      </c>
      <c r="H382" t="s">
        <v>968</v>
      </c>
      <c r="I382" t="s">
        <v>753</v>
      </c>
      <c r="J382">
        <v>15</v>
      </c>
      <c r="K382">
        <v>4967</v>
      </c>
      <c r="L382">
        <v>50341</v>
      </c>
      <c r="M382" t="s">
        <v>146</v>
      </c>
      <c r="N382">
        <v>32</v>
      </c>
      <c r="O382" s="2">
        <v>46226</v>
      </c>
      <c r="P382" s="2">
        <v>46266</v>
      </c>
      <c r="R382" t="s">
        <v>969</v>
      </c>
      <c r="S382" t="str">
        <f>"00013299"</f>
        <v>00013299</v>
      </c>
      <c r="T382" t="s">
        <v>41</v>
      </c>
      <c r="U382">
        <v>249.3</v>
      </c>
      <c r="V382">
        <v>249.3</v>
      </c>
      <c r="W382">
        <v>249.3</v>
      </c>
      <c r="X382">
        <v>0</v>
      </c>
      <c r="Y382">
        <v>0</v>
      </c>
      <c r="Z382">
        <v>-491</v>
      </c>
      <c r="AA382">
        <v>1576</v>
      </c>
      <c r="AD382" t="s">
        <v>731</v>
      </c>
      <c r="AE382" t="s">
        <v>957</v>
      </c>
      <c r="AF382" t="s">
        <v>731</v>
      </c>
      <c r="AG382" s="1" t="s">
        <v>970</v>
      </c>
      <c r="AH382" t="s">
        <v>714</v>
      </c>
    </row>
    <row r="383" spans="1:34" x14ac:dyDescent="0.3">
      <c r="A383">
        <v>101</v>
      </c>
      <c r="B383" t="s">
        <v>34</v>
      </c>
      <c r="C383">
        <v>2</v>
      </c>
      <c r="D383" s="1" t="s">
        <v>967</v>
      </c>
      <c r="E383" s="1" t="s">
        <v>122</v>
      </c>
      <c r="G383">
        <v>467851</v>
      </c>
      <c r="H383" t="s">
        <v>968</v>
      </c>
      <c r="I383" t="s">
        <v>753</v>
      </c>
      <c r="J383">
        <v>15</v>
      </c>
      <c r="K383">
        <v>4967</v>
      </c>
      <c r="L383">
        <v>50341</v>
      </c>
      <c r="M383" t="s">
        <v>146</v>
      </c>
      <c r="N383">
        <v>32</v>
      </c>
      <c r="O383" s="2">
        <v>46226</v>
      </c>
      <c r="P383" s="2">
        <v>46286</v>
      </c>
      <c r="R383" t="s">
        <v>969</v>
      </c>
      <c r="S383" t="str">
        <f>"00013300"</f>
        <v>00013300</v>
      </c>
      <c r="T383" t="s">
        <v>41</v>
      </c>
      <c r="U383">
        <v>249.3</v>
      </c>
      <c r="V383">
        <v>249.3</v>
      </c>
      <c r="W383">
        <v>249.3</v>
      </c>
      <c r="X383">
        <v>0</v>
      </c>
      <c r="Y383">
        <v>0</v>
      </c>
      <c r="Z383">
        <v>-511</v>
      </c>
      <c r="AA383">
        <v>1576</v>
      </c>
      <c r="AD383" t="s">
        <v>731</v>
      </c>
      <c r="AE383" t="s">
        <v>957</v>
      </c>
      <c r="AF383" t="s">
        <v>731</v>
      </c>
      <c r="AG383" s="1" t="s">
        <v>970</v>
      </c>
      <c r="AH383" t="s">
        <v>714</v>
      </c>
    </row>
    <row r="384" spans="1:34" x14ac:dyDescent="0.3">
      <c r="A384">
        <v>101</v>
      </c>
      <c r="B384" t="s">
        <v>34</v>
      </c>
      <c r="C384">
        <v>2</v>
      </c>
      <c r="D384" s="1" t="s">
        <v>973</v>
      </c>
      <c r="E384" s="1" t="s">
        <v>36</v>
      </c>
      <c r="G384">
        <v>467851</v>
      </c>
      <c r="H384" t="s">
        <v>968</v>
      </c>
      <c r="I384" t="s">
        <v>753</v>
      </c>
      <c r="J384">
        <v>15</v>
      </c>
      <c r="K384">
        <v>4967</v>
      </c>
      <c r="L384">
        <v>50341</v>
      </c>
      <c r="M384" t="s">
        <v>146</v>
      </c>
      <c r="N384">
        <v>32</v>
      </c>
      <c r="O384" s="2">
        <v>46225</v>
      </c>
      <c r="P384" s="2">
        <v>46265</v>
      </c>
      <c r="R384" t="s">
        <v>974</v>
      </c>
      <c r="S384" t="str">
        <f>"00013258"</f>
        <v>00013258</v>
      </c>
      <c r="T384" t="s">
        <v>41</v>
      </c>
      <c r="U384">
        <v>1884.58</v>
      </c>
      <c r="V384">
        <v>1884.58</v>
      </c>
      <c r="W384">
        <v>1884.58</v>
      </c>
      <c r="X384">
        <v>0</v>
      </c>
      <c r="Y384">
        <v>0</v>
      </c>
      <c r="Z384">
        <v>-490</v>
      </c>
      <c r="AA384">
        <v>1405</v>
      </c>
      <c r="AD384" t="s">
        <v>731</v>
      </c>
      <c r="AE384" t="s">
        <v>957</v>
      </c>
      <c r="AF384" t="s">
        <v>731</v>
      </c>
      <c r="AG384" s="1" t="s">
        <v>970</v>
      </c>
      <c r="AH384" t="s">
        <v>714</v>
      </c>
    </row>
    <row r="385" spans="1:34" x14ac:dyDescent="0.3">
      <c r="A385">
        <v>101</v>
      </c>
      <c r="B385" t="s">
        <v>34</v>
      </c>
      <c r="C385">
        <v>2</v>
      </c>
      <c r="D385" s="1" t="s">
        <v>973</v>
      </c>
      <c r="E385" s="1" t="s">
        <v>122</v>
      </c>
      <c r="G385">
        <v>467851</v>
      </c>
      <c r="H385" t="s">
        <v>968</v>
      </c>
      <c r="I385" t="s">
        <v>753</v>
      </c>
      <c r="J385">
        <v>15</v>
      </c>
      <c r="K385">
        <v>4967</v>
      </c>
      <c r="L385">
        <v>50341</v>
      </c>
      <c r="M385" t="s">
        <v>146</v>
      </c>
      <c r="N385">
        <v>32</v>
      </c>
      <c r="O385" s="2">
        <v>46225</v>
      </c>
      <c r="P385" s="2">
        <v>46285</v>
      </c>
      <c r="R385" t="s">
        <v>974</v>
      </c>
      <c r="S385" t="str">
        <f>"00013259"</f>
        <v>00013259</v>
      </c>
      <c r="T385" t="s">
        <v>41</v>
      </c>
      <c r="U385">
        <v>1682.97</v>
      </c>
      <c r="V385">
        <v>1682.97</v>
      </c>
      <c r="W385">
        <v>1682.97</v>
      </c>
      <c r="X385">
        <v>0</v>
      </c>
      <c r="Y385">
        <v>0</v>
      </c>
      <c r="Z385">
        <v>-510</v>
      </c>
      <c r="AA385">
        <v>1405</v>
      </c>
      <c r="AD385" t="s">
        <v>731</v>
      </c>
      <c r="AE385" t="s">
        <v>957</v>
      </c>
      <c r="AF385" t="s">
        <v>731</v>
      </c>
      <c r="AG385" s="1" t="s">
        <v>970</v>
      </c>
      <c r="AH385" t="s">
        <v>714</v>
      </c>
    </row>
    <row r="386" spans="1:34" x14ac:dyDescent="0.3">
      <c r="A386">
        <v>101</v>
      </c>
      <c r="B386" t="s">
        <v>34</v>
      </c>
      <c r="C386">
        <v>2</v>
      </c>
      <c r="D386" s="1" t="s">
        <v>977</v>
      </c>
      <c r="E386" s="1" t="s">
        <v>122</v>
      </c>
      <c r="G386">
        <v>467851</v>
      </c>
      <c r="H386" t="s">
        <v>968</v>
      </c>
      <c r="I386" t="s">
        <v>753</v>
      </c>
      <c r="J386">
        <v>15</v>
      </c>
      <c r="K386">
        <v>4967</v>
      </c>
      <c r="L386">
        <v>50341</v>
      </c>
      <c r="M386" t="s">
        <v>146</v>
      </c>
      <c r="N386">
        <v>32</v>
      </c>
      <c r="O386" s="2">
        <v>46196</v>
      </c>
      <c r="P386" s="2">
        <v>46256</v>
      </c>
      <c r="R386" t="s">
        <v>978</v>
      </c>
      <c r="S386" t="str">
        <f>"00012778"</f>
        <v>00012778</v>
      </c>
      <c r="T386" t="s">
        <v>41</v>
      </c>
      <c r="U386">
        <v>2274.5700000000002</v>
      </c>
      <c r="V386">
        <v>2274.5700000000002</v>
      </c>
      <c r="W386">
        <v>2274.5700000000002</v>
      </c>
      <c r="X386">
        <v>0</v>
      </c>
      <c r="Y386">
        <v>0</v>
      </c>
      <c r="Z386">
        <v>-481</v>
      </c>
      <c r="AA386">
        <v>830</v>
      </c>
      <c r="AD386" t="s">
        <v>731</v>
      </c>
      <c r="AE386" t="s">
        <v>957</v>
      </c>
      <c r="AF386" t="s">
        <v>731</v>
      </c>
      <c r="AG386" s="1" t="s">
        <v>970</v>
      </c>
      <c r="AH386" t="s">
        <v>714</v>
      </c>
    </row>
    <row r="387" spans="1:34" x14ac:dyDescent="0.3">
      <c r="A387">
        <v>101</v>
      </c>
      <c r="B387" t="s">
        <v>34</v>
      </c>
      <c r="C387">
        <v>2</v>
      </c>
      <c r="D387" s="1" t="s">
        <v>977</v>
      </c>
      <c r="E387" s="1" t="s">
        <v>116</v>
      </c>
      <c r="G387">
        <v>467851</v>
      </c>
      <c r="H387" t="s">
        <v>968</v>
      </c>
      <c r="I387" t="s">
        <v>753</v>
      </c>
      <c r="J387">
        <v>15</v>
      </c>
      <c r="K387">
        <v>4967</v>
      </c>
      <c r="L387">
        <v>50341</v>
      </c>
      <c r="M387" t="s">
        <v>146</v>
      </c>
      <c r="N387">
        <v>32</v>
      </c>
      <c r="O387" s="2">
        <v>46196</v>
      </c>
      <c r="P387" s="2">
        <v>46276</v>
      </c>
      <c r="R387" t="s">
        <v>978</v>
      </c>
      <c r="S387" t="str">
        <f>"00012779"</f>
        <v>00012779</v>
      </c>
      <c r="T387" t="s">
        <v>41</v>
      </c>
      <c r="U387">
        <v>2275.2600000000002</v>
      </c>
      <c r="V387">
        <v>2275.2600000000002</v>
      </c>
      <c r="W387">
        <v>2275.2600000000002</v>
      </c>
      <c r="X387">
        <v>0</v>
      </c>
      <c r="Y387">
        <v>0</v>
      </c>
      <c r="Z387">
        <v>-501</v>
      </c>
      <c r="AA387">
        <v>830</v>
      </c>
      <c r="AD387" t="s">
        <v>731</v>
      </c>
      <c r="AE387" t="s">
        <v>957</v>
      </c>
      <c r="AF387" t="s">
        <v>731</v>
      </c>
      <c r="AG387" s="1" t="s">
        <v>970</v>
      </c>
      <c r="AH387" t="s">
        <v>714</v>
      </c>
    </row>
    <row r="388" spans="1:34" x14ac:dyDescent="0.3">
      <c r="A388">
        <v>101</v>
      </c>
      <c r="B388" t="s">
        <v>34</v>
      </c>
      <c r="C388">
        <v>2</v>
      </c>
      <c r="D388" s="1" t="s">
        <v>979</v>
      </c>
      <c r="E388" s="1" t="s">
        <v>122</v>
      </c>
      <c r="G388">
        <v>467851</v>
      </c>
      <c r="H388" t="s">
        <v>968</v>
      </c>
      <c r="I388" t="s">
        <v>753</v>
      </c>
      <c r="J388">
        <v>15</v>
      </c>
      <c r="K388">
        <v>4967</v>
      </c>
      <c r="L388">
        <v>50341</v>
      </c>
      <c r="M388" t="s">
        <v>146</v>
      </c>
      <c r="N388">
        <v>32</v>
      </c>
      <c r="O388" s="2">
        <v>46196</v>
      </c>
      <c r="P388" s="2">
        <v>46256</v>
      </c>
      <c r="R388" t="s">
        <v>980</v>
      </c>
      <c r="S388" t="str">
        <f>"00012781"</f>
        <v>00012781</v>
      </c>
      <c r="T388" t="s">
        <v>41</v>
      </c>
      <c r="U388">
        <v>249.3</v>
      </c>
      <c r="V388">
        <v>249.3</v>
      </c>
      <c r="W388">
        <v>249.3</v>
      </c>
      <c r="X388">
        <v>0</v>
      </c>
      <c r="Y388">
        <v>0</v>
      </c>
      <c r="Z388">
        <v>-481</v>
      </c>
      <c r="AA388">
        <v>849</v>
      </c>
      <c r="AD388" t="s">
        <v>731</v>
      </c>
      <c r="AE388" t="s">
        <v>957</v>
      </c>
      <c r="AF388" t="s">
        <v>731</v>
      </c>
      <c r="AG388" s="1" t="s">
        <v>970</v>
      </c>
      <c r="AH388" t="s">
        <v>714</v>
      </c>
    </row>
    <row r="389" spans="1:34" x14ac:dyDescent="0.3">
      <c r="A389">
        <v>101</v>
      </c>
      <c r="B389" t="s">
        <v>34</v>
      </c>
      <c r="C389">
        <v>2</v>
      </c>
      <c r="D389" s="1" t="s">
        <v>979</v>
      </c>
      <c r="E389" s="1" t="s">
        <v>116</v>
      </c>
      <c r="G389">
        <v>467851</v>
      </c>
      <c r="H389" t="s">
        <v>968</v>
      </c>
      <c r="I389" t="s">
        <v>753</v>
      </c>
      <c r="J389">
        <v>15</v>
      </c>
      <c r="K389">
        <v>4967</v>
      </c>
      <c r="L389">
        <v>50341</v>
      </c>
      <c r="M389" t="s">
        <v>146</v>
      </c>
      <c r="N389">
        <v>32</v>
      </c>
      <c r="O389" s="2">
        <v>46196</v>
      </c>
      <c r="P389" s="2">
        <v>46276</v>
      </c>
      <c r="R389" t="s">
        <v>980</v>
      </c>
      <c r="S389" t="str">
        <f>"00012782"</f>
        <v>00012782</v>
      </c>
      <c r="T389" t="s">
        <v>41</v>
      </c>
      <c r="U389">
        <v>249.36</v>
      </c>
      <c r="V389">
        <v>249.36</v>
      </c>
      <c r="W389">
        <v>249.36</v>
      </c>
      <c r="X389">
        <v>0</v>
      </c>
      <c r="Y389">
        <v>0</v>
      </c>
      <c r="Z389">
        <v>-501</v>
      </c>
      <c r="AA389">
        <v>849</v>
      </c>
      <c r="AD389" t="s">
        <v>731</v>
      </c>
      <c r="AE389" t="s">
        <v>957</v>
      </c>
      <c r="AF389" t="s">
        <v>731</v>
      </c>
      <c r="AG389" s="1" t="s">
        <v>970</v>
      </c>
      <c r="AH389" t="s">
        <v>714</v>
      </c>
    </row>
    <row r="390" spans="1:34" x14ac:dyDescent="0.3">
      <c r="A390">
        <v>101</v>
      </c>
      <c r="B390" t="s">
        <v>34</v>
      </c>
      <c r="C390">
        <v>2</v>
      </c>
      <c r="D390" s="1" t="s">
        <v>981</v>
      </c>
      <c r="E390" s="1" t="s">
        <v>36</v>
      </c>
      <c r="G390">
        <v>470168</v>
      </c>
      <c r="H390" t="s">
        <v>982</v>
      </c>
      <c r="I390" t="s">
        <v>983</v>
      </c>
      <c r="J390">
        <v>12</v>
      </c>
      <c r="K390">
        <v>9083</v>
      </c>
      <c r="L390">
        <v>50033</v>
      </c>
      <c r="M390" t="s">
        <v>39</v>
      </c>
      <c r="N390">
        <v>32</v>
      </c>
      <c r="O390" s="2">
        <v>46234</v>
      </c>
      <c r="P390" s="2">
        <v>46279</v>
      </c>
      <c r="R390" t="s">
        <v>984</v>
      </c>
      <c r="S390" t="str">
        <f>"0000050412191"</f>
        <v>0000050412191</v>
      </c>
      <c r="T390" t="s">
        <v>41</v>
      </c>
      <c r="U390">
        <v>7922.68</v>
      </c>
      <c r="V390">
        <v>7922.68</v>
      </c>
      <c r="W390">
        <v>7922.68</v>
      </c>
      <c r="X390">
        <v>0</v>
      </c>
      <c r="Y390">
        <v>0</v>
      </c>
      <c r="Z390">
        <v>-504</v>
      </c>
      <c r="AA390">
        <v>4021</v>
      </c>
      <c r="AD390" t="s">
        <v>711</v>
      </c>
      <c r="AE390" t="s">
        <v>985</v>
      </c>
      <c r="AF390" t="s">
        <v>711</v>
      </c>
      <c r="AG390" s="1" t="s">
        <v>986</v>
      </c>
      <c r="AH390" t="s">
        <v>714</v>
      </c>
    </row>
    <row r="391" spans="1:34" x14ac:dyDescent="0.3">
      <c r="A391">
        <v>101</v>
      </c>
      <c r="B391" t="s">
        <v>34</v>
      </c>
      <c r="C391">
        <v>2</v>
      </c>
      <c r="D391" s="1" t="s">
        <v>987</v>
      </c>
      <c r="E391" s="1" t="s">
        <v>116</v>
      </c>
      <c r="G391">
        <v>999000289</v>
      </c>
      <c r="H391" t="s">
        <v>988</v>
      </c>
      <c r="I391" t="s">
        <v>989</v>
      </c>
      <c r="J391">
        <v>15</v>
      </c>
      <c r="K391">
        <v>4967</v>
      </c>
      <c r="L391">
        <v>50341</v>
      </c>
      <c r="M391" t="s">
        <v>146</v>
      </c>
      <c r="N391">
        <v>32</v>
      </c>
      <c r="O391" s="2">
        <v>46196</v>
      </c>
      <c r="P391" s="2">
        <v>46276</v>
      </c>
      <c r="R391" t="s">
        <v>990</v>
      </c>
      <c r="S391" t="str">
        <f>"00012788"</f>
        <v>00012788</v>
      </c>
      <c r="T391" t="s">
        <v>41</v>
      </c>
      <c r="U391">
        <v>543.41999999999996</v>
      </c>
      <c r="V391">
        <v>543.41999999999996</v>
      </c>
      <c r="W391">
        <v>543.41999999999996</v>
      </c>
      <c r="X391">
        <v>0</v>
      </c>
      <c r="Y391">
        <v>0</v>
      </c>
      <c r="Z391">
        <v>-501</v>
      </c>
      <c r="AA391">
        <v>818</v>
      </c>
      <c r="AD391" t="s">
        <v>915</v>
      </c>
      <c r="AE391" t="s">
        <v>991</v>
      </c>
      <c r="AF391" t="s">
        <v>731</v>
      </c>
      <c r="AG391" s="1" t="s">
        <v>992</v>
      </c>
      <c r="AH391" t="s">
        <v>714</v>
      </c>
    </row>
    <row r="392" spans="1:34" x14ac:dyDescent="0.3">
      <c r="A392">
        <v>101</v>
      </c>
      <c r="B392" t="s">
        <v>34</v>
      </c>
      <c r="C392">
        <v>2</v>
      </c>
      <c r="D392" s="1" t="s">
        <v>987</v>
      </c>
      <c r="E392" s="1" t="s">
        <v>122</v>
      </c>
      <c r="G392">
        <v>999000289</v>
      </c>
      <c r="H392" t="s">
        <v>988</v>
      </c>
      <c r="I392" t="s">
        <v>989</v>
      </c>
      <c r="J392">
        <v>15</v>
      </c>
      <c r="K392">
        <v>4967</v>
      </c>
      <c r="L392">
        <v>50341</v>
      </c>
      <c r="M392" t="s">
        <v>146</v>
      </c>
      <c r="N392">
        <v>32</v>
      </c>
      <c r="O392" s="2">
        <v>46196</v>
      </c>
      <c r="P392" s="2">
        <v>46256</v>
      </c>
      <c r="R392" t="s">
        <v>990</v>
      </c>
      <c r="S392" t="str">
        <f>"00012787"</f>
        <v>00012787</v>
      </c>
      <c r="T392" t="s">
        <v>41</v>
      </c>
      <c r="U392">
        <v>543.27</v>
      </c>
      <c r="V392">
        <v>543.27</v>
      </c>
      <c r="W392">
        <v>543.27</v>
      </c>
      <c r="X392">
        <v>0</v>
      </c>
      <c r="Y392">
        <v>0</v>
      </c>
      <c r="Z392">
        <v>-481</v>
      </c>
      <c r="AA392">
        <v>818</v>
      </c>
      <c r="AD392" t="s">
        <v>915</v>
      </c>
      <c r="AE392" t="s">
        <v>991</v>
      </c>
      <c r="AF392" t="s">
        <v>731</v>
      </c>
      <c r="AG392" s="1" t="s">
        <v>992</v>
      </c>
      <c r="AH392" t="s">
        <v>714</v>
      </c>
    </row>
    <row r="393" spans="1:34" x14ac:dyDescent="0.3">
      <c r="A393">
        <v>101</v>
      </c>
      <c r="B393" t="s">
        <v>34</v>
      </c>
      <c r="C393">
        <v>2</v>
      </c>
      <c r="D393" s="1" t="s">
        <v>993</v>
      </c>
      <c r="E393" s="1" t="s">
        <v>116</v>
      </c>
      <c r="G393">
        <v>999000289</v>
      </c>
      <c r="H393" t="s">
        <v>988</v>
      </c>
      <c r="I393" t="s">
        <v>989</v>
      </c>
      <c r="J393">
        <v>15</v>
      </c>
      <c r="K393">
        <v>4967</v>
      </c>
      <c r="L393">
        <v>50341</v>
      </c>
      <c r="M393" t="s">
        <v>146</v>
      </c>
      <c r="N393">
        <v>32</v>
      </c>
      <c r="O393" s="2">
        <v>46196</v>
      </c>
      <c r="P393" s="2">
        <v>46276</v>
      </c>
      <c r="R393" t="s">
        <v>994</v>
      </c>
      <c r="S393" t="str">
        <f>"00012791"</f>
        <v>00012791</v>
      </c>
      <c r="T393" t="s">
        <v>41</v>
      </c>
      <c r="U393">
        <v>249.36</v>
      </c>
      <c r="V393">
        <v>249.36</v>
      </c>
      <c r="W393">
        <v>249.36</v>
      </c>
      <c r="X393">
        <v>0</v>
      </c>
      <c r="Y393">
        <v>0</v>
      </c>
      <c r="Z393">
        <v>-501</v>
      </c>
      <c r="AA393">
        <v>838</v>
      </c>
      <c r="AD393" t="s">
        <v>915</v>
      </c>
      <c r="AE393" t="s">
        <v>991</v>
      </c>
      <c r="AF393" t="s">
        <v>731</v>
      </c>
      <c r="AG393" s="1" t="s">
        <v>992</v>
      </c>
      <c r="AH393" t="s">
        <v>714</v>
      </c>
    </row>
    <row r="394" spans="1:34" x14ac:dyDescent="0.3">
      <c r="A394">
        <v>101</v>
      </c>
      <c r="B394" t="s">
        <v>34</v>
      </c>
      <c r="C394">
        <v>2</v>
      </c>
      <c r="D394" s="1" t="s">
        <v>993</v>
      </c>
      <c r="E394" s="1" t="s">
        <v>122</v>
      </c>
      <c r="G394">
        <v>999000289</v>
      </c>
      <c r="H394" t="s">
        <v>988</v>
      </c>
      <c r="I394" t="s">
        <v>989</v>
      </c>
      <c r="J394">
        <v>15</v>
      </c>
      <c r="K394">
        <v>4967</v>
      </c>
      <c r="L394">
        <v>50341</v>
      </c>
      <c r="M394" t="s">
        <v>146</v>
      </c>
      <c r="N394">
        <v>32</v>
      </c>
      <c r="O394" s="2">
        <v>46196</v>
      </c>
      <c r="P394" s="2">
        <v>46256</v>
      </c>
      <c r="R394" t="s">
        <v>994</v>
      </c>
      <c r="S394" t="str">
        <f>"00012790"</f>
        <v>00012790</v>
      </c>
      <c r="T394" t="s">
        <v>41</v>
      </c>
      <c r="U394">
        <v>249.3</v>
      </c>
      <c r="V394">
        <v>249.3</v>
      </c>
      <c r="W394">
        <v>249.3</v>
      </c>
      <c r="X394">
        <v>0</v>
      </c>
      <c r="Y394">
        <v>0</v>
      </c>
      <c r="Z394">
        <v>-481</v>
      </c>
      <c r="AA394">
        <v>838</v>
      </c>
      <c r="AD394" t="s">
        <v>915</v>
      </c>
      <c r="AE394" t="s">
        <v>991</v>
      </c>
      <c r="AF394" t="s">
        <v>731</v>
      </c>
      <c r="AG394" s="1" t="s">
        <v>992</v>
      </c>
      <c r="AH394" t="s">
        <v>714</v>
      </c>
    </row>
    <row r="395" spans="1:34" x14ac:dyDescent="0.3">
      <c r="A395">
        <v>101</v>
      </c>
      <c r="B395" t="s">
        <v>34</v>
      </c>
      <c r="C395">
        <v>2</v>
      </c>
      <c r="D395" s="1" t="s">
        <v>995</v>
      </c>
      <c r="E395" s="1" t="s">
        <v>116</v>
      </c>
      <c r="G395">
        <v>999000289</v>
      </c>
      <c r="H395" t="s">
        <v>988</v>
      </c>
      <c r="I395" t="s">
        <v>989</v>
      </c>
      <c r="J395">
        <v>15</v>
      </c>
      <c r="K395">
        <v>4967</v>
      </c>
      <c r="L395">
        <v>50341</v>
      </c>
      <c r="M395" t="s">
        <v>146</v>
      </c>
      <c r="N395">
        <v>32</v>
      </c>
      <c r="O395" s="2">
        <v>46225</v>
      </c>
      <c r="P395" s="2">
        <v>46305</v>
      </c>
      <c r="R395" t="s">
        <v>996</v>
      </c>
      <c r="S395" t="str">
        <f>"00013264"</f>
        <v>00013264</v>
      </c>
      <c r="T395" t="s">
        <v>41</v>
      </c>
      <c r="U395">
        <v>675.77</v>
      </c>
      <c r="V395">
        <v>675.77</v>
      </c>
      <c r="W395">
        <v>675.77</v>
      </c>
      <c r="X395">
        <v>0</v>
      </c>
      <c r="Y395">
        <v>0</v>
      </c>
      <c r="Z395">
        <v>-530</v>
      </c>
      <c r="AA395">
        <v>1393</v>
      </c>
      <c r="AD395" t="s">
        <v>915</v>
      </c>
      <c r="AE395" t="s">
        <v>991</v>
      </c>
      <c r="AF395" t="s">
        <v>731</v>
      </c>
      <c r="AG395" s="1" t="s">
        <v>992</v>
      </c>
      <c r="AH395" t="s">
        <v>714</v>
      </c>
    </row>
    <row r="396" spans="1:34" x14ac:dyDescent="0.3">
      <c r="A396">
        <v>101</v>
      </c>
      <c r="B396" t="s">
        <v>34</v>
      </c>
      <c r="C396">
        <v>2</v>
      </c>
      <c r="D396" s="1" t="s">
        <v>995</v>
      </c>
      <c r="E396" s="1" t="s">
        <v>36</v>
      </c>
      <c r="G396">
        <v>999000289</v>
      </c>
      <c r="H396" t="s">
        <v>988</v>
      </c>
      <c r="I396" t="s">
        <v>989</v>
      </c>
      <c r="J396">
        <v>15</v>
      </c>
      <c r="K396">
        <v>4967</v>
      </c>
      <c r="L396">
        <v>50341</v>
      </c>
      <c r="M396" t="s">
        <v>146</v>
      </c>
      <c r="N396">
        <v>32</v>
      </c>
      <c r="O396" s="2">
        <v>46225</v>
      </c>
      <c r="P396" s="2">
        <v>46265</v>
      </c>
      <c r="R396" t="s">
        <v>996</v>
      </c>
      <c r="S396" t="str">
        <f>"00013262"</f>
        <v>00013262</v>
      </c>
      <c r="T396" t="s">
        <v>41</v>
      </c>
      <c r="U396">
        <v>835.56</v>
      </c>
      <c r="V396">
        <v>835.56</v>
      </c>
      <c r="W396">
        <v>835.56</v>
      </c>
      <c r="X396">
        <v>0</v>
      </c>
      <c r="Y396">
        <v>0</v>
      </c>
      <c r="Z396">
        <v>-490</v>
      </c>
      <c r="AA396">
        <v>1393</v>
      </c>
      <c r="AD396" t="s">
        <v>915</v>
      </c>
      <c r="AE396" t="s">
        <v>991</v>
      </c>
      <c r="AF396" t="s">
        <v>731</v>
      </c>
      <c r="AG396" s="1" t="s">
        <v>992</v>
      </c>
      <c r="AH396" t="s">
        <v>714</v>
      </c>
    </row>
    <row r="397" spans="1:34" x14ac:dyDescent="0.3">
      <c r="A397">
        <v>101</v>
      </c>
      <c r="B397" t="s">
        <v>34</v>
      </c>
      <c r="C397">
        <v>2</v>
      </c>
      <c r="D397" s="1" t="s">
        <v>995</v>
      </c>
      <c r="E397" s="1" t="s">
        <v>122</v>
      </c>
      <c r="G397">
        <v>999000289</v>
      </c>
      <c r="H397" t="s">
        <v>988</v>
      </c>
      <c r="I397" t="s">
        <v>989</v>
      </c>
      <c r="J397">
        <v>15</v>
      </c>
      <c r="K397">
        <v>4967</v>
      </c>
      <c r="L397">
        <v>50341</v>
      </c>
      <c r="M397" t="s">
        <v>146</v>
      </c>
      <c r="N397">
        <v>32</v>
      </c>
      <c r="O397" s="2">
        <v>46225</v>
      </c>
      <c r="P397" s="2">
        <v>46285</v>
      </c>
      <c r="R397" t="s">
        <v>996</v>
      </c>
      <c r="S397" t="str">
        <f>"00013263"</f>
        <v>00013263</v>
      </c>
      <c r="T397" t="s">
        <v>41</v>
      </c>
      <c r="U397">
        <v>675.57</v>
      </c>
      <c r="V397">
        <v>675.57</v>
      </c>
      <c r="W397">
        <v>675.57</v>
      </c>
      <c r="X397">
        <v>0</v>
      </c>
      <c r="Y397">
        <v>0</v>
      </c>
      <c r="Z397">
        <v>-510</v>
      </c>
      <c r="AA397">
        <v>1393</v>
      </c>
      <c r="AD397" t="s">
        <v>915</v>
      </c>
      <c r="AE397" t="s">
        <v>991</v>
      </c>
      <c r="AF397" t="s">
        <v>731</v>
      </c>
      <c r="AG397" s="1" t="s">
        <v>992</v>
      </c>
      <c r="AH397" t="s">
        <v>714</v>
      </c>
    </row>
    <row r="398" spans="1:34" x14ac:dyDescent="0.3">
      <c r="A398">
        <v>101</v>
      </c>
      <c r="B398" t="s">
        <v>34</v>
      </c>
      <c r="C398">
        <v>2</v>
      </c>
      <c r="D398" s="1" t="s">
        <v>997</v>
      </c>
      <c r="E398" s="1" t="s">
        <v>36</v>
      </c>
      <c r="G398">
        <v>2795</v>
      </c>
      <c r="H398" t="s">
        <v>998</v>
      </c>
      <c r="I398" t="s">
        <v>999</v>
      </c>
      <c r="J398">
        <v>12</v>
      </c>
      <c r="K398">
        <v>10940</v>
      </c>
      <c r="L398">
        <v>50001</v>
      </c>
      <c r="M398" t="s">
        <v>39</v>
      </c>
      <c r="N398">
        <v>34</v>
      </c>
      <c r="O398" s="2">
        <v>46230</v>
      </c>
      <c r="P398" s="2">
        <v>46266</v>
      </c>
      <c r="R398" t="s">
        <v>1000</v>
      </c>
      <c r="S398" t="str">
        <f>"25666160000051627"</f>
        <v>25666160000051627</v>
      </c>
      <c r="T398" t="s">
        <v>41</v>
      </c>
      <c r="U398">
        <v>1378.23</v>
      </c>
      <c r="V398">
        <v>1309.32</v>
      </c>
      <c r="W398">
        <v>1309.32</v>
      </c>
      <c r="X398">
        <v>0</v>
      </c>
      <c r="Y398">
        <v>0</v>
      </c>
      <c r="Z398">
        <v>-491</v>
      </c>
      <c r="AA398">
        <v>1762</v>
      </c>
      <c r="AD398" t="s">
        <v>64</v>
      </c>
      <c r="AE398" t="s">
        <v>1001</v>
      </c>
      <c r="AF398" t="s">
        <v>64</v>
      </c>
      <c r="AG398" s="1" t="s">
        <v>1002</v>
      </c>
      <c r="AH398" t="s">
        <v>44</v>
      </c>
    </row>
    <row r="399" spans="1:34" x14ac:dyDescent="0.3">
      <c r="A399">
        <v>101</v>
      </c>
      <c r="B399" t="s">
        <v>34</v>
      </c>
      <c r="C399">
        <v>2</v>
      </c>
      <c r="D399" s="1" t="s">
        <v>997</v>
      </c>
      <c r="E399" s="1" t="s">
        <v>122</v>
      </c>
      <c r="G399">
        <v>2795</v>
      </c>
      <c r="H399" t="s">
        <v>998</v>
      </c>
      <c r="I399" t="s">
        <v>999</v>
      </c>
      <c r="J399">
        <v>12</v>
      </c>
      <c r="K399">
        <v>10940</v>
      </c>
      <c r="L399">
        <v>50001</v>
      </c>
      <c r="M399" t="s">
        <v>39</v>
      </c>
      <c r="N399">
        <v>34</v>
      </c>
      <c r="O399" s="2">
        <v>46230</v>
      </c>
      <c r="P399" s="2">
        <v>46276</v>
      </c>
      <c r="R399" t="s">
        <v>1000</v>
      </c>
      <c r="S399" t="str">
        <f>"25666160000051628"</f>
        <v>25666160000051628</v>
      </c>
      <c r="T399" t="s">
        <v>41</v>
      </c>
      <c r="U399">
        <v>1297.5999999999999</v>
      </c>
      <c r="V399">
        <v>1232.72</v>
      </c>
      <c r="W399">
        <v>1232.72</v>
      </c>
      <c r="X399">
        <v>0</v>
      </c>
      <c r="Y399">
        <v>0</v>
      </c>
      <c r="Z399">
        <v>-501</v>
      </c>
      <c r="AA399">
        <v>1762</v>
      </c>
      <c r="AD399" t="s">
        <v>64</v>
      </c>
      <c r="AE399" t="s">
        <v>1001</v>
      </c>
      <c r="AF399" t="s">
        <v>64</v>
      </c>
      <c r="AG399" s="1" t="s">
        <v>1002</v>
      </c>
      <c r="AH399" t="s">
        <v>44</v>
      </c>
    </row>
    <row r="400" spans="1:34" x14ac:dyDescent="0.3">
      <c r="A400">
        <v>101</v>
      </c>
      <c r="B400" t="s">
        <v>34</v>
      </c>
      <c r="C400">
        <v>2</v>
      </c>
      <c r="D400" s="1" t="s">
        <v>1003</v>
      </c>
      <c r="E400" s="1" t="s">
        <v>122</v>
      </c>
      <c r="G400">
        <v>4474</v>
      </c>
      <c r="H400" t="s">
        <v>1004</v>
      </c>
      <c r="I400" t="s">
        <v>1005</v>
      </c>
      <c r="J400">
        <v>12</v>
      </c>
      <c r="K400">
        <v>10940</v>
      </c>
      <c r="L400">
        <v>50001</v>
      </c>
      <c r="M400" t="s">
        <v>39</v>
      </c>
      <c r="N400">
        <v>34</v>
      </c>
      <c r="O400" s="2">
        <v>46230</v>
      </c>
      <c r="P400" s="2">
        <v>46270</v>
      </c>
      <c r="R400" t="s">
        <v>1006</v>
      </c>
      <c r="S400" t="str">
        <f>"25666160000051633"</f>
        <v>25666160000051633</v>
      </c>
      <c r="T400" t="s">
        <v>41</v>
      </c>
      <c r="U400">
        <v>1857.5</v>
      </c>
      <c r="V400">
        <v>1764.63</v>
      </c>
      <c r="W400">
        <v>1764.63</v>
      </c>
      <c r="X400">
        <v>0</v>
      </c>
      <c r="Y400">
        <v>0</v>
      </c>
      <c r="Z400">
        <v>-495</v>
      </c>
      <c r="AA400">
        <v>1761</v>
      </c>
      <c r="AD400" t="s">
        <v>64</v>
      </c>
      <c r="AE400" t="s">
        <v>1007</v>
      </c>
      <c r="AF400" t="s">
        <v>64</v>
      </c>
      <c r="AG400">
        <v>63098354000130</v>
      </c>
      <c r="AH400" t="s">
        <v>44</v>
      </c>
    </row>
    <row r="401" spans="1:34" x14ac:dyDescent="0.3">
      <c r="A401">
        <v>101</v>
      </c>
      <c r="B401" t="s">
        <v>34</v>
      </c>
      <c r="C401">
        <v>2</v>
      </c>
      <c r="D401" s="1" t="s">
        <v>1003</v>
      </c>
      <c r="E401" s="1" t="s">
        <v>36</v>
      </c>
      <c r="G401">
        <v>4474</v>
      </c>
      <c r="H401" t="s">
        <v>1004</v>
      </c>
      <c r="I401" t="s">
        <v>1005</v>
      </c>
      <c r="J401">
        <v>12</v>
      </c>
      <c r="K401">
        <v>10940</v>
      </c>
      <c r="L401">
        <v>50001</v>
      </c>
      <c r="M401" t="s">
        <v>39</v>
      </c>
      <c r="N401">
        <v>34</v>
      </c>
      <c r="O401" s="2">
        <v>46230</v>
      </c>
      <c r="P401" s="2">
        <v>46260</v>
      </c>
      <c r="R401" t="s">
        <v>1006</v>
      </c>
      <c r="S401" t="str">
        <f>"25666160000051632"</f>
        <v>25666160000051632</v>
      </c>
      <c r="T401" t="s">
        <v>41</v>
      </c>
      <c r="U401">
        <v>1951.68</v>
      </c>
      <c r="V401">
        <v>1854.1</v>
      </c>
      <c r="W401">
        <v>1854.1</v>
      </c>
      <c r="X401">
        <v>0</v>
      </c>
      <c r="Y401">
        <v>0</v>
      </c>
      <c r="Z401">
        <v>-485</v>
      </c>
      <c r="AA401">
        <v>1761</v>
      </c>
      <c r="AD401" t="s">
        <v>64</v>
      </c>
      <c r="AE401" t="s">
        <v>1007</v>
      </c>
      <c r="AF401" t="s">
        <v>64</v>
      </c>
      <c r="AG401">
        <v>63098354000130</v>
      </c>
      <c r="AH401" t="s">
        <v>44</v>
      </c>
    </row>
    <row r="402" spans="1:34" x14ac:dyDescent="0.3">
      <c r="A402">
        <v>101</v>
      </c>
      <c r="B402" t="s">
        <v>34</v>
      </c>
      <c r="C402">
        <v>2</v>
      </c>
      <c r="D402" s="1" t="s">
        <v>1008</v>
      </c>
      <c r="E402" s="1" t="s">
        <v>122</v>
      </c>
      <c r="G402">
        <v>5415</v>
      </c>
      <c r="H402" t="s">
        <v>1009</v>
      </c>
      <c r="I402" t="s">
        <v>1010</v>
      </c>
      <c r="J402">
        <v>12</v>
      </c>
      <c r="K402">
        <v>10940</v>
      </c>
      <c r="L402">
        <v>50001</v>
      </c>
      <c r="M402" t="s">
        <v>39</v>
      </c>
      <c r="N402">
        <v>34</v>
      </c>
      <c r="O402" s="2">
        <v>46230</v>
      </c>
      <c r="P402" s="2">
        <v>46275</v>
      </c>
      <c r="R402" t="s">
        <v>1011</v>
      </c>
      <c r="S402" t="str">
        <f>"25666160000051635"</f>
        <v>25666160000051635</v>
      </c>
      <c r="T402" t="s">
        <v>41</v>
      </c>
      <c r="U402">
        <v>1327.82</v>
      </c>
      <c r="V402">
        <v>1261.43</v>
      </c>
      <c r="W402">
        <v>1261.43</v>
      </c>
      <c r="X402">
        <v>0</v>
      </c>
      <c r="Y402">
        <v>0</v>
      </c>
      <c r="Z402">
        <v>-500</v>
      </c>
      <c r="AA402">
        <v>1763</v>
      </c>
      <c r="AD402" t="s">
        <v>64</v>
      </c>
      <c r="AE402" t="s">
        <v>1012</v>
      </c>
      <c r="AF402" t="s">
        <v>64</v>
      </c>
      <c r="AG402">
        <v>43154996000100</v>
      </c>
      <c r="AH402" t="s">
        <v>44</v>
      </c>
    </row>
    <row r="403" spans="1:34" x14ac:dyDescent="0.3">
      <c r="A403">
        <v>101</v>
      </c>
      <c r="B403" t="s">
        <v>34</v>
      </c>
      <c r="C403">
        <v>2</v>
      </c>
      <c r="D403" s="1" t="s">
        <v>1008</v>
      </c>
      <c r="E403" s="1" t="s">
        <v>36</v>
      </c>
      <c r="G403">
        <v>5415</v>
      </c>
      <c r="H403" t="s">
        <v>1009</v>
      </c>
      <c r="I403" t="s">
        <v>1010</v>
      </c>
      <c r="J403">
        <v>12</v>
      </c>
      <c r="K403">
        <v>10940</v>
      </c>
      <c r="L403">
        <v>50001</v>
      </c>
      <c r="M403" t="s">
        <v>39</v>
      </c>
      <c r="N403">
        <v>34</v>
      </c>
      <c r="O403" s="2">
        <v>46230</v>
      </c>
      <c r="P403" s="2">
        <v>46265</v>
      </c>
      <c r="R403" t="s">
        <v>1011</v>
      </c>
      <c r="S403" t="str">
        <f>"25666160000051634"</f>
        <v>25666160000051634</v>
      </c>
      <c r="T403" t="s">
        <v>41</v>
      </c>
      <c r="U403">
        <v>1399.18</v>
      </c>
      <c r="V403">
        <v>1329.22</v>
      </c>
      <c r="W403">
        <v>1329.22</v>
      </c>
      <c r="X403">
        <v>0</v>
      </c>
      <c r="Y403">
        <v>0</v>
      </c>
      <c r="Z403">
        <v>-490</v>
      </c>
      <c r="AA403">
        <v>1763</v>
      </c>
      <c r="AD403" t="s">
        <v>64</v>
      </c>
      <c r="AE403" t="s">
        <v>1012</v>
      </c>
      <c r="AF403" t="s">
        <v>64</v>
      </c>
      <c r="AG403">
        <v>43154996000100</v>
      </c>
      <c r="AH403" t="s">
        <v>44</v>
      </c>
    </row>
    <row r="404" spans="1:34" x14ac:dyDescent="0.3">
      <c r="A404">
        <v>101</v>
      </c>
      <c r="B404" t="s">
        <v>34</v>
      </c>
      <c r="C404">
        <v>2</v>
      </c>
      <c r="D404" s="1" t="s">
        <v>1013</v>
      </c>
      <c r="E404" s="1" t="s">
        <v>122</v>
      </c>
      <c r="G404">
        <v>5566</v>
      </c>
      <c r="H404" t="s">
        <v>1014</v>
      </c>
      <c r="I404" t="s">
        <v>1015</v>
      </c>
      <c r="J404">
        <v>12</v>
      </c>
      <c r="K404">
        <v>5566</v>
      </c>
      <c r="L404">
        <v>50033</v>
      </c>
      <c r="M404" t="s">
        <v>39</v>
      </c>
      <c r="N404">
        <v>34</v>
      </c>
      <c r="O404" s="2">
        <v>46251</v>
      </c>
      <c r="P404" s="2">
        <v>46296</v>
      </c>
      <c r="R404" t="s">
        <v>1016</v>
      </c>
      <c r="S404" t="str">
        <f>"0000050413490"</f>
        <v>0000050413490</v>
      </c>
      <c r="T404" t="s">
        <v>41</v>
      </c>
      <c r="U404">
        <v>1343.27</v>
      </c>
      <c r="V404">
        <v>1343.27</v>
      </c>
      <c r="W404">
        <v>1343.27</v>
      </c>
      <c r="X404">
        <v>0</v>
      </c>
      <c r="Y404">
        <v>0</v>
      </c>
      <c r="Z404">
        <v>-521</v>
      </c>
      <c r="AA404">
        <v>4643</v>
      </c>
      <c r="AD404" t="s">
        <v>64</v>
      </c>
      <c r="AE404" t="s">
        <v>1017</v>
      </c>
      <c r="AF404" t="s">
        <v>64</v>
      </c>
      <c r="AG404">
        <v>72906027000159</v>
      </c>
      <c r="AH404" t="s">
        <v>44</v>
      </c>
    </row>
    <row r="405" spans="1:34" x14ac:dyDescent="0.3">
      <c r="A405">
        <v>101</v>
      </c>
      <c r="B405" t="s">
        <v>34</v>
      </c>
      <c r="C405">
        <v>2</v>
      </c>
      <c r="D405" s="1" t="s">
        <v>1013</v>
      </c>
      <c r="E405" s="1" t="s">
        <v>36</v>
      </c>
      <c r="G405">
        <v>5566</v>
      </c>
      <c r="H405" t="s">
        <v>1014</v>
      </c>
      <c r="I405" t="s">
        <v>1015</v>
      </c>
      <c r="J405">
        <v>12</v>
      </c>
      <c r="K405">
        <v>5566</v>
      </c>
      <c r="L405">
        <v>50033</v>
      </c>
      <c r="M405" t="s">
        <v>39</v>
      </c>
      <c r="N405">
        <v>34</v>
      </c>
      <c r="O405" s="2">
        <v>46251</v>
      </c>
      <c r="P405" s="2">
        <v>46286</v>
      </c>
      <c r="R405" t="s">
        <v>1016</v>
      </c>
      <c r="S405" t="str">
        <f>"0000050413481"</f>
        <v>0000050413481</v>
      </c>
      <c r="T405" t="s">
        <v>41</v>
      </c>
      <c r="U405">
        <v>1416.31</v>
      </c>
      <c r="V405">
        <v>1416.31</v>
      </c>
      <c r="W405">
        <v>1416.31</v>
      </c>
      <c r="X405">
        <v>0</v>
      </c>
      <c r="Y405">
        <v>0</v>
      </c>
      <c r="Z405">
        <v>-511</v>
      </c>
      <c r="AA405">
        <v>4643</v>
      </c>
      <c r="AD405" t="s">
        <v>64</v>
      </c>
      <c r="AE405" t="s">
        <v>1017</v>
      </c>
      <c r="AF405" t="s">
        <v>64</v>
      </c>
      <c r="AG405">
        <v>72906027000159</v>
      </c>
      <c r="AH405" t="s">
        <v>44</v>
      </c>
    </row>
    <row r="406" spans="1:34" x14ac:dyDescent="0.3">
      <c r="A406">
        <v>101</v>
      </c>
      <c r="B406" t="s">
        <v>34</v>
      </c>
      <c r="C406">
        <v>2</v>
      </c>
      <c r="D406" s="1" t="s">
        <v>1018</v>
      </c>
      <c r="E406" s="1" t="s">
        <v>122</v>
      </c>
      <c r="G406">
        <v>6952</v>
      </c>
      <c r="H406" t="s">
        <v>1019</v>
      </c>
      <c r="I406" t="s">
        <v>1020</v>
      </c>
      <c r="J406">
        <v>12</v>
      </c>
      <c r="K406">
        <v>6952</v>
      </c>
      <c r="L406">
        <v>50033</v>
      </c>
      <c r="M406" t="s">
        <v>39</v>
      </c>
      <c r="N406">
        <v>34</v>
      </c>
      <c r="O406" s="2">
        <v>46235</v>
      </c>
      <c r="P406" s="2">
        <v>46280</v>
      </c>
      <c r="R406" t="s">
        <v>1021</v>
      </c>
      <c r="S406" t="str">
        <f>"0000050411845"</f>
        <v>0000050411845</v>
      </c>
      <c r="T406" t="s">
        <v>41</v>
      </c>
      <c r="U406">
        <v>1038.0899999999999</v>
      </c>
      <c r="V406">
        <v>1038.0899999999999</v>
      </c>
      <c r="W406">
        <v>1038.0899999999999</v>
      </c>
      <c r="X406">
        <v>0</v>
      </c>
      <c r="Y406">
        <v>0</v>
      </c>
      <c r="Z406">
        <v>-505</v>
      </c>
      <c r="AA406">
        <v>4034</v>
      </c>
      <c r="AD406" t="s">
        <v>64</v>
      </c>
      <c r="AE406" t="s">
        <v>1022</v>
      </c>
      <c r="AF406" t="s">
        <v>64</v>
      </c>
      <c r="AG406">
        <v>52809308000186</v>
      </c>
      <c r="AH406" t="s">
        <v>44</v>
      </c>
    </row>
    <row r="407" spans="1:34" x14ac:dyDescent="0.3">
      <c r="A407">
        <v>101</v>
      </c>
      <c r="B407" t="s">
        <v>34</v>
      </c>
      <c r="C407">
        <v>2</v>
      </c>
      <c r="D407" s="1" t="s">
        <v>1018</v>
      </c>
      <c r="E407" s="1" t="s">
        <v>36</v>
      </c>
      <c r="G407">
        <v>6952</v>
      </c>
      <c r="H407" t="s">
        <v>1019</v>
      </c>
      <c r="I407" t="s">
        <v>1020</v>
      </c>
      <c r="J407">
        <v>12</v>
      </c>
      <c r="K407">
        <v>6952</v>
      </c>
      <c r="L407">
        <v>50033</v>
      </c>
      <c r="M407" t="s">
        <v>39</v>
      </c>
      <c r="N407">
        <v>34</v>
      </c>
      <c r="O407" s="2">
        <v>46235</v>
      </c>
      <c r="P407" s="2">
        <v>46270</v>
      </c>
      <c r="R407" t="s">
        <v>1021</v>
      </c>
      <c r="S407" t="str">
        <f>"0000050411837"</f>
        <v>0000050411837</v>
      </c>
      <c r="T407" t="s">
        <v>41</v>
      </c>
      <c r="U407">
        <v>1050.8599999999999</v>
      </c>
      <c r="V407">
        <v>1050.8599999999999</v>
      </c>
      <c r="W407">
        <v>1050.8599999999999</v>
      </c>
      <c r="X407">
        <v>0</v>
      </c>
      <c r="Y407">
        <v>0</v>
      </c>
      <c r="Z407">
        <v>-495</v>
      </c>
      <c r="AA407">
        <v>4034</v>
      </c>
      <c r="AD407" t="s">
        <v>64</v>
      </c>
      <c r="AE407" t="s">
        <v>1022</v>
      </c>
      <c r="AF407" t="s">
        <v>64</v>
      </c>
      <c r="AG407">
        <v>52809308000186</v>
      </c>
      <c r="AH407" t="s">
        <v>44</v>
      </c>
    </row>
    <row r="408" spans="1:34" x14ac:dyDescent="0.3">
      <c r="A408">
        <v>101</v>
      </c>
      <c r="B408" t="s">
        <v>34</v>
      </c>
      <c r="C408">
        <v>2</v>
      </c>
      <c r="D408" s="1" t="s">
        <v>1023</v>
      </c>
      <c r="E408" s="1" t="s">
        <v>36</v>
      </c>
      <c r="G408">
        <v>8706</v>
      </c>
      <c r="H408" t="s">
        <v>1024</v>
      </c>
      <c r="I408" t="s">
        <v>1025</v>
      </c>
      <c r="J408">
        <v>12</v>
      </c>
      <c r="K408">
        <v>10940</v>
      </c>
      <c r="L408">
        <v>50033</v>
      </c>
      <c r="M408" t="s">
        <v>39</v>
      </c>
      <c r="N408">
        <v>34</v>
      </c>
      <c r="O408" s="2">
        <v>46235</v>
      </c>
      <c r="P408" s="2">
        <v>46270</v>
      </c>
      <c r="R408" t="s">
        <v>1026</v>
      </c>
      <c r="S408" t="str">
        <f>"0000050411861"</f>
        <v>0000050411861</v>
      </c>
      <c r="T408" t="s">
        <v>41</v>
      </c>
      <c r="U408">
        <v>3019.39</v>
      </c>
      <c r="V408">
        <v>2868.42</v>
      </c>
      <c r="W408">
        <v>2868.42</v>
      </c>
      <c r="X408">
        <v>0</v>
      </c>
      <c r="Y408">
        <v>0</v>
      </c>
      <c r="Z408">
        <v>-495</v>
      </c>
      <c r="AA408">
        <v>4084</v>
      </c>
      <c r="AD408" t="s">
        <v>64</v>
      </c>
      <c r="AE408" t="s">
        <v>1027</v>
      </c>
      <c r="AF408" t="s">
        <v>64</v>
      </c>
      <c r="AG408" s="1" t="s">
        <v>1028</v>
      </c>
      <c r="AH408" t="s">
        <v>44</v>
      </c>
    </row>
    <row r="409" spans="1:34" x14ac:dyDescent="0.3">
      <c r="A409">
        <v>101</v>
      </c>
      <c r="B409" t="s">
        <v>34</v>
      </c>
      <c r="C409">
        <v>2</v>
      </c>
      <c r="D409" s="1" t="s">
        <v>1023</v>
      </c>
      <c r="E409" s="1" t="s">
        <v>122</v>
      </c>
      <c r="G409">
        <v>8706</v>
      </c>
      <c r="H409" t="s">
        <v>1024</v>
      </c>
      <c r="I409" t="s">
        <v>1025</v>
      </c>
      <c r="J409">
        <v>12</v>
      </c>
      <c r="K409">
        <v>10940</v>
      </c>
      <c r="L409">
        <v>50033</v>
      </c>
      <c r="M409" t="s">
        <v>39</v>
      </c>
      <c r="N409">
        <v>34</v>
      </c>
      <c r="O409" s="2">
        <v>46235</v>
      </c>
      <c r="P409" s="2">
        <v>46280</v>
      </c>
      <c r="R409" t="s">
        <v>1026</v>
      </c>
      <c r="S409" t="str">
        <f>"0000050411870"</f>
        <v>0000050411870</v>
      </c>
      <c r="T409" t="s">
        <v>41</v>
      </c>
      <c r="U409">
        <v>2996.37</v>
      </c>
      <c r="V409">
        <v>2846.55</v>
      </c>
      <c r="W409">
        <v>2846.55</v>
      </c>
      <c r="X409">
        <v>0</v>
      </c>
      <c r="Y409">
        <v>0</v>
      </c>
      <c r="Z409">
        <v>-505</v>
      </c>
      <c r="AA409">
        <v>4084</v>
      </c>
      <c r="AD409" t="s">
        <v>64</v>
      </c>
      <c r="AE409" t="s">
        <v>1027</v>
      </c>
      <c r="AF409" t="s">
        <v>64</v>
      </c>
      <c r="AG409" s="1" t="s">
        <v>1028</v>
      </c>
      <c r="AH409" t="s">
        <v>44</v>
      </c>
    </row>
    <row r="410" spans="1:34" x14ac:dyDescent="0.3">
      <c r="A410">
        <v>101</v>
      </c>
      <c r="B410" t="s">
        <v>34</v>
      </c>
      <c r="C410">
        <v>2</v>
      </c>
      <c r="D410" s="1" t="s">
        <v>1029</v>
      </c>
      <c r="E410" s="1" t="s">
        <v>36</v>
      </c>
      <c r="G410">
        <v>9521</v>
      </c>
      <c r="H410" t="s">
        <v>1030</v>
      </c>
      <c r="I410" t="s">
        <v>1031</v>
      </c>
      <c r="J410">
        <v>12</v>
      </c>
      <c r="K410">
        <v>9521</v>
      </c>
      <c r="L410">
        <v>50001</v>
      </c>
      <c r="M410" t="s">
        <v>39</v>
      </c>
      <c r="N410">
        <v>34</v>
      </c>
      <c r="O410" s="2">
        <v>46235</v>
      </c>
      <c r="P410" s="2">
        <v>46263</v>
      </c>
      <c r="R410" t="s">
        <v>1032</v>
      </c>
      <c r="S410" t="str">
        <f>"25666160000051715"</f>
        <v>25666160000051715</v>
      </c>
      <c r="T410" t="s">
        <v>41</v>
      </c>
      <c r="U410">
        <v>1321.25</v>
      </c>
      <c r="V410">
        <v>1321.25</v>
      </c>
      <c r="W410">
        <v>1321.25</v>
      </c>
      <c r="X410">
        <v>0</v>
      </c>
      <c r="Y410">
        <v>0</v>
      </c>
      <c r="Z410">
        <v>-488</v>
      </c>
      <c r="AA410">
        <v>1872</v>
      </c>
      <c r="AD410" t="s">
        <v>64</v>
      </c>
      <c r="AE410" t="s">
        <v>1033</v>
      </c>
      <c r="AF410" t="s">
        <v>64</v>
      </c>
      <c r="AG410">
        <v>10884391000108</v>
      </c>
      <c r="AH410" t="s">
        <v>44</v>
      </c>
    </row>
    <row r="411" spans="1:34" x14ac:dyDescent="0.3">
      <c r="A411">
        <v>101</v>
      </c>
      <c r="B411" t="s">
        <v>34</v>
      </c>
      <c r="C411">
        <v>2</v>
      </c>
      <c r="D411" s="1" t="s">
        <v>1029</v>
      </c>
      <c r="E411" s="1" t="s">
        <v>122</v>
      </c>
      <c r="G411">
        <v>9521</v>
      </c>
      <c r="H411" t="s">
        <v>1030</v>
      </c>
      <c r="I411" t="s">
        <v>1031</v>
      </c>
      <c r="J411">
        <v>12</v>
      </c>
      <c r="K411">
        <v>9521</v>
      </c>
      <c r="L411">
        <v>50001</v>
      </c>
      <c r="M411" t="s">
        <v>39</v>
      </c>
      <c r="N411">
        <v>34</v>
      </c>
      <c r="O411" s="2">
        <v>46235</v>
      </c>
      <c r="P411" s="2">
        <v>46270</v>
      </c>
      <c r="R411" t="s">
        <v>1032</v>
      </c>
      <c r="S411" t="str">
        <f>"25666160000051716"</f>
        <v>25666160000051716</v>
      </c>
      <c r="T411" t="s">
        <v>41</v>
      </c>
      <c r="U411">
        <v>1201.8800000000001</v>
      </c>
      <c r="V411">
        <v>1201.8800000000001</v>
      </c>
      <c r="W411">
        <v>1201.8800000000001</v>
      </c>
      <c r="X411">
        <v>0</v>
      </c>
      <c r="Y411">
        <v>0</v>
      </c>
      <c r="Z411">
        <v>-495</v>
      </c>
      <c r="AA411">
        <v>1872</v>
      </c>
      <c r="AD411" t="s">
        <v>64</v>
      </c>
      <c r="AE411" t="s">
        <v>1033</v>
      </c>
      <c r="AF411" t="s">
        <v>64</v>
      </c>
      <c r="AG411">
        <v>10884391000108</v>
      </c>
      <c r="AH411" t="s">
        <v>44</v>
      </c>
    </row>
    <row r="412" spans="1:34" x14ac:dyDescent="0.3">
      <c r="A412">
        <v>101</v>
      </c>
      <c r="B412" t="s">
        <v>34</v>
      </c>
      <c r="C412">
        <v>2</v>
      </c>
      <c r="D412" s="1" t="s">
        <v>1029</v>
      </c>
      <c r="E412" s="1" t="s">
        <v>116</v>
      </c>
      <c r="G412">
        <v>9521</v>
      </c>
      <c r="H412" t="s">
        <v>1030</v>
      </c>
      <c r="I412" t="s">
        <v>1031</v>
      </c>
      <c r="J412">
        <v>12</v>
      </c>
      <c r="K412">
        <v>9521</v>
      </c>
      <c r="L412">
        <v>50001</v>
      </c>
      <c r="M412" t="s">
        <v>39</v>
      </c>
      <c r="N412">
        <v>34</v>
      </c>
      <c r="O412" s="2">
        <v>46235</v>
      </c>
      <c r="P412" s="2">
        <v>46277</v>
      </c>
      <c r="R412" t="s">
        <v>1032</v>
      </c>
      <c r="S412" t="str">
        <f>"25666160000051717"</f>
        <v>25666160000051717</v>
      </c>
      <c r="T412" t="s">
        <v>41</v>
      </c>
      <c r="U412">
        <v>1202.24</v>
      </c>
      <c r="V412">
        <v>1202.24</v>
      </c>
      <c r="W412">
        <v>1202.24</v>
      </c>
      <c r="X412">
        <v>0</v>
      </c>
      <c r="Y412">
        <v>0</v>
      </c>
      <c r="Z412">
        <v>-502</v>
      </c>
      <c r="AA412">
        <v>1872</v>
      </c>
      <c r="AD412" t="s">
        <v>64</v>
      </c>
      <c r="AE412" t="s">
        <v>1033</v>
      </c>
      <c r="AF412" t="s">
        <v>64</v>
      </c>
      <c r="AG412">
        <v>10884391000108</v>
      </c>
      <c r="AH412" t="s">
        <v>44</v>
      </c>
    </row>
    <row r="413" spans="1:34" x14ac:dyDescent="0.3">
      <c r="A413">
        <v>101</v>
      </c>
      <c r="B413" t="s">
        <v>34</v>
      </c>
      <c r="C413">
        <v>2</v>
      </c>
      <c r="D413" s="1" t="s">
        <v>1034</v>
      </c>
      <c r="E413" s="1" t="s">
        <v>116</v>
      </c>
      <c r="G413">
        <v>455276</v>
      </c>
      <c r="H413" t="s">
        <v>1035</v>
      </c>
      <c r="I413" t="s">
        <v>1036</v>
      </c>
      <c r="J413">
        <v>30</v>
      </c>
      <c r="K413">
        <v>433612</v>
      </c>
      <c r="L413">
        <v>50341</v>
      </c>
      <c r="M413" t="s">
        <v>146</v>
      </c>
      <c r="N413">
        <v>34</v>
      </c>
      <c r="O413" s="2">
        <v>46226</v>
      </c>
      <c r="P413" s="2">
        <v>46268</v>
      </c>
      <c r="R413" t="s">
        <v>1037</v>
      </c>
      <c r="S413" t="str">
        <f>"00013284"</f>
        <v>00013284</v>
      </c>
      <c r="T413" t="s">
        <v>41</v>
      </c>
      <c r="U413">
        <v>1756.88</v>
      </c>
      <c r="V413">
        <v>1756.88</v>
      </c>
      <c r="W413">
        <v>1756.88</v>
      </c>
      <c r="X413">
        <v>0</v>
      </c>
      <c r="Y413">
        <v>0</v>
      </c>
      <c r="Z413">
        <v>-493</v>
      </c>
      <c r="AA413">
        <v>1554</v>
      </c>
      <c r="AD413" t="s">
        <v>50</v>
      </c>
      <c r="AE413">
        <v>1139664669</v>
      </c>
      <c r="AF413" t="s">
        <v>64</v>
      </c>
      <c r="AG413">
        <v>28756973000174</v>
      </c>
      <c r="AH413" t="s">
        <v>44</v>
      </c>
    </row>
    <row r="414" spans="1:34" x14ac:dyDescent="0.3">
      <c r="A414">
        <v>101</v>
      </c>
      <c r="B414" t="s">
        <v>34</v>
      </c>
      <c r="C414">
        <v>2</v>
      </c>
      <c r="D414" s="1" t="s">
        <v>1034</v>
      </c>
      <c r="E414" s="1" t="s">
        <v>122</v>
      </c>
      <c r="G414">
        <v>455276</v>
      </c>
      <c r="H414" t="s">
        <v>1035</v>
      </c>
      <c r="I414" t="s">
        <v>1036</v>
      </c>
      <c r="J414">
        <v>30</v>
      </c>
      <c r="K414">
        <v>433612</v>
      </c>
      <c r="L414">
        <v>50341</v>
      </c>
      <c r="M414" t="s">
        <v>146</v>
      </c>
      <c r="N414">
        <v>34</v>
      </c>
      <c r="O414" s="2">
        <v>46226</v>
      </c>
      <c r="P414" s="2">
        <v>46261</v>
      </c>
      <c r="R414" t="s">
        <v>1037</v>
      </c>
      <c r="S414" t="str">
        <f>"00013283"</f>
        <v>00013283</v>
      </c>
      <c r="T414" t="s">
        <v>41</v>
      </c>
      <c r="U414">
        <v>1756.36</v>
      </c>
      <c r="V414">
        <v>1756.36</v>
      </c>
      <c r="W414">
        <v>1756.36</v>
      </c>
      <c r="X414">
        <v>0</v>
      </c>
      <c r="Y414">
        <v>0</v>
      </c>
      <c r="Z414">
        <v>-486</v>
      </c>
      <c r="AA414">
        <v>1554</v>
      </c>
      <c r="AD414" t="s">
        <v>50</v>
      </c>
      <c r="AE414">
        <v>1139664669</v>
      </c>
      <c r="AF414" t="s">
        <v>64</v>
      </c>
      <c r="AG414">
        <v>28756973000174</v>
      </c>
      <c r="AH414" t="s">
        <v>44</v>
      </c>
    </row>
    <row r="415" spans="1:34" x14ac:dyDescent="0.3">
      <c r="A415">
        <v>101</v>
      </c>
      <c r="B415" t="s">
        <v>34</v>
      </c>
      <c r="C415">
        <v>2</v>
      </c>
      <c r="D415" s="1" t="s">
        <v>1038</v>
      </c>
      <c r="E415" s="1" t="s">
        <v>36</v>
      </c>
      <c r="G415">
        <v>456977</v>
      </c>
      <c r="H415" t="s">
        <v>1039</v>
      </c>
      <c r="I415" t="s">
        <v>1040</v>
      </c>
      <c r="J415">
        <v>12</v>
      </c>
      <c r="K415">
        <v>456977</v>
      </c>
      <c r="L415">
        <v>50341</v>
      </c>
      <c r="M415" t="s">
        <v>146</v>
      </c>
      <c r="N415">
        <v>34</v>
      </c>
      <c r="O415" s="2">
        <v>46240</v>
      </c>
      <c r="P415" s="2">
        <v>46275</v>
      </c>
      <c r="R415" t="s">
        <v>1041</v>
      </c>
      <c r="S415" t="str">
        <f>"00013598"</f>
        <v>00013598</v>
      </c>
      <c r="T415" t="s">
        <v>41</v>
      </c>
      <c r="U415">
        <v>1930.97</v>
      </c>
      <c r="V415">
        <v>1930.97</v>
      </c>
      <c r="W415">
        <v>1930.97</v>
      </c>
      <c r="X415">
        <v>0</v>
      </c>
      <c r="Y415">
        <v>0</v>
      </c>
      <c r="Z415">
        <v>-500</v>
      </c>
      <c r="AA415" t="s">
        <v>1042</v>
      </c>
      <c r="AD415" t="s">
        <v>64</v>
      </c>
      <c r="AE415">
        <v>1139315691</v>
      </c>
      <c r="AF415" t="s">
        <v>64</v>
      </c>
      <c r="AG415">
        <v>35480988000118</v>
      </c>
      <c r="AH415" t="s">
        <v>44</v>
      </c>
    </row>
    <row r="416" spans="1:34" x14ac:dyDescent="0.3">
      <c r="A416">
        <v>101</v>
      </c>
      <c r="B416" t="s">
        <v>34</v>
      </c>
      <c r="C416">
        <v>2</v>
      </c>
      <c r="D416" s="1" t="s">
        <v>1038</v>
      </c>
      <c r="E416" s="1" t="s">
        <v>122</v>
      </c>
      <c r="G416">
        <v>456977</v>
      </c>
      <c r="H416" t="s">
        <v>1039</v>
      </c>
      <c r="I416" t="s">
        <v>1040</v>
      </c>
      <c r="J416">
        <v>12</v>
      </c>
      <c r="K416">
        <v>456977</v>
      </c>
      <c r="L416">
        <v>50341</v>
      </c>
      <c r="M416" t="s">
        <v>146</v>
      </c>
      <c r="N416">
        <v>34</v>
      </c>
      <c r="O416" s="2">
        <v>46240</v>
      </c>
      <c r="P416" s="2">
        <v>46285</v>
      </c>
      <c r="R416" t="s">
        <v>1041</v>
      </c>
      <c r="S416" t="str">
        <f>"00013599"</f>
        <v>00013599</v>
      </c>
      <c r="T416" t="s">
        <v>41</v>
      </c>
      <c r="U416">
        <v>1861.7</v>
      </c>
      <c r="V416">
        <v>1861.7</v>
      </c>
      <c r="W416">
        <v>1861.7</v>
      </c>
      <c r="X416">
        <v>0</v>
      </c>
      <c r="Y416">
        <v>0</v>
      </c>
      <c r="Z416">
        <v>-510</v>
      </c>
      <c r="AA416" t="s">
        <v>1042</v>
      </c>
      <c r="AD416" t="s">
        <v>64</v>
      </c>
      <c r="AE416">
        <v>1139315691</v>
      </c>
      <c r="AF416" t="s">
        <v>64</v>
      </c>
      <c r="AG416">
        <v>35480988000118</v>
      </c>
      <c r="AH416" t="s">
        <v>44</v>
      </c>
    </row>
    <row r="417" spans="1:34" x14ac:dyDescent="0.3">
      <c r="A417">
        <v>101</v>
      </c>
      <c r="B417" t="s">
        <v>34</v>
      </c>
      <c r="C417">
        <v>2</v>
      </c>
      <c r="D417" s="1" t="s">
        <v>1043</v>
      </c>
      <c r="E417" s="1" t="s">
        <v>36</v>
      </c>
      <c r="G417">
        <v>463322</v>
      </c>
      <c r="H417" t="s">
        <v>1044</v>
      </c>
      <c r="I417" t="s">
        <v>1045</v>
      </c>
      <c r="J417">
        <v>12</v>
      </c>
      <c r="K417">
        <v>463322</v>
      </c>
      <c r="L417">
        <v>50001</v>
      </c>
      <c r="M417" t="s">
        <v>39</v>
      </c>
      <c r="N417">
        <v>34</v>
      </c>
      <c r="O417" s="2">
        <v>46235</v>
      </c>
      <c r="P417" s="2">
        <v>46270</v>
      </c>
      <c r="R417" t="s">
        <v>1046</v>
      </c>
      <c r="S417" t="str">
        <f>"25666160000051744"</f>
        <v>25666160000051744</v>
      </c>
      <c r="T417" t="s">
        <v>41</v>
      </c>
      <c r="U417">
        <v>1005.88</v>
      </c>
      <c r="V417">
        <v>1005.88</v>
      </c>
      <c r="W417">
        <v>1005.88</v>
      </c>
      <c r="X417">
        <v>0</v>
      </c>
      <c r="Y417">
        <v>0</v>
      </c>
      <c r="Z417">
        <v>-495</v>
      </c>
      <c r="AA417">
        <v>4039</v>
      </c>
      <c r="AD417" t="s">
        <v>64</v>
      </c>
      <c r="AE417" t="s">
        <v>1047</v>
      </c>
      <c r="AF417" t="s">
        <v>64</v>
      </c>
      <c r="AG417">
        <v>49723227000154</v>
      </c>
      <c r="AH417" t="s">
        <v>44</v>
      </c>
    </row>
    <row r="418" spans="1:34" x14ac:dyDescent="0.3">
      <c r="A418">
        <v>101</v>
      </c>
      <c r="B418" t="s">
        <v>34</v>
      </c>
      <c r="C418">
        <v>2</v>
      </c>
      <c r="D418" s="1" t="s">
        <v>1043</v>
      </c>
      <c r="E418" s="1" t="s">
        <v>122</v>
      </c>
      <c r="G418">
        <v>463322</v>
      </c>
      <c r="H418" t="s">
        <v>1044</v>
      </c>
      <c r="I418" t="s">
        <v>1045</v>
      </c>
      <c r="J418">
        <v>12</v>
      </c>
      <c r="K418">
        <v>463322</v>
      </c>
      <c r="L418">
        <v>50001</v>
      </c>
      <c r="M418" t="s">
        <v>39</v>
      </c>
      <c r="N418">
        <v>34</v>
      </c>
      <c r="O418" s="2">
        <v>46235</v>
      </c>
      <c r="P418" s="2">
        <v>46280</v>
      </c>
      <c r="R418" t="s">
        <v>1046</v>
      </c>
      <c r="S418" t="str">
        <f>"25666160000051745"</f>
        <v>25666160000051745</v>
      </c>
      <c r="T418" t="s">
        <v>41</v>
      </c>
      <c r="U418">
        <v>1005.88</v>
      </c>
      <c r="V418">
        <v>1005.88</v>
      </c>
      <c r="W418">
        <v>1005.88</v>
      </c>
      <c r="X418">
        <v>0</v>
      </c>
      <c r="Y418">
        <v>0</v>
      </c>
      <c r="Z418">
        <v>-505</v>
      </c>
      <c r="AA418">
        <v>4039</v>
      </c>
      <c r="AD418" t="s">
        <v>64</v>
      </c>
      <c r="AE418" t="s">
        <v>1047</v>
      </c>
      <c r="AF418" t="s">
        <v>64</v>
      </c>
      <c r="AG418">
        <v>49723227000154</v>
      </c>
      <c r="AH418" t="s">
        <v>44</v>
      </c>
    </row>
    <row r="419" spans="1:34" x14ac:dyDescent="0.3">
      <c r="A419">
        <v>101</v>
      </c>
      <c r="B419" t="s">
        <v>34</v>
      </c>
      <c r="C419">
        <v>2</v>
      </c>
      <c r="D419" s="1" t="s">
        <v>1048</v>
      </c>
      <c r="E419" s="1" t="s">
        <v>36</v>
      </c>
      <c r="G419">
        <v>466376</v>
      </c>
      <c r="H419" t="s">
        <v>1049</v>
      </c>
      <c r="I419" t="s">
        <v>1050</v>
      </c>
      <c r="J419">
        <v>30</v>
      </c>
      <c r="K419">
        <v>466376</v>
      </c>
      <c r="L419">
        <v>50341</v>
      </c>
      <c r="M419" t="s">
        <v>146</v>
      </c>
      <c r="N419">
        <v>34</v>
      </c>
      <c r="O419" s="2">
        <v>46235</v>
      </c>
      <c r="P419" s="2">
        <v>46270</v>
      </c>
      <c r="R419" t="s">
        <v>1051</v>
      </c>
      <c r="S419" t="str">
        <f>"00013507"</f>
        <v>00013507</v>
      </c>
      <c r="T419" t="s">
        <v>41</v>
      </c>
      <c r="U419">
        <v>1757.95</v>
      </c>
      <c r="V419">
        <v>1757.95</v>
      </c>
      <c r="W419">
        <v>1757.95</v>
      </c>
      <c r="X419">
        <v>0</v>
      </c>
      <c r="Y419">
        <v>0</v>
      </c>
      <c r="Z419">
        <v>-495</v>
      </c>
      <c r="AA419">
        <v>4122</v>
      </c>
      <c r="AD419" t="s">
        <v>64</v>
      </c>
      <c r="AE419" t="s">
        <v>1052</v>
      </c>
      <c r="AF419" t="s">
        <v>64</v>
      </c>
      <c r="AG419">
        <v>54500699000188</v>
      </c>
      <c r="AH419" t="s">
        <v>44</v>
      </c>
    </row>
    <row r="420" spans="1:34" x14ac:dyDescent="0.3">
      <c r="A420">
        <v>101</v>
      </c>
      <c r="B420" t="s">
        <v>34</v>
      </c>
      <c r="C420">
        <v>2</v>
      </c>
      <c r="D420" s="1" t="s">
        <v>1053</v>
      </c>
      <c r="E420" s="1" t="s">
        <v>122</v>
      </c>
      <c r="G420">
        <v>999001067</v>
      </c>
      <c r="H420" t="s">
        <v>1054</v>
      </c>
      <c r="I420" t="s">
        <v>1055</v>
      </c>
      <c r="J420">
        <v>12</v>
      </c>
      <c r="K420">
        <v>999001067</v>
      </c>
      <c r="L420">
        <v>50001</v>
      </c>
      <c r="M420" t="s">
        <v>39</v>
      </c>
      <c r="N420">
        <v>34</v>
      </c>
      <c r="O420" s="2">
        <v>46235</v>
      </c>
      <c r="P420" s="2">
        <v>46280</v>
      </c>
      <c r="R420" t="s">
        <v>1056</v>
      </c>
      <c r="S420" t="str">
        <f>"25666160000051775"</f>
        <v>25666160000051775</v>
      </c>
      <c r="T420" t="s">
        <v>41</v>
      </c>
      <c r="U420">
        <v>2071.9899999999998</v>
      </c>
      <c r="V420">
        <v>2071.9899999999998</v>
      </c>
      <c r="W420">
        <v>2071.9899999999998</v>
      </c>
      <c r="X420">
        <v>0</v>
      </c>
      <c r="Y420">
        <v>0</v>
      </c>
      <c r="Z420">
        <v>-505</v>
      </c>
      <c r="AA420">
        <v>1942</v>
      </c>
      <c r="AD420" t="s">
        <v>64</v>
      </c>
      <c r="AE420" t="s">
        <v>1057</v>
      </c>
      <c r="AF420" t="s">
        <v>64</v>
      </c>
      <c r="AG420" s="1" t="s">
        <v>1058</v>
      </c>
      <c r="AH420" t="s">
        <v>44</v>
      </c>
    </row>
    <row r="421" spans="1:34" x14ac:dyDescent="0.3">
      <c r="A421">
        <v>101</v>
      </c>
      <c r="B421" t="s">
        <v>34</v>
      </c>
      <c r="C421">
        <v>2</v>
      </c>
      <c r="D421" s="1" t="s">
        <v>1053</v>
      </c>
      <c r="E421" s="1" t="s">
        <v>36</v>
      </c>
      <c r="G421">
        <v>999001067</v>
      </c>
      <c r="H421" t="s">
        <v>1054</v>
      </c>
      <c r="I421" t="s">
        <v>1055</v>
      </c>
      <c r="J421">
        <v>12</v>
      </c>
      <c r="K421">
        <v>999001067</v>
      </c>
      <c r="L421">
        <v>50001</v>
      </c>
      <c r="M421" t="s">
        <v>39</v>
      </c>
      <c r="N421">
        <v>34</v>
      </c>
      <c r="O421" s="2">
        <v>46235</v>
      </c>
      <c r="P421" s="2">
        <v>46270</v>
      </c>
      <c r="R421" t="s">
        <v>1056</v>
      </c>
      <c r="S421" t="str">
        <f>"25666160000051774"</f>
        <v>25666160000051774</v>
      </c>
      <c r="T421" t="s">
        <v>41</v>
      </c>
      <c r="U421">
        <v>2126.6799999999998</v>
      </c>
      <c r="V421">
        <v>2126.6799999999998</v>
      </c>
      <c r="W421">
        <v>2126.6799999999998</v>
      </c>
      <c r="X421">
        <v>0</v>
      </c>
      <c r="Y421">
        <v>0</v>
      </c>
      <c r="Z421">
        <v>-495</v>
      </c>
      <c r="AA421">
        <v>1942</v>
      </c>
      <c r="AD421" t="s">
        <v>64</v>
      </c>
      <c r="AE421" t="s">
        <v>1057</v>
      </c>
      <c r="AF421" t="s">
        <v>64</v>
      </c>
      <c r="AG421" s="1" t="s">
        <v>1058</v>
      </c>
      <c r="AH421" t="s">
        <v>44</v>
      </c>
    </row>
    <row r="422" spans="1:34" x14ac:dyDescent="0.3">
      <c r="A422">
        <v>101</v>
      </c>
      <c r="B422" t="s">
        <v>34</v>
      </c>
      <c r="C422">
        <v>2</v>
      </c>
      <c r="D422" s="1" t="s">
        <v>1059</v>
      </c>
      <c r="E422" s="1" t="s">
        <v>36</v>
      </c>
      <c r="G422">
        <v>999002364</v>
      </c>
      <c r="H422" t="s">
        <v>1060</v>
      </c>
      <c r="I422" t="s">
        <v>1061</v>
      </c>
      <c r="J422">
        <v>12</v>
      </c>
      <c r="K422">
        <v>999002364</v>
      </c>
      <c r="L422">
        <v>50341</v>
      </c>
      <c r="M422" t="s">
        <v>146</v>
      </c>
      <c r="N422">
        <v>34</v>
      </c>
      <c r="O422" s="2">
        <v>46235</v>
      </c>
      <c r="P422" s="2">
        <v>46270</v>
      </c>
      <c r="R422" t="s">
        <v>1062</v>
      </c>
      <c r="S422" t="str">
        <f>"00013553"</f>
        <v>00013553</v>
      </c>
      <c r="T422" t="s">
        <v>41</v>
      </c>
      <c r="U422">
        <v>1354.24</v>
      </c>
      <c r="V422">
        <v>1354.24</v>
      </c>
      <c r="W422">
        <v>1354.24</v>
      </c>
      <c r="X422">
        <v>0</v>
      </c>
      <c r="Y422">
        <v>0</v>
      </c>
      <c r="Z422">
        <v>-495</v>
      </c>
      <c r="AA422">
        <v>4024</v>
      </c>
      <c r="AD422" t="s">
        <v>64</v>
      </c>
      <c r="AE422" t="s">
        <v>1063</v>
      </c>
      <c r="AF422" t="s">
        <v>64</v>
      </c>
      <c r="AG422" s="1" t="s">
        <v>1064</v>
      </c>
      <c r="AH422" t="s">
        <v>44</v>
      </c>
    </row>
    <row r="423" spans="1:34" x14ac:dyDescent="0.3">
      <c r="A423">
        <v>101</v>
      </c>
      <c r="B423" t="s">
        <v>34</v>
      </c>
      <c r="C423">
        <v>2</v>
      </c>
      <c r="D423" s="1" t="s">
        <v>1059</v>
      </c>
      <c r="E423" s="1" t="s">
        <v>122</v>
      </c>
      <c r="G423">
        <v>999002364</v>
      </c>
      <c r="H423" t="s">
        <v>1060</v>
      </c>
      <c r="I423" t="s">
        <v>1061</v>
      </c>
      <c r="J423">
        <v>12</v>
      </c>
      <c r="K423">
        <v>999002364</v>
      </c>
      <c r="L423">
        <v>50341</v>
      </c>
      <c r="M423" t="s">
        <v>146</v>
      </c>
      <c r="N423">
        <v>34</v>
      </c>
      <c r="O423" s="2">
        <v>46235</v>
      </c>
      <c r="P423" s="2">
        <v>46280</v>
      </c>
      <c r="R423" t="s">
        <v>1062</v>
      </c>
      <c r="S423" t="str">
        <f>"00013554"</f>
        <v>00013554</v>
      </c>
      <c r="T423" t="s">
        <v>41</v>
      </c>
      <c r="U423">
        <v>1334.8</v>
      </c>
      <c r="V423">
        <v>1334.8</v>
      </c>
      <c r="W423">
        <v>1334.8</v>
      </c>
      <c r="X423">
        <v>0</v>
      </c>
      <c r="Y423">
        <v>0</v>
      </c>
      <c r="Z423">
        <v>-505</v>
      </c>
      <c r="AA423">
        <v>4024</v>
      </c>
      <c r="AD423" t="s">
        <v>64</v>
      </c>
      <c r="AE423" t="s">
        <v>1063</v>
      </c>
      <c r="AF423" t="s">
        <v>64</v>
      </c>
      <c r="AG423" s="1" t="s">
        <v>1064</v>
      </c>
      <c r="AH423" t="s">
        <v>44</v>
      </c>
    </row>
    <row r="424" spans="1:34" x14ac:dyDescent="0.3">
      <c r="A424">
        <v>101</v>
      </c>
      <c r="B424" t="s">
        <v>34</v>
      </c>
      <c r="C424">
        <v>2</v>
      </c>
      <c r="D424" s="1" t="s">
        <v>1065</v>
      </c>
      <c r="E424" s="1" t="s">
        <v>36</v>
      </c>
      <c r="G424">
        <v>334</v>
      </c>
      <c r="H424" t="s">
        <v>1066</v>
      </c>
      <c r="I424" t="s">
        <v>1067</v>
      </c>
      <c r="J424">
        <v>12</v>
      </c>
      <c r="K424">
        <v>334</v>
      </c>
      <c r="L424">
        <v>50033</v>
      </c>
      <c r="M424" t="s">
        <v>39</v>
      </c>
      <c r="N424">
        <v>60</v>
      </c>
      <c r="O424" s="2">
        <v>46234</v>
      </c>
      <c r="P424" s="2">
        <v>46294</v>
      </c>
      <c r="R424" t="s">
        <v>1068</v>
      </c>
      <c r="S424" t="str">
        <f>"0000050411780"</f>
        <v>0000050411780</v>
      </c>
      <c r="T424" t="s">
        <v>41</v>
      </c>
      <c r="U424">
        <v>11278.4</v>
      </c>
      <c r="V424">
        <v>11278.4</v>
      </c>
      <c r="W424">
        <v>11278.4</v>
      </c>
      <c r="X424">
        <v>0</v>
      </c>
      <c r="Y424">
        <v>0</v>
      </c>
      <c r="Z424">
        <v>-519</v>
      </c>
      <c r="AA424">
        <v>4056</v>
      </c>
      <c r="AD424" t="s">
        <v>1069</v>
      </c>
      <c r="AE424" t="s">
        <v>1070</v>
      </c>
      <c r="AF424" t="s">
        <v>1069</v>
      </c>
      <c r="AG424" s="1" t="s">
        <v>1071</v>
      </c>
      <c r="AH424" t="s">
        <v>714</v>
      </c>
    </row>
    <row r="425" spans="1:34" x14ac:dyDescent="0.3">
      <c r="A425">
        <v>101</v>
      </c>
      <c r="B425" t="s">
        <v>34</v>
      </c>
      <c r="C425">
        <v>2</v>
      </c>
      <c r="D425" s="1" t="s">
        <v>1072</v>
      </c>
      <c r="E425" s="1" t="s">
        <v>36</v>
      </c>
      <c r="G425">
        <v>1256</v>
      </c>
      <c r="H425" t="s">
        <v>1073</v>
      </c>
      <c r="I425" t="s">
        <v>1074</v>
      </c>
      <c r="J425">
        <v>12</v>
      </c>
      <c r="K425">
        <v>6158</v>
      </c>
      <c r="L425">
        <v>50033</v>
      </c>
      <c r="M425" t="s">
        <v>39</v>
      </c>
      <c r="N425">
        <v>60</v>
      </c>
      <c r="O425" s="2">
        <v>46230</v>
      </c>
      <c r="P425" s="2">
        <v>46260</v>
      </c>
      <c r="R425" t="s">
        <v>1075</v>
      </c>
      <c r="S425" t="str">
        <f>"0000050411110"</f>
        <v>0000050411110</v>
      </c>
      <c r="T425" t="s">
        <v>41</v>
      </c>
      <c r="U425">
        <v>1927.03</v>
      </c>
      <c r="V425">
        <v>1869.22</v>
      </c>
      <c r="W425">
        <v>1869.22</v>
      </c>
      <c r="X425">
        <v>0</v>
      </c>
      <c r="Y425">
        <v>0</v>
      </c>
      <c r="Z425">
        <v>-485</v>
      </c>
      <c r="AA425">
        <v>1746</v>
      </c>
      <c r="AD425" t="s">
        <v>1076</v>
      </c>
      <c r="AE425" t="s">
        <v>1077</v>
      </c>
      <c r="AF425" t="s">
        <v>1076</v>
      </c>
      <c r="AG425" s="1" t="s">
        <v>1078</v>
      </c>
      <c r="AH425" t="s">
        <v>714</v>
      </c>
    </row>
    <row r="426" spans="1:34" x14ac:dyDescent="0.3">
      <c r="A426">
        <v>101</v>
      </c>
      <c r="B426" t="s">
        <v>34</v>
      </c>
      <c r="C426">
        <v>2</v>
      </c>
      <c r="D426" s="1" t="s">
        <v>1079</v>
      </c>
      <c r="E426" s="1" t="s">
        <v>36</v>
      </c>
      <c r="G426">
        <v>3341</v>
      </c>
      <c r="H426" t="s">
        <v>1080</v>
      </c>
      <c r="I426" t="s">
        <v>1081</v>
      </c>
      <c r="J426">
        <v>12</v>
      </c>
      <c r="K426">
        <v>6158</v>
      </c>
      <c r="L426">
        <v>50001</v>
      </c>
      <c r="M426" t="s">
        <v>39</v>
      </c>
      <c r="N426">
        <v>60</v>
      </c>
      <c r="O426" s="2">
        <v>46230</v>
      </c>
      <c r="P426" s="2">
        <v>46260</v>
      </c>
      <c r="R426" t="s">
        <v>1082</v>
      </c>
      <c r="S426" t="str">
        <f>"25666160000051629"</f>
        <v>25666160000051629</v>
      </c>
      <c r="T426" t="s">
        <v>41</v>
      </c>
      <c r="U426">
        <v>3528.18</v>
      </c>
      <c r="V426">
        <v>3422.33</v>
      </c>
      <c r="W426">
        <v>3422.33</v>
      </c>
      <c r="X426">
        <v>0</v>
      </c>
      <c r="Y426">
        <v>0</v>
      </c>
      <c r="Z426">
        <v>-485</v>
      </c>
      <c r="AA426">
        <v>1747</v>
      </c>
      <c r="AD426" t="s">
        <v>956</v>
      </c>
      <c r="AE426" t="s">
        <v>1083</v>
      </c>
      <c r="AF426" t="s">
        <v>956</v>
      </c>
      <c r="AG426" s="1" t="s">
        <v>1084</v>
      </c>
      <c r="AH426" t="s">
        <v>714</v>
      </c>
    </row>
    <row r="427" spans="1:34" x14ac:dyDescent="0.3">
      <c r="A427">
        <v>101</v>
      </c>
      <c r="B427" t="s">
        <v>34</v>
      </c>
      <c r="C427">
        <v>2</v>
      </c>
      <c r="D427" s="1" t="s">
        <v>1085</v>
      </c>
      <c r="E427" s="1" t="s">
        <v>36</v>
      </c>
      <c r="G427">
        <v>3514</v>
      </c>
      <c r="H427" t="s">
        <v>1086</v>
      </c>
      <c r="I427" t="s">
        <v>1087</v>
      </c>
      <c r="J427">
        <v>12</v>
      </c>
      <c r="K427">
        <v>451605</v>
      </c>
      <c r="L427">
        <v>50001</v>
      </c>
      <c r="M427" t="s">
        <v>39</v>
      </c>
      <c r="N427">
        <v>60</v>
      </c>
      <c r="O427" s="2">
        <v>46233</v>
      </c>
      <c r="P427" s="2">
        <v>46268</v>
      </c>
      <c r="R427" t="s">
        <v>1088</v>
      </c>
      <c r="S427" t="str">
        <f>"25666160000051679"</f>
        <v>25666160000051679</v>
      </c>
      <c r="T427" t="s">
        <v>41</v>
      </c>
      <c r="U427">
        <v>12011.92</v>
      </c>
      <c r="V427">
        <v>11411.32</v>
      </c>
      <c r="W427">
        <v>11411.32</v>
      </c>
      <c r="X427">
        <v>0</v>
      </c>
      <c r="Y427">
        <v>0</v>
      </c>
      <c r="Z427">
        <v>-493</v>
      </c>
      <c r="AA427">
        <v>1798</v>
      </c>
      <c r="AD427" t="s">
        <v>1089</v>
      </c>
      <c r="AE427" t="s">
        <v>1090</v>
      </c>
      <c r="AF427" t="s">
        <v>1089</v>
      </c>
      <c r="AG427" s="1" t="s">
        <v>1091</v>
      </c>
      <c r="AH427" t="s">
        <v>714</v>
      </c>
    </row>
    <row r="428" spans="1:34" x14ac:dyDescent="0.3">
      <c r="A428">
        <v>101</v>
      </c>
      <c r="B428" t="s">
        <v>34</v>
      </c>
      <c r="C428">
        <v>2</v>
      </c>
      <c r="D428" s="1" t="s">
        <v>1092</v>
      </c>
      <c r="E428" s="1" t="s">
        <v>36</v>
      </c>
      <c r="G428">
        <v>3514</v>
      </c>
      <c r="H428" t="s">
        <v>1086</v>
      </c>
      <c r="I428" t="s">
        <v>1087</v>
      </c>
      <c r="J428">
        <v>12</v>
      </c>
      <c r="K428">
        <v>451605</v>
      </c>
      <c r="L428">
        <v>50001</v>
      </c>
      <c r="M428" t="s">
        <v>39</v>
      </c>
      <c r="N428">
        <v>60</v>
      </c>
      <c r="O428" s="2">
        <v>46233</v>
      </c>
      <c r="P428" s="2">
        <v>46268</v>
      </c>
      <c r="R428" t="s">
        <v>1093</v>
      </c>
      <c r="S428" t="str">
        <f>"25666160000051681"</f>
        <v>25666160000051681</v>
      </c>
      <c r="T428" t="s">
        <v>41</v>
      </c>
      <c r="U428">
        <v>3749.85</v>
      </c>
      <c r="V428">
        <v>3562.36</v>
      </c>
      <c r="W428">
        <v>3562.36</v>
      </c>
      <c r="X428">
        <v>0</v>
      </c>
      <c r="Y428">
        <v>0</v>
      </c>
      <c r="Z428">
        <v>-493</v>
      </c>
      <c r="AA428">
        <v>1990</v>
      </c>
      <c r="AD428" t="s">
        <v>1089</v>
      </c>
      <c r="AE428" t="s">
        <v>1090</v>
      </c>
      <c r="AF428" t="s">
        <v>1089</v>
      </c>
      <c r="AG428" s="1" t="s">
        <v>1091</v>
      </c>
      <c r="AH428" t="s">
        <v>714</v>
      </c>
    </row>
    <row r="429" spans="1:34" x14ac:dyDescent="0.3">
      <c r="A429">
        <v>101</v>
      </c>
      <c r="B429" t="s">
        <v>34</v>
      </c>
      <c r="C429">
        <v>2</v>
      </c>
      <c r="D429" s="1" t="s">
        <v>1094</v>
      </c>
      <c r="E429" s="1" t="s">
        <v>36</v>
      </c>
      <c r="G429">
        <v>3514</v>
      </c>
      <c r="H429" t="s">
        <v>1086</v>
      </c>
      <c r="I429" t="s">
        <v>1087</v>
      </c>
      <c r="J429">
        <v>12</v>
      </c>
      <c r="K429">
        <v>451605</v>
      </c>
      <c r="L429">
        <v>50001</v>
      </c>
      <c r="M429" t="s">
        <v>39</v>
      </c>
      <c r="N429">
        <v>60</v>
      </c>
      <c r="O429" s="2">
        <v>46233</v>
      </c>
      <c r="P429" s="2">
        <v>46268</v>
      </c>
      <c r="R429" t="s">
        <v>1095</v>
      </c>
      <c r="S429" t="str">
        <f>"25666160000051680"</f>
        <v>25666160000051680</v>
      </c>
      <c r="T429" t="s">
        <v>41</v>
      </c>
      <c r="U429">
        <v>8823.67</v>
      </c>
      <c r="V429">
        <v>8382.49</v>
      </c>
      <c r="W429">
        <v>8382.49</v>
      </c>
      <c r="X429">
        <v>0</v>
      </c>
      <c r="Y429">
        <v>0</v>
      </c>
      <c r="Z429">
        <v>-493</v>
      </c>
      <c r="AA429">
        <v>1903</v>
      </c>
      <c r="AD429" t="s">
        <v>1089</v>
      </c>
      <c r="AE429" t="s">
        <v>1090</v>
      </c>
      <c r="AF429" t="s">
        <v>1089</v>
      </c>
      <c r="AG429" s="1" t="s">
        <v>1091</v>
      </c>
      <c r="AH429" t="s">
        <v>714</v>
      </c>
    </row>
    <row r="430" spans="1:34" x14ac:dyDescent="0.3">
      <c r="A430">
        <v>101</v>
      </c>
      <c r="B430" t="s">
        <v>34</v>
      </c>
      <c r="C430">
        <v>2</v>
      </c>
      <c r="D430" s="1" t="s">
        <v>1096</v>
      </c>
      <c r="E430" s="1" t="s">
        <v>36</v>
      </c>
      <c r="G430">
        <v>4963</v>
      </c>
      <c r="H430" t="s">
        <v>1097</v>
      </c>
      <c r="I430" t="s">
        <v>1098</v>
      </c>
      <c r="J430">
        <v>12</v>
      </c>
      <c r="K430">
        <v>10947</v>
      </c>
      <c r="L430">
        <v>50341</v>
      </c>
      <c r="M430" t="s">
        <v>146</v>
      </c>
      <c r="N430">
        <v>60</v>
      </c>
      <c r="O430" s="2">
        <v>46216</v>
      </c>
      <c r="P430" s="2">
        <v>46276</v>
      </c>
      <c r="R430" t="s">
        <v>1099</v>
      </c>
      <c r="S430" t="str">
        <f>"00013098"</f>
        <v>00013098</v>
      </c>
      <c r="T430" t="s">
        <v>41</v>
      </c>
      <c r="U430">
        <v>2091.37</v>
      </c>
      <c r="V430">
        <v>1986.8</v>
      </c>
      <c r="W430">
        <v>1986.8</v>
      </c>
      <c r="X430">
        <v>0</v>
      </c>
      <c r="Y430">
        <v>0</v>
      </c>
      <c r="Z430">
        <v>-501</v>
      </c>
      <c r="AA430">
        <v>693868</v>
      </c>
      <c r="AD430" t="s">
        <v>1089</v>
      </c>
      <c r="AE430" t="s">
        <v>1100</v>
      </c>
      <c r="AF430" t="s">
        <v>1089</v>
      </c>
      <c r="AG430" s="1" t="s">
        <v>1101</v>
      </c>
      <c r="AH430" t="s">
        <v>714</v>
      </c>
    </row>
    <row r="431" spans="1:34" x14ac:dyDescent="0.3">
      <c r="A431">
        <v>101</v>
      </c>
      <c r="B431" t="s">
        <v>34</v>
      </c>
      <c r="C431">
        <v>2</v>
      </c>
      <c r="D431" s="1" t="s">
        <v>1102</v>
      </c>
      <c r="E431" s="1" t="s">
        <v>36</v>
      </c>
      <c r="G431">
        <v>4963</v>
      </c>
      <c r="H431" t="s">
        <v>1097</v>
      </c>
      <c r="I431" t="s">
        <v>1098</v>
      </c>
      <c r="J431">
        <v>12</v>
      </c>
      <c r="K431">
        <v>10947</v>
      </c>
      <c r="L431">
        <v>95080</v>
      </c>
      <c r="M431" t="s">
        <v>83</v>
      </c>
      <c r="N431">
        <v>60</v>
      </c>
      <c r="O431" s="2">
        <v>46216</v>
      </c>
      <c r="P431" s="2">
        <v>46276</v>
      </c>
      <c r="R431" t="s">
        <v>1103</v>
      </c>
      <c r="S431" t="str">
        <f>""</f>
        <v/>
      </c>
      <c r="T431" t="s">
        <v>41</v>
      </c>
      <c r="U431">
        <v>2222.91</v>
      </c>
      <c r="V431">
        <v>2111.7600000000002</v>
      </c>
      <c r="W431">
        <v>2111.7600000000002</v>
      </c>
      <c r="X431">
        <v>0</v>
      </c>
      <c r="Y431">
        <v>0</v>
      </c>
      <c r="Z431">
        <v>-501</v>
      </c>
      <c r="AA431">
        <v>693869</v>
      </c>
      <c r="AD431" t="s">
        <v>1089</v>
      </c>
      <c r="AE431" t="s">
        <v>1100</v>
      </c>
      <c r="AF431" t="s">
        <v>1089</v>
      </c>
      <c r="AG431" s="1" t="s">
        <v>1101</v>
      </c>
      <c r="AH431" t="s">
        <v>714</v>
      </c>
    </row>
    <row r="432" spans="1:34" x14ac:dyDescent="0.3">
      <c r="A432">
        <v>101</v>
      </c>
      <c r="B432" t="s">
        <v>34</v>
      </c>
      <c r="C432">
        <v>2</v>
      </c>
      <c r="D432" s="1" t="s">
        <v>1104</v>
      </c>
      <c r="E432" s="1" t="s">
        <v>36</v>
      </c>
      <c r="G432">
        <v>5248</v>
      </c>
      <c r="H432" t="s">
        <v>1105</v>
      </c>
      <c r="I432" t="s">
        <v>1106</v>
      </c>
      <c r="J432">
        <v>12</v>
      </c>
      <c r="K432">
        <v>5248</v>
      </c>
      <c r="L432">
        <v>50033</v>
      </c>
      <c r="M432" t="s">
        <v>39</v>
      </c>
      <c r="N432">
        <v>60</v>
      </c>
      <c r="O432" s="2">
        <v>46223</v>
      </c>
      <c r="P432" s="2">
        <v>46258</v>
      </c>
      <c r="R432" t="s">
        <v>1107</v>
      </c>
      <c r="S432" t="str">
        <f>"0000050411128"</f>
        <v>0000050411128</v>
      </c>
      <c r="T432" t="s">
        <v>41</v>
      </c>
      <c r="U432">
        <v>6926.11</v>
      </c>
      <c r="V432">
        <v>6926.11</v>
      </c>
      <c r="W432">
        <v>6926.11</v>
      </c>
      <c r="X432">
        <v>0</v>
      </c>
      <c r="Y432">
        <v>0</v>
      </c>
      <c r="Z432">
        <v>-483</v>
      </c>
      <c r="AA432">
        <v>1269</v>
      </c>
      <c r="AD432" t="s">
        <v>937</v>
      </c>
      <c r="AE432" t="s">
        <v>1108</v>
      </c>
      <c r="AF432" t="s">
        <v>937</v>
      </c>
      <c r="AG432">
        <v>15942444000113</v>
      </c>
      <c r="AH432" t="s">
        <v>714</v>
      </c>
    </row>
    <row r="433" spans="1:34" x14ac:dyDescent="0.3">
      <c r="A433">
        <v>101</v>
      </c>
      <c r="B433" t="s">
        <v>34</v>
      </c>
      <c r="C433">
        <v>2</v>
      </c>
      <c r="D433" s="1" t="s">
        <v>1109</v>
      </c>
      <c r="E433" s="1" t="s">
        <v>36</v>
      </c>
      <c r="G433">
        <v>7082</v>
      </c>
      <c r="H433" t="s">
        <v>1110</v>
      </c>
      <c r="I433" t="s">
        <v>1111</v>
      </c>
      <c r="J433">
        <v>12</v>
      </c>
      <c r="K433">
        <v>7082</v>
      </c>
      <c r="L433">
        <v>50033</v>
      </c>
      <c r="M433" t="s">
        <v>39</v>
      </c>
      <c r="N433">
        <v>60</v>
      </c>
      <c r="O433" s="2">
        <v>46223</v>
      </c>
      <c r="P433" s="2">
        <v>46258</v>
      </c>
      <c r="R433" t="s">
        <v>1112</v>
      </c>
      <c r="S433" t="str">
        <f>"0000050411144"</f>
        <v>0000050411144</v>
      </c>
      <c r="T433" t="s">
        <v>41</v>
      </c>
      <c r="U433">
        <v>5740.76</v>
      </c>
      <c r="V433">
        <v>5740.76</v>
      </c>
      <c r="W433">
        <v>5740.76</v>
      </c>
      <c r="X433">
        <v>0</v>
      </c>
      <c r="Y433">
        <v>0</v>
      </c>
      <c r="Z433">
        <v>-483</v>
      </c>
      <c r="AA433">
        <v>1340</v>
      </c>
      <c r="AD433" t="s">
        <v>1113</v>
      </c>
      <c r="AE433" t="s">
        <v>1114</v>
      </c>
      <c r="AF433" t="s">
        <v>1113</v>
      </c>
      <c r="AG433">
        <v>33128620000160</v>
      </c>
      <c r="AH433" t="s">
        <v>714</v>
      </c>
    </row>
    <row r="434" spans="1:34" x14ac:dyDescent="0.3">
      <c r="A434">
        <v>101</v>
      </c>
      <c r="B434" t="s">
        <v>34</v>
      </c>
      <c r="C434">
        <v>2</v>
      </c>
      <c r="D434" s="1" t="s">
        <v>1115</v>
      </c>
      <c r="E434" s="1" t="s">
        <v>36</v>
      </c>
      <c r="G434">
        <v>9129</v>
      </c>
      <c r="H434" t="s">
        <v>1116</v>
      </c>
      <c r="I434" t="s">
        <v>1117</v>
      </c>
      <c r="J434">
        <v>12</v>
      </c>
      <c r="K434">
        <v>10947</v>
      </c>
      <c r="L434">
        <v>50341</v>
      </c>
      <c r="M434" t="s">
        <v>146</v>
      </c>
      <c r="N434">
        <v>60</v>
      </c>
      <c r="O434" s="2">
        <v>46217</v>
      </c>
      <c r="P434" s="2">
        <v>46277</v>
      </c>
      <c r="R434" t="s">
        <v>1118</v>
      </c>
      <c r="S434" t="str">
        <f>"00013100"</f>
        <v>00013100</v>
      </c>
      <c r="T434" t="s">
        <v>41</v>
      </c>
      <c r="U434">
        <v>2264.8200000000002</v>
      </c>
      <c r="V434">
        <v>2151.58</v>
      </c>
      <c r="W434">
        <v>2151.58</v>
      </c>
      <c r="X434">
        <v>0</v>
      </c>
      <c r="Y434">
        <v>0</v>
      </c>
      <c r="Z434">
        <v>-502</v>
      </c>
      <c r="AA434">
        <v>1073</v>
      </c>
      <c r="AD434" t="s">
        <v>1089</v>
      </c>
      <c r="AE434" t="s">
        <v>1119</v>
      </c>
      <c r="AF434" t="s">
        <v>1089</v>
      </c>
      <c r="AG434" s="1" t="s">
        <v>1120</v>
      </c>
      <c r="AH434" t="s">
        <v>714</v>
      </c>
    </row>
    <row r="435" spans="1:34" x14ac:dyDescent="0.3">
      <c r="A435">
        <v>101</v>
      </c>
      <c r="B435" t="s">
        <v>34</v>
      </c>
      <c r="C435">
        <v>2</v>
      </c>
      <c r="D435" s="1" t="s">
        <v>1121</v>
      </c>
      <c r="E435" s="1" t="s">
        <v>36</v>
      </c>
      <c r="G435">
        <v>10908</v>
      </c>
      <c r="H435" t="s">
        <v>1122</v>
      </c>
      <c r="I435" t="s">
        <v>1123</v>
      </c>
      <c r="J435">
        <v>12</v>
      </c>
      <c r="K435">
        <v>10947</v>
      </c>
      <c r="L435">
        <v>50033</v>
      </c>
      <c r="M435" t="s">
        <v>39</v>
      </c>
      <c r="N435">
        <v>60</v>
      </c>
      <c r="O435" s="2">
        <v>46199</v>
      </c>
      <c r="P435" s="2">
        <v>46259</v>
      </c>
      <c r="R435" t="s">
        <v>1124</v>
      </c>
      <c r="S435" t="str">
        <f>"0000050407562"</f>
        <v>0000050407562</v>
      </c>
      <c r="T435" t="s">
        <v>41</v>
      </c>
      <c r="U435">
        <v>7715.02</v>
      </c>
      <c r="V435">
        <v>7329.27</v>
      </c>
      <c r="W435">
        <v>7329.27</v>
      </c>
      <c r="X435">
        <v>0</v>
      </c>
      <c r="Y435">
        <v>0</v>
      </c>
      <c r="Z435">
        <v>-484</v>
      </c>
      <c r="AA435">
        <v>692880</v>
      </c>
      <c r="AD435" t="s">
        <v>1125</v>
      </c>
      <c r="AE435" t="s">
        <v>1126</v>
      </c>
      <c r="AF435" t="s">
        <v>1125</v>
      </c>
      <c r="AG435" s="1" t="s">
        <v>1127</v>
      </c>
      <c r="AH435" t="s">
        <v>714</v>
      </c>
    </row>
    <row r="436" spans="1:34" x14ac:dyDescent="0.3">
      <c r="A436">
        <v>101</v>
      </c>
      <c r="B436" t="s">
        <v>34</v>
      </c>
      <c r="C436">
        <v>2</v>
      </c>
      <c r="D436" s="1" t="s">
        <v>1128</v>
      </c>
      <c r="E436" s="1" t="s">
        <v>36</v>
      </c>
      <c r="G436">
        <v>10908</v>
      </c>
      <c r="H436" t="s">
        <v>1122</v>
      </c>
      <c r="I436" t="s">
        <v>1123</v>
      </c>
      <c r="J436">
        <v>12</v>
      </c>
      <c r="K436">
        <v>10947</v>
      </c>
      <c r="L436">
        <v>50033</v>
      </c>
      <c r="M436" t="s">
        <v>39</v>
      </c>
      <c r="N436">
        <v>60</v>
      </c>
      <c r="O436" s="2">
        <v>46199</v>
      </c>
      <c r="P436" s="2">
        <v>46259</v>
      </c>
      <c r="R436" t="s">
        <v>1129</v>
      </c>
      <c r="S436" t="str">
        <f>"0000050407554"</f>
        <v>0000050407554</v>
      </c>
      <c r="T436" t="s">
        <v>41</v>
      </c>
      <c r="U436">
        <v>3726.3</v>
      </c>
      <c r="V436">
        <v>3539.99</v>
      </c>
      <c r="W436">
        <v>3539.99</v>
      </c>
      <c r="X436">
        <v>0</v>
      </c>
      <c r="Y436">
        <v>0</v>
      </c>
      <c r="Z436">
        <v>-484</v>
      </c>
      <c r="AA436">
        <v>692878</v>
      </c>
      <c r="AD436" t="s">
        <v>1125</v>
      </c>
      <c r="AE436" t="s">
        <v>1126</v>
      </c>
      <c r="AF436" t="s">
        <v>1125</v>
      </c>
      <c r="AG436" s="1" t="s">
        <v>1127</v>
      </c>
      <c r="AH436" t="s">
        <v>714</v>
      </c>
    </row>
    <row r="437" spans="1:34" x14ac:dyDescent="0.3">
      <c r="A437">
        <v>101</v>
      </c>
      <c r="B437" t="s">
        <v>34</v>
      </c>
      <c r="C437">
        <v>2</v>
      </c>
      <c r="D437" s="1" t="s">
        <v>1130</v>
      </c>
      <c r="E437" s="1" t="s">
        <v>36</v>
      </c>
      <c r="G437">
        <v>10979</v>
      </c>
      <c r="H437" t="s">
        <v>1131</v>
      </c>
      <c r="I437" t="s">
        <v>1132</v>
      </c>
      <c r="J437">
        <v>12</v>
      </c>
      <c r="K437">
        <v>452420</v>
      </c>
      <c r="L437">
        <v>50033</v>
      </c>
      <c r="M437" t="s">
        <v>39</v>
      </c>
      <c r="N437">
        <v>60</v>
      </c>
      <c r="O437" s="2">
        <v>46230</v>
      </c>
      <c r="P437" s="2">
        <v>46265</v>
      </c>
      <c r="R437" t="s">
        <v>1133</v>
      </c>
      <c r="S437" t="str">
        <f>"0000050411195"</f>
        <v>0000050411195</v>
      </c>
      <c r="T437" t="s">
        <v>41</v>
      </c>
      <c r="U437">
        <v>6451.07</v>
      </c>
      <c r="V437">
        <v>6128.52</v>
      </c>
      <c r="W437">
        <v>6128.52</v>
      </c>
      <c r="X437">
        <v>0</v>
      </c>
      <c r="Y437">
        <v>0</v>
      </c>
      <c r="Z437">
        <v>-490</v>
      </c>
      <c r="AA437">
        <v>1659</v>
      </c>
      <c r="AD437" t="s">
        <v>1134</v>
      </c>
      <c r="AE437" t="s">
        <v>1135</v>
      </c>
      <c r="AF437" t="s">
        <v>1134</v>
      </c>
      <c r="AG437">
        <v>33168717000104</v>
      </c>
      <c r="AH437" t="s">
        <v>714</v>
      </c>
    </row>
    <row r="438" spans="1:34" x14ac:dyDescent="0.3">
      <c r="A438">
        <v>101</v>
      </c>
      <c r="B438" t="s">
        <v>34</v>
      </c>
      <c r="C438">
        <v>2</v>
      </c>
      <c r="D438" s="1" t="s">
        <v>1136</v>
      </c>
      <c r="E438" s="1" t="s">
        <v>36</v>
      </c>
      <c r="G438">
        <v>10985</v>
      </c>
      <c r="H438" t="s">
        <v>1137</v>
      </c>
      <c r="I438" t="s">
        <v>1138</v>
      </c>
      <c r="J438">
        <v>12</v>
      </c>
      <c r="K438">
        <v>10947</v>
      </c>
      <c r="L438">
        <v>50033</v>
      </c>
      <c r="M438" t="s">
        <v>39</v>
      </c>
      <c r="N438">
        <v>60</v>
      </c>
      <c r="O438" s="2">
        <v>46252</v>
      </c>
      <c r="P438" s="2">
        <v>46312</v>
      </c>
      <c r="R438" t="s">
        <v>1139</v>
      </c>
      <c r="S438" t="str">
        <f>"0000050413821"</f>
        <v>0000050413821</v>
      </c>
      <c r="T438" t="s">
        <v>41</v>
      </c>
      <c r="U438">
        <v>493.77</v>
      </c>
      <c r="V438">
        <v>469.08</v>
      </c>
      <c r="W438">
        <v>469.08</v>
      </c>
      <c r="X438">
        <v>0</v>
      </c>
      <c r="Y438">
        <v>0</v>
      </c>
      <c r="Z438">
        <v>-537</v>
      </c>
      <c r="AA438">
        <v>4597</v>
      </c>
      <c r="AD438" t="s">
        <v>1140</v>
      </c>
      <c r="AE438" t="s">
        <v>1141</v>
      </c>
      <c r="AF438" t="s">
        <v>1140</v>
      </c>
      <c r="AG438" s="1" t="s">
        <v>1142</v>
      </c>
      <c r="AH438" t="s">
        <v>714</v>
      </c>
    </row>
    <row r="439" spans="1:34" x14ac:dyDescent="0.3">
      <c r="A439">
        <v>101</v>
      </c>
      <c r="B439" t="s">
        <v>34</v>
      </c>
      <c r="C439">
        <v>2</v>
      </c>
      <c r="D439" s="1" t="s">
        <v>1143</v>
      </c>
      <c r="E439" s="1" t="s">
        <v>36</v>
      </c>
      <c r="G439">
        <v>10988</v>
      </c>
      <c r="H439" t="s">
        <v>1144</v>
      </c>
      <c r="I439" t="s">
        <v>1145</v>
      </c>
      <c r="J439">
        <v>12</v>
      </c>
      <c r="K439">
        <v>10947</v>
      </c>
      <c r="L439">
        <v>50341</v>
      </c>
      <c r="M439" t="s">
        <v>146</v>
      </c>
      <c r="N439">
        <v>60</v>
      </c>
      <c r="O439" s="2">
        <v>46217</v>
      </c>
      <c r="P439" s="2">
        <v>46277</v>
      </c>
      <c r="R439" t="s">
        <v>1146</v>
      </c>
      <c r="S439" t="str">
        <f>"00013102"</f>
        <v>00013102</v>
      </c>
      <c r="T439" t="s">
        <v>41</v>
      </c>
      <c r="U439">
        <v>2609.17</v>
      </c>
      <c r="V439">
        <v>2478.71</v>
      </c>
      <c r="W439">
        <v>2478.71</v>
      </c>
      <c r="X439">
        <v>0</v>
      </c>
      <c r="Y439">
        <v>0</v>
      </c>
      <c r="Z439">
        <v>-502</v>
      </c>
      <c r="AA439">
        <v>1070</v>
      </c>
      <c r="AD439" t="s">
        <v>1089</v>
      </c>
      <c r="AE439" t="s">
        <v>1147</v>
      </c>
      <c r="AF439" t="s">
        <v>1089</v>
      </c>
      <c r="AG439" s="1" t="s">
        <v>1148</v>
      </c>
      <c r="AH439" t="s">
        <v>714</v>
      </c>
    </row>
    <row r="440" spans="1:34" x14ac:dyDescent="0.3">
      <c r="A440">
        <v>101</v>
      </c>
      <c r="B440" t="s">
        <v>34</v>
      </c>
      <c r="C440">
        <v>2</v>
      </c>
      <c r="D440" s="1" t="s">
        <v>1149</v>
      </c>
      <c r="E440" s="1" t="s">
        <v>36</v>
      </c>
      <c r="G440">
        <v>11105</v>
      </c>
      <c r="H440" t="s">
        <v>1150</v>
      </c>
      <c r="I440" t="s">
        <v>1151</v>
      </c>
      <c r="J440">
        <v>12</v>
      </c>
      <c r="K440">
        <v>999002329</v>
      </c>
      <c r="L440">
        <v>50033</v>
      </c>
      <c r="M440" t="s">
        <v>39</v>
      </c>
      <c r="N440">
        <v>60</v>
      </c>
      <c r="O440" s="2">
        <v>46202</v>
      </c>
      <c r="P440" s="2">
        <v>46262</v>
      </c>
      <c r="R440" t="s">
        <v>1152</v>
      </c>
      <c r="S440" t="str">
        <f>"0000050407694"</f>
        <v>0000050407694</v>
      </c>
      <c r="T440" t="s">
        <v>41</v>
      </c>
      <c r="U440">
        <v>1749.77</v>
      </c>
      <c r="V440">
        <v>1662.28</v>
      </c>
      <c r="W440">
        <v>1662.28</v>
      </c>
      <c r="X440">
        <v>0</v>
      </c>
      <c r="Y440">
        <v>0</v>
      </c>
      <c r="Z440">
        <v>-487</v>
      </c>
      <c r="AA440">
        <v>693021</v>
      </c>
      <c r="AD440" t="s">
        <v>1089</v>
      </c>
      <c r="AE440" t="s">
        <v>1153</v>
      </c>
      <c r="AF440" t="s">
        <v>1089</v>
      </c>
      <c r="AG440" s="1" t="s">
        <v>1154</v>
      </c>
      <c r="AH440" t="s">
        <v>714</v>
      </c>
    </row>
    <row r="441" spans="1:34" x14ac:dyDescent="0.3">
      <c r="A441">
        <v>101</v>
      </c>
      <c r="B441" t="s">
        <v>34</v>
      </c>
      <c r="C441">
        <v>2</v>
      </c>
      <c r="D441" s="1" t="s">
        <v>1155</v>
      </c>
      <c r="E441" s="1" t="s">
        <v>36</v>
      </c>
      <c r="G441">
        <v>11401</v>
      </c>
      <c r="H441" t="s">
        <v>1156</v>
      </c>
      <c r="I441" t="s">
        <v>1157</v>
      </c>
      <c r="J441">
        <v>12</v>
      </c>
      <c r="K441">
        <v>999002329</v>
      </c>
      <c r="L441">
        <v>50341</v>
      </c>
      <c r="M441" t="s">
        <v>146</v>
      </c>
      <c r="N441">
        <v>60</v>
      </c>
      <c r="O441" s="2">
        <v>46202</v>
      </c>
      <c r="P441" s="2">
        <v>46262</v>
      </c>
      <c r="R441" t="s">
        <v>1158</v>
      </c>
      <c r="S441" t="str">
        <f>"00012839"</f>
        <v>00012839</v>
      </c>
      <c r="T441" t="s">
        <v>41</v>
      </c>
      <c r="U441">
        <v>2056.44</v>
      </c>
      <c r="V441">
        <v>1953.62</v>
      </c>
      <c r="W441">
        <v>1953.62</v>
      </c>
      <c r="X441">
        <v>0</v>
      </c>
      <c r="Y441">
        <v>0</v>
      </c>
      <c r="Z441">
        <v>-487</v>
      </c>
      <c r="AA441">
        <v>693017</v>
      </c>
      <c r="AD441" t="s">
        <v>1089</v>
      </c>
      <c r="AE441" t="s">
        <v>1159</v>
      </c>
      <c r="AF441" t="s">
        <v>1089</v>
      </c>
      <c r="AG441">
        <v>10513998000181</v>
      </c>
      <c r="AH441" t="s">
        <v>714</v>
      </c>
    </row>
    <row r="442" spans="1:34" x14ac:dyDescent="0.3">
      <c r="A442">
        <v>101</v>
      </c>
      <c r="B442" t="s">
        <v>34</v>
      </c>
      <c r="C442">
        <v>2</v>
      </c>
      <c r="D442" s="1" t="s">
        <v>1160</v>
      </c>
      <c r="E442" s="1" t="s">
        <v>36</v>
      </c>
      <c r="G442">
        <v>11401</v>
      </c>
      <c r="H442" t="s">
        <v>1156</v>
      </c>
      <c r="I442" t="s">
        <v>1157</v>
      </c>
      <c r="J442">
        <v>12</v>
      </c>
      <c r="K442">
        <v>999002329</v>
      </c>
      <c r="L442">
        <v>50341</v>
      </c>
      <c r="M442" t="s">
        <v>146</v>
      </c>
      <c r="N442">
        <v>60</v>
      </c>
      <c r="O442" s="2">
        <v>46240</v>
      </c>
      <c r="P442" s="2">
        <v>46275</v>
      </c>
      <c r="R442" t="s">
        <v>1161</v>
      </c>
      <c r="S442" t="str">
        <f>"00013605"</f>
        <v>00013605</v>
      </c>
      <c r="T442" t="s">
        <v>41</v>
      </c>
      <c r="U442">
        <v>2172.5500000000002</v>
      </c>
      <c r="V442">
        <v>2063.92</v>
      </c>
      <c r="W442">
        <v>2063.92</v>
      </c>
      <c r="X442">
        <v>0</v>
      </c>
      <c r="Y442">
        <v>0</v>
      </c>
      <c r="Z442">
        <v>-500</v>
      </c>
      <c r="AA442">
        <v>4178</v>
      </c>
      <c r="AD442" t="s">
        <v>1089</v>
      </c>
      <c r="AE442" t="s">
        <v>1159</v>
      </c>
      <c r="AF442" t="s">
        <v>1089</v>
      </c>
      <c r="AG442">
        <v>10513998000181</v>
      </c>
      <c r="AH442" t="s">
        <v>714</v>
      </c>
    </row>
    <row r="443" spans="1:34" x14ac:dyDescent="0.3">
      <c r="A443">
        <v>101</v>
      </c>
      <c r="B443" t="s">
        <v>34</v>
      </c>
      <c r="C443">
        <v>2</v>
      </c>
      <c r="D443" s="1" t="s">
        <v>1162</v>
      </c>
      <c r="E443" s="1" t="s">
        <v>36</v>
      </c>
      <c r="G443">
        <v>11570</v>
      </c>
      <c r="H443" t="s">
        <v>1163</v>
      </c>
      <c r="I443" t="s">
        <v>1151</v>
      </c>
      <c r="J443">
        <v>12</v>
      </c>
      <c r="K443">
        <v>999002329</v>
      </c>
      <c r="L443">
        <v>50033</v>
      </c>
      <c r="M443" t="s">
        <v>39</v>
      </c>
      <c r="N443">
        <v>60</v>
      </c>
      <c r="O443" s="2">
        <v>46202</v>
      </c>
      <c r="P443" s="2">
        <v>46262</v>
      </c>
      <c r="R443" t="s">
        <v>1164</v>
      </c>
      <c r="S443" t="str">
        <f>"0000050407708"</f>
        <v>0000050407708</v>
      </c>
      <c r="T443" t="s">
        <v>41</v>
      </c>
      <c r="U443">
        <v>2357.9899999999998</v>
      </c>
      <c r="V443">
        <v>2240.09</v>
      </c>
      <c r="W443">
        <v>2240.09</v>
      </c>
      <c r="X443">
        <v>0</v>
      </c>
      <c r="Y443">
        <v>0</v>
      </c>
      <c r="Z443">
        <v>-487</v>
      </c>
      <c r="AA443">
        <v>693018</v>
      </c>
      <c r="AD443" t="s">
        <v>1089</v>
      </c>
      <c r="AE443" t="s">
        <v>1165</v>
      </c>
      <c r="AF443" t="s">
        <v>1089</v>
      </c>
      <c r="AG443" s="1" t="s">
        <v>1166</v>
      </c>
      <c r="AH443" t="s">
        <v>714</v>
      </c>
    </row>
    <row r="444" spans="1:34" x14ac:dyDescent="0.3">
      <c r="A444">
        <v>101</v>
      </c>
      <c r="B444" t="s">
        <v>34</v>
      </c>
      <c r="C444">
        <v>2</v>
      </c>
      <c r="D444" s="1" t="s">
        <v>1167</v>
      </c>
      <c r="E444" s="1" t="s">
        <v>36</v>
      </c>
      <c r="G444">
        <v>11951</v>
      </c>
      <c r="H444" t="s">
        <v>1168</v>
      </c>
      <c r="I444" t="s">
        <v>1169</v>
      </c>
      <c r="J444">
        <v>12</v>
      </c>
      <c r="K444">
        <v>10947</v>
      </c>
      <c r="L444">
        <v>50341</v>
      </c>
      <c r="M444" t="s">
        <v>146</v>
      </c>
      <c r="N444">
        <v>60</v>
      </c>
      <c r="O444" s="2">
        <v>46245</v>
      </c>
      <c r="P444" s="2">
        <v>46275</v>
      </c>
      <c r="R444" t="s">
        <v>1170</v>
      </c>
      <c r="S444" t="str">
        <f>"00013659"</f>
        <v>00013659</v>
      </c>
      <c r="T444" t="s">
        <v>41</v>
      </c>
      <c r="U444">
        <v>4840.95</v>
      </c>
      <c r="V444">
        <v>4598.8999999999996</v>
      </c>
      <c r="W444">
        <v>4598.8999999999996</v>
      </c>
      <c r="X444">
        <v>0</v>
      </c>
      <c r="Y444">
        <v>0</v>
      </c>
      <c r="Z444">
        <v>-500</v>
      </c>
      <c r="AA444">
        <v>4362</v>
      </c>
      <c r="AD444" t="s">
        <v>1171</v>
      </c>
      <c r="AE444" t="s">
        <v>1172</v>
      </c>
      <c r="AF444" t="s">
        <v>1171</v>
      </c>
      <c r="AG444" s="1" t="s">
        <v>1173</v>
      </c>
      <c r="AH444" t="s">
        <v>714</v>
      </c>
    </row>
    <row r="445" spans="1:34" x14ac:dyDescent="0.3">
      <c r="A445">
        <v>101</v>
      </c>
      <c r="B445" t="s">
        <v>34</v>
      </c>
      <c r="C445">
        <v>2</v>
      </c>
      <c r="D445" s="1" t="s">
        <v>1174</v>
      </c>
      <c r="E445" s="1" t="s">
        <v>36</v>
      </c>
      <c r="G445">
        <v>12535</v>
      </c>
      <c r="H445" t="s">
        <v>1175</v>
      </c>
      <c r="I445" t="s">
        <v>1176</v>
      </c>
      <c r="J445">
        <v>12</v>
      </c>
      <c r="K445">
        <v>999002329</v>
      </c>
      <c r="L445">
        <v>50341</v>
      </c>
      <c r="M445" t="s">
        <v>146</v>
      </c>
      <c r="N445">
        <v>60</v>
      </c>
      <c r="O445" s="2">
        <v>46240</v>
      </c>
      <c r="P445" s="2">
        <v>46275</v>
      </c>
      <c r="R445" t="s">
        <v>1177</v>
      </c>
      <c r="S445" t="str">
        <f>"00013606"</f>
        <v>00013606</v>
      </c>
      <c r="T445" t="s">
        <v>41</v>
      </c>
      <c r="U445">
        <v>1880.99</v>
      </c>
      <c r="V445">
        <v>1786.94</v>
      </c>
      <c r="W445">
        <v>1786.94</v>
      </c>
      <c r="X445">
        <v>0</v>
      </c>
      <c r="Y445">
        <v>0</v>
      </c>
      <c r="Z445">
        <v>-500</v>
      </c>
      <c r="AA445">
        <v>4183</v>
      </c>
      <c r="AD445" t="s">
        <v>1089</v>
      </c>
      <c r="AE445" t="s">
        <v>1178</v>
      </c>
      <c r="AF445" t="s">
        <v>1089</v>
      </c>
      <c r="AG445">
        <v>12075667000132</v>
      </c>
      <c r="AH445" t="s">
        <v>714</v>
      </c>
    </row>
    <row r="446" spans="1:34" x14ac:dyDescent="0.3">
      <c r="A446">
        <v>101</v>
      </c>
      <c r="B446" t="s">
        <v>34</v>
      </c>
      <c r="C446">
        <v>2</v>
      </c>
      <c r="D446" s="1" t="s">
        <v>1179</v>
      </c>
      <c r="E446" s="1" t="s">
        <v>36</v>
      </c>
      <c r="G446">
        <v>12535</v>
      </c>
      <c r="H446" t="s">
        <v>1175</v>
      </c>
      <c r="I446" t="s">
        <v>1176</v>
      </c>
      <c r="J446">
        <v>12</v>
      </c>
      <c r="K446">
        <v>999002329</v>
      </c>
      <c r="L446">
        <v>50341</v>
      </c>
      <c r="M446" t="s">
        <v>146</v>
      </c>
      <c r="N446">
        <v>60</v>
      </c>
      <c r="O446" s="2">
        <v>46202</v>
      </c>
      <c r="P446" s="2">
        <v>46262</v>
      </c>
      <c r="R446" t="s">
        <v>1180</v>
      </c>
      <c r="S446" t="str">
        <f>"00012840"</f>
        <v>00012840</v>
      </c>
      <c r="T446" t="s">
        <v>41</v>
      </c>
      <c r="U446">
        <v>2164.54</v>
      </c>
      <c r="V446">
        <v>2056.31</v>
      </c>
      <c r="W446">
        <v>2056.31</v>
      </c>
      <c r="X446">
        <v>0</v>
      </c>
      <c r="Y446">
        <v>0</v>
      </c>
      <c r="Z446">
        <v>-487</v>
      </c>
      <c r="AA446">
        <v>693015</v>
      </c>
      <c r="AD446" t="s">
        <v>1089</v>
      </c>
      <c r="AE446" t="s">
        <v>1178</v>
      </c>
      <c r="AF446" t="s">
        <v>1089</v>
      </c>
      <c r="AG446">
        <v>12075667000132</v>
      </c>
      <c r="AH446" t="s">
        <v>714</v>
      </c>
    </row>
    <row r="447" spans="1:34" x14ac:dyDescent="0.3">
      <c r="A447">
        <v>101</v>
      </c>
      <c r="B447" t="s">
        <v>34</v>
      </c>
      <c r="C447">
        <v>2</v>
      </c>
      <c r="D447" s="1" t="s">
        <v>1181</v>
      </c>
      <c r="E447" s="1" t="s">
        <v>36</v>
      </c>
      <c r="G447">
        <v>12863</v>
      </c>
      <c r="H447" t="s">
        <v>1182</v>
      </c>
      <c r="I447" t="s">
        <v>1176</v>
      </c>
      <c r="J447">
        <v>12</v>
      </c>
      <c r="K447">
        <v>999002329</v>
      </c>
      <c r="L447">
        <v>50341</v>
      </c>
      <c r="M447" t="s">
        <v>146</v>
      </c>
      <c r="N447">
        <v>60</v>
      </c>
      <c r="O447" s="2">
        <v>46240</v>
      </c>
      <c r="P447" s="2">
        <v>46275</v>
      </c>
      <c r="R447" t="s">
        <v>1183</v>
      </c>
      <c r="S447" t="str">
        <f>"00013609"</f>
        <v>00013609</v>
      </c>
      <c r="T447" t="s">
        <v>41</v>
      </c>
      <c r="U447">
        <v>2204.85</v>
      </c>
      <c r="V447">
        <v>2094.61</v>
      </c>
      <c r="W447">
        <v>2094.61</v>
      </c>
      <c r="X447">
        <v>0</v>
      </c>
      <c r="Y447">
        <v>0</v>
      </c>
      <c r="Z447">
        <v>-500</v>
      </c>
      <c r="AA447">
        <v>4170</v>
      </c>
      <c r="AD447" t="s">
        <v>1089</v>
      </c>
      <c r="AE447" t="s">
        <v>1184</v>
      </c>
      <c r="AF447" t="s">
        <v>1089</v>
      </c>
      <c r="AG447">
        <v>12075667000213</v>
      </c>
      <c r="AH447" t="s">
        <v>714</v>
      </c>
    </row>
    <row r="448" spans="1:34" x14ac:dyDescent="0.3">
      <c r="A448">
        <v>101</v>
      </c>
      <c r="B448" t="s">
        <v>34</v>
      </c>
      <c r="C448">
        <v>2</v>
      </c>
      <c r="D448" s="1" t="s">
        <v>1185</v>
      </c>
      <c r="E448" s="1" t="s">
        <v>36</v>
      </c>
      <c r="G448">
        <v>12863</v>
      </c>
      <c r="H448" t="s">
        <v>1182</v>
      </c>
      <c r="I448" t="s">
        <v>1176</v>
      </c>
      <c r="J448">
        <v>12</v>
      </c>
      <c r="K448">
        <v>999002329</v>
      </c>
      <c r="L448">
        <v>50341</v>
      </c>
      <c r="M448" t="s">
        <v>146</v>
      </c>
      <c r="N448">
        <v>60</v>
      </c>
      <c r="O448" s="2">
        <v>46202</v>
      </c>
      <c r="P448" s="2">
        <v>46262</v>
      </c>
      <c r="R448" t="s">
        <v>1186</v>
      </c>
      <c r="S448" t="str">
        <f>"00012841"</f>
        <v>00012841</v>
      </c>
      <c r="T448" t="s">
        <v>41</v>
      </c>
      <c r="U448">
        <v>1748.63</v>
      </c>
      <c r="V448">
        <v>1661.2</v>
      </c>
      <c r="W448">
        <v>1661.2</v>
      </c>
      <c r="X448">
        <v>0</v>
      </c>
      <c r="Y448">
        <v>0</v>
      </c>
      <c r="Z448">
        <v>-487</v>
      </c>
      <c r="AA448">
        <v>693024</v>
      </c>
      <c r="AD448" t="s">
        <v>1089</v>
      </c>
      <c r="AE448" t="s">
        <v>1184</v>
      </c>
      <c r="AF448" t="s">
        <v>1089</v>
      </c>
      <c r="AG448">
        <v>12075667000213</v>
      </c>
      <c r="AH448" t="s">
        <v>714</v>
      </c>
    </row>
    <row r="449" spans="1:34" x14ac:dyDescent="0.3">
      <c r="A449">
        <v>101</v>
      </c>
      <c r="B449" t="s">
        <v>34</v>
      </c>
      <c r="C449">
        <v>2</v>
      </c>
      <c r="D449" s="1" t="s">
        <v>1187</v>
      </c>
      <c r="E449" s="1" t="s">
        <v>36</v>
      </c>
      <c r="G449">
        <v>12864</v>
      </c>
      <c r="H449" t="s">
        <v>1188</v>
      </c>
      <c r="I449" t="s">
        <v>1176</v>
      </c>
      <c r="J449">
        <v>12</v>
      </c>
      <c r="K449">
        <v>999002329</v>
      </c>
      <c r="L449">
        <v>50341</v>
      </c>
      <c r="M449" t="s">
        <v>146</v>
      </c>
      <c r="N449">
        <v>60</v>
      </c>
      <c r="O449" s="2">
        <v>46202</v>
      </c>
      <c r="P449" s="2">
        <v>46262</v>
      </c>
      <c r="R449" t="s">
        <v>1189</v>
      </c>
      <c r="S449" t="str">
        <f>"00012842"</f>
        <v>00012842</v>
      </c>
      <c r="T449" t="s">
        <v>41</v>
      </c>
      <c r="U449">
        <v>1757.77</v>
      </c>
      <c r="V449">
        <v>1669.88</v>
      </c>
      <c r="W449">
        <v>1669.88</v>
      </c>
      <c r="X449">
        <v>0</v>
      </c>
      <c r="Y449">
        <v>0</v>
      </c>
      <c r="Z449">
        <v>-487</v>
      </c>
      <c r="AA449">
        <v>693022</v>
      </c>
      <c r="AD449" t="s">
        <v>1089</v>
      </c>
      <c r="AE449" t="s">
        <v>1190</v>
      </c>
      <c r="AF449" t="s">
        <v>1089</v>
      </c>
      <c r="AG449">
        <v>12075667000302</v>
      </c>
      <c r="AH449" t="s">
        <v>714</v>
      </c>
    </row>
    <row r="450" spans="1:34" x14ac:dyDescent="0.3">
      <c r="A450">
        <v>101</v>
      </c>
      <c r="B450" t="s">
        <v>34</v>
      </c>
      <c r="C450">
        <v>2</v>
      </c>
      <c r="D450" s="1" t="s">
        <v>1191</v>
      </c>
      <c r="E450" s="1" t="s">
        <v>36</v>
      </c>
      <c r="G450">
        <v>12864</v>
      </c>
      <c r="H450" t="s">
        <v>1188</v>
      </c>
      <c r="I450" t="s">
        <v>1176</v>
      </c>
      <c r="J450">
        <v>12</v>
      </c>
      <c r="K450">
        <v>999002329</v>
      </c>
      <c r="L450">
        <v>50341</v>
      </c>
      <c r="M450" t="s">
        <v>146</v>
      </c>
      <c r="N450">
        <v>60</v>
      </c>
      <c r="O450" s="2">
        <v>46240</v>
      </c>
      <c r="P450" s="2">
        <v>46275</v>
      </c>
      <c r="R450" t="s">
        <v>1192</v>
      </c>
      <c r="S450" t="str">
        <f>"00013610"</f>
        <v>00013610</v>
      </c>
      <c r="T450" t="s">
        <v>41</v>
      </c>
      <c r="U450">
        <v>2997.54</v>
      </c>
      <c r="V450">
        <v>2847.66</v>
      </c>
      <c r="W450">
        <v>2847.66</v>
      </c>
      <c r="X450">
        <v>0</v>
      </c>
      <c r="Y450">
        <v>0</v>
      </c>
      <c r="Z450">
        <v>-500</v>
      </c>
      <c r="AA450">
        <v>4172</v>
      </c>
      <c r="AD450" t="s">
        <v>1089</v>
      </c>
      <c r="AE450" t="s">
        <v>1190</v>
      </c>
      <c r="AF450" t="s">
        <v>1089</v>
      </c>
      <c r="AG450">
        <v>12075667000302</v>
      </c>
      <c r="AH450" t="s">
        <v>714</v>
      </c>
    </row>
    <row r="451" spans="1:34" x14ac:dyDescent="0.3">
      <c r="A451">
        <v>101</v>
      </c>
      <c r="B451" t="s">
        <v>34</v>
      </c>
      <c r="C451">
        <v>2</v>
      </c>
      <c r="D451" s="1" t="s">
        <v>1193</v>
      </c>
      <c r="E451" s="1" t="s">
        <v>36</v>
      </c>
      <c r="G451">
        <v>433681</v>
      </c>
      <c r="H451" t="s">
        <v>1194</v>
      </c>
      <c r="I451" t="s">
        <v>1195</v>
      </c>
      <c r="J451">
        <v>12</v>
      </c>
      <c r="K451">
        <v>10947</v>
      </c>
      <c r="L451">
        <v>50341</v>
      </c>
      <c r="M451" t="s">
        <v>146</v>
      </c>
      <c r="N451">
        <v>60</v>
      </c>
      <c r="O451" s="2">
        <v>46216</v>
      </c>
      <c r="P451" s="2">
        <v>46276</v>
      </c>
      <c r="R451" t="s">
        <v>1196</v>
      </c>
      <c r="S451" t="str">
        <f>"00013104"</f>
        <v>00013104</v>
      </c>
      <c r="T451" t="s">
        <v>41</v>
      </c>
      <c r="U451">
        <v>2013.5</v>
      </c>
      <c r="V451">
        <v>1912.83</v>
      </c>
      <c r="W451">
        <v>1912.83</v>
      </c>
      <c r="X451">
        <v>0</v>
      </c>
      <c r="Y451">
        <v>0</v>
      </c>
      <c r="Z451">
        <v>-501</v>
      </c>
      <c r="AA451">
        <v>693863</v>
      </c>
      <c r="AD451" t="s">
        <v>1089</v>
      </c>
      <c r="AE451">
        <v>6733446994</v>
      </c>
      <c r="AF451" t="s">
        <v>1089</v>
      </c>
      <c r="AG451">
        <v>10235154000205</v>
      </c>
      <c r="AH451" t="s">
        <v>714</v>
      </c>
    </row>
    <row r="452" spans="1:34" x14ac:dyDescent="0.3">
      <c r="A452">
        <v>101</v>
      </c>
      <c r="B452" t="s">
        <v>34</v>
      </c>
      <c r="C452">
        <v>2</v>
      </c>
      <c r="D452" s="1" t="s">
        <v>1197</v>
      </c>
      <c r="E452" s="1" t="s">
        <v>36</v>
      </c>
      <c r="G452">
        <v>435344</v>
      </c>
      <c r="H452" t="s">
        <v>1198</v>
      </c>
      <c r="I452" t="s">
        <v>1199</v>
      </c>
      <c r="J452">
        <v>12</v>
      </c>
      <c r="K452">
        <v>999002329</v>
      </c>
      <c r="L452">
        <v>50341</v>
      </c>
      <c r="M452" t="s">
        <v>146</v>
      </c>
      <c r="N452">
        <v>60</v>
      </c>
      <c r="O452" s="2">
        <v>46240</v>
      </c>
      <c r="P452" s="2">
        <v>46275</v>
      </c>
      <c r="R452" t="s">
        <v>1200</v>
      </c>
      <c r="S452" t="str">
        <f>"00013613"</f>
        <v>00013613</v>
      </c>
      <c r="T452" t="s">
        <v>41</v>
      </c>
      <c r="U452">
        <v>3572.56</v>
      </c>
      <c r="V452">
        <v>3393.93</v>
      </c>
      <c r="W452">
        <v>3393.93</v>
      </c>
      <c r="X452">
        <v>0</v>
      </c>
      <c r="Y452">
        <v>0</v>
      </c>
      <c r="Z452">
        <v>-500</v>
      </c>
      <c r="AA452">
        <v>4179</v>
      </c>
      <c r="AD452" t="s">
        <v>1089</v>
      </c>
      <c r="AE452">
        <v>6733414351</v>
      </c>
      <c r="AF452" t="s">
        <v>1089</v>
      </c>
      <c r="AG452">
        <v>12075667000728</v>
      </c>
      <c r="AH452" t="s">
        <v>714</v>
      </c>
    </row>
    <row r="453" spans="1:34" x14ac:dyDescent="0.3">
      <c r="A453">
        <v>101</v>
      </c>
      <c r="B453" t="s">
        <v>34</v>
      </c>
      <c r="C453">
        <v>2</v>
      </c>
      <c r="D453" s="1" t="s">
        <v>1201</v>
      </c>
      <c r="E453" s="1" t="s">
        <v>36</v>
      </c>
      <c r="G453">
        <v>435344</v>
      </c>
      <c r="H453" t="s">
        <v>1198</v>
      </c>
      <c r="I453" t="s">
        <v>1199</v>
      </c>
      <c r="J453">
        <v>12</v>
      </c>
      <c r="K453">
        <v>999002329</v>
      </c>
      <c r="L453">
        <v>50341</v>
      </c>
      <c r="M453" t="s">
        <v>146</v>
      </c>
      <c r="N453">
        <v>60</v>
      </c>
      <c r="O453" s="2">
        <v>46202</v>
      </c>
      <c r="P453" s="2">
        <v>46262</v>
      </c>
      <c r="R453" t="s">
        <v>1202</v>
      </c>
      <c r="S453" t="str">
        <f>"00012843"</f>
        <v>00012843</v>
      </c>
      <c r="T453" t="s">
        <v>41</v>
      </c>
      <c r="U453">
        <v>1831.38</v>
      </c>
      <c r="V453">
        <v>1739.81</v>
      </c>
      <c r="W453">
        <v>1739.81</v>
      </c>
      <c r="X453">
        <v>0</v>
      </c>
      <c r="Y453">
        <v>0</v>
      </c>
      <c r="Z453">
        <v>-487</v>
      </c>
      <c r="AA453">
        <v>693016</v>
      </c>
      <c r="AD453" t="s">
        <v>1089</v>
      </c>
      <c r="AE453">
        <v>6733414351</v>
      </c>
      <c r="AF453" t="s">
        <v>1089</v>
      </c>
      <c r="AG453">
        <v>12075667000728</v>
      </c>
      <c r="AH453" t="s">
        <v>714</v>
      </c>
    </row>
    <row r="454" spans="1:34" x14ac:dyDescent="0.3">
      <c r="A454">
        <v>101</v>
      </c>
      <c r="B454" t="s">
        <v>34</v>
      </c>
      <c r="C454">
        <v>2</v>
      </c>
      <c r="D454" s="1" t="s">
        <v>1203</v>
      </c>
      <c r="E454" s="1" t="s">
        <v>36</v>
      </c>
      <c r="G454">
        <v>435347</v>
      </c>
      <c r="H454" t="s">
        <v>1204</v>
      </c>
      <c r="I454" t="s">
        <v>1205</v>
      </c>
      <c r="J454">
        <v>12</v>
      </c>
      <c r="K454">
        <v>999002329</v>
      </c>
      <c r="L454">
        <v>50341</v>
      </c>
      <c r="M454" t="s">
        <v>146</v>
      </c>
      <c r="N454">
        <v>60</v>
      </c>
      <c r="O454" s="2">
        <v>46240</v>
      </c>
      <c r="P454" s="2">
        <v>46275</v>
      </c>
      <c r="R454" t="s">
        <v>1206</v>
      </c>
      <c r="S454" t="str">
        <f>"00013614"</f>
        <v>00013614</v>
      </c>
      <c r="T454" t="s">
        <v>41</v>
      </c>
      <c r="U454">
        <v>2109.2800000000002</v>
      </c>
      <c r="V454">
        <v>2003.82</v>
      </c>
      <c r="W454">
        <v>2003.82</v>
      </c>
      <c r="X454">
        <v>0</v>
      </c>
      <c r="Y454">
        <v>0</v>
      </c>
      <c r="Z454">
        <v>-500</v>
      </c>
      <c r="AA454">
        <v>4177</v>
      </c>
      <c r="AD454" t="s">
        <v>1089</v>
      </c>
      <c r="AE454" t="s">
        <v>1207</v>
      </c>
      <c r="AF454" t="s">
        <v>1089</v>
      </c>
      <c r="AG454">
        <v>10513998000424</v>
      </c>
      <c r="AH454" t="s">
        <v>714</v>
      </c>
    </row>
    <row r="455" spans="1:34" x14ac:dyDescent="0.3">
      <c r="A455">
        <v>101</v>
      </c>
      <c r="B455" t="s">
        <v>34</v>
      </c>
      <c r="C455">
        <v>2</v>
      </c>
      <c r="D455" s="1" t="s">
        <v>1208</v>
      </c>
      <c r="E455" s="1" t="s">
        <v>36</v>
      </c>
      <c r="G455">
        <v>435348</v>
      </c>
      <c r="H455" t="s">
        <v>1209</v>
      </c>
      <c r="I455" t="s">
        <v>1199</v>
      </c>
      <c r="J455">
        <v>12</v>
      </c>
      <c r="K455">
        <v>999002329</v>
      </c>
      <c r="L455">
        <v>50001</v>
      </c>
      <c r="M455" t="s">
        <v>39</v>
      </c>
      <c r="N455">
        <v>60</v>
      </c>
      <c r="O455" s="2">
        <v>46240</v>
      </c>
      <c r="P455" s="2">
        <v>46275</v>
      </c>
      <c r="R455" t="s">
        <v>1210</v>
      </c>
      <c r="S455" t="str">
        <f>"25666160000051826"</f>
        <v>25666160000051826</v>
      </c>
      <c r="T455" t="s">
        <v>41</v>
      </c>
      <c r="U455">
        <v>2662.73</v>
      </c>
      <c r="V455">
        <v>2529.59</v>
      </c>
      <c r="W455">
        <v>2529.59</v>
      </c>
      <c r="X455">
        <v>0</v>
      </c>
      <c r="Y455">
        <v>0</v>
      </c>
      <c r="Z455">
        <v>-500</v>
      </c>
      <c r="AA455">
        <v>4174</v>
      </c>
      <c r="AD455" t="s">
        <v>1089</v>
      </c>
      <c r="AE455" t="s">
        <v>1211</v>
      </c>
      <c r="AF455" t="s">
        <v>1089</v>
      </c>
      <c r="AG455">
        <v>12075667000647</v>
      </c>
      <c r="AH455" t="s">
        <v>714</v>
      </c>
    </row>
    <row r="456" spans="1:34" x14ac:dyDescent="0.3">
      <c r="A456">
        <v>101</v>
      </c>
      <c r="B456" t="s">
        <v>34</v>
      </c>
      <c r="C456">
        <v>2</v>
      </c>
      <c r="D456" s="1" t="s">
        <v>1212</v>
      </c>
      <c r="E456" s="1" t="s">
        <v>36</v>
      </c>
      <c r="G456">
        <v>435349</v>
      </c>
      <c r="H456" t="s">
        <v>1213</v>
      </c>
      <c r="I456" t="s">
        <v>1214</v>
      </c>
      <c r="J456">
        <v>12</v>
      </c>
      <c r="K456">
        <v>999002329</v>
      </c>
      <c r="L456">
        <v>50001</v>
      </c>
      <c r="M456" t="s">
        <v>39</v>
      </c>
      <c r="N456">
        <v>60</v>
      </c>
      <c r="O456" s="2">
        <v>46202</v>
      </c>
      <c r="P456" s="2">
        <v>46262</v>
      </c>
      <c r="R456" t="s">
        <v>1215</v>
      </c>
      <c r="S456" t="str">
        <f>"25666160000051273"</f>
        <v>25666160000051273</v>
      </c>
      <c r="T456" t="s">
        <v>41</v>
      </c>
      <c r="U456">
        <v>1804.9</v>
      </c>
      <c r="V456">
        <v>1714.66</v>
      </c>
      <c r="W456">
        <v>1714.66</v>
      </c>
      <c r="X456">
        <v>0</v>
      </c>
      <c r="Y456">
        <v>0</v>
      </c>
      <c r="Z456">
        <v>-487</v>
      </c>
      <c r="AA456">
        <v>693020</v>
      </c>
      <c r="AD456" t="s">
        <v>1089</v>
      </c>
      <c r="AE456" t="s">
        <v>1216</v>
      </c>
      <c r="AF456" t="s">
        <v>1089</v>
      </c>
      <c r="AG456">
        <v>10513998000505</v>
      </c>
      <c r="AH456" t="s">
        <v>714</v>
      </c>
    </row>
    <row r="457" spans="1:34" x14ac:dyDescent="0.3">
      <c r="A457">
        <v>101</v>
      </c>
      <c r="B457" t="s">
        <v>34</v>
      </c>
      <c r="C457">
        <v>2</v>
      </c>
      <c r="D457" s="1" t="s">
        <v>1217</v>
      </c>
      <c r="E457" s="1" t="s">
        <v>36</v>
      </c>
      <c r="G457">
        <v>435353</v>
      </c>
      <c r="H457" t="s">
        <v>1218</v>
      </c>
      <c r="I457" t="s">
        <v>1176</v>
      </c>
      <c r="J457">
        <v>12</v>
      </c>
      <c r="K457">
        <v>999002329</v>
      </c>
      <c r="L457">
        <v>50341</v>
      </c>
      <c r="M457" t="s">
        <v>146</v>
      </c>
      <c r="N457">
        <v>60</v>
      </c>
      <c r="O457" s="2">
        <v>46202</v>
      </c>
      <c r="P457" s="2">
        <v>46262</v>
      </c>
      <c r="R457" t="s">
        <v>1219</v>
      </c>
      <c r="S457" t="str">
        <f>"00012844"</f>
        <v>00012844</v>
      </c>
      <c r="T457" t="s">
        <v>41</v>
      </c>
      <c r="U457">
        <v>1701.98</v>
      </c>
      <c r="V457">
        <v>1616.88</v>
      </c>
      <c r="W457">
        <v>1616.88</v>
      </c>
      <c r="X457">
        <v>0</v>
      </c>
      <c r="Y457">
        <v>0</v>
      </c>
      <c r="Z457">
        <v>-487</v>
      </c>
      <c r="AA457">
        <v>693019</v>
      </c>
      <c r="AD457" t="s">
        <v>1089</v>
      </c>
      <c r="AE457" t="s">
        <v>1220</v>
      </c>
      <c r="AF457" t="s">
        <v>1089</v>
      </c>
      <c r="AG457">
        <v>12075667000566</v>
      </c>
      <c r="AH457" t="s">
        <v>714</v>
      </c>
    </row>
    <row r="458" spans="1:34" x14ac:dyDescent="0.3">
      <c r="A458">
        <v>101</v>
      </c>
      <c r="B458" t="s">
        <v>34</v>
      </c>
      <c r="C458">
        <v>2</v>
      </c>
      <c r="D458" s="1" t="s">
        <v>1221</v>
      </c>
      <c r="E458" s="1" t="s">
        <v>36</v>
      </c>
      <c r="G458">
        <v>436321</v>
      </c>
      <c r="H458" t="s">
        <v>1222</v>
      </c>
      <c r="I458" t="s">
        <v>1151</v>
      </c>
      <c r="J458">
        <v>12</v>
      </c>
      <c r="K458">
        <v>999002329</v>
      </c>
      <c r="L458">
        <v>50341</v>
      </c>
      <c r="M458" t="s">
        <v>146</v>
      </c>
      <c r="N458">
        <v>60</v>
      </c>
      <c r="O458" s="2">
        <v>46202</v>
      </c>
      <c r="P458" s="2">
        <v>46262</v>
      </c>
      <c r="R458" t="s">
        <v>1223</v>
      </c>
      <c r="S458" t="str">
        <f>"00012853"</f>
        <v>00012853</v>
      </c>
      <c r="T458" t="s">
        <v>41</v>
      </c>
      <c r="U458">
        <v>1757.03</v>
      </c>
      <c r="V458">
        <v>1669.18</v>
      </c>
      <c r="W458">
        <v>1669.18</v>
      </c>
      <c r="X458">
        <v>0</v>
      </c>
      <c r="Y458">
        <v>0</v>
      </c>
      <c r="Z458">
        <v>-487</v>
      </c>
      <c r="AA458">
        <v>693023</v>
      </c>
      <c r="AD458" t="s">
        <v>1089</v>
      </c>
      <c r="AE458">
        <v>6733464405</v>
      </c>
      <c r="AF458" t="s">
        <v>1089</v>
      </c>
      <c r="AG458" s="1" t="s">
        <v>1224</v>
      </c>
      <c r="AH458" t="s">
        <v>714</v>
      </c>
    </row>
    <row r="459" spans="1:34" x14ac:dyDescent="0.3">
      <c r="A459">
        <v>101</v>
      </c>
      <c r="B459" t="s">
        <v>34</v>
      </c>
      <c r="C459">
        <v>2</v>
      </c>
      <c r="D459" s="1" t="s">
        <v>1225</v>
      </c>
      <c r="E459" s="1" t="s">
        <v>36</v>
      </c>
      <c r="G459">
        <v>436321</v>
      </c>
      <c r="H459" t="s">
        <v>1222</v>
      </c>
      <c r="I459" t="s">
        <v>1151</v>
      </c>
      <c r="J459">
        <v>12</v>
      </c>
      <c r="K459">
        <v>999002329</v>
      </c>
      <c r="L459">
        <v>50341</v>
      </c>
      <c r="M459" t="s">
        <v>146</v>
      </c>
      <c r="N459">
        <v>60</v>
      </c>
      <c r="O459" s="2">
        <v>46240</v>
      </c>
      <c r="P459" s="2">
        <v>46275</v>
      </c>
      <c r="R459" t="s">
        <v>1226</v>
      </c>
      <c r="S459" t="str">
        <f>"00013621"</f>
        <v>00013621</v>
      </c>
      <c r="T459" t="s">
        <v>41</v>
      </c>
      <c r="U459">
        <v>1902.98</v>
      </c>
      <c r="V459">
        <v>1807.83</v>
      </c>
      <c r="W459">
        <v>1807.83</v>
      </c>
      <c r="X459">
        <v>0</v>
      </c>
      <c r="Y459">
        <v>0</v>
      </c>
      <c r="Z459">
        <v>-500</v>
      </c>
      <c r="AA459">
        <v>4171</v>
      </c>
      <c r="AD459" t="s">
        <v>1089</v>
      </c>
      <c r="AE459">
        <v>6733464405</v>
      </c>
      <c r="AF459" t="s">
        <v>1089</v>
      </c>
      <c r="AG459" s="1" t="s">
        <v>1224</v>
      </c>
      <c r="AH459" t="s">
        <v>714</v>
      </c>
    </row>
    <row r="460" spans="1:34" x14ac:dyDescent="0.3">
      <c r="A460">
        <v>101</v>
      </c>
      <c r="B460" t="s">
        <v>34</v>
      </c>
      <c r="C460">
        <v>2</v>
      </c>
      <c r="D460" s="1" t="s">
        <v>1227</v>
      </c>
      <c r="E460" s="1" t="s">
        <v>36</v>
      </c>
      <c r="G460">
        <v>450755</v>
      </c>
      <c r="H460" t="s">
        <v>1228</v>
      </c>
      <c r="I460" t="s">
        <v>1176</v>
      </c>
      <c r="J460">
        <v>12</v>
      </c>
      <c r="K460">
        <v>999002329</v>
      </c>
      <c r="L460">
        <v>50341</v>
      </c>
      <c r="M460" t="s">
        <v>146</v>
      </c>
      <c r="N460">
        <v>60</v>
      </c>
      <c r="O460" s="2">
        <v>46202</v>
      </c>
      <c r="P460" s="2">
        <v>46262</v>
      </c>
      <c r="R460" t="s">
        <v>1229</v>
      </c>
      <c r="S460" t="str">
        <f>"00012887"</f>
        <v>00012887</v>
      </c>
      <c r="T460" t="s">
        <v>41</v>
      </c>
      <c r="U460">
        <v>1855.38</v>
      </c>
      <c r="V460">
        <v>1762.61</v>
      </c>
      <c r="W460">
        <v>1762.61</v>
      </c>
      <c r="X460">
        <v>0</v>
      </c>
      <c r="Y460">
        <v>0</v>
      </c>
      <c r="Z460">
        <v>-487</v>
      </c>
      <c r="AA460">
        <v>693010</v>
      </c>
      <c r="AD460" t="s">
        <v>1089</v>
      </c>
      <c r="AE460" t="s">
        <v>1230</v>
      </c>
      <c r="AF460" t="s">
        <v>1089</v>
      </c>
      <c r="AG460">
        <v>12075667000809</v>
      </c>
      <c r="AH460" t="s">
        <v>714</v>
      </c>
    </row>
    <row r="461" spans="1:34" x14ac:dyDescent="0.3">
      <c r="A461">
        <v>101</v>
      </c>
      <c r="B461" t="s">
        <v>34</v>
      </c>
      <c r="C461">
        <v>2</v>
      </c>
      <c r="D461" s="1" t="s">
        <v>1231</v>
      </c>
      <c r="E461" s="1" t="s">
        <v>36</v>
      </c>
      <c r="G461">
        <v>450756</v>
      </c>
      <c r="H461" t="s">
        <v>1232</v>
      </c>
      <c r="I461" t="s">
        <v>1176</v>
      </c>
      <c r="J461">
        <v>12</v>
      </c>
      <c r="K461">
        <v>999002329</v>
      </c>
      <c r="L461">
        <v>50033</v>
      </c>
      <c r="M461" t="s">
        <v>39</v>
      </c>
      <c r="N461">
        <v>60</v>
      </c>
      <c r="O461" s="2">
        <v>46240</v>
      </c>
      <c r="P461" s="2">
        <v>46275</v>
      </c>
      <c r="R461" t="s">
        <v>1233</v>
      </c>
      <c r="S461" t="str">
        <f>"0000050412930"</f>
        <v>0000050412930</v>
      </c>
      <c r="T461" t="s">
        <v>41</v>
      </c>
      <c r="U461">
        <v>1815.31</v>
      </c>
      <c r="V461">
        <v>1724.54</v>
      </c>
      <c r="W461">
        <v>1724.54</v>
      </c>
      <c r="X461">
        <v>0</v>
      </c>
      <c r="Y461">
        <v>0</v>
      </c>
      <c r="Z461">
        <v>-500</v>
      </c>
      <c r="AA461">
        <v>4195</v>
      </c>
      <c r="AD461" t="s">
        <v>1089</v>
      </c>
      <c r="AE461" t="s">
        <v>1207</v>
      </c>
      <c r="AF461" t="s">
        <v>1089</v>
      </c>
      <c r="AG461">
        <v>12075667000990</v>
      </c>
      <c r="AH461" t="s">
        <v>714</v>
      </c>
    </row>
    <row r="462" spans="1:34" x14ac:dyDescent="0.3">
      <c r="A462">
        <v>101</v>
      </c>
      <c r="B462" t="s">
        <v>34</v>
      </c>
      <c r="C462">
        <v>2</v>
      </c>
      <c r="D462" s="1" t="s">
        <v>1234</v>
      </c>
      <c r="E462" s="1" t="s">
        <v>36</v>
      </c>
      <c r="G462">
        <v>450757</v>
      </c>
      <c r="H462" t="s">
        <v>1235</v>
      </c>
      <c r="I462" t="s">
        <v>1176</v>
      </c>
      <c r="J462">
        <v>12</v>
      </c>
      <c r="K462">
        <v>999002329</v>
      </c>
      <c r="L462">
        <v>50341</v>
      </c>
      <c r="M462" t="s">
        <v>146</v>
      </c>
      <c r="N462">
        <v>60</v>
      </c>
      <c r="O462" s="2">
        <v>46202</v>
      </c>
      <c r="P462" s="2">
        <v>46262</v>
      </c>
      <c r="R462" t="s">
        <v>1236</v>
      </c>
      <c r="S462" t="str">
        <f>"00012888"</f>
        <v>00012888</v>
      </c>
      <c r="T462" t="s">
        <v>41</v>
      </c>
      <c r="U462">
        <v>1709.21</v>
      </c>
      <c r="V462">
        <v>1623.75</v>
      </c>
      <c r="W462">
        <v>1623.75</v>
      </c>
      <c r="X462">
        <v>0</v>
      </c>
      <c r="Y462">
        <v>0</v>
      </c>
      <c r="Z462">
        <v>-487</v>
      </c>
      <c r="AA462">
        <v>693009</v>
      </c>
      <c r="AD462" t="s">
        <v>1089</v>
      </c>
      <c r="AE462" t="s">
        <v>1237</v>
      </c>
      <c r="AF462" t="s">
        <v>1089</v>
      </c>
      <c r="AG462">
        <v>12075667001023</v>
      </c>
      <c r="AH462" t="s">
        <v>714</v>
      </c>
    </row>
    <row r="463" spans="1:34" x14ac:dyDescent="0.3">
      <c r="A463">
        <v>101</v>
      </c>
      <c r="B463" t="s">
        <v>34</v>
      </c>
      <c r="C463">
        <v>2</v>
      </c>
      <c r="D463" s="1" t="s">
        <v>1238</v>
      </c>
      <c r="E463" s="1" t="s">
        <v>36</v>
      </c>
      <c r="G463">
        <v>450818</v>
      </c>
      <c r="H463" t="s">
        <v>1239</v>
      </c>
      <c r="I463" t="s">
        <v>1214</v>
      </c>
      <c r="J463">
        <v>12</v>
      </c>
      <c r="K463">
        <v>999002329</v>
      </c>
      <c r="L463">
        <v>50341</v>
      </c>
      <c r="M463" t="s">
        <v>146</v>
      </c>
      <c r="N463">
        <v>60</v>
      </c>
      <c r="O463" s="2">
        <v>46202</v>
      </c>
      <c r="P463" s="2">
        <v>46262</v>
      </c>
      <c r="R463" t="s">
        <v>1240</v>
      </c>
      <c r="S463" t="str">
        <f>"00012889"</f>
        <v>00012889</v>
      </c>
      <c r="T463" t="s">
        <v>41</v>
      </c>
      <c r="U463">
        <v>1848.29</v>
      </c>
      <c r="V463">
        <v>1755.88</v>
      </c>
      <c r="W463">
        <v>1755.88</v>
      </c>
      <c r="X463">
        <v>0</v>
      </c>
      <c r="Y463">
        <v>0</v>
      </c>
      <c r="Z463">
        <v>-487</v>
      </c>
      <c r="AA463">
        <v>693011</v>
      </c>
      <c r="AD463" t="s">
        <v>1089</v>
      </c>
      <c r="AE463" t="s">
        <v>1241</v>
      </c>
      <c r="AF463" t="s">
        <v>1089</v>
      </c>
      <c r="AG463">
        <v>10513998000696</v>
      </c>
      <c r="AH463" t="s">
        <v>714</v>
      </c>
    </row>
    <row r="464" spans="1:34" x14ac:dyDescent="0.3">
      <c r="A464">
        <v>101</v>
      </c>
      <c r="B464" t="s">
        <v>34</v>
      </c>
      <c r="C464">
        <v>2</v>
      </c>
      <c r="D464" s="1" t="s">
        <v>1242</v>
      </c>
      <c r="E464" s="1" t="s">
        <v>36</v>
      </c>
      <c r="G464">
        <v>450818</v>
      </c>
      <c r="H464" t="s">
        <v>1239</v>
      </c>
      <c r="I464" t="s">
        <v>1214</v>
      </c>
      <c r="J464">
        <v>12</v>
      </c>
      <c r="K464">
        <v>999002329</v>
      </c>
      <c r="L464">
        <v>50341</v>
      </c>
      <c r="M464" t="s">
        <v>146</v>
      </c>
      <c r="N464">
        <v>60</v>
      </c>
      <c r="O464" s="2">
        <v>46240</v>
      </c>
      <c r="P464" s="2">
        <v>46275</v>
      </c>
      <c r="R464" t="s">
        <v>1243</v>
      </c>
      <c r="S464" t="str">
        <f>"00013630"</f>
        <v>00013630</v>
      </c>
      <c r="T464" t="s">
        <v>41</v>
      </c>
      <c r="U464">
        <v>2150</v>
      </c>
      <c r="V464">
        <v>2042.5</v>
      </c>
      <c r="W464">
        <v>2042.5</v>
      </c>
      <c r="X464">
        <v>0</v>
      </c>
      <c r="Y464">
        <v>0</v>
      </c>
      <c r="Z464">
        <v>-500</v>
      </c>
      <c r="AA464">
        <v>4192</v>
      </c>
      <c r="AD464" t="s">
        <v>1089</v>
      </c>
      <c r="AE464" t="s">
        <v>1241</v>
      </c>
      <c r="AF464" t="s">
        <v>1089</v>
      </c>
      <c r="AG464">
        <v>10513998000696</v>
      </c>
      <c r="AH464" t="s">
        <v>714</v>
      </c>
    </row>
    <row r="465" spans="1:34" x14ac:dyDescent="0.3">
      <c r="A465">
        <v>101</v>
      </c>
      <c r="B465" t="s">
        <v>34</v>
      </c>
      <c r="C465">
        <v>2</v>
      </c>
      <c r="D465" s="1" t="s">
        <v>1244</v>
      </c>
      <c r="E465" s="1" t="s">
        <v>36</v>
      </c>
      <c r="G465">
        <v>450972</v>
      </c>
      <c r="H465" t="s">
        <v>1245</v>
      </c>
      <c r="I465" t="s">
        <v>1246</v>
      </c>
      <c r="J465">
        <v>12</v>
      </c>
      <c r="K465">
        <v>450972</v>
      </c>
      <c r="L465">
        <v>50001</v>
      </c>
      <c r="M465" t="s">
        <v>39</v>
      </c>
      <c r="N465">
        <v>60</v>
      </c>
      <c r="O465" s="2">
        <v>46230</v>
      </c>
      <c r="P465" s="2">
        <v>46265</v>
      </c>
      <c r="R465" t="s">
        <v>1247</v>
      </c>
      <c r="S465" t="str">
        <f>"25666160000051643"</f>
        <v>25666160000051643</v>
      </c>
      <c r="T465" t="s">
        <v>41</v>
      </c>
      <c r="U465">
        <v>15649.04</v>
      </c>
      <c r="V465">
        <v>15649.04</v>
      </c>
      <c r="W465">
        <v>15649.04</v>
      </c>
      <c r="X465">
        <v>0</v>
      </c>
      <c r="Y465">
        <v>0</v>
      </c>
      <c r="Z465">
        <v>-490</v>
      </c>
      <c r="AA465">
        <v>1626</v>
      </c>
      <c r="AD465" t="s">
        <v>1076</v>
      </c>
      <c r="AE465" t="s">
        <v>1248</v>
      </c>
      <c r="AF465" t="s">
        <v>1076</v>
      </c>
      <c r="AG465" s="1" t="s">
        <v>1249</v>
      </c>
      <c r="AH465" t="s">
        <v>714</v>
      </c>
    </row>
    <row r="466" spans="1:34" x14ac:dyDescent="0.3">
      <c r="A466">
        <v>101</v>
      </c>
      <c r="B466" t="s">
        <v>34</v>
      </c>
      <c r="C466">
        <v>2</v>
      </c>
      <c r="D466" s="1" t="s">
        <v>1250</v>
      </c>
      <c r="E466" s="1" t="s">
        <v>36</v>
      </c>
      <c r="G466">
        <v>451605</v>
      </c>
      <c r="H466" t="s">
        <v>1251</v>
      </c>
      <c r="I466" t="s">
        <v>1252</v>
      </c>
      <c r="J466">
        <v>12</v>
      </c>
      <c r="K466">
        <v>451605</v>
      </c>
      <c r="L466">
        <v>50001</v>
      </c>
      <c r="M466" t="s">
        <v>39</v>
      </c>
      <c r="N466">
        <v>60</v>
      </c>
      <c r="O466" s="2">
        <v>46233</v>
      </c>
      <c r="P466" s="2">
        <v>46268</v>
      </c>
      <c r="R466" t="s">
        <v>1253</v>
      </c>
      <c r="S466" t="str">
        <f>"25666160000051684"</f>
        <v>25666160000051684</v>
      </c>
      <c r="T466" t="s">
        <v>41</v>
      </c>
      <c r="U466">
        <v>6634.7</v>
      </c>
      <c r="V466">
        <v>6302.97</v>
      </c>
      <c r="W466">
        <v>6302.97</v>
      </c>
      <c r="X466">
        <v>0</v>
      </c>
      <c r="Y466">
        <v>0</v>
      </c>
      <c r="Z466">
        <v>-493</v>
      </c>
      <c r="AA466">
        <v>1909</v>
      </c>
      <c r="AD466" t="s">
        <v>1089</v>
      </c>
      <c r="AE466" t="s">
        <v>1254</v>
      </c>
      <c r="AF466" t="s">
        <v>1089</v>
      </c>
      <c r="AG466" s="1" t="s">
        <v>1255</v>
      </c>
      <c r="AH466" t="s">
        <v>714</v>
      </c>
    </row>
    <row r="467" spans="1:34" x14ac:dyDescent="0.3">
      <c r="A467">
        <v>101</v>
      </c>
      <c r="B467" t="s">
        <v>34</v>
      </c>
      <c r="C467">
        <v>2</v>
      </c>
      <c r="D467" s="1" t="s">
        <v>1250</v>
      </c>
      <c r="E467" s="1" t="s">
        <v>122</v>
      </c>
      <c r="G467">
        <v>451605</v>
      </c>
      <c r="H467" t="s">
        <v>1251</v>
      </c>
      <c r="I467" t="s">
        <v>1252</v>
      </c>
      <c r="J467">
        <v>12</v>
      </c>
      <c r="K467">
        <v>451605</v>
      </c>
      <c r="L467">
        <v>50001</v>
      </c>
      <c r="M467" t="s">
        <v>39</v>
      </c>
      <c r="N467">
        <v>60</v>
      </c>
      <c r="O467" s="2">
        <v>46233</v>
      </c>
      <c r="P467" s="2">
        <v>46278</v>
      </c>
      <c r="R467" t="s">
        <v>1253</v>
      </c>
      <c r="S467" t="str">
        <f>"25666160000051685"</f>
        <v>25666160000051685</v>
      </c>
      <c r="T467" t="s">
        <v>41</v>
      </c>
      <c r="U467">
        <v>6607.12</v>
      </c>
      <c r="V467">
        <v>6276.76</v>
      </c>
      <c r="W467">
        <v>6276.76</v>
      </c>
      <c r="X467">
        <v>0</v>
      </c>
      <c r="Y467">
        <v>0</v>
      </c>
      <c r="Z467">
        <v>-503</v>
      </c>
      <c r="AA467">
        <v>1909</v>
      </c>
      <c r="AD467" t="s">
        <v>1089</v>
      </c>
      <c r="AE467" t="s">
        <v>1254</v>
      </c>
      <c r="AF467" t="s">
        <v>1089</v>
      </c>
      <c r="AG467" s="1" t="s">
        <v>1255</v>
      </c>
      <c r="AH467" t="s">
        <v>714</v>
      </c>
    </row>
    <row r="468" spans="1:34" x14ac:dyDescent="0.3">
      <c r="A468">
        <v>101</v>
      </c>
      <c r="B468" t="s">
        <v>34</v>
      </c>
      <c r="C468">
        <v>2</v>
      </c>
      <c r="D468" s="1" t="s">
        <v>1256</v>
      </c>
      <c r="E468" s="1" t="s">
        <v>36</v>
      </c>
      <c r="G468">
        <v>451605</v>
      </c>
      <c r="H468" t="s">
        <v>1251</v>
      </c>
      <c r="I468" t="s">
        <v>1252</v>
      </c>
      <c r="J468">
        <v>12</v>
      </c>
      <c r="K468">
        <v>451605</v>
      </c>
      <c r="L468">
        <v>50001</v>
      </c>
      <c r="M468" t="s">
        <v>39</v>
      </c>
      <c r="N468">
        <v>60</v>
      </c>
      <c r="O468" s="2">
        <v>46233</v>
      </c>
      <c r="P468" s="2">
        <v>46268</v>
      </c>
      <c r="R468" t="s">
        <v>1257</v>
      </c>
      <c r="S468" t="str">
        <f>"25666160000051682"</f>
        <v>25666160000051682</v>
      </c>
      <c r="T468" t="s">
        <v>41</v>
      </c>
      <c r="U468">
        <v>20461.16</v>
      </c>
      <c r="V468">
        <v>19438.099999999999</v>
      </c>
      <c r="W468">
        <v>19438.099999999999</v>
      </c>
      <c r="X468">
        <v>0</v>
      </c>
      <c r="Y468">
        <v>0</v>
      </c>
      <c r="Z468">
        <v>-493</v>
      </c>
      <c r="AA468">
        <v>1811</v>
      </c>
      <c r="AD468" t="s">
        <v>1089</v>
      </c>
      <c r="AE468" t="s">
        <v>1254</v>
      </c>
      <c r="AF468" t="s">
        <v>1089</v>
      </c>
      <c r="AG468" s="1" t="s">
        <v>1255</v>
      </c>
      <c r="AH468" t="s">
        <v>714</v>
      </c>
    </row>
    <row r="469" spans="1:34" x14ac:dyDescent="0.3">
      <c r="A469">
        <v>101</v>
      </c>
      <c r="B469" t="s">
        <v>34</v>
      </c>
      <c r="C469">
        <v>2</v>
      </c>
      <c r="D469" s="1" t="s">
        <v>1256</v>
      </c>
      <c r="E469" s="1" t="s">
        <v>122</v>
      </c>
      <c r="G469">
        <v>451605</v>
      </c>
      <c r="H469" t="s">
        <v>1251</v>
      </c>
      <c r="I469" t="s">
        <v>1252</v>
      </c>
      <c r="J469">
        <v>12</v>
      </c>
      <c r="K469">
        <v>451605</v>
      </c>
      <c r="L469">
        <v>50001</v>
      </c>
      <c r="M469" t="s">
        <v>39</v>
      </c>
      <c r="N469">
        <v>60</v>
      </c>
      <c r="O469" s="2">
        <v>46233</v>
      </c>
      <c r="P469" s="2">
        <v>46278</v>
      </c>
      <c r="R469" t="s">
        <v>1257</v>
      </c>
      <c r="S469" t="str">
        <f>"25666160000051683"</f>
        <v>25666160000051683</v>
      </c>
      <c r="T469" t="s">
        <v>41</v>
      </c>
      <c r="U469">
        <v>20444.87</v>
      </c>
      <c r="V469">
        <v>19422.63</v>
      </c>
      <c r="W469">
        <v>19422.63</v>
      </c>
      <c r="X469">
        <v>0</v>
      </c>
      <c r="Y469">
        <v>0</v>
      </c>
      <c r="Z469">
        <v>-503</v>
      </c>
      <c r="AA469">
        <v>1811</v>
      </c>
      <c r="AD469" t="s">
        <v>1089</v>
      </c>
      <c r="AE469" t="s">
        <v>1254</v>
      </c>
      <c r="AF469" t="s">
        <v>1089</v>
      </c>
      <c r="AG469" s="1" t="s">
        <v>1255</v>
      </c>
      <c r="AH469" t="s">
        <v>714</v>
      </c>
    </row>
    <row r="470" spans="1:34" x14ac:dyDescent="0.3">
      <c r="A470">
        <v>101</v>
      </c>
      <c r="B470" t="s">
        <v>34</v>
      </c>
      <c r="C470">
        <v>2</v>
      </c>
      <c r="D470" s="1" t="s">
        <v>1258</v>
      </c>
      <c r="E470" s="1" t="s">
        <v>36</v>
      </c>
      <c r="G470">
        <v>451827</v>
      </c>
      <c r="H470" t="s">
        <v>1259</v>
      </c>
      <c r="I470" t="s">
        <v>1252</v>
      </c>
      <c r="J470">
        <v>12</v>
      </c>
      <c r="K470">
        <v>451605</v>
      </c>
      <c r="L470">
        <v>50001</v>
      </c>
      <c r="M470" t="s">
        <v>39</v>
      </c>
      <c r="N470">
        <v>60</v>
      </c>
      <c r="O470" s="2">
        <v>46233</v>
      </c>
      <c r="P470" s="2">
        <v>46268</v>
      </c>
      <c r="R470" t="s">
        <v>1260</v>
      </c>
      <c r="S470" t="str">
        <f>"25666160000051686"</f>
        <v>25666160000051686</v>
      </c>
      <c r="T470" t="s">
        <v>41</v>
      </c>
      <c r="U470">
        <v>12929.74</v>
      </c>
      <c r="V470">
        <v>12283.25</v>
      </c>
      <c r="W470">
        <v>12283.25</v>
      </c>
      <c r="X470">
        <v>0</v>
      </c>
      <c r="Y470">
        <v>0</v>
      </c>
      <c r="Z470">
        <v>-493</v>
      </c>
      <c r="AA470">
        <v>1912</v>
      </c>
      <c r="AD470" t="s">
        <v>1089</v>
      </c>
      <c r="AE470" t="s">
        <v>1261</v>
      </c>
      <c r="AF470" t="s">
        <v>1089</v>
      </c>
      <c r="AG470" s="1" t="s">
        <v>1262</v>
      </c>
      <c r="AH470" t="s">
        <v>714</v>
      </c>
    </row>
    <row r="471" spans="1:34" x14ac:dyDescent="0.3">
      <c r="A471">
        <v>101</v>
      </c>
      <c r="B471" t="s">
        <v>34</v>
      </c>
      <c r="C471">
        <v>2</v>
      </c>
      <c r="D471" s="1" t="s">
        <v>1263</v>
      </c>
      <c r="E471" s="1" t="s">
        <v>36</v>
      </c>
      <c r="G471">
        <v>451827</v>
      </c>
      <c r="H471" t="s">
        <v>1259</v>
      </c>
      <c r="I471" t="s">
        <v>1252</v>
      </c>
      <c r="J471">
        <v>12</v>
      </c>
      <c r="K471">
        <v>451605</v>
      </c>
      <c r="L471">
        <v>50001</v>
      </c>
      <c r="M471" t="s">
        <v>39</v>
      </c>
      <c r="N471">
        <v>60</v>
      </c>
      <c r="O471" s="2">
        <v>46231</v>
      </c>
      <c r="P471" s="2">
        <v>46266</v>
      </c>
      <c r="R471" t="s">
        <v>1264</v>
      </c>
      <c r="S471" t="str">
        <f>"25666160000051669"</f>
        <v>25666160000051669</v>
      </c>
      <c r="T471" t="s">
        <v>41</v>
      </c>
      <c r="U471">
        <v>33837.870000000003</v>
      </c>
      <c r="V471">
        <v>32145.98</v>
      </c>
      <c r="W471">
        <v>32145.98</v>
      </c>
      <c r="X471">
        <v>0</v>
      </c>
      <c r="Y471">
        <v>0</v>
      </c>
      <c r="Z471">
        <v>-491</v>
      </c>
      <c r="AA471">
        <v>1806</v>
      </c>
      <c r="AD471" t="s">
        <v>1089</v>
      </c>
      <c r="AE471" t="s">
        <v>1261</v>
      </c>
      <c r="AF471" t="s">
        <v>1089</v>
      </c>
      <c r="AG471" s="1" t="s">
        <v>1262</v>
      </c>
      <c r="AH471" t="s">
        <v>714</v>
      </c>
    </row>
    <row r="472" spans="1:34" x14ac:dyDescent="0.3">
      <c r="A472">
        <v>101</v>
      </c>
      <c r="B472" t="s">
        <v>34</v>
      </c>
      <c r="C472">
        <v>2</v>
      </c>
      <c r="D472" s="1" t="s">
        <v>1265</v>
      </c>
      <c r="E472" s="1" t="s">
        <v>36</v>
      </c>
      <c r="G472">
        <v>452420</v>
      </c>
      <c r="H472" t="s">
        <v>1266</v>
      </c>
      <c r="I472" t="s">
        <v>1132</v>
      </c>
      <c r="J472">
        <v>12</v>
      </c>
      <c r="K472">
        <v>452420</v>
      </c>
      <c r="L472">
        <v>50001</v>
      </c>
      <c r="M472" t="s">
        <v>39</v>
      </c>
      <c r="N472">
        <v>60</v>
      </c>
      <c r="O472" s="2">
        <v>46230</v>
      </c>
      <c r="P472" s="2">
        <v>46265</v>
      </c>
      <c r="R472" t="s">
        <v>1267</v>
      </c>
      <c r="S472" t="str">
        <f>"25666160000051645"</f>
        <v>25666160000051645</v>
      </c>
      <c r="T472" t="s">
        <v>41</v>
      </c>
      <c r="U472">
        <v>5570.45</v>
      </c>
      <c r="V472">
        <v>5291.93</v>
      </c>
      <c r="W472">
        <v>5291.93</v>
      </c>
      <c r="X472">
        <v>0</v>
      </c>
      <c r="Y472">
        <v>0</v>
      </c>
      <c r="Z472">
        <v>-490</v>
      </c>
      <c r="AA472">
        <v>1657</v>
      </c>
      <c r="AD472" t="s">
        <v>1134</v>
      </c>
      <c r="AE472" t="s">
        <v>1268</v>
      </c>
      <c r="AF472" t="s">
        <v>1134</v>
      </c>
      <c r="AG472">
        <v>33168717000368</v>
      </c>
      <c r="AH472" t="s">
        <v>714</v>
      </c>
    </row>
    <row r="473" spans="1:34" x14ac:dyDescent="0.3">
      <c r="A473">
        <v>101</v>
      </c>
      <c r="B473" t="s">
        <v>34</v>
      </c>
      <c r="C473">
        <v>2</v>
      </c>
      <c r="D473" s="1" t="s">
        <v>1269</v>
      </c>
      <c r="E473" s="1" t="s">
        <v>36</v>
      </c>
      <c r="G473">
        <v>452659</v>
      </c>
      <c r="H473" t="s">
        <v>1270</v>
      </c>
      <c r="I473" t="s">
        <v>1214</v>
      </c>
      <c r="J473">
        <v>12</v>
      </c>
      <c r="K473">
        <v>999002329</v>
      </c>
      <c r="L473">
        <v>50341</v>
      </c>
      <c r="M473" t="s">
        <v>146</v>
      </c>
      <c r="N473">
        <v>60</v>
      </c>
      <c r="O473" s="2">
        <v>46240</v>
      </c>
      <c r="P473" s="2">
        <v>46275</v>
      </c>
      <c r="R473" t="s">
        <v>1271</v>
      </c>
      <c r="S473" t="str">
        <f>"00013631"</f>
        <v>00013631</v>
      </c>
      <c r="T473" t="s">
        <v>41</v>
      </c>
      <c r="U473">
        <v>2796.97</v>
      </c>
      <c r="V473">
        <v>2657.12</v>
      </c>
      <c r="W473">
        <v>2657.12</v>
      </c>
      <c r="X473">
        <v>0</v>
      </c>
      <c r="Y473">
        <v>0</v>
      </c>
      <c r="Z473">
        <v>-500</v>
      </c>
      <c r="AA473">
        <v>4197</v>
      </c>
      <c r="AD473" t="s">
        <v>877</v>
      </c>
      <c r="AE473" t="s">
        <v>1272</v>
      </c>
      <c r="AF473" t="s">
        <v>877</v>
      </c>
      <c r="AG473">
        <v>10513998000777</v>
      </c>
      <c r="AH473" t="s">
        <v>714</v>
      </c>
    </row>
    <row r="474" spans="1:34" x14ac:dyDescent="0.3">
      <c r="A474">
        <v>101</v>
      </c>
      <c r="B474" t="s">
        <v>34</v>
      </c>
      <c r="C474">
        <v>2</v>
      </c>
      <c r="D474" s="1" t="s">
        <v>1273</v>
      </c>
      <c r="E474" s="1" t="s">
        <v>36</v>
      </c>
      <c r="G474">
        <v>452853</v>
      </c>
      <c r="H474" t="s">
        <v>1274</v>
      </c>
      <c r="I474" t="s">
        <v>1214</v>
      </c>
      <c r="J474">
        <v>12</v>
      </c>
      <c r="K474">
        <v>999002329</v>
      </c>
      <c r="L474">
        <v>50033</v>
      </c>
      <c r="M474" t="s">
        <v>39</v>
      </c>
      <c r="N474">
        <v>60</v>
      </c>
      <c r="O474" s="2">
        <v>46240</v>
      </c>
      <c r="P474" s="2">
        <v>46275</v>
      </c>
      <c r="R474" t="s">
        <v>1275</v>
      </c>
      <c r="S474" t="str">
        <f>"0000050412973"</f>
        <v>0000050412973</v>
      </c>
      <c r="T474" t="s">
        <v>41</v>
      </c>
      <c r="U474">
        <v>1810.39</v>
      </c>
      <c r="V474">
        <v>1719.87</v>
      </c>
      <c r="W474">
        <v>1719.87</v>
      </c>
      <c r="X474">
        <v>0</v>
      </c>
      <c r="Y474">
        <v>0</v>
      </c>
      <c r="Z474">
        <v>-500</v>
      </c>
      <c r="AA474">
        <v>4198</v>
      </c>
      <c r="AD474" t="s">
        <v>837</v>
      </c>
      <c r="AE474" t="s">
        <v>1276</v>
      </c>
      <c r="AF474" t="s">
        <v>837</v>
      </c>
      <c r="AG474">
        <v>10513998000939</v>
      </c>
      <c r="AH474" t="s">
        <v>714</v>
      </c>
    </row>
    <row r="475" spans="1:34" x14ac:dyDescent="0.3">
      <c r="A475">
        <v>101</v>
      </c>
      <c r="B475" t="s">
        <v>34</v>
      </c>
      <c r="C475">
        <v>2</v>
      </c>
      <c r="D475" s="1" t="s">
        <v>1277</v>
      </c>
      <c r="E475" s="1" t="s">
        <v>36</v>
      </c>
      <c r="G475">
        <v>452853</v>
      </c>
      <c r="H475" t="s">
        <v>1274</v>
      </c>
      <c r="I475" t="s">
        <v>1214</v>
      </c>
      <c r="J475">
        <v>12</v>
      </c>
      <c r="K475">
        <v>999002329</v>
      </c>
      <c r="L475">
        <v>50033</v>
      </c>
      <c r="M475" t="s">
        <v>39</v>
      </c>
      <c r="N475">
        <v>60</v>
      </c>
      <c r="O475" s="2">
        <v>46202</v>
      </c>
      <c r="P475" s="2">
        <v>46262</v>
      </c>
      <c r="R475" t="s">
        <v>1278</v>
      </c>
      <c r="S475" t="str">
        <f>"0000050407775"</f>
        <v>0000050407775</v>
      </c>
      <c r="T475" t="s">
        <v>41</v>
      </c>
      <c r="U475">
        <v>1808.61</v>
      </c>
      <c r="V475">
        <v>1718.18</v>
      </c>
      <c r="W475">
        <v>1718.18</v>
      </c>
      <c r="X475">
        <v>0</v>
      </c>
      <c r="Y475">
        <v>0</v>
      </c>
      <c r="Z475">
        <v>-487</v>
      </c>
      <c r="AA475">
        <v>693008</v>
      </c>
      <c r="AD475" t="s">
        <v>837</v>
      </c>
      <c r="AE475" t="s">
        <v>1276</v>
      </c>
      <c r="AF475" t="s">
        <v>837</v>
      </c>
      <c r="AG475">
        <v>10513998000939</v>
      </c>
      <c r="AH475" t="s">
        <v>714</v>
      </c>
    </row>
    <row r="476" spans="1:34" x14ac:dyDescent="0.3">
      <c r="A476">
        <v>101</v>
      </c>
      <c r="B476" t="s">
        <v>34</v>
      </c>
      <c r="C476">
        <v>2</v>
      </c>
      <c r="D476" s="1" t="s">
        <v>1279</v>
      </c>
      <c r="E476" s="1" t="s">
        <v>36</v>
      </c>
      <c r="G476">
        <v>453194</v>
      </c>
      <c r="H476" t="s">
        <v>1280</v>
      </c>
      <c r="I476" t="s">
        <v>1281</v>
      </c>
      <c r="J476">
        <v>12</v>
      </c>
      <c r="K476">
        <v>10947</v>
      </c>
      <c r="L476">
        <v>50033</v>
      </c>
      <c r="M476" t="s">
        <v>39</v>
      </c>
      <c r="N476">
        <v>60</v>
      </c>
      <c r="O476" s="2">
        <v>46217</v>
      </c>
      <c r="P476" s="2">
        <v>46277</v>
      </c>
      <c r="R476" t="s">
        <v>1282</v>
      </c>
      <c r="S476" t="str">
        <f>"0000050409913"</f>
        <v>0000050409913</v>
      </c>
      <c r="T476" t="s">
        <v>41</v>
      </c>
      <c r="U476">
        <v>1830.94</v>
      </c>
      <c r="V476">
        <v>1739.39</v>
      </c>
      <c r="W476">
        <v>1739.39</v>
      </c>
      <c r="X476">
        <v>0</v>
      </c>
      <c r="Y476">
        <v>0</v>
      </c>
      <c r="Z476">
        <v>-502</v>
      </c>
      <c r="AA476">
        <v>1074</v>
      </c>
      <c r="AD476" t="s">
        <v>1089</v>
      </c>
      <c r="AE476" t="s">
        <v>1283</v>
      </c>
      <c r="AF476" t="s">
        <v>1089</v>
      </c>
      <c r="AG476" s="1" t="s">
        <v>1284</v>
      </c>
      <c r="AH476" t="s">
        <v>714</v>
      </c>
    </row>
    <row r="477" spans="1:34" x14ac:dyDescent="0.3">
      <c r="A477">
        <v>101</v>
      </c>
      <c r="B477" t="s">
        <v>34</v>
      </c>
      <c r="C477">
        <v>2</v>
      </c>
      <c r="D477" s="1" t="s">
        <v>1285</v>
      </c>
      <c r="E477" s="1" t="s">
        <v>36</v>
      </c>
      <c r="G477">
        <v>453454</v>
      </c>
      <c r="H477" t="s">
        <v>1286</v>
      </c>
      <c r="I477" t="s">
        <v>1214</v>
      </c>
      <c r="J477">
        <v>12</v>
      </c>
      <c r="K477">
        <v>999002329</v>
      </c>
      <c r="L477">
        <v>50341</v>
      </c>
      <c r="M477" t="s">
        <v>146</v>
      </c>
      <c r="N477">
        <v>60</v>
      </c>
      <c r="O477" s="2">
        <v>46202</v>
      </c>
      <c r="P477" s="2">
        <v>46262</v>
      </c>
      <c r="R477" t="s">
        <v>1287</v>
      </c>
      <c r="S477" t="str">
        <f>"00012896"</f>
        <v>00012896</v>
      </c>
      <c r="T477" t="s">
        <v>41</v>
      </c>
      <c r="U477">
        <v>3196.45</v>
      </c>
      <c r="V477">
        <v>3036.63</v>
      </c>
      <c r="W477">
        <v>3036.63</v>
      </c>
      <c r="X477">
        <v>0</v>
      </c>
      <c r="Y477">
        <v>0</v>
      </c>
      <c r="Z477">
        <v>-487</v>
      </c>
      <c r="AA477">
        <v>693007</v>
      </c>
      <c r="AD477" t="s">
        <v>731</v>
      </c>
      <c r="AE477" t="s">
        <v>1288</v>
      </c>
      <c r="AF477" t="s">
        <v>731</v>
      </c>
      <c r="AG477">
        <v>10513998001072</v>
      </c>
      <c r="AH477" t="s">
        <v>714</v>
      </c>
    </row>
    <row r="478" spans="1:34" x14ac:dyDescent="0.3">
      <c r="A478">
        <v>101</v>
      </c>
      <c r="B478" t="s">
        <v>34</v>
      </c>
      <c r="C478">
        <v>2</v>
      </c>
      <c r="D478" s="1" t="s">
        <v>1289</v>
      </c>
      <c r="E478" s="1" t="s">
        <v>36</v>
      </c>
      <c r="G478">
        <v>453454</v>
      </c>
      <c r="H478" t="s">
        <v>1286</v>
      </c>
      <c r="I478" t="s">
        <v>1214</v>
      </c>
      <c r="J478">
        <v>12</v>
      </c>
      <c r="K478">
        <v>999002329</v>
      </c>
      <c r="L478">
        <v>50341</v>
      </c>
      <c r="M478" t="s">
        <v>146</v>
      </c>
      <c r="N478">
        <v>60</v>
      </c>
      <c r="O478" s="2">
        <v>46240</v>
      </c>
      <c r="P478" s="2">
        <v>46275</v>
      </c>
      <c r="R478" t="s">
        <v>1290</v>
      </c>
      <c r="S478" t="str">
        <f>"00013632"</f>
        <v>00013632</v>
      </c>
      <c r="T478" t="s">
        <v>41</v>
      </c>
      <c r="U478">
        <v>1775.03</v>
      </c>
      <c r="V478">
        <v>1686.28</v>
      </c>
      <c r="W478">
        <v>1686.28</v>
      </c>
      <c r="X478">
        <v>0</v>
      </c>
      <c r="Y478">
        <v>0</v>
      </c>
      <c r="Z478">
        <v>-500</v>
      </c>
      <c r="AA478">
        <v>4200</v>
      </c>
      <c r="AD478" t="s">
        <v>731</v>
      </c>
      <c r="AE478" t="s">
        <v>1288</v>
      </c>
      <c r="AF478" t="s">
        <v>731</v>
      </c>
      <c r="AG478">
        <v>10513998001072</v>
      </c>
      <c r="AH478" t="s">
        <v>714</v>
      </c>
    </row>
    <row r="479" spans="1:34" x14ac:dyDescent="0.3">
      <c r="A479">
        <v>101</v>
      </c>
      <c r="B479" t="s">
        <v>34</v>
      </c>
      <c r="C479">
        <v>2</v>
      </c>
      <c r="D479" s="1" t="s">
        <v>1291</v>
      </c>
      <c r="E479" s="1" t="s">
        <v>36</v>
      </c>
      <c r="G479">
        <v>453903</v>
      </c>
      <c r="H479" t="s">
        <v>1292</v>
      </c>
      <c r="I479" t="s">
        <v>1199</v>
      </c>
      <c r="J479">
        <v>12</v>
      </c>
      <c r="K479">
        <v>999002329</v>
      </c>
      <c r="L479">
        <v>50341</v>
      </c>
      <c r="M479" t="s">
        <v>146</v>
      </c>
      <c r="N479">
        <v>60</v>
      </c>
      <c r="O479" s="2">
        <v>46240</v>
      </c>
      <c r="P479" s="2">
        <v>46275</v>
      </c>
      <c r="R479" t="s">
        <v>1293</v>
      </c>
      <c r="S479" t="str">
        <f>"00013633"</f>
        <v>00013633</v>
      </c>
      <c r="T479" t="s">
        <v>41</v>
      </c>
      <c r="U479">
        <v>2190.9299999999998</v>
      </c>
      <c r="V479">
        <v>2081.38</v>
      </c>
      <c r="W479">
        <v>2081.38</v>
      </c>
      <c r="X479">
        <v>0</v>
      </c>
      <c r="Y479">
        <v>0</v>
      </c>
      <c r="Z479">
        <v>-500</v>
      </c>
      <c r="AA479">
        <v>4202</v>
      </c>
      <c r="AD479" t="s">
        <v>1089</v>
      </c>
      <c r="AE479" t="s">
        <v>1184</v>
      </c>
      <c r="AF479" t="s">
        <v>1089</v>
      </c>
      <c r="AG479">
        <v>12075667001295</v>
      </c>
      <c r="AH479" t="s">
        <v>714</v>
      </c>
    </row>
    <row r="480" spans="1:34" x14ac:dyDescent="0.3">
      <c r="A480">
        <v>101</v>
      </c>
      <c r="B480" t="s">
        <v>34</v>
      </c>
      <c r="C480">
        <v>2</v>
      </c>
      <c r="D480" s="1" t="s">
        <v>1294</v>
      </c>
      <c r="E480" s="1" t="s">
        <v>36</v>
      </c>
      <c r="G480">
        <v>453903</v>
      </c>
      <c r="H480" t="s">
        <v>1292</v>
      </c>
      <c r="I480" t="s">
        <v>1199</v>
      </c>
      <c r="J480">
        <v>12</v>
      </c>
      <c r="K480">
        <v>999002329</v>
      </c>
      <c r="L480">
        <v>50341</v>
      </c>
      <c r="M480" t="s">
        <v>146</v>
      </c>
      <c r="N480">
        <v>60</v>
      </c>
      <c r="O480" s="2">
        <v>46202</v>
      </c>
      <c r="P480" s="2">
        <v>46262</v>
      </c>
      <c r="R480" t="s">
        <v>1295</v>
      </c>
      <c r="S480" t="str">
        <f>"00012897"</f>
        <v>00012897</v>
      </c>
      <c r="T480" t="s">
        <v>41</v>
      </c>
      <c r="U480">
        <v>2733.03</v>
      </c>
      <c r="V480">
        <v>2596.38</v>
      </c>
      <c r="W480">
        <v>2596.38</v>
      </c>
      <c r="X480">
        <v>0</v>
      </c>
      <c r="Y480">
        <v>0</v>
      </c>
      <c r="Z480">
        <v>-487</v>
      </c>
      <c r="AA480">
        <v>693006</v>
      </c>
      <c r="AD480" t="s">
        <v>1089</v>
      </c>
      <c r="AE480" t="s">
        <v>1184</v>
      </c>
      <c r="AF480" t="s">
        <v>1089</v>
      </c>
      <c r="AG480">
        <v>12075667001295</v>
      </c>
      <c r="AH480" t="s">
        <v>714</v>
      </c>
    </row>
    <row r="481" spans="1:34" x14ac:dyDescent="0.3">
      <c r="A481">
        <v>101</v>
      </c>
      <c r="B481" t="s">
        <v>34</v>
      </c>
      <c r="C481">
        <v>2</v>
      </c>
      <c r="D481" s="1" t="s">
        <v>1296</v>
      </c>
      <c r="E481" s="1" t="s">
        <v>36</v>
      </c>
      <c r="G481">
        <v>454872</v>
      </c>
      <c r="H481" t="s">
        <v>1297</v>
      </c>
      <c r="I481" t="s">
        <v>1199</v>
      </c>
      <c r="J481">
        <v>12</v>
      </c>
      <c r="K481">
        <v>999002329</v>
      </c>
      <c r="L481">
        <v>50341</v>
      </c>
      <c r="M481" t="s">
        <v>146</v>
      </c>
      <c r="N481">
        <v>60</v>
      </c>
      <c r="O481" s="2">
        <v>46202</v>
      </c>
      <c r="P481" s="2">
        <v>46262</v>
      </c>
      <c r="R481" t="s">
        <v>1298</v>
      </c>
      <c r="S481" t="str">
        <f>"00012898"</f>
        <v>00012898</v>
      </c>
      <c r="T481" t="s">
        <v>41</v>
      </c>
      <c r="U481">
        <v>2242.3200000000002</v>
      </c>
      <c r="V481">
        <v>2130.1999999999998</v>
      </c>
      <c r="W481">
        <v>2130.1999999999998</v>
      </c>
      <c r="X481">
        <v>0</v>
      </c>
      <c r="Y481">
        <v>0</v>
      </c>
      <c r="Z481">
        <v>-487</v>
      </c>
      <c r="AA481">
        <v>693005</v>
      </c>
      <c r="AD481" t="s">
        <v>1089</v>
      </c>
      <c r="AE481">
        <v>6733462727</v>
      </c>
      <c r="AF481" t="s">
        <v>1089</v>
      </c>
      <c r="AG481">
        <v>12075667001376</v>
      </c>
      <c r="AH481" t="s">
        <v>714</v>
      </c>
    </row>
    <row r="482" spans="1:34" x14ac:dyDescent="0.3">
      <c r="A482">
        <v>101</v>
      </c>
      <c r="B482" t="s">
        <v>34</v>
      </c>
      <c r="C482">
        <v>2</v>
      </c>
      <c r="D482" s="1" t="s">
        <v>1299</v>
      </c>
      <c r="E482" s="1" t="s">
        <v>36</v>
      </c>
      <c r="G482">
        <v>455842</v>
      </c>
      <c r="H482" t="s">
        <v>1300</v>
      </c>
      <c r="I482" t="s">
        <v>1214</v>
      </c>
      <c r="J482">
        <v>12</v>
      </c>
      <c r="K482">
        <v>999002329</v>
      </c>
      <c r="L482">
        <v>50341</v>
      </c>
      <c r="M482" t="s">
        <v>146</v>
      </c>
      <c r="N482">
        <v>60</v>
      </c>
      <c r="O482" s="2">
        <v>46202</v>
      </c>
      <c r="P482" s="2">
        <v>46262</v>
      </c>
      <c r="R482" t="s">
        <v>1301</v>
      </c>
      <c r="S482" t="str">
        <f>"00012903"</f>
        <v>00012903</v>
      </c>
      <c r="T482" t="s">
        <v>41</v>
      </c>
      <c r="U482">
        <v>1997.2</v>
      </c>
      <c r="V482">
        <v>1897.34</v>
      </c>
      <c r="W482">
        <v>1897.34</v>
      </c>
      <c r="X482">
        <v>0</v>
      </c>
      <c r="Y482">
        <v>0</v>
      </c>
      <c r="Z482">
        <v>-487</v>
      </c>
      <c r="AA482">
        <v>693002</v>
      </c>
      <c r="AD482" t="s">
        <v>915</v>
      </c>
      <c r="AE482">
        <v>6733813465</v>
      </c>
      <c r="AF482" t="s">
        <v>915</v>
      </c>
      <c r="AG482">
        <v>10513998001234</v>
      </c>
      <c r="AH482" t="s">
        <v>714</v>
      </c>
    </row>
    <row r="483" spans="1:34" x14ac:dyDescent="0.3">
      <c r="A483">
        <v>101</v>
      </c>
      <c r="B483" t="s">
        <v>34</v>
      </c>
      <c r="C483">
        <v>2</v>
      </c>
      <c r="D483" s="1" t="s">
        <v>1302</v>
      </c>
      <c r="E483" s="1" t="s">
        <v>36</v>
      </c>
      <c r="G483">
        <v>456123</v>
      </c>
      <c r="H483" t="s">
        <v>1303</v>
      </c>
      <c r="I483" t="s">
        <v>1304</v>
      </c>
      <c r="J483">
        <v>12</v>
      </c>
      <c r="K483">
        <v>999002329</v>
      </c>
      <c r="L483">
        <v>50341</v>
      </c>
      <c r="M483" t="s">
        <v>146</v>
      </c>
      <c r="N483">
        <v>60</v>
      </c>
      <c r="O483" s="2">
        <v>46240</v>
      </c>
      <c r="P483" s="2">
        <v>46275</v>
      </c>
      <c r="R483" t="s">
        <v>1305</v>
      </c>
      <c r="S483" t="str">
        <f>"00013634"</f>
        <v>00013634</v>
      </c>
      <c r="T483" t="s">
        <v>41</v>
      </c>
      <c r="U483">
        <v>8396.6299999999992</v>
      </c>
      <c r="V483">
        <v>7976.8</v>
      </c>
      <c r="W483">
        <v>7976.8</v>
      </c>
      <c r="X483">
        <v>0</v>
      </c>
      <c r="Y483">
        <v>0</v>
      </c>
      <c r="Z483">
        <v>-500</v>
      </c>
      <c r="AA483">
        <v>4235</v>
      </c>
      <c r="AD483" t="s">
        <v>1089</v>
      </c>
      <c r="AE483">
        <v>6733462727</v>
      </c>
      <c r="AF483" t="s">
        <v>1089</v>
      </c>
      <c r="AG483">
        <v>10513998000858</v>
      </c>
      <c r="AH483" t="s">
        <v>714</v>
      </c>
    </row>
    <row r="484" spans="1:34" x14ac:dyDescent="0.3">
      <c r="A484">
        <v>101</v>
      </c>
      <c r="B484" t="s">
        <v>34</v>
      </c>
      <c r="C484">
        <v>2</v>
      </c>
      <c r="D484" s="1" t="s">
        <v>1306</v>
      </c>
      <c r="E484" s="1" t="s">
        <v>36</v>
      </c>
      <c r="G484">
        <v>456124</v>
      </c>
      <c r="H484" t="s">
        <v>1307</v>
      </c>
      <c r="I484" t="s">
        <v>1308</v>
      </c>
      <c r="J484">
        <v>12</v>
      </c>
      <c r="K484">
        <v>999002329</v>
      </c>
      <c r="L484">
        <v>50033</v>
      </c>
      <c r="M484" t="s">
        <v>39</v>
      </c>
      <c r="N484">
        <v>60</v>
      </c>
      <c r="O484" s="2">
        <v>46240</v>
      </c>
      <c r="P484" s="2">
        <v>46275</v>
      </c>
      <c r="R484" t="s">
        <v>1309</v>
      </c>
      <c r="S484" t="str">
        <f>"0000050412981"</f>
        <v>0000050412981</v>
      </c>
      <c r="T484" t="s">
        <v>41</v>
      </c>
      <c r="U484">
        <v>6470.8</v>
      </c>
      <c r="V484">
        <v>6147.26</v>
      </c>
      <c r="W484">
        <v>6147.26</v>
      </c>
      <c r="X484">
        <v>0</v>
      </c>
      <c r="Y484">
        <v>0</v>
      </c>
      <c r="Z484">
        <v>-500</v>
      </c>
      <c r="AA484">
        <v>4229</v>
      </c>
      <c r="AD484" t="s">
        <v>1089</v>
      </c>
      <c r="AE484">
        <v>6733462727</v>
      </c>
      <c r="AF484" t="s">
        <v>1089</v>
      </c>
      <c r="AG484">
        <v>12075667001104</v>
      </c>
      <c r="AH484" t="s">
        <v>714</v>
      </c>
    </row>
    <row r="485" spans="1:34" x14ac:dyDescent="0.3">
      <c r="A485">
        <v>101</v>
      </c>
      <c r="B485" t="s">
        <v>34</v>
      </c>
      <c r="C485">
        <v>2</v>
      </c>
      <c r="D485" s="1" t="s">
        <v>1310</v>
      </c>
      <c r="E485" s="1" t="s">
        <v>36</v>
      </c>
      <c r="G485">
        <v>456125</v>
      </c>
      <c r="H485" t="s">
        <v>1311</v>
      </c>
      <c r="I485" t="s">
        <v>1151</v>
      </c>
      <c r="J485">
        <v>12</v>
      </c>
      <c r="K485">
        <v>999002329</v>
      </c>
      <c r="L485">
        <v>50001</v>
      </c>
      <c r="M485" t="s">
        <v>39</v>
      </c>
      <c r="N485">
        <v>60</v>
      </c>
      <c r="O485" s="2">
        <v>46240</v>
      </c>
      <c r="P485" s="2">
        <v>46275</v>
      </c>
      <c r="R485" t="s">
        <v>1312</v>
      </c>
      <c r="S485" t="str">
        <f>"25666160000051829"</f>
        <v>25666160000051829</v>
      </c>
      <c r="T485" t="s">
        <v>41</v>
      </c>
      <c r="U485">
        <v>5343.43</v>
      </c>
      <c r="V485">
        <v>5076.26</v>
      </c>
      <c r="W485">
        <v>5076.26</v>
      </c>
      <c r="X485">
        <v>0</v>
      </c>
      <c r="Y485">
        <v>0</v>
      </c>
      <c r="Z485">
        <v>-500</v>
      </c>
      <c r="AA485">
        <v>4223</v>
      </c>
      <c r="AD485" t="s">
        <v>1089</v>
      </c>
      <c r="AE485">
        <v>6733462727</v>
      </c>
      <c r="AF485" t="s">
        <v>1089</v>
      </c>
      <c r="AG485" s="1" t="s">
        <v>1313</v>
      </c>
      <c r="AH485" t="s">
        <v>714</v>
      </c>
    </row>
    <row r="486" spans="1:34" x14ac:dyDescent="0.3">
      <c r="A486">
        <v>101</v>
      </c>
      <c r="B486" t="s">
        <v>34</v>
      </c>
      <c r="C486">
        <v>2</v>
      </c>
      <c r="D486" s="1" t="s">
        <v>1314</v>
      </c>
      <c r="E486" s="1" t="s">
        <v>36</v>
      </c>
      <c r="G486">
        <v>456301</v>
      </c>
      <c r="H486" t="s">
        <v>1315</v>
      </c>
      <c r="I486" t="s">
        <v>1199</v>
      </c>
      <c r="J486">
        <v>12</v>
      </c>
      <c r="K486">
        <v>999002329</v>
      </c>
      <c r="L486">
        <v>50341</v>
      </c>
      <c r="M486" t="s">
        <v>146</v>
      </c>
      <c r="N486">
        <v>60</v>
      </c>
      <c r="O486" s="2">
        <v>46202</v>
      </c>
      <c r="P486" s="2">
        <v>46262</v>
      </c>
      <c r="R486" t="s">
        <v>1316</v>
      </c>
      <c r="S486" t="str">
        <f>"00012904"</f>
        <v>00012904</v>
      </c>
      <c r="T486" t="s">
        <v>41</v>
      </c>
      <c r="U486">
        <v>1742.22</v>
      </c>
      <c r="V486">
        <v>1655.11</v>
      </c>
      <c r="W486">
        <v>1655.11</v>
      </c>
      <c r="X486">
        <v>0</v>
      </c>
      <c r="Y486">
        <v>0</v>
      </c>
      <c r="Z486">
        <v>-487</v>
      </c>
      <c r="AA486">
        <v>693004</v>
      </c>
      <c r="AD486" t="s">
        <v>1089</v>
      </c>
      <c r="AE486">
        <v>6733462600</v>
      </c>
      <c r="AF486" t="s">
        <v>1089</v>
      </c>
      <c r="AG486">
        <v>12075667001457</v>
      </c>
      <c r="AH486" t="s">
        <v>714</v>
      </c>
    </row>
    <row r="487" spans="1:34" x14ac:dyDescent="0.3">
      <c r="A487">
        <v>101</v>
      </c>
      <c r="B487" t="s">
        <v>34</v>
      </c>
      <c r="C487">
        <v>2</v>
      </c>
      <c r="D487" s="1" t="s">
        <v>1317</v>
      </c>
      <c r="E487" s="1" t="s">
        <v>36</v>
      </c>
      <c r="G487">
        <v>458593</v>
      </c>
      <c r="H487" t="s">
        <v>1318</v>
      </c>
      <c r="I487" t="s">
        <v>1246</v>
      </c>
      <c r="J487">
        <v>12</v>
      </c>
      <c r="K487">
        <v>450972</v>
      </c>
      <c r="L487">
        <v>50001</v>
      </c>
      <c r="M487" t="s">
        <v>39</v>
      </c>
      <c r="N487">
        <v>60</v>
      </c>
      <c r="O487" s="2">
        <v>46230</v>
      </c>
      <c r="P487" s="2">
        <v>46265</v>
      </c>
      <c r="R487" t="s">
        <v>1319</v>
      </c>
      <c r="S487" t="str">
        <f>"25666160000051648"</f>
        <v>25666160000051648</v>
      </c>
      <c r="T487" t="s">
        <v>41</v>
      </c>
      <c r="U487">
        <v>5540.68</v>
      </c>
      <c r="V487">
        <v>5540.68</v>
      </c>
      <c r="W487">
        <v>5540.68</v>
      </c>
      <c r="X487">
        <v>0</v>
      </c>
      <c r="Y487">
        <v>0</v>
      </c>
      <c r="Z487">
        <v>-490</v>
      </c>
      <c r="AA487">
        <v>1619</v>
      </c>
      <c r="AD487" t="s">
        <v>1171</v>
      </c>
      <c r="AE487" t="s">
        <v>1248</v>
      </c>
      <c r="AF487" t="s">
        <v>1171</v>
      </c>
      <c r="AG487" s="1" t="s">
        <v>1320</v>
      </c>
      <c r="AH487" t="s">
        <v>714</v>
      </c>
    </row>
    <row r="488" spans="1:34" x14ac:dyDescent="0.3">
      <c r="A488">
        <v>101</v>
      </c>
      <c r="B488" t="s">
        <v>34</v>
      </c>
      <c r="C488">
        <v>2</v>
      </c>
      <c r="D488" s="1" t="s">
        <v>1321</v>
      </c>
      <c r="E488" s="1" t="s">
        <v>36</v>
      </c>
      <c r="G488">
        <v>458594</v>
      </c>
      <c r="H488" t="s">
        <v>1322</v>
      </c>
      <c r="I488" t="s">
        <v>1246</v>
      </c>
      <c r="J488">
        <v>12</v>
      </c>
      <c r="K488">
        <v>6158</v>
      </c>
      <c r="L488">
        <v>50001</v>
      </c>
      <c r="M488" t="s">
        <v>39</v>
      </c>
      <c r="N488">
        <v>60</v>
      </c>
      <c r="O488" s="2">
        <v>46230</v>
      </c>
      <c r="P488" s="2">
        <v>46260</v>
      </c>
      <c r="R488" t="s">
        <v>1323</v>
      </c>
      <c r="S488" t="str">
        <f>"25666160000051649"</f>
        <v>25666160000051649</v>
      </c>
      <c r="T488" t="s">
        <v>41</v>
      </c>
      <c r="U488">
        <v>3383.39</v>
      </c>
      <c r="V488">
        <v>3281.89</v>
      </c>
      <c r="W488">
        <v>3281.89</v>
      </c>
      <c r="X488">
        <v>0</v>
      </c>
      <c r="Y488">
        <v>0</v>
      </c>
      <c r="Z488">
        <v>-485</v>
      </c>
      <c r="AA488">
        <v>1745</v>
      </c>
      <c r="AD488" t="s">
        <v>1171</v>
      </c>
      <c r="AE488" t="s">
        <v>1248</v>
      </c>
      <c r="AF488" t="s">
        <v>1171</v>
      </c>
      <c r="AG488" s="1" t="s">
        <v>1324</v>
      </c>
      <c r="AH488" t="s">
        <v>714</v>
      </c>
    </row>
    <row r="489" spans="1:34" x14ac:dyDescent="0.3">
      <c r="A489">
        <v>101</v>
      </c>
      <c r="B489" t="s">
        <v>34</v>
      </c>
      <c r="C489">
        <v>2</v>
      </c>
      <c r="D489" s="1" t="s">
        <v>1325</v>
      </c>
      <c r="E489" s="1" t="s">
        <v>36</v>
      </c>
      <c r="G489">
        <v>460869</v>
      </c>
      <c r="H489" t="s">
        <v>1326</v>
      </c>
      <c r="I489" t="s">
        <v>1214</v>
      </c>
      <c r="J489">
        <v>12</v>
      </c>
      <c r="K489">
        <v>999002329</v>
      </c>
      <c r="L489">
        <v>50341</v>
      </c>
      <c r="M489" t="s">
        <v>146</v>
      </c>
      <c r="N489">
        <v>60</v>
      </c>
      <c r="O489" s="2">
        <v>46202</v>
      </c>
      <c r="P489" s="2">
        <v>46262</v>
      </c>
      <c r="R489" t="s">
        <v>1327</v>
      </c>
      <c r="S489" t="str">
        <f>"00012906"</f>
        <v>00012906</v>
      </c>
      <c r="T489" t="s">
        <v>41</v>
      </c>
      <c r="U489">
        <v>1764.59</v>
      </c>
      <c r="V489">
        <v>1676.36</v>
      </c>
      <c r="W489">
        <v>1676.36</v>
      </c>
      <c r="X489">
        <v>0</v>
      </c>
      <c r="Y489">
        <v>0</v>
      </c>
      <c r="Z489">
        <v>-487</v>
      </c>
      <c r="AA489">
        <v>693001</v>
      </c>
      <c r="AD489" t="s">
        <v>1089</v>
      </c>
      <c r="AE489">
        <v>6733462727</v>
      </c>
      <c r="AF489" t="s">
        <v>1089</v>
      </c>
      <c r="AG489">
        <v>10513998001315</v>
      </c>
      <c r="AH489" t="s">
        <v>714</v>
      </c>
    </row>
    <row r="490" spans="1:34" x14ac:dyDescent="0.3">
      <c r="A490">
        <v>101</v>
      </c>
      <c r="B490" t="s">
        <v>34</v>
      </c>
      <c r="C490">
        <v>2</v>
      </c>
      <c r="D490" s="1" t="s">
        <v>1328</v>
      </c>
      <c r="E490" s="1" t="s">
        <v>36</v>
      </c>
      <c r="G490">
        <v>460869</v>
      </c>
      <c r="H490" t="s">
        <v>1326</v>
      </c>
      <c r="I490" t="s">
        <v>1214</v>
      </c>
      <c r="J490">
        <v>12</v>
      </c>
      <c r="K490">
        <v>999002329</v>
      </c>
      <c r="L490">
        <v>50341</v>
      </c>
      <c r="M490" t="s">
        <v>146</v>
      </c>
      <c r="N490">
        <v>60</v>
      </c>
      <c r="O490" s="2">
        <v>46240</v>
      </c>
      <c r="P490" s="2">
        <v>46275</v>
      </c>
      <c r="R490" t="s">
        <v>1329</v>
      </c>
      <c r="S490" t="str">
        <f>"00013635"</f>
        <v>00013635</v>
      </c>
      <c r="T490" t="s">
        <v>41</v>
      </c>
      <c r="U490">
        <v>2251.11</v>
      </c>
      <c r="V490">
        <v>2138.5500000000002</v>
      </c>
      <c r="W490">
        <v>2138.5500000000002</v>
      </c>
      <c r="X490">
        <v>0</v>
      </c>
      <c r="Y490">
        <v>0</v>
      </c>
      <c r="Z490">
        <v>-500</v>
      </c>
      <c r="AA490">
        <v>4205</v>
      </c>
      <c r="AD490" t="s">
        <v>1089</v>
      </c>
      <c r="AE490">
        <v>6733462727</v>
      </c>
      <c r="AF490" t="s">
        <v>1089</v>
      </c>
      <c r="AG490">
        <v>10513998001315</v>
      </c>
      <c r="AH490" t="s">
        <v>714</v>
      </c>
    </row>
    <row r="491" spans="1:34" x14ac:dyDescent="0.3">
      <c r="A491">
        <v>101</v>
      </c>
      <c r="B491" t="s">
        <v>34</v>
      </c>
      <c r="C491">
        <v>2</v>
      </c>
      <c r="D491" s="1" t="s">
        <v>1330</v>
      </c>
      <c r="E491" s="1" t="s">
        <v>36</v>
      </c>
      <c r="G491">
        <v>461745</v>
      </c>
      <c r="H491" t="s">
        <v>1331</v>
      </c>
      <c r="I491" t="s">
        <v>1332</v>
      </c>
      <c r="J491">
        <v>12</v>
      </c>
      <c r="K491">
        <v>436331</v>
      </c>
      <c r="L491">
        <v>50237</v>
      </c>
      <c r="M491" t="s">
        <v>39</v>
      </c>
      <c r="N491">
        <v>60</v>
      </c>
      <c r="O491" s="2">
        <v>46239</v>
      </c>
      <c r="P491" s="2">
        <v>46284</v>
      </c>
      <c r="R491" t="s">
        <v>1333</v>
      </c>
      <c r="S491" t="str">
        <f>"330000051945"</f>
        <v>330000051945</v>
      </c>
      <c r="T491" t="s">
        <v>41</v>
      </c>
      <c r="U491">
        <v>15160.93</v>
      </c>
      <c r="V491">
        <v>14706.1</v>
      </c>
      <c r="W491">
        <v>14706.1</v>
      </c>
      <c r="X491">
        <v>0</v>
      </c>
      <c r="Y491">
        <v>0</v>
      </c>
      <c r="Z491">
        <v>-509</v>
      </c>
      <c r="AA491">
        <v>4241</v>
      </c>
      <c r="AD491" t="s">
        <v>1089</v>
      </c>
      <c r="AE491">
        <v>6733810679</v>
      </c>
      <c r="AF491" t="s">
        <v>1089</v>
      </c>
      <c r="AG491" s="1" t="s">
        <v>1334</v>
      </c>
      <c r="AH491" t="s">
        <v>714</v>
      </c>
    </row>
    <row r="492" spans="1:34" x14ac:dyDescent="0.3">
      <c r="A492">
        <v>101</v>
      </c>
      <c r="B492" t="s">
        <v>34</v>
      </c>
      <c r="C492">
        <v>2</v>
      </c>
      <c r="D492" s="1" t="s">
        <v>1335</v>
      </c>
      <c r="E492" s="1" t="s">
        <v>36</v>
      </c>
      <c r="G492">
        <v>461745</v>
      </c>
      <c r="H492" t="s">
        <v>1331</v>
      </c>
      <c r="I492" t="s">
        <v>1332</v>
      </c>
      <c r="J492">
        <v>12</v>
      </c>
      <c r="K492">
        <v>436331</v>
      </c>
      <c r="L492">
        <v>50237</v>
      </c>
      <c r="M492" t="s">
        <v>39</v>
      </c>
      <c r="N492">
        <v>60</v>
      </c>
      <c r="O492" s="2">
        <v>46217</v>
      </c>
      <c r="P492" s="2">
        <v>46262</v>
      </c>
      <c r="R492" t="s">
        <v>1336</v>
      </c>
      <c r="S492" t="str">
        <f>"330000051449"</f>
        <v>330000051449</v>
      </c>
      <c r="T492" t="s">
        <v>41</v>
      </c>
      <c r="U492">
        <v>10254.42</v>
      </c>
      <c r="V492">
        <v>9946.7900000000009</v>
      </c>
      <c r="W492">
        <v>9946.7900000000009</v>
      </c>
      <c r="X492">
        <v>0</v>
      </c>
      <c r="Y492">
        <v>0</v>
      </c>
      <c r="Z492">
        <v>-487</v>
      </c>
      <c r="AA492">
        <v>1099</v>
      </c>
      <c r="AD492" t="s">
        <v>1089</v>
      </c>
      <c r="AE492">
        <v>6733810679</v>
      </c>
      <c r="AF492" t="s">
        <v>1089</v>
      </c>
      <c r="AG492" s="1" t="s">
        <v>1334</v>
      </c>
      <c r="AH492" t="s">
        <v>714</v>
      </c>
    </row>
    <row r="493" spans="1:34" x14ac:dyDescent="0.3">
      <c r="A493">
        <v>101</v>
      </c>
      <c r="B493" t="s">
        <v>34</v>
      </c>
      <c r="C493">
        <v>2</v>
      </c>
      <c r="D493" s="1" t="s">
        <v>1337</v>
      </c>
      <c r="E493" s="1" t="s">
        <v>36</v>
      </c>
      <c r="G493">
        <v>462983</v>
      </c>
      <c r="H493" t="s">
        <v>1338</v>
      </c>
      <c r="I493" t="s">
        <v>1214</v>
      </c>
      <c r="J493">
        <v>12</v>
      </c>
      <c r="K493">
        <v>999002329</v>
      </c>
      <c r="L493">
        <v>50341</v>
      </c>
      <c r="M493" t="s">
        <v>146</v>
      </c>
      <c r="N493">
        <v>60</v>
      </c>
      <c r="O493" s="2">
        <v>46202</v>
      </c>
      <c r="P493" s="2">
        <v>46262</v>
      </c>
      <c r="R493" t="s">
        <v>1339</v>
      </c>
      <c r="S493" t="str">
        <f>"00012911"</f>
        <v>00012911</v>
      </c>
      <c r="T493" t="s">
        <v>41</v>
      </c>
      <c r="U493">
        <v>1808.26</v>
      </c>
      <c r="V493">
        <v>1717.85</v>
      </c>
      <c r="W493">
        <v>1717.85</v>
      </c>
      <c r="X493">
        <v>0</v>
      </c>
      <c r="Y493">
        <v>0</v>
      </c>
      <c r="Z493">
        <v>-487</v>
      </c>
      <c r="AA493">
        <v>693000</v>
      </c>
      <c r="AD493" t="s">
        <v>731</v>
      </c>
      <c r="AE493">
        <v>6733462727</v>
      </c>
      <c r="AF493" t="s">
        <v>731</v>
      </c>
      <c r="AG493">
        <v>10513998001404</v>
      </c>
      <c r="AH493" t="s">
        <v>714</v>
      </c>
    </row>
    <row r="494" spans="1:34" x14ac:dyDescent="0.3">
      <c r="A494">
        <v>101</v>
      </c>
      <c r="B494" t="s">
        <v>34</v>
      </c>
      <c r="C494">
        <v>2</v>
      </c>
      <c r="D494" s="1" t="s">
        <v>1340</v>
      </c>
      <c r="E494" s="1" t="s">
        <v>36</v>
      </c>
      <c r="G494">
        <v>462983</v>
      </c>
      <c r="H494" t="s">
        <v>1338</v>
      </c>
      <c r="I494" t="s">
        <v>1214</v>
      </c>
      <c r="J494">
        <v>12</v>
      </c>
      <c r="K494">
        <v>999002329</v>
      </c>
      <c r="L494">
        <v>50341</v>
      </c>
      <c r="M494" t="s">
        <v>146</v>
      </c>
      <c r="N494">
        <v>60</v>
      </c>
      <c r="O494" s="2">
        <v>46240</v>
      </c>
      <c r="P494" s="2">
        <v>46275</v>
      </c>
      <c r="R494" t="s">
        <v>1341</v>
      </c>
      <c r="S494" t="str">
        <f>"00013639"</f>
        <v>00013639</v>
      </c>
      <c r="T494" t="s">
        <v>41</v>
      </c>
      <c r="U494">
        <v>1827.61</v>
      </c>
      <c r="V494">
        <v>1736.23</v>
      </c>
      <c r="W494">
        <v>1736.23</v>
      </c>
      <c r="X494">
        <v>0</v>
      </c>
      <c r="Y494">
        <v>0</v>
      </c>
      <c r="Z494">
        <v>-500</v>
      </c>
      <c r="AA494">
        <v>4210</v>
      </c>
      <c r="AD494" t="s">
        <v>731</v>
      </c>
      <c r="AE494">
        <v>6733462727</v>
      </c>
      <c r="AF494" t="s">
        <v>731</v>
      </c>
      <c r="AG494">
        <v>10513998001404</v>
      </c>
      <c r="AH494" t="s">
        <v>714</v>
      </c>
    </row>
    <row r="495" spans="1:34" x14ac:dyDescent="0.3">
      <c r="A495">
        <v>101</v>
      </c>
      <c r="B495" t="s">
        <v>34</v>
      </c>
      <c r="C495">
        <v>2</v>
      </c>
      <c r="D495" s="1" t="s">
        <v>1342</v>
      </c>
      <c r="E495" s="1" t="s">
        <v>36</v>
      </c>
      <c r="G495">
        <v>462984</v>
      </c>
      <c r="H495" t="s">
        <v>1343</v>
      </c>
      <c r="I495" t="s">
        <v>1214</v>
      </c>
      <c r="J495">
        <v>12</v>
      </c>
      <c r="K495">
        <v>999002329</v>
      </c>
      <c r="L495">
        <v>50341</v>
      </c>
      <c r="M495" t="s">
        <v>146</v>
      </c>
      <c r="N495">
        <v>60</v>
      </c>
      <c r="O495" s="2">
        <v>46202</v>
      </c>
      <c r="P495" s="2">
        <v>46262</v>
      </c>
      <c r="R495" t="s">
        <v>1344</v>
      </c>
      <c r="S495" t="str">
        <f>"00012912"</f>
        <v>00012912</v>
      </c>
      <c r="T495" t="s">
        <v>41</v>
      </c>
      <c r="U495">
        <v>2469.73</v>
      </c>
      <c r="V495">
        <v>2346.2399999999998</v>
      </c>
      <c r="W495">
        <v>2346.2399999999998</v>
      </c>
      <c r="X495">
        <v>0</v>
      </c>
      <c r="Y495">
        <v>0</v>
      </c>
      <c r="Z495">
        <v>-487</v>
      </c>
      <c r="AA495">
        <v>692999</v>
      </c>
      <c r="AD495" t="s">
        <v>915</v>
      </c>
      <c r="AE495">
        <v>6733462727</v>
      </c>
      <c r="AF495" t="s">
        <v>915</v>
      </c>
      <c r="AG495">
        <v>10513998001587</v>
      </c>
      <c r="AH495" t="s">
        <v>714</v>
      </c>
    </row>
    <row r="496" spans="1:34" x14ac:dyDescent="0.3">
      <c r="A496">
        <v>101</v>
      </c>
      <c r="B496" t="s">
        <v>34</v>
      </c>
      <c r="C496">
        <v>2</v>
      </c>
      <c r="D496" s="1" t="s">
        <v>1345</v>
      </c>
      <c r="E496" s="1" t="s">
        <v>36</v>
      </c>
      <c r="G496">
        <v>463977</v>
      </c>
      <c r="H496" t="s">
        <v>1346</v>
      </c>
      <c r="I496" t="s">
        <v>1347</v>
      </c>
      <c r="J496">
        <v>12</v>
      </c>
      <c r="K496">
        <v>10947</v>
      </c>
      <c r="L496">
        <v>50341</v>
      </c>
      <c r="M496" t="s">
        <v>146</v>
      </c>
      <c r="N496">
        <v>60</v>
      </c>
      <c r="O496" s="2">
        <v>46217</v>
      </c>
      <c r="P496" s="2">
        <v>46277</v>
      </c>
      <c r="R496" t="s">
        <v>1348</v>
      </c>
      <c r="S496" t="str">
        <f>"00013112"</f>
        <v>00013112</v>
      </c>
      <c r="T496" t="s">
        <v>41</v>
      </c>
      <c r="U496">
        <v>2577.56</v>
      </c>
      <c r="V496">
        <v>2448.6799999999998</v>
      </c>
      <c r="W496">
        <v>2448.6799999999998</v>
      </c>
      <c r="X496">
        <v>0</v>
      </c>
      <c r="Y496">
        <v>0</v>
      </c>
      <c r="Z496">
        <v>-502</v>
      </c>
      <c r="AA496">
        <v>1069</v>
      </c>
      <c r="AD496" t="s">
        <v>1089</v>
      </c>
      <c r="AE496" t="s">
        <v>1349</v>
      </c>
      <c r="AF496" t="s">
        <v>1089</v>
      </c>
      <c r="AG496" s="1" t="s">
        <v>1350</v>
      </c>
      <c r="AH496" t="s">
        <v>714</v>
      </c>
    </row>
    <row r="497" spans="1:34" x14ac:dyDescent="0.3">
      <c r="A497">
        <v>101</v>
      </c>
      <c r="B497" t="s">
        <v>34</v>
      </c>
      <c r="C497">
        <v>2</v>
      </c>
      <c r="D497" s="1" t="s">
        <v>1351</v>
      </c>
      <c r="E497" s="1" t="s">
        <v>36</v>
      </c>
      <c r="G497">
        <v>466890</v>
      </c>
      <c r="H497" t="s">
        <v>1352</v>
      </c>
      <c r="I497" t="s">
        <v>1353</v>
      </c>
      <c r="J497">
        <v>12</v>
      </c>
      <c r="K497">
        <v>451605</v>
      </c>
      <c r="L497">
        <v>50001</v>
      </c>
      <c r="M497" t="s">
        <v>39</v>
      </c>
      <c r="N497">
        <v>60</v>
      </c>
      <c r="O497" s="2">
        <v>46233</v>
      </c>
      <c r="P497" s="2">
        <v>46268</v>
      </c>
      <c r="R497" t="s">
        <v>1354</v>
      </c>
      <c r="S497" t="str">
        <f>"25666160000051688"</f>
        <v>25666160000051688</v>
      </c>
      <c r="T497" t="s">
        <v>41</v>
      </c>
      <c r="U497">
        <v>13595.09</v>
      </c>
      <c r="V497">
        <v>12915.34</v>
      </c>
      <c r="W497">
        <v>12915.34</v>
      </c>
      <c r="X497">
        <v>0</v>
      </c>
      <c r="Y497">
        <v>0</v>
      </c>
      <c r="Z497">
        <v>-493</v>
      </c>
      <c r="AA497">
        <v>1914</v>
      </c>
      <c r="AD497" t="s">
        <v>1089</v>
      </c>
      <c r="AE497">
        <v>6733512075</v>
      </c>
      <c r="AF497" t="s">
        <v>1089</v>
      </c>
      <c r="AG497" s="1" t="s">
        <v>1355</v>
      </c>
      <c r="AH497" t="s">
        <v>714</v>
      </c>
    </row>
    <row r="498" spans="1:34" x14ac:dyDescent="0.3">
      <c r="A498">
        <v>101</v>
      </c>
      <c r="B498" t="s">
        <v>34</v>
      </c>
      <c r="C498">
        <v>2</v>
      </c>
      <c r="D498" s="1" t="s">
        <v>1356</v>
      </c>
      <c r="E498" s="1" t="s">
        <v>36</v>
      </c>
      <c r="G498">
        <v>466890</v>
      </c>
      <c r="H498" t="s">
        <v>1352</v>
      </c>
      <c r="I498" t="s">
        <v>1353</v>
      </c>
      <c r="J498">
        <v>12</v>
      </c>
      <c r="K498">
        <v>451605</v>
      </c>
      <c r="L498">
        <v>50001</v>
      </c>
      <c r="M498" t="s">
        <v>39</v>
      </c>
      <c r="N498">
        <v>60</v>
      </c>
      <c r="O498" s="2">
        <v>46233</v>
      </c>
      <c r="P498" s="2">
        <v>46268</v>
      </c>
      <c r="R498" t="s">
        <v>1357</v>
      </c>
      <c r="S498" t="str">
        <f>"25666160000051687"</f>
        <v>25666160000051687</v>
      </c>
      <c r="T498" t="s">
        <v>41</v>
      </c>
      <c r="U498">
        <v>23768.13</v>
      </c>
      <c r="V498">
        <v>22579.72</v>
      </c>
      <c r="W498">
        <v>22579.72</v>
      </c>
      <c r="X498">
        <v>0</v>
      </c>
      <c r="Y498">
        <v>0</v>
      </c>
      <c r="Z498">
        <v>-493</v>
      </c>
      <c r="AA498">
        <v>1814</v>
      </c>
      <c r="AD498" t="s">
        <v>1089</v>
      </c>
      <c r="AE498">
        <v>6733512075</v>
      </c>
      <c r="AF498" t="s">
        <v>1089</v>
      </c>
      <c r="AG498" s="1" t="s">
        <v>1355</v>
      </c>
      <c r="AH498" t="s">
        <v>714</v>
      </c>
    </row>
    <row r="499" spans="1:34" x14ac:dyDescent="0.3">
      <c r="A499">
        <v>101</v>
      </c>
      <c r="B499" t="s">
        <v>34</v>
      </c>
      <c r="C499">
        <v>2</v>
      </c>
      <c r="D499" s="1" t="s">
        <v>1358</v>
      </c>
      <c r="E499" s="1" t="s">
        <v>36</v>
      </c>
      <c r="G499">
        <v>467631</v>
      </c>
      <c r="H499" t="s">
        <v>1359</v>
      </c>
      <c r="I499" t="s">
        <v>1360</v>
      </c>
      <c r="J499">
        <v>12</v>
      </c>
      <c r="K499">
        <v>10947</v>
      </c>
      <c r="L499">
        <v>50341</v>
      </c>
      <c r="M499" t="s">
        <v>146</v>
      </c>
      <c r="N499">
        <v>60</v>
      </c>
      <c r="O499" s="2">
        <v>46216</v>
      </c>
      <c r="P499" s="2">
        <v>46276</v>
      </c>
      <c r="R499" t="s">
        <v>1361</v>
      </c>
      <c r="S499" t="str">
        <f>"00013119"</f>
        <v>00013119</v>
      </c>
      <c r="T499" t="s">
        <v>41</v>
      </c>
      <c r="U499">
        <v>5064.12</v>
      </c>
      <c r="V499">
        <v>4810.91</v>
      </c>
      <c r="W499">
        <v>4810.91</v>
      </c>
      <c r="X499">
        <v>0</v>
      </c>
      <c r="Y499">
        <v>0</v>
      </c>
      <c r="Z499">
        <v>-501</v>
      </c>
      <c r="AA499">
        <v>693861</v>
      </c>
      <c r="AD499" t="s">
        <v>1089</v>
      </c>
      <c r="AE499">
        <v>6732126501</v>
      </c>
      <c r="AF499" t="s">
        <v>1089</v>
      </c>
      <c r="AG499">
        <v>10235154000388</v>
      </c>
      <c r="AH499" t="s">
        <v>714</v>
      </c>
    </row>
    <row r="500" spans="1:34" x14ac:dyDescent="0.3">
      <c r="A500">
        <v>101</v>
      </c>
      <c r="B500" t="s">
        <v>34</v>
      </c>
      <c r="C500">
        <v>2</v>
      </c>
      <c r="D500" s="1" t="s">
        <v>1362</v>
      </c>
      <c r="E500" s="1" t="s">
        <v>36</v>
      </c>
      <c r="G500">
        <v>467874</v>
      </c>
      <c r="H500" t="s">
        <v>1363</v>
      </c>
      <c r="I500" t="s">
        <v>1364</v>
      </c>
      <c r="J500">
        <v>12</v>
      </c>
      <c r="K500">
        <v>999002329</v>
      </c>
      <c r="L500">
        <v>50001</v>
      </c>
      <c r="M500" t="s">
        <v>39</v>
      </c>
      <c r="N500">
        <v>60</v>
      </c>
      <c r="O500" s="2">
        <v>46202</v>
      </c>
      <c r="P500" s="2">
        <v>46262</v>
      </c>
      <c r="R500" t="s">
        <v>1365</v>
      </c>
      <c r="S500" t="str">
        <f>"25666160000051281"</f>
        <v>25666160000051281</v>
      </c>
      <c r="T500" t="s">
        <v>41</v>
      </c>
      <c r="U500">
        <v>1824.13</v>
      </c>
      <c r="V500">
        <v>1732.92</v>
      </c>
      <c r="W500">
        <v>1732.92</v>
      </c>
      <c r="X500">
        <v>0</v>
      </c>
      <c r="Y500">
        <v>0</v>
      </c>
      <c r="Z500">
        <v>-487</v>
      </c>
      <c r="AA500">
        <v>692997</v>
      </c>
      <c r="AD500" t="s">
        <v>731</v>
      </c>
      <c r="AE500">
        <v>6733462727</v>
      </c>
      <c r="AF500" t="s">
        <v>731</v>
      </c>
      <c r="AG500">
        <v>10513998001749</v>
      </c>
      <c r="AH500" t="s">
        <v>714</v>
      </c>
    </row>
    <row r="501" spans="1:34" x14ac:dyDescent="0.3">
      <c r="A501">
        <v>101</v>
      </c>
      <c r="B501" t="s">
        <v>34</v>
      </c>
      <c r="C501">
        <v>2</v>
      </c>
      <c r="D501" s="1" t="s">
        <v>1366</v>
      </c>
      <c r="E501" s="1" t="s">
        <v>36</v>
      </c>
      <c r="G501">
        <v>467906</v>
      </c>
      <c r="H501" t="s">
        <v>1367</v>
      </c>
      <c r="I501" t="s">
        <v>1347</v>
      </c>
      <c r="J501">
        <v>12</v>
      </c>
      <c r="K501">
        <v>10947</v>
      </c>
      <c r="L501">
        <v>50001</v>
      </c>
      <c r="M501" t="s">
        <v>39</v>
      </c>
      <c r="N501">
        <v>60</v>
      </c>
      <c r="O501" s="2">
        <v>46217</v>
      </c>
      <c r="P501" s="2">
        <v>46277</v>
      </c>
      <c r="R501" t="s">
        <v>1368</v>
      </c>
      <c r="S501" t="str">
        <f>"25666160000051450"</f>
        <v>25666160000051450</v>
      </c>
      <c r="T501" t="s">
        <v>41</v>
      </c>
      <c r="U501">
        <v>2563.38</v>
      </c>
      <c r="V501">
        <v>2435.21</v>
      </c>
      <c r="W501">
        <v>2435.21</v>
      </c>
      <c r="X501">
        <v>0</v>
      </c>
      <c r="Y501">
        <v>0</v>
      </c>
      <c r="Z501">
        <v>-502</v>
      </c>
      <c r="AA501">
        <v>1071</v>
      </c>
      <c r="AD501" t="s">
        <v>1089</v>
      </c>
      <c r="AE501" t="s">
        <v>1369</v>
      </c>
      <c r="AF501" t="s">
        <v>1089</v>
      </c>
      <c r="AG501" s="1" t="s">
        <v>1370</v>
      </c>
      <c r="AH501" t="s">
        <v>714</v>
      </c>
    </row>
    <row r="502" spans="1:34" x14ac:dyDescent="0.3">
      <c r="A502">
        <v>101</v>
      </c>
      <c r="B502" t="s">
        <v>34</v>
      </c>
      <c r="C502">
        <v>2</v>
      </c>
      <c r="D502" s="1" t="s">
        <v>1371</v>
      </c>
      <c r="E502" s="1" t="s">
        <v>36</v>
      </c>
      <c r="G502">
        <v>468118</v>
      </c>
      <c r="H502" t="s">
        <v>1372</v>
      </c>
      <c r="I502" t="s">
        <v>1246</v>
      </c>
      <c r="J502">
        <v>12</v>
      </c>
      <c r="K502">
        <v>450972</v>
      </c>
      <c r="L502">
        <v>50001</v>
      </c>
      <c r="M502" t="s">
        <v>39</v>
      </c>
      <c r="N502">
        <v>60</v>
      </c>
      <c r="O502" s="2">
        <v>46230</v>
      </c>
      <c r="P502" s="2">
        <v>46265</v>
      </c>
      <c r="R502" t="s">
        <v>1373</v>
      </c>
      <c r="S502" t="str">
        <f>"25666160000051650"</f>
        <v>25666160000051650</v>
      </c>
      <c r="T502" t="s">
        <v>41</v>
      </c>
      <c r="U502">
        <v>9396.25</v>
      </c>
      <c r="V502">
        <v>9396.25</v>
      </c>
      <c r="W502">
        <v>9396.25</v>
      </c>
      <c r="X502">
        <v>0</v>
      </c>
      <c r="Y502">
        <v>0</v>
      </c>
      <c r="Z502">
        <v>-490</v>
      </c>
      <c r="AA502">
        <v>1623</v>
      </c>
      <c r="AD502" t="s">
        <v>956</v>
      </c>
      <c r="AE502" t="s">
        <v>1374</v>
      </c>
      <c r="AF502" t="s">
        <v>956</v>
      </c>
      <c r="AG502" s="1" t="s">
        <v>1375</v>
      </c>
      <c r="AH502" t="s">
        <v>714</v>
      </c>
    </row>
    <row r="503" spans="1:34" x14ac:dyDescent="0.3">
      <c r="A503">
        <v>101</v>
      </c>
      <c r="B503" t="s">
        <v>34</v>
      </c>
      <c r="C503">
        <v>2</v>
      </c>
      <c r="D503" s="1" t="s">
        <v>1376</v>
      </c>
      <c r="E503" s="1" t="s">
        <v>36</v>
      </c>
      <c r="G503">
        <v>468192</v>
      </c>
      <c r="H503" t="s">
        <v>1377</v>
      </c>
      <c r="I503" t="s">
        <v>1214</v>
      </c>
      <c r="J503">
        <v>12</v>
      </c>
      <c r="K503">
        <v>999002329</v>
      </c>
      <c r="L503">
        <v>50341</v>
      </c>
      <c r="M503" t="s">
        <v>146</v>
      </c>
      <c r="N503">
        <v>60</v>
      </c>
      <c r="O503" s="2">
        <v>46202</v>
      </c>
      <c r="P503" s="2">
        <v>46262</v>
      </c>
      <c r="R503" t="s">
        <v>1378</v>
      </c>
      <c r="S503" t="str">
        <f>"00012914"</f>
        <v>00012914</v>
      </c>
      <c r="T503" t="s">
        <v>41</v>
      </c>
      <c r="U503">
        <v>1717.39</v>
      </c>
      <c r="V503">
        <v>1631.52</v>
      </c>
      <c r="W503">
        <v>1631.52</v>
      </c>
      <c r="X503">
        <v>0</v>
      </c>
      <c r="Y503">
        <v>0</v>
      </c>
      <c r="Z503">
        <v>-487</v>
      </c>
      <c r="AA503">
        <v>693003</v>
      </c>
      <c r="AD503" t="s">
        <v>1379</v>
      </c>
      <c r="AE503" t="s">
        <v>1380</v>
      </c>
      <c r="AF503" t="s">
        <v>1379</v>
      </c>
      <c r="AG503">
        <v>10513998001153</v>
      </c>
      <c r="AH503" t="s">
        <v>714</v>
      </c>
    </row>
    <row r="504" spans="1:34" x14ac:dyDescent="0.3">
      <c r="A504">
        <v>101</v>
      </c>
      <c r="B504" t="s">
        <v>34</v>
      </c>
      <c r="C504">
        <v>2</v>
      </c>
      <c r="D504" s="1" t="s">
        <v>1381</v>
      </c>
      <c r="E504" s="1" t="s">
        <v>36</v>
      </c>
      <c r="G504">
        <v>468197</v>
      </c>
      <c r="H504" t="s">
        <v>1382</v>
      </c>
      <c r="I504" t="s">
        <v>1151</v>
      </c>
      <c r="J504">
        <v>12</v>
      </c>
      <c r="K504">
        <v>999002329</v>
      </c>
      <c r="L504">
        <v>50237</v>
      </c>
      <c r="M504" t="s">
        <v>39</v>
      </c>
      <c r="N504">
        <v>60</v>
      </c>
      <c r="O504" s="2">
        <v>46202</v>
      </c>
      <c r="P504" s="2">
        <v>46262</v>
      </c>
      <c r="R504" t="s">
        <v>1383</v>
      </c>
      <c r="S504" t="str">
        <f>"330000050833"</f>
        <v>330000050833</v>
      </c>
      <c r="T504" t="s">
        <v>41</v>
      </c>
      <c r="U504">
        <v>5439.7</v>
      </c>
      <c r="V504">
        <v>5167.72</v>
      </c>
      <c r="W504">
        <v>5167.72</v>
      </c>
      <c r="X504">
        <v>0</v>
      </c>
      <c r="Y504">
        <v>0</v>
      </c>
      <c r="Z504">
        <v>-487</v>
      </c>
      <c r="AA504">
        <v>692998</v>
      </c>
      <c r="AD504" t="s">
        <v>1089</v>
      </c>
      <c r="AE504" t="s">
        <v>1384</v>
      </c>
      <c r="AF504" t="s">
        <v>1089</v>
      </c>
      <c r="AG504" s="1" t="s">
        <v>1385</v>
      </c>
      <c r="AH504" t="s">
        <v>714</v>
      </c>
    </row>
    <row r="505" spans="1:34" x14ac:dyDescent="0.3">
      <c r="A505">
        <v>101</v>
      </c>
      <c r="B505" t="s">
        <v>34</v>
      </c>
      <c r="C505">
        <v>2</v>
      </c>
      <c r="D505" s="1" t="s">
        <v>1386</v>
      </c>
      <c r="E505" s="1" t="s">
        <v>36</v>
      </c>
      <c r="G505">
        <v>468197</v>
      </c>
      <c r="H505" t="s">
        <v>1382</v>
      </c>
      <c r="I505" t="s">
        <v>1151</v>
      </c>
      <c r="J505">
        <v>12</v>
      </c>
      <c r="K505">
        <v>999002329</v>
      </c>
      <c r="L505">
        <v>50237</v>
      </c>
      <c r="M505" t="s">
        <v>39</v>
      </c>
      <c r="N505">
        <v>60</v>
      </c>
      <c r="O505" s="2">
        <v>46240</v>
      </c>
      <c r="P505" s="2">
        <v>46275</v>
      </c>
      <c r="R505" t="s">
        <v>1387</v>
      </c>
      <c r="S505" t="str">
        <f>"330000052046"</f>
        <v>330000052046</v>
      </c>
      <c r="T505" t="s">
        <v>41</v>
      </c>
      <c r="U505">
        <v>7544.45</v>
      </c>
      <c r="V505">
        <v>7167.23</v>
      </c>
      <c r="W505">
        <v>7167.23</v>
      </c>
      <c r="X505">
        <v>0</v>
      </c>
      <c r="Y505">
        <v>0</v>
      </c>
      <c r="Z505">
        <v>-500</v>
      </c>
      <c r="AA505">
        <v>4215</v>
      </c>
      <c r="AD505" t="s">
        <v>1089</v>
      </c>
      <c r="AE505" t="s">
        <v>1384</v>
      </c>
      <c r="AF505" t="s">
        <v>1089</v>
      </c>
      <c r="AG505" s="1" t="s">
        <v>1385</v>
      </c>
      <c r="AH505" t="s">
        <v>714</v>
      </c>
    </row>
    <row r="506" spans="1:34" x14ac:dyDescent="0.3">
      <c r="A506">
        <v>101</v>
      </c>
      <c r="B506" t="s">
        <v>34</v>
      </c>
      <c r="C506">
        <v>2</v>
      </c>
      <c r="D506" s="1" t="s">
        <v>1388</v>
      </c>
      <c r="E506" s="1" t="s">
        <v>36</v>
      </c>
      <c r="G506">
        <v>468220</v>
      </c>
      <c r="H506" t="s">
        <v>1389</v>
      </c>
      <c r="I506" t="s">
        <v>1252</v>
      </c>
      <c r="J506">
        <v>12</v>
      </c>
      <c r="K506">
        <v>451605</v>
      </c>
      <c r="L506">
        <v>50001</v>
      </c>
      <c r="M506" t="s">
        <v>39</v>
      </c>
      <c r="N506">
        <v>60</v>
      </c>
      <c r="O506" s="2">
        <v>46233</v>
      </c>
      <c r="P506" s="2">
        <v>46268</v>
      </c>
      <c r="R506" t="s">
        <v>1390</v>
      </c>
      <c r="S506" t="str">
        <f>"25666160000051689"</f>
        <v>25666160000051689</v>
      </c>
      <c r="T506" t="s">
        <v>41</v>
      </c>
      <c r="U506">
        <v>32998.15</v>
      </c>
      <c r="V506">
        <v>31348.240000000002</v>
      </c>
      <c r="W506">
        <v>31348.240000000002</v>
      </c>
      <c r="X506">
        <v>0</v>
      </c>
      <c r="Y506">
        <v>0</v>
      </c>
      <c r="Z506">
        <v>-493</v>
      </c>
      <c r="AA506">
        <v>1817</v>
      </c>
      <c r="AD506" t="s">
        <v>1089</v>
      </c>
      <c r="AE506" t="s">
        <v>1391</v>
      </c>
      <c r="AF506" t="s">
        <v>1089</v>
      </c>
      <c r="AG506" s="1" t="s">
        <v>1392</v>
      </c>
      <c r="AH506" t="s">
        <v>714</v>
      </c>
    </row>
    <row r="507" spans="1:34" x14ac:dyDescent="0.3">
      <c r="A507">
        <v>101</v>
      </c>
      <c r="B507" t="s">
        <v>34</v>
      </c>
      <c r="C507">
        <v>2</v>
      </c>
      <c r="D507" s="1" t="s">
        <v>1393</v>
      </c>
      <c r="E507" s="1" t="s">
        <v>36</v>
      </c>
      <c r="G507">
        <v>468220</v>
      </c>
      <c r="H507" t="s">
        <v>1389</v>
      </c>
      <c r="I507" t="s">
        <v>1252</v>
      </c>
      <c r="J507">
        <v>12</v>
      </c>
      <c r="K507">
        <v>451605</v>
      </c>
      <c r="L507">
        <v>50001</v>
      </c>
      <c r="M507" t="s">
        <v>39</v>
      </c>
      <c r="N507">
        <v>60</v>
      </c>
      <c r="O507" s="2">
        <v>46233</v>
      </c>
      <c r="P507" s="2">
        <v>46268</v>
      </c>
      <c r="R507" t="s">
        <v>1394</v>
      </c>
      <c r="S507" t="str">
        <f>"25666160000051690"</f>
        <v>25666160000051690</v>
      </c>
      <c r="T507" t="s">
        <v>41</v>
      </c>
      <c r="U507">
        <v>14296.45</v>
      </c>
      <c r="V507">
        <v>13581.63</v>
      </c>
      <c r="W507">
        <v>13581.63</v>
      </c>
      <c r="X507">
        <v>0</v>
      </c>
      <c r="Y507">
        <v>0</v>
      </c>
      <c r="Z507">
        <v>-493</v>
      </c>
      <c r="AA507">
        <v>1919</v>
      </c>
      <c r="AD507" t="s">
        <v>1089</v>
      </c>
      <c r="AE507" t="s">
        <v>1391</v>
      </c>
      <c r="AF507" t="s">
        <v>1089</v>
      </c>
      <c r="AG507" s="1" t="s">
        <v>1392</v>
      </c>
      <c r="AH507" t="s">
        <v>714</v>
      </c>
    </row>
    <row r="508" spans="1:34" x14ac:dyDescent="0.3">
      <c r="A508">
        <v>101</v>
      </c>
      <c r="B508" t="s">
        <v>34</v>
      </c>
      <c r="C508">
        <v>2</v>
      </c>
      <c r="D508" s="1" t="s">
        <v>1395</v>
      </c>
      <c r="E508" s="1" t="s">
        <v>36</v>
      </c>
      <c r="G508">
        <v>468232</v>
      </c>
      <c r="H508" t="s">
        <v>1396</v>
      </c>
      <c r="I508" t="s">
        <v>1214</v>
      </c>
      <c r="J508">
        <v>12</v>
      </c>
      <c r="K508">
        <v>999002329</v>
      </c>
      <c r="L508">
        <v>50001</v>
      </c>
      <c r="M508" t="s">
        <v>39</v>
      </c>
      <c r="N508">
        <v>60</v>
      </c>
      <c r="O508" s="2">
        <v>46240</v>
      </c>
      <c r="P508" s="2">
        <v>46275</v>
      </c>
      <c r="R508" t="s">
        <v>1397</v>
      </c>
      <c r="S508" t="str">
        <f>"25666160000051830"</f>
        <v>25666160000051830</v>
      </c>
      <c r="T508" t="s">
        <v>41</v>
      </c>
      <c r="U508">
        <v>2581.4299999999998</v>
      </c>
      <c r="V508">
        <v>2452.36</v>
      </c>
      <c r="W508">
        <v>2452.36</v>
      </c>
      <c r="X508">
        <v>0</v>
      </c>
      <c r="Y508">
        <v>0</v>
      </c>
      <c r="Z508">
        <v>-500</v>
      </c>
      <c r="AA508">
        <v>4219</v>
      </c>
      <c r="AD508" t="s">
        <v>915</v>
      </c>
      <c r="AE508">
        <v>6720670102</v>
      </c>
      <c r="AF508" t="s">
        <v>915</v>
      </c>
      <c r="AG508">
        <v>10513998002044</v>
      </c>
      <c r="AH508" t="s">
        <v>714</v>
      </c>
    </row>
    <row r="509" spans="1:34" x14ac:dyDescent="0.3">
      <c r="A509">
        <v>101</v>
      </c>
      <c r="B509" t="s">
        <v>34</v>
      </c>
      <c r="C509">
        <v>2</v>
      </c>
      <c r="D509" s="1" t="s">
        <v>1398</v>
      </c>
      <c r="E509" s="1" t="s">
        <v>36</v>
      </c>
      <c r="G509">
        <v>468233</v>
      </c>
      <c r="H509" t="s">
        <v>1399</v>
      </c>
      <c r="I509" t="s">
        <v>1214</v>
      </c>
      <c r="J509">
        <v>12</v>
      </c>
      <c r="K509">
        <v>999002329</v>
      </c>
      <c r="L509">
        <v>50001</v>
      </c>
      <c r="M509" t="s">
        <v>39</v>
      </c>
      <c r="N509">
        <v>60</v>
      </c>
      <c r="O509" s="2">
        <v>46240</v>
      </c>
      <c r="P509" s="2">
        <v>46300</v>
      </c>
      <c r="R509" t="s">
        <v>1400</v>
      </c>
      <c r="S509" t="str">
        <f>"25666160000051831"</f>
        <v>25666160000051831</v>
      </c>
      <c r="T509" t="s">
        <v>41</v>
      </c>
      <c r="U509">
        <v>2281.0500000000002</v>
      </c>
      <c r="V509">
        <v>2167</v>
      </c>
      <c r="W509">
        <v>2167</v>
      </c>
      <c r="X509">
        <v>0</v>
      </c>
      <c r="Y509">
        <v>0</v>
      </c>
      <c r="Z509">
        <v>-525</v>
      </c>
      <c r="AA509">
        <v>4217</v>
      </c>
      <c r="AD509" t="s">
        <v>731</v>
      </c>
      <c r="AE509" t="s">
        <v>1401</v>
      </c>
      <c r="AF509" t="s">
        <v>731</v>
      </c>
      <c r="AG509">
        <v>10513998001900</v>
      </c>
      <c r="AH509" t="s">
        <v>714</v>
      </c>
    </row>
    <row r="510" spans="1:34" x14ac:dyDescent="0.3">
      <c r="A510">
        <v>101</v>
      </c>
      <c r="B510" t="s">
        <v>34</v>
      </c>
      <c r="C510">
        <v>2</v>
      </c>
      <c r="D510" s="1" t="s">
        <v>1402</v>
      </c>
      <c r="E510" s="1" t="s">
        <v>36</v>
      </c>
      <c r="G510">
        <v>468901</v>
      </c>
      <c r="H510" t="s">
        <v>1403</v>
      </c>
      <c r="I510" t="s">
        <v>1404</v>
      </c>
      <c r="J510">
        <v>12</v>
      </c>
      <c r="K510">
        <v>5852</v>
      </c>
      <c r="L510">
        <v>50237</v>
      </c>
      <c r="M510" t="s">
        <v>39</v>
      </c>
      <c r="N510">
        <v>60</v>
      </c>
      <c r="O510" s="2">
        <v>46232</v>
      </c>
      <c r="P510" s="2">
        <v>46260</v>
      </c>
      <c r="R510" t="s">
        <v>1405</v>
      </c>
      <c r="S510" t="str">
        <f>"330000051694"</f>
        <v>330000051694</v>
      </c>
      <c r="T510" t="s">
        <v>41</v>
      </c>
      <c r="U510">
        <v>1426.11</v>
      </c>
      <c r="V510">
        <v>1390.46</v>
      </c>
      <c r="W510">
        <v>1390.46</v>
      </c>
      <c r="X510">
        <v>0</v>
      </c>
      <c r="Y510">
        <v>0</v>
      </c>
      <c r="Z510">
        <v>-485</v>
      </c>
      <c r="AA510">
        <v>1563</v>
      </c>
      <c r="AD510" t="s">
        <v>1076</v>
      </c>
      <c r="AE510" t="s">
        <v>1406</v>
      </c>
      <c r="AF510" t="s">
        <v>1076</v>
      </c>
      <c r="AG510" s="1" t="s">
        <v>1407</v>
      </c>
      <c r="AH510" t="s">
        <v>714</v>
      </c>
    </row>
    <row r="511" spans="1:34" x14ac:dyDescent="0.3">
      <c r="A511">
        <v>101</v>
      </c>
      <c r="B511" t="s">
        <v>34</v>
      </c>
      <c r="C511">
        <v>2</v>
      </c>
      <c r="D511" s="1" t="s">
        <v>1408</v>
      </c>
      <c r="E511" s="1" t="s">
        <v>36</v>
      </c>
      <c r="G511">
        <v>470091</v>
      </c>
      <c r="H511" t="s">
        <v>1409</v>
      </c>
      <c r="I511" t="s">
        <v>1199</v>
      </c>
      <c r="J511">
        <v>12</v>
      </c>
      <c r="K511">
        <v>999002329</v>
      </c>
      <c r="L511">
        <v>50033</v>
      </c>
      <c r="M511" t="s">
        <v>39</v>
      </c>
      <c r="N511">
        <v>60</v>
      </c>
      <c r="O511" s="2">
        <v>46202</v>
      </c>
      <c r="P511" s="2">
        <v>46262</v>
      </c>
      <c r="R511" t="s">
        <v>1410</v>
      </c>
      <c r="S511" t="str">
        <f>"0000050407805"</f>
        <v>0000050407805</v>
      </c>
      <c r="T511" t="s">
        <v>41</v>
      </c>
      <c r="U511">
        <v>2200.37</v>
      </c>
      <c r="V511">
        <v>2090.35</v>
      </c>
      <c r="W511">
        <v>2090.35</v>
      </c>
      <c r="X511">
        <v>0</v>
      </c>
      <c r="Y511">
        <v>0</v>
      </c>
      <c r="Z511">
        <v>-487</v>
      </c>
      <c r="AA511">
        <v>692996</v>
      </c>
      <c r="AD511" t="s">
        <v>1089</v>
      </c>
      <c r="AE511">
        <v>6733462727</v>
      </c>
      <c r="AF511" t="s">
        <v>1089</v>
      </c>
      <c r="AG511">
        <v>12075667001538</v>
      </c>
      <c r="AH511" t="s">
        <v>714</v>
      </c>
    </row>
    <row r="512" spans="1:34" x14ac:dyDescent="0.3">
      <c r="A512">
        <v>101</v>
      </c>
      <c r="B512" t="s">
        <v>34</v>
      </c>
      <c r="C512">
        <v>2</v>
      </c>
      <c r="D512" s="1" t="s">
        <v>1411</v>
      </c>
      <c r="E512" s="1" t="s">
        <v>36</v>
      </c>
      <c r="G512">
        <v>470163</v>
      </c>
      <c r="H512" t="s">
        <v>1412</v>
      </c>
      <c r="I512" t="s">
        <v>1413</v>
      </c>
      <c r="J512">
        <v>12</v>
      </c>
      <c r="K512">
        <v>451605</v>
      </c>
      <c r="L512">
        <v>50033</v>
      </c>
      <c r="M512" t="s">
        <v>39</v>
      </c>
      <c r="N512">
        <v>60</v>
      </c>
      <c r="O512" s="2">
        <v>46233</v>
      </c>
      <c r="P512" s="2">
        <v>46268</v>
      </c>
      <c r="R512" t="s">
        <v>1414</v>
      </c>
      <c r="S512" t="str">
        <f>"0000050411616"</f>
        <v>0000050411616</v>
      </c>
      <c r="T512" t="s">
        <v>41</v>
      </c>
      <c r="U512">
        <v>6698.15</v>
      </c>
      <c r="V512">
        <v>6363.24</v>
      </c>
      <c r="W512">
        <v>6363.24</v>
      </c>
      <c r="X512">
        <v>0</v>
      </c>
      <c r="Y512">
        <v>0</v>
      </c>
      <c r="Z512">
        <v>-493</v>
      </c>
      <c r="AA512">
        <v>1917</v>
      </c>
      <c r="AD512" t="s">
        <v>1089</v>
      </c>
      <c r="AE512">
        <v>6733512075</v>
      </c>
      <c r="AF512" t="s">
        <v>1089</v>
      </c>
      <c r="AG512" s="1" t="s">
        <v>1415</v>
      </c>
      <c r="AH512" t="s">
        <v>714</v>
      </c>
    </row>
    <row r="513" spans="1:34" x14ac:dyDescent="0.3">
      <c r="A513">
        <v>101</v>
      </c>
      <c r="B513" t="s">
        <v>34</v>
      </c>
      <c r="C513">
        <v>2</v>
      </c>
      <c r="D513" s="1" t="s">
        <v>1416</v>
      </c>
      <c r="E513" s="1" t="s">
        <v>36</v>
      </c>
      <c r="G513">
        <v>470163</v>
      </c>
      <c r="H513" t="s">
        <v>1412</v>
      </c>
      <c r="I513" t="s">
        <v>1413</v>
      </c>
      <c r="J513">
        <v>12</v>
      </c>
      <c r="K513">
        <v>451605</v>
      </c>
      <c r="L513">
        <v>50033</v>
      </c>
      <c r="M513" t="s">
        <v>39</v>
      </c>
      <c r="N513">
        <v>60</v>
      </c>
      <c r="O513" s="2">
        <v>46233</v>
      </c>
      <c r="P513" s="2">
        <v>46268</v>
      </c>
      <c r="R513" t="s">
        <v>1417</v>
      </c>
      <c r="S513" t="str">
        <f>"0000050411608"</f>
        <v>0000050411608</v>
      </c>
      <c r="T513" t="s">
        <v>41</v>
      </c>
      <c r="U513">
        <v>11121.85</v>
      </c>
      <c r="V513">
        <v>10565.76</v>
      </c>
      <c r="W513">
        <v>10565.76</v>
      </c>
      <c r="X513">
        <v>0</v>
      </c>
      <c r="Y513">
        <v>0</v>
      </c>
      <c r="Z513">
        <v>-493</v>
      </c>
      <c r="AA513">
        <v>1819</v>
      </c>
      <c r="AD513" t="s">
        <v>1089</v>
      </c>
      <c r="AE513">
        <v>6733512075</v>
      </c>
      <c r="AF513" t="s">
        <v>1089</v>
      </c>
      <c r="AG513" s="1" t="s">
        <v>1415</v>
      </c>
      <c r="AH513" t="s">
        <v>714</v>
      </c>
    </row>
    <row r="514" spans="1:34" x14ac:dyDescent="0.3">
      <c r="A514">
        <v>101</v>
      </c>
      <c r="B514" t="s">
        <v>34</v>
      </c>
      <c r="C514">
        <v>2</v>
      </c>
      <c r="D514" s="1" t="s">
        <v>1418</v>
      </c>
      <c r="E514" s="1" t="s">
        <v>36</v>
      </c>
      <c r="G514">
        <v>470460</v>
      </c>
      <c r="H514" t="s">
        <v>1419</v>
      </c>
      <c r="I514" t="s">
        <v>1199</v>
      </c>
      <c r="J514">
        <v>12</v>
      </c>
      <c r="K514">
        <v>999002329</v>
      </c>
      <c r="L514">
        <v>50341</v>
      </c>
      <c r="M514" t="s">
        <v>146</v>
      </c>
      <c r="N514">
        <v>60</v>
      </c>
      <c r="O514" s="2">
        <v>46202</v>
      </c>
      <c r="P514" s="2">
        <v>46262</v>
      </c>
      <c r="R514" t="s">
        <v>1420</v>
      </c>
      <c r="S514" t="str">
        <f>"00012916"</f>
        <v>00012916</v>
      </c>
      <c r="T514" t="s">
        <v>41</v>
      </c>
      <c r="U514">
        <v>12896.67</v>
      </c>
      <c r="V514">
        <v>12251.84</v>
      </c>
      <c r="W514">
        <v>12251.84</v>
      </c>
      <c r="X514">
        <v>0</v>
      </c>
      <c r="Y514">
        <v>0</v>
      </c>
      <c r="Z514">
        <v>-487</v>
      </c>
      <c r="AA514">
        <v>692995</v>
      </c>
      <c r="AD514" t="s">
        <v>790</v>
      </c>
      <c r="AE514">
        <v>6733462727</v>
      </c>
      <c r="AF514" t="s">
        <v>790</v>
      </c>
      <c r="AG514">
        <v>12075667001619</v>
      </c>
      <c r="AH514" t="s">
        <v>714</v>
      </c>
    </row>
    <row r="515" spans="1:34" x14ac:dyDescent="0.3">
      <c r="A515">
        <v>101</v>
      </c>
      <c r="B515" t="s">
        <v>34</v>
      </c>
      <c r="C515">
        <v>2</v>
      </c>
      <c r="D515" s="1" t="s">
        <v>1421</v>
      </c>
      <c r="E515" s="1" t="s">
        <v>36</v>
      </c>
      <c r="G515">
        <v>470460</v>
      </c>
      <c r="H515" t="s">
        <v>1419</v>
      </c>
      <c r="I515" t="s">
        <v>1199</v>
      </c>
      <c r="J515">
        <v>12</v>
      </c>
      <c r="K515">
        <v>999002329</v>
      </c>
      <c r="L515">
        <v>50341</v>
      </c>
      <c r="M515" t="s">
        <v>146</v>
      </c>
      <c r="N515">
        <v>60</v>
      </c>
      <c r="O515" s="2">
        <v>46240</v>
      </c>
      <c r="P515" s="2">
        <v>46275</v>
      </c>
      <c r="R515" t="s">
        <v>1422</v>
      </c>
      <c r="S515" t="str">
        <f>"00013642"</f>
        <v>00013642</v>
      </c>
      <c r="T515" t="s">
        <v>41</v>
      </c>
      <c r="U515">
        <v>3786.75</v>
      </c>
      <c r="V515">
        <v>3597.41</v>
      </c>
      <c r="W515">
        <v>3597.41</v>
      </c>
      <c r="X515">
        <v>0</v>
      </c>
      <c r="Y515">
        <v>0</v>
      </c>
      <c r="Z515">
        <v>-500</v>
      </c>
      <c r="AA515">
        <v>4221</v>
      </c>
      <c r="AD515" t="s">
        <v>790</v>
      </c>
      <c r="AE515">
        <v>6733462727</v>
      </c>
      <c r="AF515" t="s">
        <v>790</v>
      </c>
      <c r="AG515">
        <v>12075667001619</v>
      </c>
      <c r="AH515" t="s">
        <v>714</v>
      </c>
    </row>
    <row r="516" spans="1:34" x14ac:dyDescent="0.3">
      <c r="A516">
        <v>101</v>
      </c>
      <c r="B516" t="s">
        <v>34</v>
      </c>
      <c r="C516">
        <v>2</v>
      </c>
      <c r="D516" s="1" t="s">
        <v>1423</v>
      </c>
      <c r="E516" s="1" t="s">
        <v>36</v>
      </c>
      <c r="G516">
        <v>471130</v>
      </c>
      <c r="H516" t="s">
        <v>1424</v>
      </c>
      <c r="I516" t="s">
        <v>1332</v>
      </c>
      <c r="J516">
        <v>12</v>
      </c>
      <c r="K516">
        <v>436331</v>
      </c>
      <c r="L516">
        <v>50001</v>
      </c>
      <c r="M516" t="s">
        <v>39</v>
      </c>
      <c r="N516">
        <v>60</v>
      </c>
      <c r="O516" s="2">
        <v>46239</v>
      </c>
      <c r="P516" s="2">
        <v>46299</v>
      </c>
      <c r="R516" t="s">
        <v>1425</v>
      </c>
      <c r="S516" t="str">
        <f>"25666160000051816"</f>
        <v>25666160000051816</v>
      </c>
      <c r="T516" t="s">
        <v>41</v>
      </c>
      <c r="U516">
        <v>3964.46</v>
      </c>
      <c r="V516">
        <v>3964.46</v>
      </c>
      <c r="W516">
        <v>3964.46</v>
      </c>
      <c r="X516">
        <v>0</v>
      </c>
      <c r="Y516">
        <v>0</v>
      </c>
      <c r="Z516">
        <v>-524</v>
      </c>
      <c r="AA516">
        <v>4238</v>
      </c>
      <c r="AD516" t="s">
        <v>1426</v>
      </c>
      <c r="AE516" t="s">
        <v>1427</v>
      </c>
      <c r="AF516" t="s">
        <v>1426</v>
      </c>
      <c r="AG516" s="1" t="s">
        <v>1428</v>
      </c>
      <c r="AH516" t="s">
        <v>714</v>
      </c>
    </row>
    <row r="517" spans="1:34" x14ac:dyDescent="0.3">
      <c r="A517">
        <v>101</v>
      </c>
      <c r="B517" t="s">
        <v>34</v>
      </c>
      <c r="C517">
        <v>2</v>
      </c>
      <c r="D517" s="1" t="s">
        <v>1429</v>
      </c>
      <c r="E517" s="1" t="s">
        <v>36</v>
      </c>
      <c r="G517">
        <v>999000065</v>
      </c>
      <c r="H517" t="s">
        <v>1430</v>
      </c>
      <c r="I517" t="s">
        <v>1074</v>
      </c>
      <c r="J517">
        <v>12</v>
      </c>
      <c r="K517">
        <v>6158</v>
      </c>
      <c r="L517">
        <v>50001</v>
      </c>
      <c r="M517" t="s">
        <v>39</v>
      </c>
      <c r="N517">
        <v>60</v>
      </c>
      <c r="O517" s="2">
        <v>46230</v>
      </c>
      <c r="P517" s="2">
        <v>46260</v>
      </c>
      <c r="R517" t="s">
        <v>1431</v>
      </c>
      <c r="S517" t="str">
        <f>"25666160000051652"</f>
        <v>25666160000051652</v>
      </c>
      <c r="T517" t="s">
        <v>41</v>
      </c>
      <c r="U517">
        <v>2143.1</v>
      </c>
      <c r="V517">
        <v>2078.81</v>
      </c>
      <c r="W517">
        <v>2078.81</v>
      </c>
      <c r="X517">
        <v>0</v>
      </c>
      <c r="Y517">
        <v>0</v>
      </c>
      <c r="Z517">
        <v>-485</v>
      </c>
      <c r="AA517">
        <v>1727</v>
      </c>
      <c r="AD517" t="s">
        <v>1171</v>
      </c>
      <c r="AE517" t="s">
        <v>1432</v>
      </c>
      <c r="AF517" t="s">
        <v>1171</v>
      </c>
      <c r="AG517" s="1" t="s">
        <v>1433</v>
      </c>
      <c r="AH517" t="s">
        <v>714</v>
      </c>
    </row>
    <row r="518" spans="1:34" x14ac:dyDescent="0.3">
      <c r="A518">
        <v>101</v>
      </c>
      <c r="B518" t="s">
        <v>34</v>
      </c>
      <c r="C518">
        <v>2</v>
      </c>
      <c r="D518" s="1" t="s">
        <v>1434</v>
      </c>
      <c r="E518" s="1" t="s">
        <v>36</v>
      </c>
      <c r="G518">
        <v>999002002</v>
      </c>
      <c r="H518" t="s">
        <v>1435</v>
      </c>
      <c r="I518" t="s">
        <v>1436</v>
      </c>
      <c r="J518">
        <v>12</v>
      </c>
      <c r="K518">
        <v>999002329</v>
      </c>
      <c r="L518">
        <v>50341</v>
      </c>
      <c r="M518" t="s">
        <v>146</v>
      </c>
      <c r="N518">
        <v>60</v>
      </c>
      <c r="O518" s="2">
        <v>46240</v>
      </c>
      <c r="P518" s="2">
        <v>46275</v>
      </c>
      <c r="R518" t="s">
        <v>1437</v>
      </c>
      <c r="S518" t="str">
        <f>"00013644"</f>
        <v>00013644</v>
      </c>
      <c r="T518" t="s">
        <v>41</v>
      </c>
      <c r="U518">
        <v>2849.37</v>
      </c>
      <c r="V518">
        <v>2706.9</v>
      </c>
      <c r="W518">
        <v>2706.9</v>
      </c>
      <c r="X518">
        <v>0</v>
      </c>
      <c r="Y518">
        <v>0</v>
      </c>
      <c r="Z518">
        <v>-500</v>
      </c>
      <c r="AA518">
        <v>4186</v>
      </c>
      <c r="AD518" t="s">
        <v>837</v>
      </c>
      <c r="AE518" t="s">
        <v>1438</v>
      </c>
      <c r="AF518" t="s">
        <v>837</v>
      </c>
      <c r="AG518">
        <v>10513998000262</v>
      </c>
      <c r="AH518" t="s">
        <v>714</v>
      </c>
    </row>
    <row r="519" spans="1:34" x14ac:dyDescent="0.3">
      <c r="A519">
        <v>101</v>
      </c>
      <c r="B519" t="s">
        <v>34</v>
      </c>
      <c r="C519">
        <v>2</v>
      </c>
      <c r="D519" s="1" t="s">
        <v>1439</v>
      </c>
      <c r="E519" s="1" t="s">
        <v>36</v>
      </c>
      <c r="G519">
        <v>999002002</v>
      </c>
      <c r="H519" t="s">
        <v>1435</v>
      </c>
      <c r="I519" t="s">
        <v>1436</v>
      </c>
      <c r="J519">
        <v>12</v>
      </c>
      <c r="K519">
        <v>999002329</v>
      </c>
      <c r="L519">
        <v>50341</v>
      </c>
      <c r="M519" t="s">
        <v>146</v>
      </c>
      <c r="N519">
        <v>60</v>
      </c>
      <c r="O519" s="2">
        <v>46202</v>
      </c>
      <c r="P519" s="2">
        <v>46262</v>
      </c>
      <c r="R519" t="s">
        <v>1440</v>
      </c>
      <c r="S519" t="str">
        <f>"00012918"</f>
        <v>00012918</v>
      </c>
      <c r="T519" t="s">
        <v>41</v>
      </c>
      <c r="U519">
        <v>3950.49</v>
      </c>
      <c r="V519">
        <v>3752.97</v>
      </c>
      <c r="W519">
        <v>3752.97</v>
      </c>
      <c r="X519">
        <v>0</v>
      </c>
      <c r="Y519">
        <v>0</v>
      </c>
      <c r="Z519">
        <v>-487</v>
      </c>
      <c r="AA519">
        <v>693014</v>
      </c>
      <c r="AD519" t="s">
        <v>837</v>
      </c>
      <c r="AE519" t="s">
        <v>1438</v>
      </c>
      <c r="AF519" t="s">
        <v>837</v>
      </c>
      <c r="AG519">
        <v>10513998000262</v>
      </c>
      <c r="AH519" t="s">
        <v>714</v>
      </c>
    </row>
    <row r="520" spans="1:34" x14ac:dyDescent="0.3">
      <c r="A520">
        <v>101</v>
      </c>
      <c r="B520" t="s">
        <v>34</v>
      </c>
      <c r="C520">
        <v>2</v>
      </c>
      <c r="D520" s="1" t="s">
        <v>1441</v>
      </c>
      <c r="E520" s="1" t="s">
        <v>36</v>
      </c>
      <c r="G520">
        <v>999002071</v>
      </c>
      <c r="H520" t="s">
        <v>1442</v>
      </c>
      <c r="I520" t="s">
        <v>1436</v>
      </c>
      <c r="J520">
        <v>12</v>
      </c>
      <c r="K520">
        <v>999002329</v>
      </c>
      <c r="L520">
        <v>50341</v>
      </c>
      <c r="M520" t="s">
        <v>146</v>
      </c>
      <c r="N520">
        <v>60</v>
      </c>
      <c r="O520" s="2">
        <v>46202</v>
      </c>
      <c r="P520" s="2">
        <v>46262</v>
      </c>
      <c r="R520" t="s">
        <v>1443</v>
      </c>
      <c r="S520" t="str">
        <f>"00012919"</f>
        <v>00012919</v>
      </c>
      <c r="T520" t="s">
        <v>41</v>
      </c>
      <c r="U520">
        <v>1852.68</v>
      </c>
      <c r="V520">
        <v>1760.05</v>
      </c>
      <c r="W520">
        <v>1760.05</v>
      </c>
      <c r="X520">
        <v>0</v>
      </c>
      <c r="Y520">
        <v>0</v>
      </c>
      <c r="Z520">
        <v>-487</v>
      </c>
      <c r="AA520">
        <v>693013</v>
      </c>
      <c r="AD520" t="s">
        <v>837</v>
      </c>
      <c r="AE520" t="s">
        <v>1444</v>
      </c>
      <c r="AF520" t="s">
        <v>837</v>
      </c>
      <c r="AG520">
        <v>10513998000343</v>
      </c>
      <c r="AH520" t="s">
        <v>714</v>
      </c>
    </row>
    <row r="521" spans="1:34" x14ac:dyDescent="0.3">
      <c r="A521">
        <v>101</v>
      </c>
      <c r="B521" t="s">
        <v>34</v>
      </c>
      <c r="C521">
        <v>2</v>
      </c>
      <c r="D521" s="1" t="s">
        <v>1445</v>
      </c>
      <c r="E521" s="1" t="s">
        <v>36</v>
      </c>
      <c r="G521">
        <v>999002329</v>
      </c>
      <c r="H521" t="s">
        <v>1446</v>
      </c>
      <c r="I521" t="s">
        <v>1151</v>
      </c>
      <c r="J521">
        <v>12</v>
      </c>
      <c r="K521">
        <v>999002329</v>
      </c>
      <c r="L521">
        <v>50341</v>
      </c>
      <c r="M521" t="s">
        <v>146</v>
      </c>
      <c r="N521">
        <v>60</v>
      </c>
      <c r="O521" s="2">
        <v>46202</v>
      </c>
      <c r="P521" s="2">
        <v>46262</v>
      </c>
      <c r="R521" t="s">
        <v>1447</v>
      </c>
      <c r="S521" t="str">
        <f>"00012921"</f>
        <v>00012921</v>
      </c>
      <c r="T521" t="s">
        <v>41</v>
      </c>
      <c r="U521">
        <v>2839.88</v>
      </c>
      <c r="V521">
        <v>2697.89</v>
      </c>
      <c r="W521">
        <v>2697.89</v>
      </c>
      <c r="X521">
        <v>0</v>
      </c>
      <c r="Y521">
        <v>0</v>
      </c>
      <c r="Z521">
        <v>-487</v>
      </c>
      <c r="AA521">
        <v>693025</v>
      </c>
      <c r="AD521" t="s">
        <v>1089</v>
      </c>
      <c r="AE521" t="s">
        <v>1237</v>
      </c>
      <c r="AF521" t="s">
        <v>1089</v>
      </c>
      <c r="AG521" s="1" t="s">
        <v>1448</v>
      </c>
      <c r="AH521" t="s">
        <v>714</v>
      </c>
    </row>
    <row r="522" spans="1:34" x14ac:dyDescent="0.3">
      <c r="A522">
        <v>101</v>
      </c>
      <c r="B522" t="s">
        <v>34</v>
      </c>
      <c r="C522">
        <v>2</v>
      </c>
      <c r="D522" s="1" t="s">
        <v>1449</v>
      </c>
      <c r="E522" s="1" t="s">
        <v>36</v>
      </c>
      <c r="G522">
        <v>999002330</v>
      </c>
      <c r="H522" t="s">
        <v>1450</v>
      </c>
      <c r="I522" t="s">
        <v>1451</v>
      </c>
      <c r="J522">
        <v>12</v>
      </c>
      <c r="K522">
        <v>999002329</v>
      </c>
      <c r="L522">
        <v>50341</v>
      </c>
      <c r="M522" t="s">
        <v>146</v>
      </c>
      <c r="N522">
        <v>60</v>
      </c>
      <c r="O522" s="2">
        <v>46202</v>
      </c>
      <c r="P522" s="2">
        <v>46262</v>
      </c>
      <c r="R522" t="s">
        <v>1452</v>
      </c>
      <c r="S522" t="str">
        <f>"00012922"</f>
        <v>00012922</v>
      </c>
      <c r="T522" t="s">
        <v>41</v>
      </c>
      <c r="U522">
        <v>2544.83</v>
      </c>
      <c r="V522">
        <v>2417.59</v>
      </c>
      <c r="W522">
        <v>2417.59</v>
      </c>
      <c r="X522">
        <v>0</v>
      </c>
      <c r="Y522">
        <v>0</v>
      </c>
      <c r="Z522">
        <v>-487</v>
      </c>
      <c r="AA522">
        <v>693012</v>
      </c>
      <c r="AD522" t="s">
        <v>1089</v>
      </c>
      <c r="AE522" t="s">
        <v>1453</v>
      </c>
      <c r="AF522" t="s">
        <v>1089</v>
      </c>
      <c r="AG522">
        <v>12075667000485</v>
      </c>
      <c r="AH522" t="s">
        <v>714</v>
      </c>
    </row>
    <row r="523" spans="1:34" x14ac:dyDescent="0.3">
      <c r="A523">
        <v>101</v>
      </c>
      <c r="B523" t="s">
        <v>34</v>
      </c>
      <c r="C523">
        <v>2</v>
      </c>
      <c r="D523" s="1" t="s">
        <v>1454</v>
      </c>
      <c r="E523" s="1" t="s">
        <v>36</v>
      </c>
      <c r="G523">
        <v>999002330</v>
      </c>
      <c r="H523" t="s">
        <v>1450</v>
      </c>
      <c r="I523" t="s">
        <v>1451</v>
      </c>
      <c r="J523">
        <v>12</v>
      </c>
      <c r="K523">
        <v>999002329</v>
      </c>
      <c r="L523">
        <v>50341</v>
      </c>
      <c r="M523" t="s">
        <v>146</v>
      </c>
      <c r="N523">
        <v>60</v>
      </c>
      <c r="O523" s="2">
        <v>46240</v>
      </c>
      <c r="P523" s="2">
        <v>46275</v>
      </c>
      <c r="R523" t="s">
        <v>1455</v>
      </c>
      <c r="S523" t="str">
        <f>"00013645"</f>
        <v>00013645</v>
      </c>
      <c r="T523" t="s">
        <v>41</v>
      </c>
      <c r="U523">
        <v>1814.83</v>
      </c>
      <c r="V523">
        <v>1724.09</v>
      </c>
      <c r="W523">
        <v>1724.09</v>
      </c>
      <c r="X523">
        <v>0</v>
      </c>
      <c r="Y523">
        <v>0</v>
      </c>
      <c r="Z523">
        <v>-500</v>
      </c>
      <c r="AA523">
        <v>4189</v>
      </c>
      <c r="AD523" t="s">
        <v>1089</v>
      </c>
      <c r="AE523" t="s">
        <v>1453</v>
      </c>
      <c r="AF523" t="s">
        <v>1089</v>
      </c>
      <c r="AG523">
        <v>12075667000485</v>
      </c>
      <c r="AH523" t="s">
        <v>714</v>
      </c>
    </row>
    <row r="524" spans="1:34" x14ac:dyDescent="0.3">
      <c r="A524">
        <v>101</v>
      </c>
      <c r="B524" t="s">
        <v>34</v>
      </c>
      <c r="C524">
        <v>2</v>
      </c>
      <c r="D524" s="1" t="s">
        <v>1456</v>
      </c>
      <c r="E524" s="1" t="s">
        <v>36</v>
      </c>
      <c r="G524">
        <v>2859</v>
      </c>
      <c r="H524" t="s">
        <v>1457</v>
      </c>
      <c r="I524" t="s">
        <v>502</v>
      </c>
      <c r="J524">
        <v>15</v>
      </c>
      <c r="K524">
        <v>9321</v>
      </c>
      <c r="L524">
        <v>95000</v>
      </c>
      <c r="M524" t="s">
        <v>69</v>
      </c>
      <c r="N524">
        <v>67</v>
      </c>
      <c r="O524" s="2">
        <v>46163</v>
      </c>
      <c r="P524" s="2">
        <v>46260</v>
      </c>
      <c r="R524" t="s">
        <v>1458</v>
      </c>
      <c r="S524" t="str">
        <f>""</f>
        <v/>
      </c>
      <c r="T524" t="s">
        <v>41</v>
      </c>
      <c r="U524">
        <v>1918.35</v>
      </c>
      <c r="V524">
        <v>608.87</v>
      </c>
      <c r="W524">
        <v>608.87</v>
      </c>
      <c r="X524">
        <v>0</v>
      </c>
      <c r="Y524">
        <v>0</v>
      </c>
      <c r="Z524">
        <v>-485</v>
      </c>
      <c r="AA524">
        <v>688608</v>
      </c>
      <c r="AD524" t="s">
        <v>1459</v>
      </c>
      <c r="AE524" t="s">
        <v>1460</v>
      </c>
      <c r="AF524" t="s">
        <v>1459</v>
      </c>
      <c r="AG524" s="1" t="s">
        <v>1461</v>
      </c>
      <c r="AH524" t="s">
        <v>1462</v>
      </c>
    </row>
    <row r="525" spans="1:34" x14ac:dyDescent="0.3">
      <c r="A525">
        <v>101</v>
      </c>
      <c r="B525" t="s">
        <v>34</v>
      </c>
      <c r="C525">
        <v>2</v>
      </c>
      <c r="D525" s="1" t="s">
        <v>1463</v>
      </c>
      <c r="E525" s="1" t="s">
        <v>36</v>
      </c>
      <c r="G525">
        <v>3131</v>
      </c>
      <c r="H525" t="s">
        <v>1464</v>
      </c>
      <c r="I525" t="s">
        <v>1465</v>
      </c>
      <c r="J525">
        <v>15</v>
      </c>
      <c r="K525">
        <v>9321</v>
      </c>
      <c r="L525">
        <v>95000</v>
      </c>
      <c r="M525" t="s">
        <v>69</v>
      </c>
      <c r="N525">
        <v>67</v>
      </c>
      <c r="O525" s="2">
        <v>46163</v>
      </c>
      <c r="P525" s="2">
        <v>46260</v>
      </c>
      <c r="R525" t="s">
        <v>1466</v>
      </c>
      <c r="S525" t="str">
        <f>""</f>
        <v/>
      </c>
      <c r="T525" t="s">
        <v>41</v>
      </c>
      <c r="U525">
        <v>7251.9</v>
      </c>
      <c r="V525">
        <v>7251.9</v>
      </c>
      <c r="W525">
        <v>7251.9</v>
      </c>
      <c r="X525">
        <v>0</v>
      </c>
      <c r="Y525">
        <v>0</v>
      </c>
      <c r="Z525">
        <v>-485</v>
      </c>
      <c r="AA525">
        <v>688609</v>
      </c>
      <c r="AD525" t="s">
        <v>1467</v>
      </c>
      <c r="AE525" t="s">
        <v>1468</v>
      </c>
      <c r="AF525" t="s">
        <v>1467</v>
      </c>
      <c r="AG525" s="1" t="s">
        <v>1469</v>
      </c>
      <c r="AH525" t="s">
        <v>1462</v>
      </c>
    </row>
    <row r="526" spans="1:34" x14ac:dyDescent="0.3">
      <c r="A526">
        <v>101</v>
      </c>
      <c r="B526" t="s">
        <v>34</v>
      </c>
      <c r="C526">
        <v>2</v>
      </c>
      <c r="D526" s="1" t="s">
        <v>1470</v>
      </c>
      <c r="E526" s="1" t="s">
        <v>36</v>
      </c>
      <c r="G526">
        <v>4497</v>
      </c>
      <c r="H526" t="s">
        <v>1471</v>
      </c>
      <c r="I526" t="s">
        <v>1472</v>
      </c>
      <c r="J526">
        <v>15</v>
      </c>
      <c r="K526">
        <v>4497</v>
      </c>
      <c r="L526">
        <v>95000</v>
      </c>
      <c r="M526" t="s">
        <v>69</v>
      </c>
      <c r="N526">
        <v>67</v>
      </c>
      <c r="O526" s="2">
        <v>46203</v>
      </c>
      <c r="P526" s="2">
        <v>46300</v>
      </c>
      <c r="R526" t="s">
        <v>1473</v>
      </c>
      <c r="S526" t="str">
        <f>""</f>
        <v/>
      </c>
      <c r="T526" t="s">
        <v>41</v>
      </c>
      <c r="U526">
        <v>6216.95</v>
      </c>
      <c r="V526">
        <v>6030.44</v>
      </c>
      <c r="W526">
        <v>6030.44</v>
      </c>
      <c r="X526">
        <v>0</v>
      </c>
      <c r="Y526">
        <v>0</v>
      </c>
      <c r="Z526">
        <v>-525</v>
      </c>
      <c r="AA526">
        <v>693223</v>
      </c>
      <c r="AD526" t="s">
        <v>1474</v>
      </c>
      <c r="AE526" t="s">
        <v>1475</v>
      </c>
      <c r="AF526" t="s">
        <v>1474</v>
      </c>
      <c r="AG526" s="1" t="s">
        <v>1476</v>
      </c>
      <c r="AH526" t="s">
        <v>1462</v>
      </c>
    </row>
    <row r="527" spans="1:34" x14ac:dyDescent="0.3">
      <c r="A527">
        <v>101</v>
      </c>
      <c r="B527" t="s">
        <v>34</v>
      </c>
      <c r="C527">
        <v>2</v>
      </c>
      <c r="D527" s="1" t="s">
        <v>1477</v>
      </c>
      <c r="E527" s="1" t="s">
        <v>36</v>
      </c>
      <c r="G527">
        <v>4497</v>
      </c>
      <c r="H527" t="s">
        <v>1471</v>
      </c>
      <c r="I527" t="s">
        <v>1472</v>
      </c>
      <c r="J527">
        <v>15</v>
      </c>
      <c r="K527">
        <v>4497</v>
      </c>
      <c r="L527">
        <v>95000</v>
      </c>
      <c r="M527" t="s">
        <v>69</v>
      </c>
      <c r="N527">
        <v>67</v>
      </c>
      <c r="O527" s="2">
        <v>46234</v>
      </c>
      <c r="P527" s="2">
        <v>46331</v>
      </c>
      <c r="R527" t="s">
        <v>1478</v>
      </c>
      <c r="S527" t="str">
        <f>""</f>
        <v/>
      </c>
      <c r="T527" t="s">
        <v>41</v>
      </c>
      <c r="U527">
        <v>2648.05</v>
      </c>
      <c r="V527">
        <v>2568.61</v>
      </c>
      <c r="W527">
        <v>2568.61</v>
      </c>
      <c r="X527">
        <v>0</v>
      </c>
      <c r="Y527">
        <v>0</v>
      </c>
      <c r="Z527">
        <v>-556</v>
      </c>
      <c r="AA527">
        <v>695720</v>
      </c>
      <c r="AD527" t="s">
        <v>1474</v>
      </c>
      <c r="AE527" t="s">
        <v>1475</v>
      </c>
      <c r="AF527" t="s">
        <v>1474</v>
      </c>
      <c r="AG527" s="1" t="s">
        <v>1476</v>
      </c>
      <c r="AH527" t="s">
        <v>1462</v>
      </c>
    </row>
    <row r="528" spans="1:34" x14ac:dyDescent="0.3">
      <c r="A528">
        <v>101</v>
      </c>
      <c r="B528" t="s">
        <v>34</v>
      </c>
      <c r="C528">
        <v>2</v>
      </c>
      <c r="D528" s="1" t="s">
        <v>1479</v>
      </c>
      <c r="E528" s="1" t="s">
        <v>36</v>
      </c>
      <c r="G528">
        <v>5512</v>
      </c>
      <c r="H528" t="s">
        <v>1480</v>
      </c>
      <c r="I528" t="s">
        <v>1481</v>
      </c>
      <c r="J528">
        <v>15</v>
      </c>
      <c r="K528">
        <v>4497</v>
      </c>
      <c r="L528">
        <v>95000</v>
      </c>
      <c r="M528" t="s">
        <v>69</v>
      </c>
      <c r="N528">
        <v>67</v>
      </c>
      <c r="O528" s="2">
        <v>46203</v>
      </c>
      <c r="P528" s="2">
        <v>46308</v>
      </c>
      <c r="R528" t="s">
        <v>1482</v>
      </c>
      <c r="S528" t="str">
        <f>""</f>
        <v/>
      </c>
      <c r="T528" t="s">
        <v>41</v>
      </c>
      <c r="U528">
        <v>3253.53</v>
      </c>
      <c r="V528">
        <v>3155.92</v>
      </c>
      <c r="W528">
        <v>3155.92</v>
      </c>
      <c r="X528">
        <v>0</v>
      </c>
      <c r="Y528">
        <v>0</v>
      </c>
      <c r="Z528">
        <v>-533</v>
      </c>
      <c r="AA528">
        <v>693225</v>
      </c>
      <c r="AD528" t="s">
        <v>1459</v>
      </c>
      <c r="AE528" t="s">
        <v>1483</v>
      </c>
      <c r="AF528" t="s">
        <v>1459</v>
      </c>
      <c r="AG528" s="1" t="s">
        <v>1484</v>
      </c>
      <c r="AH528" t="s">
        <v>1462</v>
      </c>
    </row>
    <row r="529" spans="1:34" x14ac:dyDescent="0.3">
      <c r="A529">
        <v>101</v>
      </c>
      <c r="B529" t="s">
        <v>34</v>
      </c>
      <c r="C529">
        <v>2</v>
      </c>
      <c r="D529" s="1" t="s">
        <v>1485</v>
      </c>
      <c r="E529" s="1" t="s">
        <v>36</v>
      </c>
      <c r="G529">
        <v>7078</v>
      </c>
      <c r="H529" t="s">
        <v>1486</v>
      </c>
      <c r="I529" t="s">
        <v>1487</v>
      </c>
      <c r="J529">
        <v>15</v>
      </c>
      <c r="K529">
        <v>7078</v>
      </c>
      <c r="L529">
        <v>95000</v>
      </c>
      <c r="M529" t="s">
        <v>69</v>
      </c>
      <c r="N529">
        <v>67</v>
      </c>
      <c r="O529" s="2">
        <v>46190</v>
      </c>
      <c r="P529" s="2">
        <v>46310</v>
      </c>
      <c r="R529" t="s">
        <v>1488</v>
      </c>
      <c r="S529" t="str">
        <f>""</f>
        <v/>
      </c>
      <c r="T529" t="s">
        <v>41</v>
      </c>
      <c r="U529">
        <v>24048.799999999999</v>
      </c>
      <c r="V529">
        <v>21162.95</v>
      </c>
      <c r="W529">
        <v>21162.95</v>
      </c>
      <c r="X529">
        <v>0</v>
      </c>
      <c r="Y529">
        <v>0</v>
      </c>
      <c r="Z529">
        <v>-535</v>
      </c>
      <c r="AA529">
        <v>691524</v>
      </c>
      <c r="AD529" t="s">
        <v>1474</v>
      </c>
      <c r="AE529" t="s">
        <v>1489</v>
      </c>
      <c r="AF529" t="s">
        <v>1474</v>
      </c>
      <c r="AG529" s="1" t="s">
        <v>1490</v>
      </c>
      <c r="AH529" t="s">
        <v>1462</v>
      </c>
    </row>
    <row r="530" spans="1:34" x14ac:dyDescent="0.3">
      <c r="A530">
        <v>101</v>
      </c>
      <c r="B530" t="s">
        <v>34</v>
      </c>
      <c r="C530">
        <v>2</v>
      </c>
      <c r="D530" s="1" t="s">
        <v>1491</v>
      </c>
      <c r="E530" s="1" t="s">
        <v>36</v>
      </c>
      <c r="G530">
        <v>7078</v>
      </c>
      <c r="H530" t="s">
        <v>1486</v>
      </c>
      <c r="I530" t="s">
        <v>1487</v>
      </c>
      <c r="J530">
        <v>15</v>
      </c>
      <c r="K530">
        <v>7078</v>
      </c>
      <c r="L530">
        <v>95000</v>
      </c>
      <c r="M530" t="s">
        <v>69</v>
      </c>
      <c r="N530">
        <v>67</v>
      </c>
      <c r="O530" s="2">
        <v>46218</v>
      </c>
      <c r="P530" s="2">
        <v>46310</v>
      </c>
      <c r="R530" t="s">
        <v>1492</v>
      </c>
      <c r="S530" t="str">
        <f>""</f>
        <v/>
      </c>
      <c r="T530" t="s">
        <v>41</v>
      </c>
      <c r="U530">
        <v>97391.07</v>
      </c>
      <c r="V530">
        <v>93495.43</v>
      </c>
      <c r="W530">
        <v>93495.43</v>
      </c>
      <c r="X530">
        <v>0</v>
      </c>
      <c r="Y530">
        <v>0</v>
      </c>
      <c r="Z530">
        <v>-535</v>
      </c>
      <c r="AA530">
        <v>691922</v>
      </c>
      <c r="AD530" t="s">
        <v>1474</v>
      </c>
      <c r="AE530" t="s">
        <v>1489</v>
      </c>
      <c r="AF530" t="s">
        <v>1474</v>
      </c>
      <c r="AG530" s="1" t="s">
        <v>1490</v>
      </c>
      <c r="AH530" t="s">
        <v>1462</v>
      </c>
    </row>
    <row r="531" spans="1:34" x14ac:dyDescent="0.3">
      <c r="A531">
        <v>101</v>
      </c>
      <c r="B531" t="s">
        <v>34</v>
      </c>
      <c r="C531">
        <v>2</v>
      </c>
      <c r="D531" s="1" t="s">
        <v>1493</v>
      </c>
      <c r="E531" s="1" t="s">
        <v>36</v>
      </c>
      <c r="G531">
        <v>7078</v>
      </c>
      <c r="H531" t="s">
        <v>1486</v>
      </c>
      <c r="I531" t="s">
        <v>1487</v>
      </c>
      <c r="J531">
        <v>15</v>
      </c>
      <c r="K531">
        <v>7078</v>
      </c>
      <c r="L531">
        <v>95000</v>
      </c>
      <c r="M531" t="s">
        <v>69</v>
      </c>
      <c r="N531">
        <v>67</v>
      </c>
      <c r="O531" s="2">
        <v>46182</v>
      </c>
      <c r="P531" s="2">
        <v>46295</v>
      </c>
      <c r="R531" s="1" t="s">
        <v>1494</v>
      </c>
      <c r="S531" t="str">
        <f>""</f>
        <v/>
      </c>
      <c r="T531" t="s">
        <v>41</v>
      </c>
      <c r="U531">
        <v>9865.09</v>
      </c>
      <c r="V531">
        <v>8681.2900000000009</v>
      </c>
      <c r="W531">
        <v>8681.2900000000009</v>
      </c>
      <c r="X531">
        <v>0</v>
      </c>
      <c r="Y531">
        <v>0</v>
      </c>
      <c r="Z531">
        <v>-520</v>
      </c>
      <c r="AA531">
        <v>690749</v>
      </c>
      <c r="AD531" t="s">
        <v>1474</v>
      </c>
      <c r="AE531" t="s">
        <v>1489</v>
      </c>
      <c r="AF531" t="s">
        <v>1474</v>
      </c>
      <c r="AG531" s="1" t="s">
        <v>1490</v>
      </c>
      <c r="AH531" t="s">
        <v>1462</v>
      </c>
    </row>
    <row r="532" spans="1:34" x14ac:dyDescent="0.3">
      <c r="A532">
        <v>101</v>
      </c>
      <c r="B532" t="s">
        <v>34</v>
      </c>
      <c r="C532">
        <v>2</v>
      </c>
      <c r="D532" s="1" t="s">
        <v>1495</v>
      </c>
      <c r="E532" s="1" t="s">
        <v>36</v>
      </c>
      <c r="G532">
        <v>7078</v>
      </c>
      <c r="H532" t="s">
        <v>1486</v>
      </c>
      <c r="I532" t="s">
        <v>1487</v>
      </c>
      <c r="J532">
        <v>15</v>
      </c>
      <c r="K532">
        <v>7078</v>
      </c>
      <c r="L532">
        <v>95000</v>
      </c>
      <c r="M532" t="s">
        <v>69</v>
      </c>
      <c r="N532">
        <v>67</v>
      </c>
      <c r="O532" s="2">
        <v>46224</v>
      </c>
      <c r="P532" s="2">
        <v>46341</v>
      </c>
      <c r="R532" t="s">
        <v>1496</v>
      </c>
      <c r="S532" t="str">
        <f>""</f>
        <v/>
      </c>
      <c r="T532" t="s">
        <v>41</v>
      </c>
      <c r="U532">
        <v>85651.65</v>
      </c>
      <c r="V532">
        <v>82225.58</v>
      </c>
      <c r="W532">
        <v>82225.58</v>
      </c>
      <c r="X532">
        <v>0</v>
      </c>
      <c r="Y532">
        <v>0</v>
      </c>
      <c r="Z532">
        <v>-566</v>
      </c>
      <c r="AA532">
        <v>691922</v>
      </c>
      <c r="AD532" t="s">
        <v>1474</v>
      </c>
      <c r="AE532" t="s">
        <v>1489</v>
      </c>
      <c r="AF532" t="s">
        <v>1474</v>
      </c>
      <c r="AG532" s="1" t="s">
        <v>1490</v>
      </c>
      <c r="AH532" t="s">
        <v>1462</v>
      </c>
    </row>
    <row r="533" spans="1:34" x14ac:dyDescent="0.3">
      <c r="A533">
        <v>101</v>
      </c>
      <c r="B533" t="s">
        <v>34</v>
      </c>
      <c r="C533">
        <v>2</v>
      </c>
      <c r="D533" s="1" t="s">
        <v>1497</v>
      </c>
      <c r="E533" s="1" t="s">
        <v>36</v>
      </c>
      <c r="G533">
        <v>7078</v>
      </c>
      <c r="H533" t="s">
        <v>1486</v>
      </c>
      <c r="I533" t="s">
        <v>1487</v>
      </c>
      <c r="J533">
        <v>15</v>
      </c>
      <c r="K533">
        <v>7078</v>
      </c>
      <c r="L533">
        <v>95000</v>
      </c>
      <c r="M533" t="s">
        <v>69</v>
      </c>
      <c r="N533">
        <v>67</v>
      </c>
      <c r="O533" s="2">
        <v>46155</v>
      </c>
      <c r="P533" s="2">
        <v>46264</v>
      </c>
      <c r="R533" t="s">
        <v>1498</v>
      </c>
      <c r="S533" t="str">
        <f>""</f>
        <v/>
      </c>
      <c r="T533" t="s">
        <v>41</v>
      </c>
      <c r="U533">
        <v>11694.89</v>
      </c>
      <c r="V533">
        <v>10291.49</v>
      </c>
      <c r="W533">
        <v>10291.49</v>
      </c>
      <c r="X533">
        <v>0</v>
      </c>
      <c r="Y533">
        <v>0</v>
      </c>
      <c r="Z533">
        <v>-489</v>
      </c>
      <c r="AA533">
        <v>687764</v>
      </c>
      <c r="AD533" t="s">
        <v>1474</v>
      </c>
      <c r="AE533" t="s">
        <v>1489</v>
      </c>
      <c r="AF533" t="s">
        <v>1474</v>
      </c>
      <c r="AG533" s="1" t="s">
        <v>1490</v>
      </c>
      <c r="AH533" t="s">
        <v>1462</v>
      </c>
    </row>
    <row r="534" spans="1:34" x14ac:dyDescent="0.3">
      <c r="A534">
        <v>101</v>
      </c>
      <c r="B534" t="s">
        <v>34</v>
      </c>
      <c r="C534">
        <v>2</v>
      </c>
      <c r="D534" s="1" t="s">
        <v>1499</v>
      </c>
      <c r="E534" s="1" t="s">
        <v>36</v>
      </c>
      <c r="G534">
        <v>7078</v>
      </c>
      <c r="H534" t="s">
        <v>1486</v>
      </c>
      <c r="I534" t="s">
        <v>1487</v>
      </c>
      <c r="J534">
        <v>15</v>
      </c>
      <c r="K534">
        <v>7078</v>
      </c>
      <c r="L534">
        <v>95000</v>
      </c>
      <c r="M534" t="s">
        <v>69</v>
      </c>
      <c r="N534">
        <v>67</v>
      </c>
      <c r="O534" s="2">
        <v>46203</v>
      </c>
      <c r="P534" s="2">
        <v>46325</v>
      </c>
      <c r="R534" t="s">
        <v>1500</v>
      </c>
      <c r="S534" t="str">
        <f>""</f>
        <v/>
      </c>
      <c r="T534" t="s">
        <v>41</v>
      </c>
      <c r="U534">
        <v>17144.39</v>
      </c>
      <c r="V534">
        <v>15087.06</v>
      </c>
      <c r="W534">
        <v>15087.06</v>
      </c>
      <c r="X534">
        <v>0</v>
      </c>
      <c r="Y534">
        <v>0</v>
      </c>
      <c r="Z534">
        <v>-550</v>
      </c>
      <c r="AA534">
        <v>693141</v>
      </c>
      <c r="AD534" t="s">
        <v>1474</v>
      </c>
      <c r="AE534" t="s">
        <v>1489</v>
      </c>
      <c r="AF534" t="s">
        <v>1474</v>
      </c>
      <c r="AG534" s="1" t="s">
        <v>1490</v>
      </c>
      <c r="AH534" t="s">
        <v>1462</v>
      </c>
    </row>
    <row r="535" spans="1:34" x14ac:dyDescent="0.3">
      <c r="A535">
        <v>101</v>
      </c>
      <c r="B535" t="s">
        <v>34</v>
      </c>
      <c r="C535">
        <v>2</v>
      </c>
      <c r="D535" s="1" t="s">
        <v>1501</v>
      </c>
      <c r="E535" s="1" t="s">
        <v>36</v>
      </c>
      <c r="G535">
        <v>7078</v>
      </c>
      <c r="H535" t="s">
        <v>1486</v>
      </c>
      <c r="I535" t="s">
        <v>1487</v>
      </c>
      <c r="J535">
        <v>15</v>
      </c>
      <c r="K535">
        <v>7078</v>
      </c>
      <c r="L535">
        <v>95000</v>
      </c>
      <c r="M535" t="s">
        <v>69</v>
      </c>
      <c r="N535">
        <v>67</v>
      </c>
      <c r="O535" s="2">
        <v>46155</v>
      </c>
      <c r="P535" s="2">
        <v>46264</v>
      </c>
      <c r="R535" t="s">
        <v>1502</v>
      </c>
      <c r="S535" t="str">
        <f>""</f>
        <v/>
      </c>
      <c r="T535" t="s">
        <v>41</v>
      </c>
      <c r="U535">
        <v>57568.42</v>
      </c>
      <c r="V535">
        <v>55265.68</v>
      </c>
      <c r="W535">
        <v>55265.68</v>
      </c>
      <c r="X535">
        <v>0</v>
      </c>
      <c r="Y535">
        <v>0</v>
      </c>
      <c r="Z535">
        <v>-489</v>
      </c>
      <c r="AA535">
        <v>688178</v>
      </c>
      <c r="AD535" t="s">
        <v>1474</v>
      </c>
      <c r="AE535" t="s">
        <v>1489</v>
      </c>
      <c r="AF535" t="s">
        <v>1474</v>
      </c>
      <c r="AG535" s="1" t="s">
        <v>1490</v>
      </c>
      <c r="AH535" t="s">
        <v>1462</v>
      </c>
    </row>
    <row r="536" spans="1:34" x14ac:dyDescent="0.3">
      <c r="A536">
        <v>101</v>
      </c>
      <c r="B536" t="s">
        <v>34</v>
      </c>
      <c r="C536">
        <v>2</v>
      </c>
      <c r="D536" s="1" t="s">
        <v>1503</v>
      </c>
      <c r="E536" s="1" t="s">
        <v>36</v>
      </c>
      <c r="G536">
        <v>7078</v>
      </c>
      <c r="H536" t="s">
        <v>1486</v>
      </c>
      <c r="I536" t="s">
        <v>1487</v>
      </c>
      <c r="J536">
        <v>15</v>
      </c>
      <c r="K536">
        <v>7078</v>
      </c>
      <c r="L536">
        <v>95000</v>
      </c>
      <c r="M536" t="s">
        <v>69</v>
      </c>
      <c r="N536">
        <v>67</v>
      </c>
      <c r="O536" s="2">
        <v>46157</v>
      </c>
      <c r="P536" s="2">
        <v>46280</v>
      </c>
      <c r="R536" t="s">
        <v>1504</v>
      </c>
      <c r="S536" t="str">
        <f>""</f>
        <v/>
      </c>
      <c r="T536" t="s">
        <v>41</v>
      </c>
      <c r="U536">
        <v>16280.64</v>
      </c>
      <c r="V536">
        <v>14326.96</v>
      </c>
      <c r="W536">
        <v>14326.96</v>
      </c>
      <c r="X536">
        <v>0</v>
      </c>
      <c r="Y536">
        <v>0</v>
      </c>
      <c r="Z536">
        <v>-505</v>
      </c>
      <c r="AA536">
        <v>688379</v>
      </c>
      <c r="AD536" t="s">
        <v>1474</v>
      </c>
      <c r="AE536" t="s">
        <v>1489</v>
      </c>
      <c r="AF536" t="s">
        <v>1474</v>
      </c>
      <c r="AG536" s="1" t="s">
        <v>1490</v>
      </c>
      <c r="AH536" t="s">
        <v>1462</v>
      </c>
    </row>
    <row r="537" spans="1:34" x14ac:dyDescent="0.3">
      <c r="A537">
        <v>101</v>
      </c>
      <c r="B537" t="s">
        <v>34</v>
      </c>
      <c r="C537">
        <v>2</v>
      </c>
      <c r="D537" s="1" t="s">
        <v>1505</v>
      </c>
      <c r="E537" s="1" t="s">
        <v>36</v>
      </c>
      <c r="G537">
        <v>7078</v>
      </c>
      <c r="H537" t="s">
        <v>1486</v>
      </c>
      <c r="I537" t="s">
        <v>1487</v>
      </c>
      <c r="J537">
        <v>15</v>
      </c>
      <c r="K537">
        <v>7078</v>
      </c>
      <c r="L537">
        <v>95000</v>
      </c>
      <c r="M537" t="s">
        <v>69</v>
      </c>
      <c r="N537">
        <v>67</v>
      </c>
      <c r="O537" s="2">
        <v>46135</v>
      </c>
      <c r="P537" s="2">
        <v>46249</v>
      </c>
      <c r="R537" s="1" t="s">
        <v>1506</v>
      </c>
      <c r="S537" t="str">
        <f>""</f>
        <v/>
      </c>
      <c r="T537" t="s">
        <v>41</v>
      </c>
      <c r="U537">
        <v>16380.31</v>
      </c>
      <c r="V537">
        <v>5138.53</v>
      </c>
      <c r="W537">
        <v>5138.53</v>
      </c>
      <c r="X537">
        <v>0</v>
      </c>
      <c r="Y537">
        <v>0</v>
      </c>
      <c r="Z537">
        <v>-474</v>
      </c>
      <c r="AA537">
        <v>685998</v>
      </c>
      <c r="AD537" t="s">
        <v>1474</v>
      </c>
      <c r="AE537" t="s">
        <v>1489</v>
      </c>
      <c r="AF537" t="s">
        <v>1474</v>
      </c>
      <c r="AG537" s="1" t="s">
        <v>1490</v>
      </c>
      <c r="AH537" t="s">
        <v>1462</v>
      </c>
    </row>
    <row r="538" spans="1:34" x14ac:dyDescent="0.3">
      <c r="A538">
        <v>101</v>
      </c>
      <c r="B538" t="s">
        <v>34</v>
      </c>
      <c r="C538">
        <v>2</v>
      </c>
      <c r="D538" s="1" t="s">
        <v>1507</v>
      </c>
      <c r="E538" s="1" t="s">
        <v>36</v>
      </c>
      <c r="G538">
        <v>7078</v>
      </c>
      <c r="H538" t="s">
        <v>1486</v>
      </c>
      <c r="I538" t="s">
        <v>1487</v>
      </c>
      <c r="J538">
        <v>15</v>
      </c>
      <c r="K538">
        <v>7078</v>
      </c>
      <c r="L538">
        <v>95000</v>
      </c>
      <c r="M538" t="s">
        <v>69</v>
      </c>
      <c r="N538">
        <v>67</v>
      </c>
      <c r="O538" s="2">
        <v>46157</v>
      </c>
      <c r="P538" s="2">
        <v>46280</v>
      </c>
      <c r="R538" t="s">
        <v>1508</v>
      </c>
      <c r="S538" t="str">
        <f>""</f>
        <v/>
      </c>
      <c r="T538" t="s">
        <v>41</v>
      </c>
      <c r="U538">
        <v>19189.47</v>
      </c>
      <c r="V538">
        <v>18421.89</v>
      </c>
      <c r="W538">
        <v>18421.89</v>
      </c>
      <c r="X538">
        <v>0</v>
      </c>
      <c r="Y538">
        <v>0</v>
      </c>
      <c r="Z538">
        <v>-505</v>
      </c>
      <c r="AA538">
        <v>688178</v>
      </c>
      <c r="AD538" t="s">
        <v>1474</v>
      </c>
      <c r="AE538" t="s">
        <v>1489</v>
      </c>
      <c r="AF538" t="s">
        <v>1474</v>
      </c>
      <c r="AG538" s="1" t="s">
        <v>1490</v>
      </c>
      <c r="AH538" t="s">
        <v>1462</v>
      </c>
    </row>
    <row r="539" spans="1:34" x14ac:dyDescent="0.3">
      <c r="A539">
        <v>101</v>
      </c>
      <c r="B539" t="s">
        <v>34</v>
      </c>
      <c r="C539">
        <v>2</v>
      </c>
      <c r="D539" s="1" t="s">
        <v>1509</v>
      </c>
      <c r="E539" s="1" t="s">
        <v>36</v>
      </c>
      <c r="G539">
        <v>7078</v>
      </c>
      <c r="H539" t="s">
        <v>1486</v>
      </c>
      <c r="I539" t="s">
        <v>1487</v>
      </c>
      <c r="J539">
        <v>15</v>
      </c>
      <c r="K539">
        <v>7078</v>
      </c>
      <c r="L539">
        <v>95000</v>
      </c>
      <c r="M539" t="s">
        <v>69</v>
      </c>
      <c r="N539">
        <v>67</v>
      </c>
      <c r="O539" s="2">
        <v>46163</v>
      </c>
      <c r="P539" s="2">
        <v>46280</v>
      </c>
      <c r="R539" t="s">
        <v>1510</v>
      </c>
      <c r="S539" t="str">
        <f>""</f>
        <v/>
      </c>
      <c r="T539" t="s">
        <v>41</v>
      </c>
      <c r="U539">
        <v>7571.5</v>
      </c>
      <c r="V539">
        <v>6662.92</v>
      </c>
      <c r="W539">
        <v>6662.92</v>
      </c>
      <c r="X539">
        <v>0</v>
      </c>
      <c r="Y539">
        <v>0</v>
      </c>
      <c r="Z539">
        <v>-505</v>
      </c>
      <c r="AA539">
        <v>688628</v>
      </c>
      <c r="AD539" t="s">
        <v>1474</v>
      </c>
      <c r="AE539" t="s">
        <v>1489</v>
      </c>
      <c r="AF539" t="s">
        <v>1474</v>
      </c>
      <c r="AG539" s="1" t="s">
        <v>1490</v>
      </c>
      <c r="AH539" t="s">
        <v>1462</v>
      </c>
    </row>
    <row r="540" spans="1:34" x14ac:dyDescent="0.3">
      <c r="A540">
        <v>101</v>
      </c>
      <c r="B540" t="s">
        <v>34</v>
      </c>
      <c r="C540">
        <v>2</v>
      </c>
      <c r="D540" s="1" t="s">
        <v>1511</v>
      </c>
      <c r="E540" s="1" t="s">
        <v>36</v>
      </c>
      <c r="G540">
        <v>7078</v>
      </c>
      <c r="H540" t="s">
        <v>1486</v>
      </c>
      <c r="I540" t="s">
        <v>1487</v>
      </c>
      <c r="J540">
        <v>15</v>
      </c>
      <c r="K540">
        <v>7078</v>
      </c>
      <c r="L540">
        <v>95000</v>
      </c>
      <c r="M540" t="s">
        <v>69</v>
      </c>
      <c r="N540">
        <v>67</v>
      </c>
      <c r="O540" s="2">
        <v>46254</v>
      </c>
      <c r="P540" s="2">
        <v>46314</v>
      </c>
      <c r="R540" t="s">
        <v>1512</v>
      </c>
      <c r="S540" t="str">
        <f>""</f>
        <v/>
      </c>
      <c r="T540" t="s">
        <v>41</v>
      </c>
      <c r="U540">
        <v>25737.07</v>
      </c>
      <c r="V540">
        <v>22648.63</v>
      </c>
      <c r="W540">
        <v>22648.63</v>
      </c>
      <c r="X540">
        <v>0</v>
      </c>
      <c r="Y540">
        <v>0</v>
      </c>
      <c r="Z540">
        <v>-539</v>
      </c>
      <c r="AA540">
        <v>1254</v>
      </c>
      <c r="AD540" t="s">
        <v>1474</v>
      </c>
      <c r="AE540" t="s">
        <v>1489</v>
      </c>
      <c r="AF540" t="s">
        <v>1474</v>
      </c>
      <c r="AG540" s="1" t="s">
        <v>1490</v>
      </c>
      <c r="AH540" t="s">
        <v>1462</v>
      </c>
    </row>
    <row r="541" spans="1:34" x14ac:dyDescent="0.3">
      <c r="A541">
        <v>101</v>
      </c>
      <c r="B541" t="s">
        <v>34</v>
      </c>
      <c r="C541">
        <v>2</v>
      </c>
      <c r="D541" s="1" t="s">
        <v>1513</v>
      </c>
      <c r="E541" s="1" t="s">
        <v>36</v>
      </c>
      <c r="G541">
        <v>7078</v>
      </c>
      <c r="H541" t="s">
        <v>1486</v>
      </c>
      <c r="I541" t="s">
        <v>1487</v>
      </c>
      <c r="J541">
        <v>15</v>
      </c>
      <c r="K541">
        <v>7078</v>
      </c>
      <c r="L541">
        <v>95000</v>
      </c>
      <c r="M541" t="s">
        <v>69</v>
      </c>
      <c r="N541">
        <v>67</v>
      </c>
      <c r="O541" s="2">
        <v>46254</v>
      </c>
      <c r="P541" s="2">
        <v>46314</v>
      </c>
      <c r="R541" t="s">
        <v>1514</v>
      </c>
      <c r="S541" t="str">
        <f>""</f>
        <v/>
      </c>
      <c r="T541" t="s">
        <v>41</v>
      </c>
      <c r="U541">
        <v>73803.11</v>
      </c>
      <c r="V541">
        <v>70850.990000000005</v>
      </c>
      <c r="W541">
        <v>70850.990000000005</v>
      </c>
      <c r="X541">
        <v>0</v>
      </c>
      <c r="Y541">
        <v>0</v>
      </c>
      <c r="Z541">
        <v>-539</v>
      </c>
      <c r="AA541">
        <v>1258</v>
      </c>
      <c r="AD541" t="s">
        <v>1474</v>
      </c>
      <c r="AE541" t="s">
        <v>1489</v>
      </c>
      <c r="AF541" t="s">
        <v>1474</v>
      </c>
      <c r="AG541" s="1" t="s">
        <v>1490</v>
      </c>
      <c r="AH541" t="s">
        <v>1462</v>
      </c>
    </row>
    <row r="542" spans="1:34" x14ac:dyDescent="0.3">
      <c r="A542">
        <v>101</v>
      </c>
      <c r="B542" t="s">
        <v>34</v>
      </c>
      <c r="C542">
        <v>2</v>
      </c>
      <c r="D542" s="1" t="s">
        <v>1515</v>
      </c>
      <c r="E542" s="1" t="s">
        <v>36</v>
      </c>
      <c r="G542">
        <v>7078</v>
      </c>
      <c r="H542" t="s">
        <v>1486</v>
      </c>
      <c r="I542" t="s">
        <v>1487</v>
      </c>
      <c r="J542">
        <v>15</v>
      </c>
      <c r="K542">
        <v>7078</v>
      </c>
      <c r="L542">
        <v>95000</v>
      </c>
      <c r="M542" t="s">
        <v>69</v>
      </c>
      <c r="N542">
        <v>67</v>
      </c>
      <c r="O542" s="2">
        <v>46254</v>
      </c>
      <c r="P542" s="2">
        <v>46314</v>
      </c>
      <c r="R542" t="s">
        <v>1516</v>
      </c>
      <c r="S542" t="str">
        <f>""</f>
        <v/>
      </c>
      <c r="T542" t="s">
        <v>41</v>
      </c>
      <c r="U542">
        <v>21811.25</v>
      </c>
      <c r="V542">
        <v>19193.900000000001</v>
      </c>
      <c r="W542">
        <v>19193.900000000001</v>
      </c>
      <c r="X542">
        <v>0</v>
      </c>
      <c r="Y542">
        <v>0</v>
      </c>
      <c r="Z542">
        <v>-539</v>
      </c>
      <c r="AA542">
        <v>1874</v>
      </c>
      <c r="AD542" t="s">
        <v>1474</v>
      </c>
      <c r="AE542" t="s">
        <v>1489</v>
      </c>
      <c r="AF542" t="s">
        <v>1474</v>
      </c>
      <c r="AG542" s="1" t="s">
        <v>1490</v>
      </c>
      <c r="AH542" t="s">
        <v>1462</v>
      </c>
    </row>
    <row r="543" spans="1:34" x14ac:dyDescent="0.3">
      <c r="A543">
        <v>101</v>
      </c>
      <c r="B543" t="s">
        <v>34</v>
      </c>
      <c r="C543">
        <v>2</v>
      </c>
      <c r="D543" s="1" t="s">
        <v>1517</v>
      </c>
      <c r="E543" s="1" t="s">
        <v>36</v>
      </c>
      <c r="G543">
        <v>7078</v>
      </c>
      <c r="H543" t="s">
        <v>1486</v>
      </c>
      <c r="I543" t="s">
        <v>1487</v>
      </c>
      <c r="J543">
        <v>15</v>
      </c>
      <c r="K543">
        <v>7078</v>
      </c>
      <c r="L543">
        <v>95000</v>
      </c>
      <c r="M543" t="s">
        <v>69</v>
      </c>
      <c r="N543">
        <v>67</v>
      </c>
      <c r="O543" s="2">
        <v>46254</v>
      </c>
      <c r="P543" s="2">
        <v>46314</v>
      </c>
      <c r="R543" t="s">
        <v>1518</v>
      </c>
      <c r="S543" t="str">
        <f>""</f>
        <v/>
      </c>
      <c r="T543" t="s">
        <v>41</v>
      </c>
      <c r="U543">
        <v>1992.69</v>
      </c>
      <c r="V543">
        <v>1912.98</v>
      </c>
      <c r="W543">
        <v>1912.98</v>
      </c>
      <c r="X543">
        <v>0</v>
      </c>
      <c r="Y543">
        <v>0</v>
      </c>
      <c r="Z543">
        <v>-539</v>
      </c>
      <c r="AA543">
        <v>691922</v>
      </c>
      <c r="AD543" t="s">
        <v>1474</v>
      </c>
      <c r="AE543" t="s">
        <v>1489</v>
      </c>
      <c r="AF543" t="s">
        <v>1474</v>
      </c>
      <c r="AG543" s="1" t="s">
        <v>1490</v>
      </c>
      <c r="AH543" t="s">
        <v>1462</v>
      </c>
    </row>
    <row r="544" spans="1:34" x14ac:dyDescent="0.3">
      <c r="A544">
        <v>101</v>
      </c>
      <c r="B544" t="s">
        <v>34</v>
      </c>
      <c r="C544">
        <v>2</v>
      </c>
      <c r="D544" s="1" t="s">
        <v>1519</v>
      </c>
      <c r="E544" s="1" t="s">
        <v>36</v>
      </c>
      <c r="G544">
        <v>7078</v>
      </c>
      <c r="H544" t="s">
        <v>1486</v>
      </c>
      <c r="I544" t="s">
        <v>1487</v>
      </c>
      <c r="J544">
        <v>15</v>
      </c>
      <c r="K544">
        <v>7078</v>
      </c>
      <c r="L544">
        <v>95000</v>
      </c>
      <c r="M544" t="s">
        <v>69</v>
      </c>
      <c r="N544">
        <v>67</v>
      </c>
      <c r="O544" s="2">
        <v>46254</v>
      </c>
      <c r="P544" s="2">
        <v>46314</v>
      </c>
      <c r="R544" t="s">
        <v>1520</v>
      </c>
      <c r="S544" t="str">
        <f>""</f>
        <v/>
      </c>
      <c r="T544" t="s">
        <v>41</v>
      </c>
      <c r="U544">
        <v>36901.550000000003</v>
      </c>
      <c r="V544">
        <v>35425.49</v>
      </c>
      <c r="W544">
        <v>35425.49</v>
      </c>
      <c r="X544">
        <v>0</v>
      </c>
      <c r="Y544">
        <v>0</v>
      </c>
      <c r="Z544">
        <v>-539</v>
      </c>
      <c r="AA544">
        <v>1258</v>
      </c>
      <c r="AD544" t="s">
        <v>1474</v>
      </c>
      <c r="AE544" t="s">
        <v>1489</v>
      </c>
      <c r="AF544" t="s">
        <v>1474</v>
      </c>
      <c r="AG544" s="1" t="s">
        <v>1490</v>
      </c>
      <c r="AH544" t="s">
        <v>1462</v>
      </c>
    </row>
    <row r="545" spans="1:34" x14ac:dyDescent="0.3">
      <c r="A545">
        <v>101</v>
      </c>
      <c r="B545" t="s">
        <v>34</v>
      </c>
      <c r="C545">
        <v>2</v>
      </c>
      <c r="D545" s="1" t="s">
        <v>1521</v>
      </c>
      <c r="E545" s="1" t="s">
        <v>36</v>
      </c>
      <c r="G545">
        <v>9321</v>
      </c>
      <c r="H545" t="s">
        <v>1522</v>
      </c>
      <c r="I545" t="s">
        <v>502</v>
      </c>
      <c r="J545">
        <v>15</v>
      </c>
      <c r="K545">
        <v>9321</v>
      </c>
      <c r="L545">
        <v>95000</v>
      </c>
      <c r="M545" t="s">
        <v>69</v>
      </c>
      <c r="N545">
        <v>67</v>
      </c>
      <c r="O545" s="2">
        <v>46183</v>
      </c>
      <c r="P545" s="2">
        <v>46288</v>
      </c>
      <c r="R545" t="s">
        <v>1523</v>
      </c>
      <c r="S545" t="str">
        <f>""</f>
        <v/>
      </c>
      <c r="T545" t="s">
        <v>41</v>
      </c>
      <c r="U545">
        <v>69497.2</v>
      </c>
      <c r="V545">
        <v>67064.800000000003</v>
      </c>
      <c r="W545">
        <v>67064.800000000003</v>
      </c>
      <c r="X545">
        <v>0</v>
      </c>
      <c r="Y545">
        <v>0</v>
      </c>
      <c r="Z545">
        <v>-513</v>
      </c>
      <c r="AA545">
        <v>690927</v>
      </c>
      <c r="AD545" t="s">
        <v>1524</v>
      </c>
      <c r="AE545" t="s">
        <v>1460</v>
      </c>
      <c r="AF545" t="s">
        <v>1524</v>
      </c>
      <c r="AG545" s="1" t="s">
        <v>1525</v>
      </c>
      <c r="AH545" t="s">
        <v>1462</v>
      </c>
    </row>
    <row r="546" spans="1:34" x14ac:dyDescent="0.3">
      <c r="A546">
        <v>101</v>
      </c>
      <c r="B546" t="s">
        <v>34</v>
      </c>
      <c r="C546">
        <v>2</v>
      </c>
      <c r="D546" s="1" t="s">
        <v>1526</v>
      </c>
      <c r="E546" s="1" t="s">
        <v>36</v>
      </c>
      <c r="G546">
        <v>9321</v>
      </c>
      <c r="H546" t="s">
        <v>1522</v>
      </c>
      <c r="I546" t="s">
        <v>502</v>
      </c>
      <c r="J546">
        <v>15</v>
      </c>
      <c r="K546">
        <v>9321</v>
      </c>
      <c r="L546">
        <v>95000</v>
      </c>
      <c r="M546" t="s">
        <v>69</v>
      </c>
      <c r="N546">
        <v>67</v>
      </c>
      <c r="O546" s="2">
        <v>46197</v>
      </c>
      <c r="P546" s="2">
        <v>46302</v>
      </c>
      <c r="R546" t="s">
        <v>1527</v>
      </c>
      <c r="S546" t="str">
        <f>""</f>
        <v/>
      </c>
      <c r="T546" t="s">
        <v>41</v>
      </c>
      <c r="U546">
        <v>71350.2</v>
      </c>
      <c r="V546">
        <v>68852.94</v>
      </c>
      <c r="W546">
        <v>68852.94</v>
      </c>
      <c r="X546">
        <v>0</v>
      </c>
      <c r="Y546">
        <v>0</v>
      </c>
      <c r="Z546">
        <v>-527</v>
      </c>
      <c r="AA546">
        <v>692089</v>
      </c>
      <c r="AD546" t="s">
        <v>1524</v>
      </c>
      <c r="AE546" t="s">
        <v>1460</v>
      </c>
      <c r="AF546" t="s">
        <v>1524</v>
      </c>
      <c r="AG546" s="1" t="s">
        <v>1525</v>
      </c>
      <c r="AH546" t="s">
        <v>1462</v>
      </c>
    </row>
    <row r="547" spans="1:34" x14ac:dyDescent="0.3">
      <c r="A547">
        <v>101</v>
      </c>
      <c r="B547" t="s">
        <v>34</v>
      </c>
      <c r="C547">
        <v>2</v>
      </c>
      <c r="D547" s="1" t="s">
        <v>1528</v>
      </c>
      <c r="E547" s="1" t="s">
        <v>36</v>
      </c>
      <c r="G547">
        <v>9321</v>
      </c>
      <c r="H547" t="s">
        <v>1522</v>
      </c>
      <c r="I547" t="s">
        <v>502</v>
      </c>
      <c r="J547">
        <v>15</v>
      </c>
      <c r="K547">
        <v>9321</v>
      </c>
      <c r="L547">
        <v>95000</v>
      </c>
      <c r="M547" t="s">
        <v>69</v>
      </c>
      <c r="N547">
        <v>67</v>
      </c>
      <c r="O547" s="2">
        <v>46227</v>
      </c>
      <c r="P547" s="2">
        <v>46330</v>
      </c>
      <c r="R547" t="s">
        <v>1529</v>
      </c>
      <c r="S547" t="str">
        <f>""</f>
        <v/>
      </c>
      <c r="T547" t="s">
        <v>41</v>
      </c>
      <c r="U547">
        <v>202456.25</v>
      </c>
      <c r="V547">
        <v>195370.28</v>
      </c>
      <c r="W547">
        <v>195370.28</v>
      </c>
      <c r="X547">
        <v>0</v>
      </c>
      <c r="Y547">
        <v>0</v>
      </c>
      <c r="Z547">
        <v>-555</v>
      </c>
      <c r="AA547">
        <v>1559</v>
      </c>
      <c r="AD547" t="s">
        <v>1524</v>
      </c>
      <c r="AE547" t="s">
        <v>1460</v>
      </c>
      <c r="AF547" t="s">
        <v>1524</v>
      </c>
      <c r="AG547" s="1" t="s">
        <v>1525</v>
      </c>
      <c r="AH547" t="s">
        <v>1462</v>
      </c>
    </row>
    <row r="548" spans="1:34" x14ac:dyDescent="0.3">
      <c r="A548">
        <v>101</v>
      </c>
      <c r="B548" t="s">
        <v>34</v>
      </c>
      <c r="C548">
        <v>2</v>
      </c>
      <c r="D548" s="1" t="s">
        <v>1530</v>
      </c>
      <c r="E548" s="1" t="s">
        <v>36</v>
      </c>
      <c r="G548">
        <v>10734</v>
      </c>
      <c r="H548" t="s">
        <v>1531</v>
      </c>
      <c r="I548" t="s">
        <v>1472</v>
      </c>
      <c r="J548">
        <v>15</v>
      </c>
      <c r="K548">
        <v>4497</v>
      </c>
      <c r="L548">
        <v>95000</v>
      </c>
      <c r="M548" t="s">
        <v>69</v>
      </c>
      <c r="N548">
        <v>67</v>
      </c>
      <c r="O548" s="2">
        <v>46203</v>
      </c>
      <c r="P548" s="2">
        <v>46308</v>
      </c>
      <c r="R548" t="s">
        <v>1532</v>
      </c>
      <c r="S548" t="str">
        <f>""</f>
        <v/>
      </c>
      <c r="T548" t="s">
        <v>41</v>
      </c>
      <c r="U548">
        <v>1331.1</v>
      </c>
      <c r="V548">
        <v>1291.17</v>
      </c>
      <c r="W548">
        <v>1291.17</v>
      </c>
      <c r="X548">
        <v>0</v>
      </c>
      <c r="Y548">
        <v>0</v>
      </c>
      <c r="Z548">
        <v>-533</v>
      </c>
      <c r="AA548">
        <v>693227</v>
      </c>
      <c r="AD548" t="s">
        <v>1533</v>
      </c>
      <c r="AE548" t="s">
        <v>1534</v>
      </c>
      <c r="AF548" t="s">
        <v>1533</v>
      </c>
      <c r="AG548" s="1" t="s">
        <v>1535</v>
      </c>
      <c r="AH548" t="s">
        <v>1462</v>
      </c>
    </row>
    <row r="549" spans="1:34" x14ac:dyDescent="0.3">
      <c r="A549">
        <v>101</v>
      </c>
      <c r="B549" t="s">
        <v>34</v>
      </c>
      <c r="C549">
        <v>2</v>
      </c>
      <c r="D549" s="1" t="s">
        <v>1536</v>
      </c>
      <c r="E549" s="1" t="s">
        <v>36</v>
      </c>
      <c r="G549">
        <v>12018</v>
      </c>
      <c r="H549" t="s">
        <v>1537</v>
      </c>
      <c r="I549" t="s">
        <v>1538</v>
      </c>
      <c r="J549">
        <v>12</v>
      </c>
      <c r="K549">
        <v>12018</v>
      </c>
      <c r="L549">
        <v>50033</v>
      </c>
      <c r="M549" t="s">
        <v>39</v>
      </c>
      <c r="N549">
        <v>67</v>
      </c>
      <c r="O549" s="2">
        <v>46227</v>
      </c>
      <c r="P549" s="2">
        <v>46257</v>
      </c>
      <c r="R549" t="s">
        <v>1539</v>
      </c>
      <c r="S549" t="str">
        <f>"0000050410792"</f>
        <v>0000050410792</v>
      </c>
      <c r="T549" t="s">
        <v>41</v>
      </c>
      <c r="U549">
        <v>1145.05</v>
      </c>
      <c r="V549">
        <v>1145.05</v>
      </c>
      <c r="W549">
        <v>1145.05</v>
      </c>
      <c r="X549">
        <v>0</v>
      </c>
      <c r="Y549">
        <v>0</v>
      </c>
      <c r="Z549">
        <v>-482</v>
      </c>
      <c r="AA549">
        <v>693671</v>
      </c>
      <c r="AD549" t="s">
        <v>1540</v>
      </c>
      <c r="AE549" t="s">
        <v>1541</v>
      </c>
      <c r="AF549" t="s">
        <v>1540</v>
      </c>
      <c r="AG549">
        <v>71151161000124</v>
      </c>
      <c r="AH549" t="s">
        <v>1462</v>
      </c>
    </row>
    <row r="550" spans="1:34" x14ac:dyDescent="0.3">
      <c r="A550">
        <v>101</v>
      </c>
      <c r="B550" t="s">
        <v>34</v>
      </c>
      <c r="C550">
        <v>2</v>
      </c>
      <c r="D550" s="1" t="s">
        <v>1536</v>
      </c>
      <c r="E550" s="1" t="s">
        <v>122</v>
      </c>
      <c r="G550">
        <v>12018</v>
      </c>
      <c r="H550" t="s">
        <v>1537</v>
      </c>
      <c r="I550" t="s">
        <v>1538</v>
      </c>
      <c r="J550">
        <v>12</v>
      </c>
      <c r="K550">
        <v>12018</v>
      </c>
      <c r="L550">
        <v>50033</v>
      </c>
      <c r="M550" t="s">
        <v>39</v>
      </c>
      <c r="N550">
        <v>67</v>
      </c>
      <c r="O550" s="2">
        <v>46227</v>
      </c>
      <c r="P550" s="2">
        <v>46287</v>
      </c>
      <c r="R550" t="s">
        <v>1539</v>
      </c>
      <c r="S550" t="str">
        <f>"0000050410806"</f>
        <v>0000050410806</v>
      </c>
      <c r="T550" t="s">
        <v>41</v>
      </c>
      <c r="U550">
        <v>949.61</v>
      </c>
      <c r="V550">
        <v>949.61</v>
      </c>
      <c r="W550">
        <v>949.61</v>
      </c>
      <c r="X550">
        <v>0</v>
      </c>
      <c r="Y550">
        <v>0</v>
      </c>
      <c r="Z550">
        <v>-512</v>
      </c>
      <c r="AA550">
        <v>693671</v>
      </c>
      <c r="AD550" t="s">
        <v>1540</v>
      </c>
      <c r="AE550" t="s">
        <v>1541</v>
      </c>
      <c r="AF550" t="s">
        <v>1540</v>
      </c>
      <c r="AG550">
        <v>71151161000124</v>
      </c>
      <c r="AH550" t="s">
        <v>1462</v>
      </c>
    </row>
    <row r="551" spans="1:34" x14ac:dyDescent="0.3">
      <c r="A551">
        <v>101</v>
      </c>
      <c r="B551" t="s">
        <v>34</v>
      </c>
      <c r="C551">
        <v>2</v>
      </c>
      <c r="D551" s="1" t="s">
        <v>1536</v>
      </c>
      <c r="E551" s="1" t="s">
        <v>116</v>
      </c>
      <c r="G551">
        <v>12018</v>
      </c>
      <c r="H551" t="s">
        <v>1537</v>
      </c>
      <c r="I551" t="s">
        <v>1538</v>
      </c>
      <c r="J551">
        <v>12</v>
      </c>
      <c r="K551">
        <v>12018</v>
      </c>
      <c r="L551">
        <v>50033</v>
      </c>
      <c r="M551" t="s">
        <v>39</v>
      </c>
      <c r="N551">
        <v>67</v>
      </c>
      <c r="O551" s="2">
        <v>46227</v>
      </c>
      <c r="P551" s="2">
        <v>46317</v>
      </c>
      <c r="R551" t="s">
        <v>1539</v>
      </c>
      <c r="S551" t="str">
        <f>"0000050410814"</f>
        <v>0000050410814</v>
      </c>
      <c r="T551" t="s">
        <v>41</v>
      </c>
      <c r="U551">
        <v>949.88</v>
      </c>
      <c r="V551">
        <v>949.88</v>
      </c>
      <c r="W551">
        <v>949.88</v>
      </c>
      <c r="X551">
        <v>0</v>
      </c>
      <c r="Y551">
        <v>0</v>
      </c>
      <c r="Z551">
        <v>-542</v>
      </c>
      <c r="AA551">
        <v>693671</v>
      </c>
      <c r="AD551" t="s">
        <v>1540</v>
      </c>
      <c r="AE551" t="s">
        <v>1541</v>
      </c>
      <c r="AF551" t="s">
        <v>1540</v>
      </c>
      <c r="AG551">
        <v>71151161000124</v>
      </c>
      <c r="AH551" t="s">
        <v>1462</v>
      </c>
    </row>
    <row r="552" spans="1:34" x14ac:dyDescent="0.3">
      <c r="A552">
        <v>101</v>
      </c>
      <c r="B552" t="s">
        <v>34</v>
      </c>
      <c r="C552">
        <v>2</v>
      </c>
      <c r="D552" s="1" t="s">
        <v>1542</v>
      </c>
      <c r="E552" s="1" t="s">
        <v>36</v>
      </c>
      <c r="G552">
        <v>12162</v>
      </c>
      <c r="H552" t="s">
        <v>1543</v>
      </c>
      <c r="I552" t="s">
        <v>1481</v>
      </c>
      <c r="J552">
        <v>15</v>
      </c>
      <c r="K552">
        <v>4497</v>
      </c>
      <c r="L552">
        <v>95000</v>
      </c>
      <c r="M552" t="s">
        <v>69</v>
      </c>
      <c r="N552">
        <v>67</v>
      </c>
      <c r="O552" s="2">
        <v>46203</v>
      </c>
      <c r="P552" s="2">
        <v>46300</v>
      </c>
      <c r="R552" t="s">
        <v>1544</v>
      </c>
      <c r="S552" t="str">
        <f>""</f>
        <v/>
      </c>
      <c r="T552" t="s">
        <v>41</v>
      </c>
      <c r="U552">
        <v>1276.78</v>
      </c>
      <c r="V552">
        <v>1238.48</v>
      </c>
      <c r="W552">
        <v>1238.48</v>
      </c>
      <c r="X552">
        <v>0</v>
      </c>
      <c r="Y552">
        <v>0</v>
      </c>
      <c r="Z552">
        <v>-525</v>
      </c>
      <c r="AA552">
        <v>693231</v>
      </c>
      <c r="AD552" t="s">
        <v>1545</v>
      </c>
      <c r="AE552" t="s">
        <v>1546</v>
      </c>
      <c r="AF552" t="s">
        <v>1545</v>
      </c>
      <c r="AG552" s="1" t="s">
        <v>1547</v>
      </c>
      <c r="AH552" t="s">
        <v>1462</v>
      </c>
    </row>
    <row r="553" spans="1:34" x14ac:dyDescent="0.3">
      <c r="A553">
        <v>101</v>
      </c>
      <c r="B553" t="s">
        <v>34</v>
      </c>
      <c r="C553">
        <v>2</v>
      </c>
      <c r="D553" s="1" t="s">
        <v>1548</v>
      </c>
      <c r="E553" s="1" t="s">
        <v>36</v>
      </c>
      <c r="G553">
        <v>410416</v>
      </c>
      <c r="H553" t="s">
        <v>1549</v>
      </c>
      <c r="I553" t="s">
        <v>1472</v>
      </c>
      <c r="J553">
        <v>15</v>
      </c>
      <c r="K553">
        <v>4497</v>
      </c>
      <c r="L553">
        <v>95000</v>
      </c>
      <c r="M553" t="s">
        <v>69</v>
      </c>
      <c r="N553">
        <v>67</v>
      </c>
      <c r="O553" s="2">
        <v>46203</v>
      </c>
      <c r="P553" s="2">
        <v>46308</v>
      </c>
      <c r="R553" t="s">
        <v>1550</v>
      </c>
      <c r="S553" t="str">
        <f>""</f>
        <v/>
      </c>
      <c r="T553" t="s">
        <v>41</v>
      </c>
      <c r="U553">
        <v>2532.54</v>
      </c>
      <c r="V553">
        <v>2456.56</v>
      </c>
      <c r="W553">
        <v>2456.56</v>
      </c>
      <c r="X553">
        <v>0</v>
      </c>
      <c r="Y553">
        <v>0</v>
      </c>
      <c r="Z553">
        <v>-533</v>
      </c>
      <c r="AA553">
        <v>693239</v>
      </c>
      <c r="AD553" t="s">
        <v>1459</v>
      </c>
      <c r="AE553" t="s">
        <v>1551</v>
      </c>
      <c r="AF553" t="s">
        <v>1459</v>
      </c>
      <c r="AG553" s="1" t="s">
        <v>1552</v>
      </c>
      <c r="AH553" t="s">
        <v>1462</v>
      </c>
    </row>
    <row r="554" spans="1:34" x14ac:dyDescent="0.3">
      <c r="A554">
        <v>101</v>
      </c>
      <c r="B554" t="s">
        <v>34</v>
      </c>
      <c r="C554">
        <v>2</v>
      </c>
      <c r="D554" s="1" t="s">
        <v>1553</v>
      </c>
      <c r="E554" s="1" t="s">
        <v>36</v>
      </c>
      <c r="G554">
        <v>433568</v>
      </c>
      <c r="H554" t="s">
        <v>1554</v>
      </c>
      <c r="I554" t="s">
        <v>1472</v>
      </c>
      <c r="J554">
        <v>15</v>
      </c>
      <c r="K554">
        <v>4497</v>
      </c>
      <c r="L554">
        <v>95000</v>
      </c>
      <c r="M554" t="s">
        <v>69</v>
      </c>
      <c r="N554">
        <v>67</v>
      </c>
      <c r="O554" s="2">
        <v>46203</v>
      </c>
      <c r="P554" s="2">
        <v>46300</v>
      </c>
      <c r="R554" t="s">
        <v>1555</v>
      </c>
      <c r="S554" t="str">
        <f>""</f>
        <v/>
      </c>
      <c r="T554" t="s">
        <v>41</v>
      </c>
      <c r="U554">
        <v>5756.55</v>
      </c>
      <c r="V554">
        <v>5583.85</v>
      </c>
      <c r="W554">
        <v>5583.85</v>
      </c>
      <c r="X554">
        <v>0</v>
      </c>
      <c r="Y554">
        <v>0</v>
      </c>
      <c r="Z554">
        <v>-525</v>
      </c>
      <c r="AA554">
        <v>693241</v>
      </c>
      <c r="AD554" t="s">
        <v>1556</v>
      </c>
      <c r="AE554" t="s">
        <v>1557</v>
      </c>
      <c r="AF554" t="s">
        <v>1556</v>
      </c>
      <c r="AG554" s="1" t="s">
        <v>1558</v>
      </c>
      <c r="AH554" t="s">
        <v>1462</v>
      </c>
    </row>
    <row r="555" spans="1:34" x14ac:dyDescent="0.3">
      <c r="A555">
        <v>101</v>
      </c>
      <c r="B555" t="s">
        <v>34</v>
      </c>
      <c r="C555">
        <v>2</v>
      </c>
      <c r="D555" s="1" t="s">
        <v>1559</v>
      </c>
      <c r="E555" s="1" t="s">
        <v>36</v>
      </c>
      <c r="G555">
        <v>433662</v>
      </c>
      <c r="H555" t="s">
        <v>1560</v>
      </c>
      <c r="I555" t="s">
        <v>1561</v>
      </c>
      <c r="J555">
        <v>15</v>
      </c>
      <c r="K555">
        <v>4497</v>
      </c>
      <c r="L555">
        <v>95000</v>
      </c>
      <c r="M555" t="s">
        <v>69</v>
      </c>
      <c r="N555">
        <v>67</v>
      </c>
      <c r="O555" s="2">
        <v>46203</v>
      </c>
      <c r="P555" s="2">
        <v>46310</v>
      </c>
      <c r="R555" t="s">
        <v>1562</v>
      </c>
      <c r="S555" t="str">
        <f>""</f>
        <v/>
      </c>
      <c r="T555" t="s">
        <v>41</v>
      </c>
      <c r="U555">
        <v>4564.93</v>
      </c>
      <c r="V555">
        <v>4427.9799999999996</v>
      </c>
      <c r="W555">
        <v>4427.9799999999996</v>
      </c>
      <c r="X555">
        <v>0</v>
      </c>
      <c r="Y555">
        <v>0</v>
      </c>
      <c r="Z555">
        <v>-535</v>
      </c>
      <c r="AA555">
        <v>693243</v>
      </c>
      <c r="AD555" t="s">
        <v>1563</v>
      </c>
      <c r="AE555" t="s">
        <v>1564</v>
      </c>
      <c r="AF555" t="s">
        <v>1563</v>
      </c>
      <c r="AG555" s="1" t="s">
        <v>1565</v>
      </c>
      <c r="AH555" t="s">
        <v>1462</v>
      </c>
    </row>
    <row r="556" spans="1:34" x14ac:dyDescent="0.3">
      <c r="A556">
        <v>101</v>
      </c>
      <c r="B556" t="s">
        <v>34</v>
      </c>
      <c r="C556">
        <v>2</v>
      </c>
      <c r="D556" s="1" t="s">
        <v>1566</v>
      </c>
      <c r="E556" s="1" t="s">
        <v>36</v>
      </c>
      <c r="G556">
        <v>433662</v>
      </c>
      <c r="H556" t="s">
        <v>1560</v>
      </c>
      <c r="I556" t="s">
        <v>1561</v>
      </c>
      <c r="J556">
        <v>15</v>
      </c>
      <c r="K556">
        <v>4497</v>
      </c>
      <c r="L556">
        <v>95000</v>
      </c>
      <c r="M556" t="s">
        <v>69</v>
      </c>
      <c r="N556">
        <v>67</v>
      </c>
      <c r="O556" s="2">
        <v>46234</v>
      </c>
      <c r="P556" s="2">
        <v>46336</v>
      </c>
      <c r="R556" t="s">
        <v>1567</v>
      </c>
      <c r="S556" t="str">
        <f>""</f>
        <v/>
      </c>
      <c r="T556" t="s">
        <v>41</v>
      </c>
      <c r="U556">
        <v>7553.7</v>
      </c>
      <c r="V556">
        <v>7327.09</v>
      </c>
      <c r="W556">
        <v>7327.09</v>
      </c>
      <c r="X556">
        <v>0</v>
      </c>
      <c r="Y556">
        <v>0</v>
      </c>
      <c r="Z556">
        <v>-561</v>
      </c>
      <c r="AA556">
        <v>695724</v>
      </c>
      <c r="AD556" t="s">
        <v>1563</v>
      </c>
      <c r="AE556" t="s">
        <v>1564</v>
      </c>
      <c r="AF556" t="s">
        <v>1563</v>
      </c>
      <c r="AG556" s="1" t="s">
        <v>1565</v>
      </c>
      <c r="AH556" t="s">
        <v>1462</v>
      </c>
    </row>
    <row r="557" spans="1:34" x14ac:dyDescent="0.3">
      <c r="A557">
        <v>101</v>
      </c>
      <c r="B557" t="s">
        <v>34</v>
      </c>
      <c r="C557">
        <v>2</v>
      </c>
      <c r="D557" s="1" t="s">
        <v>1568</v>
      </c>
      <c r="E557" s="1" t="s">
        <v>36</v>
      </c>
      <c r="G557">
        <v>433698</v>
      </c>
      <c r="H557" t="s">
        <v>1569</v>
      </c>
      <c r="I557" t="s">
        <v>1472</v>
      </c>
      <c r="J557">
        <v>15</v>
      </c>
      <c r="K557">
        <v>4497</v>
      </c>
      <c r="L557">
        <v>95000</v>
      </c>
      <c r="M557" t="s">
        <v>69</v>
      </c>
      <c r="N557">
        <v>67</v>
      </c>
      <c r="O557" s="2">
        <v>46203</v>
      </c>
      <c r="P557" s="2">
        <v>46310</v>
      </c>
      <c r="R557" t="s">
        <v>1570</v>
      </c>
      <c r="S557" t="str">
        <f>""</f>
        <v/>
      </c>
      <c r="T557" t="s">
        <v>41</v>
      </c>
      <c r="U557">
        <v>2587.4699999999998</v>
      </c>
      <c r="V557">
        <v>2509.85</v>
      </c>
      <c r="W557">
        <v>2509.85</v>
      </c>
      <c r="X557">
        <v>0</v>
      </c>
      <c r="Y557">
        <v>0</v>
      </c>
      <c r="Z557">
        <v>-535</v>
      </c>
      <c r="AA557">
        <v>693245</v>
      </c>
      <c r="AD557" t="s">
        <v>1571</v>
      </c>
      <c r="AE557" t="s">
        <v>1572</v>
      </c>
      <c r="AF557" t="s">
        <v>1571</v>
      </c>
      <c r="AG557" s="1" t="s">
        <v>1573</v>
      </c>
      <c r="AH557" t="s">
        <v>1462</v>
      </c>
    </row>
    <row r="558" spans="1:34" x14ac:dyDescent="0.3">
      <c r="A558">
        <v>101</v>
      </c>
      <c r="B558" t="s">
        <v>34</v>
      </c>
      <c r="C558">
        <v>2</v>
      </c>
      <c r="D558" s="1" t="s">
        <v>1574</v>
      </c>
      <c r="E558" s="1" t="s">
        <v>36</v>
      </c>
      <c r="G558">
        <v>434019</v>
      </c>
      <c r="H558" t="s">
        <v>1575</v>
      </c>
      <c r="I558" t="s">
        <v>1472</v>
      </c>
      <c r="J558">
        <v>15</v>
      </c>
      <c r="K558">
        <v>4497</v>
      </c>
      <c r="L558">
        <v>95000</v>
      </c>
      <c r="M558" t="s">
        <v>69</v>
      </c>
      <c r="N558">
        <v>67</v>
      </c>
      <c r="O558" s="2">
        <v>46203</v>
      </c>
      <c r="P558" s="2">
        <v>46310</v>
      </c>
      <c r="R558" t="s">
        <v>1576</v>
      </c>
      <c r="S558" t="str">
        <f>""</f>
        <v/>
      </c>
      <c r="T558" t="s">
        <v>41</v>
      </c>
      <c r="U558">
        <v>3827.2</v>
      </c>
      <c r="V558">
        <v>3712.38</v>
      </c>
      <c r="W558">
        <v>3712.38</v>
      </c>
      <c r="X558">
        <v>0</v>
      </c>
      <c r="Y558">
        <v>0</v>
      </c>
      <c r="Z558">
        <v>-535</v>
      </c>
      <c r="AA558">
        <v>693252</v>
      </c>
      <c r="AD558" t="s">
        <v>1577</v>
      </c>
      <c r="AE558" t="s">
        <v>1578</v>
      </c>
      <c r="AF558" t="s">
        <v>1577</v>
      </c>
      <c r="AG558" s="1" t="s">
        <v>1579</v>
      </c>
      <c r="AH558" t="s">
        <v>1462</v>
      </c>
    </row>
    <row r="559" spans="1:34" x14ac:dyDescent="0.3">
      <c r="A559">
        <v>101</v>
      </c>
      <c r="B559" t="s">
        <v>34</v>
      </c>
      <c r="C559">
        <v>2</v>
      </c>
      <c r="D559" s="1" t="s">
        <v>1580</v>
      </c>
      <c r="E559" s="1" t="s">
        <v>36</v>
      </c>
      <c r="G559">
        <v>434028</v>
      </c>
      <c r="H559" t="s">
        <v>1581</v>
      </c>
      <c r="I559" t="s">
        <v>1472</v>
      </c>
      <c r="J559">
        <v>15</v>
      </c>
      <c r="K559">
        <v>4497</v>
      </c>
      <c r="L559">
        <v>95000</v>
      </c>
      <c r="M559" t="s">
        <v>69</v>
      </c>
      <c r="N559">
        <v>67</v>
      </c>
      <c r="O559" s="2">
        <v>46203</v>
      </c>
      <c r="P559" s="2">
        <v>46300</v>
      </c>
      <c r="R559" t="s">
        <v>1582</v>
      </c>
      <c r="S559" t="str">
        <f>""</f>
        <v/>
      </c>
      <c r="T559" t="s">
        <v>41</v>
      </c>
      <c r="U559">
        <v>2198.48</v>
      </c>
      <c r="V559">
        <v>2132.5300000000002</v>
      </c>
      <c r="W559">
        <v>2132.5300000000002</v>
      </c>
      <c r="X559">
        <v>0</v>
      </c>
      <c r="Y559">
        <v>0</v>
      </c>
      <c r="Z559">
        <v>-525</v>
      </c>
      <c r="AA559">
        <v>693249</v>
      </c>
      <c r="AD559" t="s">
        <v>1583</v>
      </c>
      <c r="AE559" t="s">
        <v>1584</v>
      </c>
      <c r="AF559" t="s">
        <v>1583</v>
      </c>
      <c r="AG559" s="1" t="s">
        <v>1585</v>
      </c>
      <c r="AH559" t="s">
        <v>1462</v>
      </c>
    </row>
    <row r="560" spans="1:34" x14ac:dyDescent="0.3">
      <c r="A560">
        <v>101</v>
      </c>
      <c r="B560" t="s">
        <v>34</v>
      </c>
      <c r="C560">
        <v>2</v>
      </c>
      <c r="D560" s="1" t="s">
        <v>1586</v>
      </c>
      <c r="E560" s="1" t="s">
        <v>36</v>
      </c>
      <c r="G560">
        <v>434028</v>
      </c>
      <c r="H560" t="s">
        <v>1581</v>
      </c>
      <c r="I560" t="s">
        <v>1472</v>
      </c>
      <c r="J560">
        <v>15</v>
      </c>
      <c r="K560">
        <v>4497</v>
      </c>
      <c r="L560">
        <v>95000</v>
      </c>
      <c r="M560" t="s">
        <v>69</v>
      </c>
      <c r="N560">
        <v>67</v>
      </c>
      <c r="O560" s="2">
        <v>46234</v>
      </c>
      <c r="P560" s="2">
        <v>46336</v>
      </c>
      <c r="R560" t="s">
        <v>1587</v>
      </c>
      <c r="S560" t="str">
        <f>""</f>
        <v/>
      </c>
      <c r="T560" t="s">
        <v>41</v>
      </c>
      <c r="U560">
        <v>2017.69</v>
      </c>
      <c r="V560">
        <v>1957.16</v>
      </c>
      <c r="W560">
        <v>1957.16</v>
      </c>
      <c r="X560">
        <v>0</v>
      </c>
      <c r="Y560">
        <v>0</v>
      </c>
      <c r="Z560">
        <v>-561</v>
      </c>
      <c r="AA560">
        <v>695726</v>
      </c>
      <c r="AD560" t="s">
        <v>1583</v>
      </c>
      <c r="AE560" t="s">
        <v>1584</v>
      </c>
      <c r="AF560" t="s">
        <v>1583</v>
      </c>
      <c r="AG560" s="1" t="s">
        <v>1585</v>
      </c>
      <c r="AH560" t="s">
        <v>1462</v>
      </c>
    </row>
    <row r="561" spans="1:34" x14ac:dyDescent="0.3">
      <c r="A561">
        <v>101</v>
      </c>
      <c r="B561" t="s">
        <v>34</v>
      </c>
      <c r="C561">
        <v>2</v>
      </c>
      <c r="D561" s="1" t="s">
        <v>1588</v>
      </c>
      <c r="E561" s="1" t="s">
        <v>36</v>
      </c>
      <c r="G561">
        <v>434992</v>
      </c>
      <c r="H561" t="s">
        <v>1589</v>
      </c>
      <c r="I561" t="s">
        <v>1472</v>
      </c>
      <c r="J561">
        <v>15</v>
      </c>
      <c r="K561">
        <v>4497</v>
      </c>
      <c r="L561">
        <v>95000</v>
      </c>
      <c r="M561" t="s">
        <v>69</v>
      </c>
      <c r="N561">
        <v>67</v>
      </c>
      <c r="O561" s="2">
        <v>46234</v>
      </c>
      <c r="P561" s="2">
        <v>46336</v>
      </c>
      <c r="R561" t="s">
        <v>1590</v>
      </c>
      <c r="S561" t="str">
        <f>""</f>
        <v/>
      </c>
      <c r="T561" t="s">
        <v>41</v>
      </c>
      <c r="U561">
        <v>5812.9</v>
      </c>
      <c r="V561">
        <v>5638.51</v>
      </c>
      <c r="W561">
        <v>5638.51</v>
      </c>
      <c r="X561">
        <v>0</v>
      </c>
      <c r="Y561">
        <v>0</v>
      </c>
      <c r="Z561">
        <v>-561</v>
      </c>
      <c r="AA561">
        <v>695728</v>
      </c>
      <c r="AD561" t="s">
        <v>1467</v>
      </c>
      <c r="AE561" t="s">
        <v>1591</v>
      </c>
      <c r="AF561" t="s">
        <v>1467</v>
      </c>
      <c r="AG561" s="1" t="s">
        <v>1592</v>
      </c>
      <c r="AH561" t="s">
        <v>1462</v>
      </c>
    </row>
    <row r="562" spans="1:34" x14ac:dyDescent="0.3">
      <c r="A562">
        <v>101</v>
      </c>
      <c r="B562" t="s">
        <v>34</v>
      </c>
      <c r="C562">
        <v>2</v>
      </c>
      <c r="D562" s="1" t="s">
        <v>1593</v>
      </c>
      <c r="E562" s="1" t="s">
        <v>36</v>
      </c>
      <c r="G562">
        <v>434992</v>
      </c>
      <c r="H562" t="s">
        <v>1589</v>
      </c>
      <c r="I562" t="s">
        <v>1472</v>
      </c>
      <c r="J562">
        <v>15</v>
      </c>
      <c r="K562">
        <v>4497</v>
      </c>
      <c r="L562">
        <v>95000</v>
      </c>
      <c r="M562" t="s">
        <v>69</v>
      </c>
      <c r="N562">
        <v>67</v>
      </c>
      <c r="O562" s="2">
        <v>46203</v>
      </c>
      <c r="P562" s="2">
        <v>46300</v>
      </c>
      <c r="R562" t="s">
        <v>1594</v>
      </c>
      <c r="S562" t="str">
        <f>""</f>
        <v/>
      </c>
      <c r="T562" t="s">
        <v>41</v>
      </c>
      <c r="U562">
        <v>2860.04</v>
      </c>
      <c r="V562">
        <v>2774.24</v>
      </c>
      <c r="W562">
        <v>2774.24</v>
      </c>
      <c r="X562">
        <v>0</v>
      </c>
      <c r="Y562">
        <v>0</v>
      </c>
      <c r="Z562">
        <v>-525</v>
      </c>
      <c r="AA562">
        <v>693254</v>
      </c>
      <c r="AD562" t="s">
        <v>1467</v>
      </c>
      <c r="AE562" t="s">
        <v>1591</v>
      </c>
      <c r="AF562" t="s">
        <v>1467</v>
      </c>
      <c r="AG562" s="1" t="s">
        <v>1592</v>
      </c>
      <c r="AH562" t="s">
        <v>1462</v>
      </c>
    </row>
    <row r="563" spans="1:34" x14ac:dyDescent="0.3">
      <c r="A563">
        <v>101</v>
      </c>
      <c r="B563" t="s">
        <v>34</v>
      </c>
      <c r="C563">
        <v>2</v>
      </c>
      <c r="D563" s="1" t="s">
        <v>1595</v>
      </c>
      <c r="E563" s="1" t="s">
        <v>36</v>
      </c>
      <c r="G563">
        <v>435767</v>
      </c>
      <c r="H563" t="s">
        <v>1596</v>
      </c>
      <c r="I563" t="s">
        <v>1472</v>
      </c>
      <c r="J563">
        <v>15</v>
      </c>
      <c r="K563">
        <v>4497</v>
      </c>
      <c r="L563">
        <v>95000</v>
      </c>
      <c r="M563" t="s">
        <v>69</v>
      </c>
      <c r="N563">
        <v>67</v>
      </c>
      <c r="O563" s="2">
        <v>46203</v>
      </c>
      <c r="P563" s="2">
        <v>46310</v>
      </c>
      <c r="R563" t="s">
        <v>1597</v>
      </c>
      <c r="S563" t="str">
        <f>""</f>
        <v/>
      </c>
      <c r="T563" t="s">
        <v>41</v>
      </c>
      <c r="U563">
        <v>3182.23</v>
      </c>
      <c r="V563">
        <v>3086.76</v>
      </c>
      <c r="W563">
        <v>3086.76</v>
      </c>
      <c r="X563">
        <v>0</v>
      </c>
      <c r="Y563">
        <v>0</v>
      </c>
      <c r="Z563">
        <v>-535</v>
      </c>
      <c r="AA563">
        <v>693258</v>
      </c>
      <c r="AD563" t="s">
        <v>1598</v>
      </c>
      <c r="AE563" t="s">
        <v>1599</v>
      </c>
      <c r="AF563" t="s">
        <v>1598</v>
      </c>
      <c r="AG563" s="1" t="s">
        <v>1600</v>
      </c>
      <c r="AH563" t="s">
        <v>1462</v>
      </c>
    </row>
    <row r="564" spans="1:34" x14ac:dyDescent="0.3">
      <c r="A564">
        <v>101</v>
      </c>
      <c r="B564" t="s">
        <v>34</v>
      </c>
      <c r="C564">
        <v>2</v>
      </c>
      <c r="D564" s="1" t="s">
        <v>1601</v>
      </c>
      <c r="E564" s="1" t="s">
        <v>36</v>
      </c>
      <c r="G564">
        <v>435767</v>
      </c>
      <c r="H564" t="s">
        <v>1596</v>
      </c>
      <c r="I564" t="s">
        <v>1472</v>
      </c>
      <c r="J564">
        <v>15</v>
      </c>
      <c r="K564">
        <v>4497</v>
      </c>
      <c r="L564">
        <v>95000</v>
      </c>
      <c r="M564" t="s">
        <v>69</v>
      </c>
      <c r="N564">
        <v>67</v>
      </c>
      <c r="O564" s="2">
        <v>46234</v>
      </c>
      <c r="P564" s="2">
        <v>46336</v>
      </c>
      <c r="R564" t="s">
        <v>1602</v>
      </c>
      <c r="S564" t="str">
        <f>""</f>
        <v/>
      </c>
      <c r="T564" t="s">
        <v>41</v>
      </c>
      <c r="U564">
        <v>2141.77</v>
      </c>
      <c r="V564">
        <v>2077.52</v>
      </c>
      <c r="W564">
        <v>2077.52</v>
      </c>
      <c r="X564">
        <v>0</v>
      </c>
      <c r="Y564">
        <v>0</v>
      </c>
      <c r="Z564">
        <v>-561</v>
      </c>
      <c r="AA564">
        <v>695730</v>
      </c>
      <c r="AD564" t="s">
        <v>1598</v>
      </c>
      <c r="AE564" t="s">
        <v>1599</v>
      </c>
      <c r="AF564" t="s">
        <v>1598</v>
      </c>
      <c r="AG564" s="1" t="s">
        <v>1600</v>
      </c>
      <c r="AH564" t="s">
        <v>1462</v>
      </c>
    </row>
    <row r="565" spans="1:34" x14ac:dyDescent="0.3">
      <c r="A565">
        <v>101</v>
      </c>
      <c r="B565" t="s">
        <v>34</v>
      </c>
      <c r="C565">
        <v>2</v>
      </c>
      <c r="D565" s="1" t="s">
        <v>1603</v>
      </c>
      <c r="E565" s="1" t="s">
        <v>36</v>
      </c>
      <c r="G565">
        <v>435916</v>
      </c>
      <c r="H565" t="s">
        <v>1604</v>
      </c>
      <c r="I565" t="s">
        <v>1472</v>
      </c>
      <c r="J565">
        <v>15</v>
      </c>
      <c r="K565">
        <v>4497</v>
      </c>
      <c r="L565">
        <v>95000</v>
      </c>
      <c r="M565" t="s">
        <v>69</v>
      </c>
      <c r="N565">
        <v>67</v>
      </c>
      <c r="O565" s="2">
        <v>46203</v>
      </c>
      <c r="P565" s="2">
        <v>46300</v>
      </c>
      <c r="R565" t="s">
        <v>1605</v>
      </c>
      <c r="S565" t="str">
        <f>""</f>
        <v/>
      </c>
      <c r="T565" t="s">
        <v>41</v>
      </c>
      <c r="U565">
        <v>2882.95</v>
      </c>
      <c r="V565">
        <v>2796.46</v>
      </c>
      <c r="W565">
        <v>2796.46</v>
      </c>
      <c r="X565">
        <v>0</v>
      </c>
      <c r="Y565">
        <v>0</v>
      </c>
      <c r="Z565">
        <v>-525</v>
      </c>
      <c r="AA565">
        <v>693260</v>
      </c>
      <c r="AD565" t="s">
        <v>1606</v>
      </c>
      <c r="AE565" t="s">
        <v>1607</v>
      </c>
      <c r="AF565" t="s">
        <v>1606</v>
      </c>
      <c r="AG565" s="1" t="s">
        <v>1608</v>
      </c>
      <c r="AH565" t="s">
        <v>1462</v>
      </c>
    </row>
    <row r="566" spans="1:34" x14ac:dyDescent="0.3">
      <c r="A566">
        <v>101</v>
      </c>
      <c r="B566" t="s">
        <v>34</v>
      </c>
      <c r="C566">
        <v>2</v>
      </c>
      <c r="D566" s="1" t="s">
        <v>1609</v>
      </c>
      <c r="E566" s="1" t="s">
        <v>36</v>
      </c>
      <c r="G566">
        <v>436534</v>
      </c>
      <c r="H566" t="s">
        <v>1610</v>
      </c>
      <c r="I566" t="s">
        <v>1472</v>
      </c>
      <c r="J566">
        <v>15</v>
      </c>
      <c r="K566">
        <v>4497</v>
      </c>
      <c r="L566">
        <v>95000</v>
      </c>
      <c r="M566" t="s">
        <v>69</v>
      </c>
      <c r="N566">
        <v>67</v>
      </c>
      <c r="O566" s="2">
        <v>46203</v>
      </c>
      <c r="P566" s="2">
        <v>46315</v>
      </c>
      <c r="R566" t="s">
        <v>1611</v>
      </c>
      <c r="S566" t="str">
        <f>""</f>
        <v/>
      </c>
      <c r="T566" t="s">
        <v>41</v>
      </c>
      <c r="U566">
        <v>3701.07</v>
      </c>
      <c r="V566">
        <v>3590.04</v>
      </c>
      <c r="W566">
        <v>3590.04</v>
      </c>
      <c r="X566">
        <v>0</v>
      </c>
      <c r="Y566">
        <v>0</v>
      </c>
      <c r="Z566">
        <v>-540</v>
      </c>
      <c r="AA566">
        <v>693262</v>
      </c>
      <c r="AD566" t="s">
        <v>1612</v>
      </c>
      <c r="AE566" t="s">
        <v>1613</v>
      </c>
      <c r="AF566" t="s">
        <v>1612</v>
      </c>
      <c r="AG566" s="1" t="s">
        <v>1614</v>
      </c>
      <c r="AH566" t="s">
        <v>1462</v>
      </c>
    </row>
    <row r="567" spans="1:34" x14ac:dyDescent="0.3">
      <c r="A567">
        <v>101</v>
      </c>
      <c r="B567" t="s">
        <v>34</v>
      </c>
      <c r="C567">
        <v>2</v>
      </c>
      <c r="D567" s="1" t="s">
        <v>1615</v>
      </c>
      <c r="E567" s="1" t="s">
        <v>36</v>
      </c>
      <c r="G567">
        <v>438886</v>
      </c>
      <c r="H567" t="s">
        <v>1616</v>
      </c>
      <c r="I567" t="s">
        <v>1472</v>
      </c>
      <c r="J567">
        <v>15</v>
      </c>
      <c r="K567">
        <v>4497</v>
      </c>
      <c r="L567">
        <v>95000</v>
      </c>
      <c r="M567" t="s">
        <v>69</v>
      </c>
      <c r="N567">
        <v>67</v>
      </c>
      <c r="O567" s="2">
        <v>46203</v>
      </c>
      <c r="P567" s="2">
        <v>46315</v>
      </c>
      <c r="R567" t="s">
        <v>1617</v>
      </c>
      <c r="S567" t="str">
        <f>""</f>
        <v/>
      </c>
      <c r="T567" t="s">
        <v>41</v>
      </c>
      <c r="U567">
        <v>4912.22</v>
      </c>
      <c r="V567">
        <v>4764.8500000000004</v>
      </c>
      <c r="W567">
        <v>4764.8500000000004</v>
      </c>
      <c r="X567">
        <v>0</v>
      </c>
      <c r="Y567">
        <v>0</v>
      </c>
      <c r="Z567">
        <v>-540</v>
      </c>
      <c r="AA567">
        <v>693247</v>
      </c>
      <c r="AD567" t="s">
        <v>1618</v>
      </c>
      <c r="AE567" t="s">
        <v>1619</v>
      </c>
      <c r="AF567" t="s">
        <v>1618</v>
      </c>
      <c r="AG567" s="1" t="s">
        <v>1620</v>
      </c>
      <c r="AH567" t="s">
        <v>1462</v>
      </c>
    </row>
    <row r="568" spans="1:34" x14ac:dyDescent="0.3">
      <c r="A568">
        <v>101</v>
      </c>
      <c r="B568" t="s">
        <v>34</v>
      </c>
      <c r="C568">
        <v>2</v>
      </c>
      <c r="D568" s="1" t="s">
        <v>1621</v>
      </c>
      <c r="E568" s="1" t="s">
        <v>36</v>
      </c>
      <c r="G568">
        <v>439482</v>
      </c>
      <c r="H568" t="s">
        <v>1622</v>
      </c>
      <c r="I568" t="s">
        <v>1472</v>
      </c>
      <c r="J568">
        <v>15</v>
      </c>
      <c r="K568">
        <v>4497</v>
      </c>
      <c r="L568">
        <v>95000</v>
      </c>
      <c r="M568" t="s">
        <v>69</v>
      </c>
      <c r="N568">
        <v>67</v>
      </c>
      <c r="O568" s="2">
        <v>46203</v>
      </c>
      <c r="P568" s="2">
        <v>46300</v>
      </c>
      <c r="R568" t="s">
        <v>1623</v>
      </c>
      <c r="S568" t="str">
        <f>""</f>
        <v/>
      </c>
      <c r="T568" t="s">
        <v>41</v>
      </c>
      <c r="U568">
        <v>2665.58</v>
      </c>
      <c r="V568">
        <v>2585.61</v>
      </c>
      <c r="W568">
        <v>2585.61</v>
      </c>
      <c r="X568">
        <v>0</v>
      </c>
      <c r="Y568">
        <v>0</v>
      </c>
      <c r="Z568">
        <v>-525</v>
      </c>
      <c r="AA568">
        <v>693264</v>
      </c>
      <c r="AD568" t="s">
        <v>1624</v>
      </c>
      <c r="AE568" t="s">
        <v>1625</v>
      </c>
      <c r="AF568" t="s">
        <v>1624</v>
      </c>
      <c r="AG568" s="1" t="s">
        <v>1626</v>
      </c>
      <c r="AH568" t="s">
        <v>1462</v>
      </c>
    </row>
    <row r="569" spans="1:34" x14ac:dyDescent="0.3">
      <c r="A569">
        <v>101</v>
      </c>
      <c r="B569" t="s">
        <v>34</v>
      </c>
      <c r="C569">
        <v>2</v>
      </c>
      <c r="D569" s="1" t="s">
        <v>1627</v>
      </c>
      <c r="E569" s="1" t="s">
        <v>36</v>
      </c>
      <c r="G569">
        <v>439482</v>
      </c>
      <c r="H569" t="s">
        <v>1622</v>
      </c>
      <c r="I569" t="s">
        <v>1472</v>
      </c>
      <c r="J569">
        <v>15</v>
      </c>
      <c r="K569">
        <v>4497</v>
      </c>
      <c r="L569">
        <v>95000</v>
      </c>
      <c r="M569" t="s">
        <v>69</v>
      </c>
      <c r="N569">
        <v>67</v>
      </c>
      <c r="O569" s="2">
        <v>46234</v>
      </c>
      <c r="P569" s="2">
        <v>46331</v>
      </c>
      <c r="R569" t="s">
        <v>1628</v>
      </c>
      <c r="S569" t="str">
        <f>""</f>
        <v/>
      </c>
      <c r="T569" t="s">
        <v>41</v>
      </c>
      <c r="U569">
        <v>2481.7399999999998</v>
      </c>
      <c r="V569">
        <v>2407.29</v>
      </c>
      <c r="W569">
        <v>2407.29</v>
      </c>
      <c r="X569">
        <v>0</v>
      </c>
      <c r="Y569">
        <v>0</v>
      </c>
      <c r="Z569">
        <v>-556</v>
      </c>
      <c r="AA569">
        <v>695732</v>
      </c>
      <c r="AD569" t="s">
        <v>1624</v>
      </c>
      <c r="AE569" t="s">
        <v>1625</v>
      </c>
      <c r="AF569" t="s">
        <v>1624</v>
      </c>
      <c r="AG569" s="1" t="s">
        <v>1626</v>
      </c>
      <c r="AH569" t="s">
        <v>1462</v>
      </c>
    </row>
    <row r="570" spans="1:34" x14ac:dyDescent="0.3">
      <c r="A570">
        <v>101</v>
      </c>
      <c r="B570" t="s">
        <v>34</v>
      </c>
      <c r="C570">
        <v>2</v>
      </c>
      <c r="D570" s="1" t="s">
        <v>1629</v>
      </c>
      <c r="E570" s="1" t="s">
        <v>36</v>
      </c>
      <c r="G570">
        <v>439607</v>
      </c>
      <c r="H570" t="s">
        <v>1630</v>
      </c>
      <c r="I570" t="s">
        <v>1631</v>
      </c>
      <c r="J570">
        <v>15</v>
      </c>
      <c r="K570">
        <v>9321</v>
      </c>
      <c r="L570">
        <v>95000</v>
      </c>
      <c r="M570" t="s">
        <v>69</v>
      </c>
      <c r="N570">
        <v>67</v>
      </c>
      <c r="O570" s="2">
        <v>46163</v>
      </c>
      <c r="P570" s="2">
        <v>46260</v>
      </c>
      <c r="R570" t="s">
        <v>1632</v>
      </c>
      <c r="S570" t="str">
        <f>""</f>
        <v/>
      </c>
      <c r="T570" t="s">
        <v>41</v>
      </c>
      <c r="U570">
        <v>4223.6400000000003</v>
      </c>
      <c r="V570">
        <v>4223.6400000000003</v>
      </c>
      <c r="W570">
        <v>4223.6400000000003</v>
      </c>
      <c r="X570">
        <v>0</v>
      </c>
      <c r="Y570">
        <v>0</v>
      </c>
      <c r="Z570">
        <v>-485</v>
      </c>
      <c r="AA570">
        <v>688610</v>
      </c>
      <c r="AD570" t="s">
        <v>1467</v>
      </c>
      <c r="AE570" t="s">
        <v>1460</v>
      </c>
      <c r="AF570" t="s">
        <v>1467</v>
      </c>
      <c r="AG570" s="1" t="s">
        <v>1633</v>
      </c>
      <c r="AH570" t="s">
        <v>1462</v>
      </c>
    </row>
    <row r="571" spans="1:34" x14ac:dyDescent="0.3">
      <c r="A571">
        <v>101</v>
      </c>
      <c r="B571" t="s">
        <v>34</v>
      </c>
      <c r="C571">
        <v>2</v>
      </c>
      <c r="D571" s="1" t="s">
        <v>1634</v>
      </c>
      <c r="E571" s="1" t="s">
        <v>36</v>
      </c>
      <c r="G571">
        <v>439611</v>
      </c>
      <c r="H571" t="s">
        <v>1635</v>
      </c>
      <c r="I571" t="s">
        <v>502</v>
      </c>
      <c r="J571">
        <v>15</v>
      </c>
      <c r="K571">
        <v>9321</v>
      </c>
      <c r="L571">
        <v>95000</v>
      </c>
      <c r="M571" t="s">
        <v>69</v>
      </c>
      <c r="N571">
        <v>67</v>
      </c>
      <c r="O571" s="2">
        <v>46163</v>
      </c>
      <c r="P571" s="2">
        <v>46267</v>
      </c>
      <c r="R571" t="s">
        <v>1636</v>
      </c>
      <c r="S571" t="str">
        <f>""</f>
        <v/>
      </c>
      <c r="T571" t="s">
        <v>41</v>
      </c>
      <c r="U571">
        <v>4394.49</v>
      </c>
      <c r="V571">
        <v>4394.49</v>
      </c>
      <c r="W571">
        <v>4394.49</v>
      </c>
      <c r="X571">
        <v>0</v>
      </c>
      <c r="Y571">
        <v>0</v>
      </c>
      <c r="Z571">
        <v>-492</v>
      </c>
      <c r="AA571">
        <v>688611</v>
      </c>
      <c r="AD571" t="s">
        <v>1524</v>
      </c>
      <c r="AE571" t="s">
        <v>1460</v>
      </c>
      <c r="AF571" t="s">
        <v>1524</v>
      </c>
      <c r="AG571" s="1" t="s">
        <v>1637</v>
      </c>
      <c r="AH571" t="s">
        <v>1462</v>
      </c>
    </row>
    <row r="572" spans="1:34" x14ac:dyDescent="0.3">
      <c r="A572">
        <v>101</v>
      </c>
      <c r="B572" t="s">
        <v>34</v>
      </c>
      <c r="C572">
        <v>2</v>
      </c>
      <c r="D572" s="1" t="s">
        <v>1638</v>
      </c>
      <c r="E572" s="1" t="s">
        <v>36</v>
      </c>
      <c r="G572">
        <v>440518</v>
      </c>
      <c r="H572" t="s">
        <v>1639</v>
      </c>
      <c r="I572" t="s">
        <v>1472</v>
      </c>
      <c r="J572">
        <v>15</v>
      </c>
      <c r="K572">
        <v>4497</v>
      </c>
      <c r="L572">
        <v>95000</v>
      </c>
      <c r="M572" t="s">
        <v>69</v>
      </c>
      <c r="N572">
        <v>67</v>
      </c>
      <c r="O572" s="2">
        <v>46234</v>
      </c>
      <c r="P572" s="2">
        <v>46331</v>
      </c>
      <c r="R572" t="s">
        <v>1640</v>
      </c>
      <c r="S572" t="str">
        <f>""</f>
        <v/>
      </c>
      <c r="T572" t="s">
        <v>41</v>
      </c>
      <c r="U572">
        <v>4876.13</v>
      </c>
      <c r="V572">
        <v>4729.8500000000004</v>
      </c>
      <c r="W572">
        <v>4729.8500000000004</v>
      </c>
      <c r="X572">
        <v>0</v>
      </c>
      <c r="Y572">
        <v>0</v>
      </c>
      <c r="Z572">
        <v>-556</v>
      </c>
      <c r="AA572">
        <v>695734</v>
      </c>
      <c r="AD572" t="s">
        <v>1641</v>
      </c>
      <c r="AE572" t="s">
        <v>1642</v>
      </c>
      <c r="AF572" t="s">
        <v>1641</v>
      </c>
      <c r="AG572" s="1" t="s">
        <v>1643</v>
      </c>
      <c r="AH572" t="s">
        <v>1462</v>
      </c>
    </row>
    <row r="573" spans="1:34" x14ac:dyDescent="0.3">
      <c r="A573">
        <v>101</v>
      </c>
      <c r="B573" t="s">
        <v>34</v>
      </c>
      <c r="C573">
        <v>2</v>
      </c>
      <c r="D573" s="1" t="s">
        <v>1644</v>
      </c>
      <c r="E573" s="1" t="s">
        <v>36</v>
      </c>
      <c r="G573">
        <v>440518</v>
      </c>
      <c r="H573" t="s">
        <v>1639</v>
      </c>
      <c r="I573" t="s">
        <v>1472</v>
      </c>
      <c r="J573">
        <v>15</v>
      </c>
      <c r="K573">
        <v>4497</v>
      </c>
      <c r="L573">
        <v>95000</v>
      </c>
      <c r="M573" t="s">
        <v>69</v>
      </c>
      <c r="N573">
        <v>67</v>
      </c>
      <c r="O573" s="2">
        <v>46203</v>
      </c>
      <c r="P573" s="2">
        <v>46300</v>
      </c>
      <c r="R573" t="s">
        <v>1645</v>
      </c>
      <c r="S573" t="str">
        <f>""</f>
        <v/>
      </c>
      <c r="T573" t="s">
        <v>41</v>
      </c>
      <c r="U573">
        <v>4593.82</v>
      </c>
      <c r="V573">
        <v>4456.01</v>
      </c>
      <c r="W573">
        <v>4456.01</v>
      </c>
      <c r="X573">
        <v>0</v>
      </c>
      <c r="Y573">
        <v>0</v>
      </c>
      <c r="Z573">
        <v>-525</v>
      </c>
      <c r="AA573">
        <v>693266</v>
      </c>
      <c r="AD573" t="s">
        <v>1641</v>
      </c>
      <c r="AE573" t="s">
        <v>1642</v>
      </c>
      <c r="AF573" t="s">
        <v>1641</v>
      </c>
      <c r="AG573" s="1" t="s">
        <v>1643</v>
      </c>
      <c r="AH573" t="s">
        <v>1462</v>
      </c>
    </row>
    <row r="574" spans="1:34" x14ac:dyDescent="0.3">
      <c r="A574">
        <v>101</v>
      </c>
      <c r="B574" t="s">
        <v>34</v>
      </c>
      <c r="C574">
        <v>2</v>
      </c>
      <c r="D574" s="1" t="s">
        <v>1646</v>
      </c>
      <c r="E574" s="1" t="s">
        <v>36</v>
      </c>
      <c r="G574">
        <v>442822</v>
      </c>
      <c r="H574" t="s">
        <v>1647</v>
      </c>
      <c r="I574" t="s">
        <v>1472</v>
      </c>
      <c r="J574">
        <v>15</v>
      </c>
      <c r="K574">
        <v>4497</v>
      </c>
      <c r="L574">
        <v>95000</v>
      </c>
      <c r="M574" t="s">
        <v>69</v>
      </c>
      <c r="N574">
        <v>67</v>
      </c>
      <c r="O574" s="2">
        <v>46203</v>
      </c>
      <c r="P574" s="2">
        <v>46308</v>
      </c>
      <c r="R574" t="s">
        <v>1648</v>
      </c>
      <c r="S574" t="str">
        <f>""</f>
        <v/>
      </c>
      <c r="T574" t="s">
        <v>41</v>
      </c>
      <c r="U574">
        <v>5348.21</v>
      </c>
      <c r="V574">
        <v>5187.76</v>
      </c>
      <c r="W574">
        <v>5187.76</v>
      </c>
      <c r="X574">
        <v>0</v>
      </c>
      <c r="Y574">
        <v>0</v>
      </c>
      <c r="Z574">
        <v>-533</v>
      </c>
      <c r="AA574">
        <v>693268</v>
      </c>
      <c r="AD574" t="s">
        <v>1649</v>
      </c>
      <c r="AE574">
        <v>3135199009</v>
      </c>
      <c r="AF574" t="s">
        <v>1649</v>
      </c>
      <c r="AG574" s="1" t="s">
        <v>1650</v>
      </c>
      <c r="AH574" t="s">
        <v>1462</v>
      </c>
    </row>
    <row r="575" spans="1:34" x14ac:dyDescent="0.3">
      <c r="A575">
        <v>101</v>
      </c>
      <c r="B575" t="s">
        <v>34</v>
      </c>
      <c r="C575">
        <v>2</v>
      </c>
      <c r="D575" s="1" t="s">
        <v>1651</v>
      </c>
      <c r="E575" s="1" t="s">
        <v>36</v>
      </c>
      <c r="G575">
        <v>442822</v>
      </c>
      <c r="H575" t="s">
        <v>1647</v>
      </c>
      <c r="I575" t="s">
        <v>1472</v>
      </c>
      <c r="J575">
        <v>15</v>
      </c>
      <c r="K575">
        <v>4497</v>
      </c>
      <c r="L575">
        <v>95000</v>
      </c>
      <c r="M575" t="s">
        <v>69</v>
      </c>
      <c r="N575">
        <v>67</v>
      </c>
      <c r="O575" s="2">
        <v>46234</v>
      </c>
      <c r="P575" s="2">
        <v>46331</v>
      </c>
      <c r="R575" t="s">
        <v>1652</v>
      </c>
      <c r="S575" t="str">
        <f>""</f>
        <v/>
      </c>
      <c r="T575" t="s">
        <v>41</v>
      </c>
      <c r="U575">
        <v>3705.22</v>
      </c>
      <c r="V575">
        <v>3594.06</v>
      </c>
      <c r="W575">
        <v>3594.06</v>
      </c>
      <c r="X575">
        <v>0</v>
      </c>
      <c r="Y575">
        <v>0</v>
      </c>
      <c r="Z575">
        <v>-556</v>
      </c>
      <c r="AA575">
        <v>695736</v>
      </c>
      <c r="AD575" t="s">
        <v>1649</v>
      </c>
      <c r="AE575">
        <v>3135199009</v>
      </c>
      <c r="AF575" t="s">
        <v>1649</v>
      </c>
      <c r="AG575" s="1" t="s">
        <v>1650</v>
      </c>
      <c r="AH575" t="s">
        <v>1462</v>
      </c>
    </row>
    <row r="576" spans="1:34" x14ac:dyDescent="0.3">
      <c r="A576">
        <v>101</v>
      </c>
      <c r="B576" t="s">
        <v>34</v>
      </c>
      <c r="C576">
        <v>2</v>
      </c>
      <c r="D576" s="1" t="s">
        <v>1653</v>
      </c>
      <c r="E576" s="1" t="s">
        <v>36</v>
      </c>
      <c r="G576">
        <v>443861</v>
      </c>
      <c r="H576" t="s">
        <v>1654</v>
      </c>
      <c r="I576" t="s">
        <v>1655</v>
      </c>
      <c r="J576">
        <v>18</v>
      </c>
      <c r="K576">
        <v>999000606</v>
      </c>
      <c r="L576">
        <v>50001</v>
      </c>
      <c r="M576" t="s">
        <v>39</v>
      </c>
      <c r="N576">
        <v>67</v>
      </c>
      <c r="O576" s="2">
        <v>46218</v>
      </c>
      <c r="P576" s="2">
        <v>46321</v>
      </c>
      <c r="R576" t="s">
        <v>1656</v>
      </c>
      <c r="S576" t="str">
        <f>"25666160000051477"</f>
        <v>25666160000051477</v>
      </c>
      <c r="T576" t="s">
        <v>41</v>
      </c>
      <c r="U576">
        <v>35878.080000000002</v>
      </c>
      <c r="V576">
        <v>34084.18</v>
      </c>
      <c r="W576">
        <v>34084.18</v>
      </c>
      <c r="X576">
        <v>0</v>
      </c>
      <c r="Y576">
        <v>0</v>
      </c>
      <c r="Z576">
        <v>-546</v>
      </c>
      <c r="AA576">
        <v>694186</v>
      </c>
      <c r="AD576" t="s">
        <v>1459</v>
      </c>
      <c r="AE576" t="s">
        <v>1657</v>
      </c>
      <c r="AF576" t="s">
        <v>1459</v>
      </c>
      <c r="AG576" s="1" t="s">
        <v>1658</v>
      </c>
      <c r="AH576" t="s">
        <v>1462</v>
      </c>
    </row>
    <row r="577" spans="1:34" x14ac:dyDescent="0.3">
      <c r="A577">
        <v>101</v>
      </c>
      <c r="B577" t="s">
        <v>34</v>
      </c>
      <c r="C577">
        <v>2</v>
      </c>
      <c r="D577" s="1" t="s">
        <v>1659</v>
      </c>
      <c r="E577" s="1" t="s">
        <v>36</v>
      </c>
      <c r="G577">
        <v>443861</v>
      </c>
      <c r="H577" t="s">
        <v>1654</v>
      </c>
      <c r="I577" t="s">
        <v>1655</v>
      </c>
      <c r="J577">
        <v>18</v>
      </c>
      <c r="K577">
        <v>999000606</v>
      </c>
      <c r="L577">
        <v>50001</v>
      </c>
      <c r="M577" t="s">
        <v>39</v>
      </c>
      <c r="N577">
        <v>67</v>
      </c>
      <c r="O577" s="2">
        <v>46188</v>
      </c>
      <c r="P577" s="2">
        <v>46289</v>
      </c>
      <c r="R577" t="s">
        <v>1660</v>
      </c>
      <c r="S577" t="str">
        <f>"25666160000051021"</f>
        <v>25666160000051021</v>
      </c>
      <c r="T577" t="s">
        <v>41</v>
      </c>
      <c r="U577">
        <v>15560.19</v>
      </c>
      <c r="V577">
        <v>14782.18</v>
      </c>
      <c r="W577">
        <v>14782.18</v>
      </c>
      <c r="X577">
        <v>0</v>
      </c>
      <c r="Y577">
        <v>0</v>
      </c>
      <c r="Z577">
        <v>-514</v>
      </c>
      <c r="AA577">
        <v>691190</v>
      </c>
      <c r="AD577" t="s">
        <v>1459</v>
      </c>
      <c r="AE577" t="s">
        <v>1657</v>
      </c>
      <c r="AF577" t="s">
        <v>1459</v>
      </c>
      <c r="AG577" s="1" t="s">
        <v>1658</v>
      </c>
      <c r="AH577" t="s">
        <v>1462</v>
      </c>
    </row>
    <row r="578" spans="1:34" x14ac:dyDescent="0.3">
      <c r="A578">
        <v>101</v>
      </c>
      <c r="B578" t="s">
        <v>34</v>
      </c>
      <c r="C578">
        <v>2</v>
      </c>
      <c r="D578" s="1" t="s">
        <v>1661</v>
      </c>
      <c r="E578" s="1" t="s">
        <v>36</v>
      </c>
      <c r="G578">
        <v>445143</v>
      </c>
      <c r="H578" t="s">
        <v>1662</v>
      </c>
      <c r="I578" t="s">
        <v>1472</v>
      </c>
      <c r="J578">
        <v>15</v>
      </c>
      <c r="K578">
        <v>4497</v>
      </c>
      <c r="L578">
        <v>95000</v>
      </c>
      <c r="M578" t="s">
        <v>69</v>
      </c>
      <c r="N578">
        <v>67</v>
      </c>
      <c r="O578" s="2">
        <v>46203</v>
      </c>
      <c r="P578" s="2">
        <v>46310</v>
      </c>
      <c r="R578" t="s">
        <v>1663</v>
      </c>
      <c r="S578" t="str">
        <f>""</f>
        <v/>
      </c>
      <c r="T578" t="s">
        <v>41</v>
      </c>
      <c r="U578">
        <v>2842.48</v>
      </c>
      <c r="V578">
        <v>2757.21</v>
      </c>
      <c r="W578">
        <v>2757.21</v>
      </c>
      <c r="X578">
        <v>0</v>
      </c>
      <c r="Y578">
        <v>0</v>
      </c>
      <c r="Z578">
        <v>-535</v>
      </c>
      <c r="AA578">
        <v>693256</v>
      </c>
      <c r="AD578" t="s">
        <v>1664</v>
      </c>
      <c r="AE578" t="s">
        <v>1665</v>
      </c>
      <c r="AF578" t="s">
        <v>1664</v>
      </c>
      <c r="AG578" s="1" t="s">
        <v>1666</v>
      </c>
      <c r="AH578" t="s">
        <v>1462</v>
      </c>
    </row>
    <row r="579" spans="1:34" x14ac:dyDescent="0.3">
      <c r="A579">
        <v>101</v>
      </c>
      <c r="B579" t="s">
        <v>34</v>
      </c>
      <c r="C579">
        <v>2</v>
      </c>
      <c r="D579" s="1" t="s">
        <v>1667</v>
      </c>
      <c r="E579" s="1" t="s">
        <v>36</v>
      </c>
      <c r="G579">
        <v>445144</v>
      </c>
      <c r="H579" t="s">
        <v>1668</v>
      </c>
      <c r="I579" t="s">
        <v>1472</v>
      </c>
      <c r="J579">
        <v>15</v>
      </c>
      <c r="K579">
        <v>4497</v>
      </c>
      <c r="L579">
        <v>95000</v>
      </c>
      <c r="M579" t="s">
        <v>69</v>
      </c>
      <c r="N579">
        <v>67</v>
      </c>
      <c r="O579" s="2">
        <v>46203</v>
      </c>
      <c r="P579" s="2">
        <v>46310</v>
      </c>
      <c r="R579" t="s">
        <v>1669</v>
      </c>
      <c r="S579" t="str">
        <f>""</f>
        <v/>
      </c>
      <c r="T579" t="s">
        <v>41</v>
      </c>
      <c r="U579">
        <v>4044.17</v>
      </c>
      <c r="V579">
        <v>3922.84</v>
      </c>
      <c r="W579">
        <v>3922.84</v>
      </c>
      <c r="X579">
        <v>0</v>
      </c>
      <c r="Y579">
        <v>0</v>
      </c>
      <c r="Z579">
        <v>-535</v>
      </c>
      <c r="AA579">
        <v>693270</v>
      </c>
      <c r="AD579" t="s">
        <v>1670</v>
      </c>
      <c r="AE579" t="s">
        <v>1671</v>
      </c>
      <c r="AF579" t="s">
        <v>1670</v>
      </c>
      <c r="AG579" s="1" t="s">
        <v>1672</v>
      </c>
      <c r="AH579" t="s">
        <v>1462</v>
      </c>
    </row>
    <row r="580" spans="1:34" x14ac:dyDescent="0.3">
      <c r="A580">
        <v>101</v>
      </c>
      <c r="B580" t="s">
        <v>34</v>
      </c>
      <c r="C580">
        <v>2</v>
      </c>
      <c r="D580" s="1" t="s">
        <v>1673</v>
      </c>
      <c r="E580" s="1" t="s">
        <v>36</v>
      </c>
      <c r="G580">
        <v>445144</v>
      </c>
      <c r="H580" t="s">
        <v>1668</v>
      </c>
      <c r="I580" t="s">
        <v>1472</v>
      </c>
      <c r="J580">
        <v>15</v>
      </c>
      <c r="K580">
        <v>4497</v>
      </c>
      <c r="L580">
        <v>95000</v>
      </c>
      <c r="M580" t="s">
        <v>69</v>
      </c>
      <c r="N580">
        <v>67</v>
      </c>
      <c r="O580" s="2">
        <v>46234</v>
      </c>
      <c r="P580" s="2">
        <v>46336</v>
      </c>
      <c r="R580" t="s">
        <v>1674</v>
      </c>
      <c r="S580" t="str">
        <f>""</f>
        <v/>
      </c>
      <c r="T580" t="s">
        <v>41</v>
      </c>
      <c r="U580">
        <v>3041.56</v>
      </c>
      <c r="V580">
        <v>2846.05</v>
      </c>
      <c r="W580">
        <v>2846.05</v>
      </c>
      <c r="X580">
        <v>0</v>
      </c>
      <c r="Y580">
        <v>0</v>
      </c>
      <c r="Z580">
        <v>-561</v>
      </c>
      <c r="AA580">
        <v>695738</v>
      </c>
      <c r="AD580" t="s">
        <v>1670</v>
      </c>
      <c r="AE580" t="s">
        <v>1671</v>
      </c>
      <c r="AF580" t="s">
        <v>1670</v>
      </c>
      <c r="AG580" s="1" t="s">
        <v>1672</v>
      </c>
      <c r="AH580" t="s">
        <v>1462</v>
      </c>
    </row>
    <row r="581" spans="1:34" x14ac:dyDescent="0.3">
      <c r="A581">
        <v>101</v>
      </c>
      <c r="B581" t="s">
        <v>34</v>
      </c>
      <c r="C581">
        <v>2</v>
      </c>
      <c r="D581" s="1" t="s">
        <v>1675</v>
      </c>
      <c r="E581" s="1" t="s">
        <v>36</v>
      </c>
      <c r="G581">
        <v>446643</v>
      </c>
      <c r="H581" t="s">
        <v>1676</v>
      </c>
      <c r="I581" t="s">
        <v>1472</v>
      </c>
      <c r="J581">
        <v>15</v>
      </c>
      <c r="K581">
        <v>4497</v>
      </c>
      <c r="L581">
        <v>95000</v>
      </c>
      <c r="M581" t="s">
        <v>69</v>
      </c>
      <c r="N581">
        <v>67</v>
      </c>
      <c r="O581" s="2">
        <v>46203</v>
      </c>
      <c r="P581" s="2">
        <v>46300</v>
      </c>
      <c r="R581" t="s">
        <v>1677</v>
      </c>
      <c r="S581" t="str">
        <f>""</f>
        <v/>
      </c>
      <c r="T581" t="s">
        <v>41</v>
      </c>
      <c r="U581">
        <v>4587.0200000000004</v>
      </c>
      <c r="V581">
        <v>4449.41</v>
      </c>
      <c r="W581">
        <v>4449.41</v>
      </c>
      <c r="X581">
        <v>0</v>
      </c>
      <c r="Y581">
        <v>0</v>
      </c>
      <c r="Z581">
        <v>-525</v>
      </c>
      <c r="AA581">
        <v>693272</v>
      </c>
      <c r="AD581" t="s">
        <v>1678</v>
      </c>
      <c r="AE581" t="s">
        <v>1679</v>
      </c>
      <c r="AF581" t="s">
        <v>1678</v>
      </c>
      <c r="AG581" s="1" t="s">
        <v>1680</v>
      </c>
      <c r="AH581" t="s">
        <v>1462</v>
      </c>
    </row>
    <row r="582" spans="1:34" x14ac:dyDescent="0.3">
      <c r="A582">
        <v>101</v>
      </c>
      <c r="B582" t="s">
        <v>34</v>
      </c>
      <c r="C582">
        <v>2</v>
      </c>
      <c r="D582" s="1" t="s">
        <v>1681</v>
      </c>
      <c r="E582" s="1" t="s">
        <v>36</v>
      </c>
      <c r="G582">
        <v>448599</v>
      </c>
      <c r="H582" t="s">
        <v>1682</v>
      </c>
      <c r="I582" t="s">
        <v>1472</v>
      </c>
      <c r="J582">
        <v>15</v>
      </c>
      <c r="K582">
        <v>4497</v>
      </c>
      <c r="L582">
        <v>95000</v>
      </c>
      <c r="M582" t="s">
        <v>69</v>
      </c>
      <c r="N582">
        <v>67</v>
      </c>
      <c r="O582" s="2">
        <v>46203</v>
      </c>
      <c r="P582" s="2">
        <v>46310</v>
      </c>
      <c r="R582" t="s">
        <v>1683</v>
      </c>
      <c r="S582" t="str">
        <f>""</f>
        <v/>
      </c>
      <c r="T582" t="s">
        <v>41</v>
      </c>
      <c r="U582">
        <v>2251.1799999999998</v>
      </c>
      <c r="V582">
        <v>2183.64</v>
      </c>
      <c r="W582">
        <v>2183.64</v>
      </c>
      <c r="X582">
        <v>0</v>
      </c>
      <c r="Y582">
        <v>0</v>
      </c>
      <c r="Z582">
        <v>-535</v>
      </c>
      <c r="AA582">
        <v>693274</v>
      </c>
      <c r="AD582" t="s">
        <v>1684</v>
      </c>
      <c r="AE582" t="s">
        <v>1685</v>
      </c>
      <c r="AF582" t="s">
        <v>1684</v>
      </c>
      <c r="AG582" s="1" t="s">
        <v>1686</v>
      </c>
      <c r="AH582" t="s">
        <v>1462</v>
      </c>
    </row>
    <row r="583" spans="1:34" x14ac:dyDescent="0.3">
      <c r="A583">
        <v>101</v>
      </c>
      <c r="B583" t="s">
        <v>34</v>
      </c>
      <c r="C583">
        <v>2</v>
      </c>
      <c r="D583" s="1" t="s">
        <v>1687</v>
      </c>
      <c r="E583" s="1" t="s">
        <v>36</v>
      </c>
      <c r="G583">
        <v>448599</v>
      </c>
      <c r="H583" t="s">
        <v>1682</v>
      </c>
      <c r="I583" t="s">
        <v>1472</v>
      </c>
      <c r="J583">
        <v>15</v>
      </c>
      <c r="K583">
        <v>4497</v>
      </c>
      <c r="L583">
        <v>95000</v>
      </c>
      <c r="M583" t="s">
        <v>69</v>
      </c>
      <c r="N583">
        <v>67</v>
      </c>
      <c r="O583" s="2">
        <v>46234</v>
      </c>
      <c r="P583" s="2">
        <v>46336</v>
      </c>
      <c r="R583" t="s">
        <v>1688</v>
      </c>
      <c r="S583" t="str">
        <f>""</f>
        <v/>
      </c>
      <c r="T583" t="s">
        <v>41</v>
      </c>
      <c r="U583">
        <v>2429.9499999999998</v>
      </c>
      <c r="V583">
        <v>2357.0500000000002</v>
      </c>
      <c r="W583">
        <v>2357.0500000000002</v>
      </c>
      <c r="X583">
        <v>0</v>
      </c>
      <c r="Y583">
        <v>0</v>
      </c>
      <c r="Z583">
        <v>-561</v>
      </c>
      <c r="AA583">
        <v>695740</v>
      </c>
      <c r="AD583" t="s">
        <v>1684</v>
      </c>
      <c r="AE583" t="s">
        <v>1685</v>
      </c>
      <c r="AF583" t="s">
        <v>1684</v>
      </c>
      <c r="AG583" s="1" t="s">
        <v>1686</v>
      </c>
      <c r="AH583" t="s">
        <v>1462</v>
      </c>
    </row>
    <row r="584" spans="1:34" x14ac:dyDescent="0.3">
      <c r="A584">
        <v>101</v>
      </c>
      <c r="B584" t="s">
        <v>34</v>
      </c>
      <c r="C584">
        <v>2</v>
      </c>
      <c r="D584" s="1" t="s">
        <v>1689</v>
      </c>
      <c r="E584" s="1" t="s">
        <v>36</v>
      </c>
      <c r="G584">
        <v>449970</v>
      </c>
      <c r="H584" t="s">
        <v>1690</v>
      </c>
      <c r="I584" t="s">
        <v>1472</v>
      </c>
      <c r="J584">
        <v>15</v>
      </c>
      <c r="K584">
        <v>4497</v>
      </c>
      <c r="L584">
        <v>95000</v>
      </c>
      <c r="M584" t="s">
        <v>69</v>
      </c>
      <c r="N584">
        <v>67</v>
      </c>
      <c r="O584" s="2">
        <v>46203</v>
      </c>
      <c r="P584" s="2">
        <v>46300</v>
      </c>
      <c r="R584" t="s">
        <v>1691</v>
      </c>
      <c r="S584" t="str">
        <f>""</f>
        <v/>
      </c>
      <c r="T584" t="s">
        <v>41</v>
      </c>
      <c r="U584">
        <v>4693.09</v>
      </c>
      <c r="V584">
        <v>4552.3</v>
      </c>
      <c r="W584">
        <v>4552.3</v>
      </c>
      <c r="X584">
        <v>0</v>
      </c>
      <c r="Y584">
        <v>0</v>
      </c>
      <c r="Z584">
        <v>-525</v>
      </c>
      <c r="AA584">
        <v>693276</v>
      </c>
      <c r="AD584" t="s">
        <v>1692</v>
      </c>
      <c r="AE584" t="s">
        <v>1693</v>
      </c>
      <c r="AF584" t="s">
        <v>1692</v>
      </c>
      <c r="AG584" s="1" t="s">
        <v>1694</v>
      </c>
      <c r="AH584" t="s">
        <v>1462</v>
      </c>
    </row>
    <row r="585" spans="1:34" x14ac:dyDescent="0.3">
      <c r="A585">
        <v>101</v>
      </c>
      <c r="B585" t="s">
        <v>34</v>
      </c>
      <c r="C585">
        <v>2</v>
      </c>
      <c r="D585" s="1" t="s">
        <v>1695</v>
      </c>
      <c r="E585" s="1" t="s">
        <v>36</v>
      </c>
      <c r="G585">
        <v>450452</v>
      </c>
      <c r="H585" t="s">
        <v>1696</v>
      </c>
      <c r="I585" t="s">
        <v>1697</v>
      </c>
      <c r="J585">
        <v>15</v>
      </c>
      <c r="K585">
        <v>4497</v>
      </c>
      <c r="L585">
        <v>95000</v>
      </c>
      <c r="M585" t="s">
        <v>69</v>
      </c>
      <c r="N585">
        <v>67</v>
      </c>
      <c r="O585" s="2">
        <v>46203</v>
      </c>
      <c r="P585" s="2">
        <v>46300</v>
      </c>
      <c r="R585" t="s">
        <v>1698</v>
      </c>
      <c r="S585" t="str">
        <f>""</f>
        <v/>
      </c>
      <c r="T585" t="s">
        <v>41</v>
      </c>
      <c r="U585">
        <v>936.7</v>
      </c>
      <c r="V585">
        <v>908.6</v>
      </c>
      <c r="W585">
        <v>908.6</v>
      </c>
      <c r="X585">
        <v>0</v>
      </c>
      <c r="Y585">
        <v>0</v>
      </c>
      <c r="Z585">
        <v>-525</v>
      </c>
      <c r="AA585">
        <v>693278</v>
      </c>
      <c r="AD585" t="s">
        <v>1699</v>
      </c>
      <c r="AE585" t="s">
        <v>1700</v>
      </c>
      <c r="AF585" t="s">
        <v>1699</v>
      </c>
      <c r="AG585" s="1" t="s">
        <v>1701</v>
      </c>
      <c r="AH585" t="s">
        <v>1462</v>
      </c>
    </row>
    <row r="586" spans="1:34" x14ac:dyDescent="0.3">
      <c r="A586">
        <v>101</v>
      </c>
      <c r="B586" t="s">
        <v>34</v>
      </c>
      <c r="C586">
        <v>2</v>
      </c>
      <c r="D586" s="1" t="s">
        <v>1702</v>
      </c>
      <c r="E586" s="1" t="s">
        <v>36</v>
      </c>
      <c r="G586">
        <v>450452</v>
      </c>
      <c r="H586" t="s">
        <v>1696</v>
      </c>
      <c r="I586" t="s">
        <v>1697</v>
      </c>
      <c r="J586">
        <v>15</v>
      </c>
      <c r="K586">
        <v>4497</v>
      </c>
      <c r="L586">
        <v>95000</v>
      </c>
      <c r="M586" t="s">
        <v>69</v>
      </c>
      <c r="N586">
        <v>67</v>
      </c>
      <c r="O586" s="2">
        <v>46234</v>
      </c>
      <c r="P586" s="2">
        <v>46336</v>
      </c>
      <c r="R586" t="s">
        <v>1703</v>
      </c>
      <c r="S586" t="str">
        <f>""</f>
        <v/>
      </c>
      <c r="T586" t="s">
        <v>41</v>
      </c>
      <c r="U586">
        <v>2697.19</v>
      </c>
      <c r="V586">
        <v>2616.27</v>
      </c>
      <c r="W586">
        <v>2616.27</v>
      </c>
      <c r="X586">
        <v>0</v>
      </c>
      <c r="Y586">
        <v>0</v>
      </c>
      <c r="Z586">
        <v>-561</v>
      </c>
      <c r="AA586">
        <v>695742</v>
      </c>
      <c r="AD586" t="s">
        <v>1699</v>
      </c>
      <c r="AE586" t="s">
        <v>1700</v>
      </c>
      <c r="AF586" t="s">
        <v>1699</v>
      </c>
      <c r="AG586" s="1" t="s">
        <v>1701</v>
      </c>
      <c r="AH586" t="s">
        <v>1462</v>
      </c>
    </row>
    <row r="587" spans="1:34" x14ac:dyDescent="0.3">
      <c r="A587">
        <v>101</v>
      </c>
      <c r="B587" t="s">
        <v>34</v>
      </c>
      <c r="C587">
        <v>2</v>
      </c>
      <c r="D587" s="1" t="s">
        <v>1704</v>
      </c>
      <c r="E587" s="1" t="s">
        <v>36</v>
      </c>
      <c r="G587">
        <v>450579</v>
      </c>
      <c r="H587" t="s">
        <v>1705</v>
      </c>
      <c r="I587" t="s">
        <v>1472</v>
      </c>
      <c r="J587">
        <v>15</v>
      </c>
      <c r="K587">
        <v>4497</v>
      </c>
      <c r="L587">
        <v>95000</v>
      </c>
      <c r="M587" t="s">
        <v>69</v>
      </c>
      <c r="N587">
        <v>67</v>
      </c>
      <c r="O587" s="2">
        <v>46234</v>
      </c>
      <c r="P587" s="2">
        <v>46331</v>
      </c>
      <c r="R587" t="s">
        <v>1706</v>
      </c>
      <c r="S587" t="str">
        <f>""</f>
        <v/>
      </c>
      <c r="T587" t="s">
        <v>41</v>
      </c>
      <c r="U587">
        <v>3861.6</v>
      </c>
      <c r="V587">
        <v>3745.75</v>
      </c>
      <c r="W587">
        <v>3745.75</v>
      </c>
      <c r="X587">
        <v>0</v>
      </c>
      <c r="Y587">
        <v>0</v>
      </c>
      <c r="Z587">
        <v>-556</v>
      </c>
      <c r="AA587">
        <v>695744</v>
      </c>
      <c r="AD587" t="s">
        <v>1707</v>
      </c>
      <c r="AE587" t="s">
        <v>1708</v>
      </c>
      <c r="AF587" t="s">
        <v>1707</v>
      </c>
      <c r="AG587" s="1" t="s">
        <v>1709</v>
      </c>
      <c r="AH587" t="s">
        <v>1462</v>
      </c>
    </row>
    <row r="588" spans="1:34" x14ac:dyDescent="0.3">
      <c r="A588">
        <v>101</v>
      </c>
      <c r="B588" t="s">
        <v>34</v>
      </c>
      <c r="C588">
        <v>2</v>
      </c>
      <c r="D588" s="1" t="s">
        <v>1710</v>
      </c>
      <c r="E588" s="1" t="s">
        <v>36</v>
      </c>
      <c r="G588">
        <v>450579</v>
      </c>
      <c r="H588" t="s">
        <v>1705</v>
      </c>
      <c r="I588" t="s">
        <v>1472</v>
      </c>
      <c r="J588">
        <v>15</v>
      </c>
      <c r="K588">
        <v>4497</v>
      </c>
      <c r="L588">
        <v>95000</v>
      </c>
      <c r="M588" t="s">
        <v>69</v>
      </c>
      <c r="N588">
        <v>67</v>
      </c>
      <c r="O588" s="2">
        <v>46203</v>
      </c>
      <c r="P588" s="2">
        <v>46308</v>
      </c>
      <c r="R588" t="s">
        <v>1711</v>
      </c>
      <c r="S588" t="str">
        <f>""</f>
        <v/>
      </c>
      <c r="T588" t="s">
        <v>41</v>
      </c>
      <c r="U588">
        <v>3515.86</v>
      </c>
      <c r="V588">
        <v>3410.38</v>
      </c>
      <c r="W588">
        <v>3410.38</v>
      </c>
      <c r="X588">
        <v>0</v>
      </c>
      <c r="Y588">
        <v>0</v>
      </c>
      <c r="Z588">
        <v>-533</v>
      </c>
      <c r="AA588">
        <v>693280</v>
      </c>
      <c r="AD588" t="s">
        <v>1707</v>
      </c>
      <c r="AE588" t="s">
        <v>1708</v>
      </c>
      <c r="AF588" t="s">
        <v>1707</v>
      </c>
      <c r="AG588" s="1" t="s">
        <v>1709</v>
      </c>
      <c r="AH588" t="s">
        <v>1462</v>
      </c>
    </row>
    <row r="589" spans="1:34" x14ac:dyDescent="0.3">
      <c r="A589">
        <v>101</v>
      </c>
      <c r="B589" t="s">
        <v>34</v>
      </c>
      <c r="C589">
        <v>2</v>
      </c>
      <c r="D589" s="1" t="s">
        <v>1712</v>
      </c>
      <c r="E589" s="1" t="s">
        <v>36</v>
      </c>
      <c r="G589">
        <v>450860</v>
      </c>
      <c r="H589" t="s">
        <v>1713</v>
      </c>
      <c r="I589" t="s">
        <v>1472</v>
      </c>
      <c r="J589">
        <v>15</v>
      </c>
      <c r="K589">
        <v>4497</v>
      </c>
      <c r="L589">
        <v>95000</v>
      </c>
      <c r="M589" t="s">
        <v>69</v>
      </c>
      <c r="N589">
        <v>67</v>
      </c>
      <c r="O589" s="2">
        <v>46203</v>
      </c>
      <c r="P589" s="2">
        <v>46300</v>
      </c>
      <c r="R589" t="s">
        <v>1714</v>
      </c>
      <c r="S589" t="str">
        <f>""</f>
        <v/>
      </c>
      <c r="T589" t="s">
        <v>41</v>
      </c>
      <c r="U589">
        <v>1607.79</v>
      </c>
      <c r="V589">
        <v>1559.56</v>
      </c>
      <c r="W589">
        <v>1559.56</v>
      </c>
      <c r="X589">
        <v>0</v>
      </c>
      <c r="Y589">
        <v>0</v>
      </c>
      <c r="Z589">
        <v>-525</v>
      </c>
      <c r="AA589">
        <v>693284</v>
      </c>
      <c r="AD589" t="s">
        <v>1715</v>
      </c>
      <c r="AE589" t="s">
        <v>1716</v>
      </c>
      <c r="AF589" t="s">
        <v>1715</v>
      </c>
      <c r="AG589" s="1" t="s">
        <v>1717</v>
      </c>
      <c r="AH589" t="s">
        <v>1462</v>
      </c>
    </row>
    <row r="590" spans="1:34" x14ac:dyDescent="0.3">
      <c r="A590">
        <v>101</v>
      </c>
      <c r="B590" t="s">
        <v>34</v>
      </c>
      <c r="C590">
        <v>2</v>
      </c>
      <c r="D590" s="1" t="s">
        <v>1718</v>
      </c>
      <c r="E590" s="1" t="s">
        <v>36</v>
      </c>
      <c r="G590">
        <v>450861</v>
      </c>
      <c r="H590" t="s">
        <v>1719</v>
      </c>
      <c r="I590" t="s">
        <v>1472</v>
      </c>
      <c r="J590">
        <v>15</v>
      </c>
      <c r="K590">
        <v>4497</v>
      </c>
      <c r="L590">
        <v>95000</v>
      </c>
      <c r="M590" t="s">
        <v>69</v>
      </c>
      <c r="N590">
        <v>67</v>
      </c>
      <c r="O590" s="2">
        <v>46203</v>
      </c>
      <c r="P590" s="2">
        <v>46300</v>
      </c>
      <c r="R590" t="s">
        <v>1720</v>
      </c>
      <c r="S590" t="str">
        <f>""</f>
        <v/>
      </c>
      <c r="T590" t="s">
        <v>41</v>
      </c>
      <c r="U590">
        <v>1445.12</v>
      </c>
      <c r="V590">
        <v>1401.77</v>
      </c>
      <c r="W590">
        <v>1401.77</v>
      </c>
      <c r="X590">
        <v>0</v>
      </c>
      <c r="Y590">
        <v>0</v>
      </c>
      <c r="Z590">
        <v>-525</v>
      </c>
      <c r="AA590">
        <v>693282</v>
      </c>
      <c r="AD590" t="s">
        <v>1721</v>
      </c>
      <c r="AE590" t="s">
        <v>1722</v>
      </c>
      <c r="AF590" t="s">
        <v>1721</v>
      </c>
      <c r="AG590" s="1" t="s">
        <v>1723</v>
      </c>
      <c r="AH590" t="s">
        <v>1462</v>
      </c>
    </row>
    <row r="591" spans="1:34" x14ac:dyDescent="0.3">
      <c r="A591">
        <v>101</v>
      </c>
      <c r="B591" t="s">
        <v>34</v>
      </c>
      <c r="C591">
        <v>2</v>
      </c>
      <c r="D591" s="1" t="s">
        <v>1724</v>
      </c>
      <c r="E591" s="1" t="s">
        <v>36</v>
      </c>
      <c r="G591">
        <v>451074</v>
      </c>
      <c r="H591" t="s">
        <v>1725</v>
      </c>
      <c r="I591" t="s">
        <v>1472</v>
      </c>
      <c r="J591">
        <v>15</v>
      </c>
      <c r="K591">
        <v>4497</v>
      </c>
      <c r="L591">
        <v>95000</v>
      </c>
      <c r="M591" t="s">
        <v>69</v>
      </c>
      <c r="N591">
        <v>67</v>
      </c>
      <c r="O591" s="2">
        <v>46203</v>
      </c>
      <c r="P591" s="2">
        <v>46310</v>
      </c>
      <c r="R591" t="s">
        <v>1726</v>
      </c>
      <c r="S591" t="str">
        <f>""</f>
        <v/>
      </c>
      <c r="T591" t="s">
        <v>41</v>
      </c>
      <c r="U591">
        <v>1010.41</v>
      </c>
      <c r="V591">
        <v>980.1</v>
      </c>
      <c r="W591">
        <v>980.1</v>
      </c>
      <c r="X591">
        <v>0</v>
      </c>
      <c r="Y591">
        <v>0</v>
      </c>
      <c r="Z591">
        <v>-535</v>
      </c>
      <c r="AA591">
        <v>693288</v>
      </c>
      <c r="AD591" t="s">
        <v>1727</v>
      </c>
      <c r="AE591" t="s">
        <v>1728</v>
      </c>
      <c r="AF591" t="s">
        <v>1727</v>
      </c>
      <c r="AG591" s="1" t="s">
        <v>1729</v>
      </c>
      <c r="AH591" t="s">
        <v>1462</v>
      </c>
    </row>
    <row r="592" spans="1:34" x14ac:dyDescent="0.3">
      <c r="A592">
        <v>101</v>
      </c>
      <c r="B592" t="s">
        <v>34</v>
      </c>
      <c r="C592">
        <v>2</v>
      </c>
      <c r="D592" s="1" t="s">
        <v>1730</v>
      </c>
      <c r="E592" s="1" t="s">
        <v>36</v>
      </c>
      <c r="G592">
        <v>451075</v>
      </c>
      <c r="H592" t="s">
        <v>1731</v>
      </c>
      <c r="I592" t="s">
        <v>1472</v>
      </c>
      <c r="J592">
        <v>15</v>
      </c>
      <c r="K592">
        <v>4497</v>
      </c>
      <c r="L592">
        <v>95000</v>
      </c>
      <c r="M592" t="s">
        <v>69</v>
      </c>
      <c r="N592">
        <v>67</v>
      </c>
      <c r="O592" s="2">
        <v>46203</v>
      </c>
      <c r="P592" s="2">
        <v>46300</v>
      </c>
      <c r="R592" t="s">
        <v>1732</v>
      </c>
      <c r="S592" t="str">
        <f>""</f>
        <v/>
      </c>
      <c r="T592" t="s">
        <v>41</v>
      </c>
      <c r="U592">
        <v>3248.99</v>
      </c>
      <c r="V592">
        <v>3151.52</v>
      </c>
      <c r="W592">
        <v>3151.52</v>
      </c>
      <c r="X592">
        <v>0</v>
      </c>
      <c r="Y592">
        <v>0</v>
      </c>
      <c r="Z592">
        <v>-525</v>
      </c>
      <c r="AA592">
        <v>693290</v>
      </c>
      <c r="AD592" t="s">
        <v>1474</v>
      </c>
      <c r="AE592" t="s">
        <v>1728</v>
      </c>
      <c r="AF592" t="s">
        <v>1474</v>
      </c>
      <c r="AG592" s="1" t="s">
        <v>1733</v>
      </c>
      <c r="AH592" t="s">
        <v>1462</v>
      </c>
    </row>
    <row r="593" spans="1:34" x14ac:dyDescent="0.3">
      <c r="A593">
        <v>101</v>
      </c>
      <c r="B593" t="s">
        <v>34</v>
      </c>
      <c r="C593">
        <v>2</v>
      </c>
      <c r="D593" s="1" t="s">
        <v>1734</v>
      </c>
      <c r="E593" s="1" t="s">
        <v>36</v>
      </c>
      <c r="G593">
        <v>451075</v>
      </c>
      <c r="H593" t="s">
        <v>1731</v>
      </c>
      <c r="I593" t="s">
        <v>1472</v>
      </c>
      <c r="J593">
        <v>15</v>
      </c>
      <c r="K593">
        <v>4497</v>
      </c>
      <c r="L593">
        <v>95000</v>
      </c>
      <c r="M593" t="s">
        <v>69</v>
      </c>
      <c r="N593">
        <v>67</v>
      </c>
      <c r="O593" s="2">
        <v>46234</v>
      </c>
      <c r="P593" s="2">
        <v>46331</v>
      </c>
      <c r="R593" t="s">
        <v>1735</v>
      </c>
      <c r="S593" t="str">
        <f>""</f>
        <v/>
      </c>
      <c r="T593" t="s">
        <v>41</v>
      </c>
      <c r="U593">
        <v>4701.91</v>
      </c>
      <c r="V593">
        <v>4560.8500000000004</v>
      </c>
      <c r="W593">
        <v>4560.8500000000004</v>
      </c>
      <c r="X593">
        <v>0</v>
      </c>
      <c r="Y593">
        <v>0</v>
      </c>
      <c r="Z593">
        <v>-556</v>
      </c>
      <c r="AA593">
        <v>695746</v>
      </c>
      <c r="AD593" t="s">
        <v>1474</v>
      </c>
      <c r="AE593" t="s">
        <v>1728</v>
      </c>
      <c r="AF593" t="s">
        <v>1474</v>
      </c>
      <c r="AG593" s="1" t="s">
        <v>1733</v>
      </c>
      <c r="AH593" t="s">
        <v>1462</v>
      </c>
    </row>
    <row r="594" spans="1:34" x14ac:dyDescent="0.3">
      <c r="A594">
        <v>101</v>
      </c>
      <c r="B594" t="s">
        <v>34</v>
      </c>
      <c r="C594">
        <v>2</v>
      </c>
      <c r="D594" s="1" t="s">
        <v>1736</v>
      </c>
      <c r="E594" s="1" t="s">
        <v>36</v>
      </c>
      <c r="G594">
        <v>451076</v>
      </c>
      <c r="H594" t="s">
        <v>1737</v>
      </c>
      <c r="I594" t="s">
        <v>1472</v>
      </c>
      <c r="J594">
        <v>15</v>
      </c>
      <c r="K594">
        <v>4497</v>
      </c>
      <c r="L594">
        <v>95000</v>
      </c>
      <c r="M594" t="s">
        <v>69</v>
      </c>
      <c r="N594">
        <v>67</v>
      </c>
      <c r="O594" s="2">
        <v>46203</v>
      </c>
      <c r="P594" s="2">
        <v>46308</v>
      </c>
      <c r="R594" t="s">
        <v>1738</v>
      </c>
      <c r="S594" t="str">
        <f>""</f>
        <v/>
      </c>
      <c r="T594" t="s">
        <v>41</v>
      </c>
      <c r="U594">
        <v>2157.94</v>
      </c>
      <c r="V594">
        <v>2093.1999999999998</v>
      </c>
      <c r="W594">
        <v>2093.1999999999998</v>
      </c>
      <c r="X594">
        <v>0</v>
      </c>
      <c r="Y594">
        <v>0</v>
      </c>
      <c r="Z594">
        <v>-533</v>
      </c>
      <c r="AA594">
        <v>693286</v>
      </c>
      <c r="AD594" t="s">
        <v>1459</v>
      </c>
      <c r="AE594" t="s">
        <v>1739</v>
      </c>
      <c r="AF594" t="s">
        <v>1459</v>
      </c>
      <c r="AG594" s="1" t="s">
        <v>1740</v>
      </c>
      <c r="AH594" t="s">
        <v>1462</v>
      </c>
    </row>
    <row r="595" spans="1:34" x14ac:dyDescent="0.3">
      <c r="A595">
        <v>101</v>
      </c>
      <c r="B595" t="s">
        <v>34</v>
      </c>
      <c r="C595">
        <v>2</v>
      </c>
      <c r="D595" s="1" t="s">
        <v>1741</v>
      </c>
      <c r="E595" s="1" t="s">
        <v>36</v>
      </c>
      <c r="G595">
        <v>451280</v>
      </c>
      <c r="H595" t="s">
        <v>1742</v>
      </c>
      <c r="I595" t="s">
        <v>1472</v>
      </c>
      <c r="J595">
        <v>15</v>
      </c>
      <c r="K595">
        <v>4497</v>
      </c>
      <c r="L595">
        <v>95000</v>
      </c>
      <c r="M595" t="s">
        <v>69</v>
      </c>
      <c r="N595">
        <v>67</v>
      </c>
      <c r="O595" s="2">
        <v>46203</v>
      </c>
      <c r="P595" s="2">
        <v>46300</v>
      </c>
      <c r="R595" t="s">
        <v>1743</v>
      </c>
      <c r="S595" t="str">
        <f>""</f>
        <v/>
      </c>
      <c r="T595" t="s">
        <v>41</v>
      </c>
      <c r="U595">
        <v>3023.07</v>
      </c>
      <c r="V595">
        <v>2932.38</v>
      </c>
      <c r="W595">
        <v>2932.38</v>
      </c>
      <c r="X595">
        <v>0</v>
      </c>
      <c r="Y595">
        <v>0</v>
      </c>
      <c r="Z595">
        <v>-525</v>
      </c>
      <c r="AA595">
        <v>693293</v>
      </c>
      <c r="AD595" t="s">
        <v>1606</v>
      </c>
      <c r="AE595" t="s">
        <v>1744</v>
      </c>
      <c r="AF595" t="s">
        <v>1606</v>
      </c>
      <c r="AG595" s="1" t="s">
        <v>1745</v>
      </c>
      <c r="AH595" t="s">
        <v>1462</v>
      </c>
    </row>
    <row r="596" spans="1:34" x14ac:dyDescent="0.3">
      <c r="A596">
        <v>101</v>
      </c>
      <c r="B596" t="s">
        <v>34</v>
      </c>
      <c r="C596">
        <v>2</v>
      </c>
      <c r="D596" s="1" t="s">
        <v>1746</v>
      </c>
      <c r="E596" s="1" t="s">
        <v>36</v>
      </c>
      <c r="G596">
        <v>451280</v>
      </c>
      <c r="H596" t="s">
        <v>1742</v>
      </c>
      <c r="I596" t="s">
        <v>1472</v>
      </c>
      <c r="J596">
        <v>15</v>
      </c>
      <c r="K596">
        <v>4497</v>
      </c>
      <c r="L596">
        <v>95000</v>
      </c>
      <c r="M596" t="s">
        <v>69</v>
      </c>
      <c r="N596">
        <v>67</v>
      </c>
      <c r="O596" s="2">
        <v>46234</v>
      </c>
      <c r="P596" s="2">
        <v>46331</v>
      </c>
      <c r="R596" t="s">
        <v>1747</v>
      </c>
      <c r="S596" t="str">
        <f>""</f>
        <v/>
      </c>
      <c r="T596" t="s">
        <v>41</v>
      </c>
      <c r="U596">
        <v>4459.63</v>
      </c>
      <c r="V596">
        <v>4325.84</v>
      </c>
      <c r="W596">
        <v>4325.84</v>
      </c>
      <c r="X596">
        <v>0</v>
      </c>
      <c r="Y596">
        <v>0</v>
      </c>
      <c r="Z596">
        <v>-556</v>
      </c>
      <c r="AA596">
        <v>695748</v>
      </c>
      <c r="AD596" t="s">
        <v>1606</v>
      </c>
      <c r="AE596" t="s">
        <v>1744</v>
      </c>
      <c r="AF596" t="s">
        <v>1606</v>
      </c>
      <c r="AG596" s="1" t="s">
        <v>1745</v>
      </c>
      <c r="AH596" t="s">
        <v>1462</v>
      </c>
    </row>
    <row r="597" spans="1:34" x14ac:dyDescent="0.3">
      <c r="A597">
        <v>101</v>
      </c>
      <c r="B597" t="s">
        <v>34</v>
      </c>
      <c r="C597">
        <v>2</v>
      </c>
      <c r="D597" s="1" t="s">
        <v>1748</v>
      </c>
      <c r="E597" s="1" t="s">
        <v>36</v>
      </c>
      <c r="G597">
        <v>451281</v>
      </c>
      <c r="H597" t="s">
        <v>1749</v>
      </c>
      <c r="I597" t="s">
        <v>1472</v>
      </c>
      <c r="J597">
        <v>15</v>
      </c>
      <c r="K597">
        <v>4497</v>
      </c>
      <c r="L597">
        <v>95000</v>
      </c>
      <c r="M597" t="s">
        <v>69</v>
      </c>
      <c r="N597">
        <v>67</v>
      </c>
      <c r="O597" s="2">
        <v>46203</v>
      </c>
      <c r="P597" s="2">
        <v>46308</v>
      </c>
      <c r="R597" t="s">
        <v>1750</v>
      </c>
      <c r="S597" t="str">
        <f>""</f>
        <v/>
      </c>
      <c r="T597" t="s">
        <v>41</v>
      </c>
      <c r="U597">
        <v>2552.31</v>
      </c>
      <c r="V597">
        <v>2475.7399999999998</v>
      </c>
      <c r="W597">
        <v>2475.7399999999998</v>
      </c>
      <c r="X597">
        <v>0</v>
      </c>
      <c r="Y597">
        <v>0</v>
      </c>
      <c r="Z597">
        <v>-533</v>
      </c>
      <c r="AA597">
        <v>693295</v>
      </c>
      <c r="AD597" t="s">
        <v>1751</v>
      </c>
      <c r="AE597" t="s">
        <v>1752</v>
      </c>
      <c r="AF597" t="s">
        <v>1751</v>
      </c>
      <c r="AG597" s="1" t="s">
        <v>1753</v>
      </c>
      <c r="AH597" t="s">
        <v>1462</v>
      </c>
    </row>
    <row r="598" spans="1:34" x14ac:dyDescent="0.3">
      <c r="A598">
        <v>101</v>
      </c>
      <c r="B598" t="s">
        <v>34</v>
      </c>
      <c r="C598">
        <v>2</v>
      </c>
      <c r="D598" s="1" t="s">
        <v>1754</v>
      </c>
      <c r="E598" s="1" t="s">
        <v>36</v>
      </c>
      <c r="G598">
        <v>452077</v>
      </c>
      <c r="H598" t="s">
        <v>1755</v>
      </c>
      <c r="I598" t="s">
        <v>1472</v>
      </c>
      <c r="J598">
        <v>15</v>
      </c>
      <c r="K598">
        <v>4497</v>
      </c>
      <c r="L598">
        <v>95000</v>
      </c>
      <c r="M598" t="s">
        <v>69</v>
      </c>
      <c r="N598">
        <v>67</v>
      </c>
      <c r="O598" s="2">
        <v>46203</v>
      </c>
      <c r="P598" s="2">
        <v>46308</v>
      </c>
      <c r="R598" t="s">
        <v>1756</v>
      </c>
      <c r="S598" t="str">
        <f>""</f>
        <v/>
      </c>
      <c r="T598" t="s">
        <v>41</v>
      </c>
      <c r="U598">
        <v>1792.12</v>
      </c>
      <c r="V598">
        <v>1738.36</v>
      </c>
      <c r="W598">
        <v>1738.36</v>
      </c>
      <c r="X598">
        <v>0</v>
      </c>
      <c r="Y598">
        <v>0</v>
      </c>
      <c r="Z598">
        <v>-533</v>
      </c>
      <c r="AA598">
        <v>693301</v>
      </c>
      <c r="AD598" t="s">
        <v>1757</v>
      </c>
      <c r="AE598" t="s">
        <v>1758</v>
      </c>
      <c r="AF598" t="s">
        <v>1757</v>
      </c>
      <c r="AG598" s="1" t="s">
        <v>1759</v>
      </c>
      <c r="AH598" t="s">
        <v>1462</v>
      </c>
    </row>
    <row r="599" spans="1:34" x14ac:dyDescent="0.3">
      <c r="A599">
        <v>101</v>
      </c>
      <c r="B599" t="s">
        <v>34</v>
      </c>
      <c r="C599">
        <v>2</v>
      </c>
      <c r="D599" s="1" t="s">
        <v>1760</v>
      </c>
      <c r="E599" s="1" t="s">
        <v>36</v>
      </c>
      <c r="G599">
        <v>452077</v>
      </c>
      <c r="H599" t="s">
        <v>1755</v>
      </c>
      <c r="I599" t="s">
        <v>1472</v>
      </c>
      <c r="J599">
        <v>15</v>
      </c>
      <c r="K599">
        <v>4497</v>
      </c>
      <c r="L599">
        <v>95000</v>
      </c>
      <c r="M599" t="s">
        <v>69</v>
      </c>
      <c r="N599">
        <v>67</v>
      </c>
      <c r="O599" s="2">
        <v>46234</v>
      </c>
      <c r="P599" s="2">
        <v>46336</v>
      </c>
      <c r="R599" t="s">
        <v>1761</v>
      </c>
      <c r="S599" t="str">
        <f>""</f>
        <v/>
      </c>
      <c r="T599" t="s">
        <v>41</v>
      </c>
      <c r="U599">
        <v>2802.03</v>
      </c>
      <c r="V599">
        <v>2717.97</v>
      </c>
      <c r="W599">
        <v>2717.97</v>
      </c>
      <c r="X599">
        <v>0</v>
      </c>
      <c r="Y599">
        <v>0</v>
      </c>
      <c r="Z599">
        <v>-561</v>
      </c>
      <c r="AA599">
        <v>695752</v>
      </c>
      <c r="AD599" t="s">
        <v>1757</v>
      </c>
      <c r="AE599" t="s">
        <v>1758</v>
      </c>
      <c r="AF599" t="s">
        <v>1757</v>
      </c>
      <c r="AG599" s="1" t="s">
        <v>1759</v>
      </c>
      <c r="AH599" t="s">
        <v>1462</v>
      </c>
    </row>
    <row r="600" spans="1:34" x14ac:dyDescent="0.3">
      <c r="A600">
        <v>101</v>
      </c>
      <c r="B600" t="s">
        <v>34</v>
      </c>
      <c r="C600">
        <v>2</v>
      </c>
      <c r="D600" s="1" t="s">
        <v>1762</v>
      </c>
      <c r="E600" s="1" t="s">
        <v>36</v>
      </c>
      <c r="G600">
        <v>452078</v>
      </c>
      <c r="H600" t="s">
        <v>1763</v>
      </c>
      <c r="I600" t="s">
        <v>1472</v>
      </c>
      <c r="J600">
        <v>15</v>
      </c>
      <c r="K600">
        <v>4497</v>
      </c>
      <c r="L600">
        <v>95000</v>
      </c>
      <c r="M600" t="s">
        <v>69</v>
      </c>
      <c r="N600">
        <v>67</v>
      </c>
      <c r="O600" s="2">
        <v>46203</v>
      </c>
      <c r="P600" s="2">
        <v>46308</v>
      </c>
      <c r="R600" t="s">
        <v>1764</v>
      </c>
      <c r="S600" t="str">
        <f>""</f>
        <v/>
      </c>
      <c r="T600" t="s">
        <v>41</v>
      </c>
      <c r="U600">
        <v>765.72</v>
      </c>
      <c r="V600">
        <v>742.75</v>
      </c>
      <c r="W600">
        <v>742.75</v>
      </c>
      <c r="X600">
        <v>0</v>
      </c>
      <c r="Y600">
        <v>0</v>
      </c>
      <c r="Z600">
        <v>-533</v>
      </c>
      <c r="AA600">
        <v>693299</v>
      </c>
      <c r="AD600" t="s">
        <v>1765</v>
      </c>
      <c r="AE600" t="s">
        <v>1693</v>
      </c>
      <c r="AF600" t="s">
        <v>1765</v>
      </c>
      <c r="AG600" s="1" t="s">
        <v>1766</v>
      </c>
      <c r="AH600" t="s">
        <v>1462</v>
      </c>
    </row>
    <row r="601" spans="1:34" x14ac:dyDescent="0.3">
      <c r="A601">
        <v>101</v>
      </c>
      <c r="B601" t="s">
        <v>34</v>
      </c>
      <c r="C601">
        <v>2</v>
      </c>
      <c r="D601" s="1" t="s">
        <v>1767</v>
      </c>
      <c r="E601" s="1" t="s">
        <v>36</v>
      </c>
      <c r="G601">
        <v>452079</v>
      </c>
      <c r="H601" t="s">
        <v>1768</v>
      </c>
      <c r="I601" t="s">
        <v>1472</v>
      </c>
      <c r="J601">
        <v>15</v>
      </c>
      <c r="K601">
        <v>4497</v>
      </c>
      <c r="L601">
        <v>95000</v>
      </c>
      <c r="M601" t="s">
        <v>69</v>
      </c>
      <c r="N601">
        <v>67</v>
      </c>
      <c r="O601" s="2">
        <v>46203</v>
      </c>
      <c r="P601" s="2">
        <v>46300</v>
      </c>
      <c r="R601" t="s">
        <v>1769</v>
      </c>
      <c r="S601" t="str">
        <f>""</f>
        <v/>
      </c>
      <c r="T601" t="s">
        <v>41</v>
      </c>
      <c r="U601">
        <v>3037.78</v>
      </c>
      <c r="V601">
        <v>2946.65</v>
      </c>
      <c r="W601">
        <v>2946.65</v>
      </c>
      <c r="X601">
        <v>0</v>
      </c>
      <c r="Y601">
        <v>0</v>
      </c>
      <c r="Z601">
        <v>-525</v>
      </c>
      <c r="AA601">
        <v>693297</v>
      </c>
      <c r="AD601" t="s">
        <v>1770</v>
      </c>
      <c r="AE601" t="s">
        <v>1728</v>
      </c>
      <c r="AF601" t="s">
        <v>1770</v>
      </c>
      <c r="AG601" s="1" t="s">
        <v>1771</v>
      </c>
      <c r="AH601" t="s">
        <v>1462</v>
      </c>
    </row>
    <row r="602" spans="1:34" x14ac:dyDescent="0.3">
      <c r="A602">
        <v>101</v>
      </c>
      <c r="B602" t="s">
        <v>34</v>
      </c>
      <c r="C602">
        <v>2</v>
      </c>
      <c r="D602" s="1" t="s">
        <v>1772</v>
      </c>
      <c r="E602" s="1" t="s">
        <v>36</v>
      </c>
      <c r="G602">
        <v>452079</v>
      </c>
      <c r="H602" t="s">
        <v>1768</v>
      </c>
      <c r="I602" t="s">
        <v>1472</v>
      </c>
      <c r="J602">
        <v>15</v>
      </c>
      <c r="K602">
        <v>4497</v>
      </c>
      <c r="L602">
        <v>95000</v>
      </c>
      <c r="M602" t="s">
        <v>69</v>
      </c>
      <c r="N602">
        <v>67</v>
      </c>
      <c r="O602" s="2">
        <v>46234</v>
      </c>
      <c r="P602" s="2">
        <v>46331</v>
      </c>
      <c r="R602" t="s">
        <v>1773</v>
      </c>
      <c r="S602" t="str">
        <f>""</f>
        <v/>
      </c>
      <c r="T602" t="s">
        <v>41</v>
      </c>
      <c r="U602">
        <v>3010.44</v>
      </c>
      <c r="V602">
        <v>2920.13</v>
      </c>
      <c r="W602">
        <v>2920.13</v>
      </c>
      <c r="X602">
        <v>0</v>
      </c>
      <c r="Y602">
        <v>0</v>
      </c>
      <c r="Z602">
        <v>-556</v>
      </c>
      <c r="AA602">
        <v>695750</v>
      </c>
      <c r="AD602" t="s">
        <v>1770</v>
      </c>
      <c r="AE602" t="s">
        <v>1728</v>
      </c>
      <c r="AF602" t="s">
        <v>1770</v>
      </c>
      <c r="AG602" s="1" t="s">
        <v>1771</v>
      </c>
      <c r="AH602" t="s">
        <v>1462</v>
      </c>
    </row>
    <row r="603" spans="1:34" x14ac:dyDescent="0.3">
      <c r="A603">
        <v>101</v>
      </c>
      <c r="B603" t="s">
        <v>34</v>
      </c>
      <c r="C603">
        <v>2</v>
      </c>
      <c r="D603" s="1" t="s">
        <v>1774</v>
      </c>
      <c r="E603" s="1" t="s">
        <v>36</v>
      </c>
      <c r="G603">
        <v>452418</v>
      </c>
      <c r="H603" t="s">
        <v>1775</v>
      </c>
      <c r="I603" t="s">
        <v>1472</v>
      </c>
      <c r="J603">
        <v>15</v>
      </c>
      <c r="K603">
        <v>4497</v>
      </c>
      <c r="L603">
        <v>95000</v>
      </c>
      <c r="M603" t="s">
        <v>69</v>
      </c>
      <c r="N603">
        <v>67</v>
      </c>
      <c r="O603" s="2">
        <v>46203</v>
      </c>
      <c r="P603" s="2">
        <v>46308</v>
      </c>
      <c r="R603" t="s">
        <v>1776</v>
      </c>
      <c r="S603" t="str">
        <f>""</f>
        <v/>
      </c>
      <c r="T603" t="s">
        <v>41</v>
      </c>
      <c r="U603">
        <v>1119.93</v>
      </c>
      <c r="V603">
        <v>1086.33</v>
      </c>
      <c r="W603">
        <v>1086.33</v>
      </c>
      <c r="X603">
        <v>0</v>
      </c>
      <c r="Y603">
        <v>0</v>
      </c>
      <c r="Z603">
        <v>-533</v>
      </c>
      <c r="AA603">
        <v>693303</v>
      </c>
      <c r="AD603" t="s">
        <v>1777</v>
      </c>
      <c r="AE603" t="s">
        <v>1778</v>
      </c>
      <c r="AF603" t="s">
        <v>1777</v>
      </c>
      <c r="AG603" s="1" t="s">
        <v>1779</v>
      </c>
      <c r="AH603" t="s">
        <v>1462</v>
      </c>
    </row>
    <row r="604" spans="1:34" x14ac:dyDescent="0.3">
      <c r="A604">
        <v>101</v>
      </c>
      <c r="B604" t="s">
        <v>34</v>
      </c>
      <c r="C604">
        <v>2</v>
      </c>
      <c r="D604" s="1" t="s">
        <v>1780</v>
      </c>
      <c r="E604" s="1" t="s">
        <v>36</v>
      </c>
      <c r="G604">
        <v>453128</v>
      </c>
      <c r="H604" t="s">
        <v>1781</v>
      </c>
      <c r="I604" t="s">
        <v>1472</v>
      </c>
      <c r="J604">
        <v>15</v>
      </c>
      <c r="K604">
        <v>4497</v>
      </c>
      <c r="L604">
        <v>95000</v>
      </c>
      <c r="M604" t="s">
        <v>69</v>
      </c>
      <c r="N604">
        <v>67</v>
      </c>
      <c r="O604" s="2">
        <v>46203</v>
      </c>
      <c r="P604" s="2">
        <v>46300</v>
      </c>
      <c r="R604" t="s">
        <v>1782</v>
      </c>
      <c r="S604" t="str">
        <f>""</f>
        <v/>
      </c>
      <c r="T604" t="s">
        <v>41</v>
      </c>
      <c r="U604">
        <v>1746.02</v>
      </c>
      <c r="V604">
        <v>1693.64</v>
      </c>
      <c r="W604">
        <v>1693.64</v>
      </c>
      <c r="X604">
        <v>0</v>
      </c>
      <c r="Y604">
        <v>0</v>
      </c>
      <c r="Z604">
        <v>-525</v>
      </c>
      <c r="AA604">
        <v>693305</v>
      </c>
      <c r="AD604" t="s">
        <v>1556</v>
      </c>
      <c r="AE604" t="s">
        <v>1783</v>
      </c>
      <c r="AF604" t="s">
        <v>1556</v>
      </c>
      <c r="AG604" s="1" t="s">
        <v>1784</v>
      </c>
      <c r="AH604" t="s">
        <v>1462</v>
      </c>
    </row>
    <row r="605" spans="1:34" x14ac:dyDescent="0.3">
      <c r="A605">
        <v>101</v>
      </c>
      <c r="B605" t="s">
        <v>34</v>
      </c>
      <c r="C605">
        <v>2</v>
      </c>
      <c r="D605" s="1" t="s">
        <v>1785</v>
      </c>
      <c r="E605" s="1" t="s">
        <v>36</v>
      </c>
      <c r="G605">
        <v>453128</v>
      </c>
      <c r="H605" t="s">
        <v>1781</v>
      </c>
      <c r="I605" t="s">
        <v>1472</v>
      </c>
      <c r="J605">
        <v>15</v>
      </c>
      <c r="K605">
        <v>4497</v>
      </c>
      <c r="L605">
        <v>95000</v>
      </c>
      <c r="M605" t="s">
        <v>69</v>
      </c>
      <c r="N605">
        <v>67</v>
      </c>
      <c r="O605" s="2">
        <v>46234</v>
      </c>
      <c r="P605" s="2">
        <v>46331</v>
      </c>
      <c r="R605" t="s">
        <v>1786</v>
      </c>
      <c r="S605" t="str">
        <f>""</f>
        <v/>
      </c>
      <c r="T605" t="s">
        <v>41</v>
      </c>
      <c r="U605">
        <v>2299.8000000000002</v>
      </c>
      <c r="V605">
        <v>2230.81</v>
      </c>
      <c r="W605">
        <v>2230.81</v>
      </c>
      <c r="X605">
        <v>0</v>
      </c>
      <c r="Y605">
        <v>0</v>
      </c>
      <c r="Z605">
        <v>-556</v>
      </c>
      <c r="AA605">
        <v>695754</v>
      </c>
      <c r="AD605" t="s">
        <v>1556</v>
      </c>
      <c r="AE605" t="s">
        <v>1783</v>
      </c>
      <c r="AF605" t="s">
        <v>1556</v>
      </c>
      <c r="AG605" s="1" t="s">
        <v>1784</v>
      </c>
      <c r="AH605" t="s">
        <v>1462</v>
      </c>
    </row>
    <row r="606" spans="1:34" x14ac:dyDescent="0.3">
      <c r="A606">
        <v>101</v>
      </c>
      <c r="B606" t="s">
        <v>34</v>
      </c>
      <c r="C606">
        <v>2</v>
      </c>
      <c r="D606" s="1" t="s">
        <v>1787</v>
      </c>
      <c r="E606" s="1" t="s">
        <v>36</v>
      </c>
      <c r="G606">
        <v>453341</v>
      </c>
      <c r="H606" t="s">
        <v>1788</v>
      </c>
      <c r="I606" t="s">
        <v>1472</v>
      </c>
      <c r="J606">
        <v>15</v>
      </c>
      <c r="K606">
        <v>4497</v>
      </c>
      <c r="L606">
        <v>95000</v>
      </c>
      <c r="M606" t="s">
        <v>69</v>
      </c>
      <c r="N606">
        <v>67</v>
      </c>
      <c r="O606" s="2">
        <v>46203</v>
      </c>
      <c r="P606" s="2">
        <v>46300</v>
      </c>
      <c r="R606" t="s">
        <v>1789</v>
      </c>
      <c r="S606" t="str">
        <f>""</f>
        <v/>
      </c>
      <c r="T606" t="s">
        <v>41</v>
      </c>
      <c r="U606">
        <v>1036.25</v>
      </c>
      <c r="V606">
        <v>1005.16</v>
      </c>
      <c r="W606">
        <v>1005.16</v>
      </c>
      <c r="X606">
        <v>0</v>
      </c>
      <c r="Y606">
        <v>0</v>
      </c>
      <c r="Z606">
        <v>-525</v>
      </c>
      <c r="AA606">
        <v>693307</v>
      </c>
      <c r="AD606" t="s">
        <v>1606</v>
      </c>
      <c r="AE606">
        <v>3133704101</v>
      </c>
      <c r="AF606" t="s">
        <v>1606</v>
      </c>
      <c r="AG606" s="1" t="s">
        <v>1790</v>
      </c>
      <c r="AH606" t="s">
        <v>1462</v>
      </c>
    </row>
    <row r="607" spans="1:34" x14ac:dyDescent="0.3">
      <c r="A607">
        <v>101</v>
      </c>
      <c r="B607" t="s">
        <v>34</v>
      </c>
      <c r="C607">
        <v>2</v>
      </c>
      <c r="D607" s="1" t="s">
        <v>1791</v>
      </c>
      <c r="E607" s="1" t="s">
        <v>36</v>
      </c>
      <c r="G607">
        <v>453880</v>
      </c>
      <c r="H607" t="s">
        <v>1792</v>
      </c>
      <c r="I607" t="s">
        <v>1472</v>
      </c>
      <c r="J607">
        <v>15</v>
      </c>
      <c r="K607">
        <v>4497</v>
      </c>
      <c r="L607">
        <v>95000</v>
      </c>
      <c r="M607" t="s">
        <v>69</v>
      </c>
      <c r="N607">
        <v>67</v>
      </c>
      <c r="O607" s="2">
        <v>46203</v>
      </c>
      <c r="P607" s="2">
        <v>46308</v>
      </c>
      <c r="R607" t="s">
        <v>1793</v>
      </c>
      <c r="S607" t="str">
        <f>""</f>
        <v/>
      </c>
      <c r="T607" t="s">
        <v>41</v>
      </c>
      <c r="U607">
        <v>3725.89</v>
      </c>
      <c r="V607">
        <v>3614.11</v>
      </c>
      <c r="W607">
        <v>3614.11</v>
      </c>
      <c r="X607">
        <v>0</v>
      </c>
      <c r="Y607">
        <v>0</v>
      </c>
      <c r="Z607">
        <v>-533</v>
      </c>
      <c r="AA607">
        <v>693313</v>
      </c>
      <c r="AD607" t="s">
        <v>1794</v>
      </c>
      <c r="AE607" t="s">
        <v>1693</v>
      </c>
      <c r="AF607" t="s">
        <v>1794</v>
      </c>
      <c r="AG607" s="1" t="s">
        <v>1795</v>
      </c>
      <c r="AH607" t="s">
        <v>1462</v>
      </c>
    </row>
    <row r="608" spans="1:34" x14ac:dyDescent="0.3">
      <c r="A608">
        <v>101</v>
      </c>
      <c r="B608" t="s">
        <v>34</v>
      </c>
      <c r="C608">
        <v>2</v>
      </c>
      <c r="D608" s="1" t="s">
        <v>1796</v>
      </c>
      <c r="E608" s="1" t="s">
        <v>36</v>
      </c>
      <c r="G608">
        <v>453880</v>
      </c>
      <c r="H608" t="s">
        <v>1792</v>
      </c>
      <c r="I608" t="s">
        <v>1472</v>
      </c>
      <c r="J608">
        <v>15</v>
      </c>
      <c r="K608">
        <v>4497</v>
      </c>
      <c r="L608">
        <v>95000</v>
      </c>
      <c r="M608" t="s">
        <v>69</v>
      </c>
      <c r="N608">
        <v>67</v>
      </c>
      <c r="O608" s="2">
        <v>46234</v>
      </c>
      <c r="P608" s="2">
        <v>46336</v>
      </c>
      <c r="R608" t="s">
        <v>1797</v>
      </c>
      <c r="S608" t="str">
        <f>""</f>
        <v/>
      </c>
      <c r="T608" t="s">
        <v>41</v>
      </c>
      <c r="U608">
        <v>3427.5</v>
      </c>
      <c r="V608">
        <v>3324.68</v>
      </c>
      <c r="W608">
        <v>3324.68</v>
      </c>
      <c r="X608">
        <v>0</v>
      </c>
      <c r="Y608">
        <v>0</v>
      </c>
      <c r="Z608">
        <v>-561</v>
      </c>
      <c r="AA608">
        <v>695760</v>
      </c>
      <c r="AD608" t="s">
        <v>1794</v>
      </c>
      <c r="AE608" t="s">
        <v>1693</v>
      </c>
      <c r="AF608" t="s">
        <v>1794</v>
      </c>
      <c r="AG608" s="1" t="s">
        <v>1795</v>
      </c>
      <c r="AH608" t="s">
        <v>1462</v>
      </c>
    </row>
    <row r="609" spans="1:34" x14ac:dyDescent="0.3">
      <c r="A609">
        <v>101</v>
      </c>
      <c r="B609" t="s">
        <v>34</v>
      </c>
      <c r="C609">
        <v>2</v>
      </c>
      <c r="D609" s="1" t="s">
        <v>1798</v>
      </c>
      <c r="E609" s="1" t="s">
        <v>36</v>
      </c>
      <c r="G609">
        <v>453881</v>
      </c>
      <c r="H609" t="s">
        <v>1799</v>
      </c>
      <c r="I609" t="s">
        <v>1472</v>
      </c>
      <c r="J609">
        <v>15</v>
      </c>
      <c r="K609">
        <v>4497</v>
      </c>
      <c r="L609">
        <v>95000</v>
      </c>
      <c r="M609" t="s">
        <v>69</v>
      </c>
      <c r="N609">
        <v>67</v>
      </c>
      <c r="O609" s="2">
        <v>46234</v>
      </c>
      <c r="P609" s="2">
        <v>46336</v>
      </c>
      <c r="R609" t="s">
        <v>1800</v>
      </c>
      <c r="S609" t="str">
        <f>""</f>
        <v/>
      </c>
      <c r="T609" t="s">
        <v>41</v>
      </c>
      <c r="U609">
        <v>2017.68</v>
      </c>
      <c r="V609">
        <v>1957.15</v>
      </c>
      <c r="W609">
        <v>1957.15</v>
      </c>
      <c r="X609">
        <v>0</v>
      </c>
      <c r="Y609">
        <v>0</v>
      </c>
      <c r="Z609">
        <v>-561</v>
      </c>
      <c r="AA609">
        <v>695762</v>
      </c>
      <c r="AD609" t="s">
        <v>1801</v>
      </c>
      <c r="AE609" t="s">
        <v>1693</v>
      </c>
      <c r="AF609" t="s">
        <v>1801</v>
      </c>
      <c r="AG609" s="1" t="s">
        <v>1802</v>
      </c>
      <c r="AH609" t="s">
        <v>1462</v>
      </c>
    </row>
    <row r="610" spans="1:34" x14ac:dyDescent="0.3">
      <c r="A610">
        <v>101</v>
      </c>
      <c r="B610" t="s">
        <v>34</v>
      </c>
      <c r="C610">
        <v>2</v>
      </c>
      <c r="D610" s="1" t="s">
        <v>1803</v>
      </c>
      <c r="E610" s="1" t="s">
        <v>36</v>
      </c>
      <c r="G610">
        <v>453881</v>
      </c>
      <c r="H610" t="s">
        <v>1799</v>
      </c>
      <c r="I610" t="s">
        <v>1472</v>
      </c>
      <c r="J610">
        <v>15</v>
      </c>
      <c r="K610">
        <v>4497</v>
      </c>
      <c r="L610">
        <v>95000</v>
      </c>
      <c r="M610" t="s">
        <v>69</v>
      </c>
      <c r="N610">
        <v>67</v>
      </c>
      <c r="O610" s="2">
        <v>46203</v>
      </c>
      <c r="P610" s="2">
        <v>46308</v>
      </c>
      <c r="R610" t="s">
        <v>1804</v>
      </c>
      <c r="S610" t="str">
        <f>""</f>
        <v/>
      </c>
      <c r="T610" t="s">
        <v>41</v>
      </c>
      <c r="U610">
        <v>1396.24</v>
      </c>
      <c r="V610">
        <v>1354.35</v>
      </c>
      <c r="W610">
        <v>1354.35</v>
      </c>
      <c r="X610">
        <v>0</v>
      </c>
      <c r="Y610">
        <v>0</v>
      </c>
      <c r="Z610">
        <v>-533</v>
      </c>
      <c r="AA610">
        <v>693315</v>
      </c>
      <c r="AD610" t="s">
        <v>1801</v>
      </c>
      <c r="AE610" t="s">
        <v>1693</v>
      </c>
      <c r="AF610" t="s">
        <v>1801</v>
      </c>
      <c r="AG610" s="1" t="s">
        <v>1802</v>
      </c>
      <c r="AH610" t="s">
        <v>1462</v>
      </c>
    </row>
    <row r="611" spans="1:34" x14ac:dyDescent="0.3">
      <c r="A611">
        <v>101</v>
      </c>
      <c r="B611" t="s">
        <v>34</v>
      </c>
      <c r="C611">
        <v>2</v>
      </c>
      <c r="D611" s="1" t="s">
        <v>1805</v>
      </c>
      <c r="E611" s="1" t="s">
        <v>36</v>
      </c>
      <c r="G611">
        <v>453882</v>
      </c>
      <c r="H611" t="s">
        <v>1806</v>
      </c>
      <c r="I611" t="s">
        <v>1472</v>
      </c>
      <c r="J611">
        <v>15</v>
      </c>
      <c r="K611">
        <v>4497</v>
      </c>
      <c r="L611">
        <v>95000</v>
      </c>
      <c r="M611" t="s">
        <v>69</v>
      </c>
      <c r="N611">
        <v>67</v>
      </c>
      <c r="O611" s="2">
        <v>46203</v>
      </c>
      <c r="P611" s="2">
        <v>46308</v>
      </c>
      <c r="R611" t="s">
        <v>1807</v>
      </c>
      <c r="S611" t="str">
        <f>""</f>
        <v/>
      </c>
      <c r="T611" t="s">
        <v>41</v>
      </c>
      <c r="U611">
        <v>2492.09</v>
      </c>
      <c r="V611">
        <v>2417.33</v>
      </c>
      <c r="W611">
        <v>2417.33</v>
      </c>
      <c r="X611">
        <v>0</v>
      </c>
      <c r="Y611">
        <v>0</v>
      </c>
      <c r="Z611">
        <v>-533</v>
      </c>
      <c r="AA611">
        <v>693317</v>
      </c>
      <c r="AD611" t="s">
        <v>1808</v>
      </c>
      <c r="AE611" t="s">
        <v>1693</v>
      </c>
      <c r="AF611" t="s">
        <v>1808</v>
      </c>
      <c r="AG611" s="1" t="s">
        <v>1809</v>
      </c>
      <c r="AH611" t="s">
        <v>1462</v>
      </c>
    </row>
    <row r="612" spans="1:34" x14ac:dyDescent="0.3">
      <c r="A612">
        <v>101</v>
      </c>
      <c r="B612" t="s">
        <v>34</v>
      </c>
      <c r="C612">
        <v>2</v>
      </c>
      <c r="D612" s="1" t="s">
        <v>1810</v>
      </c>
      <c r="E612" s="1" t="s">
        <v>36</v>
      </c>
      <c r="G612">
        <v>453882</v>
      </c>
      <c r="H612" t="s">
        <v>1806</v>
      </c>
      <c r="I612" t="s">
        <v>1472</v>
      </c>
      <c r="J612">
        <v>15</v>
      </c>
      <c r="K612">
        <v>4497</v>
      </c>
      <c r="L612">
        <v>95000</v>
      </c>
      <c r="M612" t="s">
        <v>69</v>
      </c>
      <c r="N612">
        <v>67</v>
      </c>
      <c r="O612" s="2">
        <v>46234</v>
      </c>
      <c r="P612" s="2">
        <v>46331</v>
      </c>
      <c r="R612" t="s">
        <v>1811</v>
      </c>
      <c r="S612" t="str">
        <f>""</f>
        <v/>
      </c>
      <c r="T612" t="s">
        <v>41</v>
      </c>
      <c r="U612">
        <v>2605.9699999999998</v>
      </c>
      <c r="V612">
        <v>2527.79</v>
      </c>
      <c r="W612">
        <v>2527.79</v>
      </c>
      <c r="X612">
        <v>0</v>
      </c>
      <c r="Y612">
        <v>0</v>
      </c>
      <c r="Z612">
        <v>-556</v>
      </c>
      <c r="AA612">
        <v>695764</v>
      </c>
      <c r="AD612" t="s">
        <v>1808</v>
      </c>
      <c r="AE612" t="s">
        <v>1693</v>
      </c>
      <c r="AF612" t="s">
        <v>1808</v>
      </c>
      <c r="AG612" s="1" t="s">
        <v>1809</v>
      </c>
      <c r="AH612" t="s">
        <v>1462</v>
      </c>
    </row>
    <row r="613" spans="1:34" x14ac:dyDescent="0.3">
      <c r="A613">
        <v>101</v>
      </c>
      <c r="B613" t="s">
        <v>34</v>
      </c>
      <c r="C613">
        <v>2</v>
      </c>
      <c r="D613" s="1" t="s">
        <v>1812</v>
      </c>
      <c r="E613" s="1" t="s">
        <v>36</v>
      </c>
      <c r="G613">
        <v>453883</v>
      </c>
      <c r="H613" t="s">
        <v>1813</v>
      </c>
      <c r="I613" t="s">
        <v>1472</v>
      </c>
      <c r="J613">
        <v>15</v>
      </c>
      <c r="K613">
        <v>4497</v>
      </c>
      <c r="L613">
        <v>95000</v>
      </c>
      <c r="M613" t="s">
        <v>69</v>
      </c>
      <c r="N613">
        <v>67</v>
      </c>
      <c r="O613" s="2">
        <v>46234</v>
      </c>
      <c r="P613" s="2">
        <v>46331</v>
      </c>
      <c r="R613" t="s">
        <v>1814</v>
      </c>
      <c r="S613" t="str">
        <f>""</f>
        <v/>
      </c>
      <c r="T613" t="s">
        <v>41</v>
      </c>
      <c r="U613">
        <v>2608.37</v>
      </c>
      <c r="V613">
        <v>2530.12</v>
      </c>
      <c r="W613">
        <v>2530.12</v>
      </c>
      <c r="X613">
        <v>0</v>
      </c>
      <c r="Y613">
        <v>0</v>
      </c>
      <c r="Z613">
        <v>-556</v>
      </c>
      <c r="AA613">
        <v>695756</v>
      </c>
      <c r="AD613" t="s">
        <v>1815</v>
      </c>
      <c r="AE613" t="s">
        <v>1693</v>
      </c>
      <c r="AF613" t="s">
        <v>1815</v>
      </c>
      <c r="AG613" s="1" t="s">
        <v>1816</v>
      </c>
      <c r="AH613" t="s">
        <v>1462</v>
      </c>
    </row>
    <row r="614" spans="1:34" x14ac:dyDescent="0.3">
      <c r="A614">
        <v>101</v>
      </c>
      <c r="B614" t="s">
        <v>34</v>
      </c>
      <c r="C614">
        <v>2</v>
      </c>
      <c r="D614" s="1" t="s">
        <v>1817</v>
      </c>
      <c r="E614" s="1" t="s">
        <v>36</v>
      </c>
      <c r="G614">
        <v>453883</v>
      </c>
      <c r="H614" t="s">
        <v>1813</v>
      </c>
      <c r="I614" t="s">
        <v>1472</v>
      </c>
      <c r="J614">
        <v>15</v>
      </c>
      <c r="K614">
        <v>4497</v>
      </c>
      <c r="L614">
        <v>95000</v>
      </c>
      <c r="M614" t="s">
        <v>69</v>
      </c>
      <c r="N614">
        <v>67</v>
      </c>
      <c r="O614" s="2">
        <v>46203</v>
      </c>
      <c r="P614" s="2">
        <v>46308</v>
      </c>
      <c r="R614" t="s">
        <v>1818</v>
      </c>
      <c r="S614" t="str">
        <f>""</f>
        <v/>
      </c>
      <c r="T614" t="s">
        <v>41</v>
      </c>
      <c r="U614">
        <v>2003.32</v>
      </c>
      <c r="V614">
        <v>1943.22</v>
      </c>
      <c r="W614">
        <v>1943.22</v>
      </c>
      <c r="X614">
        <v>0</v>
      </c>
      <c r="Y614">
        <v>0</v>
      </c>
      <c r="Z614">
        <v>-533</v>
      </c>
      <c r="AA614">
        <v>693309</v>
      </c>
      <c r="AD614" t="s">
        <v>1815</v>
      </c>
      <c r="AE614" t="s">
        <v>1693</v>
      </c>
      <c r="AF614" t="s">
        <v>1815</v>
      </c>
      <c r="AG614" s="1" t="s">
        <v>1816</v>
      </c>
      <c r="AH614" t="s">
        <v>1462</v>
      </c>
    </row>
    <row r="615" spans="1:34" x14ac:dyDescent="0.3">
      <c r="A615">
        <v>101</v>
      </c>
      <c r="B615" t="s">
        <v>34</v>
      </c>
      <c r="C615">
        <v>2</v>
      </c>
      <c r="D615" s="1" t="s">
        <v>1819</v>
      </c>
      <c r="E615" s="1" t="s">
        <v>36</v>
      </c>
      <c r="G615">
        <v>453884</v>
      </c>
      <c r="H615" t="s">
        <v>1820</v>
      </c>
      <c r="I615" t="s">
        <v>1472</v>
      </c>
      <c r="J615">
        <v>15</v>
      </c>
      <c r="K615">
        <v>4497</v>
      </c>
      <c r="L615">
        <v>95000</v>
      </c>
      <c r="M615" t="s">
        <v>69</v>
      </c>
      <c r="N615">
        <v>67</v>
      </c>
      <c r="O615" s="2">
        <v>46203</v>
      </c>
      <c r="P615" s="2">
        <v>46310</v>
      </c>
      <c r="R615" t="s">
        <v>1821</v>
      </c>
      <c r="S615" t="str">
        <f>""</f>
        <v/>
      </c>
      <c r="T615" t="s">
        <v>41</v>
      </c>
      <c r="U615">
        <v>3775.16</v>
      </c>
      <c r="V615">
        <v>3661.91</v>
      </c>
      <c r="W615">
        <v>3661.91</v>
      </c>
      <c r="X615">
        <v>0</v>
      </c>
      <c r="Y615">
        <v>0</v>
      </c>
      <c r="Z615">
        <v>-535</v>
      </c>
      <c r="AA615">
        <v>693311</v>
      </c>
      <c r="AD615" t="s">
        <v>1822</v>
      </c>
      <c r="AE615" t="s">
        <v>1823</v>
      </c>
      <c r="AF615" t="s">
        <v>1822</v>
      </c>
      <c r="AG615" s="1" t="s">
        <v>1824</v>
      </c>
      <c r="AH615" t="s">
        <v>1462</v>
      </c>
    </row>
    <row r="616" spans="1:34" x14ac:dyDescent="0.3">
      <c r="A616">
        <v>101</v>
      </c>
      <c r="B616" t="s">
        <v>34</v>
      </c>
      <c r="C616">
        <v>2</v>
      </c>
      <c r="D616" s="1" t="s">
        <v>1825</v>
      </c>
      <c r="E616" s="1" t="s">
        <v>36</v>
      </c>
      <c r="G616">
        <v>453884</v>
      </c>
      <c r="H616" t="s">
        <v>1820</v>
      </c>
      <c r="I616" t="s">
        <v>1472</v>
      </c>
      <c r="J616">
        <v>15</v>
      </c>
      <c r="K616">
        <v>4497</v>
      </c>
      <c r="L616">
        <v>95000</v>
      </c>
      <c r="M616" t="s">
        <v>69</v>
      </c>
      <c r="N616">
        <v>67</v>
      </c>
      <c r="O616" s="2">
        <v>46234</v>
      </c>
      <c r="P616" s="2">
        <v>46336</v>
      </c>
      <c r="R616" t="s">
        <v>1826</v>
      </c>
      <c r="S616" t="str">
        <f>""</f>
        <v/>
      </c>
      <c r="T616" t="s">
        <v>41</v>
      </c>
      <c r="U616">
        <v>4401.37</v>
      </c>
      <c r="V616">
        <v>4269.33</v>
      </c>
      <c r="W616">
        <v>4269.33</v>
      </c>
      <c r="X616">
        <v>0</v>
      </c>
      <c r="Y616">
        <v>0</v>
      </c>
      <c r="Z616">
        <v>-561</v>
      </c>
      <c r="AA616">
        <v>695758</v>
      </c>
      <c r="AD616" t="s">
        <v>1822</v>
      </c>
      <c r="AE616" t="s">
        <v>1823</v>
      </c>
      <c r="AF616" t="s">
        <v>1822</v>
      </c>
      <c r="AG616" s="1" t="s">
        <v>1824</v>
      </c>
      <c r="AH616" t="s">
        <v>1462</v>
      </c>
    </row>
    <row r="617" spans="1:34" x14ac:dyDescent="0.3">
      <c r="A617">
        <v>101</v>
      </c>
      <c r="B617" t="s">
        <v>34</v>
      </c>
      <c r="C617">
        <v>2</v>
      </c>
      <c r="D617" s="1" t="s">
        <v>1827</v>
      </c>
      <c r="E617" s="1" t="s">
        <v>36</v>
      </c>
      <c r="G617">
        <v>454447</v>
      </c>
      <c r="H617" t="s">
        <v>1828</v>
      </c>
      <c r="I617" t="s">
        <v>1829</v>
      </c>
      <c r="J617">
        <v>15</v>
      </c>
      <c r="K617">
        <v>4497</v>
      </c>
      <c r="L617">
        <v>95000</v>
      </c>
      <c r="M617" t="s">
        <v>69</v>
      </c>
      <c r="N617">
        <v>67</v>
      </c>
      <c r="O617" s="2">
        <v>46234</v>
      </c>
      <c r="P617" s="2">
        <v>46331</v>
      </c>
      <c r="R617" t="s">
        <v>1830</v>
      </c>
      <c r="S617" t="str">
        <f>""</f>
        <v/>
      </c>
      <c r="T617" t="s">
        <v>41</v>
      </c>
      <c r="U617">
        <v>4149.3500000000004</v>
      </c>
      <c r="V617">
        <v>4024.87</v>
      </c>
      <c r="W617">
        <v>4024.87</v>
      </c>
      <c r="X617">
        <v>0</v>
      </c>
      <c r="Y617">
        <v>0</v>
      </c>
      <c r="Z617">
        <v>-556</v>
      </c>
      <c r="AA617">
        <v>695766</v>
      </c>
      <c r="AD617" t="s">
        <v>1831</v>
      </c>
      <c r="AE617" t="s">
        <v>1832</v>
      </c>
      <c r="AF617" t="s">
        <v>1831</v>
      </c>
      <c r="AG617" s="1" t="s">
        <v>1833</v>
      </c>
      <c r="AH617" t="s">
        <v>1462</v>
      </c>
    </row>
    <row r="618" spans="1:34" x14ac:dyDescent="0.3">
      <c r="A618">
        <v>101</v>
      </c>
      <c r="B618" t="s">
        <v>34</v>
      </c>
      <c r="C618">
        <v>2</v>
      </c>
      <c r="D618" s="1" t="s">
        <v>1834</v>
      </c>
      <c r="E618" s="1" t="s">
        <v>36</v>
      </c>
      <c r="G618">
        <v>454447</v>
      </c>
      <c r="H618" t="s">
        <v>1828</v>
      </c>
      <c r="I618" t="s">
        <v>1829</v>
      </c>
      <c r="J618">
        <v>15</v>
      </c>
      <c r="K618">
        <v>4497</v>
      </c>
      <c r="L618">
        <v>95000</v>
      </c>
      <c r="M618" t="s">
        <v>69</v>
      </c>
      <c r="N618">
        <v>67</v>
      </c>
      <c r="O618" s="2">
        <v>46203</v>
      </c>
      <c r="P618" s="2">
        <v>46310</v>
      </c>
      <c r="R618" t="s">
        <v>1835</v>
      </c>
      <c r="S618" t="str">
        <f>""</f>
        <v/>
      </c>
      <c r="T618" t="s">
        <v>41</v>
      </c>
      <c r="U618">
        <v>5255.33</v>
      </c>
      <c r="V618">
        <v>5097.67</v>
      </c>
      <c r="W618">
        <v>5097.67</v>
      </c>
      <c r="X618">
        <v>0</v>
      </c>
      <c r="Y618">
        <v>0</v>
      </c>
      <c r="Z618">
        <v>-535</v>
      </c>
      <c r="AA618">
        <v>693319</v>
      </c>
      <c r="AD618" t="s">
        <v>1831</v>
      </c>
      <c r="AE618" t="s">
        <v>1832</v>
      </c>
      <c r="AF618" t="s">
        <v>1831</v>
      </c>
      <c r="AG618" s="1" t="s">
        <v>1833</v>
      </c>
      <c r="AH618" t="s">
        <v>1462</v>
      </c>
    </row>
    <row r="619" spans="1:34" x14ac:dyDescent="0.3">
      <c r="A619">
        <v>101</v>
      </c>
      <c r="B619" t="s">
        <v>34</v>
      </c>
      <c r="C619">
        <v>2</v>
      </c>
      <c r="D619" s="1" t="s">
        <v>1836</v>
      </c>
      <c r="E619" s="1" t="s">
        <v>36</v>
      </c>
      <c r="G619">
        <v>454474</v>
      </c>
      <c r="H619" t="s">
        <v>1837</v>
      </c>
      <c r="I619" t="s">
        <v>1838</v>
      </c>
      <c r="J619">
        <v>15</v>
      </c>
      <c r="K619">
        <v>4497</v>
      </c>
      <c r="L619">
        <v>95000</v>
      </c>
      <c r="M619" t="s">
        <v>69</v>
      </c>
      <c r="N619">
        <v>67</v>
      </c>
      <c r="O619" s="2">
        <v>46203</v>
      </c>
      <c r="P619" s="2">
        <v>46300</v>
      </c>
      <c r="R619" t="s">
        <v>1839</v>
      </c>
      <c r="S619" t="str">
        <f>""</f>
        <v/>
      </c>
      <c r="T619" t="s">
        <v>41</v>
      </c>
      <c r="U619">
        <v>3127.75</v>
      </c>
      <c r="V619">
        <v>3033.92</v>
      </c>
      <c r="W619">
        <v>3033.92</v>
      </c>
      <c r="X619">
        <v>0</v>
      </c>
      <c r="Y619">
        <v>0</v>
      </c>
      <c r="Z619">
        <v>-525</v>
      </c>
      <c r="AA619">
        <v>693321</v>
      </c>
      <c r="AD619" t="s">
        <v>1545</v>
      </c>
      <c r="AE619">
        <v>3133704101</v>
      </c>
      <c r="AF619" t="s">
        <v>1545</v>
      </c>
      <c r="AG619" s="1" t="s">
        <v>1840</v>
      </c>
      <c r="AH619" t="s">
        <v>1462</v>
      </c>
    </row>
    <row r="620" spans="1:34" x14ac:dyDescent="0.3">
      <c r="A620">
        <v>101</v>
      </c>
      <c r="B620" t="s">
        <v>34</v>
      </c>
      <c r="C620">
        <v>2</v>
      </c>
      <c r="D620" s="1" t="s">
        <v>1841</v>
      </c>
      <c r="E620" s="1" t="s">
        <v>36</v>
      </c>
      <c r="G620">
        <v>455720</v>
      </c>
      <c r="H620" t="s">
        <v>1842</v>
      </c>
      <c r="I620" t="s">
        <v>1472</v>
      </c>
      <c r="J620">
        <v>15</v>
      </c>
      <c r="K620">
        <v>4497</v>
      </c>
      <c r="L620">
        <v>95000</v>
      </c>
      <c r="M620" t="s">
        <v>69</v>
      </c>
      <c r="N620">
        <v>67</v>
      </c>
      <c r="O620" s="2">
        <v>46203</v>
      </c>
      <c r="P620" s="2">
        <v>46300</v>
      </c>
      <c r="R620" t="s">
        <v>1843</v>
      </c>
      <c r="S620" t="str">
        <f>""</f>
        <v/>
      </c>
      <c r="T620" t="s">
        <v>41</v>
      </c>
      <c r="U620">
        <v>1327.45</v>
      </c>
      <c r="V620">
        <v>1287.6300000000001</v>
      </c>
      <c r="W620">
        <v>1287.6300000000001</v>
      </c>
      <c r="X620">
        <v>0</v>
      </c>
      <c r="Y620">
        <v>0</v>
      </c>
      <c r="Z620">
        <v>-525</v>
      </c>
      <c r="AA620">
        <v>693323</v>
      </c>
      <c r="AD620" t="s">
        <v>1844</v>
      </c>
      <c r="AE620">
        <v>3133704227</v>
      </c>
      <c r="AF620" t="s">
        <v>1844</v>
      </c>
      <c r="AG620" s="1" t="s">
        <v>1845</v>
      </c>
      <c r="AH620" t="s">
        <v>1462</v>
      </c>
    </row>
    <row r="621" spans="1:34" x14ac:dyDescent="0.3">
      <c r="A621">
        <v>101</v>
      </c>
      <c r="B621" t="s">
        <v>34</v>
      </c>
      <c r="C621">
        <v>2</v>
      </c>
      <c r="D621" s="1" t="s">
        <v>1846</v>
      </c>
      <c r="E621" s="1" t="s">
        <v>36</v>
      </c>
      <c r="G621">
        <v>455720</v>
      </c>
      <c r="H621" t="s">
        <v>1842</v>
      </c>
      <c r="I621" t="s">
        <v>1472</v>
      </c>
      <c r="J621">
        <v>15</v>
      </c>
      <c r="K621">
        <v>4497</v>
      </c>
      <c r="L621">
        <v>95000</v>
      </c>
      <c r="M621" t="s">
        <v>69</v>
      </c>
      <c r="N621">
        <v>67</v>
      </c>
      <c r="O621" s="2">
        <v>46234</v>
      </c>
      <c r="P621" s="2">
        <v>46331</v>
      </c>
      <c r="R621" t="s">
        <v>1847</v>
      </c>
      <c r="S621" t="str">
        <f>""</f>
        <v/>
      </c>
      <c r="T621" t="s">
        <v>41</v>
      </c>
      <c r="U621">
        <v>1837.62</v>
      </c>
      <c r="V621">
        <v>1782.49</v>
      </c>
      <c r="W621">
        <v>1782.49</v>
      </c>
      <c r="X621">
        <v>0</v>
      </c>
      <c r="Y621">
        <v>0</v>
      </c>
      <c r="Z621">
        <v>-556</v>
      </c>
      <c r="AA621">
        <v>695768</v>
      </c>
      <c r="AD621" t="s">
        <v>1844</v>
      </c>
      <c r="AE621">
        <v>3133704227</v>
      </c>
      <c r="AF621" t="s">
        <v>1844</v>
      </c>
      <c r="AG621" s="1" t="s">
        <v>1845</v>
      </c>
      <c r="AH621" t="s">
        <v>1462</v>
      </c>
    </row>
    <row r="622" spans="1:34" x14ac:dyDescent="0.3">
      <c r="A622">
        <v>101</v>
      </c>
      <c r="B622" t="s">
        <v>34</v>
      </c>
      <c r="C622">
        <v>2</v>
      </c>
      <c r="D622" s="1" t="s">
        <v>1848</v>
      </c>
      <c r="E622" s="1" t="s">
        <v>36</v>
      </c>
      <c r="G622">
        <v>455721</v>
      </c>
      <c r="H622" t="s">
        <v>1849</v>
      </c>
      <c r="I622" t="s">
        <v>1472</v>
      </c>
      <c r="J622">
        <v>15</v>
      </c>
      <c r="K622">
        <v>4497</v>
      </c>
      <c r="L622">
        <v>95000</v>
      </c>
      <c r="M622" t="s">
        <v>69</v>
      </c>
      <c r="N622">
        <v>67</v>
      </c>
      <c r="O622" s="2">
        <v>46203</v>
      </c>
      <c r="P622" s="2">
        <v>46310</v>
      </c>
      <c r="R622" t="s">
        <v>1850</v>
      </c>
      <c r="S622" t="str">
        <f>""</f>
        <v/>
      </c>
      <c r="T622" t="s">
        <v>41</v>
      </c>
      <c r="U622">
        <v>908.87</v>
      </c>
      <c r="V622">
        <v>881.6</v>
      </c>
      <c r="W622">
        <v>881.6</v>
      </c>
      <c r="X622">
        <v>0</v>
      </c>
      <c r="Y622">
        <v>0</v>
      </c>
      <c r="Z622">
        <v>-535</v>
      </c>
      <c r="AA622">
        <v>693325</v>
      </c>
      <c r="AD622" t="s">
        <v>1851</v>
      </c>
      <c r="AE622">
        <v>3133704227</v>
      </c>
      <c r="AF622" t="s">
        <v>1851</v>
      </c>
      <c r="AG622" s="1" t="s">
        <v>1852</v>
      </c>
      <c r="AH622" t="s">
        <v>1462</v>
      </c>
    </row>
    <row r="623" spans="1:34" x14ac:dyDescent="0.3">
      <c r="A623">
        <v>101</v>
      </c>
      <c r="B623" t="s">
        <v>34</v>
      </c>
      <c r="C623">
        <v>2</v>
      </c>
      <c r="D623" s="1" t="s">
        <v>1853</v>
      </c>
      <c r="E623" s="1" t="s">
        <v>36</v>
      </c>
      <c r="G623">
        <v>455722</v>
      </c>
      <c r="H623" t="s">
        <v>1854</v>
      </c>
      <c r="I623" t="s">
        <v>1472</v>
      </c>
      <c r="J623">
        <v>15</v>
      </c>
      <c r="K623">
        <v>4497</v>
      </c>
      <c r="L623">
        <v>95000</v>
      </c>
      <c r="M623" t="s">
        <v>69</v>
      </c>
      <c r="N623">
        <v>67</v>
      </c>
      <c r="O623" s="2">
        <v>46203</v>
      </c>
      <c r="P623" s="2">
        <v>46308</v>
      </c>
      <c r="R623" t="s">
        <v>1855</v>
      </c>
      <c r="S623" t="str">
        <f>""</f>
        <v/>
      </c>
      <c r="T623" t="s">
        <v>41</v>
      </c>
      <c r="U623">
        <v>3379.15</v>
      </c>
      <c r="V623">
        <v>3277.78</v>
      </c>
      <c r="W623">
        <v>3277.78</v>
      </c>
      <c r="X623">
        <v>0</v>
      </c>
      <c r="Y623">
        <v>0</v>
      </c>
      <c r="Z623">
        <v>-533</v>
      </c>
      <c r="AA623">
        <v>693329</v>
      </c>
      <c r="AD623" t="s">
        <v>1856</v>
      </c>
      <c r="AE623" t="s">
        <v>1857</v>
      </c>
      <c r="AF623" t="s">
        <v>1856</v>
      </c>
      <c r="AG623" s="1" t="s">
        <v>1858</v>
      </c>
      <c r="AH623" t="s">
        <v>1462</v>
      </c>
    </row>
    <row r="624" spans="1:34" x14ac:dyDescent="0.3">
      <c r="A624">
        <v>101</v>
      </c>
      <c r="B624" t="s">
        <v>34</v>
      </c>
      <c r="C624">
        <v>2</v>
      </c>
      <c r="D624" s="1" t="s">
        <v>1859</v>
      </c>
      <c r="E624" s="1" t="s">
        <v>36</v>
      </c>
      <c r="G624">
        <v>455722</v>
      </c>
      <c r="H624" t="s">
        <v>1854</v>
      </c>
      <c r="I624" t="s">
        <v>1472</v>
      </c>
      <c r="J624">
        <v>15</v>
      </c>
      <c r="K624">
        <v>4497</v>
      </c>
      <c r="L624">
        <v>95000</v>
      </c>
      <c r="M624" t="s">
        <v>69</v>
      </c>
      <c r="N624">
        <v>67</v>
      </c>
      <c r="O624" s="2">
        <v>46234</v>
      </c>
      <c r="P624" s="2">
        <v>46349</v>
      </c>
      <c r="R624" t="s">
        <v>1860</v>
      </c>
      <c r="S624" t="str">
        <f>""</f>
        <v/>
      </c>
      <c r="T624" t="s">
        <v>41</v>
      </c>
      <c r="U624">
        <v>3967.93</v>
      </c>
      <c r="V624">
        <v>3848.89</v>
      </c>
      <c r="W624">
        <v>3848.89</v>
      </c>
      <c r="X624">
        <v>0</v>
      </c>
      <c r="Y624">
        <v>0</v>
      </c>
      <c r="Z624">
        <v>-574</v>
      </c>
      <c r="AA624">
        <v>695772</v>
      </c>
      <c r="AD624" t="s">
        <v>1856</v>
      </c>
      <c r="AE624" t="s">
        <v>1857</v>
      </c>
      <c r="AF624" t="s">
        <v>1856</v>
      </c>
      <c r="AG624" s="1" t="s">
        <v>1858</v>
      </c>
      <c r="AH624" t="s">
        <v>1462</v>
      </c>
    </row>
    <row r="625" spans="1:34" x14ac:dyDescent="0.3">
      <c r="A625">
        <v>101</v>
      </c>
      <c r="B625" t="s">
        <v>34</v>
      </c>
      <c r="C625">
        <v>2</v>
      </c>
      <c r="D625" s="1" t="s">
        <v>1861</v>
      </c>
      <c r="E625" s="1" t="s">
        <v>36</v>
      </c>
      <c r="G625">
        <v>455723</v>
      </c>
      <c r="H625" t="s">
        <v>1862</v>
      </c>
      <c r="I625" t="s">
        <v>1472</v>
      </c>
      <c r="J625">
        <v>15</v>
      </c>
      <c r="K625">
        <v>4497</v>
      </c>
      <c r="L625">
        <v>95000</v>
      </c>
      <c r="M625" t="s">
        <v>69</v>
      </c>
      <c r="N625">
        <v>67</v>
      </c>
      <c r="O625" s="2">
        <v>46234</v>
      </c>
      <c r="P625" s="2">
        <v>46336</v>
      </c>
      <c r="R625" t="s">
        <v>1863</v>
      </c>
      <c r="S625" t="str">
        <f>""</f>
        <v/>
      </c>
      <c r="T625" t="s">
        <v>41</v>
      </c>
      <c r="U625">
        <v>2877.88</v>
      </c>
      <c r="V625">
        <v>2791.54</v>
      </c>
      <c r="W625">
        <v>2791.54</v>
      </c>
      <c r="X625">
        <v>0</v>
      </c>
      <c r="Y625">
        <v>0</v>
      </c>
      <c r="Z625">
        <v>-561</v>
      </c>
      <c r="AA625">
        <v>695770</v>
      </c>
      <c r="AD625" t="s">
        <v>1864</v>
      </c>
      <c r="AE625">
        <v>3133704227</v>
      </c>
      <c r="AF625" t="s">
        <v>1864</v>
      </c>
      <c r="AG625" s="1" t="s">
        <v>1865</v>
      </c>
      <c r="AH625" t="s">
        <v>1462</v>
      </c>
    </row>
    <row r="626" spans="1:34" x14ac:dyDescent="0.3">
      <c r="A626">
        <v>101</v>
      </c>
      <c r="B626" t="s">
        <v>34</v>
      </c>
      <c r="C626">
        <v>2</v>
      </c>
      <c r="D626" s="1" t="s">
        <v>1866</v>
      </c>
      <c r="E626" s="1" t="s">
        <v>36</v>
      </c>
      <c r="G626">
        <v>455723</v>
      </c>
      <c r="H626" t="s">
        <v>1862</v>
      </c>
      <c r="I626" t="s">
        <v>1472</v>
      </c>
      <c r="J626">
        <v>15</v>
      </c>
      <c r="K626">
        <v>4497</v>
      </c>
      <c r="L626">
        <v>95000</v>
      </c>
      <c r="M626" t="s">
        <v>69</v>
      </c>
      <c r="N626">
        <v>67</v>
      </c>
      <c r="O626" s="2">
        <v>46203</v>
      </c>
      <c r="P626" s="2">
        <v>46308</v>
      </c>
      <c r="R626" t="s">
        <v>1867</v>
      </c>
      <c r="S626" t="str">
        <f>""</f>
        <v/>
      </c>
      <c r="T626" t="s">
        <v>41</v>
      </c>
      <c r="U626">
        <v>3372.73</v>
      </c>
      <c r="V626">
        <v>3271.55</v>
      </c>
      <c r="W626">
        <v>3271.55</v>
      </c>
      <c r="X626">
        <v>0</v>
      </c>
      <c r="Y626">
        <v>0</v>
      </c>
      <c r="Z626">
        <v>-533</v>
      </c>
      <c r="AA626">
        <v>693327</v>
      </c>
      <c r="AD626" t="s">
        <v>1864</v>
      </c>
      <c r="AE626">
        <v>3133704227</v>
      </c>
      <c r="AF626" t="s">
        <v>1864</v>
      </c>
      <c r="AG626" s="1" t="s">
        <v>1865</v>
      </c>
      <c r="AH626" t="s">
        <v>1462</v>
      </c>
    </row>
    <row r="627" spans="1:34" x14ac:dyDescent="0.3">
      <c r="A627">
        <v>101</v>
      </c>
      <c r="B627" t="s">
        <v>34</v>
      </c>
      <c r="C627">
        <v>2</v>
      </c>
      <c r="D627" s="1" t="s">
        <v>1868</v>
      </c>
      <c r="E627" s="1" t="s">
        <v>36</v>
      </c>
      <c r="G627">
        <v>456197</v>
      </c>
      <c r="H627" t="s">
        <v>1869</v>
      </c>
      <c r="I627" t="s">
        <v>1472</v>
      </c>
      <c r="J627">
        <v>15</v>
      </c>
      <c r="K627">
        <v>4497</v>
      </c>
      <c r="L627">
        <v>95000</v>
      </c>
      <c r="M627" t="s">
        <v>69</v>
      </c>
      <c r="N627">
        <v>67</v>
      </c>
      <c r="O627" s="2">
        <v>46203</v>
      </c>
      <c r="P627" s="2">
        <v>46308</v>
      </c>
      <c r="R627" t="s">
        <v>1870</v>
      </c>
      <c r="S627" t="str">
        <f>""</f>
        <v/>
      </c>
      <c r="T627" t="s">
        <v>41</v>
      </c>
      <c r="U627">
        <v>71.319999999999993</v>
      </c>
      <c r="V627">
        <v>69.180000000000007</v>
      </c>
      <c r="W627">
        <v>69.180000000000007</v>
      </c>
      <c r="X627">
        <v>0</v>
      </c>
      <c r="Y627">
        <v>0</v>
      </c>
      <c r="Z627">
        <v>-533</v>
      </c>
      <c r="AA627">
        <v>693333</v>
      </c>
      <c r="AD627" t="s">
        <v>1467</v>
      </c>
      <c r="AE627">
        <v>3133704227</v>
      </c>
      <c r="AF627" t="s">
        <v>1467</v>
      </c>
      <c r="AG627" s="1" t="s">
        <v>1871</v>
      </c>
      <c r="AH627" t="s">
        <v>1462</v>
      </c>
    </row>
    <row r="628" spans="1:34" x14ac:dyDescent="0.3">
      <c r="A628">
        <v>101</v>
      </c>
      <c r="B628" t="s">
        <v>34</v>
      </c>
      <c r="C628">
        <v>2</v>
      </c>
      <c r="D628" s="1" t="s">
        <v>1872</v>
      </c>
      <c r="E628" s="1" t="s">
        <v>36</v>
      </c>
      <c r="G628">
        <v>456198</v>
      </c>
      <c r="H628" t="s">
        <v>1873</v>
      </c>
      <c r="I628" t="s">
        <v>1829</v>
      </c>
      <c r="J628">
        <v>15</v>
      </c>
      <c r="K628">
        <v>4497</v>
      </c>
      <c r="L628">
        <v>95000</v>
      </c>
      <c r="M628" t="s">
        <v>69</v>
      </c>
      <c r="N628">
        <v>67</v>
      </c>
      <c r="O628" s="2">
        <v>46203</v>
      </c>
      <c r="P628" s="2">
        <v>46308</v>
      </c>
      <c r="R628" t="s">
        <v>1874</v>
      </c>
      <c r="S628" t="str">
        <f>""</f>
        <v/>
      </c>
      <c r="T628" t="s">
        <v>41</v>
      </c>
      <c r="U628">
        <v>1004</v>
      </c>
      <c r="V628">
        <v>973.88</v>
      </c>
      <c r="W628">
        <v>973.88</v>
      </c>
      <c r="X628">
        <v>0</v>
      </c>
      <c r="Y628">
        <v>0</v>
      </c>
      <c r="Z628">
        <v>-533</v>
      </c>
      <c r="AA628">
        <v>693335</v>
      </c>
      <c r="AD628" t="s">
        <v>1467</v>
      </c>
      <c r="AE628">
        <v>3133704227</v>
      </c>
      <c r="AF628" t="s">
        <v>1467</v>
      </c>
      <c r="AG628" s="1" t="s">
        <v>1875</v>
      </c>
      <c r="AH628" t="s">
        <v>1462</v>
      </c>
    </row>
    <row r="629" spans="1:34" x14ac:dyDescent="0.3">
      <c r="A629">
        <v>101</v>
      </c>
      <c r="B629" t="s">
        <v>34</v>
      </c>
      <c r="C629">
        <v>2</v>
      </c>
      <c r="D629" s="1" t="s">
        <v>1876</v>
      </c>
      <c r="E629" s="1" t="s">
        <v>36</v>
      </c>
      <c r="G629">
        <v>456199</v>
      </c>
      <c r="H629" t="s">
        <v>1877</v>
      </c>
      <c r="I629" t="s">
        <v>1878</v>
      </c>
      <c r="J629">
        <v>15</v>
      </c>
      <c r="K629">
        <v>4497</v>
      </c>
      <c r="L629">
        <v>95000</v>
      </c>
      <c r="M629" t="s">
        <v>69</v>
      </c>
      <c r="N629">
        <v>67</v>
      </c>
      <c r="O629" s="2">
        <v>46203</v>
      </c>
      <c r="P629" s="2">
        <v>46310</v>
      </c>
      <c r="R629" t="s">
        <v>1879</v>
      </c>
      <c r="S629" t="str">
        <f>""</f>
        <v/>
      </c>
      <c r="T629" t="s">
        <v>41</v>
      </c>
      <c r="U629">
        <v>2250.29</v>
      </c>
      <c r="V629">
        <v>2182.7800000000002</v>
      </c>
      <c r="W629">
        <v>2182.7800000000002</v>
      </c>
      <c r="X629">
        <v>0</v>
      </c>
      <c r="Y629">
        <v>0</v>
      </c>
      <c r="Z629">
        <v>-535</v>
      </c>
      <c r="AA629">
        <v>693331</v>
      </c>
      <c r="AD629" t="s">
        <v>1880</v>
      </c>
      <c r="AE629">
        <v>3133704227</v>
      </c>
      <c r="AF629" t="s">
        <v>1880</v>
      </c>
      <c r="AG629" s="1" t="s">
        <v>1881</v>
      </c>
      <c r="AH629" t="s">
        <v>1462</v>
      </c>
    </row>
    <row r="630" spans="1:34" x14ac:dyDescent="0.3">
      <c r="A630">
        <v>101</v>
      </c>
      <c r="B630" t="s">
        <v>34</v>
      </c>
      <c r="C630">
        <v>2</v>
      </c>
      <c r="D630" s="1" t="s">
        <v>1882</v>
      </c>
      <c r="E630" s="1" t="s">
        <v>36</v>
      </c>
      <c r="G630">
        <v>456199</v>
      </c>
      <c r="H630" t="s">
        <v>1877</v>
      </c>
      <c r="I630" t="s">
        <v>1878</v>
      </c>
      <c r="J630">
        <v>15</v>
      </c>
      <c r="K630">
        <v>4497</v>
      </c>
      <c r="L630">
        <v>95000</v>
      </c>
      <c r="M630" t="s">
        <v>69</v>
      </c>
      <c r="N630">
        <v>67</v>
      </c>
      <c r="O630" s="2">
        <v>46234</v>
      </c>
      <c r="P630" s="2">
        <v>46336</v>
      </c>
      <c r="R630" t="s">
        <v>1883</v>
      </c>
      <c r="S630" t="str">
        <f>""</f>
        <v/>
      </c>
      <c r="T630" t="s">
        <v>41</v>
      </c>
      <c r="U630">
        <v>1778.65</v>
      </c>
      <c r="V630">
        <v>1725.29</v>
      </c>
      <c r="W630">
        <v>1725.29</v>
      </c>
      <c r="X630">
        <v>0</v>
      </c>
      <c r="Y630">
        <v>0</v>
      </c>
      <c r="Z630">
        <v>-561</v>
      </c>
      <c r="AA630">
        <v>695774</v>
      </c>
      <c r="AD630" t="s">
        <v>1880</v>
      </c>
      <c r="AE630">
        <v>3133704227</v>
      </c>
      <c r="AF630" t="s">
        <v>1880</v>
      </c>
      <c r="AG630" s="1" t="s">
        <v>1881</v>
      </c>
      <c r="AH630" t="s">
        <v>1462</v>
      </c>
    </row>
    <row r="631" spans="1:34" x14ac:dyDescent="0.3">
      <c r="A631">
        <v>101</v>
      </c>
      <c r="B631" t="s">
        <v>34</v>
      </c>
      <c r="C631">
        <v>2</v>
      </c>
      <c r="D631" s="1" t="s">
        <v>1884</v>
      </c>
      <c r="E631" s="1" t="s">
        <v>36</v>
      </c>
      <c r="G631">
        <v>456736</v>
      </c>
      <c r="H631" t="s">
        <v>1885</v>
      </c>
      <c r="I631" t="s">
        <v>502</v>
      </c>
      <c r="J631">
        <v>15</v>
      </c>
      <c r="K631">
        <v>9321</v>
      </c>
      <c r="L631">
        <v>95000</v>
      </c>
      <c r="M631" t="s">
        <v>69</v>
      </c>
      <c r="N631">
        <v>67</v>
      </c>
      <c r="O631" s="2">
        <v>46163</v>
      </c>
      <c r="P631" s="2">
        <v>46267</v>
      </c>
      <c r="R631" t="s">
        <v>1886</v>
      </c>
      <c r="S631" t="str">
        <f>""</f>
        <v/>
      </c>
      <c r="T631" t="s">
        <v>41</v>
      </c>
      <c r="U631">
        <v>3466.41</v>
      </c>
      <c r="V631">
        <v>3466.41</v>
      </c>
      <c r="W631">
        <v>3466.41</v>
      </c>
      <c r="X631">
        <v>0</v>
      </c>
      <c r="Y631">
        <v>0</v>
      </c>
      <c r="Z631">
        <v>-492</v>
      </c>
      <c r="AA631">
        <v>688616</v>
      </c>
      <c r="AD631" t="s">
        <v>1887</v>
      </c>
      <c r="AE631">
        <v>3121917800</v>
      </c>
      <c r="AF631" t="s">
        <v>1887</v>
      </c>
      <c r="AG631" s="1" t="s">
        <v>1888</v>
      </c>
      <c r="AH631" t="s">
        <v>1462</v>
      </c>
    </row>
    <row r="632" spans="1:34" x14ac:dyDescent="0.3">
      <c r="A632">
        <v>101</v>
      </c>
      <c r="B632" t="s">
        <v>34</v>
      </c>
      <c r="C632">
        <v>2</v>
      </c>
      <c r="D632" s="1" t="s">
        <v>1889</v>
      </c>
      <c r="E632" s="1" t="s">
        <v>36</v>
      </c>
      <c r="G632">
        <v>459685</v>
      </c>
      <c r="H632" t="s">
        <v>1890</v>
      </c>
      <c r="I632" t="s">
        <v>1472</v>
      </c>
      <c r="J632">
        <v>15</v>
      </c>
      <c r="K632">
        <v>4497</v>
      </c>
      <c r="L632">
        <v>95000</v>
      </c>
      <c r="M632" t="s">
        <v>69</v>
      </c>
      <c r="N632">
        <v>67</v>
      </c>
      <c r="O632" s="2">
        <v>46203</v>
      </c>
      <c r="P632" s="2">
        <v>46308</v>
      </c>
      <c r="R632" t="s">
        <v>1891</v>
      </c>
      <c r="S632" t="str">
        <f>""</f>
        <v/>
      </c>
      <c r="T632" t="s">
        <v>41</v>
      </c>
      <c r="U632">
        <v>1440.1</v>
      </c>
      <c r="V632">
        <v>1396.9</v>
      </c>
      <c r="W632">
        <v>1396.9</v>
      </c>
      <c r="X632">
        <v>0</v>
      </c>
      <c r="Y632">
        <v>0</v>
      </c>
      <c r="Z632">
        <v>-533</v>
      </c>
      <c r="AA632">
        <v>693341</v>
      </c>
      <c r="AD632" t="s">
        <v>1808</v>
      </c>
      <c r="AE632" t="s">
        <v>1892</v>
      </c>
      <c r="AF632" t="s">
        <v>1808</v>
      </c>
      <c r="AG632" s="1" t="s">
        <v>1893</v>
      </c>
      <c r="AH632" t="s">
        <v>1462</v>
      </c>
    </row>
    <row r="633" spans="1:34" x14ac:dyDescent="0.3">
      <c r="A633">
        <v>101</v>
      </c>
      <c r="B633" t="s">
        <v>34</v>
      </c>
      <c r="C633">
        <v>2</v>
      </c>
      <c r="D633" s="1" t="s">
        <v>1894</v>
      </c>
      <c r="E633" s="1" t="s">
        <v>36</v>
      </c>
      <c r="G633">
        <v>459687</v>
      </c>
      <c r="H633" t="s">
        <v>1895</v>
      </c>
      <c r="I633" t="s">
        <v>1472</v>
      </c>
      <c r="J633">
        <v>15</v>
      </c>
      <c r="K633">
        <v>4497</v>
      </c>
      <c r="L633">
        <v>95000</v>
      </c>
      <c r="M633" t="s">
        <v>69</v>
      </c>
      <c r="N633">
        <v>67</v>
      </c>
      <c r="O633" s="2">
        <v>46203</v>
      </c>
      <c r="P633" s="2">
        <v>46315</v>
      </c>
      <c r="R633" t="s">
        <v>1896</v>
      </c>
      <c r="S633" t="str">
        <f>""</f>
        <v/>
      </c>
      <c r="T633" t="s">
        <v>41</v>
      </c>
      <c r="U633">
        <v>2149.84</v>
      </c>
      <c r="V633">
        <v>2085.34</v>
      </c>
      <c r="W633">
        <v>2085.34</v>
      </c>
      <c r="X633">
        <v>0</v>
      </c>
      <c r="Y633">
        <v>0</v>
      </c>
      <c r="Z633">
        <v>-540</v>
      </c>
      <c r="AA633">
        <v>693343</v>
      </c>
      <c r="AD633" t="s">
        <v>1897</v>
      </c>
      <c r="AE633" t="s">
        <v>1898</v>
      </c>
      <c r="AF633" t="s">
        <v>1897</v>
      </c>
      <c r="AG633" s="1" t="s">
        <v>1899</v>
      </c>
      <c r="AH633" t="s">
        <v>1462</v>
      </c>
    </row>
    <row r="634" spans="1:34" x14ac:dyDescent="0.3">
      <c r="A634">
        <v>101</v>
      </c>
      <c r="B634" t="s">
        <v>34</v>
      </c>
      <c r="C634">
        <v>2</v>
      </c>
      <c r="D634" s="1" t="s">
        <v>1900</v>
      </c>
      <c r="E634" s="1" t="s">
        <v>36</v>
      </c>
      <c r="G634">
        <v>459688</v>
      </c>
      <c r="H634" t="s">
        <v>1901</v>
      </c>
      <c r="I634" t="s">
        <v>1472</v>
      </c>
      <c r="J634">
        <v>15</v>
      </c>
      <c r="K634">
        <v>4497</v>
      </c>
      <c r="L634">
        <v>95000</v>
      </c>
      <c r="M634" t="s">
        <v>69</v>
      </c>
      <c r="N634">
        <v>67</v>
      </c>
      <c r="O634" s="2">
        <v>46203</v>
      </c>
      <c r="P634" s="2">
        <v>46300</v>
      </c>
      <c r="R634" t="s">
        <v>1902</v>
      </c>
      <c r="S634" t="str">
        <f>""</f>
        <v/>
      </c>
      <c r="T634" t="s">
        <v>41</v>
      </c>
      <c r="U634">
        <v>737.5</v>
      </c>
      <c r="V634">
        <v>715.38</v>
      </c>
      <c r="W634">
        <v>715.38</v>
      </c>
      <c r="X634">
        <v>0</v>
      </c>
      <c r="Y634">
        <v>0</v>
      </c>
      <c r="Z634">
        <v>-525</v>
      </c>
      <c r="AA634">
        <v>693339</v>
      </c>
      <c r="AD634" t="s">
        <v>1903</v>
      </c>
      <c r="AE634" t="s">
        <v>1898</v>
      </c>
      <c r="AF634" t="s">
        <v>1903</v>
      </c>
      <c r="AG634" s="1" t="s">
        <v>1904</v>
      </c>
      <c r="AH634" t="s">
        <v>1462</v>
      </c>
    </row>
    <row r="635" spans="1:34" x14ac:dyDescent="0.3">
      <c r="A635">
        <v>101</v>
      </c>
      <c r="B635" t="s">
        <v>34</v>
      </c>
      <c r="C635">
        <v>2</v>
      </c>
      <c r="D635" s="1" t="s">
        <v>1905</v>
      </c>
      <c r="E635" s="1" t="s">
        <v>36</v>
      </c>
      <c r="G635">
        <v>460837</v>
      </c>
      <c r="H635" t="s">
        <v>1906</v>
      </c>
      <c r="I635" t="s">
        <v>1472</v>
      </c>
      <c r="J635">
        <v>15</v>
      </c>
      <c r="K635">
        <v>4497</v>
      </c>
      <c r="L635">
        <v>95000</v>
      </c>
      <c r="M635" t="s">
        <v>69</v>
      </c>
      <c r="N635">
        <v>67</v>
      </c>
      <c r="O635" s="2">
        <v>46203</v>
      </c>
      <c r="P635" s="2">
        <v>46308</v>
      </c>
      <c r="R635" t="s">
        <v>1907</v>
      </c>
      <c r="S635" t="str">
        <f>""</f>
        <v/>
      </c>
      <c r="T635" t="s">
        <v>41</v>
      </c>
      <c r="U635">
        <v>3468.61</v>
      </c>
      <c r="V635">
        <v>3364.55</v>
      </c>
      <c r="W635">
        <v>3364.55</v>
      </c>
      <c r="X635">
        <v>0</v>
      </c>
      <c r="Y635">
        <v>0</v>
      </c>
      <c r="Z635">
        <v>-533</v>
      </c>
      <c r="AA635">
        <v>693337</v>
      </c>
      <c r="AD635" t="s">
        <v>1908</v>
      </c>
      <c r="AE635">
        <v>3130773300</v>
      </c>
      <c r="AF635" t="s">
        <v>1908</v>
      </c>
      <c r="AG635" s="1" t="s">
        <v>1909</v>
      </c>
      <c r="AH635" t="s">
        <v>1462</v>
      </c>
    </row>
    <row r="636" spans="1:34" x14ac:dyDescent="0.3">
      <c r="A636">
        <v>101</v>
      </c>
      <c r="B636" t="s">
        <v>34</v>
      </c>
      <c r="C636">
        <v>2</v>
      </c>
      <c r="D636" s="1" t="s">
        <v>1910</v>
      </c>
      <c r="E636" s="1" t="s">
        <v>36</v>
      </c>
      <c r="G636">
        <v>460837</v>
      </c>
      <c r="H636" t="s">
        <v>1906</v>
      </c>
      <c r="I636" t="s">
        <v>1472</v>
      </c>
      <c r="J636">
        <v>15</v>
      </c>
      <c r="K636">
        <v>4497</v>
      </c>
      <c r="L636">
        <v>95000</v>
      </c>
      <c r="M636" t="s">
        <v>69</v>
      </c>
      <c r="N636">
        <v>67</v>
      </c>
      <c r="O636" s="2">
        <v>46234</v>
      </c>
      <c r="P636" s="2">
        <v>46331</v>
      </c>
      <c r="R636" t="s">
        <v>1911</v>
      </c>
      <c r="S636" t="str">
        <f>""</f>
        <v/>
      </c>
      <c r="T636" t="s">
        <v>41</v>
      </c>
      <c r="U636">
        <v>1730.5</v>
      </c>
      <c r="V636">
        <v>1678.59</v>
      </c>
      <c r="W636">
        <v>1678.59</v>
      </c>
      <c r="X636">
        <v>0</v>
      </c>
      <c r="Y636">
        <v>0</v>
      </c>
      <c r="Z636">
        <v>-556</v>
      </c>
      <c r="AA636">
        <v>695776</v>
      </c>
      <c r="AD636" t="s">
        <v>1908</v>
      </c>
      <c r="AE636">
        <v>3130773300</v>
      </c>
      <c r="AF636" t="s">
        <v>1908</v>
      </c>
      <c r="AG636" s="1" t="s">
        <v>1909</v>
      </c>
      <c r="AH636" t="s">
        <v>1462</v>
      </c>
    </row>
    <row r="637" spans="1:34" x14ac:dyDescent="0.3">
      <c r="A637">
        <v>101</v>
      </c>
      <c r="B637" t="s">
        <v>34</v>
      </c>
      <c r="C637">
        <v>2</v>
      </c>
      <c r="D637" s="1" t="s">
        <v>1912</v>
      </c>
      <c r="E637" s="1" t="s">
        <v>36</v>
      </c>
      <c r="G637">
        <v>461182</v>
      </c>
      <c r="H637" t="s">
        <v>1913</v>
      </c>
      <c r="I637" t="s">
        <v>1472</v>
      </c>
      <c r="J637">
        <v>15</v>
      </c>
      <c r="K637">
        <v>4497</v>
      </c>
      <c r="L637">
        <v>95000</v>
      </c>
      <c r="M637" t="s">
        <v>69</v>
      </c>
      <c r="N637">
        <v>67</v>
      </c>
      <c r="O637" s="2">
        <v>46234</v>
      </c>
      <c r="P637" s="2">
        <v>46331</v>
      </c>
      <c r="R637" t="s">
        <v>1914</v>
      </c>
      <c r="S637" t="str">
        <f>""</f>
        <v/>
      </c>
      <c r="T637" t="s">
        <v>41</v>
      </c>
      <c r="U637">
        <v>3771.35</v>
      </c>
      <c r="V637">
        <v>3658.21</v>
      </c>
      <c r="W637">
        <v>3658.21</v>
      </c>
      <c r="X637">
        <v>0</v>
      </c>
      <c r="Y637">
        <v>0</v>
      </c>
      <c r="Z637">
        <v>-556</v>
      </c>
      <c r="AA637">
        <v>695778</v>
      </c>
      <c r="AD637" t="s">
        <v>1612</v>
      </c>
      <c r="AE637">
        <v>3130773100</v>
      </c>
      <c r="AF637" t="s">
        <v>1612</v>
      </c>
      <c r="AG637" s="1" t="s">
        <v>1915</v>
      </c>
      <c r="AH637" t="s">
        <v>1462</v>
      </c>
    </row>
    <row r="638" spans="1:34" x14ac:dyDescent="0.3">
      <c r="A638">
        <v>101</v>
      </c>
      <c r="B638" t="s">
        <v>34</v>
      </c>
      <c r="C638">
        <v>2</v>
      </c>
      <c r="D638" s="1" t="s">
        <v>1916</v>
      </c>
      <c r="E638" s="1" t="s">
        <v>36</v>
      </c>
      <c r="G638">
        <v>461182</v>
      </c>
      <c r="H638" t="s">
        <v>1913</v>
      </c>
      <c r="I638" t="s">
        <v>1472</v>
      </c>
      <c r="J638">
        <v>15</v>
      </c>
      <c r="K638">
        <v>4497</v>
      </c>
      <c r="L638">
        <v>95000</v>
      </c>
      <c r="M638" t="s">
        <v>69</v>
      </c>
      <c r="N638">
        <v>67</v>
      </c>
      <c r="O638" s="2">
        <v>46203</v>
      </c>
      <c r="P638" s="2">
        <v>46300</v>
      </c>
      <c r="R638" t="s">
        <v>1917</v>
      </c>
      <c r="S638" t="str">
        <f>""</f>
        <v/>
      </c>
      <c r="T638" t="s">
        <v>41</v>
      </c>
      <c r="U638">
        <v>5747.36</v>
      </c>
      <c r="V638">
        <v>5574.94</v>
      </c>
      <c r="W638">
        <v>5574.94</v>
      </c>
      <c r="X638">
        <v>0</v>
      </c>
      <c r="Y638">
        <v>0</v>
      </c>
      <c r="Z638">
        <v>-525</v>
      </c>
      <c r="AA638">
        <v>693345</v>
      </c>
      <c r="AD638" t="s">
        <v>1612</v>
      </c>
      <c r="AE638">
        <v>3130773100</v>
      </c>
      <c r="AF638" t="s">
        <v>1612</v>
      </c>
      <c r="AG638" s="1" t="s">
        <v>1915</v>
      </c>
      <c r="AH638" t="s">
        <v>1462</v>
      </c>
    </row>
    <row r="639" spans="1:34" x14ac:dyDescent="0.3">
      <c r="A639">
        <v>101</v>
      </c>
      <c r="B639" t="s">
        <v>34</v>
      </c>
      <c r="C639">
        <v>2</v>
      </c>
      <c r="D639" s="1" t="s">
        <v>1918</v>
      </c>
      <c r="E639" s="1" t="s">
        <v>36</v>
      </c>
      <c r="G639">
        <v>462232</v>
      </c>
      <c r="H639" t="s">
        <v>1919</v>
      </c>
      <c r="I639" t="s">
        <v>1472</v>
      </c>
      <c r="J639">
        <v>15</v>
      </c>
      <c r="K639">
        <v>4497</v>
      </c>
      <c r="L639">
        <v>95000</v>
      </c>
      <c r="M639" t="s">
        <v>69</v>
      </c>
      <c r="N639">
        <v>67</v>
      </c>
      <c r="O639" s="2">
        <v>46203</v>
      </c>
      <c r="P639" s="2">
        <v>46310</v>
      </c>
      <c r="R639" t="s">
        <v>1920</v>
      </c>
      <c r="S639" t="str">
        <f>""</f>
        <v/>
      </c>
      <c r="T639" t="s">
        <v>41</v>
      </c>
      <c r="U639">
        <v>1400.78</v>
      </c>
      <c r="V639">
        <v>1358.76</v>
      </c>
      <c r="W639">
        <v>1358.76</v>
      </c>
      <c r="X639">
        <v>0</v>
      </c>
      <c r="Y639">
        <v>0</v>
      </c>
      <c r="Z639">
        <v>-535</v>
      </c>
      <c r="AA639">
        <v>693347</v>
      </c>
      <c r="AD639" t="s">
        <v>1921</v>
      </c>
      <c r="AE639">
        <v>3130771500</v>
      </c>
      <c r="AF639" t="s">
        <v>1921</v>
      </c>
      <c r="AG639" s="1" t="s">
        <v>1922</v>
      </c>
      <c r="AH639" t="s">
        <v>1462</v>
      </c>
    </row>
    <row r="640" spans="1:34" x14ac:dyDescent="0.3">
      <c r="A640">
        <v>101</v>
      </c>
      <c r="B640" t="s">
        <v>34</v>
      </c>
      <c r="C640">
        <v>2</v>
      </c>
      <c r="D640" s="1" t="s">
        <v>1923</v>
      </c>
      <c r="E640" s="1" t="s">
        <v>36</v>
      </c>
      <c r="G640">
        <v>463726</v>
      </c>
      <c r="H640" t="s">
        <v>1924</v>
      </c>
      <c r="I640" t="s">
        <v>1925</v>
      </c>
      <c r="J640">
        <v>15</v>
      </c>
      <c r="K640">
        <v>7078</v>
      </c>
      <c r="L640">
        <v>95000</v>
      </c>
      <c r="M640" t="s">
        <v>69</v>
      </c>
      <c r="N640">
        <v>67</v>
      </c>
      <c r="O640" s="2">
        <v>46182</v>
      </c>
      <c r="P640" s="2">
        <v>46310</v>
      </c>
      <c r="R640" s="1" t="s">
        <v>1926</v>
      </c>
      <c r="S640" t="str">
        <f>""</f>
        <v/>
      </c>
      <c r="T640" t="s">
        <v>41</v>
      </c>
      <c r="U640">
        <v>11525.98</v>
      </c>
      <c r="V640">
        <v>10154</v>
      </c>
      <c r="W640">
        <v>10154</v>
      </c>
      <c r="X640">
        <v>0</v>
      </c>
      <c r="Y640">
        <v>0</v>
      </c>
      <c r="Z640">
        <v>-535</v>
      </c>
      <c r="AA640">
        <v>690748</v>
      </c>
      <c r="AD640" t="s">
        <v>1927</v>
      </c>
      <c r="AE640" t="s">
        <v>1928</v>
      </c>
      <c r="AF640" t="s">
        <v>1927</v>
      </c>
      <c r="AG640" s="1" t="s">
        <v>1929</v>
      </c>
      <c r="AH640" t="s">
        <v>1462</v>
      </c>
    </row>
    <row r="641" spans="1:34" x14ac:dyDescent="0.3">
      <c r="A641">
        <v>101</v>
      </c>
      <c r="B641" t="s">
        <v>34</v>
      </c>
      <c r="C641">
        <v>2</v>
      </c>
      <c r="D641" s="1" t="s">
        <v>1930</v>
      </c>
      <c r="E641" s="1" t="s">
        <v>36</v>
      </c>
      <c r="G641">
        <v>463726</v>
      </c>
      <c r="H641" t="s">
        <v>1924</v>
      </c>
      <c r="I641" t="s">
        <v>1925</v>
      </c>
      <c r="J641">
        <v>15</v>
      </c>
      <c r="K641">
        <v>7078</v>
      </c>
      <c r="L641">
        <v>95000</v>
      </c>
      <c r="M641" t="s">
        <v>69</v>
      </c>
      <c r="N641">
        <v>67</v>
      </c>
      <c r="O641" s="2">
        <v>46163</v>
      </c>
      <c r="P641" s="2">
        <v>46280</v>
      </c>
      <c r="R641" t="s">
        <v>1931</v>
      </c>
      <c r="S641" t="str">
        <f>""</f>
        <v/>
      </c>
      <c r="T641" t="s">
        <v>41</v>
      </c>
      <c r="U641">
        <v>8901.7999999999993</v>
      </c>
      <c r="V641">
        <v>7838.03</v>
      </c>
      <c r="W641">
        <v>7838.03</v>
      </c>
      <c r="X641">
        <v>0</v>
      </c>
      <c r="Y641">
        <v>0</v>
      </c>
      <c r="Z641">
        <v>-505</v>
      </c>
      <c r="AA641">
        <v>688626</v>
      </c>
      <c r="AD641" t="s">
        <v>1927</v>
      </c>
      <c r="AE641" t="s">
        <v>1928</v>
      </c>
      <c r="AF641" t="s">
        <v>1927</v>
      </c>
      <c r="AG641" s="1" t="s">
        <v>1929</v>
      </c>
      <c r="AH641" t="s">
        <v>1462</v>
      </c>
    </row>
    <row r="642" spans="1:34" x14ac:dyDescent="0.3">
      <c r="A642">
        <v>101</v>
      </c>
      <c r="B642" t="s">
        <v>34</v>
      </c>
      <c r="C642">
        <v>2</v>
      </c>
      <c r="D642" s="1" t="s">
        <v>1932</v>
      </c>
      <c r="E642" s="1" t="s">
        <v>36</v>
      </c>
      <c r="G642">
        <v>463726</v>
      </c>
      <c r="H642" t="s">
        <v>1924</v>
      </c>
      <c r="I642" t="s">
        <v>1925</v>
      </c>
      <c r="J642">
        <v>15</v>
      </c>
      <c r="K642">
        <v>7078</v>
      </c>
      <c r="L642">
        <v>95000</v>
      </c>
      <c r="M642" t="s">
        <v>69</v>
      </c>
      <c r="N642">
        <v>67</v>
      </c>
      <c r="O642" s="2">
        <v>46223</v>
      </c>
      <c r="P642" s="2">
        <v>46325</v>
      </c>
      <c r="R642" t="s">
        <v>1933</v>
      </c>
      <c r="S642" t="str">
        <f>""</f>
        <v/>
      </c>
      <c r="T642" t="s">
        <v>41</v>
      </c>
      <c r="U642">
        <v>53745.58</v>
      </c>
      <c r="V642">
        <v>51595.76</v>
      </c>
      <c r="W642">
        <v>51595.76</v>
      </c>
      <c r="X642">
        <v>0</v>
      </c>
      <c r="Y642">
        <v>0</v>
      </c>
      <c r="Z642">
        <v>-550</v>
      </c>
      <c r="AA642">
        <v>691923</v>
      </c>
      <c r="AD642" t="s">
        <v>1927</v>
      </c>
      <c r="AE642" t="s">
        <v>1928</v>
      </c>
      <c r="AF642" t="s">
        <v>1927</v>
      </c>
      <c r="AG642" s="1" t="s">
        <v>1929</v>
      </c>
      <c r="AH642" t="s">
        <v>1462</v>
      </c>
    </row>
    <row r="643" spans="1:34" x14ac:dyDescent="0.3">
      <c r="A643">
        <v>101</v>
      </c>
      <c r="B643" t="s">
        <v>34</v>
      </c>
      <c r="C643">
        <v>2</v>
      </c>
      <c r="D643" s="1" t="s">
        <v>1934</v>
      </c>
      <c r="E643" s="1" t="s">
        <v>36</v>
      </c>
      <c r="G643">
        <v>463726</v>
      </c>
      <c r="H643" t="s">
        <v>1924</v>
      </c>
      <c r="I643" t="s">
        <v>1925</v>
      </c>
      <c r="J643">
        <v>15</v>
      </c>
      <c r="K643">
        <v>7078</v>
      </c>
      <c r="L643">
        <v>95000</v>
      </c>
      <c r="M643" t="s">
        <v>69</v>
      </c>
      <c r="N643">
        <v>67</v>
      </c>
      <c r="O643" s="2">
        <v>46224</v>
      </c>
      <c r="P643" s="2">
        <v>46341</v>
      </c>
      <c r="R643" t="s">
        <v>1935</v>
      </c>
      <c r="S643" t="str">
        <f>""</f>
        <v/>
      </c>
      <c r="T643" t="s">
        <v>41</v>
      </c>
      <c r="U643">
        <v>42228.67</v>
      </c>
      <c r="V643">
        <v>40539.519999999997</v>
      </c>
      <c r="W643">
        <v>40539.519999999997</v>
      </c>
      <c r="X643">
        <v>0</v>
      </c>
      <c r="Y643">
        <v>0</v>
      </c>
      <c r="Z643">
        <v>-566</v>
      </c>
      <c r="AA643">
        <v>691923</v>
      </c>
      <c r="AD643" t="s">
        <v>1927</v>
      </c>
      <c r="AE643" t="s">
        <v>1928</v>
      </c>
      <c r="AF643" t="s">
        <v>1927</v>
      </c>
      <c r="AG643" s="1" t="s">
        <v>1929</v>
      </c>
      <c r="AH643" t="s">
        <v>1462</v>
      </c>
    </row>
    <row r="644" spans="1:34" x14ac:dyDescent="0.3">
      <c r="A644">
        <v>101</v>
      </c>
      <c r="B644" t="s">
        <v>34</v>
      </c>
      <c r="C644">
        <v>2</v>
      </c>
      <c r="D644" s="1" t="s">
        <v>1936</v>
      </c>
      <c r="E644" s="1" t="s">
        <v>36</v>
      </c>
      <c r="G644">
        <v>463726</v>
      </c>
      <c r="H644" t="s">
        <v>1924</v>
      </c>
      <c r="I644" t="s">
        <v>1925</v>
      </c>
      <c r="J644">
        <v>15</v>
      </c>
      <c r="K644">
        <v>7078</v>
      </c>
      <c r="L644">
        <v>95000</v>
      </c>
      <c r="M644" t="s">
        <v>69</v>
      </c>
      <c r="N644">
        <v>67</v>
      </c>
      <c r="O644" s="2">
        <v>46190</v>
      </c>
      <c r="P644" s="2">
        <v>46310</v>
      </c>
      <c r="R644" t="s">
        <v>1937</v>
      </c>
      <c r="S644" t="str">
        <f>""</f>
        <v/>
      </c>
      <c r="T644" t="s">
        <v>41</v>
      </c>
      <c r="U644">
        <v>25295.360000000001</v>
      </c>
      <c r="V644">
        <v>22259.919999999998</v>
      </c>
      <c r="W644">
        <v>22259.919999999998</v>
      </c>
      <c r="X644">
        <v>0</v>
      </c>
      <c r="Y644">
        <v>0</v>
      </c>
      <c r="Z644">
        <v>-535</v>
      </c>
      <c r="AA644">
        <v>691521</v>
      </c>
      <c r="AD644" t="s">
        <v>1927</v>
      </c>
      <c r="AE644" t="s">
        <v>1928</v>
      </c>
      <c r="AF644" t="s">
        <v>1927</v>
      </c>
      <c r="AG644" s="1" t="s">
        <v>1929</v>
      </c>
      <c r="AH644" t="s">
        <v>1462</v>
      </c>
    </row>
    <row r="645" spans="1:34" x14ac:dyDescent="0.3">
      <c r="A645">
        <v>101</v>
      </c>
      <c r="B645" t="s">
        <v>34</v>
      </c>
      <c r="C645">
        <v>2</v>
      </c>
      <c r="D645" s="1" t="s">
        <v>1938</v>
      </c>
      <c r="E645" s="1" t="s">
        <v>36</v>
      </c>
      <c r="G645">
        <v>463726</v>
      </c>
      <c r="H645" t="s">
        <v>1924</v>
      </c>
      <c r="I645" t="s">
        <v>1925</v>
      </c>
      <c r="J645">
        <v>15</v>
      </c>
      <c r="K645">
        <v>7078</v>
      </c>
      <c r="L645">
        <v>95000</v>
      </c>
      <c r="M645" t="s">
        <v>69</v>
      </c>
      <c r="N645">
        <v>67</v>
      </c>
      <c r="O645" s="2">
        <v>46157</v>
      </c>
      <c r="P645" s="2">
        <v>46295</v>
      </c>
      <c r="R645" t="s">
        <v>1939</v>
      </c>
      <c r="S645" t="str">
        <f>""</f>
        <v/>
      </c>
      <c r="T645" t="s">
        <v>41</v>
      </c>
      <c r="U645">
        <v>28698.93</v>
      </c>
      <c r="V645">
        <v>27550.97</v>
      </c>
      <c r="W645">
        <v>27550.97</v>
      </c>
      <c r="X645">
        <v>0</v>
      </c>
      <c r="Y645">
        <v>0</v>
      </c>
      <c r="Z645">
        <v>-520</v>
      </c>
      <c r="AA645">
        <v>688177</v>
      </c>
      <c r="AD645" t="s">
        <v>1927</v>
      </c>
      <c r="AE645" t="s">
        <v>1928</v>
      </c>
      <c r="AF645" t="s">
        <v>1927</v>
      </c>
      <c r="AG645" s="1" t="s">
        <v>1929</v>
      </c>
      <c r="AH645" t="s">
        <v>1462</v>
      </c>
    </row>
    <row r="646" spans="1:34" x14ac:dyDescent="0.3">
      <c r="A646">
        <v>101</v>
      </c>
      <c r="B646" t="s">
        <v>34</v>
      </c>
      <c r="C646">
        <v>2</v>
      </c>
      <c r="D646" s="1" t="s">
        <v>1940</v>
      </c>
      <c r="E646" s="1" t="s">
        <v>36</v>
      </c>
      <c r="G646">
        <v>463726</v>
      </c>
      <c r="H646" t="s">
        <v>1924</v>
      </c>
      <c r="I646" t="s">
        <v>1925</v>
      </c>
      <c r="J646">
        <v>15</v>
      </c>
      <c r="K646">
        <v>7078</v>
      </c>
      <c r="L646">
        <v>95000</v>
      </c>
      <c r="M646" t="s">
        <v>69</v>
      </c>
      <c r="N646">
        <v>67</v>
      </c>
      <c r="O646" s="2">
        <v>46223</v>
      </c>
      <c r="P646" s="2">
        <v>46325</v>
      </c>
      <c r="R646" t="s">
        <v>1941</v>
      </c>
      <c r="S646" t="str">
        <f>""</f>
        <v/>
      </c>
      <c r="T646" t="s">
        <v>41</v>
      </c>
      <c r="U646">
        <v>44519.26</v>
      </c>
      <c r="V646">
        <v>42738.49</v>
      </c>
      <c r="W646">
        <v>42738.49</v>
      </c>
      <c r="X646">
        <v>0</v>
      </c>
      <c r="Y646">
        <v>0</v>
      </c>
      <c r="Z646">
        <v>-550</v>
      </c>
      <c r="AA646">
        <v>694185</v>
      </c>
      <c r="AD646" t="s">
        <v>1927</v>
      </c>
      <c r="AE646" t="s">
        <v>1928</v>
      </c>
      <c r="AF646" t="s">
        <v>1927</v>
      </c>
      <c r="AG646" s="1" t="s">
        <v>1929</v>
      </c>
      <c r="AH646" t="s">
        <v>1462</v>
      </c>
    </row>
    <row r="647" spans="1:34" x14ac:dyDescent="0.3">
      <c r="A647">
        <v>101</v>
      </c>
      <c r="B647" t="s">
        <v>34</v>
      </c>
      <c r="C647">
        <v>2</v>
      </c>
      <c r="D647" s="1" t="s">
        <v>1942</v>
      </c>
      <c r="E647" s="1" t="s">
        <v>36</v>
      </c>
      <c r="G647">
        <v>463726</v>
      </c>
      <c r="H647" t="s">
        <v>1924</v>
      </c>
      <c r="I647" t="s">
        <v>1925</v>
      </c>
      <c r="J647">
        <v>15</v>
      </c>
      <c r="K647">
        <v>7078</v>
      </c>
      <c r="L647">
        <v>95000</v>
      </c>
      <c r="M647" t="s">
        <v>69</v>
      </c>
      <c r="N647">
        <v>67</v>
      </c>
      <c r="O647" s="2">
        <v>46107</v>
      </c>
      <c r="P647" s="2">
        <v>46264</v>
      </c>
      <c r="R647" t="s">
        <v>1943</v>
      </c>
      <c r="S647" t="str">
        <f>""</f>
        <v/>
      </c>
      <c r="T647" t="s">
        <v>41</v>
      </c>
      <c r="U647">
        <v>39696.379999999997</v>
      </c>
      <c r="V647">
        <v>34942.49</v>
      </c>
      <c r="W647">
        <v>34942.49</v>
      </c>
      <c r="X647">
        <v>0</v>
      </c>
      <c r="Y647">
        <v>0</v>
      </c>
      <c r="Z647">
        <v>-489</v>
      </c>
      <c r="AA647">
        <v>683363</v>
      </c>
      <c r="AD647" t="s">
        <v>1927</v>
      </c>
      <c r="AE647" t="s">
        <v>1928</v>
      </c>
      <c r="AF647" t="s">
        <v>1927</v>
      </c>
      <c r="AG647" s="1" t="s">
        <v>1929</v>
      </c>
      <c r="AH647" t="s">
        <v>1462</v>
      </c>
    </row>
    <row r="648" spans="1:34" x14ac:dyDescent="0.3">
      <c r="A648">
        <v>101</v>
      </c>
      <c r="B648" t="s">
        <v>34</v>
      </c>
      <c r="C648">
        <v>2</v>
      </c>
      <c r="D648" s="1" t="s">
        <v>1944</v>
      </c>
      <c r="E648" s="1" t="s">
        <v>36</v>
      </c>
      <c r="G648">
        <v>463726</v>
      </c>
      <c r="H648" t="s">
        <v>1924</v>
      </c>
      <c r="I648" t="s">
        <v>1925</v>
      </c>
      <c r="J648">
        <v>15</v>
      </c>
      <c r="K648">
        <v>7078</v>
      </c>
      <c r="L648">
        <v>95000</v>
      </c>
      <c r="M648" t="s">
        <v>69</v>
      </c>
      <c r="N648">
        <v>67</v>
      </c>
      <c r="O648" s="2">
        <v>46224</v>
      </c>
      <c r="P648" s="2">
        <v>46341</v>
      </c>
      <c r="R648" t="s">
        <v>1945</v>
      </c>
      <c r="S648" t="str">
        <f>""</f>
        <v/>
      </c>
      <c r="T648" t="s">
        <v>41</v>
      </c>
      <c r="U648">
        <v>42655.22</v>
      </c>
      <c r="V648">
        <v>40949.01</v>
      </c>
      <c r="W648">
        <v>40949.01</v>
      </c>
      <c r="X648">
        <v>0</v>
      </c>
      <c r="Y648">
        <v>0</v>
      </c>
      <c r="Z648">
        <v>-566</v>
      </c>
      <c r="AA648">
        <v>1256</v>
      </c>
      <c r="AD648" t="s">
        <v>1927</v>
      </c>
      <c r="AE648" t="s">
        <v>1928</v>
      </c>
      <c r="AF648" t="s">
        <v>1927</v>
      </c>
      <c r="AG648" s="1" t="s">
        <v>1929</v>
      </c>
      <c r="AH648" t="s">
        <v>1462</v>
      </c>
    </row>
    <row r="649" spans="1:34" x14ac:dyDescent="0.3">
      <c r="A649">
        <v>101</v>
      </c>
      <c r="B649" t="s">
        <v>34</v>
      </c>
      <c r="C649">
        <v>2</v>
      </c>
      <c r="D649" s="1" t="s">
        <v>1946</v>
      </c>
      <c r="E649" s="1" t="s">
        <v>36</v>
      </c>
      <c r="G649">
        <v>463726</v>
      </c>
      <c r="H649" t="s">
        <v>1924</v>
      </c>
      <c r="I649" t="s">
        <v>1925</v>
      </c>
      <c r="J649">
        <v>15</v>
      </c>
      <c r="K649">
        <v>7078</v>
      </c>
      <c r="L649">
        <v>95000</v>
      </c>
      <c r="M649" t="s">
        <v>69</v>
      </c>
      <c r="N649">
        <v>67</v>
      </c>
      <c r="O649" s="2">
        <v>46155</v>
      </c>
      <c r="P649" s="2">
        <v>46280</v>
      </c>
      <c r="R649" t="s">
        <v>1947</v>
      </c>
      <c r="S649" t="str">
        <f>""</f>
        <v/>
      </c>
      <c r="T649" t="s">
        <v>41</v>
      </c>
      <c r="U649">
        <v>7370.76</v>
      </c>
      <c r="V649">
        <v>6490.72</v>
      </c>
      <c r="W649">
        <v>6490.72</v>
      </c>
      <c r="X649">
        <v>0</v>
      </c>
      <c r="Y649">
        <v>0</v>
      </c>
      <c r="Z649">
        <v>-505</v>
      </c>
      <c r="AA649">
        <v>687767</v>
      </c>
      <c r="AD649" t="s">
        <v>1927</v>
      </c>
      <c r="AE649" t="s">
        <v>1928</v>
      </c>
      <c r="AF649" t="s">
        <v>1927</v>
      </c>
      <c r="AG649" s="1" t="s">
        <v>1929</v>
      </c>
      <c r="AH649" t="s">
        <v>1462</v>
      </c>
    </row>
    <row r="650" spans="1:34" x14ac:dyDescent="0.3">
      <c r="A650">
        <v>101</v>
      </c>
      <c r="B650" t="s">
        <v>34</v>
      </c>
      <c r="C650">
        <v>2</v>
      </c>
      <c r="D650" s="1" t="s">
        <v>1948</v>
      </c>
      <c r="E650" s="1" t="s">
        <v>36</v>
      </c>
      <c r="G650">
        <v>463726</v>
      </c>
      <c r="H650" t="s">
        <v>1924</v>
      </c>
      <c r="I650" t="s">
        <v>1925</v>
      </c>
      <c r="J650">
        <v>15</v>
      </c>
      <c r="K650">
        <v>7078</v>
      </c>
      <c r="L650">
        <v>95000</v>
      </c>
      <c r="M650" t="s">
        <v>69</v>
      </c>
      <c r="N650">
        <v>67</v>
      </c>
      <c r="O650" s="2">
        <v>46203</v>
      </c>
      <c r="P650" s="2">
        <v>46325</v>
      </c>
      <c r="R650" t="s">
        <v>1949</v>
      </c>
      <c r="S650" t="str">
        <f>""</f>
        <v/>
      </c>
      <c r="T650" t="s">
        <v>41</v>
      </c>
      <c r="U650">
        <v>19122.05</v>
      </c>
      <c r="V650">
        <v>16831.849999999999</v>
      </c>
      <c r="W650">
        <v>16831.849999999999</v>
      </c>
      <c r="X650">
        <v>0</v>
      </c>
      <c r="Y650">
        <v>0</v>
      </c>
      <c r="Z650">
        <v>-550</v>
      </c>
      <c r="AA650">
        <v>693144</v>
      </c>
      <c r="AD650" t="s">
        <v>1927</v>
      </c>
      <c r="AE650" t="s">
        <v>1928</v>
      </c>
      <c r="AF650" t="s">
        <v>1927</v>
      </c>
      <c r="AG650" s="1" t="s">
        <v>1929</v>
      </c>
      <c r="AH650" t="s">
        <v>1462</v>
      </c>
    </row>
    <row r="651" spans="1:34" x14ac:dyDescent="0.3">
      <c r="A651">
        <v>101</v>
      </c>
      <c r="B651" t="s">
        <v>34</v>
      </c>
      <c r="C651">
        <v>2</v>
      </c>
      <c r="D651" s="1" t="s">
        <v>1950</v>
      </c>
      <c r="E651" s="1" t="s">
        <v>36</v>
      </c>
      <c r="G651">
        <v>463726</v>
      </c>
      <c r="H651" t="s">
        <v>1924</v>
      </c>
      <c r="I651" t="s">
        <v>1925</v>
      </c>
      <c r="J651">
        <v>15</v>
      </c>
      <c r="K651">
        <v>7078</v>
      </c>
      <c r="L651">
        <v>95000</v>
      </c>
      <c r="M651" t="s">
        <v>69</v>
      </c>
      <c r="N651">
        <v>67</v>
      </c>
      <c r="O651" s="2">
        <v>46157</v>
      </c>
      <c r="P651" s="2">
        <v>46295</v>
      </c>
      <c r="R651" t="s">
        <v>1951</v>
      </c>
      <c r="S651" t="str">
        <f>""</f>
        <v/>
      </c>
      <c r="T651" t="s">
        <v>41</v>
      </c>
      <c r="U651">
        <v>69849.679999999993</v>
      </c>
      <c r="V651">
        <v>67018.8</v>
      </c>
      <c r="W651">
        <v>67018.8</v>
      </c>
      <c r="X651">
        <v>0</v>
      </c>
      <c r="Y651">
        <v>0</v>
      </c>
      <c r="Z651">
        <v>-520</v>
      </c>
      <c r="AA651">
        <v>688177</v>
      </c>
      <c r="AD651" t="s">
        <v>1927</v>
      </c>
      <c r="AE651" t="s">
        <v>1928</v>
      </c>
      <c r="AF651" t="s">
        <v>1927</v>
      </c>
      <c r="AG651" s="1" t="s">
        <v>1929</v>
      </c>
      <c r="AH651" t="s">
        <v>1462</v>
      </c>
    </row>
    <row r="652" spans="1:34" x14ac:dyDescent="0.3">
      <c r="A652">
        <v>101</v>
      </c>
      <c r="B652" t="s">
        <v>34</v>
      </c>
      <c r="C652">
        <v>2</v>
      </c>
      <c r="D652" s="1" t="s">
        <v>1952</v>
      </c>
      <c r="E652" s="1" t="s">
        <v>36</v>
      </c>
      <c r="G652">
        <v>463726</v>
      </c>
      <c r="H652" t="s">
        <v>1924</v>
      </c>
      <c r="I652" t="s">
        <v>1925</v>
      </c>
      <c r="J652">
        <v>15</v>
      </c>
      <c r="K652">
        <v>7078</v>
      </c>
      <c r="L652">
        <v>95000</v>
      </c>
      <c r="M652" t="s">
        <v>69</v>
      </c>
      <c r="N652">
        <v>67</v>
      </c>
      <c r="O652" s="2">
        <v>46155</v>
      </c>
      <c r="P652" s="2">
        <v>46280</v>
      </c>
      <c r="R652" t="s">
        <v>1953</v>
      </c>
      <c r="S652" t="str">
        <f>""</f>
        <v/>
      </c>
      <c r="T652" t="s">
        <v>41</v>
      </c>
      <c r="U652">
        <v>74156.66</v>
      </c>
      <c r="V652">
        <v>71042.83</v>
      </c>
      <c r="W652">
        <v>71042.83</v>
      </c>
      <c r="X652">
        <v>0</v>
      </c>
      <c r="Y652">
        <v>0</v>
      </c>
      <c r="Z652">
        <v>-505</v>
      </c>
      <c r="AA652">
        <v>688177</v>
      </c>
      <c r="AD652" t="s">
        <v>1927</v>
      </c>
      <c r="AE652" t="s">
        <v>1928</v>
      </c>
      <c r="AF652" t="s">
        <v>1927</v>
      </c>
      <c r="AG652" s="1" t="s">
        <v>1929</v>
      </c>
      <c r="AH652" t="s">
        <v>1462</v>
      </c>
    </row>
    <row r="653" spans="1:34" x14ac:dyDescent="0.3">
      <c r="A653">
        <v>101</v>
      </c>
      <c r="B653" t="s">
        <v>34</v>
      </c>
      <c r="C653">
        <v>2</v>
      </c>
      <c r="D653" s="1" t="s">
        <v>1954</v>
      </c>
      <c r="E653" s="1" t="s">
        <v>36</v>
      </c>
      <c r="G653">
        <v>463726</v>
      </c>
      <c r="H653" t="s">
        <v>1924</v>
      </c>
      <c r="I653" t="s">
        <v>1925</v>
      </c>
      <c r="J653">
        <v>15</v>
      </c>
      <c r="K653">
        <v>7078</v>
      </c>
      <c r="L653">
        <v>95000</v>
      </c>
      <c r="M653" t="s">
        <v>69</v>
      </c>
      <c r="N653">
        <v>67</v>
      </c>
      <c r="O653" s="2">
        <v>46157</v>
      </c>
      <c r="P653" s="2">
        <v>46295</v>
      </c>
      <c r="R653" t="s">
        <v>1955</v>
      </c>
      <c r="S653" t="str">
        <f>""</f>
        <v/>
      </c>
      <c r="T653" t="s">
        <v>41</v>
      </c>
      <c r="U653">
        <v>14890.51</v>
      </c>
      <c r="V653">
        <v>13114.77</v>
      </c>
      <c r="W653">
        <v>13114.77</v>
      </c>
      <c r="X653">
        <v>0</v>
      </c>
      <c r="Y653">
        <v>0</v>
      </c>
      <c r="Z653">
        <v>-520</v>
      </c>
      <c r="AA653">
        <v>688381</v>
      </c>
      <c r="AD653" t="s">
        <v>1927</v>
      </c>
      <c r="AE653" t="s">
        <v>1928</v>
      </c>
      <c r="AF653" t="s">
        <v>1927</v>
      </c>
      <c r="AG653" s="1" t="s">
        <v>1929</v>
      </c>
      <c r="AH653" t="s">
        <v>1462</v>
      </c>
    </row>
    <row r="654" spans="1:34" x14ac:dyDescent="0.3">
      <c r="A654">
        <v>101</v>
      </c>
      <c r="B654" t="s">
        <v>34</v>
      </c>
      <c r="C654">
        <v>2</v>
      </c>
      <c r="D654" s="1" t="s">
        <v>1956</v>
      </c>
      <c r="E654" s="1" t="s">
        <v>36</v>
      </c>
      <c r="G654">
        <v>463726</v>
      </c>
      <c r="H654" t="s">
        <v>1924</v>
      </c>
      <c r="I654" t="s">
        <v>1925</v>
      </c>
      <c r="J654">
        <v>15</v>
      </c>
      <c r="K654">
        <v>7078</v>
      </c>
      <c r="L654">
        <v>95000</v>
      </c>
      <c r="M654" t="s">
        <v>69</v>
      </c>
      <c r="N654">
        <v>67</v>
      </c>
      <c r="O654" s="2">
        <v>46251</v>
      </c>
      <c r="P654" s="2">
        <v>46311</v>
      </c>
      <c r="R654" t="s">
        <v>1957</v>
      </c>
      <c r="S654" t="str">
        <f>""</f>
        <v/>
      </c>
      <c r="T654" t="s">
        <v>41</v>
      </c>
      <c r="U654">
        <v>16897.400000000001</v>
      </c>
      <c r="V654">
        <v>14883.07</v>
      </c>
      <c r="W654">
        <v>14883.07</v>
      </c>
      <c r="X654">
        <v>0</v>
      </c>
      <c r="Y654">
        <v>0</v>
      </c>
      <c r="Z654">
        <v>-536</v>
      </c>
      <c r="AA654">
        <v>1873</v>
      </c>
      <c r="AD654" t="s">
        <v>1927</v>
      </c>
      <c r="AE654" t="s">
        <v>1928</v>
      </c>
      <c r="AF654" t="s">
        <v>1927</v>
      </c>
      <c r="AG654" s="1" t="s">
        <v>1929</v>
      </c>
      <c r="AH654" t="s">
        <v>1462</v>
      </c>
    </row>
    <row r="655" spans="1:34" x14ac:dyDescent="0.3">
      <c r="A655">
        <v>101</v>
      </c>
      <c r="B655" t="s">
        <v>34</v>
      </c>
      <c r="C655">
        <v>2</v>
      </c>
      <c r="D655" s="1" t="s">
        <v>1958</v>
      </c>
      <c r="E655" s="1" t="s">
        <v>36</v>
      </c>
      <c r="G655">
        <v>463726</v>
      </c>
      <c r="H655" t="s">
        <v>1924</v>
      </c>
      <c r="I655" t="s">
        <v>1925</v>
      </c>
      <c r="J655">
        <v>15</v>
      </c>
      <c r="K655">
        <v>7078</v>
      </c>
      <c r="L655">
        <v>95000</v>
      </c>
      <c r="M655" t="s">
        <v>69</v>
      </c>
      <c r="N655">
        <v>67</v>
      </c>
      <c r="O655" s="2">
        <v>46251</v>
      </c>
      <c r="P655" s="2">
        <v>46311</v>
      </c>
      <c r="R655" t="s">
        <v>1959</v>
      </c>
      <c r="S655" t="str">
        <f>""</f>
        <v/>
      </c>
      <c r="T655" t="s">
        <v>41</v>
      </c>
      <c r="U655">
        <v>20306.2</v>
      </c>
      <c r="V655">
        <v>17885.04</v>
      </c>
      <c r="W655">
        <v>17885.04</v>
      </c>
      <c r="X655">
        <v>0</v>
      </c>
      <c r="Y655">
        <v>0</v>
      </c>
      <c r="Z655">
        <v>-536</v>
      </c>
      <c r="AA655">
        <v>1253</v>
      </c>
      <c r="AD655" t="s">
        <v>1927</v>
      </c>
      <c r="AE655" t="s">
        <v>1928</v>
      </c>
      <c r="AF655" t="s">
        <v>1927</v>
      </c>
      <c r="AG655" s="1" t="s">
        <v>1929</v>
      </c>
      <c r="AH655" t="s">
        <v>1462</v>
      </c>
    </row>
    <row r="656" spans="1:34" x14ac:dyDescent="0.3">
      <c r="A656">
        <v>101</v>
      </c>
      <c r="B656" t="s">
        <v>34</v>
      </c>
      <c r="C656">
        <v>2</v>
      </c>
      <c r="D656" s="1" t="s">
        <v>1960</v>
      </c>
      <c r="E656" s="1" t="s">
        <v>36</v>
      </c>
      <c r="G656">
        <v>463726</v>
      </c>
      <c r="H656" t="s">
        <v>1924</v>
      </c>
      <c r="I656" t="s">
        <v>1925</v>
      </c>
      <c r="J656">
        <v>15</v>
      </c>
      <c r="K656">
        <v>7078</v>
      </c>
      <c r="L656">
        <v>95000</v>
      </c>
      <c r="M656" t="s">
        <v>69</v>
      </c>
      <c r="N656">
        <v>67</v>
      </c>
      <c r="O656" s="2">
        <v>46251</v>
      </c>
      <c r="P656" s="2">
        <v>46311</v>
      </c>
      <c r="R656" t="s">
        <v>1961</v>
      </c>
      <c r="S656" t="str">
        <f>""</f>
        <v/>
      </c>
      <c r="T656" t="s">
        <v>41</v>
      </c>
      <c r="U656">
        <v>73803.100000000006</v>
      </c>
      <c r="V656">
        <v>70850.98</v>
      </c>
      <c r="W656">
        <v>70850.98</v>
      </c>
      <c r="X656">
        <v>0</v>
      </c>
      <c r="Y656">
        <v>0</v>
      </c>
      <c r="Z656">
        <v>-536</v>
      </c>
      <c r="AA656">
        <v>1256</v>
      </c>
      <c r="AD656" t="s">
        <v>1927</v>
      </c>
      <c r="AE656" t="s">
        <v>1928</v>
      </c>
      <c r="AF656" t="s">
        <v>1927</v>
      </c>
      <c r="AG656" s="1" t="s">
        <v>1929</v>
      </c>
      <c r="AH656" t="s">
        <v>1462</v>
      </c>
    </row>
    <row r="657" spans="1:34" x14ac:dyDescent="0.3">
      <c r="A657">
        <v>101</v>
      </c>
      <c r="B657" t="s">
        <v>34</v>
      </c>
      <c r="C657">
        <v>2</v>
      </c>
      <c r="D657" s="1" t="s">
        <v>1962</v>
      </c>
      <c r="E657" s="1" t="s">
        <v>36</v>
      </c>
      <c r="G657">
        <v>466495</v>
      </c>
      <c r="H657" t="s">
        <v>1963</v>
      </c>
      <c r="I657" t="s">
        <v>1964</v>
      </c>
      <c r="J657">
        <v>15</v>
      </c>
      <c r="K657">
        <v>9321</v>
      </c>
      <c r="L657">
        <v>95000</v>
      </c>
      <c r="M657" t="s">
        <v>69</v>
      </c>
      <c r="N657">
        <v>67</v>
      </c>
      <c r="O657" s="2">
        <v>46163</v>
      </c>
      <c r="P657" s="2">
        <v>46281</v>
      </c>
      <c r="R657" t="s">
        <v>1965</v>
      </c>
      <c r="S657" t="str">
        <f>""</f>
        <v/>
      </c>
      <c r="T657" t="s">
        <v>41</v>
      </c>
      <c r="U657">
        <v>2218.89</v>
      </c>
      <c r="V657">
        <v>2218.89</v>
      </c>
      <c r="W657">
        <v>2218.89</v>
      </c>
      <c r="X657">
        <v>0</v>
      </c>
      <c r="Y657">
        <v>0</v>
      </c>
      <c r="Z657">
        <v>-506</v>
      </c>
      <c r="AA657">
        <v>688617</v>
      </c>
      <c r="AD657" t="s">
        <v>1684</v>
      </c>
      <c r="AE657" t="s">
        <v>1966</v>
      </c>
      <c r="AF657" t="s">
        <v>1684</v>
      </c>
      <c r="AG657" s="1" t="s">
        <v>1967</v>
      </c>
      <c r="AH657" t="s">
        <v>1462</v>
      </c>
    </row>
    <row r="658" spans="1:34" x14ac:dyDescent="0.3">
      <c r="A658">
        <v>101</v>
      </c>
      <c r="B658" t="s">
        <v>34</v>
      </c>
      <c r="C658">
        <v>2</v>
      </c>
      <c r="D658" s="1" t="s">
        <v>1968</v>
      </c>
      <c r="E658" s="1" t="s">
        <v>36</v>
      </c>
      <c r="G658">
        <v>467124</v>
      </c>
      <c r="H658" t="s">
        <v>1969</v>
      </c>
      <c r="I658" t="s">
        <v>1472</v>
      </c>
      <c r="J658">
        <v>15</v>
      </c>
      <c r="K658">
        <v>4497</v>
      </c>
      <c r="L658">
        <v>95000</v>
      </c>
      <c r="M658" t="s">
        <v>69</v>
      </c>
      <c r="N658">
        <v>67</v>
      </c>
      <c r="O658" s="2">
        <v>46203</v>
      </c>
      <c r="P658" s="2">
        <v>46300</v>
      </c>
      <c r="R658" t="s">
        <v>1970</v>
      </c>
      <c r="S658" t="str">
        <f>""</f>
        <v/>
      </c>
      <c r="T658" t="s">
        <v>41</v>
      </c>
      <c r="U658">
        <v>1635.02</v>
      </c>
      <c r="V658">
        <v>1585.97</v>
      </c>
      <c r="W658">
        <v>1585.97</v>
      </c>
      <c r="X658">
        <v>0</v>
      </c>
      <c r="Y658">
        <v>0</v>
      </c>
      <c r="Z658">
        <v>-525</v>
      </c>
      <c r="AA658">
        <v>693349</v>
      </c>
      <c r="AD658" t="s">
        <v>1903</v>
      </c>
      <c r="AE658" t="s">
        <v>1971</v>
      </c>
      <c r="AF658" t="s">
        <v>1903</v>
      </c>
      <c r="AG658" s="1" t="s">
        <v>1972</v>
      </c>
      <c r="AH658" t="s">
        <v>1462</v>
      </c>
    </row>
    <row r="659" spans="1:34" x14ac:dyDescent="0.3">
      <c r="A659">
        <v>101</v>
      </c>
      <c r="B659" t="s">
        <v>34</v>
      </c>
      <c r="C659">
        <v>2</v>
      </c>
      <c r="D659" s="1" t="s">
        <v>1973</v>
      </c>
      <c r="E659" s="1" t="s">
        <v>36</v>
      </c>
      <c r="G659">
        <v>467124</v>
      </c>
      <c r="H659" t="s">
        <v>1969</v>
      </c>
      <c r="I659" t="s">
        <v>1472</v>
      </c>
      <c r="J659">
        <v>15</v>
      </c>
      <c r="K659">
        <v>4497</v>
      </c>
      <c r="L659">
        <v>95000</v>
      </c>
      <c r="M659" t="s">
        <v>69</v>
      </c>
      <c r="N659">
        <v>67</v>
      </c>
      <c r="O659" s="2">
        <v>46234</v>
      </c>
      <c r="P659" s="2">
        <v>46331</v>
      </c>
      <c r="R659" t="s">
        <v>1974</v>
      </c>
      <c r="S659" t="str">
        <f>""</f>
        <v/>
      </c>
      <c r="T659" t="s">
        <v>41</v>
      </c>
      <c r="U659">
        <v>1748.16</v>
      </c>
      <c r="V659">
        <v>1695.72</v>
      </c>
      <c r="W659">
        <v>1695.72</v>
      </c>
      <c r="X659">
        <v>0</v>
      </c>
      <c r="Y659">
        <v>0</v>
      </c>
      <c r="Z659">
        <v>-556</v>
      </c>
      <c r="AA659">
        <v>695780</v>
      </c>
      <c r="AD659" t="s">
        <v>1903</v>
      </c>
      <c r="AE659" t="s">
        <v>1971</v>
      </c>
      <c r="AF659" t="s">
        <v>1903</v>
      </c>
      <c r="AG659" s="1" t="s">
        <v>1972</v>
      </c>
      <c r="AH659" t="s">
        <v>1462</v>
      </c>
    </row>
    <row r="660" spans="1:34" x14ac:dyDescent="0.3">
      <c r="A660">
        <v>101</v>
      </c>
      <c r="B660" t="s">
        <v>34</v>
      </c>
      <c r="C660">
        <v>2</v>
      </c>
      <c r="D660" s="1" t="s">
        <v>1975</v>
      </c>
      <c r="E660" s="1" t="s">
        <v>36</v>
      </c>
      <c r="G660">
        <v>467420</v>
      </c>
      <c r="H660" t="s">
        <v>1976</v>
      </c>
      <c r="I660" t="s">
        <v>502</v>
      </c>
      <c r="J660">
        <v>15</v>
      </c>
      <c r="K660">
        <v>9321</v>
      </c>
      <c r="L660">
        <v>95000</v>
      </c>
      <c r="M660" t="s">
        <v>69</v>
      </c>
      <c r="N660">
        <v>67</v>
      </c>
      <c r="O660" s="2">
        <v>46163</v>
      </c>
      <c r="P660" s="2">
        <v>46267</v>
      </c>
      <c r="R660" t="s">
        <v>1977</v>
      </c>
      <c r="S660" t="str">
        <f>""</f>
        <v/>
      </c>
      <c r="T660" t="s">
        <v>41</v>
      </c>
      <c r="U660">
        <v>3913.56</v>
      </c>
      <c r="V660">
        <v>3913.56</v>
      </c>
      <c r="W660">
        <v>3913.56</v>
      </c>
      <c r="X660">
        <v>0</v>
      </c>
      <c r="Y660">
        <v>0</v>
      </c>
      <c r="Z660">
        <v>-492</v>
      </c>
      <c r="AA660">
        <v>688620</v>
      </c>
      <c r="AD660" t="s">
        <v>1641</v>
      </c>
      <c r="AE660" t="s">
        <v>1978</v>
      </c>
      <c r="AF660" t="s">
        <v>1641</v>
      </c>
      <c r="AG660" s="1" t="s">
        <v>1979</v>
      </c>
      <c r="AH660" t="s">
        <v>1462</v>
      </c>
    </row>
    <row r="661" spans="1:34" x14ac:dyDescent="0.3">
      <c r="A661">
        <v>101</v>
      </c>
      <c r="B661" t="s">
        <v>34</v>
      </c>
      <c r="C661">
        <v>2</v>
      </c>
      <c r="D661" s="1" t="s">
        <v>1980</v>
      </c>
      <c r="E661" s="1" t="s">
        <v>36</v>
      </c>
      <c r="G661">
        <v>467502</v>
      </c>
      <c r="H661" t="s">
        <v>1981</v>
      </c>
      <c r="I661" t="s">
        <v>502</v>
      </c>
      <c r="J661">
        <v>15</v>
      </c>
      <c r="K661">
        <v>9321</v>
      </c>
      <c r="L661">
        <v>95000</v>
      </c>
      <c r="M661" t="s">
        <v>69</v>
      </c>
      <c r="N661">
        <v>67</v>
      </c>
      <c r="O661" s="2">
        <v>46163</v>
      </c>
      <c r="P661" s="2">
        <v>46274</v>
      </c>
      <c r="R661" t="s">
        <v>1982</v>
      </c>
      <c r="S661" t="str">
        <f>""</f>
        <v/>
      </c>
      <c r="T661" t="s">
        <v>41</v>
      </c>
      <c r="U661">
        <v>1828.65</v>
      </c>
      <c r="V661">
        <v>1828.65</v>
      </c>
      <c r="W661">
        <v>1828.65</v>
      </c>
      <c r="X661">
        <v>0</v>
      </c>
      <c r="Y661">
        <v>0</v>
      </c>
      <c r="Z661">
        <v>-499</v>
      </c>
      <c r="AA661">
        <v>688623</v>
      </c>
      <c r="AD661" t="s">
        <v>1757</v>
      </c>
      <c r="AE661" t="s">
        <v>1966</v>
      </c>
      <c r="AF661" t="s">
        <v>1757</v>
      </c>
      <c r="AG661" s="1" t="s">
        <v>1983</v>
      </c>
      <c r="AH661" t="s">
        <v>1462</v>
      </c>
    </row>
    <row r="662" spans="1:34" x14ac:dyDescent="0.3">
      <c r="A662">
        <v>101</v>
      </c>
      <c r="B662" t="s">
        <v>34</v>
      </c>
      <c r="C662">
        <v>2</v>
      </c>
      <c r="D662" s="1" t="s">
        <v>1984</v>
      </c>
      <c r="E662" s="1" t="s">
        <v>36</v>
      </c>
      <c r="G662">
        <v>467522</v>
      </c>
      <c r="H662" t="s">
        <v>1985</v>
      </c>
      <c r="I662" t="s">
        <v>1986</v>
      </c>
      <c r="J662">
        <v>18</v>
      </c>
      <c r="K662">
        <v>999000606</v>
      </c>
      <c r="L662">
        <v>50001</v>
      </c>
      <c r="M662" t="s">
        <v>39</v>
      </c>
      <c r="N662">
        <v>67</v>
      </c>
      <c r="O662" s="2">
        <v>46154</v>
      </c>
      <c r="P662" s="2">
        <v>46260</v>
      </c>
      <c r="R662" t="s">
        <v>1987</v>
      </c>
      <c r="S662" t="str">
        <f>"25666160000050568"</f>
        <v>25666160000050568</v>
      </c>
      <c r="T662" t="s">
        <v>41</v>
      </c>
      <c r="U662">
        <v>12597.76</v>
      </c>
      <c r="V662">
        <v>11864.88</v>
      </c>
      <c r="W662">
        <v>11864.88</v>
      </c>
      <c r="X662">
        <v>0</v>
      </c>
      <c r="Y662">
        <v>0</v>
      </c>
      <c r="Z662">
        <v>-485</v>
      </c>
      <c r="AA662">
        <v>688175</v>
      </c>
      <c r="AD662" t="s">
        <v>1988</v>
      </c>
      <c r="AE662" t="s">
        <v>1989</v>
      </c>
      <c r="AF662" t="s">
        <v>1988</v>
      </c>
      <c r="AG662" s="1" t="s">
        <v>1990</v>
      </c>
      <c r="AH662" t="s">
        <v>87</v>
      </c>
    </row>
    <row r="663" spans="1:34" x14ac:dyDescent="0.3">
      <c r="A663">
        <v>101</v>
      </c>
      <c r="B663" t="s">
        <v>34</v>
      </c>
      <c r="C663">
        <v>2</v>
      </c>
      <c r="D663" s="1" t="s">
        <v>1991</v>
      </c>
      <c r="E663" s="1" t="s">
        <v>36</v>
      </c>
      <c r="G663">
        <v>467532</v>
      </c>
      <c r="H663" t="s">
        <v>1992</v>
      </c>
      <c r="I663" t="s">
        <v>1472</v>
      </c>
      <c r="J663">
        <v>15</v>
      </c>
      <c r="K663">
        <v>4497</v>
      </c>
      <c r="L663">
        <v>95000</v>
      </c>
      <c r="M663" t="s">
        <v>69</v>
      </c>
      <c r="N663">
        <v>67</v>
      </c>
      <c r="O663" s="2">
        <v>46234</v>
      </c>
      <c r="P663" s="2">
        <v>46331</v>
      </c>
      <c r="R663" t="s">
        <v>1993</v>
      </c>
      <c r="S663" t="str">
        <f>""</f>
        <v/>
      </c>
      <c r="T663" t="s">
        <v>41</v>
      </c>
      <c r="U663">
        <v>1856.26</v>
      </c>
      <c r="V663">
        <v>1800.57</v>
      </c>
      <c r="W663">
        <v>1800.57</v>
      </c>
      <c r="X663">
        <v>0</v>
      </c>
      <c r="Y663">
        <v>0</v>
      </c>
      <c r="Z663">
        <v>-556</v>
      </c>
      <c r="AA663">
        <v>695782</v>
      </c>
      <c r="AD663" t="s">
        <v>1994</v>
      </c>
      <c r="AE663" t="s">
        <v>1995</v>
      </c>
      <c r="AF663" t="s">
        <v>1994</v>
      </c>
      <c r="AG663" s="1" t="s">
        <v>1996</v>
      </c>
      <c r="AH663" t="s">
        <v>1462</v>
      </c>
    </row>
    <row r="664" spans="1:34" x14ac:dyDescent="0.3">
      <c r="A664">
        <v>101</v>
      </c>
      <c r="B664" t="s">
        <v>34</v>
      </c>
      <c r="C664">
        <v>2</v>
      </c>
      <c r="D664" s="1" t="s">
        <v>1997</v>
      </c>
      <c r="E664" s="1" t="s">
        <v>36</v>
      </c>
      <c r="G664">
        <v>467532</v>
      </c>
      <c r="H664" t="s">
        <v>1992</v>
      </c>
      <c r="I664" t="s">
        <v>1472</v>
      </c>
      <c r="J664">
        <v>15</v>
      </c>
      <c r="K664">
        <v>4497</v>
      </c>
      <c r="L664">
        <v>95000</v>
      </c>
      <c r="M664" t="s">
        <v>69</v>
      </c>
      <c r="N664">
        <v>67</v>
      </c>
      <c r="O664" s="2">
        <v>46203</v>
      </c>
      <c r="P664" s="2">
        <v>46300</v>
      </c>
      <c r="R664" t="s">
        <v>1998</v>
      </c>
      <c r="S664" t="str">
        <f>""</f>
        <v/>
      </c>
      <c r="T664" t="s">
        <v>41</v>
      </c>
      <c r="U664">
        <v>1802.35</v>
      </c>
      <c r="V664">
        <v>1748.28</v>
      </c>
      <c r="W664">
        <v>1748.28</v>
      </c>
      <c r="X664">
        <v>0</v>
      </c>
      <c r="Y664">
        <v>0</v>
      </c>
      <c r="Z664">
        <v>-525</v>
      </c>
      <c r="AA664">
        <v>693351</v>
      </c>
      <c r="AD664" t="s">
        <v>1994</v>
      </c>
      <c r="AE664" t="s">
        <v>1995</v>
      </c>
      <c r="AF664" t="s">
        <v>1994</v>
      </c>
      <c r="AG664" s="1" t="s">
        <v>1996</v>
      </c>
      <c r="AH664" t="s">
        <v>1462</v>
      </c>
    </row>
    <row r="665" spans="1:34" x14ac:dyDescent="0.3">
      <c r="A665">
        <v>101</v>
      </c>
      <c r="B665" t="s">
        <v>34</v>
      </c>
      <c r="C665">
        <v>2</v>
      </c>
      <c r="D665" s="1" t="s">
        <v>1999</v>
      </c>
      <c r="E665" s="1" t="s">
        <v>36</v>
      </c>
      <c r="G665">
        <v>467533</v>
      </c>
      <c r="H665" t="s">
        <v>2000</v>
      </c>
      <c r="I665" t="s">
        <v>1472</v>
      </c>
      <c r="J665">
        <v>15</v>
      </c>
      <c r="K665">
        <v>4497</v>
      </c>
      <c r="L665">
        <v>95000</v>
      </c>
      <c r="M665" t="s">
        <v>69</v>
      </c>
      <c r="N665">
        <v>67</v>
      </c>
      <c r="O665" s="2">
        <v>46203</v>
      </c>
      <c r="P665" s="2">
        <v>46308</v>
      </c>
      <c r="R665" t="s">
        <v>2001</v>
      </c>
      <c r="S665" t="str">
        <f>""</f>
        <v/>
      </c>
      <c r="T665" t="s">
        <v>41</v>
      </c>
      <c r="U665">
        <v>507.16</v>
      </c>
      <c r="V665">
        <v>491.95</v>
      </c>
      <c r="W665">
        <v>491.95</v>
      </c>
      <c r="X665">
        <v>0</v>
      </c>
      <c r="Y665">
        <v>0</v>
      </c>
      <c r="Z665">
        <v>-533</v>
      </c>
      <c r="AA665">
        <v>693353</v>
      </c>
      <c r="AD665" t="s">
        <v>1808</v>
      </c>
      <c r="AE665" t="s">
        <v>1995</v>
      </c>
      <c r="AF665" t="s">
        <v>1808</v>
      </c>
      <c r="AG665" s="1" t="s">
        <v>2002</v>
      </c>
      <c r="AH665" t="s">
        <v>1462</v>
      </c>
    </row>
    <row r="666" spans="1:34" x14ac:dyDescent="0.3">
      <c r="A666">
        <v>101</v>
      </c>
      <c r="B666" t="s">
        <v>34</v>
      </c>
      <c r="C666">
        <v>2</v>
      </c>
      <c r="D666" s="1" t="s">
        <v>2003</v>
      </c>
      <c r="E666" s="1" t="s">
        <v>36</v>
      </c>
      <c r="G666">
        <v>468157</v>
      </c>
      <c r="H666" t="s">
        <v>2004</v>
      </c>
      <c r="I666" t="s">
        <v>1472</v>
      </c>
      <c r="J666">
        <v>15</v>
      </c>
      <c r="K666">
        <v>4497</v>
      </c>
      <c r="L666">
        <v>95000</v>
      </c>
      <c r="M666" t="s">
        <v>69</v>
      </c>
      <c r="N666">
        <v>67</v>
      </c>
      <c r="O666" s="2">
        <v>46203</v>
      </c>
      <c r="P666" s="2">
        <v>46308</v>
      </c>
      <c r="R666" t="s">
        <v>2005</v>
      </c>
      <c r="S666" t="str">
        <f>""</f>
        <v/>
      </c>
      <c r="T666" t="s">
        <v>41</v>
      </c>
      <c r="U666">
        <v>5017.16</v>
      </c>
      <c r="V666">
        <v>4866.6499999999996</v>
      </c>
      <c r="W666">
        <v>4866.6499999999996</v>
      </c>
      <c r="X666">
        <v>0</v>
      </c>
      <c r="Y666">
        <v>0</v>
      </c>
      <c r="Z666">
        <v>-533</v>
      </c>
      <c r="AA666">
        <v>693355</v>
      </c>
      <c r="AD666" t="s">
        <v>2006</v>
      </c>
      <c r="AE666" t="s">
        <v>1995</v>
      </c>
      <c r="AF666" t="s">
        <v>2006</v>
      </c>
      <c r="AG666" s="1" t="s">
        <v>2007</v>
      </c>
      <c r="AH666" t="s">
        <v>1462</v>
      </c>
    </row>
    <row r="667" spans="1:34" x14ac:dyDescent="0.3">
      <c r="A667">
        <v>101</v>
      </c>
      <c r="B667" t="s">
        <v>34</v>
      </c>
      <c r="C667">
        <v>2</v>
      </c>
      <c r="D667" s="1" t="s">
        <v>2008</v>
      </c>
      <c r="E667" s="1" t="s">
        <v>36</v>
      </c>
      <c r="G667">
        <v>468157</v>
      </c>
      <c r="H667" t="s">
        <v>2004</v>
      </c>
      <c r="I667" t="s">
        <v>1472</v>
      </c>
      <c r="J667">
        <v>15</v>
      </c>
      <c r="K667">
        <v>4497</v>
      </c>
      <c r="L667">
        <v>95000</v>
      </c>
      <c r="M667" t="s">
        <v>69</v>
      </c>
      <c r="N667">
        <v>67</v>
      </c>
      <c r="O667" s="2">
        <v>46234</v>
      </c>
      <c r="P667" s="2">
        <v>46336</v>
      </c>
      <c r="R667" t="s">
        <v>2009</v>
      </c>
      <c r="S667" t="str">
        <f>""</f>
        <v/>
      </c>
      <c r="T667" t="s">
        <v>41</v>
      </c>
      <c r="U667">
        <v>3303.28</v>
      </c>
      <c r="V667">
        <v>3204.18</v>
      </c>
      <c r="W667">
        <v>3204.18</v>
      </c>
      <c r="X667">
        <v>0</v>
      </c>
      <c r="Y667">
        <v>0</v>
      </c>
      <c r="Z667">
        <v>-561</v>
      </c>
      <c r="AA667">
        <v>695784</v>
      </c>
      <c r="AD667" t="s">
        <v>2006</v>
      </c>
      <c r="AE667" t="s">
        <v>1995</v>
      </c>
      <c r="AF667" t="s">
        <v>2006</v>
      </c>
      <c r="AG667" s="1" t="s">
        <v>2007</v>
      </c>
      <c r="AH667" t="s">
        <v>1462</v>
      </c>
    </row>
    <row r="668" spans="1:34" x14ac:dyDescent="0.3">
      <c r="A668">
        <v>101</v>
      </c>
      <c r="B668" t="s">
        <v>34</v>
      </c>
      <c r="C668">
        <v>2</v>
      </c>
      <c r="D668" s="1" t="s">
        <v>2010</v>
      </c>
      <c r="E668" s="1" t="s">
        <v>36</v>
      </c>
      <c r="G668">
        <v>468199</v>
      </c>
      <c r="H668" t="s">
        <v>2011</v>
      </c>
      <c r="I668" t="s">
        <v>2012</v>
      </c>
      <c r="J668">
        <v>15</v>
      </c>
      <c r="K668">
        <v>468199</v>
      </c>
      <c r="L668">
        <v>50001</v>
      </c>
      <c r="M668" t="s">
        <v>39</v>
      </c>
      <c r="N668">
        <v>67</v>
      </c>
      <c r="O668" s="2">
        <v>46209</v>
      </c>
      <c r="P668" s="2">
        <v>46286</v>
      </c>
      <c r="R668" t="s">
        <v>2013</v>
      </c>
      <c r="S668" t="str">
        <f>"25666160000051381"</f>
        <v>25666160000051381</v>
      </c>
      <c r="T668" t="s">
        <v>41</v>
      </c>
      <c r="U668">
        <v>4232.88</v>
      </c>
      <c r="V668">
        <v>3770.49</v>
      </c>
      <c r="W668">
        <v>3770.49</v>
      </c>
      <c r="X668">
        <v>0</v>
      </c>
      <c r="Y668">
        <v>0</v>
      </c>
      <c r="Z668">
        <v>-511</v>
      </c>
      <c r="AA668">
        <v>693473</v>
      </c>
      <c r="AD668" t="s">
        <v>1765</v>
      </c>
      <c r="AE668" t="s">
        <v>2014</v>
      </c>
      <c r="AF668" t="s">
        <v>1765</v>
      </c>
      <c r="AG668">
        <v>25994179000251</v>
      </c>
      <c r="AH668" t="s">
        <v>1462</v>
      </c>
    </row>
    <row r="669" spans="1:34" x14ac:dyDescent="0.3">
      <c r="A669">
        <v>101</v>
      </c>
      <c r="B669" t="s">
        <v>34</v>
      </c>
      <c r="C669">
        <v>2</v>
      </c>
      <c r="D669" s="1" t="s">
        <v>2015</v>
      </c>
      <c r="E669" s="1" t="s">
        <v>36</v>
      </c>
      <c r="G669">
        <v>468199</v>
      </c>
      <c r="H669" t="s">
        <v>2011</v>
      </c>
      <c r="I669" t="s">
        <v>2012</v>
      </c>
      <c r="J669">
        <v>15</v>
      </c>
      <c r="K669">
        <v>468199</v>
      </c>
      <c r="L669">
        <v>50001</v>
      </c>
      <c r="M669" t="s">
        <v>39</v>
      </c>
      <c r="N669">
        <v>67</v>
      </c>
      <c r="O669" s="2">
        <v>46203</v>
      </c>
      <c r="P669" s="2">
        <v>46290</v>
      </c>
      <c r="R669" t="s">
        <v>2016</v>
      </c>
      <c r="S669" t="str">
        <f>"25666160000051346"</f>
        <v>25666160000051346</v>
      </c>
      <c r="T669" t="s">
        <v>41</v>
      </c>
      <c r="U669">
        <v>47164.46</v>
      </c>
      <c r="V669">
        <v>43306.239999999998</v>
      </c>
      <c r="W669">
        <v>43306.239999999998</v>
      </c>
      <c r="X669">
        <v>0</v>
      </c>
      <c r="Y669">
        <v>0</v>
      </c>
      <c r="Z669">
        <v>-515</v>
      </c>
      <c r="AA669">
        <v>693395</v>
      </c>
      <c r="AD669" t="s">
        <v>1765</v>
      </c>
      <c r="AE669" t="s">
        <v>2014</v>
      </c>
      <c r="AF669" t="s">
        <v>1765</v>
      </c>
      <c r="AG669">
        <v>25994179000251</v>
      </c>
      <c r="AH669" t="s">
        <v>1462</v>
      </c>
    </row>
    <row r="670" spans="1:34" x14ac:dyDescent="0.3">
      <c r="A670">
        <v>101</v>
      </c>
      <c r="B670" t="s">
        <v>34</v>
      </c>
      <c r="C670">
        <v>2</v>
      </c>
      <c r="D670" s="1" t="s">
        <v>2017</v>
      </c>
      <c r="E670" s="1" t="s">
        <v>36</v>
      </c>
      <c r="G670">
        <v>468199</v>
      </c>
      <c r="H670" t="s">
        <v>2011</v>
      </c>
      <c r="I670" t="s">
        <v>2012</v>
      </c>
      <c r="J670">
        <v>15</v>
      </c>
      <c r="K670">
        <v>468199</v>
      </c>
      <c r="L670">
        <v>50001</v>
      </c>
      <c r="M670" t="s">
        <v>39</v>
      </c>
      <c r="N670">
        <v>67</v>
      </c>
      <c r="O670" s="2">
        <v>46203</v>
      </c>
      <c r="P670" s="2">
        <v>46290</v>
      </c>
      <c r="R670" t="s">
        <v>2018</v>
      </c>
      <c r="S670" t="str">
        <f>"25666160000051345"</f>
        <v>25666160000051345</v>
      </c>
      <c r="T670" t="s">
        <v>41</v>
      </c>
      <c r="U670">
        <v>29452.04</v>
      </c>
      <c r="V670">
        <v>26304.58</v>
      </c>
      <c r="W670">
        <v>26304.58</v>
      </c>
      <c r="X670">
        <v>0</v>
      </c>
      <c r="Y670">
        <v>0</v>
      </c>
      <c r="Z670">
        <v>-515</v>
      </c>
      <c r="AA670">
        <v>693214</v>
      </c>
      <c r="AD670" t="s">
        <v>1765</v>
      </c>
      <c r="AE670" t="s">
        <v>2014</v>
      </c>
      <c r="AF670" t="s">
        <v>1765</v>
      </c>
      <c r="AG670">
        <v>25994179000251</v>
      </c>
      <c r="AH670" t="s">
        <v>1462</v>
      </c>
    </row>
    <row r="671" spans="1:34" x14ac:dyDescent="0.3">
      <c r="A671">
        <v>101</v>
      </c>
      <c r="B671" t="s">
        <v>34</v>
      </c>
      <c r="C671">
        <v>2</v>
      </c>
      <c r="D671" s="1" t="s">
        <v>2019</v>
      </c>
      <c r="E671" s="1" t="s">
        <v>36</v>
      </c>
      <c r="G671">
        <v>468199</v>
      </c>
      <c r="H671" t="s">
        <v>2011</v>
      </c>
      <c r="I671" t="s">
        <v>2012</v>
      </c>
      <c r="J671">
        <v>15</v>
      </c>
      <c r="K671">
        <v>468199</v>
      </c>
      <c r="L671">
        <v>50001</v>
      </c>
      <c r="M671" t="s">
        <v>39</v>
      </c>
      <c r="N671">
        <v>67</v>
      </c>
      <c r="O671" s="2">
        <v>46181</v>
      </c>
      <c r="P671" s="2">
        <v>46258</v>
      </c>
      <c r="R671" t="s">
        <v>2020</v>
      </c>
      <c r="S671" t="str">
        <f>"25666160000050917"</f>
        <v>25666160000050917</v>
      </c>
      <c r="T671" t="s">
        <v>41</v>
      </c>
      <c r="U671">
        <v>10230.66</v>
      </c>
      <c r="V671">
        <v>9719.1299999999992</v>
      </c>
      <c r="W671">
        <v>9719.1299999999992</v>
      </c>
      <c r="X671">
        <v>0</v>
      </c>
      <c r="Y671">
        <v>0</v>
      </c>
      <c r="Z671">
        <v>-483</v>
      </c>
      <c r="AA671">
        <v>690409</v>
      </c>
      <c r="AD671" t="s">
        <v>1765</v>
      </c>
      <c r="AE671" t="s">
        <v>2014</v>
      </c>
      <c r="AF671" t="s">
        <v>1765</v>
      </c>
      <c r="AG671">
        <v>25994179000251</v>
      </c>
      <c r="AH671" t="s">
        <v>1462</v>
      </c>
    </row>
    <row r="672" spans="1:34" x14ac:dyDescent="0.3">
      <c r="A672">
        <v>101</v>
      </c>
      <c r="B672" t="s">
        <v>34</v>
      </c>
      <c r="C672">
        <v>2</v>
      </c>
      <c r="D672" s="1" t="s">
        <v>2021</v>
      </c>
      <c r="E672" s="1" t="s">
        <v>36</v>
      </c>
      <c r="G672">
        <v>468199</v>
      </c>
      <c r="H672" t="s">
        <v>2011</v>
      </c>
      <c r="I672" t="s">
        <v>2012</v>
      </c>
      <c r="J672">
        <v>15</v>
      </c>
      <c r="K672">
        <v>468199</v>
      </c>
      <c r="L672">
        <v>50001</v>
      </c>
      <c r="M672" t="s">
        <v>39</v>
      </c>
      <c r="N672">
        <v>67</v>
      </c>
      <c r="O672" s="2">
        <v>46181</v>
      </c>
      <c r="P672" s="2">
        <v>46258</v>
      </c>
      <c r="R672" t="s">
        <v>2022</v>
      </c>
      <c r="S672" t="str">
        <f>"25666160000050919"</f>
        <v>25666160000050919</v>
      </c>
      <c r="T672" t="s">
        <v>41</v>
      </c>
      <c r="U672">
        <v>77909.5</v>
      </c>
      <c r="V672">
        <v>71014.03</v>
      </c>
      <c r="W672">
        <v>71014.03</v>
      </c>
      <c r="X672">
        <v>0</v>
      </c>
      <c r="Y672">
        <v>0</v>
      </c>
      <c r="Z672">
        <v>-483</v>
      </c>
      <c r="AA672">
        <v>690411</v>
      </c>
      <c r="AD672" t="s">
        <v>1765</v>
      </c>
      <c r="AE672" t="s">
        <v>2014</v>
      </c>
      <c r="AF672" t="s">
        <v>1765</v>
      </c>
      <c r="AG672">
        <v>25994179000251</v>
      </c>
      <c r="AH672" t="s">
        <v>1462</v>
      </c>
    </row>
    <row r="673" spans="1:34" x14ac:dyDescent="0.3">
      <c r="A673">
        <v>101</v>
      </c>
      <c r="B673" t="s">
        <v>34</v>
      </c>
      <c r="C673">
        <v>2</v>
      </c>
      <c r="D673" s="1" t="s">
        <v>2023</v>
      </c>
      <c r="E673" s="1" t="s">
        <v>36</v>
      </c>
      <c r="G673">
        <v>468199</v>
      </c>
      <c r="H673" t="s">
        <v>2011</v>
      </c>
      <c r="I673" t="s">
        <v>2012</v>
      </c>
      <c r="J673">
        <v>15</v>
      </c>
      <c r="K673">
        <v>468199</v>
      </c>
      <c r="L673">
        <v>50001</v>
      </c>
      <c r="M673" t="s">
        <v>39</v>
      </c>
      <c r="N673">
        <v>67</v>
      </c>
      <c r="O673" s="2">
        <v>46181</v>
      </c>
      <c r="P673" s="2">
        <v>46258</v>
      </c>
      <c r="R673" t="s">
        <v>2024</v>
      </c>
      <c r="S673" t="str">
        <f>"25666160000050918"</f>
        <v>25666160000050918</v>
      </c>
      <c r="T673" t="s">
        <v>41</v>
      </c>
      <c r="U673">
        <v>18637.310000000001</v>
      </c>
      <c r="V673">
        <v>14705.44</v>
      </c>
      <c r="W673">
        <v>14705.44</v>
      </c>
      <c r="X673">
        <v>0</v>
      </c>
      <c r="Y673">
        <v>0</v>
      </c>
      <c r="Z673">
        <v>-483</v>
      </c>
      <c r="AA673">
        <v>690410</v>
      </c>
      <c r="AD673" t="s">
        <v>1765</v>
      </c>
      <c r="AE673" t="s">
        <v>2014</v>
      </c>
      <c r="AF673" t="s">
        <v>1765</v>
      </c>
      <c r="AG673">
        <v>25994179000251</v>
      </c>
      <c r="AH673" t="s">
        <v>1462</v>
      </c>
    </row>
    <row r="674" spans="1:34" x14ac:dyDescent="0.3">
      <c r="A674">
        <v>101</v>
      </c>
      <c r="B674" t="s">
        <v>34</v>
      </c>
      <c r="C674">
        <v>2</v>
      </c>
      <c r="D674" s="1" t="s">
        <v>2025</v>
      </c>
      <c r="E674" s="1" t="s">
        <v>36</v>
      </c>
      <c r="G674">
        <v>468262</v>
      </c>
      <c r="H674" t="s">
        <v>2026</v>
      </c>
      <c r="I674" t="s">
        <v>2027</v>
      </c>
      <c r="J674">
        <v>15</v>
      </c>
      <c r="K674">
        <v>468262</v>
      </c>
      <c r="L674">
        <v>50001</v>
      </c>
      <c r="M674" t="s">
        <v>39</v>
      </c>
      <c r="N674">
        <v>67</v>
      </c>
      <c r="O674" s="2">
        <v>46198</v>
      </c>
      <c r="P674" s="2">
        <v>46273</v>
      </c>
      <c r="R674" t="s">
        <v>2028</v>
      </c>
      <c r="S674" t="str">
        <f>"25666160000051224"</f>
        <v>25666160000051224</v>
      </c>
      <c r="T674" t="s">
        <v>41</v>
      </c>
      <c r="U674">
        <v>12052.8</v>
      </c>
      <c r="V674">
        <v>12052.8</v>
      </c>
      <c r="W674">
        <v>12052.8</v>
      </c>
      <c r="X674">
        <v>0</v>
      </c>
      <c r="Y674">
        <v>0</v>
      </c>
      <c r="Z674">
        <v>-498</v>
      </c>
      <c r="AA674">
        <v>692073</v>
      </c>
      <c r="AD674" t="s">
        <v>1459</v>
      </c>
      <c r="AE674" t="s">
        <v>2029</v>
      </c>
      <c r="AF674" t="s">
        <v>1459</v>
      </c>
      <c r="AG674">
        <v>17256512002917</v>
      </c>
      <c r="AH674" t="s">
        <v>1462</v>
      </c>
    </row>
    <row r="675" spans="1:34" x14ac:dyDescent="0.3">
      <c r="A675">
        <v>101</v>
      </c>
      <c r="B675" t="s">
        <v>34</v>
      </c>
      <c r="C675">
        <v>2</v>
      </c>
      <c r="D675" s="1" t="s">
        <v>2030</v>
      </c>
      <c r="E675" s="1" t="s">
        <v>36</v>
      </c>
      <c r="G675">
        <v>468262</v>
      </c>
      <c r="H675" t="s">
        <v>2026</v>
      </c>
      <c r="I675" t="s">
        <v>2027</v>
      </c>
      <c r="J675">
        <v>15</v>
      </c>
      <c r="K675">
        <v>468262</v>
      </c>
      <c r="L675">
        <v>50001</v>
      </c>
      <c r="M675" t="s">
        <v>39</v>
      </c>
      <c r="N675">
        <v>67</v>
      </c>
      <c r="O675" s="2">
        <v>46224</v>
      </c>
      <c r="P675" s="2">
        <v>46299</v>
      </c>
      <c r="R675" t="s">
        <v>2031</v>
      </c>
      <c r="S675" t="str">
        <f>"25666160000051506"</f>
        <v>25666160000051506</v>
      </c>
      <c r="T675" t="s">
        <v>41</v>
      </c>
      <c r="U675">
        <v>13527.24</v>
      </c>
      <c r="V675">
        <v>13527.24</v>
      </c>
      <c r="W675">
        <v>13527.24</v>
      </c>
      <c r="X675">
        <v>0</v>
      </c>
      <c r="Y675">
        <v>0</v>
      </c>
      <c r="Z675">
        <v>-524</v>
      </c>
      <c r="AA675">
        <v>1338</v>
      </c>
      <c r="AD675" t="s">
        <v>1459</v>
      </c>
      <c r="AE675" t="s">
        <v>2029</v>
      </c>
      <c r="AF675" t="s">
        <v>1459</v>
      </c>
      <c r="AG675">
        <v>17256512002917</v>
      </c>
      <c r="AH675" t="s">
        <v>1462</v>
      </c>
    </row>
    <row r="676" spans="1:34" x14ac:dyDescent="0.3">
      <c r="A676">
        <v>101</v>
      </c>
      <c r="B676" t="s">
        <v>34</v>
      </c>
      <c r="C676">
        <v>2</v>
      </c>
      <c r="D676" s="1" t="s">
        <v>2032</v>
      </c>
      <c r="E676" s="1" t="s">
        <v>36</v>
      </c>
      <c r="G676">
        <v>468584</v>
      </c>
      <c r="H676" t="s">
        <v>2033</v>
      </c>
      <c r="I676" t="s">
        <v>502</v>
      </c>
      <c r="J676">
        <v>15</v>
      </c>
      <c r="K676">
        <v>9321</v>
      </c>
      <c r="L676">
        <v>95000</v>
      </c>
      <c r="M676" t="s">
        <v>69</v>
      </c>
      <c r="N676">
        <v>67</v>
      </c>
      <c r="O676" s="2">
        <v>46163</v>
      </c>
      <c r="P676" s="2">
        <v>46260</v>
      </c>
      <c r="R676" t="s">
        <v>2034</v>
      </c>
      <c r="S676" t="str">
        <f>""</f>
        <v/>
      </c>
      <c r="T676" t="s">
        <v>41</v>
      </c>
      <c r="U676">
        <v>4190.13</v>
      </c>
      <c r="V676">
        <v>4190.13</v>
      </c>
      <c r="W676">
        <v>4190.13</v>
      </c>
      <c r="X676">
        <v>0</v>
      </c>
      <c r="Y676">
        <v>0</v>
      </c>
      <c r="Z676">
        <v>-485</v>
      </c>
      <c r="AA676">
        <v>688614</v>
      </c>
      <c r="AD676" t="s">
        <v>1808</v>
      </c>
      <c r="AE676" t="s">
        <v>1460</v>
      </c>
      <c r="AF676" t="s">
        <v>1808</v>
      </c>
      <c r="AG676" s="1" t="s">
        <v>2035</v>
      </c>
      <c r="AH676" t="s">
        <v>1462</v>
      </c>
    </row>
    <row r="677" spans="1:34" x14ac:dyDescent="0.3">
      <c r="A677">
        <v>101</v>
      </c>
      <c r="B677" t="s">
        <v>34</v>
      </c>
      <c r="C677">
        <v>2</v>
      </c>
      <c r="D677" s="1" t="s">
        <v>2036</v>
      </c>
      <c r="E677" s="1" t="s">
        <v>36</v>
      </c>
      <c r="G677">
        <v>469179</v>
      </c>
      <c r="H677" t="s">
        <v>2037</v>
      </c>
      <c r="I677" t="s">
        <v>502</v>
      </c>
      <c r="J677">
        <v>15</v>
      </c>
      <c r="K677">
        <v>9321</v>
      </c>
      <c r="L677">
        <v>95000</v>
      </c>
      <c r="M677" t="s">
        <v>69</v>
      </c>
      <c r="N677">
        <v>67</v>
      </c>
      <c r="O677" s="2">
        <v>46163</v>
      </c>
      <c r="P677" s="2">
        <v>46260</v>
      </c>
      <c r="R677" t="s">
        <v>2038</v>
      </c>
      <c r="S677" t="str">
        <f>""</f>
        <v/>
      </c>
      <c r="T677" t="s">
        <v>41</v>
      </c>
      <c r="U677">
        <v>3004.32</v>
      </c>
      <c r="V677">
        <v>3004.32</v>
      </c>
      <c r="W677">
        <v>3004.32</v>
      </c>
      <c r="X677">
        <v>0</v>
      </c>
      <c r="Y677">
        <v>0</v>
      </c>
      <c r="Z677">
        <v>-485</v>
      </c>
      <c r="AA677">
        <v>688613</v>
      </c>
      <c r="AD677" t="s">
        <v>1467</v>
      </c>
      <c r="AE677" t="s">
        <v>1978</v>
      </c>
      <c r="AF677" t="s">
        <v>1467</v>
      </c>
      <c r="AG677" s="1" t="s">
        <v>2039</v>
      </c>
      <c r="AH677" t="s">
        <v>1462</v>
      </c>
    </row>
    <row r="678" spans="1:34" x14ac:dyDescent="0.3">
      <c r="A678">
        <v>101</v>
      </c>
      <c r="B678" t="s">
        <v>34</v>
      </c>
      <c r="C678">
        <v>2</v>
      </c>
      <c r="D678" s="1" t="s">
        <v>2040</v>
      </c>
      <c r="E678" s="1" t="s">
        <v>36</v>
      </c>
      <c r="G678">
        <v>469180</v>
      </c>
      <c r="H678" t="s">
        <v>2041</v>
      </c>
      <c r="I678" t="s">
        <v>502</v>
      </c>
      <c r="J678">
        <v>15</v>
      </c>
      <c r="K678">
        <v>9321</v>
      </c>
      <c r="L678">
        <v>95000</v>
      </c>
      <c r="M678" t="s">
        <v>69</v>
      </c>
      <c r="N678">
        <v>67</v>
      </c>
      <c r="O678" s="2">
        <v>46163</v>
      </c>
      <c r="P678" s="2">
        <v>46267</v>
      </c>
      <c r="R678" t="s">
        <v>2042</v>
      </c>
      <c r="S678" t="str">
        <f>""</f>
        <v/>
      </c>
      <c r="T678" t="s">
        <v>41</v>
      </c>
      <c r="U678">
        <v>2812.56</v>
      </c>
      <c r="V678">
        <v>2812.56</v>
      </c>
      <c r="W678">
        <v>2812.56</v>
      </c>
      <c r="X678">
        <v>0</v>
      </c>
      <c r="Y678">
        <v>0</v>
      </c>
      <c r="Z678">
        <v>-492</v>
      </c>
      <c r="AA678">
        <v>688612</v>
      </c>
      <c r="AD678" t="s">
        <v>1751</v>
      </c>
      <c r="AE678" t="s">
        <v>2043</v>
      </c>
      <c r="AF678" t="s">
        <v>1751</v>
      </c>
      <c r="AG678" s="1" t="s">
        <v>2044</v>
      </c>
      <c r="AH678" t="s">
        <v>1462</v>
      </c>
    </row>
    <row r="679" spans="1:34" x14ac:dyDescent="0.3">
      <c r="A679">
        <v>101</v>
      </c>
      <c r="B679" t="s">
        <v>34</v>
      </c>
      <c r="C679">
        <v>2</v>
      </c>
      <c r="D679" s="1" t="s">
        <v>2045</v>
      </c>
      <c r="E679" s="1" t="s">
        <v>36</v>
      </c>
      <c r="G679">
        <v>469964</v>
      </c>
      <c r="H679" t="s">
        <v>2046</v>
      </c>
      <c r="I679" t="s">
        <v>1472</v>
      </c>
      <c r="J679">
        <v>15</v>
      </c>
      <c r="K679">
        <v>4497</v>
      </c>
      <c r="L679">
        <v>95000</v>
      </c>
      <c r="M679" t="s">
        <v>69</v>
      </c>
      <c r="N679">
        <v>67</v>
      </c>
      <c r="O679" s="2">
        <v>46203</v>
      </c>
      <c r="P679" s="2">
        <v>46315</v>
      </c>
      <c r="R679" t="s">
        <v>2047</v>
      </c>
      <c r="S679" t="str">
        <f>""</f>
        <v/>
      </c>
      <c r="T679" t="s">
        <v>41</v>
      </c>
      <c r="U679">
        <v>1920.9</v>
      </c>
      <c r="V679">
        <v>1863.27</v>
      </c>
      <c r="W679">
        <v>1863.27</v>
      </c>
      <c r="X679">
        <v>0</v>
      </c>
      <c r="Y679">
        <v>0</v>
      </c>
      <c r="Z679">
        <v>-540</v>
      </c>
      <c r="AA679">
        <v>693363</v>
      </c>
      <c r="AD679" t="s">
        <v>2048</v>
      </c>
      <c r="AE679" t="s">
        <v>2049</v>
      </c>
      <c r="AF679" t="s">
        <v>2048</v>
      </c>
      <c r="AG679" s="1" t="s">
        <v>2050</v>
      </c>
      <c r="AH679" t="s">
        <v>1462</v>
      </c>
    </row>
    <row r="680" spans="1:34" x14ac:dyDescent="0.3">
      <c r="A680">
        <v>101</v>
      </c>
      <c r="B680" t="s">
        <v>34</v>
      </c>
      <c r="C680">
        <v>2</v>
      </c>
      <c r="D680" s="1" t="s">
        <v>2051</v>
      </c>
      <c r="E680" s="1" t="s">
        <v>36</v>
      </c>
      <c r="G680">
        <v>469964</v>
      </c>
      <c r="H680" t="s">
        <v>2046</v>
      </c>
      <c r="I680" t="s">
        <v>1472</v>
      </c>
      <c r="J680">
        <v>15</v>
      </c>
      <c r="K680">
        <v>4497</v>
      </c>
      <c r="L680">
        <v>95000</v>
      </c>
      <c r="M680" t="s">
        <v>69</v>
      </c>
      <c r="N680">
        <v>67</v>
      </c>
      <c r="O680" s="2">
        <v>46234</v>
      </c>
      <c r="P680" s="2">
        <v>46324</v>
      </c>
      <c r="R680" t="s">
        <v>2052</v>
      </c>
      <c r="S680" t="str">
        <f>""</f>
        <v/>
      </c>
      <c r="T680" t="s">
        <v>41</v>
      </c>
      <c r="U680">
        <v>2111.5500000000002</v>
      </c>
      <c r="V680">
        <v>2048.1999999999998</v>
      </c>
      <c r="W680">
        <v>2048.1999999999998</v>
      </c>
      <c r="X680">
        <v>0</v>
      </c>
      <c r="Y680">
        <v>0</v>
      </c>
      <c r="Z680">
        <v>-549</v>
      </c>
      <c r="AA680">
        <v>695790</v>
      </c>
      <c r="AD680" t="s">
        <v>2048</v>
      </c>
      <c r="AE680" t="s">
        <v>2049</v>
      </c>
      <c r="AF680" t="s">
        <v>2048</v>
      </c>
      <c r="AG680" s="1" t="s">
        <v>2050</v>
      </c>
      <c r="AH680" t="s">
        <v>1462</v>
      </c>
    </row>
    <row r="681" spans="1:34" x14ac:dyDescent="0.3">
      <c r="A681">
        <v>101</v>
      </c>
      <c r="B681" t="s">
        <v>34</v>
      </c>
      <c r="C681">
        <v>2</v>
      </c>
      <c r="D681" s="1" t="s">
        <v>2053</v>
      </c>
      <c r="E681" s="1" t="s">
        <v>36</v>
      </c>
      <c r="G681">
        <v>469967</v>
      </c>
      <c r="H681" t="s">
        <v>2054</v>
      </c>
      <c r="I681" t="s">
        <v>1472</v>
      </c>
      <c r="J681">
        <v>15</v>
      </c>
      <c r="K681">
        <v>4497</v>
      </c>
      <c r="L681">
        <v>95000</v>
      </c>
      <c r="M681" t="s">
        <v>69</v>
      </c>
      <c r="N681">
        <v>67</v>
      </c>
      <c r="O681" s="2">
        <v>46203</v>
      </c>
      <c r="P681" s="2">
        <v>46315</v>
      </c>
      <c r="R681" t="s">
        <v>2055</v>
      </c>
      <c r="S681" t="str">
        <f>""</f>
        <v/>
      </c>
      <c r="T681" t="s">
        <v>41</v>
      </c>
      <c r="U681">
        <v>1791.5</v>
      </c>
      <c r="V681">
        <v>1737.76</v>
      </c>
      <c r="W681">
        <v>1737.76</v>
      </c>
      <c r="X681">
        <v>0</v>
      </c>
      <c r="Y681">
        <v>0</v>
      </c>
      <c r="Z681">
        <v>-540</v>
      </c>
      <c r="AA681">
        <v>693359</v>
      </c>
      <c r="AD681" t="s">
        <v>1887</v>
      </c>
      <c r="AE681">
        <v>3133704101</v>
      </c>
      <c r="AF681" t="s">
        <v>1887</v>
      </c>
      <c r="AG681" s="1" t="s">
        <v>2056</v>
      </c>
      <c r="AH681" t="s">
        <v>1462</v>
      </c>
    </row>
    <row r="682" spans="1:34" x14ac:dyDescent="0.3">
      <c r="A682">
        <v>101</v>
      </c>
      <c r="B682" t="s">
        <v>34</v>
      </c>
      <c r="C682">
        <v>2</v>
      </c>
      <c r="D682" s="1" t="s">
        <v>2057</v>
      </c>
      <c r="E682" s="1" t="s">
        <v>36</v>
      </c>
      <c r="G682">
        <v>469971</v>
      </c>
      <c r="H682" t="s">
        <v>2058</v>
      </c>
      <c r="I682" t="s">
        <v>1472</v>
      </c>
      <c r="J682">
        <v>15</v>
      </c>
      <c r="K682">
        <v>4497</v>
      </c>
      <c r="L682">
        <v>95000</v>
      </c>
      <c r="M682" t="s">
        <v>69</v>
      </c>
      <c r="N682">
        <v>67</v>
      </c>
      <c r="O682" s="2">
        <v>46203</v>
      </c>
      <c r="P682" s="2">
        <v>46315</v>
      </c>
      <c r="R682" t="s">
        <v>2059</v>
      </c>
      <c r="S682" t="str">
        <f>""</f>
        <v/>
      </c>
      <c r="T682" t="s">
        <v>41</v>
      </c>
      <c r="U682">
        <v>3092.97</v>
      </c>
      <c r="V682">
        <v>3000.18</v>
      </c>
      <c r="W682">
        <v>3000.18</v>
      </c>
      <c r="X682">
        <v>0</v>
      </c>
      <c r="Y682">
        <v>0</v>
      </c>
      <c r="Z682">
        <v>-540</v>
      </c>
      <c r="AA682">
        <v>693361</v>
      </c>
      <c r="AD682" t="s">
        <v>2060</v>
      </c>
      <c r="AE682">
        <v>3133704101</v>
      </c>
      <c r="AF682" t="s">
        <v>2060</v>
      </c>
      <c r="AG682" s="1" t="s">
        <v>2061</v>
      </c>
      <c r="AH682" t="s">
        <v>1462</v>
      </c>
    </row>
    <row r="683" spans="1:34" x14ac:dyDescent="0.3">
      <c r="A683">
        <v>101</v>
      </c>
      <c r="B683" t="s">
        <v>34</v>
      </c>
      <c r="C683">
        <v>2</v>
      </c>
      <c r="D683" s="1" t="s">
        <v>2062</v>
      </c>
      <c r="E683" s="1" t="s">
        <v>36</v>
      </c>
      <c r="G683">
        <v>469971</v>
      </c>
      <c r="H683" t="s">
        <v>2058</v>
      </c>
      <c r="I683" t="s">
        <v>1472</v>
      </c>
      <c r="J683">
        <v>15</v>
      </c>
      <c r="K683">
        <v>4497</v>
      </c>
      <c r="L683">
        <v>95000</v>
      </c>
      <c r="M683" t="s">
        <v>69</v>
      </c>
      <c r="N683">
        <v>67</v>
      </c>
      <c r="O683" s="2">
        <v>46234</v>
      </c>
      <c r="P683" s="2">
        <v>46324</v>
      </c>
      <c r="R683" t="s">
        <v>2063</v>
      </c>
      <c r="S683" t="str">
        <f>""</f>
        <v/>
      </c>
      <c r="T683" t="s">
        <v>41</v>
      </c>
      <c r="U683">
        <v>1875.68</v>
      </c>
      <c r="V683">
        <v>1819.41</v>
      </c>
      <c r="W683">
        <v>1819.41</v>
      </c>
      <c r="X683">
        <v>0</v>
      </c>
      <c r="Y683">
        <v>0</v>
      </c>
      <c r="Z683">
        <v>-549</v>
      </c>
      <c r="AA683">
        <v>695788</v>
      </c>
      <c r="AD683" t="s">
        <v>2060</v>
      </c>
      <c r="AE683">
        <v>3133704101</v>
      </c>
      <c r="AF683" t="s">
        <v>2060</v>
      </c>
      <c r="AG683" s="1" t="s">
        <v>2061</v>
      </c>
      <c r="AH683" t="s">
        <v>1462</v>
      </c>
    </row>
    <row r="684" spans="1:34" x14ac:dyDescent="0.3">
      <c r="A684">
        <v>101</v>
      </c>
      <c r="B684" t="s">
        <v>34</v>
      </c>
      <c r="C684">
        <v>2</v>
      </c>
      <c r="D684" s="1" t="s">
        <v>2064</v>
      </c>
      <c r="E684" s="1" t="s">
        <v>36</v>
      </c>
      <c r="G684">
        <v>470245</v>
      </c>
      <c r="H684" t="s">
        <v>2065</v>
      </c>
      <c r="I684" t="s">
        <v>1472</v>
      </c>
      <c r="J684">
        <v>15</v>
      </c>
      <c r="K684">
        <v>4497</v>
      </c>
      <c r="L684">
        <v>95000</v>
      </c>
      <c r="M684" t="s">
        <v>69</v>
      </c>
      <c r="N684">
        <v>67</v>
      </c>
      <c r="O684" s="2">
        <v>46203</v>
      </c>
      <c r="P684" s="2">
        <v>46315</v>
      </c>
      <c r="R684" t="s">
        <v>2066</v>
      </c>
      <c r="S684" t="str">
        <f>""</f>
        <v/>
      </c>
      <c r="T684" t="s">
        <v>41</v>
      </c>
      <c r="U684">
        <v>1712.99</v>
      </c>
      <c r="V684">
        <v>1661.6</v>
      </c>
      <c r="W684">
        <v>1661.6</v>
      </c>
      <c r="X684">
        <v>0</v>
      </c>
      <c r="Y684">
        <v>0</v>
      </c>
      <c r="Z684">
        <v>-540</v>
      </c>
      <c r="AA684">
        <v>693373</v>
      </c>
      <c r="AD684" t="s">
        <v>1533</v>
      </c>
      <c r="AE684">
        <v>3133701401</v>
      </c>
      <c r="AF684" t="s">
        <v>1533</v>
      </c>
      <c r="AG684" s="1" t="s">
        <v>2067</v>
      </c>
      <c r="AH684" t="s">
        <v>1462</v>
      </c>
    </row>
    <row r="685" spans="1:34" x14ac:dyDescent="0.3">
      <c r="A685">
        <v>101</v>
      </c>
      <c r="B685" t="s">
        <v>34</v>
      </c>
      <c r="C685">
        <v>2</v>
      </c>
      <c r="D685" s="1" t="s">
        <v>2068</v>
      </c>
      <c r="E685" s="1" t="s">
        <v>36</v>
      </c>
      <c r="G685">
        <v>470246</v>
      </c>
      <c r="H685" t="s">
        <v>2069</v>
      </c>
      <c r="I685" t="s">
        <v>1472</v>
      </c>
      <c r="J685">
        <v>15</v>
      </c>
      <c r="K685">
        <v>4497</v>
      </c>
      <c r="L685">
        <v>95000</v>
      </c>
      <c r="M685" t="s">
        <v>69</v>
      </c>
      <c r="N685">
        <v>67</v>
      </c>
      <c r="O685" s="2">
        <v>46203</v>
      </c>
      <c r="P685" s="2">
        <v>46293</v>
      </c>
      <c r="R685" t="s">
        <v>2070</v>
      </c>
      <c r="S685" t="str">
        <f>""</f>
        <v/>
      </c>
      <c r="T685" t="s">
        <v>41</v>
      </c>
      <c r="U685">
        <v>1472.96</v>
      </c>
      <c r="V685">
        <v>1428.77</v>
      </c>
      <c r="W685">
        <v>1428.77</v>
      </c>
      <c r="X685">
        <v>0</v>
      </c>
      <c r="Y685">
        <v>0</v>
      </c>
      <c r="Z685">
        <v>-518</v>
      </c>
      <c r="AA685">
        <v>693371</v>
      </c>
      <c r="AD685" t="s">
        <v>1808</v>
      </c>
      <c r="AE685">
        <v>3133701401</v>
      </c>
      <c r="AF685" t="s">
        <v>1808</v>
      </c>
      <c r="AG685" s="1" t="s">
        <v>2071</v>
      </c>
      <c r="AH685" t="s">
        <v>1462</v>
      </c>
    </row>
    <row r="686" spans="1:34" x14ac:dyDescent="0.3">
      <c r="A686">
        <v>101</v>
      </c>
      <c r="B686" t="s">
        <v>34</v>
      </c>
      <c r="C686">
        <v>2</v>
      </c>
      <c r="D686" s="1" t="s">
        <v>2072</v>
      </c>
      <c r="E686" s="1" t="s">
        <v>36</v>
      </c>
      <c r="G686">
        <v>470247</v>
      </c>
      <c r="H686" t="s">
        <v>2073</v>
      </c>
      <c r="I686" t="s">
        <v>1472</v>
      </c>
      <c r="J686">
        <v>15</v>
      </c>
      <c r="K686">
        <v>4497</v>
      </c>
      <c r="L686">
        <v>95000</v>
      </c>
      <c r="M686" t="s">
        <v>69</v>
      </c>
      <c r="N686">
        <v>67</v>
      </c>
      <c r="O686" s="2">
        <v>46203</v>
      </c>
      <c r="P686" s="2">
        <v>46315</v>
      </c>
      <c r="R686" t="s">
        <v>2074</v>
      </c>
      <c r="S686" t="str">
        <f>""</f>
        <v/>
      </c>
      <c r="T686" t="s">
        <v>41</v>
      </c>
      <c r="U686">
        <v>3835.87</v>
      </c>
      <c r="V686">
        <v>3720.79</v>
      </c>
      <c r="W686">
        <v>3720.79</v>
      </c>
      <c r="X686">
        <v>0</v>
      </c>
      <c r="Y686">
        <v>0</v>
      </c>
      <c r="Z686">
        <v>-540</v>
      </c>
      <c r="AA686">
        <v>693365</v>
      </c>
      <c r="AD686" t="s">
        <v>1808</v>
      </c>
      <c r="AE686">
        <v>3133704101</v>
      </c>
      <c r="AF686" t="s">
        <v>1808</v>
      </c>
      <c r="AG686" s="1" t="s">
        <v>2075</v>
      </c>
      <c r="AH686" t="s">
        <v>1462</v>
      </c>
    </row>
    <row r="687" spans="1:34" x14ac:dyDescent="0.3">
      <c r="A687">
        <v>101</v>
      </c>
      <c r="B687" t="s">
        <v>34</v>
      </c>
      <c r="C687">
        <v>2</v>
      </c>
      <c r="D687" s="1" t="s">
        <v>2076</v>
      </c>
      <c r="E687" s="1" t="s">
        <v>36</v>
      </c>
      <c r="G687">
        <v>470248</v>
      </c>
      <c r="H687" t="s">
        <v>2077</v>
      </c>
      <c r="I687" t="s">
        <v>1472</v>
      </c>
      <c r="J687">
        <v>15</v>
      </c>
      <c r="K687">
        <v>4497</v>
      </c>
      <c r="L687">
        <v>95000</v>
      </c>
      <c r="M687" t="s">
        <v>69</v>
      </c>
      <c r="N687">
        <v>67</v>
      </c>
      <c r="O687" s="2">
        <v>46203</v>
      </c>
      <c r="P687" s="2">
        <v>46315</v>
      </c>
      <c r="R687" t="s">
        <v>2078</v>
      </c>
      <c r="S687" t="str">
        <f>""</f>
        <v/>
      </c>
      <c r="T687" t="s">
        <v>41</v>
      </c>
      <c r="U687">
        <v>2497.98</v>
      </c>
      <c r="V687">
        <v>2423.04</v>
      </c>
      <c r="W687">
        <v>2423.04</v>
      </c>
      <c r="X687">
        <v>0</v>
      </c>
      <c r="Y687">
        <v>0</v>
      </c>
      <c r="Z687">
        <v>-540</v>
      </c>
      <c r="AA687">
        <v>693369</v>
      </c>
      <c r="AD687" t="s">
        <v>1903</v>
      </c>
      <c r="AE687">
        <v>3133701401</v>
      </c>
      <c r="AF687" t="s">
        <v>1903</v>
      </c>
      <c r="AG687" s="1" t="s">
        <v>2079</v>
      </c>
      <c r="AH687" t="s">
        <v>1462</v>
      </c>
    </row>
    <row r="688" spans="1:34" x14ac:dyDescent="0.3">
      <c r="A688">
        <v>101</v>
      </c>
      <c r="B688" t="s">
        <v>34</v>
      </c>
      <c r="C688">
        <v>2</v>
      </c>
      <c r="D688" s="1" t="s">
        <v>2080</v>
      </c>
      <c r="E688" s="1" t="s">
        <v>36</v>
      </c>
      <c r="G688">
        <v>470248</v>
      </c>
      <c r="H688" t="s">
        <v>2077</v>
      </c>
      <c r="I688" t="s">
        <v>1472</v>
      </c>
      <c r="J688">
        <v>15</v>
      </c>
      <c r="K688">
        <v>4497</v>
      </c>
      <c r="L688">
        <v>95000</v>
      </c>
      <c r="M688" t="s">
        <v>69</v>
      </c>
      <c r="N688">
        <v>67</v>
      </c>
      <c r="O688" s="2">
        <v>46234</v>
      </c>
      <c r="P688" s="2">
        <v>46349</v>
      </c>
      <c r="R688" t="s">
        <v>2081</v>
      </c>
      <c r="S688" t="str">
        <f>""</f>
        <v/>
      </c>
      <c r="T688" t="s">
        <v>41</v>
      </c>
      <c r="U688">
        <v>2374.7600000000002</v>
      </c>
      <c r="V688">
        <v>2303.52</v>
      </c>
      <c r="W688">
        <v>2303.52</v>
      </c>
      <c r="X688">
        <v>0</v>
      </c>
      <c r="Y688">
        <v>0</v>
      </c>
      <c r="Z688">
        <v>-574</v>
      </c>
      <c r="AA688">
        <v>695794</v>
      </c>
      <c r="AD688" t="s">
        <v>1903</v>
      </c>
      <c r="AE688">
        <v>3133701401</v>
      </c>
      <c r="AF688" t="s">
        <v>1903</v>
      </c>
      <c r="AG688" s="1" t="s">
        <v>2079</v>
      </c>
      <c r="AH688" t="s">
        <v>1462</v>
      </c>
    </row>
    <row r="689" spans="1:34" x14ac:dyDescent="0.3">
      <c r="A689">
        <v>101</v>
      </c>
      <c r="B689" t="s">
        <v>34</v>
      </c>
      <c r="C689">
        <v>2</v>
      </c>
      <c r="D689" s="1" t="s">
        <v>2082</v>
      </c>
      <c r="E689" s="1" t="s">
        <v>36</v>
      </c>
      <c r="G689">
        <v>470256</v>
      </c>
      <c r="H689" t="s">
        <v>2083</v>
      </c>
      <c r="I689" t="s">
        <v>1472</v>
      </c>
      <c r="J689">
        <v>15</v>
      </c>
      <c r="K689">
        <v>4497</v>
      </c>
      <c r="L689">
        <v>95000</v>
      </c>
      <c r="M689" t="s">
        <v>69</v>
      </c>
      <c r="N689">
        <v>67</v>
      </c>
      <c r="O689" s="2">
        <v>46234</v>
      </c>
      <c r="P689" s="2">
        <v>46324</v>
      </c>
      <c r="R689" t="s">
        <v>2084</v>
      </c>
      <c r="S689" t="str">
        <f>""</f>
        <v/>
      </c>
      <c r="T689" t="s">
        <v>41</v>
      </c>
      <c r="U689">
        <v>2474.06</v>
      </c>
      <c r="V689">
        <v>2399.84</v>
      </c>
      <c r="W689">
        <v>2399.84</v>
      </c>
      <c r="X689">
        <v>0</v>
      </c>
      <c r="Y689">
        <v>0</v>
      </c>
      <c r="Z689">
        <v>-549</v>
      </c>
      <c r="AA689">
        <v>695792</v>
      </c>
      <c r="AD689" t="s">
        <v>2085</v>
      </c>
      <c r="AE689">
        <v>3133701587</v>
      </c>
      <c r="AF689" t="s">
        <v>2085</v>
      </c>
      <c r="AG689" s="1" t="s">
        <v>2086</v>
      </c>
      <c r="AH689" t="s">
        <v>1462</v>
      </c>
    </row>
    <row r="690" spans="1:34" x14ac:dyDescent="0.3">
      <c r="A690">
        <v>101</v>
      </c>
      <c r="B690" t="s">
        <v>34</v>
      </c>
      <c r="C690">
        <v>2</v>
      </c>
      <c r="D690" s="1" t="s">
        <v>2087</v>
      </c>
      <c r="E690" s="1" t="s">
        <v>36</v>
      </c>
      <c r="G690">
        <v>470256</v>
      </c>
      <c r="H690" t="s">
        <v>2083</v>
      </c>
      <c r="I690" t="s">
        <v>1472</v>
      </c>
      <c r="J690">
        <v>15</v>
      </c>
      <c r="K690">
        <v>4497</v>
      </c>
      <c r="L690">
        <v>95000</v>
      </c>
      <c r="M690" t="s">
        <v>69</v>
      </c>
      <c r="N690">
        <v>67</v>
      </c>
      <c r="O690" s="2">
        <v>46203</v>
      </c>
      <c r="P690" s="2">
        <v>46315</v>
      </c>
      <c r="R690" t="s">
        <v>2088</v>
      </c>
      <c r="S690" t="str">
        <f>""</f>
        <v/>
      </c>
      <c r="T690" t="s">
        <v>41</v>
      </c>
      <c r="U690">
        <v>4994.9799999999996</v>
      </c>
      <c r="V690">
        <v>4845.13</v>
      </c>
      <c r="W690">
        <v>4845.13</v>
      </c>
      <c r="X690">
        <v>0</v>
      </c>
      <c r="Y690">
        <v>0</v>
      </c>
      <c r="Z690">
        <v>-540</v>
      </c>
      <c r="AA690">
        <v>693367</v>
      </c>
      <c r="AD690" t="s">
        <v>2085</v>
      </c>
      <c r="AE690">
        <v>3133701587</v>
      </c>
      <c r="AF690" t="s">
        <v>2085</v>
      </c>
      <c r="AG690" s="1" t="s">
        <v>2086</v>
      </c>
      <c r="AH690" t="s">
        <v>1462</v>
      </c>
    </row>
    <row r="691" spans="1:34" x14ac:dyDescent="0.3">
      <c r="A691">
        <v>101</v>
      </c>
      <c r="B691" t="s">
        <v>34</v>
      </c>
      <c r="C691">
        <v>2</v>
      </c>
      <c r="D691" s="1" t="s">
        <v>2089</v>
      </c>
      <c r="E691" s="1" t="s">
        <v>36</v>
      </c>
      <c r="G691">
        <v>470382</v>
      </c>
      <c r="H691" t="s">
        <v>2090</v>
      </c>
      <c r="I691" t="s">
        <v>1472</v>
      </c>
      <c r="J691">
        <v>12</v>
      </c>
      <c r="K691">
        <v>4497</v>
      </c>
      <c r="L691">
        <v>95000</v>
      </c>
      <c r="M691" t="s">
        <v>69</v>
      </c>
      <c r="N691">
        <v>67</v>
      </c>
      <c r="O691" s="2">
        <v>46234</v>
      </c>
      <c r="P691" s="2">
        <v>46342</v>
      </c>
      <c r="R691" t="s">
        <v>2091</v>
      </c>
      <c r="S691" t="str">
        <f>""</f>
        <v/>
      </c>
      <c r="T691" t="s">
        <v>41</v>
      </c>
      <c r="U691">
        <v>1792.63</v>
      </c>
      <c r="V691">
        <v>1738.85</v>
      </c>
      <c r="W691">
        <v>1738.85</v>
      </c>
      <c r="X691">
        <v>0</v>
      </c>
      <c r="Y691">
        <v>0</v>
      </c>
      <c r="Z691">
        <v>-567</v>
      </c>
      <c r="AA691">
        <v>695786</v>
      </c>
      <c r="AD691" t="s">
        <v>2092</v>
      </c>
      <c r="AE691" t="s">
        <v>2093</v>
      </c>
      <c r="AF691" t="s">
        <v>2092</v>
      </c>
      <c r="AG691" s="1" t="s">
        <v>2094</v>
      </c>
      <c r="AH691" t="s">
        <v>1462</v>
      </c>
    </row>
    <row r="692" spans="1:34" x14ac:dyDescent="0.3">
      <c r="A692">
        <v>101</v>
      </c>
      <c r="B692" t="s">
        <v>34</v>
      </c>
      <c r="C692">
        <v>2</v>
      </c>
      <c r="D692" s="1" t="s">
        <v>2095</v>
      </c>
      <c r="E692" s="1" t="s">
        <v>36</v>
      </c>
      <c r="G692">
        <v>470382</v>
      </c>
      <c r="H692" t="s">
        <v>2090</v>
      </c>
      <c r="I692" t="s">
        <v>1472</v>
      </c>
      <c r="J692">
        <v>12</v>
      </c>
      <c r="K692">
        <v>4497</v>
      </c>
      <c r="L692">
        <v>95000</v>
      </c>
      <c r="M692" t="s">
        <v>69</v>
      </c>
      <c r="N692">
        <v>67</v>
      </c>
      <c r="O692" s="2">
        <v>46203</v>
      </c>
      <c r="P692" s="2">
        <v>46310</v>
      </c>
      <c r="R692" t="s">
        <v>2096</v>
      </c>
      <c r="S692" t="str">
        <f>""</f>
        <v/>
      </c>
      <c r="T692" t="s">
        <v>41</v>
      </c>
      <c r="U692">
        <v>363.51</v>
      </c>
      <c r="V692">
        <v>352.6</v>
      </c>
      <c r="W692">
        <v>352.6</v>
      </c>
      <c r="X692">
        <v>0</v>
      </c>
      <c r="Y692">
        <v>0</v>
      </c>
      <c r="Z692">
        <v>-535</v>
      </c>
      <c r="AA692">
        <v>693357</v>
      </c>
      <c r="AD692" t="s">
        <v>2092</v>
      </c>
      <c r="AE692" t="s">
        <v>2093</v>
      </c>
      <c r="AF692" t="s">
        <v>2092</v>
      </c>
      <c r="AG692" s="1" t="s">
        <v>2094</v>
      </c>
      <c r="AH692" t="s">
        <v>1462</v>
      </c>
    </row>
    <row r="693" spans="1:34" x14ac:dyDescent="0.3">
      <c r="A693">
        <v>101</v>
      </c>
      <c r="B693" t="s">
        <v>34</v>
      </c>
      <c r="C693">
        <v>2</v>
      </c>
      <c r="D693" s="1" t="s">
        <v>2097</v>
      </c>
      <c r="E693" s="1" t="s">
        <v>36</v>
      </c>
      <c r="G693">
        <v>470382</v>
      </c>
      <c r="H693" t="s">
        <v>2090</v>
      </c>
      <c r="I693" t="s">
        <v>1472</v>
      </c>
      <c r="J693">
        <v>12</v>
      </c>
      <c r="K693">
        <v>4497</v>
      </c>
      <c r="L693">
        <v>95000</v>
      </c>
      <c r="M693" t="s">
        <v>69</v>
      </c>
      <c r="N693">
        <v>67</v>
      </c>
      <c r="O693" s="2">
        <v>46112</v>
      </c>
      <c r="P693" s="2">
        <v>46244</v>
      </c>
      <c r="R693" t="s">
        <v>2098</v>
      </c>
      <c r="S693" t="str">
        <f>""</f>
        <v/>
      </c>
      <c r="T693" t="s">
        <v>41</v>
      </c>
      <c r="U693">
        <v>9523.08</v>
      </c>
      <c r="V693">
        <v>9100</v>
      </c>
      <c r="W693">
        <v>9100</v>
      </c>
      <c r="X693">
        <v>0</v>
      </c>
      <c r="Y693">
        <v>0</v>
      </c>
      <c r="Z693">
        <v>-469</v>
      </c>
      <c r="AA693">
        <v>680081</v>
      </c>
      <c r="AD693" t="s">
        <v>2092</v>
      </c>
      <c r="AE693" t="s">
        <v>2093</v>
      </c>
      <c r="AF693" t="s">
        <v>2092</v>
      </c>
      <c r="AG693" s="1" t="s">
        <v>2094</v>
      </c>
      <c r="AH693" t="s">
        <v>1462</v>
      </c>
    </row>
    <row r="694" spans="1:34" x14ac:dyDescent="0.3">
      <c r="A694">
        <v>101</v>
      </c>
      <c r="B694" t="s">
        <v>34</v>
      </c>
      <c r="C694">
        <v>2</v>
      </c>
      <c r="D694" s="1" t="s">
        <v>2099</v>
      </c>
      <c r="E694" s="1" t="s">
        <v>36</v>
      </c>
      <c r="G694">
        <v>471058</v>
      </c>
      <c r="H694" t="s">
        <v>2100</v>
      </c>
      <c r="I694" t="s">
        <v>1472</v>
      </c>
      <c r="J694">
        <v>12</v>
      </c>
      <c r="K694">
        <v>4497</v>
      </c>
      <c r="L694">
        <v>95000</v>
      </c>
      <c r="M694" t="s">
        <v>69</v>
      </c>
      <c r="N694">
        <v>67</v>
      </c>
      <c r="O694" s="2">
        <v>46251</v>
      </c>
      <c r="P694" s="2">
        <v>46341</v>
      </c>
      <c r="R694" t="s">
        <v>2101</v>
      </c>
      <c r="S694" t="str">
        <f>""</f>
        <v/>
      </c>
      <c r="T694" t="s">
        <v>41</v>
      </c>
      <c r="U694">
        <v>8636.67</v>
      </c>
      <c r="V694">
        <v>7513.91</v>
      </c>
      <c r="W694">
        <v>7513.91</v>
      </c>
      <c r="X694">
        <v>0</v>
      </c>
      <c r="Y694">
        <v>0</v>
      </c>
      <c r="Z694">
        <v>-566</v>
      </c>
      <c r="AA694">
        <v>4705</v>
      </c>
      <c r="AD694" t="s">
        <v>2102</v>
      </c>
      <c r="AE694" t="s">
        <v>2103</v>
      </c>
      <c r="AF694" t="s">
        <v>2102</v>
      </c>
      <c r="AG694" s="1" t="s">
        <v>2104</v>
      </c>
      <c r="AH694" t="s">
        <v>1462</v>
      </c>
    </row>
    <row r="695" spans="1:34" x14ac:dyDescent="0.3">
      <c r="A695">
        <v>101</v>
      </c>
      <c r="B695" t="s">
        <v>34</v>
      </c>
      <c r="C695">
        <v>2</v>
      </c>
      <c r="D695" s="1" t="s">
        <v>2105</v>
      </c>
      <c r="E695" s="1" t="s">
        <v>36</v>
      </c>
      <c r="G695">
        <v>471144</v>
      </c>
      <c r="H695" t="s">
        <v>2106</v>
      </c>
      <c r="I695" t="s">
        <v>1472</v>
      </c>
      <c r="J695">
        <v>12</v>
      </c>
      <c r="K695">
        <v>4497</v>
      </c>
      <c r="L695">
        <v>95000</v>
      </c>
      <c r="M695" t="s">
        <v>69</v>
      </c>
      <c r="N695">
        <v>67</v>
      </c>
      <c r="O695" s="2">
        <v>46251</v>
      </c>
      <c r="P695" s="2">
        <v>46341</v>
      </c>
      <c r="R695" t="s">
        <v>2107</v>
      </c>
      <c r="S695" t="str">
        <f>""</f>
        <v/>
      </c>
      <c r="T695" t="s">
        <v>41</v>
      </c>
      <c r="U695">
        <v>10806.17</v>
      </c>
      <c r="V695">
        <v>9401.3700000000008</v>
      </c>
      <c r="W695">
        <v>9401.3700000000008</v>
      </c>
      <c r="X695">
        <v>0</v>
      </c>
      <c r="Y695">
        <v>0</v>
      </c>
      <c r="Z695">
        <v>-566</v>
      </c>
      <c r="AA695">
        <v>4698</v>
      </c>
      <c r="AD695" t="s">
        <v>2108</v>
      </c>
      <c r="AE695">
        <v>3133701592</v>
      </c>
      <c r="AF695" t="s">
        <v>2108</v>
      </c>
      <c r="AG695" s="1" t="s">
        <v>2109</v>
      </c>
      <c r="AH695" t="s">
        <v>1462</v>
      </c>
    </row>
    <row r="696" spans="1:34" x14ac:dyDescent="0.3">
      <c r="A696">
        <v>101</v>
      </c>
      <c r="B696" t="s">
        <v>34</v>
      </c>
      <c r="C696">
        <v>2</v>
      </c>
      <c r="D696" s="1" t="s">
        <v>2110</v>
      </c>
      <c r="E696" s="1" t="s">
        <v>36</v>
      </c>
      <c r="G696">
        <v>999000462</v>
      </c>
      <c r="H696" t="s">
        <v>2111</v>
      </c>
      <c r="I696" t="s">
        <v>1481</v>
      </c>
      <c r="J696">
        <v>15</v>
      </c>
      <c r="K696">
        <v>4497</v>
      </c>
      <c r="L696">
        <v>95000</v>
      </c>
      <c r="M696" t="s">
        <v>69</v>
      </c>
      <c r="N696">
        <v>67</v>
      </c>
      <c r="O696" s="2">
        <v>46203</v>
      </c>
      <c r="P696" s="2">
        <v>46308</v>
      </c>
      <c r="R696" t="s">
        <v>2112</v>
      </c>
      <c r="S696" t="str">
        <f>""</f>
        <v/>
      </c>
      <c r="T696" t="s">
        <v>41</v>
      </c>
      <c r="U696">
        <v>1678.21</v>
      </c>
      <c r="V696">
        <v>1627.86</v>
      </c>
      <c r="W696">
        <v>1627.86</v>
      </c>
      <c r="X696">
        <v>0</v>
      </c>
      <c r="Y696">
        <v>0</v>
      </c>
      <c r="Z696">
        <v>-533</v>
      </c>
      <c r="AA696">
        <v>693229</v>
      </c>
      <c r="AD696" t="s">
        <v>2113</v>
      </c>
      <c r="AE696" t="s">
        <v>2114</v>
      </c>
      <c r="AF696" t="s">
        <v>2113</v>
      </c>
      <c r="AG696" s="1" t="s">
        <v>2115</v>
      </c>
      <c r="AH696" t="s">
        <v>1462</v>
      </c>
    </row>
    <row r="697" spans="1:34" x14ac:dyDescent="0.3">
      <c r="A697">
        <v>101</v>
      </c>
      <c r="B697" t="s">
        <v>34</v>
      </c>
      <c r="C697">
        <v>2</v>
      </c>
      <c r="D697" s="1" t="s">
        <v>2116</v>
      </c>
      <c r="E697" s="1" t="s">
        <v>36</v>
      </c>
      <c r="G697">
        <v>999000653</v>
      </c>
      <c r="H697" t="s">
        <v>2117</v>
      </c>
      <c r="I697" t="s">
        <v>1472</v>
      </c>
      <c r="J697">
        <v>15</v>
      </c>
      <c r="K697">
        <v>4497</v>
      </c>
      <c r="L697">
        <v>95000</v>
      </c>
      <c r="M697" t="s">
        <v>69</v>
      </c>
      <c r="N697">
        <v>67</v>
      </c>
      <c r="O697" s="2">
        <v>46203</v>
      </c>
      <c r="P697" s="2">
        <v>46308</v>
      </c>
      <c r="R697" t="s">
        <v>2118</v>
      </c>
      <c r="S697" t="str">
        <f>""</f>
        <v/>
      </c>
      <c r="T697" t="s">
        <v>41</v>
      </c>
      <c r="U697">
        <v>7807.81</v>
      </c>
      <c r="V697">
        <v>7573.58</v>
      </c>
      <c r="W697">
        <v>7573.58</v>
      </c>
      <c r="X697">
        <v>0</v>
      </c>
      <c r="Y697">
        <v>0</v>
      </c>
      <c r="Z697">
        <v>-533</v>
      </c>
      <c r="AA697">
        <v>693233</v>
      </c>
      <c r="AD697" t="s">
        <v>1612</v>
      </c>
      <c r="AE697" t="s">
        <v>2119</v>
      </c>
      <c r="AF697" t="s">
        <v>1612</v>
      </c>
      <c r="AG697" s="1" t="s">
        <v>2120</v>
      </c>
      <c r="AH697" t="s">
        <v>1462</v>
      </c>
    </row>
    <row r="698" spans="1:34" x14ac:dyDescent="0.3">
      <c r="A698">
        <v>101</v>
      </c>
      <c r="B698" t="s">
        <v>34</v>
      </c>
      <c r="C698">
        <v>2</v>
      </c>
      <c r="D698" s="1" t="s">
        <v>2121</v>
      </c>
      <c r="E698" s="1" t="s">
        <v>36</v>
      </c>
      <c r="G698">
        <v>999000785</v>
      </c>
      <c r="H698" t="s">
        <v>2122</v>
      </c>
      <c r="I698" t="s">
        <v>2123</v>
      </c>
      <c r="J698">
        <v>15</v>
      </c>
      <c r="K698">
        <v>9321</v>
      </c>
      <c r="L698">
        <v>95000</v>
      </c>
      <c r="M698" t="s">
        <v>69</v>
      </c>
      <c r="N698">
        <v>67</v>
      </c>
      <c r="O698" s="2">
        <v>46163</v>
      </c>
      <c r="P698" s="2">
        <v>46260</v>
      </c>
      <c r="R698" t="s">
        <v>2124</v>
      </c>
      <c r="S698" t="str">
        <f>""</f>
        <v/>
      </c>
      <c r="T698" t="s">
        <v>41</v>
      </c>
      <c r="U698">
        <v>1841.27</v>
      </c>
      <c r="V698">
        <v>1841.27</v>
      </c>
      <c r="W698">
        <v>1841.27</v>
      </c>
      <c r="X698">
        <v>0</v>
      </c>
      <c r="Y698">
        <v>0</v>
      </c>
      <c r="Z698">
        <v>-485</v>
      </c>
      <c r="AA698">
        <v>688624</v>
      </c>
      <c r="AD698" t="s">
        <v>1459</v>
      </c>
      <c r="AE698" t="s">
        <v>1460</v>
      </c>
      <c r="AF698" t="s">
        <v>1459</v>
      </c>
      <c r="AG698" s="1" t="s">
        <v>2125</v>
      </c>
      <c r="AH698" t="s">
        <v>1462</v>
      </c>
    </row>
    <row r="699" spans="1:34" x14ac:dyDescent="0.3">
      <c r="A699">
        <v>101</v>
      </c>
      <c r="B699" t="s">
        <v>34</v>
      </c>
      <c r="C699">
        <v>2</v>
      </c>
      <c r="D699" s="1" t="s">
        <v>2126</v>
      </c>
      <c r="E699" s="1" t="s">
        <v>36</v>
      </c>
      <c r="G699">
        <v>999001707</v>
      </c>
      <c r="H699" t="s">
        <v>2127</v>
      </c>
      <c r="I699" t="s">
        <v>1472</v>
      </c>
      <c r="J699">
        <v>15</v>
      </c>
      <c r="K699">
        <v>4497</v>
      </c>
      <c r="L699">
        <v>95000</v>
      </c>
      <c r="M699" t="s">
        <v>69</v>
      </c>
      <c r="N699">
        <v>67</v>
      </c>
      <c r="O699" s="2">
        <v>46203</v>
      </c>
      <c r="P699" s="2">
        <v>46308</v>
      </c>
      <c r="R699" t="s">
        <v>2128</v>
      </c>
      <c r="S699" t="str">
        <f>""</f>
        <v/>
      </c>
      <c r="T699" t="s">
        <v>41</v>
      </c>
      <c r="U699">
        <v>1704.45</v>
      </c>
      <c r="V699">
        <v>1653.32</v>
      </c>
      <c r="W699">
        <v>1653.32</v>
      </c>
      <c r="X699">
        <v>0</v>
      </c>
      <c r="Y699">
        <v>0</v>
      </c>
      <c r="Z699">
        <v>-533</v>
      </c>
      <c r="AA699">
        <v>693235</v>
      </c>
      <c r="AD699" t="s">
        <v>2085</v>
      </c>
      <c r="AE699" t="s">
        <v>2129</v>
      </c>
      <c r="AF699" t="s">
        <v>2085</v>
      </c>
      <c r="AG699" s="1" t="s">
        <v>2130</v>
      </c>
      <c r="AH699" t="s">
        <v>1462</v>
      </c>
    </row>
    <row r="700" spans="1:34" x14ac:dyDescent="0.3">
      <c r="A700">
        <v>101</v>
      </c>
      <c r="B700" t="s">
        <v>34</v>
      </c>
      <c r="C700">
        <v>2</v>
      </c>
      <c r="D700" s="1" t="s">
        <v>2131</v>
      </c>
      <c r="E700" s="1" t="s">
        <v>36</v>
      </c>
      <c r="G700">
        <v>999001707</v>
      </c>
      <c r="H700" t="s">
        <v>2127</v>
      </c>
      <c r="I700" t="s">
        <v>1472</v>
      </c>
      <c r="J700">
        <v>15</v>
      </c>
      <c r="K700">
        <v>4497</v>
      </c>
      <c r="L700">
        <v>95000</v>
      </c>
      <c r="M700" t="s">
        <v>69</v>
      </c>
      <c r="N700">
        <v>67</v>
      </c>
      <c r="O700" s="2">
        <v>46234</v>
      </c>
      <c r="P700" s="2">
        <v>46336</v>
      </c>
      <c r="R700" t="s">
        <v>2132</v>
      </c>
      <c r="S700" t="str">
        <f>""</f>
        <v/>
      </c>
      <c r="T700" t="s">
        <v>41</v>
      </c>
      <c r="U700">
        <v>3143.51</v>
      </c>
      <c r="V700">
        <v>3049.2</v>
      </c>
      <c r="W700">
        <v>3049.2</v>
      </c>
      <c r="X700">
        <v>0</v>
      </c>
      <c r="Y700">
        <v>0</v>
      </c>
      <c r="Z700">
        <v>-561</v>
      </c>
      <c r="AA700">
        <v>695722</v>
      </c>
      <c r="AD700" t="s">
        <v>2085</v>
      </c>
      <c r="AE700" t="s">
        <v>2129</v>
      </c>
      <c r="AF700" t="s">
        <v>2085</v>
      </c>
      <c r="AG700" s="1" t="s">
        <v>2130</v>
      </c>
      <c r="AH700" t="s">
        <v>1462</v>
      </c>
    </row>
    <row r="701" spans="1:34" x14ac:dyDescent="0.3">
      <c r="A701">
        <v>101</v>
      </c>
      <c r="B701" t="s">
        <v>34</v>
      </c>
      <c r="C701">
        <v>2</v>
      </c>
      <c r="D701" s="1" t="s">
        <v>2133</v>
      </c>
      <c r="E701" s="1" t="s">
        <v>36</v>
      </c>
      <c r="G701">
        <v>999002493</v>
      </c>
      <c r="H701" t="s">
        <v>2134</v>
      </c>
      <c r="I701" t="s">
        <v>2135</v>
      </c>
      <c r="J701">
        <v>15</v>
      </c>
      <c r="K701">
        <v>4497</v>
      </c>
      <c r="L701">
        <v>95000</v>
      </c>
      <c r="M701" t="s">
        <v>69</v>
      </c>
      <c r="N701">
        <v>67</v>
      </c>
      <c r="O701" s="2">
        <v>46203</v>
      </c>
      <c r="P701" s="2">
        <v>46300</v>
      </c>
      <c r="R701" t="s">
        <v>2136</v>
      </c>
      <c r="S701" t="str">
        <f>""</f>
        <v/>
      </c>
      <c r="T701" t="s">
        <v>41</v>
      </c>
      <c r="U701">
        <v>1586.4</v>
      </c>
      <c r="V701">
        <v>1538.81</v>
      </c>
      <c r="W701">
        <v>1538.81</v>
      </c>
      <c r="X701">
        <v>0</v>
      </c>
      <c r="Y701">
        <v>0</v>
      </c>
      <c r="Z701">
        <v>-525</v>
      </c>
      <c r="AA701">
        <v>693237</v>
      </c>
      <c r="AD701" t="s">
        <v>1606</v>
      </c>
      <c r="AE701" t="s">
        <v>2137</v>
      </c>
      <c r="AF701" t="s">
        <v>1606</v>
      </c>
      <c r="AG701" s="1" t="s">
        <v>2138</v>
      </c>
      <c r="AH701" t="s">
        <v>1462</v>
      </c>
    </row>
    <row r="702" spans="1:34" x14ac:dyDescent="0.3">
      <c r="A702">
        <v>101</v>
      </c>
      <c r="B702" t="s">
        <v>34</v>
      </c>
      <c r="C702">
        <v>2</v>
      </c>
      <c r="D702" s="1" t="s">
        <v>2139</v>
      </c>
      <c r="E702" s="1" t="s">
        <v>36</v>
      </c>
      <c r="G702">
        <v>456655</v>
      </c>
      <c r="H702" t="s">
        <v>2140</v>
      </c>
      <c r="I702" t="s">
        <v>2141</v>
      </c>
      <c r="J702">
        <v>15</v>
      </c>
      <c r="K702">
        <v>12371</v>
      </c>
      <c r="L702">
        <v>95000</v>
      </c>
      <c r="M702" t="s">
        <v>69</v>
      </c>
      <c r="N702">
        <v>70</v>
      </c>
      <c r="O702" s="2">
        <v>46227</v>
      </c>
      <c r="P702" s="2">
        <v>46308</v>
      </c>
      <c r="R702" t="s">
        <v>2142</v>
      </c>
      <c r="S702" t="str">
        <f>""</f>
        <v/>
      </c>
      <c r="T702" t="s">
        <v>41</v>
      </c>
      <c r="U702">
        <v>282707.78999999998</v>
      </c>
      <c r="V702">
        <v>250117.8</v>
      </c>
      <c r="W702">
        <v>250117.8</v>
      </c>
      <c r="X702">
        <v>0</v>
      </c>
      <c r="Y702">
        <v>0</v>
      </c>
      <c r="Z702">
        <v>-533</v>
      </c>
      <c r="AA702">
        <v>1708</v>
      </c>
      <c r="AD702" t="s">
        <v>2143</v>
      </c>
      <c r="AE702">
        <v>7134608700</v>
      </c>
      <c r="AF702" t="s">
        <v>2143</v>
      </c>
      <c r="AG702">
        <v>73849952003092</v>
      </c>
      <c r="AH702" t="s">
        <v>87</v>
      </c>
    </row>
    <row r="703" spans="1:34" x14ac:dyDescent="0.3">
      <c r="A703">
        <v>101</v>
      </c>
      <c r="B703" t="s">
        <v>34</v>
      </c>
      <c r="C703">
        <v>2</v>
      </c>
      <c r="D703" s="1" t="s">
        <v>2144</v>
      </c>
      <c r="E703" s="1" t="s">
        <v>36</v>
      </c>
      <c r="G703">
        <v>456655</v>
      </c>
      <c r="H703" t="s">
        <v>2140</v>
      </c>
      <c r="I703" t="s">
        <v>2141</v>
      </c>
      <c r="J703">
        <v>15</v>
      </c>
      <c r="K703">
        <v>12371</v>
      </c>
      <c r="L703">
        <v>95000</v>
      </c>
      <c r="M703" t="s">
        <v>69</v>
      </c>
      <c r="N703">
        <v>70</v>
      </c>
      <c r="O703" s="2">
        <v>46181</v>
      </c>
      <c r="P703" s="2">
        <v>46259</v>
      </c>
      <c r="R703" s="1" t="s">
        <v>2145</v>
      </c>
      <c r="S703" t="str">
        <f>""</f>
        <v/>
      </c>
      <c r="T703" t="s">
        <v>41</v>
      </c>
      <c r="U703">
        <v>40869.18</v>
      </c>
      <c r="V703">
        <v>38825.72</v>
      </c>
      <c r="W703">
        <v>38825.72</v>
      </c>
      <c r="X703">
        <v>0</v>
      </c>
      <c r="Y703">
        <v>0</v>
      </c>
      <c r="Z703">
        <v>-484</v>
      </c>
      <c r="AA703">
        <v>690523</v>
      </c>
      <c r="AD703" t="s">
        <v>2143</v>
      </c>
      <c r="AE703">
        <v>7134608700</v>
      </c>
      <c r="AF703" t="s">
        <v>2143</v>
      </c>
      <c r="AG703">
        <v>73849952003092</v>
      </c>
      <c r="AH703" t="s">
        <v>87</v>
      </c>
    </row>
    <row r="704" spans="1:34" x14ac:dyDescent="0.3">
      <c r="A704">
        <v>101</v>
      </c>
      <c r="B704" t="s">
        <v>34</v>
      </c>
      <c r="C704">
        <v>2</v>
      </c>
      <c r="D704" s="1" t="s">
        <v>2146</v>
      </c>
      <c r="E704" s="1" t="s">
        <v>36</v>
      </c>
      <c r="G704">
        <v>456655</v>
      </c>
      <c r="H704" t="s">
        <v>2140</v>
      </c>
      <c r="I704" t="s">
        <v>2141</v>
      </c>
      <c r="J704">
        <v>15</v>
      </c>
      <c r="K704">
        <v>12371</v>
      </c>
      <c r="L704">
        <v>95000</v>
      </c>
      <c r="M704" t="s">
        <v>69</v>
      </c>
      <c r="N704">
        <v>70</v>
      </c>
      <c r="O704" s="2">
        <v>46172</v>
      </c>
      <c r="P704" s="2">
        <v>46259</v>
      </c>
      <c r="R704" t="s">
        <v>2147</v>
      </c>
      <c r="S704" t="str">
        <f>""</f>
        <v/>
      </c>
      <c r="T704" t="s">
        <v>41</v>
      </c>
      <c r="U704">
        <v>287874.78999999998</v>
      </c>
      <c r="V704">
        <v>273131.07</v>
      </c>
      <c r="W704">
        <v>273131.07</v>
      </c>
      <c r="X704">
        <v>0</v>
      </c>
      <c r="Y704">
        <v>0</v>
      </c>
      <c r="Z704">
        <v>-484</v>
      </c>
      <c r="AA704">
        <v>690523</v>
      </c>
      <c r="AD704" t="s">
        <v>2143</v>
      </c>
      <c r="AE704">
        <v>7134608700</v>
      </c>
      <c r="AF704" t="s">
        <v>2143</v>
      </c>
      <c r="AG704">
        <v>73849952003092</v>
      </c>
      <c r="AH704" t="s">
        <v>87</v>
      </c>
    </row>
    <row r="705" spans="1:34" x14ac:dyDescent="0.3">
      <c r="A705">
        <v>101</v>
      </c>
      <c r="B705" t="s">
        <v>34</v>
      </c>
      <c r="C705">
        <v>2</v>
      </c>
      <c r="D705" s="1" t="s">
        <v>2148</v>
      </c>
      <c r="E705" s="1" t="s">
        <v>36</v>
      </c>
      <c r="G705">
        <v>469836</v>
      </c>
      <c r="H705" t="s">
        <v>2149</v>
      </c>
      <c r="I705" t="s">
        <v>2150</v>
      </c>
      <c r="J705">
        <v>15</v>
      </c>
      <c r="K705">
        <v>12371</v>
      </c>
      <c r="L705">
        <v>95000</v>
      </c>
      <c r="M705" t="s">
        <v>69</v>
      </c>
      <c r="N705">
        <v>70</v>
      </c>
      <c r="O705" s="2">
        <v>46181</v>
      </c>
      <c r="P705" s="2">
        <v>46259</v>
      </c>
      <c r="R705" s="1" t="s">
        <v>2151</v>
      </c>
      <c r="S705" t="str">
        <f>""</f>
        <v/>
      </c>
      <c r="T705" t="s">
        <v>41</v>
      </c>
      <c r="U705">
        <v>40251.49</v>
      </c>
      <c r="V705">
        <v>38238.92</v>
      </c>
      <c r="W705">
        <v>38238.92</v>
      </c>
      <c r="X705">
        <v>0</v>
      </c>
      <c r="Y705">
        <v>0</v>
      </c>
      <c r="Z705">
        <v>-484</v>
      </c>
      <c r="AA705">
        <v>690517</v>
      </c>
      <c r="AD705" t="s">
        <v>2152</v>
      </c>
      <c r="AE705" t="s">
        <v>2153</v>
      </c>
      <c r="AF705" t="s">
        <v>2152</v>
      </c>
      <c r="AG705">
        <v>73849952006270</v>
      </c>
      <c r="AH705" t="s">
        <v>2154</v>
      </c>
    </row>
    <row r="706" spans="1:34" x14ac:dyDescent="0.3">
      <c r="A706">
        <v>101</v>
      </c>
      <c r="B706" t="s">
        <v>34</v>
      </c>
      <c r="C706">
        <v>2</v>
      </c>
      <c r="D706" s="1" t="s">
        <v>2155</v>
      </c>
      <c r="E706" s="1" t="s">
        <v>36</v>
      </c>
      <c r="G706">
        <v>469836</v>
      </c>
      <c r="H706" t="s">
        <v>2149</v>
      </c>
      <c r="I706" t="s">
        <v>2150</v>
      </c>
      <c r="J706">
        <v>15</v>
      </c>
      <c r="K706">
        <v>12371</v>
      </c>
      <c r="L706">
        <v>95000</v>
      </c>
      <c r="M706" t="s">
        <v>69</v>
      </c>
      <c r="N706">
        <v>70</v>
      </c>
      <c r="O706" s="2">
        <v>46227</v>
      </c>
      <c r="P706" s="2">
        <v>46308</v>
      </c>
      <c r="R706" t="s">
        <v>2156</v>
      </c>
      <c r="S706" t="str">
        <f>""</f>
        <v/>
      </c>
      <c r="T706" t="s">
        <v>41</v>
      </c>
      <c r="U706">
        <v>24868.87</v>
      </c>
      <c r="V706">
        <v>23625.43</v>
      </c>
      <c r="W706">
        <v>23625.43</v>
      </c>
      <c r="X706">
        <v>0</v>
      </c>
      <c r="Y706">
        <v>0</v>
      </c>
      <c r="Z706">
        <v>-533</v>
      </c>
      <c r="AA706">
        <v>1707</v>
      </c>
      <c r="AD706" t="s">
        <v>2152</v>
      </c>
      <c r="AE706" t="s">
        <v>2153</v>
      </c>
      <c r="AF706" t="s">
        <v>2152</v>
      </c>
      <c r="AG706">
        <v>73849952006270</v>
      </c>
      <c r="AH706" t="s">
        <v>2154</v>
      </c>
    </row>
    <row r="707" spans="1:34" x14ac:dyDescent="0.3">
      <c r="A707">
        <v>101</v>
      </c>
      <c r="B707" t="s">
        <v>34</v>
      </c>
      <c r="C707">
        <v>2</v>
      </c>
      <c r="D707" s="1" t="s">
        <v>2157</v>
      </c>
      <c r="E707" s="1" t="s">
        <v>36</v>
      </c>
      <c r="G707">
        <v>4526</v>
      </c>
      <c r="H707" t="s">
        <v>2158</v>
      </c>
      <c r="I707" t="s">
        <v>2159</v>
      </c>
      <c r="J707">
        <v>15</v>
      </c>
      <c r="K707">
        <v>12176</v>
      </c>
      <c r="L707">
        <v>50341</v>
      </c>
      <c r="M707" t="s">
        <v>146</v>
      </c>
      <c r="N707">
        <v>75</v>
      </c>
      <c r="O707" s="2">
        <v>46254</v>
      </c>
      <c r="P707" s="2">
        <v>46299</v>
      </c>
      <c r="R707" t="s">
        <v>2160</v>
      </c>
      <c r="S707" t="str">
        <f>"00013703"</f>
        <v>00013703</v>
      </c>
      <c r="T707" t="s">
        <v>41</v>
      </c>
      <c r="U707">
        <v>3754.53</v>
      </c>
      <c r="V707">
        <v>3754.53</v>
      </c>
      <c r="W707">
        <v>3754.53</v>
      </c>
      <c r="X707">
        <v>0</v>
      </c>
      <c r="Y707">
        <v>0</v>
      </c>
      <c r="Z707">
        <v>-524</v>
      </c>
      <c r="AA707">
        <v>4789</v>
      </c>
      <c r="AD707" t="s">
        <v>2161</v>
      </c>
      <c r="AE707" t="s">
        <v>2162</v>
      </c>
      <c r="AF707" t="s">
        <v>2161</v>
      </c>
      <c r="AG707">
        <v>47603246000111</v>
      </c>
      <c r="AH707" t="s">
        <v>44</v>
      </c>
    </row>
    <row r="708" spans="1:34" x14ac:dyDescent="0.3">
      <c r="A708">
        <v>101</v>
      </c>
      <c r="B708" t="s">
        <v>34</v>
      </c>
      <c r="C708">
        <v>2</v>
      </c>
      <c r="D708" s="1" t="s">
        <v>2163</v>
      </c>
      <c r="E708" s="1" t="s">
        <v>36</v>
      </c>
      <c r="G708">
        <v>5741</v>
      </c>
      <c r="H708" t="s">
        <v>2164</v>
      </c>
      <c r="I708" t="s">
        <v>2165</v>
      </c>
      <c r="J708">
        <v>15</v>
      </c>
      <c r="K708">
        <v>12176</v>
      </c>
      <c r="L708">
        <v>50341</v>
      </c>
      <c r="M708" t="s">
        <v>146</v>
      </c>
      <c r="N708">
        <v>75</v>
      </c>
      <c r="O708" s="2">
        <v>46254</v>
      </c>
      <c r="P708" s="2">
        <v>46299</v>
      </c>
      <c r="R708" t="s">
        <v>2166</v>
      </c>
      <c r="S708" t="str">
        <f>"00013716"</f>
        <v>00013716</v>
      </c>
      <c r="T708" t="s">
        <v>41</v>
      </c>
      <c r="U708">
        <v>9262.0300000000007</v>
      </c>
      <c r="V708">
        <v>9262.0300000000007</v>
      </c>
      <c r="W708">
        <v>9262.0300000000007</v>
      </c>
      <c r="X708">
        <v>0</v>
      </c>
      <c r="Y708">
        <v>0</v>
      </c>
      <c r="Z708">
        <v>-524</v>
      </c>
      <c r="AA708">
        <v>4764</v>
      </c>
      <c r="AD708" t="s">
        <v>2167</v>
      </c>
      <c r="AE708" t="s">
        <v>2168</v>
      </c>
      <c r="AF708" t="s">
        <v>2167</v>
      </c>
      <c r="AG708" s="1" t="s">
        <v>2169</v>
      </c>
      <c r="AH708" t="s">
        <v>44</v>
      </c>
    </row>
    <row r="709" spans="1:34" x14ac:dyDescent="0.3">
      <c r="A709">
        <v>101</v>
      </c>
      <c r="B709" t="s">
        <v>34</v>
      </c>
      <c r="C709">
        <v>2</v>
      </c>
      <c r="D709" s="1" t="s">
        <v>2170</v>
      </c>
      <c r="E709" s="1" t="s">
        <v>36</v>
      </c>
      <c r="G709">
        <v>5741</v>
      </c>
      <c r="H709" t="s">
        <v>2164</v>
      </c>
      <c r="I709" t="s">
        <v>2165</v>
      </c>
      <c r="J709">
        <v>15</v>
      </c>
      <c r="K709">
        <v>12176</v>
      </c>
      <c r="L709">
        <v>50341</v>
      </c>
      <c r="M709" t="s">
        <v>146</v>
      </c>
      <c r="N709">
        <v>75</v>
      </c>
      <c r="O709" s="2">
        <v>46224</v>
      </c>
      <c r="P709" s="2">
        <v>46269</v>
      </c>
      <c r="R709" t="s">
        <v>2171</v>
      </c>
      <c r="S709" t="str">
        <f>"00013163"</f>
        <v>00013163</v>
      </c>
      <c r="T709" t="s">
        <v>41</v>
      </c>
      <c r="U709">
        <v>9919.5499999999993</v>
      </c>
      <c r="V709">
        <v>9919.5499999999993</v>
      </c>
      <c r="W709">
        <v>9919.5499999999993</v>
      </c>
      <c r="X709">
        <v>0</v>
      </c>
      <c r="Y709">
        <v>0</v>
      </c>
      <c r="Z709">
        <v>-494</v>
      </c>
      <c r="AA709">
        <v>1374</v>
      </c>
      <c r="AD709" t="s">
        <v>2167</v>
      </c>
      <c r="AE709" t="s">
        <v>2168</v>
      </c>
      <c r="AF709" t="s">
        <v>2167</v>
      </c>
      <c r="AG709" s="1" t="s">
        <v>2169</v>
      </c>
      <c r="AH709" t="s">
        <v>44</v>
      </c>
    </row>
    <row r="710" spans="1:34" x14ac:dyDescent="0.3">
      <c r="A710">
        <v>101</v>
      </c>
      <c r="B710" t="s">
        <v>34</v>
      </c>
      <c r="C710">
        <v>2</v>
      </c>
      <c r="D710" s="1" t="s">
        <v>2172</v>
      </c>
      <c r="E710" s="1" t="s">
        <v>116</v>
      </c>
      <c r="G710">
        <v>6103</v>
      </c>
      <c r="H710" t="s">
        <v>2173</v>
      </c>
      <c r="I710" t="s">
        <v>2174</v>
      </c>
      <c r="J710">
        <v>15</v>
      </c>
      <c r="K710">
        <v>6103</v>
      </c>
      <c r="L710">
        <v>50033</v>
      </c>
      <c r="M710" t="s">
        <v>39</v>
      </c>
      <c r="N710">
        <v>75</v>
      </c>
      <c r="O710" s="2">
        <v>46216</v>
      </c>
      <c r="P710" s="2">
        <v>46256</v>
      </c>
      <c r="R710" t="s">
        <v>2175</v>
      </c>
      <c r="S710" t="str">
        <f>"0000050409743"</f>
        <v>0000050409743</v>
      </c>
      <c r="T710" t="s">
        <v>41</v>
      </c>
      <c r="U710">
        <v>923.06</v>
      </c>
      <c r="V710">
        <v>889.73</v>
      </c>
      <c r="W710">
        <v>889.73</v>
      </c>
      <c r="X710">
        <v>0</v>
      </c>
      <c r="Y710">
        <v>0</v>
      </c>
      <c r="Z710">
        <v>-481</v>
      </c>
      <c r="AA710">
        <v>1030</v>
      </c>
      <c r="AD710" t="s">
        <v>2176</v>
      </c>
      <c r="AE710" t="s">
        <v>2177</v>
      </c>
      <c r="AF710" t="s">
        <v>2176</v>
      </c>
      <c r="AG710" s="1" t="s">
        <v>2178</v>
      </c>
      <c r="AH710" t="s">
        <v>44</v>
      </c>
    </row>
    <row r="711" spans="1:34" x14ac:dyDescent="0.3">
      <c r="A711">
        <v>101</v>
      </c>
      <c r="B711" t="s">
        <v>34</v>
      </c>
      <c r="C711">
        <v>2</v>
      </c>
      <c r="D711" s="1" t="s">
        <v>2179</v>
      </c>
      <c r="E711" s="1" t="s">
        <v>36</v>
      </c>
      <c r="G711">
        <v>7108</v>
      </c>
      <c r="H711" t="s">
        <v>2180</v>
      </c>
      <c r="I711" t="s">
        <v>2181</v>
      </c>
      <c r="J711">
        <v>15</v>
      </c>
      <c r="K711">
        <v>12176</v>
      </c>
      <c r="L711">
        <v>50341</v>
      </c>
      <c r="M711" t="s">
        <v>146</v>
      </c>
      <c r="N711">
        <v>75</v>
      </c>
      <c r="O711" s="2">
        <v>46224</v>
      </c>
      <c r="P711" s="2">
        <v>46269</v>
      </c>
      <c r="R711" t="s">
        <v>2182</v>
      </c>
      <c r="S711" t="str">
        <f>"00013164"</f>
        <v>00013164</v>
      </c>
      <c r="T711" t="s">
        <v>41</v>
      </c>
      <c r="U711">
        <v>6908.98</v>
      </c>
      <c r="V711">
        <v>6908.98</v>
      </c>
      <c r="W711">
        <v>6908.98</v>
      </c>
      <c r="X711">
        <v>0</v>
      </c>
      <c r="Y711">
        <v>0</v>
      </c>
      <c r="Z711">
        <v>-494</v>
      </c>
      <c r="AA711">
        <v>1369</v>
      </c>
      <c r="AD711" t="s">
        <v>2183</v>
      </c>
      <c r="AE711" t="s">
        <v>2184</v>
      </c>
      <c r="AF711" t="s">
        <v>2183</v>
      </c>
      <c r="AG711" s="1" t="s">
        <v>2185</v>
      </c>
      <c r="AH711" t="s">
        <v>44</v>
      </c>
    </row>
    <row r="712" spans="1:34" x14ac:dyDescent="0.3">
      <c r="A712">
        <v>101</v>
      </c>
      <c r="B712" t="s">
        <v>34</v>
      </c>
      <c r="C712">
        <v>2</v>
      </c>
      <c r="D712" s="1" t="s">
        <v>2186</v>
      </c>
      <c r="E712" s="1" t="s">
        <v>36</v>
      </c>
      <c r="G712">
        <v>7108</v>
      </c>
      <c r="H712" t="s">
        <v>2180</v>
      </c>
      <c r="I712" t="s">
        <v>2181</v>
      </c>
      <c r="J712">
        <v>15</v>
      </c>
      <c r="K712">
        <v>12176</v>
      </c>
      <c r="L712">
        <v>50341</v>
      </c>
      <c r="M712" t="s">
        <v>146</v>
      </c>
      <c r="N712">
        <v>75</v>
      </c>
      <c r="O712" s="2">
        <v>46254</v>
      </c>
      <c r="P712" s="2">
        <v>46299</v>
      </c>
      <c r="R712" t="s">
        <v>2187</v>
      </c>
      <c r="S712" t="str">
        <f>"00013717"</f>
        <v>00013717</v>
      </c>
      <c r="T712" t="s">
        <v>41</v>
      </c>
      <c r="U712">
        <v>2687.45</v>
      </c>
      <c r="V712">
        <v>2687.45</v>
      </c>
      <c r="W712">
        <v>2687.45</v>
      </c>
      <c r="X712">
        <v>0</v>
      </c>
      <c r="Y712">
        <v>0</v>
      </c>
      <c r="Z712">
        <v>-524</v>
      </c>
      <c r="AA712">
        <v>4753</v>
      </c>
      <c r="AD712" t="s">
        <v>2183</v>
      </c>
      <c r="AE712" t="s">
        <v>2184</v>
      </c>
      <c r="AF712" t="s">
        <v>2183</v>
      </c>
      <c r="AG712" s="1" t="s">
        <v>2185</v>
      </c>
      <c r="AH712" t="s">
        <v>44</v>
      </c>
    </row>
    <row r="713" spans="1:34" x14ac:dyDescent="0.3">
      <c r="A713">
        <v>101</v>
      </c>
      <c r="B713" t="s">
        <v>34</v>
      </c>
      <c r="C713">
        <v>2</v>
      </c>
      <c r="D713" s="1" t="s">
        <v>2188</v>
      </c>
      <c r="E713" s="1" t="s">
        <v>36</v>
      </c>
      <c r="G713">
        <v>9002</v>
      </c>
      <c r="H713" t="s">
        <v>2189</v>
      </c>
      <c r="I713" t="s">
        <v>2190</v>
      </c>
      <c r="J713">
        <v>15</v>
      </c>
      <c r="K713">
        <v>12176</v>
      </c>
      <c r="L713">
        <v>50341</v>
      </c>
      <c r="M713" t="s">
        <v>146</v>
      </c>
      <c r="N713">
        <v>75</v>
      </c>
      <c r="O713" s="2">
        <v>46254</v>
      </c>
      <c r="P713" s="2">
        <v>46299</v>
      </c>
      <c r="R713" t="s">
        <v>2191</v>
      </c>
      <c r="S713" t="str">
        <f>"00013718"</f>
        <v>00013718</v>
      </c>
      <c r="T713" t="s">
        <v>41</v>
      </c>
      <c r="U713">
        <v>4515.5</v>
      </c>
      <c r="V713">
        <v>4515.5</v>
      </c>
      <c r="W713">
        <v>4515.5</v>
      </c>
      <c r="X713">
        <v>0</v>
      </c>
      <c r="Y713">
        <v>0</v>
      </c>
      <c r="Z713">
        <v>-524</v>
      </c>
      <c r="AA713">
        <v>4772</v>
      </c>
      <c r="AD713" t="s">
        <v>2192</v>
      </c>
      <c r="AE713" t="s">
        <v>2193</v>
      </c>
      <c r="AF713" t="s">
        <v>2192</v>
      </c>
      <c r="AG713">
        <v>56761570000159</v>
      </c>
      <c r="AH713" t="s">
        <v>44</v>
      </c>
    </row>
    <row r="714" spans="1:34" x14ac:dyDescent="0.3">
      <c r="A714">
        <v>101</v>
      </c>
      <c r="B714" t="s">
        <v>34</v>
      </c>
      <c r="C714">
        <v>2</v>
      </c>
      <c r="D714" s="1" t="s">
        <v>2194</v>
      </c>
      <c r="E714" s="1" t="s">
        <v>36</v>
      </c>
      <c r="G714">
        <v>9002</v>
      </c>
      <c r="H714" t="s">
        <v>2189</v>
      </c>
      <c r="I714" t="s">
        <v>2190</v>
      </c>
      <c r="J714">
        <v>15</v>
      </c>
      <c r="K714">
        <v>12176</v>
      </c>
      <c r="L714">
        <v>50341</v>
      </c>
      <c r="M714" t="s">
        <v>146</v>
      </c>
      <c r="N714">
        <v>75</v>
      </c>
      <c r="O714" s="2">
        <v>46224</v>
      </c>
      <c r="P714" s="2">
        <v>46269</v>
      </c>
      <c r="R714" t="s">
        <v>2195</v>
      </c>
      <c r="S714" t="str">
        <f>"00013165"</f>
        <v>00013165</v>
      </c>
      <c r="T714" t="s">
        <v>41</v>
      </c>
      <c r="U714">
        <v>4749.18</v>
      </c>
      <c r="V714">
        <v>4749.18</v>
      </c>
      <c r="W714">
        <v>4749.18</v>
      </c>
      <c r="X714">
        <v>0</v>
      </c>
      <c r="Y714">
        <v>0</v>
      </c>
      <c r="Z714">
        <v>-494</v>
      </c>
      <c r="AA714">
        <v>1376</v>
      </c>
      <c r="AD714" t="s">
        <v>2192</v>
      </c>
      <c r="AE714" t="s">
        <v>2193</v>
      </c>
      <c r="AF714" t="s">
        <v>2192</v>
      </c>
      <c r="AG714">
        <v>56761570000159</v>
      </c>
      <c r="AH714" t="s">
        <v>44</v>
      </c>
    </row>
    <row r="715" spans="1:34" x14ac:dyDescent="0.3">
      <c r="A715">
        <v>101</v>
      </c>
      <c r="B715" t="s">
        <v>34</v>
      </c>
      <c r="C715">
        <v>2</v>
      </c>
      <c r="D715" s="1" t="s">
        <v>2196</v>
      </c>
      <c r="E715" s="1" t="s">
        <v>36</v>
      </c>
      <c r="G715">
        <v>10351</v>
      </c>
      <c r="H715" t="s">
        <v>2197</v>
      </c>
      <c r="I715" t="s">
        <v>2198</v>
      </c>
      <c r="J715">
        <v>15</v>
      </c>
      <c r="K715">
        <v>12176</v>
      </c>
      <c r="L715">
        <v>50341</v>
      </c>
      <c r="M715" t="s">
        <v>146</v>
      </c>
      <c r="N715">
        <v>75</v>
      </c>
      <c r="O715" s="2">
        <v>46254</v>
      </c>
      <c r="P715" s="2">
        <v>46299</v>
      </c>
      <c r="R715" t="s">
        <v>2199</v>
      </c>
      <c r="S715" t="str">
        <f>"00013705"</f>
        <v>00013705</v>
      </c>
      <c r="T715" t="s">
        <v>41</v>
      </c>
      <c r="U715">
        <v>4606.3500000000004</v>
      </c>
      <c r="V715">
        <v>4606.3500000000004</v>
      </c>
      <c r="W715">
        <v>4606.3500000000004</v>
      </c>
      <c r="X715">
        <v>0</v>
      </c>
      <c r="Y715">
        <v>0</v>
      </c>
      <c r="Z715">
        <v>-524</v>
      </c>
      <c r="AA715">
        <v>4774</v>
      </c>
      <c r="AD715" t="s">
        <v>2200</v>
      </c>
      <c r="AE715" t="s">
        <v>2201</v>
      </c>
      <c r="AF715" t="s">
        <v>2200</v>
      </c>
      <c r="AG715">
        <v>67745232000140</v>
      </c>
      <c r="AH715" t="s">
        <v>44</v>
      </c>
    </row>
    <row r="716" spans="1:34" x14ac:dyDescent="0.3">
      <c r="A716">
        <v>101</v>
      </c>
      <c r="B716" t="s">
        <v>34</v>
      </c>
      <c r="C716">
        <v>2</v>
      </c>
      <c r="D716" s="1" t="s">
        <v>2202</v>
      </c>
      <c r="E716" s="1" t="s">
        <v>36</v>
      </c>
      <c r="G716">
        <v>10892</v>
      </c>
      <c r="H716" t="s">
        <v>2203</v>
      </c>
      <c r="I716" t="s">
        <v>2204</v>
      </c>
      <c r="J716">
        <v>15</v>
      </c>
      <c r="K716">
        <v>10892</v>
      </c>
      <c r="L716">
        <v>50033</v>
      </c>
      <c r="M716" t="s">
        <v>39</v>
      </c>
      <c r="N716">
        <v>75</v>
      </c>
      <c r="O716" s="2">
        <v>46217</v>
      </c>
      <c r="P716" s="2">
        <v>46267</v>
      </c>
      <c r="R716" t="s">
        <v>2205</v>
      </c>
      <c r="S716" t="str">
        <f>"0000050409816"</f>
        <v>0000050409816</v>
      </c>
      <c r="T716" t="s">
        <v>41</v>
      </c>
      <c r="U716">
        <v>80561.02</v>
      </c>
      <c r="V716">
        <v>72532.97</v>
      </c>
      <c r="W716">
        <v>72532.97</v>
      </c>
      <c r="X716">
        <v>0</v>
      </c>
      <c r="Y716">
        <v>0</v>
      </c>
      <c r="Z716">
        <v>-492</v>
      </c>
      <c r="AA716">
        <v>1109</v>
      </c>
      <c r="AD716" t="s">
        <v>2206</v>
      </c>
      <c r="AE716" t="s">
        <v>2207</v>
      </c>
      <c r="AF716" t="s">
        <v>2206</v>
      </c>
      <c r="AG716" s="1" t="s">
        <v>2208</v>
      </c>
      <c r="AH716" t="s">
        <v>44</v>
      </c>
    </row>
    <row r="717" spans="1:34" x14ac:dyDescent="0.3">
      <c r="A717">
        <v>101</v>
      </c>
      <c r="B717" t="s">
        <v>34</v>
      </c>
      <c r="C717">
        <v>2</v>
      </c>
      <c r="D717" s="1" t="s">
        <v>2209</v>
      </c>
      <c r="E717" s="1" t="s">
        <v>36</v>
      </c>
      <c r="G717">
        <v>11691</v>
      </c>
      <c r="H717" t="s">
        <v>2210</v>
      </c>
      <c r="I717" t="s">
        <v>2211</v>
      </c>
      <c r="J717">
        <v>15</v>
      </c>
      <c r="K717">
        <v>12176</v>
      </c>
      <c r="L717">
        <v>50341</v>
      </c>
      <c r="M717" t="s">
        <v>146</v>
      </c>
      <c r="N717">
        <v>75</v>
      </c>
      <c r="O717" s="2">
        <v>46224</v>
      </c>
      <c r="P717" s="2">
        <v>46269</v>
      </c>
      <c r="R717" t="s">
        <v>2212</v>
      </c>
      <c r="S717" t="str">
        <f>"00013166"</f>
        <v>00013166</v>
      </c>
      <c r="T717" t="s">
        <v>41</v>
      </c>
      <c r="U717">
        <v>2177.2399999999998</v>
      </c>
      <c r="V717">
        <v>2177.2399999999998</v>
      </c>
      <c r="W717">
        <v>2177.2399999999998</v>
      </c>
      <c r="X717">
        <v>0</v>
      </c>
      <c r="Y717">
        <v>0</v>
      </c>
      <c r="Z717">
        <v>-494</v>
      </c>
      <c r="AA717">
        <v>1416</v>
      </c>
      <c r="AD717" t="s">
        <v>2213</v>
      </c>
      <c r="AE717" t="s">
        <v>2214</v>
      </c>
      <c r="AF717" t="s">
        <v>2213</v>
      </c>
      <c r="AG717">
        <v>50538362000109</v>
      </c>
      <c r="AH717" t="s">
        <v>44</v>
      </c>
    </row>
    <row r="718" spans="1:34" x14ac:dyDescent="0.3">
      <c r="A718">
        <v>101</v>
      </c>
      <c r="B718" t="s">
        <v>34</v>
      </c>
      <c r="C718">
        <v>2</v>
      </c>
      <c r="D718" s="1" t="s">
        <v>2215</v>
      </c>
      <c r="E718" s="1" t="s">
        <v>36</v>
      </c>
      <c r="G718">
        <v>11691</v>
      </c>
      <c r="H718" t="s">
        <v>2210</v>
      </c>
      <c r="I718" t="s">
        <v>2211</v>
      </c>
      <c r="J718">
        <v>15</v>
      </c>
      <c r="K718">
        <v>12176</v>
      </c>
      <c r="L718">
        <v>50341</v>
      </c>
      <c r="M718" t="s">
        <v>146</v>
      </c>
      <c r="N718">
        <v>75</v>
      </c>
      <c r="O718" s="2">
        <v>46254</v>
      </c>
      <c r="P718" s="2">
        <v>46299</v>
      </c>
      <c r="R718" t="s">
        <v>2216</v>
      </c>
      <c r="S718" t="str">
        <f>"00013706"</f>
        <v>00013706</v>
      </c>
      <c r="T718" t="s">
        <v>41</v>
      </c>
      <c r="U718">
        <v>3421.09</v>
      </c>
      <c r="V718">
        <v>3421.09</v>
      </c>
      <c r="W718">
        <v>3421.09</v>
      </c>
      <c r="X718">
        <v>0</v>
      </c>
      <c r="Y718">
        <v>0</v>
      </c>
      <c r="Z718">
        <v>-524</v>
      </c>
      <c r="AA718">
        <v>4781</v>
      </c>
      <c r="AD718" t="s">
        <v>2213</v>
      </c>
      <c r="AE718" t="s">
        <v>2214</v>
      </c>
      <c r="AF718" t="s">
        <v>2213</v>
      </c>
      <c r="AG718">
        <v>50538362000109</v>
      </c>
      <c r="AH718" t="s">
        <v>44</v>
      </c>
    </row>
    <row r="719" spans="1:34" x14ac:dyDescent="0.3">
      <c r="A719">
        <v>101</v>
      </c>
      <c r="B719" t="s">
        <v>34</v>
      </c>
      <c r="C719">
        <v>2</v>
      </c>
      <c r="D719" s="1" t="s">
        <v>2217</v>
      </c>
      <c r="E719" s="1" t="s">
        <v>36</v>
      </c>
      <c r="G719">
        <v>438360</v>
      </c>
      <c r="H719" t="s">
        <v>2218</v>
      </c>
      <c r="I719" t="s">
        <v>2219</v>
      </c>
      <c r="J719">
        <v>15</v>
      </c>
      <c r="K719">
        <v>12176</v>
      </c>
      <c r="L719">
        <v>50341</v>
      </c>
      <c r="M719" t="s">
        <v>146</v>
      </c>
      <c r="N719">
        <v>75</v>
      </c>
      <c r="O719" s="2">
        <v>46254</v>
      </c>
      <c r="P719" s="2">
        <v>46299</v>
      </c>
      <c r="R719" t="s">
        <v>2220</v>
      </c>
      <c r="S719" t="str">
        <f>"00013707"</f>
        <v>00013707</v>
      </c>
      <c r="T719" t="s">
        <v>41</v>
      </c>
      <c r="U719">
        <v>5527.16</v>
      </c>
      <c r="V719">
        <v>5527.16</v>
      </c>
      <c r="W719">
        <v>5527.16</v>
      </c>
      <c r="X719">
        <v>0</v>
      </c>
      <c r="Y719">
        <v>0</v>
      </c>
      <c r="Z719">
        <v>-524</v>
      </c>
      <c r="AA719">
        <v>4778</v>
      </c>
      <c r="AD719" t="s">
        <v>2206</v>
      </c>
      <c r="AE719" t="s">
        <v>2221</v>
      </c>
      <c r="AF719" t="s">
        <v>2206</v>
      </c>
      <c r="AG719">
        <v>50751908000377</v>
      </c>
      <c r="AH719" t="s">
        <v>44</v>
      </c>
    </row>
    <row r="720" spans="1:34" x14ac:dyDescent="0.3">
      <c r="A720">
        <v>101</v>
      </c>
      <c r="B720" t="s">
        <v>34</v>
      </c>
      <c r="C720">
        <v>2</v>
      </c>
      <c r="D720" s="1" t="s">
        <v>2222</v>
      </c>
      <c r="E720" s="1" t="s">
        <v>36</v>
      </c>
      <c r="G720">
        <v>438361</v>
      </c>
      <c r="H720" t="s">
        <v>2223</v>
      </c>
      <c r="I720" t="s">
        <v>2224</v>
      </c>
      <c r="J720">
        <v>15</v>
      </c>
      <c r="K720">
        <v>12176</v>
      </c>
      <c r="L720">
        <v>50341</v>
      </c>
      <c r="M720" t="s">
        <v>146</v>
      </c>
      <c r="N720">
        <v>75</v>
      </c>
      <c r="O720" s="2">
        <v>46254</v>
      </c>
      <c r="P720" s="2">
        <v>46299</v>
      </c>
      <c r="R720" t="s">
        <v>2225</v>
      </c>
      <c r="S720" t="str">
        <f>"00013719"</f>
        <v>00013719</v>
      </c>
      <c r="T720" t="s">
        <v>41</v>
      </c>
      <c r="U720">
        <v>4481.6400000000003</v>
      </c>
      <c r="V720">
        <v>4481.6400000000003</v>
      </c>
      <c r="W720">
        <v>4481.6400000000003</v>
      </c>
      <c r="X720">
        <v>0</v>
      </c>
      <c r="Y720">
        <v>0</v>
      </c>
      <c r="Z720">
        <v>-524</v>
      </c>
      <c r="AA720">
        <v>4780</v>
      </c>
      <c r="AD720" t="s">
        <v>2206</v>
      </c>
      <c r="AE720">
        <v>1436027433</v>
      </c>
      <c r="AF720" t="s">
        <v>2206</v>
      </c>
      <c r="AG720">
        <v>50751908000458</v>
      </c>
      <c r="AH720" t="s">
        <v>44</v>
      </c>
    </row>
    <row r="721" spans="1:34" x14ac:dyDescent="0.3">
      <c r="A721">
        <v>101</v>
      </c>
      <c r="B721" t="s">
        <v>34</v>
      </c>
      <c r="C721">
        <v>2</v>
      </c>
      <c r="D721" s="1" t="s">
        <v>2226</v>
      </c>
      <c r="E721" s="1" t="s">
        <v>36</v>
      </c>
      <c r="G721">
        <v>438361</v>
      </c>
      <c r="H721" t="s">
        <v>2223</v>
      </c>
      <c r="I721" t="s">
        <v>2224</v>
      </c>
      <c r="J721">
        <v>15</v>
      </c>
      <c r="K721">
        <v>12176</v>
      </c>
      <c r="L721">
        <v>50341</v>
      </c>
      <c r="M721" t="s">
        <v>146</v>
      </c>
      <c r="N721">
        <v>75</v>
      </c>
      <c r="O721" s="2">
        <v>46224</v>
      </c>
      <c r="P721" s="2">
        <v>46269</v>
      </c>
      <c r="R721" t="s">
        <v>2227</v>
      </c>
      <c r="S721" t="str">
        <f>"00013171"</f>
        <v>00013171</v>
      </c>
      <c r="T721" t="s">
        <v>41</v>
      </c>
      <c r="U721">
        <v>4440.88</v>
      </c>
      <c r="V721">
        <v>4440.88</v>
      </c>
      <c r="W721">
        <v>4440.88</v>
      </c>
      <c r="X721">
        <v>0</v>
      </c>
      <c r="Y721">
        <v>0</v>
      </c>
      <c r="Z721">
        <v>-494</v>
      </c>
      <c r="AA721">
        <v>1414</v>
      </c>
      <c r="AD721" t="s">
        <v>2206</v>
      </c>
      <c r="AE721">
        <v>1436027433</v>
      </c>
      <c r="AF721" t="s">
        <v>2206</v>
      </c>
      <c r="AG721">
        <v>50751908000458</v>
      </c>
      <c r="AH721" t="s">
        <v>44</v>
      </c>
    </row>
    <row r="722" spans="1:34" x14ac:dyDescent="0.3">
      <c r="A722">
        <v>101</v>
      </c>
      <c r="B722" t="s">
        <v>34</v>
      </c>
      <c r="C722">
        <v>2</v>
      </c>
      <c r="D722" s="1" t="s">
        <v>2228</v>
      </c>
      <c r="E722" s="1" t="s">
        <v>36</v>
      </c>
      <c r="G722">
        <v>446886</v>
      </c>
      <c r="H722" t="s">
        <v>2229</v>
      </c>
      <c r="I722" t="s">
        <v>2181</v>
      </c>
      <c r="J722">
        <v>15</v>
      </c>
      <c r="K722">
        <v>12176</v>
      </c>
      <c r="L722">
        <v>50341</v>
      </c>
      <c r="M722" t="s">
        <v>146</v>
      </c>
      <c r="N722">
        <v>75</v>
      </c>
      <c r="O722" s="2">
        <v>46224</v>
      </c>
      <c r="P722" s="2">
        <v>46269</v>
      </c>
      <c r="R722" t="s">
        <v>2230</v>
      </c>
      <c r="S722" t="str">
        <f>"00013172"</f>
        <v>00013172</v>
      </c>
      <c r="T722" t="s">
        <v>41</v>
      </c>
      <c r="U722">
        <v>2854.98</v>
      </c>
      <c r="V722">
        <v>2854.98</v>
      </c>
      <c r="W722">
        <v>2854.98</v>
      </c>
      <c r="X722">
        <v>0</v>
      </c>
      <c r="Y722">
        <v>0</v>
      </c>
      <c r="Z722">
        <v>-494</v>
      </c>
      <c r="AA722">
        <v>1371</v>
      </c>
      <c r="AD722" t="s">
        <v>2231</v>
      </c>
      <c r="AE722" t="s">
        <v>2184</v>
      </c>
      <c r="AF722" t="s">
        <v>2231</v>
      </c>
      <c r="AG722" s="1" t="s">
        <v>2232</v>
      </c>
      <c r="AH722" t="s">
        <v>44</v>
      </c>
    </row>
    <row r="723" spans="1:34" x14ac:dyDescent="0.3">
      <c r="A723">
        <v>101</v>
      </c>
      <c r="B723" t="s">
        <v>34</v>
      </c>
      <c r="C723">
        <v>2</v>
      </c>
      <c r="D723" s="1" t="s">
        <v>2233</v>
      </c>
      <c r="E723" s="1" t="s">
        <v>36</v>
      </c>
      <c r="G723">
        <v>450663</v>
      </c>
      <c r="H723" t="s">
        <v>2234</v>
      </c>
      <c r="I723" t="s">
        <v>2235</v>
      </c>
      <c r="J723">
        <v>15</v>
      </c>
      <c r="K723">
        <v>4279</v>
      </c>
      <c r="L723">
        <v>95000</v>
      </c>
      <c r="M723" t="s">
        <v>69</v>
      </c>
      <c r="N723">
        <v>75</v>
      </c>
      <c r="O723" s="2">
        <v>46226</v>
      </c>
      <c r="P723" s="2">
        <v>46275</v>
      </c>
      <c r="R723" t="s">
        <v>2236</v>
      </c>
      <c r="S723" t="str">
        <f>""</f>
        <v/>
      </c>
      <c r="T723" t="s">
        <v>41</v>
      </c>
      <c r="U723">
        <v>6306.63</v>
      </c>
      <c r="V723">
        <v>6306.63</v>
      </c>
      <c r="W723">
        <v>6306.63</v>
      </c>
      <c r="X723">
        <v>0</v>
      </c>
      <c r="Y723">
        <v>0</v>
      </c>
      <c r="Z723">
        <v>-500</v>
      </c>
      <c r="AA723">
        <v>1663</v>
      </c>
      <c r="AD723" t="s">
        <v>262</v>
      </c>
      <c r="AE723" t="s">
        <v>2237</v>
      </c>
      <c r="AF723" t="s">
        <v>262</v>
      </c>
      <c r="AG723">
        <v>71322150005200</v>
      </c>
      <c r="AH723" t="s">
        <v>44</v>
      </c>
    </row>
    <row r="724" spans="1:34" x14ac:dyDescent="0.3">
      <c r="A724">
        <v>101</v>
      </c>
      <c r="B724" t="s">
        <v>34</v>
      </c>
      <c r="C724">
        <v>2</v>
      </c>
      <c r="D724" s="1" t="s">
        <v>2238</v>
      </c>
      <c r="E724" s="1" t="s">
        <v>36</v>
      </c>
      <c r="G724">
        <v>450663</v>
      </c>
      <c r="H724" t="s">
        <v>2234</v>
      </c>
      <c r="I724" t="s">
        <v>2235</v>
      </c>
      <c r="J724">
        <v>15</v>
      </c>
      <c r="K724">
        <v>4279</v>
      </c>
      <c r="L724">
        <v>95000</v>
      </c>
      <c r="M724" t="s">
        <v>69</v>
      </c>
      <c r="N724">
        <v>75</v>
      </c>
      <c r="O724" s="2">
        <v>46218</v>
      </c>
      <c r="P724" s="2">
        <v>46264</v>
      </c>
      <c r="R724" t="s">
        <v>2239</v>
      </c>
      <c r="S724" t="str">
        <f>""</f>
        <v/>
      </c>
      <c r="T724" t="s">
        <v>41</v>
      </c>
      <c r="U724">
        <v>29880.54</v>
      </c>
      <c r="V724">
        <v>11534.26</v>
      </c>
      <c r="W724">
        <v>11534.26</v>
      </c>
      <c r="X724">
        <v>0</v>
      </c>
      <c r="Y724">
        <v>0</v>
      </c>
      <c r="Z724">
        <v>-489</v>
      </c>
      <c r="AA724">
        <v>1204</v>
      </c>
      <c r="AD724" t="s">
        <v>262</v>
      </c>
      <c r="AE724" t="s">
        <v>2237</v>
      </c>
      <c r="AF724" t="s">
        <v>262</v>
      </c>
      <c r="AG724">
        <v>71322150005200</v>
      </c>
      <c r="AH724" t="s">
        <v>44</v>
      </c>
    </row>
    <row r="725" spans="1:34" x14ac:dyDescent="0.3">
      <c r="A725">
        <v>101</v>
      </c>
      <c r="B725" t="s">
        <v>34</v>
      </c>
      <c r="C725">
        <v>2</v>
      </c>
      <c r="D725" s="1" t="s">
        <v>2240</v>
      </c>
      <c r="E725" s="1" t="s">
        <v>36</v>
      </c>
      <c r="G725">
        <v>450663</v>
      </c>
      <c r="H725" t="s">
        <v>2234</v>
      </c>
      <c r="I725" t="s">
        <v>2235</v>
      </c>
      <c r="J725">
        <v>15</v>
      </c>
      <c r="K725">
        <v>4279</v>
      </c>
      <c r="L725">
        <v>95000</v>
      </c>
      <c r="M725" t="s">
        <v>69</v>
      </c>
      <c r="N725">
        <v>75</v>
      </c>
      <c r="O725" s="2">
        <v>46251</v>
      </c>
      <c r="P725" s="2">
        <v>46296</v>
      </c>
      <c r="R725" t="s">
        <v>2241</v>
      </c>
      <c r="S725" t="str">
        <f>""</f>
        <v/>
      </c>
      <c r="T725" t="s">
        <v>41</v>
      </c>
      <c r="U725">
        <v>13911.12</v>
      </c>
      <c r="V725">
        <v>13911.12</v>
      </c>
      <c r="W725">
        <v>13911.12</v>
      </c>
      <c r="X725">
        <v>0</v>
      </c>
      <c r="Y725">
        <v>0</v>
      </c>
      <c r="Z725">
        <v>-521</v>
      </c>
      <c r="AA725">
        <v>4663</v>
      </c>
      <c r="AD725" t="s">
        <v>262</v>
      </c>
      <c r="AE725" t="s">
        <v>2237</v>
      </c>
      <c r="AF725" t="s">
        <v>262</v>
      </c>
      <c r="AG725">
        <v>71322150005200</v>
      </c>
      <c r="AH725" t="s">
        <v>44</v>
      </c>
    </row>
    <row r="726" spans="1:34" x14ac:dyDescent="0.3">
      <c r="A726">
        <v>101</v>
      </c>
      <c r="B726" t="s">
        <v>34</v>
      </c>
      <c r="C726">
        <v>2</v>
      </c>
      <c r="D726" s="1" t="s">
        <v>2242</v>
      </c>
      <c r="E726" s="1" t="s">
        <v>36</v>
      </c>
      <c r="G726">
        <v>450663</v>
      </c>
      <c r="H726" t="s">
        <v>2234</v>
      </c>
      <c r="I726" t="s">
        <v>2235</v>
      </c>
      <c r="J726">
        <v>15</v>
      </c>
      <c r="K726">
        <v>4279</v>
      </c>
      <c r="L726">
        <v>95000</v>
      </c>
      <c r="M726" t="s">
        <v>69</v>
      </c>
      <c r="N726">
        <v>75</v>
      </c>
      <c r="O726" s="2">
        <v>46251</v>
      </c>
      <c r="P726" s="2">
        <v>46296</v>
      </c>
      <c r="R726" t="s">
        <v>2243</v>
      </c>
      <c r="S726" t="str">
        <f>""</f>
        <v/>
      </c>
      <c r="T726" t="s">
        <v>41</v>
      </c>
      <c r="U726">
        <v>12891.52</v>
      </c>
      <c r="V726">
        <v>12891.52</v>
      </c>
      <c r="W726">
        <v>12891.52</v>
      </c>
      <c r="X726">
        <v>0</v>
      </c>
      <c r="Y726">
        <v>0</v>
      </c>
      <c r="Z726">
        <v>-521</v>
      </c>
      <c r="AA726">
        <v>4632</v>
      </c>
      <c r="AD726" t="s">
        <v>262</v>
      </c>
      <c r="AE726" t="s">
        <v>2237</v>
      </c>
      <c r="AF726" t="s">
        <v>262</v>
      </c>
      <c r="AG726">
        <v>71322150005200</v>
      </c>
      <c r="AH726" t="s">
        <v>44</v>
      </c>
    </row>
    <row r="727" spans="1:34" x14ac:dyDescent="0.3">
      <c r="A727">
        <v>101</v>
      </c>
      <c r="B727" t="s">
        <v>34</v>
      </c>
      <c r="C727">
        <v>2</v>
      </c>
      <c r="D727" s="1" t="s">
        <v>2244</v>
      </c>
      <c r="E727" s="1" t="s">
        <v>36</v>
      </c>
      <c r="G727">
        <v>450663</v>
      </c>
      <c r="H727" t="s">
        <v>2234</v>
      </c>
      <c r="I727" t="s">
        <v>2235</v>
      </c>
      <c r="J727">
        <v>15</v>
      </c>
      <c r="K727">
        <v>4279</v>
      </c>
      <c r="L727">
        <v>95000</v>
      </c>
      <c r="M727" t="s">
        <v>69</v>
      </c>
      <c r="N727">
        <v>75</v>
      </c>
      <c r="O727" s="2">
        <v>46251</v>
      </c>
      <c r="P727" s="2">
        <v>46296</v>
      </c>
      <c r="R727" t="s">
        <v>2245</v>
      </c>
      <c r="S727" t="str">
        <f>""</f>
        <v/>
      </c>
      <c r="T727" t="s">
        <v>41</v>
      </c>
      <c r="U727">
        <v>13641.44</v>
      </c>
      <c r="V727">
        <v>13641.44</v>
      </c>
      <c r="W727">
        <v>13641.44</v>
      </c>
      <c r="X727">
        <v>0</v>
      </c>
      <c r="Y727">
        <v>0</v>
      </c>
      <c r="Z727">
        <v>-521</v>
      </c>
      <c r="AA727">
        <v>4633</v>
      </c>
      <c r="AD727" t="s">
        <v>262</v>
      </c>
      <c r="AE727" t="s">
        <v>2237</v>
      </c>
      <c r="AF727" t="s">
        <v>262</v>
      </c>
      <c r="AG727">
        <v>71322150005200</v>
      </c>
      <c r="AH727" t="s">
        <v>44</v>
      </c>
    </row>
    <row r="728" spans="1:34" x14ac:dyDescent="0.3">
      <c r="A728">
        <v>101</v>
      </c>
      <c r="B728" t="s">
        <v>34</v>
      </c>
      <c r="C728">
        <v>2</v>
      </c>
      <c r="D728" s="1" t="s">
        <v>2246</v>
      </c>
      <c r="E728" s="1" t="s">
        <v>36</v>
      </c>
      <c r="G728">
        <v>450663</v>
      </c>
      <c r="H728" t="s">
        <v>2234</v>
      </c>
      <c r="I728" t="s">
        <v>2235</v>
      </c>
      <c r="J728">
        <v>15</v>
      </c>
      <c r="K728">
        <v>4279</v>
      </c>
      <c r="L728">
        <v>95000</v>
      </c>
      <c r="M728" t="s">
        <v>69</v>
      </c>
      <c r="N728">
        <v>75</v>
      </c>
      <c r="O728" s="2">
        <v>46251</v>
      </c>
      <c r="P728" s="2">
        <v>46296</v>
      </c>
      <c r="R728" t="s">
        <v>2247</v>
      </c>
      <c r="S728" t="str">
        <f>""</f>
        <v/>
      </c>
      <c r="T728" t="s">
        <v>41</v>
      </c>
      <c r="U728">
        <v>3741.89</v>
      </c>
      <c r="V728">
        <v>3741.89</v>
      </c>
      <c r="W728">
        <v>3741.89</v>
      </c>
      <c r="X728">
        <v>0</v>
      </c>
      <c r="Y728">
        <v>0</v>
      </c>
      <c r="Z728">
        <v>-521</v>
      </c>
      <c r="AA728">
        <v>4664</v>
      </c>
      <c r="AD728" t="s">
        <v>262</v>
      </c>
      <c r="AE728" t="s">
        <v>2237</v>
      </c>
      <c r="AF728" t="s">
        <v>262</v>
      </c>
      <c r="AG728">
        <v>71322150005200</v>
      </c>
      <c r="AH728" t="s">
        <v>44</v>
      </c>
    </row>
    <row r="729" spans="1:34" x14ac:dyDescent="0.3">
      <c r="A729">
        <v>101</v>
      </c>
      <c r="B729" t="s">
        <v>34</v>
      </c>
      <c r="C729">
        <v>2</v>
      </c>
      <c r="D729" s="1" t="s">
        <v>2248</v>
      </c>
      <c r="E729" s="1" t="s">
        <v>122</v>
      </c>
      <c r="G729">
        <v>450798</v>
      </c>
      <c r="H729" t="s">
        <v>2249</v>
      </c>
      <c r="I729" t="s">
        <v>2250</v>
      </c>
      <c r="J729">
        <v>15</v>
      </c>
      <c r="K729">
        <v>999000029</v>
      </c>
      <c r="L729">
        <v>50001</v>
      </c>
      <c r="M729" t="s">
        <v>39</v>
      </c>
      <c r="N729">
        <v>75</v>
      </c>
      <c r="O729" s="2">
        <v>46240</v>
      </c>
      <c r="P729" s="2">
        <v>46280</v>
      </c>
      <c r="R729" t="s">
        <v>2251</v>
      </c>
      <c r="S729" t="str">
        <f>"25666160000051828"</f>
        <v>25666160000051828</v>
      </c>
      <c r="T729" t="s">
        <v>41</v>
      </c>
      <c r="U729">
        <v>6836.4</v>
      </c>
      <c r="V729">
        <v>6836.4</v>
      </c>
      <c r="W729">
        <v>6836.4</v>
      </c>
      <c r="X729">
        <v>0</v>
      </c>
      <c r="Y729">
        <v>0</v>
      </c>
      <c r="Z729">
        <v>-505</v>
      </c>
      <c r="AA729">
        <v>4356</v>
      </c>
      <c r="AD729" t="s">
        <v>2176</v>
      </c>
      <c r="AE729" t="s">
        <v>2252</v>
      </c>
      <c r="AF729" t="s">
        <v>2176</v>
      </c>
      <c r="AG729">
        <v>30187483000146</v>
      </c>
      <c r="AH729" t="s">
        <v>44</v>
      </c>
    </row>
    <row r="730" spans="1:34" x14ac:dyDescent="0.3">
      <c r="A730">
        <v>101</v>
      </c>
      <c r="B730" t="s">
        <v>34</v>
      </c>
      <c r="C730">
        <v>2</v>
      </c>
      <c r="D730" s="1" t="s">
        <v>2248</v>
      </c>
      <c r="E730" s="1" t="s">
        <v>36</v>
      </c>
      <c r="G730">
        <v>450798</v>
      </c>
      <c r="H730" t="s">
        <v>2249</v>
      </c>
      <c r="I730" t="s">
        <v>2250</v>
      </c>
      <c r="J730">
        <v>15</v>
      </c>
      <c r="K730">
        <v>999000029</v>
      </c>
      <c r="L730">
        <v>50001</v>
      </c>
      <c r="M730" t="s">
        <v>39</v>
      </c>
      <c r="N730">
        <v>75</v>
      </c>
      <c r="O730" s="2">
        <v>46240</v>
      </c>
      <c r="P730" s="2">
        <v>46260</v>
      </c>
      <c r="R730" t="s">
        <v>2251</v>
      </c>
      <c r="S730" t="str">
        <f>"25666160000051827"</f>
        <v>25666160000051827</v>
      </c>
      <c r="T730" t="s">
        <v>41</v>
      </c>
      <c r="U730">
        <v>7280.77</v>
      </c>
      <c r="V730">
        <v>7280.77</v>
      </c>
      <c r="W730">
        <v>7280.77</v>
      </c>
      <c r="X730">
        <v>0</v>
      </c>
      <c r="Y730">
        <v>0</v>
      </c>
      <c r="Z730">
        <v>-485</v>
      </c>
      <c r="AA730">
        <v>4356</v>
      </c>
      <c r="AD730" t="s">
        <v>2176</v>
      </c>
      <c r="AE730" t="s">
        <v>2252</v>
      </c>
      <c r="AF730" t="s">
        <v>2176</v>
      </c>
      <c r="AG730">
        <v>30187483000146</v>
      </c>
      <c r="AH730" t="s">
        <v>44</v>
      </c>
    </row>
    <row r="731" spans="1:34" x14ac:dyDescent="0.3">
      <c r="A731">
        <v>101</v>
      </c>
      <c r="B731" t="s">
        <v>34</v>
      </c>
      <c r="C731">
        <v>2</v>
      </c>
      <c r="D731" s="1" t="s">
        <v>2253</v>
      </c>
      <c r="E731" s="1" t="s">
        <v>122</v>
      </c>
      <c r="G731">
        <v>450798</v>
      </c>
      <c r="H731" t="s">
        <v>2249</v>
      </c>
      <c r="I731" t="s">
        <v>2250</v>
      </c>
      <c r="J731">
        <v>15</v>
      </c>
      <c r="K731">
        <v>999000029</v>
      </c>
      <c r="L731">
        <v>50001</v>
      </c>
      <c r="M731" t="s">
        <v>39</v>
      </c>
      <c r="N731">
        <v>75</v>
      </c>
      <c r="O731" s="2">
        <v>46216</v>
      </c>
      <c r="P731" s="2">
        <v>46258</v>
      </c>
      <c r="R731" t="s">
        <v>2254</v>
      </c>
      <c r="S731" t="str">
        <f>"25666160000051424"</f>
        <v>25666160000051424</v>
      </c>
      <c r="T731" t="s">
        <v>41</v>
      </c>
      <c r="U731">
        <v>5639.53</v>
      </c>
      <c r="V731">
        <v>5439.53</v>
      </c>
      <c r="W731">
        <v>5439.53</v>
      </c>
      <c r="X731">
        <v>0</v>
      </c>
      <c r="Y731">
        <v>0</v>
      </c>
      <c r="Z731">
        <v>-483</v>
      </c>
      <c r="AA731">
        <v>1111</v>
      </c>
      <c r="AD731" t="s">
        <v>2176</v>
      </c>
      <c r="AE731" t="s">
        <v>2252</v>
      </c>
      <c r="AF731" t="s">
        <v>2176</v>
      </c>
      <c r="AG731">
        <v>30187483000146</v>
      </c>
      <c r="AH731" t="s">
        <v>44</v>
      </c>
    </row>
    <row r="732" spans="1:34" x14ac:dyDescent="0.3">
      <c r="A732">
        <v>101</v>
      </c>
      <c r="B732" t="s">
        <v>34</v>
      </c>
      <c r="C732">
        <v>2</v>
      </c>
      <c r="D732" s="1" t="s">
        <v>2255</v>
      </c>
      <c r="E732" s="1" t="s">
        <v>36</v>
      </c>
      <c r="G732">
        <v>451225</v>
      </c>
      <c r="H732" t="s">
        <v>2256</v>
      </c>
      <c r="I732" t="s">
        <v>2257</v>
      </c>
      <c r="J732">
        <v>15</v>
      </c>
      <c r="K732">
        <v>12176</v>
      </c>
      <c r="L732">
        <v>50341</v>
      </c>
      <c r="M732" t="s">
        <v>146</v>
      </c>
      <c r="N732">
        <v>75</v>
      </c>
      <c r="O732" s="2">
        <v>46224</v>
      </c>
      <c r="P732" s="2">
        <v>46269</v>
      </c>
      <c r="R732" t="s">
        <v>2258</v>
      </c>
      <c r="S732" t="str">
        <f>"00013173"</f>
        <v>00013173</v>
      </c>
      <c r="T732" t="s">
        <v>41</v>
      </c>
      <c r="U732">
        <v>2062.44</v>
      </c>
      <c r="V732">
        <v>2062.44</v>
      </c>
      <c r="W732">
        <v>2062.44</v>
      </c>
      <c r="X732">
        <v>0</v>
      </c>
      <c r="Y732">
        <v>0</v>
      </c>
      <c r="Z732">
        <v>-494</v>
      </c>
      <c r="AA732">
        <v>1417</v>
      </c>
      <c r="AD732" t="s">
        <v>2259</v>
      </c>
      <c r="AE732">
        <v>1438451535</v>
      </c>
      <c r="AF732" t="s">
        <v>2259</v>
      </c>
      <c r="AG732" s="1" t="s">
        <v>2260</v>
      </c>
      <c r="AH732" t="s">
        <v>44</v>
      </c>
    </row>
    <row r="733" spans="1:34" x14ac:dyDescent="0.3">
      <c r="A733">
        <v>101</v>
      </c>
      <c r="B733" t="s">
        <v>34</v>
      </c>
      <c r="C733">
        <v>2</v>
      </c>
      <c r="D733" s="1" t="s">
        <v>2261</v>
      </c>
      <c r="E733" s="1" t="s">
        <v>36</v>
      </c>
      <c r="G733">
        <v>451227</v>
      </c>
      <c r="H733" t="s">
        <v>2262</v>
      </c>
      <c r="I733" t="s">
        <v>2263</v>
      </c>
      <c r="J733">
        <v>15</v>
      </c>
      <c r="K733">
        <v>12176</v>
      </c>
      <c r="L733">
        <v>50001</v>
      </c>
      <c r="M733" t="s">
        <v>39</v>
      </c>
      <c r="N733">
        <v>75</v>
      </c>
      <c r="O733" s="2">
        <v>46254</v>
      </c>
      <c r="P733" s="2">
        <v>46299</v>
      </c>
      <c r="R733" t="s">
        <v>2264</v>
      </c>
      <c r="S733" t="str">
        <f>"25666160000051970"</f>
        <v>25666160000051970</v>
      </c>
      <c r="T733" t="s">
        <v>41</v>
      </c>
      <c r="U733">
        <v>1969.85</v>
      </c>
      <c r="V733">
        <v>1969.85</v>
      </c>
      <c r="W733">
        <v>1969.85</v>
      </c>
      <c r="X733">
        <v>0</v>
      </c>
      <c r="Y733">
        <v>0</v>
      </c>
      <c r="Z733">
        <v>-524</v>
      </c>
      <c r="AA733">
        <v>4786</v>
      </c>
      <c r="AD733" t="s">
        <v>2259</v>
      </c>
      <c r="AE733" t="s">
        <v>2265</v>
      </c>
      <c r="AF733" t="s">
        <v>2259</v>
      </c>
      <c r="AG733">
        <v>17100574000134</v>
      </c>
      <c r="AH733" t="s">
        <v>44</v>
      </c>
    </row>
    <row r="734" spans="1:34" x14ac:dyDescent="0.3">
      <c r="A734">
        <v>101</v>
      </c>
      <c r="B734" t="s">
        <v>34</v>
      </c>
      <c r="C734">
        <v>2</v>
      </c>
      <c r="D734" s="1" t="s">
        <v>2266</v>
      </c>
      <c r="E734" s="1" t="s">
        <v>36</v>
      </c>
      <c r="G734">
        <v>451229</v>
      </c>
      <c r="H734" t="s">
        <v>2267</v>
      </c>
      <c r="I734" t="s">
        <v>2268</v>
      </c>
      <c r="J734">
        <v>15</v>
      </c>
      <c r="K734">
        <v>12176</v>
      </c>
      <c r="L734">
        <v>50341</v>
      </c>
      <c r="M734" t="s">
        <v>146</v>
      </c>
      <c r="N734">
        <v>75</v>
      </c>
      <c r="O734" s="2">
        <v>46254</v>
      </c>
      <c r="P734" s="2">
        <v>46299</v>
      </c>
      <c r="R734" t="s">
        <v>2269</v>
      </c>
      <c r="S734" t="str">
        <f>"00013708"</f>
        <v>00013708</v>
      </c>
      <c r="T734" t="s">
        <v>41</v>
      </c>
      <c r="U734">
        <v>1903.52</v>
      </c>
      <c r="V734">
        <v>1903.52</v>
      </c>
      <c r="W734">
        <v>1903.52</v>
      </c>
      <c r="X734">
        <v>0</v>
      </c>
      <c r="Y734">
        <v>0</v>
      </c>
      <c r="Z734">
        <v>-524</v>
      </c>
      <c r="AA734">
        <v>4799</v>
      </c>
      <c r="AD734" t="s">
        <v>2270</v>
      </c>
      <c r="AE734" t="s">
        <v>2271</v>
      </c>
      <c r="AF734" t="s">
        <v>2270</v>
      </c>
      <c r="AG734">
        <v>28345660000123</v>
      </c>
      <c r="AH734" t="s">
        <v>44</v>
      </c>
    </row>
    <row r="735" spans="1:34" x14ac:dyDescent="0.3">
      <c r="A735">
        <v>101</v>
      </c>
      <c r="B735" t="s">
        <v>34</v>
      </c>
      <c r="C735">
        <v>2</v>
      </c>
      <c r="D735" s="1" t="s">
        <v>2272</v>
      </c>
      <c r="E735" s="1" t="s">
        <v>36</v>
      </c>
      <c r="G735">
        <v>451229</v>
      </c>
      <c r="H735" t="s">
        <v>2267</v>
      </c>
      <c r="I735" t="s">
        <v>2268</v>
      </c>
      <c r="J735">
        <v>15</v>
      </c>
      <c r="K735">
        <v>12176</v>
      </c>
      <c r="L735">
        <v>50341</v>
      </c>
      <c r="M735" t="s">
        <v>146</v>
      </c>
      <c r="N735">
        <v>75</v>
      </c>
      <c r="O735" s="2">
        <v>46224</v>
      </c>
      <c r="P735" s="2">
        <v>46269</v>
      </c>
      <c r="R735" t="s">
        <v>2273</v>
      </c>
      <c r="S735" t="str">
        <f>"00013174"</f>
        <v>00013174</v>
      </c>
      <c r="T735" t="s">
        <v>41</v>
      </c>
      <c r="U735">
        <v>3363.14</v>
      </c>
      <c r="V735">
        <v>3363.14</v>
      </c>
      <c r="W735">
        <v>3363.14</v>
      </c>
      <c r="X735">
        <v>0</v>
      </c>
      <c r="Y735">
        <v>0</v>
      </c>
      <c r="Z735">
        <v>-494</v>
      </c>
      <c r="AA735">
        <v>1418</v>
      </c>
      <c r="AD735" t="s">
        <v>2270</v>
      </c>
      <c r="AE735" t="s">
        <v>2271</v>
      </c>
      <c r="AF735" t="s">
        <v>2270</v>
      </c>
      <c r="AG735">
        <v>28345660000123</v>
      </c>
      <c r="AH735" t="s">
        <v>44</v>
      </c>
    </row>
    <row r="736" spans="1:34" x14ac:dyDescent="0.3">
      <c r="A736">
        <v>101</v>
      </c>
      <c r="B736" t="s">
        <v>34</v>
      </c>
      <c r="C736">
        <v>2</v>
      </c>
      <c r="D736" s="1" t="s">
        <v>2274</v>
      </c>
      <c r="E736" s="1" t="s">
        <v>36</v>
      </c>
      <c r="G736">
        <v>451412</v>
      </c>
      <c r="H736" t="s">
        <v>2275</v>
      </c>
      <c r="I736" t="s">
        <v>2276</v>
      </c>
      <c r="J736">
        <v>28</v>
      </c>
      <c r="K736">
        <v>451412</v>
      </c>
      <c r="L736">
        <v>50341</v>
      </c>
      <c r="M736" t="s">
        <v>146</v>
      </c>
      <c r="N736">
        <v>75</v>
      </c>
      <c r="O736" s="2">
        <v>46254</v>
      </c>
      <c r="P736" s="2">
        <v>46299</v>
      </c>
      <c r="R736" t="s">
        <v>2277</v>
      </c>
      <c r="S736" t="str">
        <f>"00013697"</f>
        <v>00013697</v>
      </c>
      <c r="T736" t="s">
        <v>41</v>
      </c>
      <c r="U736">
        <v>151836.56</v>
      </c>
      <c r="V736">
        <v>144236.56</v>
      </c>
      <c r="W736">
        <v>144236.56</v>
      </c>
      <c r="X736">
        <v>0</v>
      </c>
      <c r="Y736">
        <v>0</v>
      </c>
      <c r="Z736">
        <v>-524</v>
      </c>
      <c r="AA736">
        <v>4625</v>
      </c>
      <c r="AD736" t="s">
        <v>2278</v>
      </c>
      <c r="AE736" t="s">
        <v>2279</v>
      </c>
      <c r="AF736" t="s">
        <v>2278</v>
      </c>
      <c r="AG736">
        <v>64781941000192</v>
      </c>
      <c r="AH736" t="s">
        <v>44</v>
      </c>
    </row>
    <row r="737" spans="1:34" x14ac:dyDescent="0.3">
      <c r="A737">
        <v>101</v>
      </c>
      <c r="B737" t="s">
        <v>34</v>
      </c>
      <c r="C737">
        <v>2</v>
      </c>
      <c r="D737" s="1" t="s">
        <v>2280</v>
      </c>
      <c r="E737" s="1" t="s">
        <v>36</v>
      </c>
      <c r="G737">
        <v>451412</v>
      </c>
      <c r="H737" t="s">
        <v>2275</v>
      </c>
      <c r="I737" t="s">
        <v>2276</v>
      </c>
      <c r="J737">
        <v>28</v>
      </c>
      <c r="K737">
        <v>451412</v>
      </c>
      <c r="L737">
        <v>50341</v>
      </c>
      <c r="M737" t="s">
        <v>146</v>
      </c>
      <c r="N737">
        <v>75</v>
      </c>
      <c r="O737" s="2">
        <v>46254</v>
      </c>
      <c r="P737" s="2">
        <v>46299</v>
      </c>
      <c r="R737" t="s">
        <v>2281</v>
      </c>
      <c r="S737" t="str">
        <f>"00013720"</f>
        <v>00013720</v>
      </c>
      <c r="T737" t="s">
        <v>41</v>
      </c>
      <c r="U737">
        <v>39600</v>
      </c>
      <c r="V737">
        <v>37650</v>
      </c>
      <c r="W737">
        <v>37650</v>
      </c>
      <c r="X737">
        <v>0</v>
      </c>
      <c r="Y737">
        <v>0</v>
      </c>
      <c r="Z737">
        <v>-524</v>
      </c>
      <c r="AA737">
        <v>4969</v>
      </c>
      <c r="AD737" t="s">
        <v>2278</v>
      </c>
      <c r="AE737" t="s">
        <v>2279</v>
      </c>
      <c r="AF737" t="s">
        <v>2278</v>
      </c>
      <c r="AG737">
        <v>64781941000192</v>
      </c>
      <c r="AH737" t="s">
        <v>44</v>
      </c>
    </row>
    <row r="738" spans="1:34" x14ac:dyDescent="0.3">
      <c r="A738">
        <v>101</v>
      </c>
      <c r="B738" t="s">
        <v>34</v>
      </c>
      <c r="C738">
        <v>2</v>
      </c>
      <c r="D738" s="1" t="s">
        <v>2282</v>
      </c>
      <c r="E738" s="1" t="s">
        <v>36</v>
      </c>
      <c r="G738">
        <v>451672</v>
      </c>
      <c r="H738" t="s">
        <v>2283</v>
      </c>
      <c r="I738" t="s">
        <v>2284</v>
      </c>
      <c r="J738">
        <v>15</v>
      </c>
      <c r="K738">
        <v>451672</v>
      </c>
      <c r="L738">
        <v>50033</v>
      </c>
      <c r="M738" t="s">
        <v>39</v>
      </c>
      <c r="N738">
        <v>75</v>
      </c>
      <c r="O738" s="2">
        <v>46216</v>
      </c>
      <c r="P738" s="2">
        <v>46261</v>
      </c>
      <c r="R738" t="s">
        <v>2285</v>
      </c>
      <c r="S738" t="str">
        <f>"0000050409905"</f>
        <v>0000050409905</v>
      </c>
      <c r="T738" t="s">
        <v>41</v>
      </c>
      <c r="U738">
        <v>27746.66</v>
      </c>
      <c r="V738">
        <v>26632.15</v>
      </c>
      <c r="W738">
        <v>26632.15</v>
      </c>
      <c r="X738">
        <v>0</v>
      </c>
      <c r="Y738">
        <v>0</v>
      </c>
      <c r="Z738">
        <v>-486</v>
      </c>
      <c r="AA738">
        <v>1114</v>
      </c>
      <c r="AD738" t="s">
        <v>2286</v>
      </c>
      <c r="AE738" t="s">
        <v>2287</v>
      </c>
      <c r="AF738" t="s">
        <v>2286</v>
      </c>
      <c r="AG738">
        <v>30157715000113</v>
      </c>
      <c r="AH738" t="s">
        <v>44</v>
      </c>
    </row>
    <row r="739" spans="1:34" x14ac:dyDescent="0.3">
      <c r="A739">
        <v>101</v>
      </c>
      <c r="B739" t="s">
        <v>34</v>
      </c>
      <c r="C739">
        <v>2</v>
      </c>
      <c r="D739" s="1" t="s">
        <v>2288</v>
      </c>
      <c r="E739" s="1" t="s">
        <v>36</v>
      </c>
      <c r="G739">
        <v>451672</v>
      </c>
      <c r="H739" t="s">
        <v>2283</v>
      </c>
      <c r="I739" t="s">
        <v>2284</v>
      </c>
      <c r="J739">
        <v>15</v>
      </c>
      <c r="K739">
        <v>451672</v>
      </c>
      <c r="L739">
        <v>50033</v>
      </c>
      <c r="M739" t="s">
        <v>39</v>
      </c>
      <c r="N739">
        <v>75</v>
      </c>
      <c r="O739" s="2">
        <v>46239</v>
      </c>
      <c r="P739" s="2">
        <v>46284</v>
      </c>
      <c r="R739" t="s">
        <v>2289</v>
      </c>
      <c r="S739" t="str">
        <f>"0000050412671"</f>
        <v>0000050412671</v>
      </c>
      <c r="T739" t="s">
        <v>41</v>
      </c>
      <c r="U739">
        <v>1840.5</v>
      </c>
      <c r="V739">
        <v>1840.5</v>
      </c>
      <c r="W739">
        <v>1840.5</v>
      </c>
      <c r="X739">
        <v>0</v>
      </c>
      <c r="Y739">
        <v>0</v>
      </c>
      <c r="Z739">
        <v>-509</v>
      </c>
      <c r="AA739">
        <v>1114</v>
      </c>
      <c r="AD739" t="s">
        <v>2286</v>
      </c>
      <c r="AE739" t="s">
        <v>2287</v>
      </c>
      <c r="AF739" t="s">
        <v>2286</v>
      </c>
      <c r="AG739">
        <v>30157715000113</v>
      </c>
      <c r="AH739" t="s">
        <v>44</v>
      </c>
    </row>
    <row r="740" spans="1:34" x14ac:dyDescent="0.3">
      <c r="A740">
        <v>101</v>
      </c>
      <c r="B740" t="s">
        <v>34</v>
      </c>
      <c r="C740">
        <v>2</v>
      </c>
      <c r="D740" s="1" t="s">
        <v>2290</v>
      </c>
      <c r="E740" s="1" t="s">
        <v>36</v>
      </c>
      <c r="G740">
        <v>453606</v>
      </c>
      <c r="H740" t="s">
        <v>2291</v>
      </c>
      <c r="I740" t="s">
        <v>2292</v>
      </c>
      <c r="J740">
        <v>15</v>
      </c>
      <c r="K740">
        <v>12176</v>
      </c>
      <c r="L740">
        <v>50001</v>
      </c>
      <c r="M740" t="s">
        <v>39</v>
      </c>
      <c r="N740">
        <v>75</v>
      </c>
      <c r="O740" s="2">
        <v>46254</v>
      </c>
      <c r="P740" s="2">
        <v>46299</v>
      </c>
      <c r="R740" t="s">
        <v>2293</v>
      </c>
      <c r="S740" t="str">
        <f>"25666160000051989"</f>
        <v>25666160000051989</v>
      </c>
      <c r="T740" t="s">
        <v>41</v>
      </c>
      <c r="U740">
        <v>2244.3000000000002</v>
      </c>
      <c r="V740">
        <v>2244.3000000000002</v>
      </c>
      <c r="W740">
        <v>2244.3000000000002</v>
      </c>
      <c r="X740">
        <v>0</v>
      </c>
      <c r="Y740">
        <v>0</v>
      </c>
      <c r="Z740">
        <v>-524</v>
      </c>
      <c r="AA740">
        <v>4787</v>
      </c>
      <c r="AD740" t="s">
        <v>2294</v>
      </c>
      <c r="AE740" t="s">
        <v>2295</v>
      </c>
      <c r="AF740" t="s">
        <v>2294</v>
      </c>
      <c r="AG740" s="1" t="s">
        <v>2296</v>
      </c>
      <c r="AH740" t="s">
        <v>44</v>
      </c>
    </row>
    <row r="741" spans="1:34" x14ac:dyDescent="0.3">
      <c r="A741">
        <v>101</v>
      </c>
      <c r="B741" t="s">
        <v>34</v>
      </c>
      <c r="C741">
        <v>2</v>
      </c>
      <c r="D741" s="1" t="s">
        <v>2297</v>
      </c>
      <c r="E741" s="1" t="s">
        <v>36</v>
      </c>
      <c r="G741">
        <v>454826</v>
      </c>
      <c r="H741" t="s">
        <v>2298</v>
      </c>
      <c r="I741" t="s">
        <v>2299</v>
      </c>
      <c r="J741">
        <v>15</v>
      </c>
      <c r="K741">
        <v>12176</v>
      </c>
      <c r="L741">
        <v>50001</v>
      </c>
      <c r="M741" t="s">
        <v>39</v>
      </c>
      <c r="N741">
        <v>75</v>
      </c>
      <c r="O741" s="2">
        <v>46224</v>
      </c>
      <c r="P741" s="2">
        <v>46269</v>
      </c>
      <c r="R741" t="s">
        <v>2300</v>
      </c>
      <c r="S741" t="str">
        <f>"25666160000051512"</f>
        <v>25666160000051512</v>
      </c>
      <c r="T741" t="s">
        <v>41</v>
      </c>
      <c r="U741">
        <v>2050.36</v>
      </c>
      <c r="V741">
        <v>2050.36</v>
      </c>
      <c r="W741">
        <v>2050.36</v>
      </c>
      <c r="X741">
        <v>0</v>
      </c>
      <c r="Y741">
        <v>0</v>
      </c>
      <c r="Z741">
        <v>-494</v>
      </c>
      <c r="AA741">
        <v>1437</v>
      </c>
      <c r="AD741" t="s">
        <v>2301</v>
      </c>
      <c r="AE741">
        <v>1437324732</v>
      </c>
      <c r="AF741" t="s">
        <v>2301</v>
      </c>
      <c r="AG741">
        <v>37191250000166</v>
      </c>
      <c r="AH741" t="s">
        <v>44</v>
      </c>
    </row>
    <row r="742" spans="1:34" x14ac:dyDescent="0.3">
      <c r="A742">
        <v>101</v>
      </c>
      <c r="B742" t="s">
        <v>34</v>
      </c>
      <c r="C742">
        <v>2</v>
      </c>
      <c r="D742" s="1" t="s">
        <v>2302</v>
      </c>
      <c r="E742" s="1" t="s">
        <v>36</v>
      </c>
      <c r="G742">
        <v>458981</v>
      </c>
      <c r="H742" t="s">
        <v>2303</v>
      </c>
      <c r="I742" t="s">
        <v>2304</v>
      </c>
      <c r="J742">
        <v>15</v>
      </c>
      <c r="K742">
        <v>12176</v>
      </c>
      <c r="L742">
        <v>50341</v>
      </c>
      <c r="M742" t="s">
        <v>146</v>
      </c>
      <c r="N742">
        <v>75</v>
      </c>
      <c r="O742" s="2">
        <v>46254</v>
      </c>
      <c r="P742" s="2">
        <v>46299</v>
      </c>
      <c r="R742" t="s">
        <v>2305</v>
      </c>
      <c r="S742" t="str">
        <f>"00013711"</f>
        <v>00013711</v>
      </c>
      <c r="T742" t="s">
        <v>41</v>
      </c>
      <c r="U742">
        <v>2245.17</v>
      </c>
      <c r="V742">
        <v>2245.17</v>
      </c>
      <c r="W742">
        <v>2245.17</v>
      </c>
      <c r="X742">
        <v>0</v>
      </c>
      <c r="Y742">
        <v>0</v>
      </c>
      <c r="Z742">
        <v>-524</v>
      </c>
      <c r="AA742">
        <v>4776</v>
      </c>
      <c r="AD742" t="s">
        <v>2200</v>
      </c>
      <c r="AE742">
        <v>1438481631</v>
      </c>
      <c r="AF742" t="s">
        <v>2200</v>
      </c>
      <c r="AG742">
        <v>67745232000220</v>
      </c>
      <c r="AH742" t="s">
        <v>44</v>
      </c>
    </row>
    <row r="743" spans="1:34" x14ac:dyDescent="0.3">
      <c r="A743">
        <v>101</v>
      </c>
      <c r="B743" t="s">
        <v>34</v>
      </c>
      <c r="C743">
        <v>2</v>
      </c>
      <c r="D743" s="1" t="s">
        <v>2306</v>
      </c>
      <c r="E743" s="1" t="s">
        <v>36</v>
      </c>
      <c r="G743">
        <v>459382</v>
      </c>
      <c r="H743" t="s">
        <v>2307</v>
      </c>
      <c r="I743" t="s">
        <v>2308</v>
      </c>
      <c r="J743">
        <v>15</v>
      </c>
      <c r="K743">
        <v>10034</v>
      </c>
      <c r="L743">
        <v>50001</v>
      </c>
      <c r="M743" t="s">
        <v>39</v>
      </c>
      <c r="N743">
        <v>75</v>
      </c>
      <c r="O743" s="2">
        <v>46216</v>
      </c>
      <c r="P743" s="2">
        <v>46261</v>
      </c>
      <c r="R743" t="s">
        <v>2309</v>
      </c>
      <c r="S743" t="str">
        <f>"25666160000051437"</f>
        <v>25666160000051437</v>
      </c>
      <c r="T743" t="s">
        <v>41</v>
      </c>
      <c r="U743">
        <v>3163.26</v>
      </c>
      <c r="V743">
        <v>3163.26</v>
      </c>
      <c r="W743">
        <v>3163.26</v>
      </c>
      <c r="X743">
        <v>0</v>
      </c>
      <c r="Y743">
        <v>0</v>
      </c>
      <c r="Z743">
        <v>-486</v>
      </c>
      <c r="AA743">
        <v>1051</v>
      </c>
      <c r="AD743" t="s">
        <v>2176</v>
      </c>
      <c r="AE743">
        <v>1633369088</v>
      </c>
      <c r="AF743" t="s">
        <v>2176</v>
      </c>
      <c r="AG743" s="1" t="s">
        <v>2310</v>
      </c>
      <c r="AH743" t="s">
        <v>44</v>
      </c>
    </row>
    <row r="744" spans="1:34" x14ac:dyDescent="0.3">
      <c r="A744">
        <v>101</v>
      </c>
      <c r="B744" t="s">
        <v>34</v>
      </c>
      <c r="C744">
        <v>2</v>
      </c>
      <c r="D744" s="1" t="s">
        <v>2311</v>
      </c>
      <c r="E744" s="1" t="s">
        <v>36</v>
      </c>
      <c r="G744">
        <v>465204</v>
      </c>
      <c r="H744" t="s">
        <v>2312</v>
      </c>
      <c r="I744" t="s">
        <v>2313</v>
      </c>
      <c r="J744">
        <v>15</v>
      </c>
      <c r="K744">
        <v>1173</v>
      </c>
      <c r="L744">
        <v>50033</v>
      </c>
      <c r="M744" t="s">
        <v>39</v>
      </c>
      <c r="N744">
        <v>75</v>
      </c>
      <c r="O744" s="2">
        <v>46189</v>
      </c>
      <c r="P744" s="2">
        <v>46268</v>
      </c>
      <c r="R744" t="s">
        <v>2314</v>
      </c>
      <c r="S744" t="str">
        <f>"0000050406310"</f>
        <v>0000050406310</v>
      </c>
      <c r="T744" t="s">
        <v>41</v>
      </c>
      <c r="U744">
        <v>5467.92</v>
      </c>
      <c r="V744">
        <v>5085.17</v>
      </c>
      <c r="W744">
        <v>5085.17</v>
      </c>
      <c r="X744">
        <v>0</v>
      </c>
      <c r="Y744">
        <v>0</v>
      </c>
      <c r="Z744">
        <v>-493</v>
      </c>
      <c r="AA744">
        <v>691424</v>
      </c>
      <c r="AD744" t="s">
        <v>2315</v>
      </c>
      <c r="AE744" t="s">
        <v>2316</v>
      </c>
      <c r="AF744" t="s">
        <v>2315</v>
      </c>
      <c r="AG744" s="1" t="s">
        <v>2317</v>
      </c>
      <c r="AH744" t="s">
        <v>44</v>
      </c>
    </row>
    <row r="745" spans="1:34" x14ac:dyDescent="0.3">
      <c r="A745">
        <v>101</v>
      </c>
      <c r="B745" t="s">
        <v>34</v>
      </c>
      <c r="C745">
        <v>2</v>
      </c>
      <c r="D745" s="1" t="s">
        <v>2318</v>
      </c>
      <c r="E745" s="1" t="s">
        <v>36</v>
      </c>
      <c r="G745">
        <v>467786</v>
      </c>
      <c r="H745" t="s">
        <v>2319</v>
      </c>
      <c r="I745" t="s">
        <v>2320</v>
      </c>
      <c r="J745">
        <v>15</v>
      </c>
      <c r="K745">
        <v>4279</v>
      </c>
      <c r="L745">
        <v>95000</v>
      </c>
      <c r="M745" t="s">
        <v>69</v>
      </c>
      <c r="N745">
        <v>75</v>
      </c>
      <c r="O745" s="2">
        <v>46251</v>
      </c>
      <c r="P745" s="2">
        <v>46296</v>
      </c>
      <c r="R745" t="s">
        <v>2321</v>
      </c>
      <c r="S745" t="str">
        <f>""</f>
        <v/>
      </c>
      <c r="T745" t="s">
        <v>41</v>
      </c>
      <c r="U745">
        <v>3850.55</v>
      </c>
      <c r="V745">
        <v>3850.55</v>
      </c>
      <c r="W745">
        <v>3850.55</v>
      </c>
      <c r="X745">
        <v>0</v>
      </c>
      <c r="Y745">
        <v>0</v>
      </c>
      <c r="Z745">
        <v>-521</v>
      </c>
      <c r="AA745">
        <v>4656</v>
      </c>
      <c r="AD745" t="s">
        <v>2322</v>
      </c>
      <c r="AE745" t="s">
        <v>2323</v>
      </c>
      <c r="AF745" t="s">
        <v>2322</v>
      </c>
      <c r="AG745">
        <v>71322150005471</v>
      </c>
      <c r="AH745" t="s">
        <v>44</v>
      </c>
    </row>
    <row r="746" spans="1:34" x14ac:dyDescent="0.3">
      <c r="A746">
        <v>101</v>
      </c>
      <c r="B746" t="s">
        <v>34</v>
      </c>
      <c r="C746">
        <v>2</v>
      </c>
      <c r="D746" s="1" t="s">
        <v>2324</v>
      </c>
      <c r="E746" s="1" t="s">
        <v>116</v>
      </c>
      <c r="G746">
        <v>467786</v>
      </c>
      <c r="H746" t="s">
        <v>2319</v>
      </c>
      <c r="I746" t="s">
        <v>2320</v>
      </c>
      <c r="J746">
        <v>15</v>
      </c>
      <c r="K746">
        <v>4279</v>
      </c>
      <c r="L746">
        <v>95000</v>
      </c>
      <c r="M746" t="s">
        <v>69</v>
      </c>
      <c r="N746">
        <v>75</v>
      </c>
      <c r="O746" s="2">
        <v>46199</v>
      </c>
      <c r="P746" s="2">
        <v>46264</v>
      </c>
      <c r="R746" t="s">
        <v>2325</v>
      </c>
      <c r="S746" t="str">
        <f>""</f>
        <v/>
      </c>
      <c r="T746" t="s">
        <v>41</v>
      </c>
      <c r="U746">
        <v>317.97000000000003</v>
      </c>
      <c r="V746">
        <v>317.97000000000003</v>
      </c>
      <c r="W746">
        <v>317.97000000000003</v>
      </c>
      <c r="X746">
        <v>0</v>
      </c>
      <c r="Y746">
        <v>0</v>
      </c>
      <c r="Z746">
        <v>-489</v>
      </c>
      <c r="AA746">
        <v>692865</v>
      </c>
      <c r="AD746" t="s">
        <v>2322</v>
      </c>
      <c r="AE746" t="s">
        <v>2323</v>
      </c>
      <c r="AF746" t="s">
        <v>2322</v>
      </c>
      <c r="AG746">
        <v>71322150005471</v>
      </c>
      <c r="AH746" t="s">
        <v>44</v>
      </c>
    </row>
    <row r="747" spans="1:34" x14ac:dyDescent="0.3">
      <c r="A747">
        <v>101</v>
      </c>
      <c r="B747" t="s">
        <v>34</v>
      </c>
      <c r="C747">
        <v>2</v>
      </c>
      <c r="D747" s="1" t="s">
        <v>2318</v>
      </c>
      <c r="E747" s="1" t="s">
        <v>116</v>
      </c>
      <c r="G747">
        <v>467786</v>
      </c>
      <c r="H747" t="s">
        <v>2319</v>
      </c>
      <c r="I747" t="s">
        <v>2320</v>
      </c>
      <c r="J747">
        <v>15</v>
      </c>
      <c r="K747">
        <v>4279</v>
      </c>
      <c r="L747">
        <v>95000</v>
      </c>
      <c r="M747" t="s">
        <v>69</v>
      </c>
      <c r="N747">
        <v>75</v>
      </c>
      <c r="O747" s="2">
        <v>46251</v>
      </c>
      <c r="P747" s="2">
        <v>46316</v>
      </c>
      <c r="R747" t="s">
        <v>2321</v>
      </c>
      <c r="S747" t="str">
        <f>""</f>
        <v/>
      </c>
      <c r="T747" t="s">
        <v>41</v>
      </c>
      <c r="U747">
        <v>3795.34</v>
      </c>
      <c r="V747">
        <v>3795.34</v>
      </c>
      <c r="W747">
        <v>3795.34</v>
      </c>
      <c r="X747">
        <v>0</v>
      </c>
      <c r="Y747">
        <v>0</v>
      </c>
      <c r="Z747">
        <v>-541</v>
      </c>
      <c r="AA747">
        <v>4656</v>
      </c>
      <c r="AD747" t="s">
        <v>2322</v>
      </c>
      <c r="AE747" t="s">
        <v>2323</v>
      </c>
      <c r="AF747" t="s">
        <v>2322</v>
      </c>
      <c r="AG747">
        <v>71322150005471</v>
      </c>
      <c r="AH747" t="s">
        <v>44</v>
      </c>
    </row>
    <row r="748" spans="1:34" x14ac:dyDescent="0.3">
      <c r="A748">
        <v>101</v>
      </c>
      <c r="B748" t="s">
        <v>34</v>
      </c>
      <c r="C748">
        <v>2</v>
      </c>
      <c r="D748" s="1" t="s">
        <v>2326</v>
      </c>
      <c r="E748" s="1" t="s">
        <v>116</v>
      </c>
      <c r="G748">
        <v>467786</v>
      </c>
      <c r="H748" t="s">
        <v>2319</v>
      </c>
      <c r="I748" t="s">
        <v>2320</v>
      </c>
      <c r="J748">
        <v>15</v>
      </c>
      <c r="K748">
        <v>4279</v>
      </c>
      <c r="L748">
        <v>95000</v>
      </c>
      <c r="M748" t="s">
        <v>69</v>
      </c>
      <c r="N748">
        <v>75</v>
      </c>
      <c r="O748" s="2">
        <v>46199</v>
      </c>
      <c r="P748" s="2">
        <v>46264</v>
      </c>
      <c r="R748" t="s">
        <v>2327</v>
      </c>
      <c r="S748" t="str">
        <f>""</f>
        <v/>
      </c>
      <c r="T748" t="s">
        <v>41</v>
      </c>
      <c r="U748">
        <v>2241.3200000000002</v>
      </c>
      <c r="V748">
        <v>2241.3200000000002</v>
      </c>
      <c r="W748">
        <v>2241.3200000000002</v>
      </c>
      <c r="X748">
        <v>0</v>
      </c>
      <c r="Y748">
        <v>0</v>
      </c>
      <c r="Z748">
        <v>-489</v>
      </c>
      <c r="AA748">
        <v>692863</v>
      </c>
      <c r="AD748" t="s">
        <v>2322</v>
      </c>
      <c r="AE748" t="s">
        <v>2323</v>
      </c>
      <c r="AF748" t="s">
        <v>2322</v>
      </c>
      <c r="AG748">
        <v>71322150005471</v>
      </c>
      <c r="AH748" t="s">
        <v>44</v>
      </c>
    </row>
    <row r="749" spans="1:34" x14ac:dyDescent="0.3">
      <c r="A749">
        <v>101</v>
      </c>
      <c r="B749" t="s">
        <v>34</v>
      </c>
      <c r="C749">
        <v>2</v>
      </c>
      <c r="D749" s="1" t="s">
        <v>2328</v>
      </c>
      <c r="E749" s="1" t="s">
        <v>116</v>
      </c>
      <c r="G749">
        <v>467786</v>
      </c>
      <c r="H749" t="s">
        <v>2319</v>
      </c>
      <c r="I749" t="s">
        <v>2320</v>
      </c>
      <c r="J749">
        <v>15</v>
      </c>
      <c r="K749">
        <v>4279</v>
      </c>
      <c r="L749">
        <v>95000</v>
      </c>
      <c r="M749" t="s">
        <v>69</v>
      </c>
      <c r="N749">
        <v>75</v>
      </c>
      <c r="O749" s="2">
        <v>46251</v>
      </c>
      <c r="P749" s="2">
        <v>46316</v>
      </c>
      <c r="R749" t="s">
        <v>2329</v>
      </c>
      <c r="S749" t="str">
        <f>""</f>
        <v/>
      </c>
      <c r="T749" t="s">
        <v>41</v>
      </c>
      <c r="U749">
        <v>2206.04</v>
      </c>
      <c r="V749">
        <v>2206.04</v>
      </c>
      <c r="W749">
        <v>2206.04</v>
      </c>
      <c r="X749">
        <v>0</v>
      </c>
      <c r="Y749">
        <v>0</v>
      </c>
      <c r="Z749">
        <v>-541</v>
      </c>
      <c r="AA749">
        <v>4655</v>
      </c>
      <c r="AD749" t="s">
        <v>2322</v>
      </c>
      <c r="AE749" t="s">
        <v>2323</v>
      </c>
      <c r="AF749" t="s">
        <v>2322</v>
      </c>
      <c r="AG749">
        <v>71322150005471</v>
      </c>
      <c r="AH749" t="s">
        <v>44</v>
      </c>
    </row>
    <row r="750" spans="1:34" x14ac:dyDescent="0.3">
      <c r="A750">
        <v>101</v>
      </c>
      <c r="B750" t="s">
        <v>34</v>
      </c>
      <c r="C750">
        <v>2</v>
      </c>
      <c r="D750" s="1" t="s">
        <v>2328</v>
      </c>
      <c r="E750" s="1" t="s">
        <v>36</v>
      </c>
      <c r="G750">
        <v>467786</v>
      </c>
      <c r="H750" t="s">
        <v>2319</v>
      </c>
      <c r="I750" t="s">
        <v>2320</v>
      </c>
      <c r="J750">
        <v>15</v>
      </c>
      <c r="K750">
        <v>4279</v>
      </c>
      <c r="L750">
        <v>95000</v>
      </c>
      <c r="M750" t="s">
        <v>69</v>
      </c>
      <c r="N750">
        <v>75</v>
      </c>
      <c r="O750" s="2">
        <v>46251</v>
      </c>
      <c r="P750" s="2">
        <v>46296</v>
      </c>
      <c r="R750" t="s">
        <v>2329</v>
      </c>
      <c r="S750" t="str">
        <f>""</f>
        <v/>
      </c>
      <c r="T750" t="s">
        <v>41</v>
      </c>
      <c r="U750">
        <v>2205.38</v>
      </c>
      <c r="V750">
        <v>2205.38</v>
      </c>
      <c r="W750">
        <v>2205.38</v>
      </c>
      <c r="X750">
        <v>0</v>
      </c>
      <c r="Y750">
        <v>0</v>
      </c>
      <c r="Z750">
        <v>-521</v>
      </c>
      <c r="AA750">
        <v>4655</v>
      </c>
      <c r="AD750" t="s">
        <v>2322</v>
      </c>
      <c r="AE750" t="s">
        <v>2323</v>
      </c>
      <c r="AF750" t="s">
        <v>2322</v>
      </c>
      <c r="AG750">
        <v>71322150005471</v>
      </c>
      <c r="AH750" t="s">
        <v>44</v>
      </c>
    </row>
    <row r="751" spans="1:34" x14ac:dyDescent="0.3">
      <c r="A751">
        <v>101</v>
      </c>
      <c r="B751" t="s">
        <v>34</v>
      </c>
      <c r="C751">
        <v>2</v>
      </c>
      <c r="D751" s="1" t="s">
        <v>2328</v>
      </c>
      <c r="E751" s="1" t="s">
        <v>122</v>
      </c>
      <c r="G751">
        <v>467786</v>
      </c>
      <c r="H751" t="s">
        <v>2319</v>
      </c>
      <c r="I751" t="s">
        <v>2320</v>
      </c>
      <c r="J751">
        <v>15</v>
      </c>
      <c r="K751">
        <v>4279</v>
      </c>
      <c r="L751">
        <v>95000</v>
      </c>
      <c r="M751" t="s">
        <v>69</v>
      </c>
      <c r="N751">
        <v>75</v>
      </c>
      <c r="O751" s="2">
        <v>46251</v>
      </c>
      <c r="P751" s="2">
        <v>46306</v>
      </c>
      <c r="R751" t="s">
        <v>2329</v>
      </c>
      <c r="S751" t="str">
        <f>""</f>
        <v/>
      </c>
      <c r="T751" t="s">
        <v>41</v>
      </c>
      <c r="U751">
        <v>2205.38</v>
      </c>
      <c r="V751">
        <v>2205.38</v>
      </c>
      <c r="W751">
        <v>2205.38</v>
      </c>
      <c r="X751">
        <v>0</v>
      </c>
      <c r="Y751">
        <v>0</v>
      </c>
      <c r="Z751">
        <v>-531</v>
      </c>
      <c r="AA751">
        <v>4655</v>
      </c>
      <c r="AD751" t="s">
        <v>2322</v>
      </c>
      <c r="AE751" t="s">
        <v>2323</v>
      </c>
      <c r="AF751" t="s">
        <v>2322</v>
      </c>
      <c r="AG751">
        <v>71322150005471</v>
      </c>
      <c r="AH751" t="s">
        <v>44</v>
      </c>
    </row>
    <row r="752" spans="1:34" x14ac:dyDescent="0.3">
      <c r="A752">
        <v>101</v>
      </c>
      <c r="B752" t="s">
        <v>34</v>
      </c>
      <c r="C752">
        <v>2</v>
      </c>
      <c r="D752" s="1" t="s">
        <v>2318</v>
      </c>
      <c r="E752" s="1" t="s">
        <v>122</v>
      </c>
      <c r="G752">
        <v>467786</v>
      </c>
      <c r="H752" t="s">
        <v>2319</v>
      </c>
      <c r="I752" t="s">
        <v>2320</v>
      </c>
      <c r="J752">
        <v>15</v>
      </c>
      <c r="K752">
        <v>4279</v>
      </c>
      <c r="L752">
        <v>95000</v>
      </c>
      <c r="M752" t="s">
        <v>69</v>
      </c>
      <c r="N752">
        <v>75</v>
      </c>
      <c r="O752" s="2">
        <v>46251</v>
      </c>
      <c r="P752" s="2">
        <v>46306</v>
      </c>
      <c r="R752" t="s">
        <v>2321</v>
      </c>
      <c r="S752" t="str">
        <f>""</f>
        <v/>
      </c>
      <c r="T752" t="s">
        <v>41</v>
      </c>
      <c r="U752">
        <v>3794.19</v>
      </c>
      <c r="V752">
        <v>3794.19</v>
      </c>
      <c r="W752">
        <v>3794.19</v>
      </c>
      <c r="X752">
        <v>0</v>
      </c>
      <c r="Y752">
        <v>0</v>
      </c>
      <c r="Z752">
        <v>-531</v>
      </c>
      <c r="AA752">
        <v>4656</v>
      </c>
      <c r="AD752" t="s">
        <v>2322</v>
      </c>
      <c r="AE752" t="s">
        <v>2323</v>
      </c>
      <c r="AF752" t="s">
        <v>2322</v>
      </c>
      <c r="AG752">
        <v>71322150005471</v>
      </c>
      <c r="AH752" t="s">
        <v>44</v>
      </c>
    </row>
    <row r="753" spans="1:34" x14ac:dyDescent="0.3">
      <c r="A753">
        <v>101</v>
      </c>
      <c r="B753" t="s">
        <v>34</v>
      </c>
      <c r="C753">
        <v>2</v>
      </c>
      <c r="D753" s="1" t="s">
        <v>2330</v>
      </c>
      <c r="E753" s="1" t="s">
        <v>122</v>
      </c>
      <c r="G753">
        <v>467786</v>
      </c>
      <c r="H753" t="s">
        <v>2319</v>
      </c>
      <c r="I753" t="s">
        <v>2320</v>
      </c>
      <c r="J753">
        <v>15</v>
      </c>
      <c r="K753">
        <v>4279</v>
      </c>
      <c r="L753">
        <v>95000</v>
      </c>
      <c r="M753" t="s">
        <v>69</v>
      </c>
      <c r="N753">
        <v>75</v>
      </c>
      <c r="O753" s="2">
        <v>46226</v>
      </c>
      <c r="P753" s="2">
        <v>46285</v>
      </c>
      <c r="R753" t="s">
        <v>2331</v>
      </c>
      <c r="S753" t="str">
        <f>""</f>
        <v/>
      </c>
      <c r="T753" t="s">
        <v>41</v>
      </c>
      <c r="U753">
        <v>1487.11</v>
      </c>
      <c r="V753">
        <v>1487.11</v>
      </c>
      <c r="W753">
        <v>1487.11</v>
      </c>
      <c r="X753">
        <v>0</v>
      </c>
      <c r="Y753">
        <v>0</v>
      </c>
      <c r="Z753">
        <v>-510</v>
      </c>
      <c r="AA753">
        <v>1658</v>
      </c>
      <c r="AD753" t="s">
        <v>2322</v>
      </c>
      <c r="AE753" t="s">
        <v>2323</v>
      </c>
      <c r="AF753" t="s">
        <v>2322</v>
      </c>
      <c r="AG753">
        <v>71322150005471</v>
      </c>
      <c r="AH753" t="s">
        <v>44</v>
      </c>
    </row>
    <row r="754" spans="1:34" x14ac:dyDescent="0.3">
      <c r="A754">
        <v>101</v>
      </c>
      <c r="B754" t="s">
        <v>34</v>
      </c>
      <c r="C754">
        <v>2</v>
      </c>
      <c r="D754" s="1" t="s">
        <v>2330</v>
      </c>
      <c r="E754" s="1" t="s">
        <v>116</v>
      </c>
      <c r="G754">
        <v>467786</v>
      </c>
      <c r="H754" t="s">
        <v>2319</v>
      </c>
      <c r="I754" t="s">
        <v>2320</v>
      </c>
      <c r="J754">
        <v>15</v>
      </c>
      <c r="K754">
        <v>4279</v>
      </c>
      <c r="L754">
        <v>95000</v>
      </c>
      <c r="M754" t="s">
        <v>69</v>
      </c>
      <c r="N754">
        <v>75</v>
      </c>
      <c r="O754" s="2">
        <v>46226</v>
      </c>
      <c r="P754" s="2">
        <v>46295</v>
      </c>
      <c r="R754" t="s">
        <v>2331</v>
      </c>
      <c r="S754" t="str">
        <f>""</f>
        <v/>
      </c>
      <c r="T754" t="s">
        <v>41</v>
      </c>
      <c r="U754">
        <v>1487.56</v>
      </c>
      <c r="V754">
        <v>1487.56</v>
      </c>
      <c r="W754">
        <v>1487.56</v>
      </c>
      <c r="X754">
        <v>0</v>
      </c>
      <c r="Y754">
        <v>0</v>
      </c>
      <c r="Z754">
        <v>-520</v>
      </c>
      <c r="AA754">
        <v>1658</v>
      </c>
      <c r="AD754" t="s">
        <v>2322</v>
      </c>
      <c r="AE754" t="s">
        <v>2323</v>
      </c>
      <c r="AF754" t="s">
        <v>2322</v>
      </c>
      <c r="AG754">
        <v>71322150005471</v>
      </c>
      <c r="AH754" t="s">
        <v>44</v>
      </c>
    </row>
    <row r="755" spans="1:34" x14ac:dyDescent="0.3">
      <c r="A755">
        <v>101</v>
      </c>
      <c r="B755" t="s">
        <v>34</v>
      </c>
      <c r="C755">
        <v>2</v>
      </c>
      <c r="D755" s="1" t="s">
        <v>2332</v>
      </c>
      <c r="E755" s="1" t="s">
        <v>36</v>
      </c>
      <c r="G755">
        <v>467786</v>
      </c>
      <c r="H755" t="s">
        <v>2319</v>
      </c>
      <c r="I755" t="s">
        <v>2320</v>
      </c>
      <c r="J755">
        <v>15</v>
      </c>
      <c r="K755">
        <v>4279</v>
      </c>
      <c r="L755">
        <v>95000</v>
      </c>
      <c r="M755" t="s">
        <v>69</v>
      </c>
      <c r="N755">
        <v>75</v>
      </c>
      <c r="O755" s="2">
        <v>46226</v>
      </c>
      <c r="P755" s="2">
        <v>46275</v>
      </c>
      <c r="R755" t="s">
        <v>2333</v>
      </c>
      <c r="S755" t="str">
        <f>""</f>
        <v/>
      </c>
      <c r="T755" t="s">
        <v>41</v>
      </c>
      <c r="U755">
        <v>1557.69</v>
      </c>
      <c r="V755">
        <v>1557.69</v>
      </c>
      <c r="W755">
        <v>1557.69</v>
      </c>
      <c r="X755">
        <v>0</v>
      </c>
      <c r="Y755">
        <v>0</v>
      </c>
      <c r="Z755">
        <v>-500</v>
      </c>
      <c r="AA755">
        <v>1660</v>
      </c>
      <c r="AD755" t="s">
        <v>2322</v>
      </c>
      <c r="AE755" t="s">
        <v>2323</v>
      </c>
      <c r="AF755" t="s">
        <v>2322</v>
      </c>
      <c r="AG755">
        <v>71322150005471</v>
      </c>
      <c r="AH755" t="s">
        <v>44</v>
      </c>
    </row>
    <row r="756" spans="1:34" x14ac:dyDescent="0.3">
      <c r="A756">
        <v>101</v>
      </c>
      <c r="B756" t="s">
        <v>34</v>
      </c>
      <c r="C756">
        <v>2</v>
      </c>
      <c r="D756" s="1" t="s">
        <v>2332</v>
      </c>
      <c r="E756" s="1" t="s">
        <v>122</v>
      </c>
      <c r="G756">
        <v>467786</v>
      </c>
      <c r="H756" t="s">
        <v>2319</v>
      </c>
      <c r="I756" t="s">
        <v>2320</v>
      </c>
      <c r="J756">
        <v>15</v>
      </c>
      <c r="K756">
        <v>4279</v>
      </c>
      <c r="L756">
        <v>95000</v>
      </c>
      <c r="M756" t="s">
        <v>69</v>
      </c>
      <c r="N756">
        <v>75</v>
      </c>
      <c r="O756" s="2">
        <v>46226</v>
      </c>
      <c r="P756" s="2">
        <v>46285</v>
      </c>
      <c r="R756" t="s">
        <v>2333</v>
      </c>
      <c r="S756" t="str">
        <f>""</f>
        <v/>
      </c>
      <c r="T756" t="s">
        <v>41</v>
      </c>
      <c r="U756">
        <v>1557.69</v>
      </c>
      <c r="V756">
        <v>1557.69</v>
      </c>
      <c r="W756">
        <v>1557.69</v>
      </c>
      <c r="X756">
        <v>0</v>
      </c>
      <c r="Y756">
        <v>0</v>
      </c>
      <c r="Z756">
        <v>-510</v>
      </c>
      <c r="AA756">
        <v>1660</v>
      </c>
      <c r="AD756" t="s">
        <v>2322</v>
      </c>
      <c r="AE756" t="s">
        <v>2323</v>
      </c>
      <c r="AF756" t="s">
        <v>2322</v>
      </c>
      <c r="AG756">
        <v>71322150005471</v>
      </c>
      <c r="AH756" t="s">
        <v>44</v>
      </c>
    </row>
    <row r="757" spans="1:34" x14ac:dyDescent="0.3">
      <c r="A757">
        <v>101</v>
      </c>
      <c r="B757" t="s">
        <v>34</v>
      </c>
      <c r="C757">
        <v>2</v>
      </c>
      <c r="D757" s="1" t="s">
        <v>2332</v>
      </c>
      <c r="E757" s="1" t="s">
        <v>116</v>
      </c>
      <c r="G757">
        <v>467786</v>
      </c>
      <c r="H757" t="s">
        <v>2319</v>
      </c>
      <c r="I757" t="s">
        <v>2320</v>
      </c>
      <c r="J757">
        <v>15</v>
      </c>
      <c r="K757">
        <v>4279</v>
      </c>
      <c r="L757">
        <v>95000</v>
      </c>
      <c r="M757" t="s">
        <v>69</v>
      </c>
      <c r="N757">
        <v>75</v>
      </c>
      <c r="O757" s="2">
        <v>46226</v>
      </c>
      <c r="P757" s="2">
        <v>46295</v>
      </c>
      <c r="R757" t="s">
        <v>2333</v>
      </c>
      <c r="S757" t="str">
        <f>""</f>
        <v/>
      </c>
      <c r="T757" t="s">
        <v>41</v>
      </c>
      <c r="U757">
        <v>1558.17</v>
      </c>
      <c r="V757">
        <v>1558.17</v>
      </c>
      <c r="W757">
        <v>1558.17</v>
      </c>
      <c r="X757">
        <v>0</v>
      </c>
      <c r="Y757">
        <v>0</v>
      </c>
      <c r="Z757">
        <v>-520</v>
      </c>
      <c r="AA757">
        <v>1660</v>
      </c>
      <c r="AD757" t="s">
        <v>2322</v>
      </c>
      <c r="AE757" t="s">
        <v>2323</v>
      </c>
      <c r="AF757" t="s">
        <v>2322</v>
      </c>
      <c r="AG757">
        <v>71322150005471</v>
      </c>
      <c r="AH757" t="s">
        <v>44</v>
      </c>
    </row>
    <row r="758" spans="1:34" x14ac:dyDescent="0.3">
      <c r="A758">
        <v>101</v>
      </c>
      <c r="B758" t="s">
        <v>34</v>
      </c>
      <c r="C758">
        <v>2</v>
      </c>
      <c r="D758" s="1" t="s">
        <v>2334</v>
      </c>
      <c r="E758" s="1" t="s">
        <v>36</v>
      </c>
      <c r="G758">
        <v>467786</v>
      </c>
      <c r="H758" t="s">
        <v>2319</v>
      </c>
      <c r="I758" t="s">
        <v>2320</v>
      </c>
      <c r="J758">
        <v>15</v>
      </c>
      <c r="K758">
        <v>4279</v>
      </c>
      <c r="L758">
        <v>95000</v>
      </c>
      <c r="M758" t="s">
        <v>69</v>
      </c>
      <c r="N758">
        <v>75</v>
      </c>
      <c r="O758" s="2">
        <v>46226</v>
      </c>
      <c r="P758" s="2">
        <v>46275</v>
      </c>
      <c r="R758" t="s">
        <v>2335</v>
      </c>
      <c r="S758" t="str">
        <f>""</f>
        <v/>
      </c>
      <c r="T758" t="s">
        <v>41</v>
      </c>
      <c r="U758">
        <v>3495.95</v>
      </c>
      <c r="V758">
        <v>3368.25</v>
      </c>
      <c r="W758">
        <v>3368.25</v>
      </c>
      <c r="X758">
        <v>0</v>
      </c>
      <c r="Y758">
        <v>0</v>
      </c>
      <c r="Z758">
        <v>-500</v>
      </c>
      <c r="AA758">
        <v>1661</v>
      </c>
      <c r="AD758" t="s">
        <v>2322</v>
      </c>
      <c r="AE758" t="s">
        <v>2323</v>
      </c>
      <c r="AF758" t="s">
        <v>2322</v>
      </c>
      <c r="AG758">
        <v>71322150005471</v>
      </c>
      <c r="AH758" t="s">
        <v>44</v>
      </c>
    </row>
    <row r="759" spans="1:34" x14ac:dyDescent="0.3">
      <c r="A759">
        <v>101</v>
      </c>
      <c r="B759" t="s">
        <v>34</v>
      </c>
      <c r="C759">
        <v>2</v>
      </c>
      <c r="D759" s="1" t="s">
        <v>2334</v>
      </c>
      <c r="E759" s="1" t="s">
        <v>122</v>
      </c>
      <c r="G759">
        <v>467786</v>
      </c>
      <c r="H759" t="s">
        <v>2319</v>
      </c>
      <c r="I759" t="s">
        <v>2320</v>
      </c>
      <c r="J759">
        <v>15</v>
      </c>
      <c r="K759">
        <v>4279</v>
      </c>
      <c r="L759">
        <v>95000</v>
      </c>
      <c r="M759" t="s">
        <v>69</v>
      </c>
      <c r="N759">
        <v>75</v>
      </c>
      <c r="O759" s="2">
        <v>46226</v>
      </c>
      <c r="P759" s="2">
        <v>46285</v>
      </c>
      <c r="R759" t="s">
        <v>2335</v>
      </c>
      <c r="S759" t="str">
        <f>""</f>
        <v/>
      </c>
      <c r="T759" t="s">
        <v>41</v>
      </c>
      <c r="U759">
        <v>2630.62</v>
      </c>
      <c r="V759">
        <v>2630.62</v>
      </c>
      <c r="W759">
        <v>2630.62</v>
      </c>
      <c r="X759">
        <v>0</v>
      </c>
      <c r="Y759">
        <v>0</v>
      </c>
      <c r="Z759">
        <v>-510</v>
      </c>
      <c r="AA759">
        <v>1661</v>
      </c>
      <c r="AD759" t="s">
        <v>2322</v>
      </c>
      <c r="AE759" t="s">
        <v>2323</v>
      </c>
      <c r="AF759" t="s">
        <v>2322</v>
      </c>
      <c r="AG759">
        <v>71322150005471</v>
      </c>
      <c r="AH759" t="s">
        <v>44</v>
      </c>
    </row>
    <row r="760" spans="1:34" x14ac:dyDescent="0.3">
      <c r="A760">
        <v>101</v>
      </c>
      <c r="B760" t="s">
        <v>34</v>
      </c>
      <c r="C760">
        <v>2</v>
      </c>
      <c r="D760" s="1" t="s">
        <v>2334</v>
      </c>
      <c r="E760" s="1" t="s">
        <v>116</v>
      </c>
      <c r="G760">
        <v>467786</v>
      </c>
      <c r="H760" t="s">
        <v>2319</v>
      </c>
      <c r="I760" t="s">
        <v>2320</v>
      </c>
      <c r="J760">
        <v>15</v>
      </c>
      <c r="K760">
        <v>4279</v>
      </c>
      <c r="L760">
        <v>95000</v>
      </c>
      <c r="M760" t="s">
        <v>69</v>
      </c>
      <c r="N760">
        <v>75</v>
      </c>
      <c r="O760" s="2">
        <v>46226</v>
      </c>
      <c r="P760" s="2">
        <v>46295</v>
      </c>
      <c r="R760" t="s">
        <v>2335</v>
      </c>
      <c r="S760" t="str">
        <f>""</f>
        <v/>
      </c>
      <c r="T760" t="s">
        <v>41</v>
      </c>
      <c r="U760">
        <v>2631.4</v>
      </c>
      <c r="V760">
        <v>2631.4</v>
      </c>
      <c r="W760">
        <v>2631.4</v>
      </c>
      <c r="X760">
        <v>0</v>
      </c>
      <c r="Y760">
        <v>0</v>
      </c>
      <c r="Z760">
        <v>-520</v>
      </c>
      <c r="AA760">
        <v>1661</v>
      </c>
      <c r="AD760" t="s">
        <v>2322</v>
      </c>
      <c r="AE760" t="s">
        <v>2323</v>
      </c>
      <c r="AF760" t="s">
        <v>2322</v>
      </c>
      <c r="AG760">
        <v>71322150005471</v>
      </c>
      <c r="AH760" t="s">
        <v>44</v>
      </c>
    </row>
    <row r="761" spans="1:34" x14ac:dyDescent="0.3">
      <c r="A761">
        <v>101</v>
      </c>
      <c r="B761" t="s">
        <v>34</v>
      </c>
      <c r="C761">
        <v>2</v>
      </c>
      <c r="D761" s="1" t="s">
        <v>2336</v>
      </c>
      <c r="E761" s="1" t="s">
        <v>116</v>
      </c>
      <c r="G761">
        <v>467786</v>
      </c>
      <c r="H761" t="s">
        <v>2319</v>
      </c>
      <c r="I761" t="s">
        <v>2320</v>
      </c>
      <c r="J761">
        <v>15</v>
      </c>
      <c r="K761">
        <v>4279</v>
      </c>
      <c r="L761">
        <v>95000</v>
      </c>
      <c r="M761" t="s">
        <v>69</v>
      </c>
      <c r="N761">
        <v>75</v>
      </c>
      <c r="O761" s="2">
        <v>46226</v>
      </c>
      <c r="P761" s="2">
        <v>46295</v>
      </c>
      <c r="R761" t="s">
        <v>2337</v>
      </c>
      <c r="S761" t="str">
        <f>""</f>
        <v/>
      </c>
      <c r="T761" t="s">
        <v>41</v>
      </c>
      <c r="U761">
        <v>6360.53</v>
      </c>
      <c r="V761">
        <v>6360.53</v>
      </c>
      <c r="W761">
        <v>6360.53</v>
      </c>
      <c r="X761">
        <v>0</v>
      </c>
      <c r="Y761">
        <v>0</v>
      </c>
      <c r="Z761">
        <v>-520</v>
      </c>
      <c r="AA761">
        <v>1656</v>
      </c>
      <c r="AD761" t="s">
        <v>2322</v>
      </c>
      <c r="AE761" t="s">
        <v>2323</v>
      </c>
      <c r="AF761" t="s">
        <v>2322</v>
      </c>
      <c r="AG761">
        <v>71322150005471</v>
      </c>
      <c r="AH761" t="s">
        <v>44</v>
      </c>
    </row>
    <row r="762" spans="1:34" x14ac:dyDescent="0.3">
      <c r="A762">
        <v>101</v>
      </c>
      <c r="B762" t="s">
        <v>34</v>
      </c>
      <c r="C762">
        <v>2</v>
      </c>
      <c r="D762" s="1" t="s">
        <v>2330</v>
      </c>
      <c r="E762" s="1" t="s">
        <v>36</v>
      </c>
      <c r="G762">
        <v>467786</v>
      </c>
      <c r="H762" t="s">
        <v>2319</v>
      </c>
      <c r="I762" t="s">
        <v>2320</v>
      </c>
      <c r="J762">
        <v>15</v>
      </c>
      <c r="K762">
        <v>4279</v>
      </c>
      <c r="L762">
        <v>95000</v>
      </c>
      <c r="M762" t="s">
        <v>69</v>
      </c>
      <c r="N762">
        <v>75</v>
      </c>
      <c r="O762" s="2">
        <v>46226</v>
      </c>
      <c r="P762" s="2">
        <v>46275</v>
      </c>
      <c r="R762" t="s">
        <v>2331</v>
      </c>
      <c r="S762" t="str">
        <f>""</f>
        <v/>
      </c>
      <c r="T762" t="s">
        <v>41</v>
      </c>
      <c r="U762">
        <v>2033.74</v>
      </c>
      <c r="V762">
        <v>2033.74</v>
      </c>
      <c r="W762">
        <v>2033.74</v>
      </c>
      <c r="X762">
        <v>0</v>
      </c>
      <c r="Y762">
        <v>0</v>
      </c>
      <c r="Z762">
        <v>-500</v>
      </c>
      <c r="AA762">
        <v>1658</v>
      </c>
      <c r="AD762" t="s">
        <v>2322</v>
      </c>
      <c r="AE762" t="s">
        <v>2323</v>
      </c>
      <c r="AF762" t="s">
        <v>2322</v>
      </c>
      <c r="AG762">
        <v>71322150005471</v>
      </c>
      <c r="AH762" t="s">
        <v>44</v>
      </c>
    </row>
    <row r="763" spans="1:34" x14ac:dyDescent="0.3">
      <c r="A763">
        <v>101</v>
      </c>
      <c r="B763" t="s">
        <v>34</v>
      </c>
      <c r="C763">
        <v>2</v>
      </c>
      <c r="D763" s="1" t="s">
        <v>2336</v>
      </c>
      <c r="E763" s="1" t="s">
        <v>36</v>
      </c>
      <c r="G763">
        <v>467786</v>
      </c>
      <c r="H763" t="s">
        <v>2319</v>
      </c>
      <c r="I763" t="s">
        <v>2320</v>
      </c>
      <c r="J763">
        <v>15</v>
      </c>
      <c r="K763">
        <v>4279</v>
      </c>
      <c r="L763">
        <v>95000</v>
      </c>
      <c r="M763" t="s">
        <v>69</v>
      </c>
      <c r="N763">
        <v>75</v>
      </c>
      <c r="O763" s="2">
        <v>46226</v>
      </c>
      <c r="P763" s="2">
        <v>46275</v>
      </c>
      <c r="R763" t="s">
        <v>2337</v>
      </c>
      <c r="S763" t="str">
        <f>""</f>
        <v/>
      </c>
      <c r="T763" t="s">
        <v>41</v>
      </c>
      <c r="U763">
        <v>6420.12</v>
      </c>
      <c r="V763">
        <v>6420.12</v>
      </c>
      <c r="W763">
        <v>6420.12</v>
      </c>
      <c r="X763">
        <v>0</v>
      </c>
      <c r="Y763">
        <v>0</v>
      </c>
      <c r="Z763">
        <v>-500</v>
      </c>
      <c r="AA763">
        <v>1656</v>
      </c>
      <c r="AD763" t="s">
        <v>2322</v>
      </c>
      <c r="AE763" t="s">
        <v>2323</v>
      </c>
      <c r="AF763" t="s">
        <v>2322</v>
      </c>
      <c r="AG763">
        <v>71322150005471</v>
      </c>
      <c r="AH763" t="s">
        <v>44</v>
      </c>
    </row>
    <row r="764" spans="1:34" x14ac:dyDescent="0.3">
      <c r="A764">
        <v>101</v>
      </c>
      <c r="B764" t="s">
        <v>34</v>
      </c>
      <c r="C764">
        <v>2</v>
      </c>
      <c r="D764" s="1" t="s">
        <v>2336</v>
      </c>
      <c r="E764" s="1" t="s">
        <v>122</v>
      </c>
      <c r="G764">
        <v>467786</v>
      </c>
      <c r="H764" t="s">
        <v>2319</v>
      </c>
      <c r="I764" t="s">
        <v>2320</v>
      </c>
      <c r="J764">
        <v>15</v>
      </c>
      <c r="K764">
        <v>4279</v>
      </c>
      <c r="L764">
        <v>95000</v>
      </c>
      <c r="M764" t="s">
        <v>69</v>
      </c>
      <c r="N764">
        <v>75</v>
      </c>
      <c r="O764" s="2">
        <v>46226</v>
      </c>
      <c r="P764" s="2">
        <v>46285</v>
      </c>
      <c r="R764" t="s">
        <v>2337</v>
      </c>
      <c r="S764" t="str">
        <f>""</f>
        <v/>
      </c>
      <c r="T764" t="s">
        <v>41</v>
      </c>
      <c r="U764">
        <v>6358.61</v>
      </c>
      <c r="V764">
        <v>6358.61</v>
      </c>
      <c r="W764">
        <v>6358.61</v>
      </c>
      <c r="X764">
        <v>0</v>
      </c>
      <c r="Y764">
        <v>0</v>
      </c>
      <c r="Z764">
        <v>-510</v>
      </c>
      <c r="AA764">
        <v>1656</v>
      </c>
      <c r="AD764" t="s">
        <v>2322</v>
      </c>
      <c r="AE764" t="s">
        <v>2323</v>
      </c>
      <c r="AF764" t="s">
        <v>2322</v>
      </c>
      <c r="AG764">
        <v>71322150005471</v>
      </c>
      <c r="AH764" t="s">
        <v>44</v>
      </c>
    </row>
    <row r="765" spans="1:34" x14ac:dyDescent="0.3">
      <c r="A765">
        <v>101</v>
      </c>
      <c r="B765" t="s">
        <v>34</v>
      </c>
      <c r="C765">
        <v>2</v>
      </c>
      <c r="D765" s="1" t="s">
        <v>2338</v>
      </c>
      <c r="E765" s="1" t="s">
        <v>36</v>
      </c>
      <c r="G765">
        <v>467787</v>
      </c>
      <c r="H765" t="s">
        <v>2339</v>
      </c>
      <c r="I765" t="s">
        <v>2320</v>
      </c>
      <c r="J765">
        <v>15</v>
      </c>
      <c r="K765">
        <v>4279</v>
      </c>
      <c r="L765">
        <v>95000</v>
      </c>
      <c r="M765" t="s">
        <v>69</v>
      </c>
      <c r="N765">
        <v>75</v>
      </c>
      <c r="O765" s="2">
        <v>46226</v>
      </c>
      <c r="P765" s="2">
        <v>46275</v>
      </c>
      <c r="R765" t="s">
        <v>2340</v>
      </c>
      <c r="S765" t="str">
        <f>""</f>
        <v/>
      </c>
      <c r="T765" t="s">
        <v>41</v>
      </c>
      <c r="U765">
        <v>12508.34</v>
      </c>
      <c r="V765">
        <v>12508.34</v>
      </c>
      <c r="W765">
        <v>12508.34</v>
      </c>
      <c r="X765">
        <v>0</v>
      </c>
      <c r="Y765">
        <v>0</v>
      </c>
      <c r="Z765">
        <v>-500</v>
      </c>
      <c r="AA765">
        <v>1649</v>
      </c>
      <c r="AD765" t="s">
        <v>262</v>
      </c>
      <c r="AE765" t="s">
        <v>2323</v>
      </c>
      <c r="AF765" t="s">
        <v>262</v>
      </c>
      <c r="AG765">
        <v>71322150005390</v>
      </c>
      <c r="AH765" t="s">
        <v>44</v>
      </c>
    </row>
    <row r="766" spans="1:34" x14ac:dyDescent="0.3">
      <c r="A766">
        <v>101</v>
      </c>
      <c r="B766" t="s">
        <v>34</v>
      </c>
      <c r="C766">
        <v>2</v>
      </c>
      <c r="D766" s="1" t="s">
        <v>2341</v>
      </c>
      <c r="E766" s="1" t="s">
        <v>36</v>
      </c>
      <c r="G766">
        <v>467787</v>
      </c>
      <c r="H766" t="s">
        <v>2339</v>
      </c>
      <c r="I766" t="s">
        <v>2320</v>
      </c>
      <c r="J766">
        <v>15</v>
      </c>
      <c r="K766">
        <v>4279</v>
      </c>
      <c r="L766">
        <v>95000</v>
      </c>
      <c r="M766" t="s">
        <v>69</v>
      </c>
      <c r="N766">
        <v>75</v>
      </c>
      <c r="O766" s="2">
        <v>46226</v>
      </c>
      <c r="P766" s="2">
        <v>46275</v>
      </c>
      <c r="R766" t="s">
        <v>2342</v>
      </c>
      <c r="S766" t="str">
        <f>""</f>
        <v/>
      </c>
      <c r="T766" t="s">
        <v>41</v>
      </c>
      <c r="U766">
        <v>6017.79</v>
      </c>
      <c r="V766">
        <v>6017.79</v>
      </c>
      <c r="W766">
        <v>6017.79</v>
      </c>
      <c r="X766">
        <v>0</v>
      </c>
      <c r="Y766">
        <v>0</v>
      </c>
      <c r="Z766">
        <v>-500</v>
      </c>
      <c r="AA766">
        <v>1655</v>
      </c>
      <c r="AD766" t="s">
        <v>262</v>
      </c>
      <c r="AE766" t="s">
        <v>2323</v>
      </c>
      <c r="AF766" t="s">
        <v>262</v>
      </c>
      <c r="AG766">
        <v>71322150005390</v>
      </c>
      <c r="AH766" t="s">
        <v>44</v>
      </c>
    </row>
    <row r="767" spans="1:34" x14ac:dyDescent="0.3">
      <c r="A767">
        <v>101</v>
      </c>
      <c r="B767" t="s">
        <v>34</v>
      </c>
      <c r="C767">
        <v>2</v>
      </c>
      <c r="D767" s="1" t="s">
        <v>2343</v>
      </c>
      <c r="E767" s="1" t="s">
        <v>36</v>
      </c>
      <c r="G767">
        <v>467787</v>
      </c>
      <c r="H767" t="s">
        <v>2339</v>
      </c>
      <c r="I767" t="s">
        <v>2320</v>
      </c>
      <c r="J767">
        <v>15</v>
      </c>
      <c r="K767">
        <v>4279</v>
      </c>
      <c r="L767">
        <v>95000</v>
      </c>
      <c r="M767" t="s">
        <v>69</v>
      </c>
      <c r="N767">
        <v>75</v>
      </c>
      <c r="O767" s="2">
        <v>46226</v>
      </c>
      <c r="P767" s="2">
        <v>46275</v>
      </c>
      <c r="R767" t="s">
        <v>2344</v>
      </c>
      <c r="S767" t="str">
        <f>""</f>
        <v/>
      </c>
      <c r="T767" t="s">
        <v>41</v>
      </c>
      <c r="U767">
        <v>2169.5500000000002</v>
      </c>
      <c r="V767">
        <v>2169.5500000000002</v>
      </c>
      <c r="W767">
        <v>2169.5500000000002</v>
      </c>
      <c r="X767">
        <v>0</v>
      </c>
      <c r="Y767">
        <v>0</v>
      </c>
      <c r="Z767">
        <v>-500</v>
      </c>
      <c r="AA767">
        <v>1653</v>
      </c>
      <c r="AD767" t="s">
        <v>262</v>
      </c>
      <c r="AE767" t="s">
        <v>2323</v>
      </c>
      <c r="AF767" t="s">
        <v>262</v>
      </c>
      <c r="AG767">
        <v>71322150005390</v>
      </c>
      <c r="AH767" t="s">
        <v>44</v>
      </c>
    </row>
    <row r="768" spans="1:34" x14ac:dyDescent="0.3">
      <c r="A768">
        <v>101</v>
      </c>
      <c r="B768" t="s">
        <v>34</v>
      </c>
      <c r="C768">
        <v>2</v>
      </c>
      <c r="D768" s="1" t="s">
        <v>2345</v>
      </c>
      <c r="E768" s="1" t="s">
        <v>36</v>
      </c>
      <c r="G768">
        <v>467787</v>
      </c>
      <c r="H768" t="s">
        <v>2339</v>
      </c>
      <c r="I768" t="s">
        <v>2320</v>
      </c>
      <c r="J768">
        <v>15</v>
      </c>
      <c r="K768">
        <v>4279</v>
      </c>
      <c r="L768">
        <v>95000</v>
      </c>
      <c r="M768" t="s">
        <v>69</v>
      </c>
      <c r="N768">
        <v>75</v>
      </c>
      <c r="O768" s="2">
        <v>46226</v>
      </c>
      <c r="P768" s="2">
        <v>46275</v>
      </c>
      <c r="R768" t="s">
        <v>2346</v>
      </c>
      <c r="S768" t="str">
        <f>""</f>
        <v/>
      </c>
      <c r="T768" t="s">
        <v>41</v>
      </c>
      <c r="U768">
        <v>6038.3</v>
      </c>
      <c r="V768">
        <v>6038.3</v>
      </c>
      <c r="W768">
        <v>6038.3</v>
      </c>
      <c r="X768">
        <v>0</v>
      </c>
      <c r="Y768">
        <v>0</v>
      </c>
      <c r="Z768">
        <v>-500</v>
      </c>
      <c r="AA768">
        <v>1652</v>
      </c>
      <c r="AD768" t="s">
        <v>262</v>
      </c>
      <c r="AE768" t="s">
        <v>2323</v>
      </c>
      <c r="AF768" t="s">
        <v>262</v>
      </c>
      <c r="AG768">
        <v>71322150005390</v>
      </c>
      <c r="AH768" t="s">
        <v>44</v>
      </c>
    </row>
    <row r="769" spans="1:34" x14ac:dyDescent="0.3">
      <c r="A769">
        <v>101</v>
      </c>
      <c r="B769" t="s">
        <v>34</v>
      </c>
      <c r="C769">
        <v>2</v>
      </c>
      <c r="D769" s="1" t="s">
        <v>2347</v>
      </c>
      <c r="E769" s="1" t="s">
        <v>36</v>
      </c>
      <c r="G769">
        <v>467787</v>
      </c>
      <c r="H769" t="s">
        <v>2339</v>
      </c>
      <c r="I769" t="s">
        <v>2320</v>
      </c>
      <c r="J769">
        <v>15</v>
      </c>
      <c r="K769">
        <v>4279</v>
      </c>
      <c r="L769">
        <v>95000</v>
      </c>
      <c r="M769" t="s">
        <v>69</v>
      </c>
      <c r="N769">
        <v>75</v>
      </c>
      <c r="O769" s="2">
        <v>46251</v>
      </c>
      <c r="P769" s="2">
        <v>46296</v>
      </c>
      <c r="R769" t="s">
        <v>2348</v>
      </c>
      <c r="S769" t="str">
        <f>""</f>
        <v/>
      </c>
      <c r="T769" t="s">
        <v>41</v>
      </c>
      <c r="U769">
        <v>8145.31</v>
      </c>
      <c r="V769">
        <v>8145.31</v>
      </c>
      <c r="W769">
        <v>8145.31</v>
      </c>
      <c r="X769">
        <v>0</v>
      </c>
      <c r="Y769">
        <v>0</v>
      </c>
      <c r="Z769">
        <v>-521</v>
      </c>
      <c r="AA769">
        <v>4657</v>
      </c>
      <c r="AD769" t="s">
        <v>262</v>
      </c>
      <c r="AE769" t="s">
        <v>2323</v>
      </c>
      <c r="AF769" t="s">
        <v>262</v>
      </c>
      <c r="AG769">
        <v>71322150005390</v>
      </c>
      <c r="AH769" t="s">
        <v>44</v>
      </c>
    </row>
    <row r="770" spans="1:34" x14ac:dyDescent="0.3">
      <c r="A770">
        <v>101</v>
      </c>
      <c r="B770" t="s">
        <v>34</v>
      </c>
      <c r="C770">
        <v>2</v>
      </c>
      <c r="D770" s="1" t="s">
        <v>2349</v>
      </c>
      <c r="E770" s="1" t="s">
        <v>36</v>
      </c>
      <c r="G770">
        <v>467787</v>
      </c>
      <c r="H770" t="s">
        <v>2339</v>
      </c>
      <c r="I770" t="s">
        <v>2320</v>
      </c>
      <c r="J770">
        <v>15</v>
      </c>
      <c r="K770">
        <v>4279</v>
      </c>
      <c r="L770">
        <v>95000</v>
      </c>
      <c r="M770" t="s">
        <v>69</v>
      </c>
      <c r="N770">
        <v>75</v>
      </c>
      <c r="O770" s="2">
        <v>46251</v>
      </c>
      <c r="P770" s="2">
        <v>46296</v>
      </c>
      <c r="R770" t="s">
        <v>2350</v>
      </c>
      <c r="S770" t="str">
        <f>""</f>
        <v/>
      </c>
      <c r="T770" t="s">
        <v>41</v>
      </c>
      <c r="U770">
        <v>27297.06</v>
      </c>
      <c r="V770">
        <v>27297.06</v>
      </c>
      <c r="W770">
        <v>27297.06</v>
      </c>
      <c r="X770">
        <v>0</v>
      </c>
      <c r="Y770">
        <v>0</v>
      </c>
      <c r="Z770">
        <v>-521</v>
      </c>
      <c r="AA770">
        <v>4658</v>
      </c>
      <c r="AD770" t="s">
        <v>262</v>
      </c>
      <c r="AE770" t="s">
        <v>2323</v>
      </c>
      <c r="AF770" t="s">
        <v>262</v>
      </c>
      <c r="AG770">
        <v>71322150005390</v>
      </c>
      <c r="AH770" t="s">
        <v>44</v>
      </c>
    </row>
    <row r="771" spans="1:34" x14ac:dyDescent="0.3">
      <c r="A771">
        <v>101</v>
      </c>
      <c r="B771" t="s">
        <v>34</v>
      </c>
      <c r="C771">
        <v>2</v>
      </c>
      <c r="D771" s="1" t="s">
        <v>2351</v>
      </c>
      <c r="E771" s="1" t="s">
        <v>36</v>
      </c>
      <c r="G771">
        <v>468153</v>
      </c>
      <c r="H771" t="s">
        <v>2352</v>
      </c>
      <c r="I771" t="s">
        <v>2353</v>
      </c>
      <c r="J771">
        <v>15</v>
      </c>
      <c r="K771">
        <v>12176</v>
      </c>
      <c r="L771">
        <v>50341</v>
      </c>
      <c r="M771" t="s">
        <v>146</v>
      </c>
      <c r="N771">
        <v>75</v>
      </c>
      <c r="O771" s="2">
        <v>46224</v>
      </c>
      <c r="P771" s="2">
        <v>46269</v>
      </c>
      <c r="R771" t="s">
        <v>2354</v>
      </c>
      <c r="S771" t="str">
        <f>"00013175"</f>
        <v>00013175</v>
      </c>
      <c r="T771" t="s">
        <v>41</v>
      </c>
      <c r="U771">
        <v>3903.42</v>
      </c>
      <c r="V771">
        <v>3903.42</v>
      </c>
      <c r="W771">
        <v>3903.42</v>
      </c>
      <c r="X771">
        <v>0</v>
      </c>
      <c r="Y771">
        <v>0</v>
      </c>
      <c r="Z771">
        <v>-494</v>
      </c>
      <c r="AA771">
        <v>1373</v>
      </c>
      <c r="AD771" t="s">
        <v>2355</v>
      </c>
      <c r="AE771" t="s">
        <v>2356</v>
      </c>
      <c r="AF771" t="s">
        <v>2355</v>
      </c>
      <c r="AG771" s="1" t="s">
        <v>2357</v>
      </c>
      <c r="AH771" t="s">
        <v>44</v>
      </c>
    </row>
    <row r="772" spans="1:34" x14ac:dyDescent="0.3">
      <c r="A772">
        <v>101</v>
      </c>
      <c r="B772" t="s">
        <v>34</v>
      </c>
      <c r="C772">
        <v>2</v>
      </c>
      <c r="D772" s="1" t="s">
        <v>2358</v>
      </c>
      <c r="E772" s="1" t="s">
        <v>36</v>
      </c>
      <c r="G772">
        <v>469504</v>
      </c>
      <c r="H772" t="s">
        <v>2359</v>
      </c>
      <c r="I772" t="s">
        <v>2360</v>
      </c>
      <c r="J772">
        <v>28</v>
      </c>
      <c r="K772">
        <v>446496</v>
      </c>
      <c r="L772">
        <v>50033</v>
      </c>
      <c r="M772" t="s">
        <v>39</v>
      </c>
      <c r="N772">
        <v>75</v>
      </c>
      <c r="O772" s="2">
        <v>46235</v>
      </c>
      <c r="P772" s="2">
        <v>46280</v>
      </c>
      <c r="R772" t="s">
        <v>2361</v>
      </c>
      <c r="S772" t="str">
        <f>"0000050412167"</f>
        <v>0000050412167</v>
      </c>
      <c r="T772" t="s">
        <v>41</v>
      </c>
      <c r="U772">
        <v>54862.43</v>
      </c>
      <c r="V772">
        <v>52162.43</v>
      </c>
      <c r="W772">
        <v>52162.43</v>
      </c>
      <c r="X772">
        <v>0</v>
      </c>
      <c r="Y772">
        <v>0</v>
      </c>
      <c r="Z772">
        <v>-505</v>
      </c>
      <c r="AA772">
        <v>1977</v>
      </c>
      <c r="AD772" t="s">
        <v>2362</v>
      </c>
      <c r="AE772" t="s">
        <v>2363</v>
      </c>
      <c r="AF772" t="s">
        <v>2362</v>
      </c>
      <c r="AG772">
        <v>71689228000855</v>
      </c>
      <c r="AH772" t="s">
        <v>44</v>
      </c>
    </row>
    <row r="773" spans="1:34" x14ac:dyDescent="0.3">
      <c r="A773">
        <v>101</v>
      </c>
      <c r="B773" t="s">
        <v>34</v>
      </c>
      <c r="C773">
        <v>2</v>
      </c>
      <c r="D773" s="1" t="s">
        <v>2364</v>
      </c>
      <c r="E773" s="1" t="s">
        <v>122</v>
      </c>
      <c r="G773">
        <v>999000531</v>
      </c>
      <c r="H773" t="s">
        <v>2365</v>
      </c>
      <c r="I773" t="s">
        <v>2366</v>
      </c>
      <c r="J773">
        <v>15</v>
      </c>
      <c r="K773">
        <v>4279</v>
      </c>
      <c r="L773">
        <v>95000</v>
      </c>
      <c r="M773" t="s">
        <v>69</v>
      </c>
      <c r="N773">
        <v>75</v>
      </c>
      <c r="O773" s="2">
        <v>46218</v>
      </c>
      <c r="P773" s="2">
        <v>46285</v>
      </c>
      <c r="R773" t="s">
        <v>2367</v>
      </c>
      <c r="S773" t="str">
        <f>""</f>
        <v/>
      </c>
      <c r="T773" t="s">
        <v>41</v>
      </c>
      <c r="U773">
        <v>18127.87</v>
      </c>
      <c r="V773">
        <v>18127.87</v>
      </c>
      <c r="W773">
        <v>18127.87</v>
      </c>
      <c r="X773">
        <v>0</v>
      </c>
      <c r="Y773">
        <v>0</v>
      </c>
      <c r="Z773">
        <v>-510</v>
      </c>
      <c r="AA773">
        <v>1198</v>
      </c>
      <c r="AD773" t="s">
        <v>2278</v>
      </c>
      <c r="AE773" t="s">
        <v>2368</v>
      </c>
      <c r="AF773" t="s">
        <v>2278</v>
      </c>
      <c r="AG773">
        <v>71322150002456</v>
      </c>
      <c r="AH773" t="s">
        <v>44</v>
      </c>
    </row>
    <row r="774" spans="1:34" x14ac:dyDescent="0.3">
      <c r="A774">
        <v>101</v>
      </c>
      <c r="B774" t="s">
        <v>34</v>
      </c>
      <c r="C774">
        <v>2</v>
      </c>
      <c r="D774" s="1" t="s">
        <v>2369</v>
      </c>
      <c r="E774" s="1" t="s">
        <v>36</v>
      </c>
      <c r="G774">
        <v>999000531</v>
      </c>
      <c r="H774" t="s">
        <v>2365</v>
      </c>
      <c r="I774" t="s">
        <v>2366</v>
      </c>
      <c r="J774">
        <v>15</v>
      </c>
      <c r="K774">
        <v>4279</v>
      </c>
      <c r="L774">
        <v>95000</v>
      </c>
      <c r="M774" t="s">
        <v>69</v>
      </c>
      <c r="N774">
        <v>75</v>
      </c>
      <c r="O774" s="2">
        <v>46251</v>
      </c>
      <c r="P774" s="2">
        <v>46296</v>
      </c>
      <c r="R774" t="s">
        <v>2370</v>
      </c>
      <c r="S774" t="str">
        <f>""</f>
        <v/>
      </c>
      <c r="T774" t="s">
        <v>41</v>
      </c>
      <c r="U774">
        <v>10448.41</v>
      </c>
      <c r="V774">
        <v>10448.41</v>
      </c>
      <c r="W774">
        <v>10448.41</v>
      </c>
      <c r="X774">
        <v>0</v>
      </c>
      <c r="Y774">
        <v>0</v>
      </c>
      <c r="Z774">
        <v>-521</v>
      </c>
      <c r="AA774">
        <v>4635</v>
      </c>
      <c r="AD774" t="s">
        <v>2278</v>
      </c>
      <c r="AE774" t="s">
        <v>2368</v>
      </c>
      <c r="AF774" t="s">
        <v>2278</v>
      </c>
      <c r="AG774">
        <v>71322150002456</v>
      </c>
      <c r="AH774" t="s">
        <v>44</v>
      </c>
    </row>
    <row r="775" spans="1:34" x14ac:dyDescent="0.3">
      <c r="A775">
        <v>101</v>
      </c>
      <c r="B775" t="s">
        <v>34</v>
      </c>
      <c r="C775">
        <v>2</v>
      </c>
      <c r="D775" s="1" t="s">
        <v>2364</v>
      </c>
      <c r="E775" s="1" t="s">
        <v>36</v>
      </c>
      <c r="G775">
        <v>999000531</v>
      </c>
      <c r="H775" t="s">
        <v>2365</v>
      </c>
      <c r="I775" t="s">
        <v>2366</v>
      </c>
      <c r="J775">
        <v>15</v>
      </c>
      <c r="K775">
        <v>4279</v>
      </c>
      <c r="L775">
        <v>95000</v>
      </c>
      <c r="M775" t="s">
        <v>69</v>
      </c>
      <c r="N775">
        <v>75</v>
      </c>
      <c r="O775" s="2">
        <v>46218</v>
      </c>
      <c r="P775" s="2">
        <v>46275</v>
      </c>
      <c r="R775" t="s">
        <v>2367</v>
      </c>
      <c r="S775" t="str">
        <f>""</f>
        <v/>
      </c>
      <c r="T775" t="s">
        <v>41</v>
      </c>
      <c r="U775">
        <v>19836.36</v>
      </c>
      <c r="V775">
        <v>19836.36</v>
      </c>
      <c r="W775">
        <v>19836.36</v>
      </c>
      <c r="X775">
        <v>0</v>
      </c>
      <c r="Y775">
        <v>0</v>
      </c>
      <c r="Z775">
        <v>-500</v>
      </c>
      <c r="AA775">
        <v>1198</v>
      </c>
      <c r="AD775" t="s">
        <v>2278</v>
      </c>
      <c r="AE775" t="s">
        <v>2368</v>
      </c>
      <c r="AF775" t="s">
        <v>2278</v>
      </c>
      <c r="AG775">
        <v>71322150002456</v>
      </c>
      <c r="AH775" t="s">
        <v>44</v>
      </c>
    </row>
    <row r="776" spans="1:34" x14ac:dyDescent="0.3">
      <c r="A776">
        <v>101</v>
      </c>
      <c r="B776" t="s">
        <v>34</v>
      </c>
      <c r="C776">
        <v>2</v>
      </c>
      <c r="D776" s="1" t="s">
        <v>2371</v>
      </c>
      <c r="E776" s="1" t="s">
        <v>122</v>
      </c>
      <c r="G776">
        <v>999000531</v>
      </c>
      <c r="H776" t="s">
        <v>2365</v>
      </c>
      <c r="I776" t="s">
        <v>2366</v>
      </c>
      <c r="J776">
        <v>15</v>
      </c>
      <c r="K776">
        <v>4279</v>
      </c>
      <c r="L776">
        <v>95000</v>
      </c>
      <c r="M776" t="s">
        <v>69</v>
      </c>
      <c r="N776">
        <v>75</v>
      </c>
      <c r="O776" s="2">
        <v>46251</v>
      </c>
      <c r="P776" s="2">
        <v>46306</v>
      </c>
      <c r="R776" t="s">
        <v>2372</v>
      </c>
      <c r="S776" t="str">
        <f>""</f>
        <v/>
      </c>
      <c r="T776" t="s">
        <v>41</v>
      </c>
      <c r="U776">
        <v>7067.69</v>
      </c>
      <c r="V776">
        <v>7067.69</v>
      </c>
      <c r="W776">
        <v>7067.69</v>
      </c>
      <c r="X776">
        <v>0</v>
      </c>
      <c r="Y776">
        <v>0</v>
      </c>
      <c r="Z776">
        <v>-531</v>
      </c>
      <c r="AA776">
        <v>4634</v>
      </c>
      <c r="AD776" t="s">
        <v>2278</v>
      </c>
      <c r="AE776" t="s">
        <v>2368</v>
      </c>
      <c r="AF776" t="s">
        <v>2278</v>
      </c>
      <c r="AG776">
        <v>71322150002456</v>
      </c>
      <c r="AH776" t="s">
        <v>44</v>
      </c>
    </row>
    <row r="777" spans="1:34" x14ac:dyDescent="0.3">
      <c r="A777">
        <v>101</v>
      </c>
      <c r="B777" t="s">
        <v>34</v>
      </c>
      <c r="C777">
        <v>2</v>
      </c>
      <c r="D777" s="1" t="s">
        <v>2364</v>
      </c>
      <c r="E777" s="1" t="s">
        <v>116</v>
      </c>
      <c r="G777">
        <v>999000531</v>
      </c>
      <c r="H777" t="s">
        <v>2365</v>
      </c>
      <c r="I777" t="s">
        <v>2366</v>
      </c>
      <c r="J777">
        <v>15</v>
      </c>
      <c r="K777">
        <v>4279</v>
      </c>
      <c r="L777">
        <v>95000</v>
      </c>
      <c r="M777" t="s">
        <v>69</v>
      </c>
      <c r="N777">
        <v>75</v>
      </c>
      <c r="O777" s="2">
        <v>46218</v>
      </c>
      <c r="P777" s="2">
        <v>46295</v>
      </c>
      <c r="R777" t="s">
        <v>2367</v>
      </c>
      <c r="S777" t="str">
        <f>""</f>
        <v/>
      </c>
      <c r="T777" t="s">
        <v>41</v>
      </c>
      <c r="U777">
        <v>18133.3</v>
      </c>
      <c r="V777">
        <v>18133.3</v>
      </c>
      <c r="W777">
        <v>18133.3</v>
      </c>
      <c r="X777">
        <v>0</v>
      </c>
      <c r="Y777">
        <v>0</v>
      </c>
      <c r="Z777">
        <v>-520</v>
      </c>
      <c r="AA777">
        <v>1198</v>
      </c>
      <c r="AD777" t="s">
        <v>2278</v>
      </c>
      <c r="AE777" t="s">
        <v>2368</v>
      </c>
      <c r="AF777" t="s">
        <v>2278</v>
      </c>
      <c r="AG777">
        <v>71322150002456</v>
      </c>
      <c r="AH777" t="s">
        <v>44</v>
      </c>
    </row>
    <row r="778" spans="1:34" x14ac:dyDescent="0.3">
      <c r="A778">
        <v>101</v>
      </c>
      <c r="B778" t="s">
        <v>34</v>
      </c>
      <c r="C778">
        <v>2</v>
      </c>
      <c r="D778" s="1" t="s">
        <v>2373</v>
      </c>
      <c r="E778" s="1" t="s">
        <v>116</v>
      </c>
      <c r="G778">
        <v>999000531</v>
      </c>
      <c r="H778" t="s">
        <v>2365</v>
      </c>
      <c r="I778" t="s">
        <v>2366</v>
      </c>
      <c r="J778">
        <v>15</v>
      </c>
      <c r="K778">
        <v>4279</v>
      </c>
      <c r="L778">
        <v>95000</v>
      </c>
      <c r="M778" t="s">
        <v>69</v>
      </c>
      <c r="N778">
        <v>75</v>
      </c>
      <c r="O778" s="2">
        <v>46251</v>
      </c>
      <c r="P778" s="2">
        <v>46316</v>
      </c>
      <c r="R778" t="s">
        <v>2374</v>
      </c>
      <c r="S778" t="str">
        <f>""</f>
        <v/>
      </c>
      <c r="T778" t="s">
        <v>41</v>
      </c>
      <c r="U778">
        <v>4643.1899999999996</v>
      </c>
      <c r="V778">
        <v>4643.1899999999996</v>
      </c>
      <c r="W778">
        <v>4643.1899999999996</v>
      </c>
      <c r="X778">
        <v>0</v>
      </c>
      <c r="Y778">
        <v>0</v>
      </c>
      <c r="Z778">
        <v>-541</v>
      </c>
      <c r="AA778">
        <v>4661</v>
      </c>
      <c r="AD778" t="s">
        <v>2278</v>
      </c>
      <c r="AE778" t="s">
        <v>2368</v>
      </c>
      <c r="AF778" t="s">
        <v>2278</v>
      </c>
      <c r="AG778">
        <v>71322150002456</v>
      </c>
      <c r="AH778" t="s">
        <v>44</v>
      </c>
    </row>
    <row r="779" spans="1:34" x14ac:dyDescent="0.3">
      <c r="A779">
        <v>101</v>
      </c>
      <c r="B779" t="s">
        <v>34</v>
      </c>
      <c r="C779">
        <v>2</v>
      </c>
      <c r="D779" s="1" t="s">
        <v>2375</v>
      </c>
      <c r="E779" s="1" t="s">
        <v>116</v>
      </c>
      <c r="G779">
        <v>999000531</v>
      </c>
      <c r="H779" t="s">
        <v>2365</v>
      </c>
      <c r="I779" t="s">
        <v>2366</v>
      </c>
      <c r="J779">
        <v>15</v>
      </c>
      <c r="K779">
        <v>4279</v>
      </c>
      <c r="L779">
        <v>95000</v>
      </c>
      <c r="M779" t="s">
        <v>69</v>
      </c>
      <c r="N779">
        <v>75</v>
      </c>
      <c r="O779" s="2">
        <v>46226</v>
      </c>
      <c r="P779" s="2">
        <v>46295</v>
      </c>
      <c r="R779" t="s">
        <v>2376</v>
      </c>
      <c r="S779" t="str">
        <f>""</f>
        <v/>
      </c>
      <c r="T779" t="s">
        <v>41</v>
      </c>
      <c r="U779">
        <v>1212.3499999999999</v>
      </c>
      <c r="V779">
        <v>1212.3499999999999</v>
      </c>
      <c r="W779">
        <v>1212.3499999999999</v>
      </c>
      <c r="X779">
        <v>0</v>
      </c>
      <c r="Y779">
        <v>0</v>
      </c>
      <c r="Z779">
        <v>-520</v>
      </c>
      <c r="AA779">
        <v>1662</v>
      </c>
      <c r="AD779" t="s">
        <v>2278</v>
      </c>
      <c r="AE779" t="s">
        <v>2368</v>
      </c>
      <c r="AF779" t="s">
        <v>2278</v>
      </c>
      <c r="AG779">
        <v>71322150002456</v>
      </c>
      <c r="AH779" t="s">
        <v>44</v>
      </c>
    </row>
    <row r="780" spans="1:34" x14ac:dyDescent="0.3">
      <c r="A780">
        <v>101</v>
      </c>
      <c r="B780" t="s">
        <v>34</v>
      </c>
      <c r="C780">
        <v>2</v>
      </c>
      <c r="D780" s="1" t="s">
        <v>2373</v>
      </c>
      <c r="E780" s="1" t="s">
        <v>122</v>
      </c>
      <c r="G780">
        <v>999000531</v>
      </c>
      <c r="H780" t="s">
        <v>2365</v>
      </c>
      <c r="I780" t="s">
        <v>2366</v>
      </c>
      <c r="J780">
        <v>15</v>
      </c>
      <c r="K780">
        <v>4279</v>
      </c>
      <c r="L780">
        <v>95000</v>
      </c>
      <c r="M780" t="s">
        <v>69</v>
      </c>
      <c r="N780">
        <v>75</v>
      </c>
      <c r="O780" s="2">
        <v>46251</v>
      </c>
      <c r="P780" s="2">
        <v>46306</v>
      </c>
      <c r="R780" t="s">
        <v>2374</v>
      </c>
      <c r="S780" t="str">
        <f>""</f>
        <v/>
      </c>
      <c r="T780" t="s">
        <v>41</v>
      </c>
      <c r="U780">
        <v>4641.79</v>
      </c>
      <c r="V780">
        <v>4641.79</v>
      </c>
      <c r="W780">
        <v>4641.79</v>
      </c>
      <c r="X780">
        <v>0</v>
      </c>
      <c r="Y780">
        <v>0</v>
      </c>
      <c r="Z780">
        <v>-531</v>
      </c>
      <c r="AA780">
        <v>4661</v>
      </c>
      <c r="AD780" t="s">
        <v>2278</v>
      </c>
      <c r="AE780" t="s">
        <v>2368</v>
      </c>
      <c r="AF780" t="s">
        <v>2278</v>
      </c>
      <c r="AG780">
        <v>71322150002456</v>
      </c>
      <c r="AH780" t="s">
        <v>44</v>
      </c>
    </row>
    <row r="781" spans="1:34" x14ac:dyDescent="0.3">
      <c r="A781">
        <v>101</v>
      </c>
      <c r="B781" t="s">
        <v>34</v>
      </c>
      <c r="C781">
        <v>2</v>
      </c>
      <c r="D781" s="1" t="s">
        <v>2375</v>
      </c>
      <c r="E781" s="1" t="s">
        <v>122</v>
      </c>
      <c r="G781">
        <v>999000531</v>
      </c>
      <c r="H781" t="s">
        <v>2365</v>
      </c>
      <c r="I781" t="s">
        <v>2366</v>
      </c>
      <c r="J781">
        <v>15</v>
      </c>
      <c r="K781">
        <v>4279</v>
      </c>
      <c r="L781">
        <v>95000</v>
      </c>
      <c r="M781" t="s">
        <v>69</v>
      </c>
      <c r="N781">
        <v>75</v>
      </c>
      <c r="O781" s="2">
        <v>46226</v>
      </c>
      <c r="P781" s="2">
        <v>46285</v>
      </c>
      <c r="R781" t="s">
        <v>2376</v>
      </c>
      <c r="S781" t="str">
        <f>""</f>
        <v/>
      </c>
      <c r="T781" t="s">
        <v>41</v>
      </c>
      <c r="U781">
        <v>1211.99</v>
      </c>
      <c r="V781">
        <v>1211.99</v>
      </c>
      <c r="W781">
        <v>1211.99</v>
      </c>
      <c r="X781">
        <v>0</v>
      </c>
      <c r="Y781">
        <v>0</v>
      </c>
      <c r="Z781">
        <v>-510</v>
      </c>
      <c r="AA781">
        <v>1662</v>
      </c>
      <c r="AD781" t="s">
        <v>2278</v>
      </c>
      <c r="AE781" t="s">
        <v>2368</v>
      </c>
      <c r="AF781" t="s">
        <v>2278</v>
      </c>
      <c r="AG781">
        <v>71322150002456</v>
      </c>
      <c r="AH781" t="s">
        <v>44</v>
      </c>
    </row>
    <row r="782" spans="1:34" x14ac:dyDescent="0.3">
      <c r="A782">
        <v>101</v>
      </c>
      <c r="B782" t="s">
        <v>34</v>
      </c>
      <c r="C782">
        <v>2</v>
      </c>
      <c r="D782" s="1" t="s">
        <v>2369</v>
      </c>
      <c r="E782" s="1" t="s">
        <v>116</v>
      </c>
      <c r="G782">
        <v>999000531</v>
      </c>
      <c r="H782" t="s">
        <v>2365</v>
      </c>
      <c r="I782" t="s">
        <v>2366</v>
      </c>
      <c r="J782">
        <v>15</v>
      </c>
      <c r="K782">
        <v>4279</v>
      </c>
      <c r="L782">
        <v>95000</v>
      </c>
      <c r="M782" t="s">
        <v>69</v>
      </c>
      <c r="N782">
        <v>75</v>
      </c>
      <c r="O782" s="2">
        <v>46251</v>
      </c>
      <c r="P782" s="2">
        <v>46316</v>
      </c>
      <c r="R782" t="s">
        <v>2370</v>
      </c>
      <c r="S782" t="str">
        <f>""</f>
        <v/>
      </c>
      <c r="T782" t="s">
        <v>41</v>
      </c>
      <c r="U782">
        <v>10339.040000000001</v>
      </c>
      <c r="V782">
        <v>10339.040000000001</v>
      </c>
      <c r="W782">
        <v>10339.040000000001</v>
      </c>
      <c r="X782">
        <v>0</v>
      </c>
      <c r="Y782">
        <v>0</v>
      </c>
      <c r="Z782">
        <v>-541</v>
      </c>
      <c r="AA782">
        <v>4635</v>
      </c>
      <c r="AD782" t="s">
        <v>2278</v>
      </c>
      <c r="AE782" t="s">
        <v>2368</v>
      </c>
      <c r="AF782" t="s">
        <v>2278</v>
      </c>
      <c r="AG782">
        <v>71322150002456</v>
      </c>
      <c r="AH782" t="s">
        <v>44</v>
      </c>
    </row>
    <row r="783" spans="1:34" x14ac:dyDescent="0.3">
      <c r="A783">
        <v>101</v>
      </c>
      <c r="B783" t="s">
        <v>34</v>
      </c>
      <c r="C783">
        <v>2</v>
      </c>
      <c r="D783" s="1" t="s">
        <v>2375</v>
      </c>
      <c r="E783" s="1" t="s">
        <v>36</v>
      </c>
      <c r="G783">
        <v>999000531</v>
      </c>
      <c r="H783" t="s">
        <v>2365</v>
      </c>
      <c r="I783" t="s">
        <v>2366</v>
      </c>
      <c r="J783">
        <v>15</v>
      </c>
      <c r="K783">
        <v>4279</v>
      </c>
      <c r="L783">
        <v>95000</v>
      </c>
      <c r="M783" t="s">
        <v>69</v>
      </c>
      <c r="N783">
        <v>75</v>
      </c>
      <c r="O783" s="2">
        <v>46226</v>
      </c>
      <c r="P783" s="2">
        <v>46275</v>
      </c>
      <c r="R783" t="s">
        <v>2376</v>
      </c>
      <c r="S783" t="str">
        <f>""</f>
        <v/>
      </c>
      <c r="T783" t="s">
        <v>41</v>
      </c>
      <c r="U783">
        <v>1266.81</v>
      </c>
      <c r="V783">
        <v>1266.81</v>
      </c>
      <c r="W783">
        <v>1266.81</v>
      </c>
      <c r="X783">
        <v>0</v>
      </c>
      <c r="Y783">
        <v>0</v>
      </c>
      <c r="Z783">
        <v>-500</v>
      </c>
      <c r="AA783">
        <v>1662</v>
      </c>
      <c r="AD783" t="s">
        <v>2278</v>
      </c>
      <c r="AE783" t="s">
        <v>2368</v>
      </c>
      <c r="AF783" t="s">
        <v>2278</v>
      </c>
      <c r="AG783">
        <v>71322150002456</v>
      </c>
      <c r="AH783" t="s">
        <v>44</v>
      </c>
    </row>
    <row r="784" spans="1:34" x14ac:dyDescent="0.3">
      <c r="A784">
        <v>101</v>
      </c>
      <c r="B784" t="s">
        <v>34</v>
      </c>
      <c r="C784">
        <v>2</v>
      </c>
      <c r="D784" s="1" t="s">
        <v>2373</v>
      </c>
      <c r="E784" s="1" t="s">
        <v>36</v>
      </c>
      <c r="G784">
        <v>999000531</v>
      </c>
      <c r="H784" t="s">
        <v>2365</v>
      </c>
      <c r="I784" t="s">
        <v>2366</v>
      </c>
      <c r="J784">
        <v>15</v>
      </c>
      <c r="K784">
        <v>4279</v>
      </c>
      <c r="L784">
        <v>95000</v>
      </c>
      <c r="M784" t="s">
        <v>69</v>
      </c>
      <c r="N784">
        <v>75</v>
      </c>
      <c r="O784" s="2">
        <v>46251</v>
      </c>
      <c r="P784" s="2">
        <v>46296</v>
      </c>
      <c r="R784" t="s">
        <v>2374</v>
      </c>
      <c r="S784" t="str">
        <f>""</f>
        <v/>
      </c>
      <c r="T784" t="s">
        <v>41</v>
      </c>
      <c r="U784">
        <v>4911.83</v>
      </c>
      <c r="V784">
        <v>4911.83</v>
      </c>
      <c r="W784">
        <v>4911.83</v>
      </c>
      <c r="X784">
        <v>0</v>
      </c>
      <c r="Y784">
        <v>0</v>
      </c>
      <c r="Z784">
        <v>-521</v>
      </c>
      <c r="AA784">
        <v>4661</v>
      </c>
      <c r="AD784" t="s">
        <v>2278</v>
      </c>
      <c r="AE784" t="s">
        <v>2368</v>
      </c>
      <c r="AF784" t="s">
        <v>2278</v>
      </c>
      <c r="AG784">
        <v>71322150002456</v>
      </c>
      <c r="AH784" t="s">
        <v>44</v>
      </c>
    </row>
    <row r="785" spans="1:34" x14ac:dyDescent="0.3">
      <c r="A785">
        <v>101</v>
      </c>
      <c r="B785" t="s">
        <v>34</v>
      </c>
      <c r="C785">
        <v>2</v>
      </c>
      <c r="D785" s="1" t="s">
        <v>2369</v>
      </c>
      <c r="E785" s="1" t="s">
        <v>122</v>
      </c>
      <c r="G785">
        <v>999000531</v>
      </c>
      <c r="H785" t="s">
        <v>2365</v>
      </c>
      <c r="I785" t="s">
        <v>2366</v>
      </c>
      <c r="J785">
        <v>15</v>
      </c>
      <c r="K785">
        <v>4279</v>
      </c>
      <c r="L785">
        <v>95000</v>
      </c>
      <c r="M785" t="s">
        <v>69</v>
      </c>
      <c r="N785">
        <v>75</v>
      </c>
      <c r="O785" s="2">
        <v>46251</v>
      </c>
      <c r="P785" s="2">
        <v>46306</v>
      </c>
      <c r="R785" t="s">
        <v>2370</v>
      </c>
      <c r="S785" t="str">
        <f>""</f>
        <v/>
      </c>
      <c r="T785" t="s">
        <v>41</v>
      </c>
      <c r="U785">
        <v>10335.93</v>
      </c>
      <c r="V785">
        <v>10335.93</v>
      </c>
      <c r="W785">
        <v>10335.93</v>
      </c>
      <c r="X785">
        <v>0</v>
      </c>
      <c r="Y785">
        <v>0</v>
      </c>
      <c r="Z785">
        <v>-531</v>
      </c>
      <c r="AA785">
        <v>4635</v>
      </c>
      <c r="AD785" t="s">
        <v>2278</v>
      </c>
      <c r="AE785" t="s">
        <v>2368</v>
      </c>
      <c r="AF785" t="s">
        <v>2278</v>
      </c>
      <c r="AG785">
        <v>71322150002456</v>
      </c>
      <c r="AH785" t="s">
        <v>44</v>
      </c>
    </row>
    <row r="786" spans="1:34" x14ac:dyDescent="0.3">
      <c r="A786">
        <v>101</v>
      </c>
      <c r="B786" t="s">
        <v>34</v>
      </c>
      <c r="C786">
        <v>2</v>
      </c>
      <c r="D786" s="1" t="s">
        <v>2371</v>
      </c>
      <c r="E786" s="1" t="s">
        <v>36</v>
      </c>
      <c r="G786">
        <v>999000531</v>
      </c>
      <c r="H786" t="s">
        <v>2365</v>
      </c>
      <c r="I786" t="s">
        <v>2366</v>
      </c>
      <c r="J786">
        <v>15</v>
      </c>
      <c r="K786">
        <v>4279</v>
      </c>
      <c r="L786">
        <v>95000</v>
      </c>
      <c r="M786" t="s">
        <v>69</v>
      </c>
      <c r="N786">
        <v>75</v>
      </c>
      <c r="O786" s="2">
        <v>46251</v>
      </c>
      <c r="P786" s="2">
        <v>46296</v>
      </c>
      <c r="R786" t="s">
        <v>2372</v>
      </c>
      <c r="S786" t="str">
        <f>""</f>
        <v/>
      </c>
      <c r="T786" t="s">
        <v>41</v>
      </c>
      <c r="U786">
        <v>7067.69</v>
      </c>
      <c r="V786">
        <v>7067.69</v>
      </c>
      <c r="W786">
        <v>7067.69</v>
      </c>
      <c r="X786">
        <v>0</v>
      </c>
      <c r="Y786">
        <v>0</v>
      </c>
      <c r="Z786">
        <v>-521</v>
      </c>
      <c r="AA786">
        <v>4634</v>
      </c>
      <c r="AD786" t="s">
        <v>2278</v>
      </c>
      <c r="AE786" t="s">
        <v>2368</v>
      </c>
      <c r="AF786" t="s">
        <v>2278</v>
      </c>
      <c r="AG786">
        <v>71322150002456</v>
      </c>
      <c r="AH786" t="s">
        <v>44</v>
      </c>
    </row>
    <row r="787" spans="1:34" x14ac:dyDescent="0.3">
      <c r="A787">
        <v>101</v>
      </c>
      <c r="B787" t="s">
        <v>34</v>
      </c>
      <c r="C787">
        <v>2</v>
      </c>
      <c r="D787" s="1" t="s">
        <v>2371</v>
      </c>
      <c r="E787" s="1" t="s">
        <v>116</v>
      </c>
      <c r="G787">
        <v>999000531</v>
      </c>
      <c r="H787" t="s">
        <v>2365</v>
      </c>
      <c r="I787" t="s">
        <v>2366</v>
      </c>
      <c r="J787">
        <v>15</v>
      </c>
      <c r="K787">
        <v>4279</v>
      </c>
      <c r="L787">
        <v>95000</v>
      </c>
      <c r="M787" t="s">
        <v>69</v>
      </c>
      <c r="N787">
        <v>75</v>
      </c>
      <c r="O787" s="2">
        <v>46251</v>
      </c>
      <c r="P787" s="2">
        <v>46316</v>
      </c>
      <c r="R787" t="s">
        <v>2372</v>
      </c>
      <c r="S787" t="str">
        <f>""</f>
        <v/>
      </c>
      <c r="T787" t="s">
        <v>41</v>
      </c>
      <c r="U787">
        <v>7069.81</v>
      </c>
      <c r="V787">
        <v>7069.81</v>
      </c>
      <c r="W787">
        <v>7069.81</v>
      </c>
      <c r="X787">
        <v>0</v>
      </c>
      <c r="Y787">
        <v>0</v>
      </c>
      <c r="Z787">
        <v>-541</v>
      </c>
      <c r="AA787">
        <v>4634</v>
      </c>
      <c r="AD787" t="s">
        <v>2278</v>
      </c>
      <c r="AE787" t="s">
        <v>2368</v>
      </c>
      <c r="AF787" t="s">
        <v>2278</v>
      </c>
      <c r="AG787">
        <v>71322150002456</v>
      </c>
      <c r="AH787" t="s">
        <v>44</v>
      </c>
    </row>
    <row r="788" spans="1:34" x14ac:dyDescent="0.3">
      <c r="A788">
        <v>101</v>
      </c>
      <c r="B788" t="s">
        <v>34</v>
      </c>
      <c r="C788">
        <v>2</v>
      </c>
      <c r="D788" s="1" t="s">
        <v>2377</v>
      </c>
      <c r="E788" s="1" t="s">
        <v>122</v>
      </c>
      <c r="G788">
        <v>999000531</v>
      </c>
      <c r="H788" t="s">
        <v>2365</v>
      </c>
      <c r="I788" t="s">
        <v>2366</v>
      </c>
      <c r="J788">
        <v>15</v>
      </c>
      <c r="K788">
        <v>4279</v>
      </c>
      <c r="L788">
        <v>95000</v>
      </c>
      <c r="M788" t="s">
        <v>69</v>
      </c>
      <c r="N788">
        <v>75</v>
      </c>
      <c r="O788" s="2">
        <v>46199</v>
      </c>
      <c r="P788" s="2">
        <v>46254</v>
      </c>
      <c r="R788" t="s">
        <v>2378</v>
      </c>
      <c r="S788" t="str">
        <f>""</f>
        <v/>
      </c>
      <c r="T788" t="s">
        <v>41</v>
      </c>
      <c r="U788">
        <v>17126.82</v>
      </c>
      <c r="V788">
        <v>9071.51</v>
      </c>
      <c r="W788">
        <v>9071.51</v>
      </c>
      <c r="X788">
        <v>0</v>
      </c>
      <c r="Y788">
        <v>0</v>
      </c>
      <c r="Z788">
        <v>-479</v>
      </c>
      <c r="AA788">
        <v>692857</v>
      </c>
      <c r="AD788" t="s">
        <v>2278</v>
      </c>
      <c r="AE788" t="s">
        <v>2368</v>
      </c>
      <c r="AF788" t="s">
        <v>2278</v>
      </c>
      <c r="AG788">
        <v>71322150002456</v>
      </c>
      <c r="AH788" t="s">
        <v>44</v>
      </c>
    </row>
    <row r="789" spans="1:34" x14ac:dyDescent="0.3">
      <c r="A789">
        <v>101</v>
      </c>
      <c r="B789" t="s">
        <v>34</v>
      </c>
      <c r="C789">
        <v>2</v>
      </c>
      <c r="D789" s="1" t="s">
        <v>2379</v>
      </c>
      <c r="E789" s="1" t="s">
        <v>122</v>
      </c>
      <c r="G789">
        <v>999000531</v>
      </c>
      <c r="H789" t="s">
        <v>2365</v>
      </c>
      <c r="I789" t="s">
        <v>2366</v>
      </c>
      <c r="J789">
        <v>15</v>
      </c>
      <c r="K789">
        <v>4279</v>
      </c>
      <c r="L789">
        <v>95000</v>
      </c>
      <c r="M789" t="s">
        <v>69</v>
      </c>
      <c r="N789">
        <v>75</v>
      </c>
      <c r="O789" s="2">
        <v>46199</v>
      </c>
      <c r="P789" s="2">
        <v>46254</v>
      </c>
      <c r="R789" t="s">
        <v>2380</v>
      </c>
      <c r="S789" t="str">
        <f>""</f>
        <v/>
      </c>
      <c r="T789" t="s">
        <v>41</v>
      </c>
      <c r="U789">
        <v>6284.67</v>
      </c>
      <c r="V789">
        <v>3033.04</v>
      </c>
      <c r="W789">
        <v>3033.04</v>
      </c>
      <c r="X789">
        <v>0</v>
      </c>
      <c r="Y789">
        <v>0</v>
      </c>
      <c r="Z789">
        <v>-479</v>
      </c>
      <c r="AA789">
        <v>692869</v>
      </c>
      <c r="AD789" t="s">
        <v>2278</v>
      </c>
      <c r="AE789" t="s">
        <v>2368</v>
      </c>
      <c r="AF789" t="s">
        <v>2278</v>
      </c>
      <c r="AG789">
        <v>71322150002456</v>
      </c>
      <c r="AH789" t="s">
        <v>44</v>
      </c>
    </row>
    <row r="790" spans="1:34" x14ac:dyDescent="0.3">
      <c r="A790">
        <v>101</v>
      </c>
      <c r="B790" t="s">
        <v>34</v>
      </c>
      <c r="C790">
        <v>2</v>
      </c>
      <c r="D790" s="1" t="s">
        <v>2379</v>
      </c>
      <c r="E790" s="1" t="s">
        <v>116</v>
      </c>
      <c r="G790">
        <v>999000531</v>
      </c>
      <c r="H790" t="s">
        <v>2365</v>
      </c>
      <c r="I790" t="s">
        <v>2366</v>
      </c>
      <c r="J790">
        <v>15</v>
      </c>
      <c r="K790">
        <v>4279</v>
      </c>
      <c r="L790">
        <v>95000</v>
      </c>
      <c r="M790" t="s">
        <v>69</v>
      </c>
      <c r="N790">
        <v>75</v>
      </c>
      <c r="O790" s="2">
        <v>46199</v>
      </c>
      <c r="P790" s="2">
        <v>46264</v>
      </c>
      <c r="R790" t="s">
        <v>2380</v>
      </c>
      <c r="S790" t="str">
        <f>""</f>
        <v/>
      </c>
      <c r="T790" t="s">
        <v>41</v>
      </c>
      <c r="U790">
        <v>6286.56</v>
      </c>
      <c r="V790">
        <v>6286.56</v>
      </c>
      <c r="W790">
        <v>6286.56</v>
      </c>
      <c r="X790">
        <v>0</v>
      </c>
      <c r="Y790">
        <v>0</v>
      </c>
      <c r="Z790">
        <v>-489</v>
      </c>
      <c r="AA790">
        <v>692869</v>
      </c>
      <c r="AD790" t="s">
        <v>2278</v>
      </c>
      <c r="AE790" t="s">
        <v>2368</v>
      </c>
      <c r="AF790" t="s">
        <v>2278</v>
      </c>
      <c r="AG790">
        <v>71322150002456</v>
      </c>
      <c r="AH790" t="s">
        <v>44</v>
      </c>
    </row>
    <row r="791" spans="1:34" x14ac:dyDescent="0.3">
      <c r="A791">
        <v>101</v>
      </c>
      <c r="B791" t="s">
        <v>34</v>
      </c>
      <c r="C791">
        <v>2</v>
      </c>
      <c r="D791" s="1" t="s">
        <v>2377</v>
      </c>
      <c r="E791" s="1" t="s">
        <v>116</v>
      </c>
      <c r="G791">
        <v>999000531</v>
      </c>
      <c r="H791" t="s">
        <v>2365</v>
      </c>
      <c r="I791" t="s">
        <v>2366</v>
      </c>
      <c r="J791">
        <v>15</v>
      </c>
      <c r="K791">
        <v>4279</v>
      </c>
      <c r="L791">
        <v>95000</v>
      </c>
      <c r="M791" t="s">
        <v>69</v>
      </c>
      <c r="N791">
        <v>75</v>
      </c>
      <c r="O791" s="2">
        <v>46199</v>
      </c>
      <c r="P791" s="2">
        <v>46264</v>
      </c>
      <c r="R791" t="s">
        <v>2378</v>
      </c>
      <c r="S791" t="str">
        <f>""</f>
        <v/>
      </c>
      <c r="T791" t="s">
        <v>41</v>
      </c>
      <c r="U791">
        <v>17131.95</v>
      </c>
      <c r="V791">
        <v>17131.95</v>
      </c>
      <c r="W791">
        <v>17131.95</v>
      </c>
      <c r="X791">
        <v>0</v>
      </c>
      <c r="Y791">
        <v>0</v>
      </c>
      <c r="Z791">
        <v>-489</v>
      </c>
      <c r="AA791">
        <v>692857</v>
      </c>
      <c r="AD791" t="s">
        <v>2278</v>
      </c>
      <c r="AE791" t="s">
        <v>2368</v>
      </c>
      <c r="AF791" t="s">
        <v>2278</v>
      </c>
      <c r="AG791">
        <v>71322150002456</v>
      </c>
      <c r="AH791" t="s">
        <v>44</v>
      </c>
    </row>
    <row r="792" spans="1:34" x14ac:dyDescent="0.3">
      <c r="A792">
        <v>101</v>
      </c>
      <c r="B792" t="s">
        <v>34</v>
      </c>
      <c r="C792">
        <v>2</v>
      </c>
      <c r="D792" s="1" t="s">
        <v>2381</v>
      </c>
      <c r="E792" s="1" t="s">
        <v>36</v>
      </c>
      <c r="G792">
        <v>999000597</v>
      </c>
      <c r="H792" t="s">
        <v>2382</v>
      </c>
      <c r="I792" t="s">
        <v>2383</v>
      </c>
      <c r="J792">
        <v>15</v>
      </c>
      <c r="K792">
        <v>999000597</v>
      </c>
      <c r="L792">
        <v>50341</v>
      </c>
      <c r="M792" t="s">
        <v>146</v>
      </c>
      <c r="N792">
        <v>75</v>
      </c>
      <c r="O792" s="2">
        <v>46246</v>
      </c>
      <c r="P792" s="2">
        <v>46276</v>
      </c>
      <c r="R792" t="s">
        <v>2384</v>
      </c>
      <c r="S792" t="str">
        <f>"00013661"</f>
        <v>00013661</v>
      </c>
      <c r="T792" t="s">
        <v>41</v>
      </c>
      <c r="U792">
        <v>7789.98</v>
      </c>
      <c r="V792">
        <v>7789.98</v>
      </c>
      <c r="W792">
        <v>7789.98</v>
      </c>
      <c r="X792">
        <v>0</v>
      </c>
      <c r="Y792">
        <v>0</v>
      </c>
      <c r="Z792">
        <v>-501</v>
      </c>
      <c r="AA792">
        <v>4409</v>
      </c>
      <c r="AD792" t="s">
        <v>2278</v>
      </c>
      <c r="AE792" t="s">
        <v>2385</v>
      </c>
      <c r="AF792" t="s">
        <v>2278</v>
      </c>
      <c r="AG792">
        <v>49236748000187</v>
      </c>
      <c r="AH792" t="s">
        <v>44</v>
      </c>
    </row>
    <row r="793" spans="1:34" x14ac:dyDescent="0.3">
      <c r="A793">
        <v>101</v>
      </c>
      <c r="B793" t="s">
        <v>34</v>
      </c>
      <c r="C793">
        <v>2</v>
      </c>
      <c r="D793" s="1" t="s">
        <v>2386</v>
      </c>
      <c r="E793" s="1" t="s">
        <v>36</v>
      </c>
      <c r="G793">
        <v>999000597</v>
      </c>
      <c r="H793" t="s">
        <v>2382</v>
      </c>
      <c r="I793" t="s">
        <v>2383</v>
      </c>
      <c r="J793">
        <v>15</v>
      </c>
      <c r="K793">
        <v>999000597</v>
      </c>
      <c r="L793">
        <v>50341</v>
      </c>
      <c r="M793" t="s">
        <v>146</v>
      </c>
      <c r="N793">
        <v>75</v>
      </c>
      <c r="O793" s="2">
        <v>46226</v>
      </c>
      <c r="P793" s="2">
        <v>46256</v>
      </c>
      <c r="R793" t="s">
        <v>2387</v>
      </c>
      <c r="S793" t="str">
        <f>"00013303"</f>
        <v>00013303</v>
      </c>
      <c r="T793" t="s">
        <v>41</v>
      </c>
      <c r="U793">
        <v>5305.3</v>
      </c>
      <c r="V793">
        <v>5305.3</v>
      </c>
      <c r="W793">
        <v>5305.3</v>
      </c>
      <c r="X793">
        <v>0</v>
      </c>
      <c r="Y793">
        <v>0</v>
      </c>
      <c r="Z793">
        <v>-481</v>
      </c>
      <c r="AA793">
        <v>1538</v>
      </c>
      <c r="AD793" t="s">
        <v>2278</v>
      </c>
      <c r="AE793" t="s">
        <v>2385</v>
      </c>
      <c r="AF793" t="s">
        <v>2278</v>
      </c>
      <c r="AG793">
        <v>49236748000187</v>
      </c>
      <c r="AH793" t="s">
        <v>44</v>
      </c>
    </row>
    <row r="794" spans="1:34" x14ac:dyDescent="0.3">
      <c r="A794">
        <v>101</v>
      </c>
      <c r="B794" t="s">
        <v>34</v>
      </c>
      <c r="C794">
        <v>2</v>
      </c>
      <c r="D794" s="1" t="s">
        <v>2388</v>
      </c>
      <c r="E794" s="1" t="s">
        <v>36</v>
      </c>
      <c r="G794">
        <v>999000947</v>
      </c>
      <c r="H794" t="s">
        <v>2389</v>
      </c>
      <c r="I794" t="s">
        <v>2390</v>
      </c>
      <c r="J794">
        <v>15</v>
      </c>
      <c r="K794">
        <v>12176</v>
      </c>
      <c r="L794">
        <v>50341</v>
      </c>
      <c r="M794" t="s">
        <v>146</v>
      </c>
      <c r="N794">
        <v>75</v>
      </c>
      <c r="O794" s="2">
        <v>46224</v>
      </c>
      <c r="P794" s="2">
        <v>46269</v>
      </c>
      <c r="R794" t="s">
        <v>2391</v>
      </c>
      <c r="S794" t="str">
        <f>"00013176"</f>
        <v>00013176</v>
      </c>
      <c r="T794" t="s">
        <v>41</v>
      </c>
      <c r="U794">
        <v>5042.03</v>
      </c>
      <c r="V794">
        <v>5042.03</v>
      </c>
      <c r="W794">
        <v>5042.03</v>
      </c>
      <c r="X794">
        <v>0</v>
      </c>
      <c r="Y794">
        <v>0</v>
      </c>
      <c r="Z794">
        <v>-494</v>
      </c>
      <c r="AA794">
        <v>1375</v>
      </c>
      <c r="AD794" t="s">
        <v>2392</v>
      </c>
      <c r="AE794" t="s">
        <v>2393</v>
      </c>
      <c r="AF794" t="s">
        <v>2392</v>
      </c>
      <c r="AG794" s="1" t="s">
        <v>2394</v>
      </c>
      <c r="AH794" t="s">
        <v>44</v>
      </c>
    </row>
    <row r="795" spans="1:34" x14ac:dyDescent="0.3">
      <c r="A795">
        <v>101</v>
      </c>
      <c r="B795" t="s">
        <v>34</v>
      </c>
      <c r="C795">
        <v>2</v>
      </c>
      <c r="D795" s="1" t="s">
        <v>2395</v>
      </c>
      <c r="E795" s="1" t="s">
        <v>36</v>
      </c>
      <c r="G795">
        <v>999000947</v>
      </c>
      <c r="H795" t="s">
        <v>2389</v>
      </c>
      <c r="I795" t="s">
        <v>2390</v>
      </c>
      <c r="J795">
        <v>15</v>
      </c>
      <c r="K795">
        <v>12176</v>
      </c>
      <c r="L795">
        <v>50341</v>
      </c>
      <c r="M795" t="s">
        <v>146</v>
      </c>
      <c r="N795">
        <v>75</v>
      </c>
      <c r="O795" s="2">
        <v>46254</v>
      </c>
      <c r="P795" s="2">
        <v>46299</v>
      </c>
      <c r="R795" t="s">
        <v>2396</v>
      </c>
      <c r="S795" t="str">
        <f>"00013715"</f>
        <v>00013715</v>
      </c>
      <c r="T795" t="s">
        <v>41</v>
      </c>
      <c r="U795">
        <v>3242.82</v>
      </c>
      <c r="V795">
        <v>3242.82</v>
      </c>
      <c r="W795">
        <v>3242.82</v>
      </c>
      <c r="X795">
        <v>0</v>
      </c>
      <c r="Y795">
        <v>0</v>
      </c>
      <c r="Z795">
        <v>-524</v>
      </c>
      <c r="AA795">
        <v>4770</v>
      </c>
      <c r="AD795" t="s">
        <v>2392</v>
      </c>
      <c r="AE795" t="s">
        <v>2393</v>
      </c>
      <c r="AF795" t="s">
        <v>2392</v>
      </c>
      <c r="AG795" s="1" t="s">
        <v>2394</v>
      </c>
      <c r="AH795" t="s">
        <v>44</v>
      </c>
    </row>
    <row r="796" spans="1:34" x14ac:dyDescent="0.3">
      <c r="A796">
        <v>101</v>
      </c>
      <c r="B796" t="s">
        <v>34</v>
      </c>
      <c r="C796">
        <v>2</v>
      </c>
      <c r="D796" s="1" t="s">
        <v>2397</v>
      </c>
      <c r="E796" s="1" t="s">
        <v>36</v>
      </c>
      <c r="G796">
        <v>12341</v>
      </c>
      <c r="H796" t="s">
        <v>2398</v>
      </c>
      <c r="I796" t="s">
        <v>2399</v>
      </c>
      <c r="J796">
        <v>15</v>
      </c>
      <c r="K796">
        <v>12340</v>
      </c>
      <c r="L796">
        <v>50341</v>
      </c>
      <c r="M796" t="s">
        <v>146</v>
      </c>
      <c r="N796">
        <v>78</v>
      </c>
      <c r="O796" s="2">
        <v>46234</v>
      </c>
      <c r="P796" s="2">
        <v>46294</v>
      </c>
      <c r="R796" t="s">
        <v>2400</v>
      </c>
      <c r="S796" t="str">
        <f>"00013397"</f>
        <v>00013397</v>
      </c>
      <c r="T796" t="s">
        <v>41</v>
      </c>
      <c r="U796">
        <v>64840.58</v>
      </c>
      <c r="V796">
        <v>64840.58</v>
      </c>
      <c r="W796">
        <v>64840.58</v>
      </c>
      <c r="X796">
        <v>0</v>
      </c>
      <c r="Y796">
        <v>0</v>
      </c>
      <c r="Z796">
        <v>-519</v>
      </c>
      <c r="AA796">
        <v>4098</v>
      </c>
      <c r="AD796" t="s">
        <v>2401</v>
      </c>
      <c r="AE796" t="s">
        <v>2402</v>
      </c>
      <c r="AF796" t="s">
        <v>2401</v>
      </c>
      <c r="AG796">
        <v>22924203000530</v>
      </c>
      <c r="AH796" t="s">
        <v>2403</v>
      </c>
    </row>
    <row r="797" spans="1:34" x14ac:dyDescent="0.3">
      <c r="A797">
        <v>101</v>
      </c>
      <c r="B797" t="s">
        <v>34</v>
      </c>
      <c r="C797">
        <v>2</v>
      </c>
      <c r="D797" s="1" t="s">
        <v>2404</v>
      </c>
      <c r="E797" s="1" t="s">
        <v>36</v>
      </c>
      <c r="G797">
        <v>12567</v>
      </c>
      <c r="H797" t="s">
        <v>2405</v>
      </c>
      <c r="I797" t="s">
        <v>2399</v>
      </c>
      <c r="J797">
        <v>15</v>
      </c>
      <c r="K797">
        <v>12340</v>
      </c>
      <c r="L797">
        <v>50341</v>
      </c>
      <c r="M797" t="s">
        <v>146</v>
      </c>
      <c r="N797">
        <v>78</v>
      </c>
      <c r="O797" s="2">
        <v>46234</v>
      </c>
      <c r="P797" s="2">
        <v>46294</v>
      </c>
      <c r="R797" t="s">
        <v>2406</v>
      </c>
      <c r="S797" t="str">
        <f>"00013398"</f>
        <v>00013398</v>
      </c>
      <c r="T797" t="s">
        <v>41</v>
      </c>
      <c r="U797">
        <v>59475.67</v>
      </c>
      <c r="V797">
        <v>59475.67</v>
      </c>
      <c r="W797">
        <v>59475.67</v>
      </c>
      <c r="X797">
        <v>0</v>
      </c>
      <c r="Y797">
        <v>0</v>
      </c>
      <c r="Z797">
        <v>-519</v>
      </c>
      <c r="AA797">
        <v>4101</v>
      </c>
      <c r="AD797" t="s">
        <v>2407</v>
      </c>
      <c r="AE797" t="s">
        <v>2408</v>
      </c>
      <c r="AF797" t="s">
        <v>2407</v>
      </c>
      <c r="AG797">
        <v>22924203000611</v>
      </c>
      <c r="AH797" t="s">
        <v>2403</v>
      </c>
    </row>
    <row r="798" spans="1:34" x14ac:dyDescent="0.3">
      <c r="A798">
        <v>101</v>
      </c>
      <c r="B798" t="s">
        <v>34</v>
      </c>
      <c r="C798">
        <v>2</v>
      </c>
      <c r="D798" s="1" t="s">
        <v>2409</v>
      </c>
      <c r="E798" s="1" t="s">
        <v>36</v>
      </c>
      <c r="G798">
        <v>12567</v>
      </c>
      <c r="H798" t="s">
        <v>2405</v>
      </c>
      <c r="I798" t="s">
        <v>2399</v>
      </c>
      <c r="J798">
        <v>15</v>
      </c>
      <c r="K798">
        <v>12340</v>
      </c>
      <c r="L798">
        <v>50341</v>
      </c>
      <c r="M798" t="s">
        <v>146</v>
      </c>
      <c r="N798">
        <v>78</v>
      </c>
      <c r="O798" s="2">
        <v>46203</v>
      </c>
      <c r="P798" s="2">
        <v>46263</v>
      </c>
      <c r="R798" t="s">
        <v>2410</v>
      </c>
      <c r="S798" t="str">
        <f>"00012967"</f>
        <v>00012967</v>
      </c>
      <c r="T798" t="s">
        <v>41</v>
      </c>
      <c r="U798">
        <v>101779.94</v>
      </c>
      <c r="V798">
        <v>101779.94</v>
      </c>
      <c r="W798">
        <v>101779.94</v>
      </c>
      <c r="X798">
        <v>0</v>
      </c>
      <c r="Y798">
        <v>0</v>
      </c>
      <c r="Z798">
        <v>-488</v>
      </c>
      <c r="AA798">
        <v>692864</v>
      </c>
      <c r="AD798" t="s">
        <v>2407</v>
      </c>
      <c r="AE798" t="s">
        <v>2408</v>
      </c>
      <c r="AF798" t="s">
        <v>2407</v>
      </c>
      <c r="AG798">
        <v>22924203000611</v>
      </c>
      <c r="AH798" t="s">
        <v>2403</v>
      </c>
    </row>
    <row r="799" spans="1:34" x14ac:dyDescent="0.3">
      <c r="A799">
        <v>101</v>
      </c>
      <c r="B799" t="s">
        <v>34</v>
      </c>
      <c r="C799">
        <v>2</v>
      </c>
      <c r="D799" s="1" t="s">
        <v>2411</v>
      </c>
      <c r="E799" s="1" t="s">
        <v>36</v>
      </c>
      <c r="G799">
        <v>436677</v>
      </c>
      <c r="H799" t="s">
        <v>2412</v>
      </c>
      <c r="I799" t="s">
        <v>2413</v>
      </c>
      <c r="J799">
        <v>27</v>
      </c>
      <c r="K799">
        <v>2695</v>
      </c>
      <c r="L799">
        <v>95000</v>
      </c>
      <c r="M799" t="s">
        <v>69</v>
      </c>
      <c r="N799">
        <v>78</v>
      </c>
      <c r="O799" s="2">
        <v>46188</v>
      </c>
      <c r="P799" s="2">
        <v>46308</v>
      </c>
      <c r="R799" t="s">
        <v>2414</v>
      </c>
      <c r="S799" t="str">
        <f>""</f>
        <v/>
      </c>
      <c r="T799" t="s">
        <v>41</v>
      </c>
      <c r="U799">
        <v>3662.65</v>
      </c>
      <c r="V799">
        <v>3622.36</v>
      </c>
      <c r="W799">
        <v>3622.36</v>
      </c>
      <c r="X799">
        <v>0</v>
      </c>
      <c r="Y799">
        <v>0</v>
      </c>
      <c r="Z799">
        <v>-533</v>
      </c>
      <c r="AA799">
        <v>691277</v>
      </c>
      <c r="AD799" t="s">
        <v>2407</v>
      </c>
      <c r="AE799" t="s">
        <v>2415</v>
      </c>
      <c r="AF799" t="s">
        <v>2407</v>
      </c>
      <c r="AG799" s="1" t="s">
        <v>2416</v>
      </c>
      <c r="AH799" t="s">
        <v>2403</v>
      </c>
    </row>
    <row r="800" spans="1:34" x14ac:dyDescent="0.3">
      <c r="A800">
        <v>101</v>
      </c>
      <c r="B800" t="s">
        <v>34</v>
      </c>
      <c r="C800">
        <v>2</v>
      </c>
      <c r="D800" s="1" t="s">
        <v>2417</v>
      </c>
      <c r="E800" s="1" t="s">
        <v>36</v>
      </c>
      <c r="G800">
        <v>436677</v>
      </c>
      <c r="H800" t="s">
        <v>2412</v>
      </c>
      <c r="I800" t="s">
        <v>2413</v>
      </c>
      <c r="J800">
        <v>27</v>
      </c>
      <c r="K800">
        <v>2695</v>
      </c>
      <c r="L800">
        <v>95000</v>
      </c>
      <c r="M800" t="s">
        <v>69</v>
      </c>
      <c r="N800">
        <v>78</v>
      </c>
      <c r="O800" s="2">
        <v>46181</v>
      </c>
      <c r="P800" s="2">
        <v>46308</v>
      </c>
      <c r="R800" t="s">
        <v>2418</v>
      </c>
      <c r="S800" t="str">
        <f>""</f>
        <v/>
      </c>
      <c r="T800" t="s">
        <v>41</v>
      </c>
      <c r="U800">
        <v>1352.6</v>
      </c>
      <c r="V800">
        <v>1337.72</v>
      </c>
      <c r="W800">
        <v>1337.72</v>
      </c>
      <c r="X800">
        <v>0</v>
      </c>
      <c r="Y800">
        <v>0</v>
      </c>
      <c r="Z800">
        <v>-533</v>
      </c>
      <c r="AA800">
        <v>690571</v>
      </c>
      <c r="AD800" t="s">
        <v>2407</v>
      </c>
      <c r="AE800" t="s">
        <v>2415</v>
      </c>
      <c r="AF800" t="s">
        <v>2407</v>
      </c>
      <c r="AG800" s="1" t="s">
        <v>2416</v>
      </c>
      <c r="AH800" t="s">
        <v>2403</v>
      </c>
    </row>
    <row r="801" spans="1:34" x14ac:dyDescent="0.3">
      <c r="A801">
        <v>101</v>
      </c>
      <c r="B801" t="s">
        <v>34</v>
      </c>
      <c r="C801">
        <v>2</v>
      </c>
      <c r="D801" s="1" t="s">
        <v>2419</v>
      </c>
      <c r="E801" s="1" t="s">
        <v>36</v>
      </c>
      <c r="G801">
        <v>436677</v>
      </c>
      <c r="H801" t="s">
        <v>2412</v>
      </c>
      <c r="I801" t="s">
        <v>2413</v>
      </c>
      <c r="J801">
        <v>27</v>
      </c>
      <c r="K801">
        <v>2695</v>
      </c>
      <c r="L801">
        <v>95000</v>
      </c>
      <c r="M801" t="s">
        <v>69</v>
      </c>
      <c r="N801">
        <v>78</v>
      </c>
      <c r="O801" s="2">
        <v>46181</v>
      </c>
      <c r="P801" s="2">
        <v>46308</v>
      </c>
      <c r="R801" t="s">
        <v>2420</v>
      </c>
      <c r="S801" t="str">
        <f>""</f>
        <v/>
      </c>
      <c r="T801" t="s">
        <v>41</v>
      </c>
      <c r="U801">
        <v>1041.9000000000001</v>
      </c>
      <c r="V801">
        <v>1030.44</v>
      </c>
      <c r="W801">
        <v>1030.44</v>
      </c>
      <c r="X801">
        <v>0</v>
      </c>
      <c r="Y801">
        <v>0</v>
      </c>
      <c r="Z801">
        <v>-533</v>
      </c>
      <c r="AA801">
        <v>690613</v>
      </c>
      <c r="AD801" t="s">
        <v>2407</v>
      </c>
      <c r="AE801" t="s">
        <v>2415</v>
      </c>
      <c r="AF801" t="s">
        <v>2407</v>
      </c>
      <c r="AG801" s="1" t="s">
        <v>2416</v>
      </c>
      <c r="AH801" t="s">
        <v>2403</v>
      </c>
    </row>
    <row r="802" spans="1:34" x14ac:dyDescent="0.3">
      <c r="A802">
        <v>101</v>
      </c>
      <c r="B802" t="s">
        <v>34</v>
      </c>
      <c r="C802">
        <v>2</v>
      </c>
      <c r="D802" s="1" t="s">
        <v>2421</v>
      </c>
      <c r="E802" s="1" t="s">
        <v>36</v>
      </c>
      <c r="G802">
        <v>436677</v>
      </c>
      <c r="H802" t="s">
        <v>2412</v>
      </c>
      <c r="I802" t="s">
        <v>2413</v>
      </c>
      <c r="J802">
        <v>27</v>
      </c>
      <c r="K802">
        <v>2695</v>
      </c>
      <c r="L802">
        <v>95000</v>
      </c>
      <c r="M802" t="s">
        <v>69</v>
      </c>
      <c r="N802">
        <v>78</v>
      </c>
      <c r="O802" s="2">
        <v>46139</v>
      </c>
      <c r="P802" s="2">
        <v>46276</v>
      </c>
      <c r="R802" t="s">
        <v>2422</v>
      </c>
      <c r="S802" t="str">
        <f>""</f>
        <v/>
      </c>
      <c r="T802" t="s">
        <v>41</v>
      </c>
      <c r="U802">
        <v>5776.7</v>
      </c>
      <c r="V802">
        <v>5427.9</v>
      </c>
      <c r="W802">
        <v>5427.9</v>
      </c>
      <c r="X802">
        <v>0</v>
      </c>
      <c r="Y802">
        <v>0</v>
      </c>
      <c r="Z802">
        <v>-501</v>
      </c>
      <c r="AA802">
        <v>686208</v>
      </c>
      <c r="AD802" t="s">
        <v>2407</v>
      </c>
      <c r="AE802" t="s">
        <v>2415</v>
      </c>
      <c r="AF802" t="s">
        <v>2407</v>
      </c>
      <c r="AG802" s="1" t="s">
        <v>2416</v>
      </c>
      <c r="AH802" t="s">
        <v>2403</v>
      </c>
    </row>
    <row r="803" spans="1:34" x14ac:dyDescent="0.3">
      <c r="A803">
        <v>101</v>
      </c>
      <c r="B803" t="s">
        <v>34</v>
      </c>
      <c r="C803">
        <v>2</v>
      </c>
      <c r="D803" s="1" t="s">
        <v>2423</v>
      </c>
      <c r="E803" s="1" t="s">
        <v>36</v>
      </c>
      <c r="G803">
        <v>436695</v>
      </c>
      <c r="H803" t="s">
        <v>2424</v>
      </c>
      <c r="I803" t="s">
        <v>2413</v>
      </c>
      <c r="J803">
        <v>27</v>
      </c>
      <c r="K803">
        <v>2695</v>
      </c>
      <c r="L803">
        <v>95000</v>
      </c>
      <c r="M803" t="s">
        <v>69</v>
      </c>
      <c r="N803">
        <v>78</v>
      </c>
      <c r="O803" s="2">
        <v>46139</v>
      </c>
      <c r="P803" s="2">
        <v>46255</v>
      </c>
      <c r="R803" t="s">
        <v>2425</v>
      </c>
      <c r="S803" t="str">
        <f>""</f>
        <v/>
      </c>
      <c r="T803" t="s">
        <v>41</v>
      </c>
      <c r="U803">
        <v>12035.19</v>
      </c>
      <c r="V803">
        <v>11902.8</v>
      </c>
      <c r="W803">
        <v>11902.8</v>
      </c>
      <c r="X803">
        <v>0</v>
      </c>
      <c r="Y803">
        <v>0</v>
      </c>
      <c r="Z803">
        <v>-480</v>
      </c>
      <c r="AA803">
        <v>686217</v>
      </c>
      <c r="AD803" t="s">
        <v>2426</v>
      </c>
      <c r="AF803" t="s">
        <v>2426</v>
      </c>
      <c r="AG803" s="1" t="s">
        <v>2427</v>
      </c>
      <c r="AH803" t="s">
        <v>2403</v>
      </c>
    </row>
    <row r="804" spans="1:34" x14ac:dyDescent="0.3">
      <c r="A804">
        <v>101</v>
      </c>
      <c r="B804" t="s">
        <v>34</v>
      </c>
      <c r="C804">
        <v>2</v>
      </c>
      <c r="D804" s="1" t="s">
        <v>2428</v>
      </c>
      <c r="E804" s="1" t="s">
        <v>36</v>
      </c>
      <c r="G804">
        <v>436695</v>
      </c>
      <c r="H804" t="s">
        <v>2424</v>
      </c>
      <c r="I804" t="s">
        <v>2413</v>
      </c>
      <c r="J804">
        <v>27</v>
      </c>
      <c r="K804">
        <v>2695</v>
      </c>
      <c r="L804">
        <v>95000</v>
      </c>
      <c r="M804" t="s">
        <v>69</v>
      </c>
      <c r="N804">
        <v>78</v>
      </c>
      <c r="O804" s="2">
        <v>46188</v>
      </c>
      <c r="P804" s="2">
        <v>46308</v>
      </c>
      <c r="R804" t="s">
        <v>2429</v>
      </c>
      <c r="S804" t="str">
        <f>""</f>
        <v/>
      </c>
      <c r="T804" t="s">
        <v>41</v>
      </c>
      <c r="U804">
        <v>4470.37</v>
      </c>
      <c r="V804">
        <v>4421.2</v>
      </c>
      <c r="W804">
        <v>4421.2</v>
      </c>
      <c r="X804">
        <v>0</v>
      </c>
      <c r="Y804">
        <v>0</v>
      </c>
      <c r="Z804">
        <v>-533</v>
      </c>
      <c r="AA804">
        <v>691285</v>
      </c>
      <c r="AD804" t="s">
        <v>2426</v>
      </c>
      <c r="AF804" t="s">
        <v>2426</v>
      </c>
      <c r="AG804" s="1" t="s">
        <v>2427</v>
      </c>
      <c r="AH804" t="s">
        <v>2403</v>
      </c>
    </row>
    <row r="805" spans="1:34" x14ac:dyDescent="0.3">
      <c r="A805">
        <v>101</v>
      </c>
      <c r="B805" t="s">
        <v>34</v>
      </c>
      <c r="C805">
        <v>2</v>
      </c>
      <c r="D805" s="1" t="s">
        <v>2430</v>
      </c>
      <c r="E805" s="1" t="s">
        <v>36</v>
      </c>
      <c r="G805">
        <v>436695</v>
      </c>
      <c r="H805" t="s">
        <v>2424</v>
      </c>
      <c r="I805" t="s">
        <v>2413</v>
      </c>
      <c r="J805">
        <v>27</v>
      </c>
      <c r="K805">
        <v>2695</v>
      </c>
      <c r="L805">
        <v>95000</v>
      </c>
      <c r="M805" t="s">
        <v>69</v>
      </c>
      <c r="N805">
        <v>78</v>
      </c>
      <c r="O805" s="2">
        <v>46181</v>
      </c>
      <c r="P805" s="2">
        <v>46308</v>
      </c>
      <c r="R805" t="s">
        <v>2431</v>
      </c>
      <c r="S805" t="str">
        <f>""</f>
        <v/>
      </c>
      <c r="T805" t="s">
        <v>41</v>
      </c>
      <c r="U805">
        <v>1041.9000000000001</v>
      </c>
      <c r="V805">
        <v>1030.44</v>
      </c>
      <c r="W805">
        <v>1030.44</v>
      </c>
      <c r="X805">
        <v>0</v>
      </c>
      <c r="Y805">
        <v>0</v>
      </c>
      <c r="Z805">
        <v>-533</v>
      </c>
      <c r="AA805">
        <v>690621</v>
      </c>
      <c r="AD805" t="s">
        <v>2426</v>
      </c>
      <c r="AF805" t="s">
        <v>2426</v>
      </c>
      <c r="AG805" s="1" t="s">
        <v>2427</v>
      </c>
      <c r="AH805" t="s">
        <v>2403</v>
      </c>
    </row>
    <row r="806" spans="1:34" x14ac:dyDescent="0.3">
      <c r="A806">
        <v>101</v>
      </c>
      <c r="B806" t="s">
        <v>34</v>
      </c>
      <c r="C806">
        <v>2</v>
      </c>
      <c r="D806" s="1" t="s">
        <v>2432</v>
      </c>
      <c r="E806" s="1" t="s">
        <v>36</v>
      </c>
      <c r="G806">
        <v>436695</v>
      </c>
      <c r="H806" t="s">
        <v>2424</v>
      </c>
      <c r="I806" t="s">
        <v>2413</v>
      </c>
      <c r="J806">
        <v>27</v>
      </c>
      <c r="K806">
        <v>2695</v>
      </c>
      <c r="L806">
        <v>95000</v>
      </c>
      <c r="M806" t="s">
        <v>69</v>
      </c>
      <c r="N806">
        <v>78</v>
      </c>
      <c r="O806" s="2">
        <v>46181</v>
      </c>
      <c r="P806" s="2">
        <v>46308</v>
      </c>
      <c r="R806" t="s">
        <v>2433</v>
      </c>
      <c r="S806" t="str">
        <f>""</f>
        <v/>
      </c>
      <c r="T806" t="s">
        <v>41</v>
      </c>
      <c r="U806">
        <v>3981.8</v>
      </c>
      <c r="V806">
        <v>3938</v>
      </c>
      <c r="W806">
        <v>3938</v>
      </c>
      <c r="X806">
        <v>0</v>
      </c>
      <c r="Y806">
        <v>0</v>
      </c>
      <c r="Z806">
        <v>-533</v>
      </c>
      <c r="AA806">
        <v>690579</v>
      </c>
      <c r="AD806" t="s">
        <v>2426</v>
      </c>
      <c r="AF806" t="s">
        <v>2426</v>
      </c>
      <c r="AG806" s="1" t="s">
        <v>2427</v>
      </c>
      <c r="AH806" t="s">
        <v>2403</v>
      </c>
    </row>
    <row r="807" spans="1:34" x14ac:dyDescent="0.3">
      <c r="A807">
        <v>101</v>
      </c>
      <c r="B807" t="s">
        <v>34</v>
      </c>
      <c r="C807">
        <v>2</v>
      </c>
      <c r="D807" s="1" t="s">
        <v>2434</v>
      </c>
      <c r="E807" s="1" t="s">
        <v>36</v>
      </c>
      <c r="G807">
        <v>436697</v>
      </c>
      <c r="H807" t="s">
        <v>2435</v>
      </c>
      <c r="I807" t="s">
        <v>2413</v>
      </c>
      <c r="J807">
        <v>27</v>
      </c>
      <c r="K807">
        <v>2695</v>
      </c>
      <c r="L807">
        <v>95000</v>
      </c>
      <c r="M807" t="s">
        <v>69</v>
      </c>
      <c r="N807">
        <v>78</v>
      </c>
      <c r="O807" s="2">
        <v>46181</v>
      </c>
      <c r="P807" s="2">
        <v>46296</v>
      </c>
      <c r="R807" s="1" t="s">
        <v>2436</v>
      </c>
      <c r="S807" t="str">
        <f>""</f>
        <v/>
      </c>
      <c r="T807" t="s">
        <v>41</v>
      </c>
      <c r="U807">
        <v>1041.9000000000001</v>
      </c>
      <c r="V807">
        <v>1030.44</v>
      </c>
      <c r="W807">
        <v>1030.44</v>
      </c>
      <c r="X807">
        <v>0</v>
      </c>
      <c r="Y807">
        <v>0</v>
      </c>
      <c r="Z807">
        <v>-521</v>
      </c>
      <c r="AA807">
        <v>690623</v>
      </c>
      <c r="AD807" t="s">
        <v>2437</v>
      </c>
      <c r="AF807" t="s">
        <v>2437</v>
      </c>
      <c r="AG807" s="1" t="s">
        <v>2438</v>
      </c>
      <c r="AH807" t="s">
        <v>2403</v>
      </c>
    </row>
    <row r="808" spans="1:34" x14ac:dyDescent="0.3">
      <c r="A808">
        <v>101</v>
      </c>
      <c r="B808" t="s">
        <v>34</v>
      </c>
      <c r="C808">
        <v>2</v>
      </c>
      <c r="D808" s="1" t="s">
        <v>2439</v>
      </c>
      <c r="E808" s="1" t="s">
        <v>36</v>
      </c>
      <c r="G808">
        <v>436697</v>
      </c>
      <c r="H808" t="s">
        <v>2435</v>
      </c>
      <c r="I808" t="s">
        <v>2413</v>
      </c>
      <c r="J808">
        <v>27</v>
      </c>
      <c r="K808">
        <v>2695</v>
      </c>
      <c r="L808">
        <v>95000</v>
      </c>
      <c r="M808" t="s">
        <v>69</v>
      </c>
      <c r="N808">
        <v>78</v>
      </c>
      <c r="O808" s="2">
        <v>46188</v>
      </c>
      <c r="P808" s="2">
        <v>46296</v>
      </c>
      <c r="R808" t="s">
        <v>2440</v>
      </c>
      <c r="S808" t="str">
        <f>""</f>
        <v/>
      </c>
      <c r="T808" t="s">
        <v>41</v>
      </c>
      <c r="U808">
        <v>3871.06</v>
      </c>
      <c r="V808">
        <v>3828.48</v>
      </c>
      <c r="W808">
        <v>3828.48</v>
      </c>
      <c r="X808">
        <v>0</v>
      </c>
      <c r="Y808">
        <v>0</v>
      </c>
      <c r="Z808">
        <v>-521</v>
      </c>
      <c r="AA808">
        <v>691287</v>
      </c>
      <c r="AD808" t="s">
        <v>2437</v>
      </c>
      <c r="AF808" t="s">
        <v>2437</v>
      </c>
      <c r="AG808" s="1" t="s">
        <v>2438</v>
      </c>
      <c r="AH808" t="s">
        <v>2403</v>
      </c>
    </row>
    <row r="809" spans="1:34" x14ac:dyDescent="0.3">
      <c r="A809">
        <v>101</v>
      </c>
      <c r="B809" t="s">
        <v>34</v>
      </c>
      <c r="C809">
        <v>2</v>
      </c>
      <c r="D809" s="1" t="s">
        <v>2441</v>
      </c>
      <c r="E809" s="1" t="s">
        <v>36</v>
      </c>
      <c r="G809">
        <v>436697</v>
      </c>
      <c r="H809" t="s">
        <v>2435</v>
      </c>
      <c r="I809" t="s">
        <v>2413</v>
      </c>
      <c r="J809">
        <v>27</v>
      </c>
      <c r="K809">
        <v>2695</v>
      </c>
      <c r="L809">
        <v>95000</v>
      </c>
      <c r="M809" t="s">
        <v>69</v>
      </c>
      <c r="N809">
        <v>78</v>
      </c>
      <c r="O809" s="2">
        <v>46181</v>
      </c>
      <c r="P809" s="2">
        <v>46296</v>
      </c>
      <c r="R809" s="1" t="s">
        <v>2442</v>
      </c>
      <c r="S809" t="str">
        <f>""</f>
        <v/>
      </c>
      <c r="T809" t="s">
        <v>41</v>
      </c>
      <c r="U809">
        <v>2667.2</v>
      </c>
      <c r="V809">
        <v>2637.86</v>
      </c>
      <c r="W809">
        <v>2637.86</v>
      </c>
      <c r="X809">
        <v>0</v>
      </c>
      <c r="Y809">
        <v>0</v>
      </c>
      <c r="Z809">
        <v>-521</v>
      </c>
      <c r="AA809">
        <v>690581</v>
      </c>
      <c r="AD809" t="s">
        <v>2437</v>
      </c>
      <c r="AF809" t="s">
        <v>2437</v>
      </c>
      <c r="AG809" s="1" t="s">
        <v>2438</v>
      </c>
      <c r="AH809" t="s">
        <v>2403</v>
      </c>
    </row>
    <row r="810" spans="1:34" x14ac:dyDescent="0.3">
      <c r="A810">
        <v>101</v>
      </c>
      <c r="B810" t="s">
        <v>34</v>
      </c>
      <c r="C810">
        <v>2</v>
      </c>
      <c r="D810" s="1" t="s">
        <v>2443</v>
      </c>
      <c r="E810" s="1" t="s">
        <v>36</v>
      </c>
      <c r="G810">
        <v>436697</v>
      </c>
      <c r="H810" t="s">
        <v>2435</v>
      </c>
      <c r="I810" t="s">
        <v>2413</v>
      </c>
      <c r="J810">
        <v>27</v>
      </c>
      <c r="K810">
        <v>2695</v>
      </c>
      <c r="L810">
        <v>95000</v>
      </c>
      <c r="M810" t="s">
        <v>69</v>
      </c>
      <c r="N810">
        <v>78</v>
      </c>
      <c r="O810" s="2">
        <v>46139</v>
      </c>
      <c r="P810" s="2">
        <v>46255</v>
      </c>
      <c r="R810" t="s">
        <v>2444</v>
      </c>
      <c r="S810" t="str">
        <f>""</f>
        <v/>
      </c>
      <c r="T810" t="s">
        <v>41</v>
      </c>
      <c r="U810">
        <v>7493.4</v>
      </c>
      <c r="V810">
        <v>7410.97</v>
      </c>
      <c r="W810">
        <v>7410.97</v>
      </c>
      <c r="X810">
        <v>0</v>
      </c>
      <c r="Y810">
        <v>0</v>
      </c>
      <c r="Z810">
        <v>-480</v>
      </c>
      <c r="AA810">
        <v>686219</v>
      </c>
      <c r="AD810" t="s">
        <v>2437</v>
      </c>
      <c r="AF810" t="s">
        <v>2437</v>
      </c>
      <c r="AG810" s="1" t="s">
        <v>2438</v>
      </c>
      <c r="AH810" t="s">
        <v>2403</v>
      </c>
    </row>
    <row r="811" spans="1:34" x14ac:dyDescent="0.3">
      <c r="A811">
        <v>101</v>
      </c>
      <c r="B811" t="s">
        <v>34</v>
      </c>
      <c r="C811">
        <v>2</v>
      </c>
      <c r="D811" s="1" t="s">
        <v>2445</v>
      </c>
      <c r="E811" s="1" t="s">
        <v>36</v>
      </c>
      <c r="G811">
        <v>436698</v>
      </c>
      <c r="H811" t="s">
        <v>2446</v>
      </c>
      <c r="I811" t="s">
        <v>2413</v>
      </c>
      <c r="J811">
        <v>27</v>
      </c>
      <c r="K811">
        <v>2695</v>
      </c>
      <c r="L811">
        <v>95000</v>
      </c>
      <c r="M811" t="s">
        <v>69</v>
      </c>
      <c r="N811">
        <v>78</v>
      </c>
      <c r="O811" s="2">
        <v>46139</v>
      </c>
      <c r="P811" s="2">
        <v>46255</v>
      </c>
      <c r="R811" t="s">
        <v>2447</v>
      </c>
      <c r="S811" t="str">
        <f>""</f>
        <v/>
      </c>
      <c r="T811" t="s">
        <v>41</v>
      </c>
      <c r="U811">
        <v>6174.83</v>
      </c>
      <c r="V811">
        <v>5708.89</v>
      </c>
      <c r="W811">
        <v>5708.89</v>
      </c>
      <c r="X811">
        <v>0</v>
      </c>
      <c r="Y811">
        <v>0</v>
      </c>
      <c r="Z811">
        <v>-480</v>
      </c>
      <c r="AA811">
        <v>686221</v>
      </c>
      <c r="AD811" t="s">
        <v>2448</v>
      </c>
      <c r="AF811" t="s">
        <v>2448</v>
      </c>
      <c r="AG811" s="1" t="s">
        <v>2449</v>
      </c>
      <c r="AH811" t="s">
        <v>2403</v>
      </c>
    </row>
    <row r="812" spans="1:34" x14ac:dyDescent="0.3">
      <c r="A812">
        <v>101</v>
      </c>
      <c r="B812" t="s">
        <v>34</v>
      </c>
      <c r="C812">
        <v>2</v>
      </c>
      <c r="D812" s="1" t="s">
        <v>2450</v>
      </c>
      <c r="E812" s="1" t="s">
        <v>36</v>
      </c>
      <c r="G812">
        <v>436698</v>
      </c>
      <c r="H812" t="s">
        <v>2446</v>
      </c>
      <c r="I812" t="s">
        <v>2413</v>
      </c>
      <c r="J812">
        <v>27</v>
      </c>
      <c r="K812">
        <v>2695</v>
      </c>
      <c r="L812">
        <v>95000</v>
      </c>
      <c r="M812" t="s">
        <v>69</v>
      </c>
      <c r="N812">
        <v>78</v>
      </c>
      <c r="O812" s="2">
        <v>46188</v>
      </c>
      <c r="P812" s="2">
        <v>46296</v>
      </c>
      <c r="R812" t="s">
        <v>2451</v>
      </c>
      <c r="S812" t="str">
        <f>""</f>
        <v/>
      </c>
      <c r="T812" t="s">
        <v>41</v>
      </c>
      <c r="U812">
        <v>4218.6499999999996</v>
      </c>
      <c r="V812">
        <v>4172.24</v>
      </c>
      <c r="W812">
        <v>4172.24</v>
      </c>
      <c r="X812">
        <v>0</v>
      </c>
      <c r="Y812">
        <v>0</v>
      </c>
      <c r="Z812">
        <v>-521</v>
      </c>
      <c r="AA812">
        <v>691289</v>
      </c>
      <c r="AD812" t="s">
        <v>2448</v>
      </c>
      <c r="AF812" t="s">
        <v>2448</v>
      </c>
      <c r="AG812" s="1" t="s">
        <v>2449</v>
      </c>
      <c r="AH812" t="s">
        <v>2403</v>
      </c>
    </row>
    <row r="813" spans="1:34" x14ac:dyDescent="0.3">
      <c r="A813">
        <v>101</v>
      </c>
      <c r="B813" t="s">
        <v>34</v>
      </c>
      <c r="C813">
        <v>2</v>
      </c>
      <c r="D813" s="1" t="s">
        <v>2452</v>
      </c>
      <c r="E813" s="1" t="s">
        <v>36</v>
      </c>
      <c r="G813">
        <v>436698</v>
      </c>
      <c r="H813" t="s">
        <v>2446</v>
      </c>
      <c r="I813" t="s">
        <v>2413</v>
      </c>
      <c r="J813">
        <v>27</v>
      </c>
      <c r="K813">
        <v>2695</v>
      </c>
      <c r="L813">
        <v>95000</v>
      </c>
      <c r="M813" t="s">
        <v>69</v>
      </c>
      <c r="N813">
        <v>78</v>
      </c>
      <c r="O813" s="2">
        <v>46181</v>
      </c>
      <c r="P813" s="2">
        <v>46296</v>
      </c>
      <c r="R813" s="1" t="s">
        <v>2453</v>
      </c>
      <c r="S813" t="str">
        <f>""</f>
        <v/>
      </c>
      <c r="T813" t="s">
        <v>41</v>
      </c>
      <c r="U813">
        <v>1314.6</v>
      </c>
      <c r="V813">
        <v>1300.1400000000001</v>
      </c>
      <c r="W813">
        <v>1300.1400000000001</v>
      </c>
      <c r="X813">
        <v>0</v>
      </c>
      <c r="Y813">
        <v>0</v>
      </c>
      <c r="Z813">
        <v>-521</v>
      </c>
      <c r="AA813">
        <v>690583</v>
      </c>
      <c r="AD813" t="s">
        <v>2448</v>
      </c>
      <c r="AF813" t="s">
        <v>2448</v>
      </c>
      <c r="AG813" s="1" t="s">
        <v>2449</v>
      </c>
      <c r="AH813" t="s">
        <v>2403</v>
      </c>
    </row>
    <row r="814" spans="1:34" x14ac:dyDescent="0.3">
      <c r="A814">
        <v>101</v>
      </c>
      <c r="B814" t="s">
        <v>34</v>
      </c>
      <c r="C814">
        <v>2</v>
      </c>
      <c r="D814" s="1" t="s">
        <v>2454</v>
      </c>
      <c r="E814" s="1" t="s">
        <v>36</v>
      </c>
      <c r="G814">
        <v>436698</v>
      </c>
      <c r="H814" t="s">
        <v>2446</v>
      </c>
      <c r="I814" t="s">
        <v>2413</v>
      </c>
      <c r="J814">
        <v>27</v>
      </c>
      <c r="K814">
        <v>2695</v>
      </c>
      <c r="L814">
        <v>95000</v>
      </c>
      <c r="M814" t="s">
        <v>69</v>
      </c>
      <c r="N814">
        <v>78</v>
      </c>
      <c r="O814" s="2">
        <v>46181</v>
      </c>
      <c r="P814" s="2">
        <v>46296</v>
      </c>
      <c r="R814" s="1" t="s">
        <v>2455</v>
      </c>
      <c r="S814" t="str">
        <f>""</f>
        <v/>
      </c>
      <c r="T814" t="s">
        <v>41</v>
      </c>
      <c r="U814">
        <v>1562.85</v>
      </c>
      <c r="V814">
        <v>1545.66</v>
      </c>
      <c r="W814">
        <v>1545.66</v>
      </c>
      <c r="X814">
        <v>0</v>
      </c>
      <c r="Y814">
        <v>0</v>
      </c>
      <c r="Z814">
        <v>-521</v>
      </c>
      <c r="AA814">
        <v>690625</v>
      </c>
      <c r="AD814" t="s">
        <v>2448</v>
      </c>
      <c r="AF814" t="s">
        <v>2448</v>
      </c>
      <c r="AG814" s="1" t="s">
        <v>2449</v>
      </c>
      <c r="AH814" t="s">
        <v>2403</v>
      </c>
    </row>
    <row r="815" spans="1:34" x14ac:dyDescent="0.3">
      <c r="A815">
        <v>101</v>
      </c>
      <c r="B815" t="s">
        <v>34</v>
      </c>
      <c r="C815">
        <v>2</v>
      </c>
      <c r="D815" s="1" t="s">
        <v>2456</v>
      </c>
      <c r="E815" s="1" t="s">
        <v>36</v>
      </c>
      <c r="G815">
        <v>436700</v>
      </c>
      <c r="H815" t="s">
        <v>2457</v>
      </c>
      <c r="I815" t="s">
        <v>2413</v>
      </c>
      <c r="J815">
        <v>27</v>
      </c>
      <c r="K815">
        <v>2695</v>
      </c>
      <c r="L815">
        <v>95000</v>
      </c>
      <c r="M815" t="s">
        <v>69</v>
      </c>
      <c r="N815">
        <v>78</v>
      </c>
      <c r="O815" s="2">
        <v>46188</v>
      </c>
      <c r="P815" s="2">
        <v>46296</v>
      </c>
      <c r="R815" t="s">
        <v>2458</v>
      </c>
      <c r="S815" t="str">
        <f>""</f>
        <v/>
      </c>
      <c r="T815" t="s">
        <v>41</v>
      </c>
      <c r="U815">
        <v>3409.03</v>
      </c>
      <c r="V815">
        <v>3371.53</v>
      </c>
      <c r="W815">
        <v>3371.53</v>
      </c>
      <c r="X815">
        <v>0</v>
      </c>
      <c r="Y815">
        <v>0</v>
      </c>
      <c r="Z815">
        <v>-521</v>
      </c>
      <c r="AA815">
        <v>691293</v>
      </c>
      <c r="AD815" t="s">
        <v>2459</v>
      </c>
      <c r="AF815" t="s">
        <v>2459</v>
      </c>
      <c r="AG815" s="1" t="s">
        <v>2460</v>
      </c>
      <c r="AH815" t="s">
        <v>2403</v>
      </c>
    </row>
    <row r="816" spans="1:34" x14ac:dyDescent="0.3">
      <c r="A816">
        <v>101</v>
      </c>
      <c r="B816" t="s">
        <v>34</v>
      </c>
      <c r="C816">
        <v>2</v>
      </c>
      <c r="D816" s="1" t="s">
        <v>2461</v>
      </c>
      <c r="E816" s="1" t="s">
        <v>36</v>
      </c>
      <c r="G816">
        <v>436700</v>
      </c>
      <c r="H816" t="s">
        <v>2457</v>
      </c>
      <c r="I816" t="s">
        <v>2413</v>
      </c>
      <c r="J816">
        <v>27</v>
      </c>
      <c r="K816">
        <v>2695</v>
      </c>
      <c r="L816">
        <v>95000</v>
      </c>
      <c r="M816" t="s">
        <v>69</v>
      </c>
      <c r="N816">
        <v>78</v>
      </c>
      <c r="O816" s="2">
        <v>46181</v>
      </c>
      <c r="P816" s="2">
        <v>46296</v>
      </c>
      <c r="R816" s="1" t="s">
        <v>2462</v>
      </c>
      <c r="S816" t="str">
        <f>""</f>
        <v/>
      </c>
      <c r="T816" t="s">
        <v>41</v>
      </c>
      <c r="U816">
        <v>1041.9000000000001</v>
      </c>
      <c r="V816">
        <v>1030.44</v>
      </c>
      <c r="W816">
        <v>1030.44</v>
      </c>
      <c r="X816">
        <v>0</v>
      </c>
      <c r="Y816">
        <v>0</v>
      </c>
      <c r="Z816">
        <v>-521</v>
      </c>
      <c r="AA816">
        <v>690627</v>
      </c>
      <c r="AD816" t="s">
        <v>2459</v>
      </c>
      <c r="AF816" t="s">
        <v>2459</v>
      </c>
      <c r="AG816" s="1" t="s">
        <v>2460</v>
      </c>
      <c r="AH816" t="s">
        <v>2403</v>
      </c>
    </row>
    <row r="817" spans="1:34" x14ac:dyDescent="0.3">
      <c r="A817">
        <v>101</v>
      </c>
      <c r="B817" t="s">
        <v>34</v>
      </c>
      <c r="C817">
        <v>2</v>
      </c>
      <c r="D817" s="1" t="s">
        <v>2463</v>
      </c>
      <c r="E817" s="1" t="s">
        <v>36</v>
      </c>
      <c r="G817">
        <v>436700</v>
      </c>
      <c r="H817" t="s">
        <v>2457</v>
      </c>
      <c r="I817" t="s">
        <v>2413</v>
      </c>
      <c r="J817">
        <v>27</v>
      </c>
      <c r="K817">
        <v>2695</v>
      </c>
      <c r="L817">
        <v>95000</v>
      </c>
      <c r="M817" t="s">
        <v>69</v>
      </c>
      <c r="N817">
        <v>78</v>
      </c>
      <c r="O817" s="2">
        <v>46181</v>
      </c>
      <c r="P817" s="2">
        <v>46296</v>
      </c>
      <c r="R817" s="1" t="s">
        <v>2464</v>
      </c>
      <c r="S817" t="str">
        <f>""</f>
        <v/>
      </c>
      <c r="T817" t="s">
        <v>41</v>
      </c>
      <c r="U817">
        <v>2667.2</v>
      </c>
      <c r="V817">
        <v>2637.86</v>
      </c>
      <c r="W817">
        <v>2637.86</v>
      </c>
      <c r="X817">
        <v>0</v>
      </c>
      <c r="Y817">
        <v>0</v>
      </c>
      <c r="Z817">
        <v>-521</v>
      </c>
      <c r="AA817">
        <v>690585</v>
      </c>
      <c r="AD817" t="s">
        <v>2459</v>
      </c>
      <c r="AF817" t="s">
        <v>2459</v>
      </c>
      <c r="AG817" s="1" t="s">
        <v>2460</v>
      </c>
      <c r="AH817" t="s">
        <v>2403</v>
      </c>
    </row>
    <row r="818" spans="1:34" x14ac:dyDescent="0.3">
      <c r="A818">
        <v>101</v>
      </c>
      <c r="B818" t="s">
        <v>34</v>
      </c>
      <c r="C818">
        <v>2</v>
      </c>
      <c r="D818" s="1" t="s">
        <v>2465</v>
      </c>
      <c r="E818" s="1" t="s">
        <v>36</v>
      </c>
      <c r="G818">
        <v>436700</v>
      </c>
      <c r="H818" t="s">
        <v>2457</v>
      </c>
      <c r="I818" t="s">
        <v>2413</v>
      </c>
      <c r="J818">
        <v>27</v>
      </c>
      <c r="K818">
        <v>2695</v>
      </c>
      <c r="L818">
        <v>95000</v>
      </c>
      <c r="M818" t="s">
        <v>69</v>
      </c>
      <c r="N818">
        <v>78</v>
      </c>
      <c r="O818" s="2">
        <v>46139</v>
      </c>
      <c r="P818" s="2">
        <v>46255</v>
      </c>
      <c r="R818" t="s">
        <v>2466</v>
      </c>
      <c r="S818" t="str">
        <f>""</f>
        <v/>
      </c>
      <c r="T818" t="s">
        <v>41</v>
      </c>
      <c r="U818">
        <v>8852.06</v>
      </c>
      <c r="V818">
        <v>8754.69</v>
      </c>
      <c r="W818">
        <v>8754.69</v>
      </c>
      <c r="X818">
        <v>0</v>
      </c>
      <c r="Y818">
        <v>0</v>
      </c>
      <c r="Z818">
        <v>-480</v>
      </c>
      <c r="AA818">
        <v>686225</v>
      </c>
      <c r="AD818" t="s">
        <v>2459</v>
      </c>
      <c r="AF818" t="s">
        <v>2459</v>
      </c>
      <c r="AG818" s="1" t="s">
        <v>2460</v>
      </c>
      <c r="AH818" t="s">
        <v>2403</v>
      </c>
    </row>
    <row r="819" spans="1:34" x14ac:dyDescent="0.3">
      <c r="A819">
        <v>101</v>
      </c>
      <c r="B819" t="s">
        <v>34</v>
      </c>
      <c r="C819">
        <v>2</v>
      </c>
      <c r="D819" s="1" t="s">
        <v>2467</v>
      </c>
      <c r="E819" s="1" t="s">
        <v>36</v>
      </c>
      <c r="G819">
        <v>436779</v>
      </c>
      <c r="H819" t="s">
        <v>2468</v>
      </c>
      <c r="I819" t="s">
        <v>2413</v>
      </c>
      <c r="J819">
        <v>27</v>
      </c>
      <c r="K819">
        <v>2695</v>
      </c>
      <c r="L819">
        <v>95000</v>
      </c>
      <c r="M819" t="s">
        <v>69</v>
      </c>
      <c r="N819">
        <v>78</v>
      </c>
      <c r="O819" s="2">
        <v>46139</v>
      </c>
      <c r="P819" s="2">
        <v>46255</v>
      </c>
      <c r="R819" t="s">
        <v>2469</v>
      </c>
      <c r="S819" t="str">
        <f>""</f>
        <v/>
      </c>
      <c r="T819" t="s">
        <v>41</v>
      </c>
      <c r="U819">
        <v>7492</v>
      </c>
      <c r="V819">
        <v>7409.59</v>
      </c>
      <c r="W819">
        <v>7409.59</v>
      </c>
      <c r="X819">
        <v>0</v>
      </c>
      <c r="Y819">
        <v>0</v>
      </c>
      <c r="Z819">
        <v>-480</v>
      </c>
      <c r="AA819">
        <v>686213</v>
      </c>
      <c r="AD819" t="s">
        <v>2470</v>
      </c>
      <c r="AF819" t="s">
        <v>2470</v>
      </c>
      <c r="AG819" s="1" t="s">
        <v>2471</v>
      </c>
      <c r="AH819" t="s">
        <v>2472</v>
      </c>
    </row>
    <row r="820" spans="1:34" x14ac:dyDescent="0.3">
      <c r="A820">
        <v>101</v>
      </c>
      <c r="B820" t="s">
        <v>34</v>
      </c>
      <c r="C820">
        <v>2</v>
      </c>
      <c r="D820" s="1" t="s">
        <v>2473</v>
      </c>
      <c r="E820" s="1" t="s">
        <v>36</v>
      </c>
      <c r="G820">
        <v>436779</v>
      </c>
      <c r="H820" t="s">
        <v>2468</v>
      </c>
      <c r="I820" t="s">
        <v>2413</v>
      </c>
      <c r="J820">
        <v>27</v>
      </c>
      <c r="K820">
        <v>2695</v>
      </c>
      <c r="L820">
        <v>95000</v>
      </c>
      <c r="M820" t="s">
        <v>69</v>
      </c>
      <c r="N820">
        <v>78</v>
      </c>
      <c r="O820" s="2">
        <v>46181</v>
      </c>
      <c r="P820" s="2">
        <v>46296</v>
      </c>
      <c r="R820" t="s">
        <v>2474</v>
      </c>
      <c r="S820" t="str">
        <f>""</f>
        <v/>
      </c>
      <c r="T820" t="s">
        <v>41</v>
      </c>
      <c r="U820">
        <v>1041.9000000000001</v>
      </c>
      <c r="V820">
        <v>1030.44</v>
      </c>
      <c r="W820">
        <v>1030.44</v>
      </c>
      <c r="X820">
        <v>0</v>
      </c>
      <c r="Y820">
        <v>0</v>
      </c>
      <c r="Z820">
        <v>-521</v>
      </c>
      <c r="AA820">
        <v>690617</v>
      </c>
      <c r="AD820" t="s">
        <v>2470</v>
      </c>
      <c r="AF820" t="s">
        <v>2470</v>
      </c>
      <c r="AG820" s="1" t="s">
        <v>2471</v>
      </c>
      <c r="AH820" t="s">
        <v>2472</v>
      </c>
    </row>
    <row r="821" spans="1:34" x14ac:dyDescent="0.3">
      <c r="A821">
        <v>101</v>
      </c>
      <c r="B821" t="s">
        <v>34</v>
      </c>
      <c r="C821">
        <v>2</v>
      </c>
      <c r="D821" s="1" t="s">
        <v>2475</v>
      </c>
      <c r="E821" s="1" t="s">
        <v>36</v>
      </c>
      <c r="G821">
        <v>436779</v>
      </c>
      <c r="H821" t="s">
        <v>2468</v>
      </c>
      <c r="I821" t="s">
        <v>2413</v>
      </c>
      <c r="J821">
        <v>27</v>
      </c>
      <c r="K821">
        <v>2695</v>
      </c>
      <c r="L821">
        <v>95000</v>
      </c>
      <c r="M821" t="s">
        <v>69</v>
      </c>
      <c r="N821">
        <v>78</v>
      </c>
      <c r="O821" s="2">
        <v>46181</v>
      </c>
      <c r="P821" s="2">
        <v>46296</v>
      </c>
      <c r="R821" t="s">
        <v>2476</v>
      </c>
      <c r="S821" t="str">
        <f>""</f>
        <v/>
      </c>
      <c r="T821" t="s">
        <v>41</v>
      </c>
      <c r="U821">
        <v>5296.4</v>
      </c>
      <c r="V821">
        <v>5238.1400000000003</v>
      </c>
      <c r="W821">
        <v>5238.1400000000003</v>
      </c>
      <c r="X821">
        <v>0</v>
      </c>
      <c r="Y821">
        <v>0</v>
      </c>
      <c r="Z821">
        <v>-521</v>
      </c>
      <c r="AA821">
        <v>690575</v>
      </c>
      <c r="AD821" t="s">
        <v>2470</v>
      </c>
      <c r="AF821" t="s">
        <v>2470</v>
      </c>
      <c r="AG821" s="1" t="s">
        <v>2471</v>
      </c>
      <c r="AH821" t="s">
        <v>2472</v>
      </c>
    </row>
    <row r="822" spans="1:34" x14ac:dyDescent="0.3">
      <c r="A822">
        <v>101</v>
      </c>
      <c r="B822" t="s">
        <v>34</v>
      </c>
      <c r="C822">
        <v>2</v>
      </c>
      <c r="D822" s="1" t="s">
        <v>2477</v>
      </c>
      <c r="E822" s="1" t="s">
        <v>36</v>
      </c>
      <c r="G822">
        <v>436779</v>
      </c>
      <c r="H822" t="s">
        <v>2468</v>
      </c>
      <c r="I822" t="s">
        <v>2413</v>
      </c>
      <c r="J822">
        <v>27</v>
      </c>
      <c r="K822">
        <v>2695</v>
      </c>
      <c r="L822">
        <v>95000</v>
      </c>
      <c r="M822" t="s">
        <v>69</v>
      </c>
      <c r="N822">
        <v>78</v>
      </c>
      <c r="O822" s="2">
        <v>46188</v>
      </c>
      <c r="P822" s="2">
        <v>46296</v>
      </c>
      <c r="R822" t="s">
        <v>2478</v>
      </c>
      <c r="S822" t="str">
        <f>""</f>
        <v/>
      </c>
      <c r="T822" t="s">
        <v>41</v>
      </c>
      <c r="U822">
        <v>5930.46</v>
      </c>
      <c r="V822">
        <v>5865.22</v>
      </c>
      <c r="W822">
        <v>5865.22</v>
      </c>
      <c r="X822">
        <v>0</v>
      </c>
      <c r="Y822">
        <v>0</v>
      </c>
      <c r="Z822">
        <v>-521</v>
      </c>
      <c r="AA822">
        <v>691281</v>
      </c>
      <c r="AD822" t="s">
        <v>2470</v>
      </c>
      <c r="AF822" t="s">
        <v>2470</v>
      </c>
      <c r="AG822" s="1" t="s">
        <v>2471</v>
      </c>
      <c r="AH822" t="s">
        <v>2472</v>
      </c>
    </row>
    <row r="823" spans="1:34" x14ac:dyDescent="0.3">
      <c r="A823">
        <v>101</v>
      </c>
      <c r="B823" t="s">
        <v>34</v>
      </c>
      <c r="C823">
        <v>2</v>
      </c>
      <c r="D823" s="1" t="s">
        <v>2479</v>
      </c>
      <c r="E823" s="1" t="s">
        <v>36</v>
      </c>
      <c r="G823">
        <v>436783</v>
      </c>
      <c r="H823" t="s">
        <v>2480</v>
      </c>
      <c r="I823" t="s">
        <v>2413</v>
      </c>
      <c r="J823">
        <v>27</v>
      </c>
      <c r="K823">
        <v>2695</v>
      </c>
      <c r="L823">
        <v>95000</v>
      </c>
      <c r="M823" t="s">
        <v>69</v>
      </c>
      <c r="N823">
        <v>78</v>
      </c>
      <c r="O823" s="2">
        <v>46188</v>
      </c>
      <c r="P823" s="2">
        <v>46308</v>
      </c>
      <c r="R823" t="s">
        <v>2481</v>
      </c>
      <c r="S823" t="str">
        <f>""</f>
        <v/>
      </c>
      <c r="T823" t="s">
        <v>41</v>
      </c>
      <c r="U823">
        <v>1586.6</v>
      </c>
      <c r="V823">
        <v>1569.15</v>
      </c>
      <c r="W823">
        <v>1569.15</v>
      </c>
      <c r="X823">
        <v>0</v>
      </c>
      <c r="Y823">
        <v>0</v>
      </c>
      <c r="Z823">
        <v>-533</v>
      </c>
      <c r="AA823">
        <v>691343</v>
      </c>
      <c r="AD823" t="s">
        <v>2482</v>
      </c>
      <c r="AF823" t="s">
        <v>2482</v>
      </c>
      <c r="AG823" s="1" t="s">
        <v>2483</v>
      </c>
      <c r="AH823" t="s">
        <v>2484</v>
      </c>
    </row>
    <row r="824" spans="1:34" x14ac:dyDescent="0.3">
      <c r="A824">
        <v>101</v>
      </c>
      <c r="B824" t="s">
        <v>34</v>
      </c>
      <c r="C824">
        <v>2</v>
      </c>
      <c r="D824" s="1" t="s">
        <v>2485</v>
      </c>
      <c r="E824" s="1" t="s">
        <v>36</v>
      </c>
      <c r="G824">
        <v>436783</v>
      </c>
      <c r="H824" t="s">
        <v>2480</v>
      </c>
      <c r="I824" t="s">
        <v>2413</v>
      </c>
      <c r="J824">
        <v>27</v>
      </c>
      <c r="K824">
        <v>2695</v>
      </c>
      <c r="L824">
        <v>95000</v>
      </c>
      <c r="M824" t="s">
        <v>69</v>
      </c>
      <c r="N824">
        <v>78</v>
      </c>
      <c r="O824" s="2">
        <v>46188</v>
      </c>
      <c r="P824" s="2">
        <v>46308</v>
      </c>
      <c r="R824" t="s">
        <v>2486</v>
      </c>
      <c r="S824" t="str">
        <f>""</f>
        <v/>
      </c>
      <c r="T824" t="s">
        <v>41</v>
      </c>
      <c r="U824">
        <v>520.95000000000005</v>
      </c>
      <c r="V824">
        <v>515.22</v>
      </c>
      <c r="W824">
        <v>515.22</v>
      </c>
      <c r="X824">
        <v>0</v>
      </c>
      <c r="Y824">
        <v>0</v>
      </c>
      <c r="Z824">
        <v>-533</v>
      </c>
      <c r="AA824">
        <v>691333</v>
      </c>
      <c r="AD824" t="s">
        <v>2482</v>
      </c>
      <c r="AF824" t="s">
        <v>2482</v>
      </c>
      <c r="AG824" s="1" t="s">
        <v>2483</v>
      </c>
      <c r="AH824" t="s">
        <v>2484</v>
      </c>
    </row>
    <row r="825" spans="1:34" x14ac:dyDescent="0.3">
      <c r="A825">
        <v>101</v>
      </c>
      <c r="B825" t="s">
        <v>34</v>
      </c>
      <c r="C825">
        <v>2</v>
      </c>
      <c r="D825" s="1" t="s">
        <v>2487</v>
      </c>
      <c r="E825" s="1" t="s">
        <v>36</v>
      </c>
      <c r="G825">
        <v>436783</v>
      </c>
      <c r="H825" t="s">
        <v>2480</v>
      </c>
      <c r="I825" t="s">
        <v>2413</v>
      </c>
      <c r="J825">
        <v>27</v>
      </c>
      <c r="K825">
        <v>2695</v>
      </c>
      <c r="L825">
        <v>95000</v>
      </c>
      <c r="M825" t="s">
        <v>69</v>
      </c>
      <c r="N825">
        <v>78</v>
      </c>
      <c r="O825" s="2">
        <v>46188</v>
      </c>
      <c r="P825" s="2">
        <v>46308</v>
      </c>
      <c r="R825" t="s">
        <v>2488</v>
      </c>
      <c r="S825" t="str">
        <f>""</f>
        <v/>
      </c>
      <c r="T825" t="s">
        <v>41</v>
      </c>
      <c r="U825">
        <v>2626.09</v>
      </c>
      <c r="V825">
        <v>2597.1999999999998</v>
      </c>
      <c r="W825">
        <v>2597.1999999999998</v>
      </c>
      <c r="X825">
        <v>0</v>
      </c>
      <c r="Y825">
        <v>0</v>
      </c>
      <c r="Z825">
        <v>-533</v>
      </c>
      <c r="AA825">
        <v>691291</v>
      </c>
      <c r="AD825" t="s">
        <v>2482</v>
      </c>
      <c r="AF825" t="s">
        <v>2482</v>
      </c>
      <c r="AG825" s="1" t="s">
        <v>2483</v>
      </c>
      <c r="AH825" t="s">
        <v>2484</v>
      </c>
    </row>
    <row r="826" spans="1:34" x14ac:dyDescent="0.3">
      <c r="A826">
        <v>101</v>
      </c>
      <c r="B826" t="s">
        <v>34</v>
      </c>
      <c r="C826">
        <v>2</v>
      </c>
      <c r="D826" s="1" t="s">
        <v>2489</v>
      </c>
      <c r="E826" s="1" t="s">
        <v>36</v>
      </c>
      <c r="G826">
        <v>436783</v>
      </c>
      <c r="H826" t="s">
        <v>2480</v>
      </c>
      <c r="I826" t="s">
        <v>2413</v>
      </c>
      <c r="J826">
        <v>27</v>
      </c>
      <c r="K826">
        <v>2695</v>
      </c>
      <c r="L826">
        <v>95000</v>
      </c>
      <c r="M826" t="s">
        <v>69</v>
      </c>
      <c r="N826">
        <v>78</v>
      </c>
      <c r="O826" s="2">
        <v>46139</v>
      </c>
      <c r="P826" s="2">
        <v>46255</v>
      </c>
      <c r="R826" t="s">
        <v>2490</v>
      </c>
      <c r="S826" t="str">
        <f>""</f>
        <v/>
      </c>
      <c r="T826" t="s">
        <v>41</v>
      </c>
      <c r="U826">
        <v>7266.65</v>
      </c>
      <c r="V826">
        <v>7186.72</v>
      </c>
      <c r="W826">
        <v>7186.72</v>
      </c>
      <c r="X826">
        <v>0</v>
      </c>
      <c r="Y826">
        <v>0</v>
      </c>
      <c r="Z826">
        <v>-480</v>
      </c>
      <c r="AA826">
        <v>686223</v>
      </c>
      <c r="AD826" t="s">
        <v>2482</v>
      </c>
      <c r="AF826" t="s">
        <v>2482</v>
      </c>
      <c r="AG826" s="1" t="s">
        <v>2483</v>
      </c>
      <c r="AH826" t="s">
        <v>2484</v>
      </c>
    </row>
    <row r="827" spans="1:34" x14ac:dyDescent="0.3">
      <c r="A827">
        <v>101</v>
      </c>
      <c r="B827" t="s">
        <v>34</v>
      </c>
      <c r="C827">
        <v>2</v>
      </c>
      <c r="D827" s="1" t="s">
        <v>2491</v>
      </c>
      <c r="E827" s="1" t="s">
        <v>36</v>
      </c>
      <c r="G827">
        <v>436784</v>
      </c>
      <c r="H827" t="s">
        <v>2492</v>
      </c>
      <c r="I827" t="s">
        <v>2413</v>
      </c>
      <c r="J827">
        <v>27</v>
      </c>
      <c r="K827">
        <v>2695</v>
      </c>
      <c r="L827">
        <v>95000</v>
      </c>
      <c r="M827" t="s">
        <v>69</v>
      </c>
      <c r="N827">
        <v>78</v>
      </c>
      <c r="O827" s="2">
        <v>46139</v>
      </c>
      <c r="P827" s="2">
        <v>46255</v>
      </c>
      <c r="R827" t="s">
        <v>2493</v>
      </c>
      <c r="S827" t="str">
        <f>""</f>
        <v/>
      </c>
      <c r="T827" t="s">
        <v>41</v>
      </c>
      <c r="U827">
        <v>8888.93</v>
      </c>
      <c r="V827">
        <v>8791.15</v>
      </c>
      <c r="W827">
        <v>8791.15</v>
      </c>
      <c r="X827">
        <v>0</v>
      </c>
      <c r="Y827">
        <v>0</v>
      </c>
      <c r="Z827">
        <v>-480</v>
      </c>
      <c r="AA827">
        <v>686215</v>
      </c>
      <c r="AD827" t="s">
        <v>2494</v>
      </c>
      <c r="AF827" t="s">
        <v>2494</v>
      </c>
      <c r="AG827" s="1" t="s">
        <v>2495</v>
      </c>
      <c r="AH827" t="s">
        <v>2472</v>
      </c>
    </row>
    <row r="828" spans="1:34" x14ac:dyDescent="0.3">
      <c r="A828">
        <v>101</v>
      </c>
      <c r="B828" t="s">
        <v>34</v>
      </c>
      <c r="C828">
        <v>2</v>
      </c>
      <c r="D828" s="1" t="s">
        <v>2496</v>
      </c>
      <c r="E828" s="1" t="s">
        <v>36</v>
      </c>
      <c r="G828">
        <v>436784</v>
      </c>
      <c r="H828" t="s">
        <v>2492</v>
      </c>
      <c r="I828" t="s">
        <v>2413</v>
      </c>
      <c r="J828">
        <v>27</v>
      </c>
      <c r="K828">
        <v>2695</v>
      </c>
      <c r="L828">
        <v>95000</v>
      </c>
      <c r="M828" t="s">
        <v>69</v>
      </c>
      <c r="N828">
        <v>78</v>
      </c>
      <c r="O828" s="2">
        <v>46181</v>
      </c>
      <c r="P828" s="2">
        <v>46308</v>
      </c>
      <c r="R828" t="s">
        <v>2497</v>
      </c>
      <c r="S828" t="str">
        <f>""</f>
        <v/>
      </c>
      <c r="T828" t="s">
        <v>41</v>
      </c>
      <c r="U828">
        <v>1352.6</v>
      </c>
      <c r="V828">
        <v>1337.72</v>
      </c>
      <c r="W828">
        <v>1337.72</v>
      </c>
      <c r="X828">
        <v>0</v>
      </c>
      <c r="Y828">
        <v>0</v>
      </c>
      <c r="Z828">
        <v>-533</v>
      </c>
      <c r="AA828">
        <v>690577</v>
      </c>
      <c r="AD828" t="s">
        <v>2494</v>
      </c>
      <c r="AF828" t="s">
        <v>2494</v>
      </c>
      <c r="AG828" s="1" t="s">
        <v>2495</v>
      </c>
      <c r="AH828" t="s">
        <v>2472</v>
      </c>
    </row>
    <row r="829" spans="1:34" x14ac:dyDescent="0.3">
      <c r="A829">
        <v>101</v>
      </c>
      <c r="B829" t="s">
        <v>34</v>
      </c>
      <c r="C829">
        <v>2</v>
      </c>
      <c r="D829" s="1" t="s">
        <v>2498</v>
      </c>
      <c r="E829" s="1" t="s">
        <v>36</v>
      </c>
      <c r="G829">
        <v>436784</v>
      </c>
      <c r="H829" t="s">
        <v>2492</v>
      </c>
      <c r="I829" t="s">
        <v>2413</v>
      </c>
      <c r="J829">
        <v>27</v>
      </c>
      <c r="K829">
        <v>2695</v>
      </c>
      <c r="L829">
        <v>95000</v>
      </c>
      <c r="M829" t="s">
        <v>69</v>
      </c>
      <c r="N829">
        <v>78</v>
      </c>
      <c r="O829" s="2">
        <v>46181</v>
      </c>
      <c r="P829" s="2">
        <v>46308</v>
      </c>
      <c r="R829" t="s">
        <v>2499</v>
      </c>
      <c r="S829" t="str">
        <f>""</f>
        <v/>
      </c>
      <c r="T829" t="s">
        <v>41</v>
      </c>
      <c r="U829">
        <v>1562.85</v>
      </c>
      <c r="V829">
        <v>1545.66</v>
      </c>
      <c r="W829">
        <v>1545.66</v>
      </c>
      <c r="X829">
        <v>0</v>
      </c>
      <c r="Y829">
        <v>0</v>
      </c>
      <c r="Z829">
        <v>-533</v>
      </c>
      <c r="AA829">
        <v>690619</v>
      </c>
      <c r="AD829" t="s">
        <v>2494</v>
      </c>
      <c r="AF829" t="s">
        <v>2494</v>
      </c>
      <c r="AG829" s="1" t="s">
        <v>2495</v>
      </c>
      <c r="AH829" t="s">
        <v>2472</v>
      </c>
    </row>
    <row r="830" spans="1:34" x14ac:dyDescent="0.3">
      <c r="A830">
        <v>101</v>
      </c>
      <c r="B830" t="s">
        <v>34</v>
      </c>
      <c r="C830">
        <v>2</v>
      </c>
      <c r="D830" s="1" t="s">
        <v>2500</v>
      </c>
      <c r="E830" s="1" t="s">
        <v>36</v>
      </c>
      <c r="G830">
        <v>436784</v>
      </c>
      <c r="H830" t="s">
        <v>2492</v>
      </c>
      <c r="I830" t="s">
        <v>2413</v>
      </c>
      <c r="J830">
        <v>27</v>
      </c>
      <c r="K830">
        <v>2695</v>
      </c>
      <c r="L830">
        <v>95000</v>
      </c>
      <c r="M830" t="s">
        <v>69</v>
      </c>
      <c r="N830">
        <v>78</v>
      </c>
      <c r="O830" s="2">
        <v>46188</v>
      </c>
      <c r="P830" s="2">
        <v>46308</v>
      </c>
      <c r="R830" t="s">
        <v>2501</v>
      </c>
      <c r="S830" t="str">
        <f>""</f>
        <v/>
      </c>
      <c r="T830" t="s">
        <v>41</v>
      </c>
      <c r="U830">
        <v>7100.62</v>
      </c>
      <c r="V830">
        <v>7022.51</v>
      </c>
      <c r="W830">
        <v>7022.51</v>
      </c>
      <c r="X830">
        <v>0</v>
      </c>
      <c r="Y830">
        <v>0</v>
      </c>
      <c r="Z830">
        <v>-533</v>
      </c>
      <c r="AA830">
        <v>691283</v>
      </c>
      <c r="AD830" t="s">
        <v>2494</v>
      </c>
      <c r="AF830" t="s">
        <v>2494</v>
      </c>
      <c r="AG830" s="1" t="s">
        <v>2495</v>
      </c>
      <c r="AH830" t="s">
        <v>2472</v>
      </c>
    </row>
    <row r="831" spans="1:34" x14ac:dyDescent="0.3">
      <c r="A831">
        <v>101</v>
      </c>
      <c r="B831" t="s">
        <v>34</v>
      </c>
      <c r="C831">
        <v>2</v>
      </c>
      <c r="D831" s="1" t="s">
        <v>2502</v>
      </c>
      <c r="E831" s="1" t="s">
        <v>36</v>
      </c>
      <c r="G831">
        <v>436790</v>
      </c>
      <c r="H831" t="s">
        <v>2503</v>
      </c>
      <c r="I831" t="s">
        <v>2413</v>
      </c>
      <c r="J831">
        <v>27</v>
      </c>
      <c r="K831">
        <v>2695</v>
      </c>
      <c r="L831">
        <v>95000</v>
      </c>
      <c r="M831" t="s">
        <v>69</v>
      </c>
      <c r="N831">
        <v>78</v>
      </c>
      <c r="O831" s="2">
        <v>46188</v>
      </c>
      <c r="P831" s="2">
        <v>46296</v>
      </c>
      <c r="R831" t="s">
        <v>2504</v>
      </c>
      <c r="S831" t="str">
        <f>""</f>
        <v/>
      </c>
      <c r="T831" t="s">
        <v>41</v>
      </c>
      <c r="U831">
        <v>2640.31</v>
      </c>
      <c r="V831">
        <v>2611.27</v>
      </c>
      <c r="W831">
        <v>2611.27</v>
      </c>
      <c r="X831">
        <v>0</v>
      </c>
      <c r="Y831">
        <v>0</v>
      </c>
      <c r="Z831">
        <v>-521</v>
      </c>
      <c r="AA831">
        <v>691275</v>
      </c>
      <c r="AD831" t="s">
        <v>2505</v>
      </c>
      <c r="AF831" t="s">
        <v>2505</v>
      </c>
      <c r="AG831" s="1" t="s">
        <v>2506</v>
      </c>
      <c r="AH831" t="s">
        <v>2403</v>
      </c>
    </row>
    <row r="832" spans="1:34" x14ac:dyDescent="0.3">
      <c r="A832">
        <v>101</v>
      </c>
      <c r="B832" t="s">
        <v>34</v>
      </c>
      <c r="C832">
        <v>2</v>
      </c>
      <c r="D832" s="1" t="s">
        <v>2507</v>
      </c>
      <c r="E832" s="1" t="s">
        <v>36</v>
      </c>
      <c r="G832">
        <v>436790</v>
      </c>
      <c r="H832" t="s">
        <v>2503</v>
      </c>
      <c r="I832" t="s">
        <v>2413</v>
      </c>
      <c r="J832">
        <v>27</v>
      </c>
      <c r="K832">
        <v>2695</v>
      </c>
      <c r="L832">
        <v>95000</v>
      </c>
      <c r="M832" t="s">
        <v>69</v>
      </c>
      <c r="N832">
        <v>78</v>
      </c>
      <c r="O832" s="2">
        <v>46181</v>
      </c>
      <c r="P832" s="2">
        <v>46296</v>
      </c>
      <c r="R832" t="s">
        <v>2508</v>
      </c>
      <c r="S832" t="str">
        <f>""</f>
        <v/>
      </c>
      <c r="T832" t="s">
        <v>41</v>
      </c>
      <c r="U832">
        <v>1041.9000000000001</v>
      </c>
      <c r="V832">
        <v>1030.44</v>
      </c>
      <c r="W832">
        <v>1030.44</v>
      </c>
      <c r="X832">
        <v>0</v>
      </c>
      <c r="Y832">
        <v>0</v>
      </c>
      <c r="Z832">
        <v>-521</v>
      </c>
      <c r="AA832">
        <v>690611</v>
      </c>
      <c r="AD832" t="s">
        <v>2505</v>
      </c>
      <c r="AF832" t="s">
        <v>2505</v>
      </c>
      <c r="AG832" s="1" t="s">
        <v>2506</v>
      </c>
      <c r="AH832" t="s">
        <v>2403</v>
      </c>
    </row>
    <row r="833" spans="1:34" x14ac:dyDescent="0.3">
      <c r="A833">
        <v>101</v>
      </c>
      <c r="B833" t="s">
        <v>34</v>
      </c>
      <c r="C833">
        <v>2</v>
      </c>
      <c r="D833" s="1" t="s">
        <v>2509</v>
      </c>
      <c r="E833" s="1" t="s">
        <v>36</v>
      </c>
      <c r="G833">
        <v>436790</v>
      </c>
      <c r="H833" t="s">
        <v>2503</v>
      </c>
      <c r="I833" t="s">
        <v>2413</v>
      </c>
      <c r="J833">
        <v>27</v>
      </c>
      <c r="K833">
        <v>2695</v>
      </c>
      <c r="L833">
        <v>95000</v>
      </c>
      <c r="M833" t="s">
        <v>69</v>
      </c>
      <c r="N833">
        <v>78</v>
      </c>
      <c r="O833" s="2">
        <v>46181</v>
      </c>
      <c r="P833" s="2">
        <v>46296</v>
      </c>
      <c r="R833" t="s">
        <v>2510</v>
      </c>
      <c r="S833" t="str">
        <f>""</f>
        <v/>
      </c>
      <c r="T833" t="s">
        <v>41</v>
      </c>
      <c r="U833">
        <v>2667.2</v>
      </c>
      <c r="V833">
        <v>2637.86</v>
      </c>
      <c r="W833">
        <v>2637.86</v>
      </c>
      <c r="X833">
        <v>0</v>
      </c>
      <c r="Y833">
        <v>0</v>
      </c>
      <c r="Z833">
        <v>-521</v>
      </c>
      <c r="AA833">
        <v>690569</v>
      </c>
      <c r="AD833" t="s">
        <v>2505</v>
      </c>
      <c r="AF833" t="s">
        <v>2505</v>
      </c>
      <c r="AG833" s="1" t="s">
        <v>2506</v>
      </c>
      <c r="AH833" t="s">
        <v>2403</v>
      </c>
    </row>
    <row r="834" spans="1:34" x14ac:dyDescent="0.3">
      <c r="A834">
        <v>101</v>
      </c>
      <c r="B834" t="s">
        <v>34</v>
      </c>
      <c r="C834">
        <v>2</v>
      </c>
      <c r="D834" s="1" t="s">
        <v>2511</v>
      </c>
      <c r="E834" s="1" t="s">
        <v>36</v>
      </c>
      <c r="G834">
        <v>436790</v>
      </c>
      <c r="H834" t="s">
        <v>2503</v>
      </c>
      <c r="I834" t="s">
        <v>2413</v>
      </c>
      <c r="J834">
        <v>27</v>
      </c>
      <c r="K834">
        <v>2695</v>
      </c>
      <c r="L834">
        <v>95000</v>
      </c>
      <c r="M834" t="s">
        <v>69</v>
      </c>
      <c r="N834">
        <v>78</v>
      </c>
      <c r="O834" s="2">
        <v>46139</v>
      </c>
      <c r="P834" s="2">
        <v>46255</v>
      </c>
      <c r="R834" t="s">
        <v>2512</v>
      </c>
      <c r="S834" t="str">
        <f>""</f>
        <v/>
      </c>
      <c r="T834" t="s">
        <v>41</v>
      </c>
      <c r="U834">
        <v>5201.55</v>
      </c>
      <c r="V834">
        <v>5144.33</v>
      </c>
      <c r="W834">
        <v>5144.33</v>
      </c>
      <c r="X834">
        <v>0</v>
      </c>
      <c r="Y834">
        <v>0</v>
      </c>
      <c r="Z834">
        <v>-480</v>
      </c>
      <c r="AA834">
        <v>686206</v>
      </c>
      <c r="AD834" t="s">
        <v>2505</v>
      </c>
      <c r="AF834" t="s">
        <v>2505</v>
      </c>
      <c r="AG834" s="1" t="s">
        <v>2506</v>
      </c>
      <c r="AH834" t="s">
        <v>2403</v>
      </c>
    </row>
    <row r="835" spans="1:34" x14ac:dyDescent="0.3">
      <c r="A835">
        <v>101</v>
      </c>
      <c r="B835" t="s">
        <v>34</v>
      </c>
      <c r="C835">
        <v>2</v>
      </c>
      <c r="D835" s="1" t="s">
        <v>2513</v>
      </c>
      <c r="E835" s="1" t="s">
        <v>36</v>
      </c>
      <c r="G835">
        <v>436798</v>
      </c>
      <c r="H835" t="s">
        <v>2514</v>
      </c>
      <c r="I835" t="s">
        <v>2413</v>
      </c>
      <c r="J835">
        <v>27</v>
      </c>
      <c r="K835">
        <v>2695</v>
      </c>
      <c r="L835">
        <v>95000</v>
      </c>
      <c r="M835" t="s">
        <v>69</v>
      </c>
      <c r="N835">
        <v>78</v>
      </c>
      <c r="O835" s="2">
        <v>46188</v>
      </c>
      <c r="P835" s="2">
        <v>46296</v>
      </c>
      <c r="R835" t="s">
        <v>2515</v>
      </c>
      <c r="S835" t="str">
        <f>""</f>
        <v/>
      </c>
      <c r="T835" t="s">
        <v>41</v>
      </c>
      <c r="U835">
        <v>5970.91</v>
      </c>
      <c r="V835">
        <v>5578.41</v>
      </c>
      <c r="W835">
        <v>5578.41</v>
      </c>
      <c r="X835">
        <v>0</v>
      </c>
      <c r="Y835">
        <v>0</v>
      </c>
      <c r="Z835">
        <v>-521</v>
      </c>
      <c r="AA835">
        <v>691279</v>
      </c>
      <c r="AD835" t="s">
        <v>2516</v>
      </c>
      <c r="AF835" t="s">
        <v>2516</v>
      </c>
      <c r="AG835" s="1" t="s">
        <v>2517</v>
      </c>
      <c r="AH835" t="s">
        <v>2518</v>
      </c>
    </row>
    <row r="836" spans="1:34" x14ac:dyDescent="0.3">
      <c r="A836">
        <v>101</v>
      </c>
      <c r="B836" t="s">
        <v>34</v>
      </c>
      <c r="C836">
        <v>2</v>
      </c>
      <c r="D836" s="1" t="s">
        <v>2519</v>
      </c>
      <c r="E836" s="1" t="s">
        <v>36</v>
      </c>
      <c r="G836">
        <v>436798</v>
      </c>
      <c r="H836" t="s">
        <v>2514</v>
      </c>
      <c r="I836" t="s">
        <v>2413</v>
      </c>
      <c r="J836">
        <v>27</v>
      </c>
      <c r="K836">
        <v>2695</v>
      </c>
      <c r="L836">
        <v>95080</v>
      </c>
      <c r="M836" t="s">
        <v>83</v>
      </c>
      <c r="N836">
        <v>78</v>
      </c>
      <c r="O836" s="2">
        <v>46106</v>
      </c>
      <c r="P836" s="2">
        <v>46196</v>
      </c>
      <c r="R836" t="s">
        <v>2520</v>
      </c>
      <c r="S836" t="str">
        <f>""</f>
        <v/>
      </c>
      <c r="T836" t="s">
        <v>41</v>
      </c>
      <c r="U836">
        <v>6868.8</v>
      </c>
      <c r="V836">
        <v>6793.24</v>
      </c>
      <c r="W836">
        <v>6793.24</v>
      </c>
      <c r="X836">
        <v>0</v>
      </c>
      <c r="Y836">
        <v>0</v>
      </c>
      <c r="Z836">
        <v>-421</v>
      </c>
      <c r="AA836">
        <v>683101</v>
      </c>
      <c r="AD836" t="s">
        <v>2516</v>
      </c>
      <c r="AF836" t="s">
        <v>2516</v>
      </c>
      <c r="AG836" s="1" t="s">
        <v>2517</v>
      </c>
      <c r="AH836" t="s">
        <v>2518</v>
      </c>
    </row>
    <row r="837" spans="1:34" x14ac:dyDescent="0.3">
      <c r="A837">
        <v>101</v>
      </c>
      <c r="B837" t="s">
        <v>34</v>
      </c>
      <c r="C837">
        <v>2</v>
      </c>
      <c r="D837" s="1" t="s">
        <v>2521</v>
      </c>
      <c r="E837" s="1" t="s">
        <v>36</v>
      </c>
      <c r="G837">
        <v>436798</v>
      </c>
      <c r="H837" t="s">
        <v>2514</v>
      </c>
      <c r="I837" t="s">
        <v>2413</v>
      </c>
      <c r="J837">
        <v>27</v>
      </c>
      <c r="K837">
        <v>2695</v>
      </c>
      <c r="L837">
        <v>95000</v>
      </c>
      <c r="M837" t="s">
        <v>69</v>
      </c>
      <c r="N837">
        <v>78</v>
      </c>
      <c r="O837" s="2">
        <v>46181</v>
      </c>
      <c r="P837" s="2">
        <v>46329</v>
      </c>
      <c r="R837" s="1" t="s">
        <v>2522</v>
      </c>
      <c r="S837" t="str">
        <f>""</f>
        <v/>
      </c>
      <c r="T837" t="s">
        <v>41</v>
      </c>
      <c r="U837">
        <v>1041.9000000000001</v>
      </c>
      <c r="V837">
        <v>1030.44</v>
      </c>
      <c r="W837">
        <v>1030.44</v>
      </c>
      <c r="X837">
        <v>0</v>
      </c>
      <c r="Y837">
        <v>0</v>
      </c>
      <c r="Z837">
        <v>-554</v>
      </c>
      <c r="AA837">
        <v>690615</v>
      </c>
      <c r="AD837" t="s">
        <v>2516</v>
      </c>
      <c r="AF837" t="s">
        <v>2516</v>
      </c>
      <c r="AG837" s="1" t="s">
        <v>2517</v>
      </c>
      <c r="AH837" t="s">
        <v>2518</v>
      </c>
    </row>
    <row r="838" spans="1:34" x14ac:dyDescent="0.3">
      <c r="A838">
        <v>101</v>
      </c>
      <c r="B838" t="s">
        <v>34</v>
      </c>
      <c r="C838">
        <v>2</v>
      </c>
      <c r="D838" s="1" t="s">
        <v>2523</v>
      </c>
      <c r="E838" s="1" t="s">
        <v>36</v>
      </c>
      <c r="G838">
        <v>436798</v>
      </c>
      <c r="H838" t="s">
        <v>2514</v>
      </c>
      <c r="I838" t="s">
        <v>2413</v>
      </c>
      <c r="J838">
        <v>27</v>
      </c>
      <c r="K838">
        <v>2695</v>
      </c>
      <c r="L838">
        <v>95000</v>
      </c>
      <c r="M838" t="s">
        <v>69</v>
      </c>
      <c r="N838">
        <v>78</v>
      </c>
      <c r="O838" s="2">
        <v>46139</v>
      </c>
      <c r="P838" s="2">
        <v>46255</v>
      </c>
      <c r="R838" t="s">
        <v>2524</v>
      </c>
      <c r="S838" t="str">
        <f>""</f>
        <v/>
      </c>
      <c r="T838" t="s">
        <v>41</v>
      </c>
      <c r="U838">
        <v>12691.6</v>
      </c>
      <c r="V838">
        <v>12551.99</v>
      </c>
      <c r="W838">
        <v>12551.99</v>
      </c>
      <c r="X838">
        <v>0</v>
      </c>
      <c r="Y838">
        <v>0</v>
      </c>
      <c r="Z838">
        <v>-480</v>
      </c>
      <c r="AA838">
        <v>686211</v>
      </c>
      <c r="AD838" t="s">
        <v>2516</v>
      </c>
      <c r="AF838" t="s">
        <v>2516</v>
      </c>
      <c r="AG838" s="1" t="s">
        <v>2517</v>
      </c>
      <c r="AH838" t="s">
        <v>2518</v>
      </c>
    </row>
    <row r="839" spans="1:34" x14ac:dyDescent="0.3">
      <c r="A839">
        <v>101</v>
      </c>
      <c r="B839" t="s">
        <v>34</v>
      </c>
      <c r="C839">
        <v>2</v>
      </c>
      <c r="D839" s="1" t="s">
        <v>2525</v>
      </c>
      <c r="E839" s="1" t="s">
        <v>36</v>
      </c>
      <c r="G839">
        <v>436798</v>
      </c>
      <c r="H839" t="s">
        <v>2514</v>
      </c>
      <c r="I839" t="s">
        <v>2413</v>
      </c>
      <c r="J839">
        <v>27</v>
      </c>
      <c r="K839">
        <v>2695</v>
      </c>
      <c r="L839">
        <v>95000</v>
      </c>
      <c r="M839" t="s">
        <v>69</v>
      </c>
      <c r="N839">
        <v>78</v>
      </c>
      <c r="O839" s="2">
        <v>46181</v>
      </c>
      <c r="P839" s="2">
        <v>46329</v>
      </c>
      <c r="R839" s="1" t="s">
        <v>2526</v>
      </c>
      <c r="S839" t="str">
        <f>""</f>
        <v/>
      </c>
      <c r="T839" t="s">
        <v>41</v>
      </c>
      <c r="U839">
        <v>5116.79</v>
      </c>
      <c r="V839">
        <v>5060.51</v>
      </c>
      <c r="W839">
        <v>5060.51</v>
      </c>
      <c r="X839">
        <v>0</v>
      </c>
      <c r="Y839">
        <v>0</v>
      </c>
      <c r="Z839">
        <v>-554</v>
      </c>
      <c r="AA839">
        <v>690573</v>
      </c>
      <c r="AD839" t="s">
        <v>2516</v>
      </c>
      <c r="AF839" t="s">
        <v>2516</v>
      </c>
      <c r="AG839" s="1" t="s">
        <v>2517</v>
      </c>
      <c r="AH839" t="s">
        <v>2518</v>
      </c>
    </row>
    <row r="840" spans="1:34" x14ac:dyDescent="0.3">
      <c r="A840">
        <v>101</v>
      </c>
      <c r="B840" t="s">
        <v>34</v>
      </c>
      <c r="C840">
        <v>2</v>
      </c>
      <c r="D840" s="1" t="s">
        <v>2527</v>
      </c>
      <c r="E840" s="1" t="s">
        <v>36</v>
      </c>
      <c r="G840">
        <v>436798</v>
      </c>
      <c r="H840" t="s">
        <v>2514</v>
      </c>
      <c r="I840" t="s">
        <v>2413</v>
      </c>
      <c r="J840">
        <v>27</v>
      </c>
      <c r="K840">
        <v>2695</v>
      </c>
      <c r="L840">
        <v>95000</v>
      </c>
      <c r="M840" t="s">
        <v>69</v>
      </c>
      <c r="N840">
        <v>78</v>
      </c>
      <c r="O840" s="2">
        <v>46206</v>
      </c>
      <c r="P840" s="2">
        <v>46271</v>
      </c>
      <c r="R840" t="s">
        <v>2528</v>
      </c>
      <c r="S840" t="str">
        <f>""</f>
        <v/>
      </c>
      <c r="T840" t="s">
        <v>41</v>
      </c>
      <c r="U840">
        <v>186.76</v>
      </c>
      <c r="V840">
        <v>186.76</v>
      </c>
      <c r="W840">
        <v>186.76</v>
      </c>
      <c r="X840">
        <v>0</v>
      </c>
      <c r="Y840">
        <v>0</v>
      </c>
      <c r="Z840">
        <v>-496</v>
      </c>
      <c r="AD840" t="s">
        <v>2516</v>
      </c>
      <c r="AF840" t="s">
        <v>2516</v>
      </c>
      <c r="AG840" s="1" t="s">
        <v>2517</v>
      </c>
      <c r="AH840" t="s">
        <v>2518</v>
      </c>
    </row>
    <row r="841" spans="1:34" x14ac:dyDescent="0.3">
      <c r="A841">
        <v>101</v>
      </c>
      <c r="B841" t="s">
        <v>34</v>
      </c>
      <c r="C841">
        <v>2</v>
      </c>
      <c r="D841" s="1" t="s">
        <v>2529</v>
      </c>
      <c r="E841" s="1" t="s">
        <v>36</v>
      </c>
      <c r="G841">
        <v>440145</v>
      </c>
      <c r="H841" t="s">
        <v>2530</v>
      </c>
      <c r="I841" t="s">
        <v>2413</v>
      </c>
      <c r="J841">
        <v>27</v>
      </c>
      <c r="K841">
        <v>2695</v>
      </c>
      <c r="L841">
        <v>95000</v>
      </c>
      <c r="M841" t="s">
        <v>69</v>
      </c>
      <c r="N841">
        <v>78</v>
      </c>
      <c r="O841" s="2">
        <v>46181</v>
      </c>
      <c r="P841" s="2">
        <v>46308</v>
      </c>
      <c r="R841" t="s">
        <v>2531</v>
      </c>
      <c r="S841" t="str">
        <f>""</f>
        <v/>
      </c>
      <c r="T841" t="s">
        <v>41</v>
      </c>
      <c r="U841">
        <v>2667.2</v>
      </c>
      <c r="V841">
        <v>2637.86</v>
      </c>
      <c r="W841">
        <v>2637.86</v>
      </c>
      <c r="X841">
        <v>0</v>
      </c>
      <c r="Y841">
        <v>0</v>
      </c>
      <c r="Z841">
        <v>-533</v>
      </c>
      <c r="AA841">
        <v>690587</v>
      </c>
      <c r="AD841" t="s">
        <v>2532</v>
      </c>
      <c r="AE841" t="s">
        <v>2533</v>
      </c>
      <c r="AF841" t="s">
        <v>2532</v>
      </c>
      <c r="AG841" s="1" t="s">
        <v>2534</v>
      </c>
      <c r="AH841" t="s">
        <v>2484</v>
      </c>
    </row>
    <row r="842" spans="1:34" x14ac:dyDescent="0.3">
      <c r="A842">
        <v>101</v>
      </c>
      <c r="B842" t="s">
        <v>34</v>
      </c>
      <c r="C842">
        <v>2</v>
      </c>
      <c r="D842" s="1" t="s">
        <v>2535</v>
      </c>
      <c r="E842" s="1" t="s">
        <v>36</v>
      </c>
      <c r="G842">
        <v>440145</v>
      </c>
      <c r="H842" t="s">
        <v>2530</v>
      </c>
      <c r="I842" t="s">
        <v>2413</v>
      </c>
      <c r="J842">
        <v>27</v>
      </c>
      <c r="K842">
        <v>2695</v>
      </c>
      <c r="L842">
        <v>95000</v>
      </c>
      <c r="M842" t="s">
        <v>69</v>
      </c>
      <c r="N842">
        <v>78</v>
      </c>
      <c r="O842" s="2">
        <v>46188</v>
      </c>
      <c r="P842" s="2">
        <v>46308</v>
      </c>
      <c r="R842" t="s">
        <v>2536</v>
      </c>
      <c r="S842" t="str">
        <f>""</f>
        <v/>
      </c>
      <c r="T842" t="s">
        <v>41</v>
      </c>
      <c r="U842">
        <v>2379.9</v>
      </c>
      <c r="V842">
        <v>2353.7199999999998</v>
      </c>
      <c r="W842">
        <v>2353.7199999999998</v>
      </c>
      <c r="X842">
        <v>0</v>
      </c>
      <c r="Y842">
        <v>0</v>
      </c>
      <c r="Z842">
        <v>-533</v>
      </c>
      <c r="AA842">
        <v>691345</v>
      </c>
      <c r="AD842" t="s">
        <v>2532</v>
      </c>
      <c r="AE842" t="s">
        <v>2533</v>
      </c>
      <c r="AF842" t="s">
        <v>2532</v>
      </c>
      <c r="AG842" s="1" t="s">
        <v>2534</v>
      </c>
      <c r="AH842" t="s">
        <v>2484</v>
      </c>
    </row>
    <row r="843" spans="1:34" x14ac:dyDescent="0.3">
      <c r="A843">
        <v>101</v>
      </c>
      <c r="B843" t="s">
        <v>34</v>
      </c>
      <c r="C843">
        <v>2</v>
      </c>
      <c r="D843" s="1" t="s">
        <v>2537</v>
      </c>
      <c r="E843" s="1" t="s">
        <v>36</v>
      </c>
      <c r="G843">
        <v>440145</v>
      </c>
      <c r="H843" t="s">
        <v>2530</v>
      </c>
      <c r="I843" t="s">
        <v>2413</v>
      </c>
      <c r="J843">
        <v>27</v>
      </c>
      <c r="K843">
        <v>2695</v>
      </c>
      <c r="L843">
        <v>95000</v>
      </c>
      <c r="M843" t="s">
        <v>69</v>
      </c>
      <c r="N843">
        <v>78</v>
      </c>
      <c r="O843" s="2">
        <v>46188</v>
      </c>
      <c r="P843" s="2">
        <v>46308</v>
      </c>
      <c r="R843" t="s">
        <v>2538</v>
      </c>
      <c r="S843" t="str">
        <f>""</f>
        <v/>
      </c>
      <c r="T843" t="s">
        <v>41</v>
      </c>
      <c r="U843">
        <v>3318.75</v>
      </c>
      <c r="V843">
        <v>3282.24</v>
      </c>
      <c r="W843">
        <v>3282.24</v>
      </c>
      <c r="X843">
        <v>0</v>
      </c>
      <c r="Y843">
        <v>0</v>
      </c>
      <c r="Z843">
        <v>-533</v>
      </c>
      <c r="AA843">
        <v>691295</v>
      </c>
      <c r="AD843" t="s">
        <v>2532</v>
      </c>
      <c r="AE843" t="s">
        <v>2533</v>
      </c>
      <c r="AF843" t="s">
        <v>2532</v>
      </c>
      <c r="AG843" s="1" t="s">
        <v>2534</v>
      </c>
      <c r="AH843" t="s">
        <v>2484</v>
      </c>
    </row>
    <row r="844" spans="1:34" x14ac:dyDescent="0.3">
      <c r="A844">
        <v>101</v>
      </c>
      <c r="B844" t="s">
        <v>34</v>
      </c>
      <c r="C844">
        <v>2</v>
      </c>
      <c r="D844" s="1" t="s">
        <v>2539</v>
      </c>
      <c r="E844" s="1" t="s">
        <v>36</v>
      </c>
      <c r="G844">
        <v>440145</v>
      </c>
      <c r="H844" t="s">
        <v>2530</v>
      </c>
      <c r="I844" t="s">
        <v>2413</v>
      </c>
      <c r="J844">
        <v>27</v>
      </c>
      <c r="K844">
        <v>2695</v>
      </c>
      <c r="L844">
        <v>95000</v>
      </c>
      <c r="M844" t="s">
        <v>69</v>
      </c>
      <c r="N844">
        <v>78</v>
      </c>
      <c r="O844" s="2">
        <v>46139</v>
      </c>
      <c r="P844" s="2">
        <v>46255</v>
      </c>
      <c r="R844" t="s">
        <v>2540</v>
      </c>
      <c r="S844" t="str">
        <f>""</f>
        <v/>
      </c>
      <c r="T844" t="s">
        <v>41</v>
      </c>
      <c r="U844">
        <v>7322.57</v>
      </c>
      <c r="V844">
        <v>7242.02</v>
      </c>
      <c r="W844">
        <v>7242.02</v>
      </c>
      <c r="X844">
        <v>0</v>
      </c>
      <c r="Y844">
        <v>0</v>
      </c>
      <c r="Z844">
        <v>-480</v>
      </c>
      <c r="AA844">
        <v>686227</v>
      </c>
      <c r="AD844" t="s">
        <v>2532</v>
      </c>
      <c r="AE844" t="s">
        <v>2533</v>
      </c>
      <c r="AF844" t="s">
        <v>2532</v>
      </c>
      <c r="AG844" s="1" t="s">
        <v>2534</v>
      </c>
      <c r="AH844" t="s">
        <v>2484</v>
      </c>
    </row>
    <row r="845" spans="1:34" x14ac:dyDescent="0.3">
      <c r="A845">
        <v>101</v>
      </c>
      <c r="B845" t="s">
        <v>34</v>
      </c>
      <c r="C845">
        <v>2</v>
      </c>
      <c r="D845" s="1" t="s">
        <v>2541</v>
      </c>
      <c r="E845" s="1" t="s">
        <v>36</v>
      </c>
      <c r="G845">
        <v>454140</v>
      </c>
      <c r="H845" t="s">
        <v>2542</v>
      </c>
      <c r="I845" t="s">
        <v>2413</v>
      </c>
      <c r="J845">
        <v>27</v>
      </c>
      <c r="K845">
        <v>2695</v>
      </c>
      <c r="L845">
        <v>95000</v>
      </c>
      <c r="M845" t="s">
        <v>69</v>
      </c>
      <c r="N845">
        <v>78</v>
      </c>
      <c r="O845" s="2">
        <v>46181</v>
      </c>
      <c r="P845" s="2">
        <v>46329</v>
      </c>
      <c r="R845" s="1" t="s">
        <v>2543</v>
      </c>
      <c r="S845" t="str">
        <f>""</f>
        <v/>
      </c>
      <c r="T845" t="s">
        <v>41</v>
      </c>
      <c r="U845">
        <v>3427.48</v>
      </c>
      <c r="V845">
        <v>3216.61</v>
      </c>
      <c r="W845">
        <v>3216.61</v>
      </c>
      <c r="X845">
        <v>0</v>
      </c>
      <c r="Y845">
        <v>0</v>
      </c>
      <c r="Z845">
        <v>-554</v>
      </c>
      <c r="AA845">
        <v>690591</v>
      </c>
      <c r="AD845" t="s">
        <v>2516</v>
      </c>
      <c r="AE845">
        <v>1134115000</v>
      </c>
      <c r="AF845" t="s">
        <v>2516</v>
      </c>
      <c r="AG845" s="1" t="s">
        <v>2544</v>
      </c>
      <c r="AH845" t="s">
        <v>2518</v>
      </c>
    </row>
    <row r="846" spans="1:34" x14ac:dyDescent="0.3">
      <c r="A846">
        <v>101</v>
      </c>
      <c r="B846" t="s">
        <v>34</v>
      </c>
      <c r="C846">
        <v>2</v>
      </c>
      <c r="D846" s="1" t="s">
        <v>2545</v>
      </c>
      <c r="E846" s="1" t="s">
        <v>36</v>
      </c>
      <c r="G846">
        <v>454140</v>
      </c>
      <c r="H846" t="s">
        <v>2542</v>
      </c>
      <c r="I846" t="s">
        <v>2413</v>
      </c>
      <c r="J846">
        <v>27</v>
      </c>
      <c r="K846">
        <v>2695</v>
      </c>
      <c r="L846">
        <v>95000</v>
      </c>
      <c r="M846" t="s">
        <v>69</v>
      </c>
      <c r="N846">
        <v>78</v>
      </c>
      <c r="O846" s="2">
        <v>46139</v>
      </c>
      <c r="P846" s="2">
        <v>46255</v>
      </c>
      <c r="R846" t="s">
        <v>2546</v>
      </c>
      <c r="S846" t="str">
        <f>""</f>
        <v/>
      </c>
      <c r="T846" t="s">
        <v>41</v>
      </c>
      <c r="U846">
        <v>14254.11</v>
      </c>
      <c r="V846">
        <v>14097.31</v>
      </c>
      <c r="W846">
        <v>14097.31</v>
      </c>
      <c r="X846">
        <v>0</v>
      </c>
      <c r="Y846">
        <v>0</v>
      </c>
      <c r="Z846">
        <v>-480</v>
      </c>
      <c r="AA846">
        <v>686235</v>
      </c>
      <c r="AD846" t="s">
        <v>2516</v>
      </c>
      <c r="AE846">
        <v>1134115000</v>
      </c>
      <c r="AF846" t="s">
        <v>2516</v>
      </c>
      <c r="AG846" s="1" t="s">
        <v>2544</v>
      </c>
      <c r="AH846" t="s">
        <v>2518</v>
      </c>
    </row>
    <row r="847" spans="1:34" x14ac:dyDescent="0.3">
      <c r="A847">
        <v>101</v>
      </c>
      <c r="B847" t="s">
        <v>34</v>
      </c>
      <c r="C847">
        <v>2</v>
      </c>
      <c r="D847" s="1" t="s">
        <v>2547</v>
      </c>
      <c r="E847" s="1" t="s">
        <v>36</v>
      </c>
      <c r="G847">
        <v>454140</v>
      </c>
      <c r="H847" t="s">
        <v>2542</v>
      </c>
      <c r="I847" t="s">
        <v>2413</v>
      </c>
      <c r="J847">
        <v>27</v>
      </c>
      <c r="K847">
        <v>2695</v>
      </c>
      <c r="L847">
        <v>95000</v>
      </c>
      <c r="M847" t="s">
        <v>69</v>
      </c>
      <c r="N847">
        <v>78</v>
      </c>
      <c r="O847" s="2">
        <v>46188</v>
      </c>
      <c r="P847" s="2">
        <v>46296</v>
      </c>
      <c r="R847" t="s">
        <v>2548</v>
      </c>
      <c r="S847" t="str">
        <f>""</f>
        <v/>
      </c>
      <c r="T847" t="s">
        <v>41</v>
      </c>
      <c r="U847">
        <v>2379.9</v>
      </c>
      <c r="V847">
        <v>2353.7199999999998</v>
      </c>
      <c r="W847">
        <v>2353.7199999999998</v>
      </c>
      <c r="X847">
        <v>0</v>
      </c>
      <c r="Y847">
        <v>0</v>
      </c>
      <c r="Z847">
        <v>-521</v>
      </c>
      <c r="AA847">
        <v>691351</v>
      </c>
      <c r="AD847" t="s">
        <v>2516</v>
      </c>
      <c r="AE847">
        <v>1134115000</v>
      </c>
      <c r="AF847" t="s">
        <v>2516</v>
      </c>
      <c r="AG847" s="1" t="s">
        <v>2544</v>
      </c>
      <c r="AH847" t="s">
        <v>2518</v>
      </c>
    </row>
    <row r="848" spans="1:34" x14ac:dyDescent="0.3">
      <c r="A848">
        <v>101</v>
      </c>
      <c r="B848" t="s">
        <v>34</v>
      </c>
      <c r="C848">
        <v>2</v>
      </c>
      <c r="D848" s="1" t="s">
        <v>2549</v>
      </c>
      <c r="E848" s="1" t="s">
        <v>36</v>
      </c>
      <c r="G848">
        <v>454140</v>
      </c>
      <c r="H848" t="s">
        <v>2542</v>
      </c>
      <c r="I848" t="s">
        <v>2413</v>
      </c>
      <c r="J848">
        <v>27</v>
      </c>
      <c r="K848">
        <v>2695</v>
      </c>
      <c r="L848">
        <v>95000</v>
      </c>
      <c r="M848" t="s">
        <v>69</v>
      </c>
      <c r="N848">
        <v>78</v>
      </c>
      <c r="O848" s="2">
        <v>46188</v>
      </c>
      <c r="P848" s="2">
        <v>46296</v>
      </c>
      <c r="R848" t="s">
        <v>2550</v>
      </c>
      <c r="S848" t="str">
        <f>""</f>
        <v/>
      </c>
      <c r="T848" t="s">
        <v>41</v>
      </c>
      <c r="U848">
        <v>8208.2000000000007</v>
      </c>
      <c r="V848">
        <v>8117.91</v>
      </c>
      <c r="W848">
        <v>8117.91</v>
      </c>
      <c r="X848">
        <v>0</v>
      </c>
      <c r="Y848">
        <v>0</v>
      </c>
      <c r="Z848">
        <v>-521</v>
      </c>
      <c r="AA848">
        <v>691303</v>
      </c>
      <c r="AD848" t="s">
        <v>2516</v>
      </c>
      <c r="AE848">
        <v>1134115000</v>
      </c>
      <c r="AF848" t="s">
        <v>2516</v>
      </c>
      <c r="AG848" s="1" t="s">
        <v>2544</v>
      </c>
      <c r="AH848" t="s">
        <v>2518</v>
      </c>
    </row>
    <row r="849" spans="1:34" x14ac:dyDescent="0.3">
      <c r="A849">
        <v>101</v>
      </c>
      <c r="B849" t="s">
        <v>34</v>
      </c>
      <c r="C849">
        <v>2</v>
      </c>
      <c r="D849" s="1" t="s">
        <v>2551</v>
      </c>
      <c r="E849" s="1" t="s">
        <v>36</v>
      </c>
      <c r="G849">
        <v>454140</v>
      </c>
      <c r="H849" t="s">
        <v>2542</v>
      </c>
      <c r="I849" t="s">
        <v>2413</v>
      </c>
      <c r="J849">
        <v>27</v>
      </c>
      <c r="K849">
        <v>2695</v>
      </c>
      <c r="L849">
        <v>95000</v>
      </c>
      <c r="M849" t="s">
        <v>69</v>
      </c>
      <c r="N849">
        <v>78</v>
      </c>
      <c r="O849" s="2">
        <v>46206</v>
      </c>
      <c r="P849" s="2">
        <v>46271</v>
      </c>
      <c r="R849" t="s">
        <v>2552</v>
      </c>
      <c r="S849" t="str">
        <f>""</f>
        <v/>
      </c>
      <c r="T849" t="s">
        <v>41</v>
      </c>
      <c r="U849">
        <v>125.09</v>
      </c>
      <c r="V849">
        <v>125.09</v>
      </c>
      <c r="W849">
        <v>125.09</v>
      </c>
      <c r="X849">
        <v>0</v>
      </c>
      <c r="Y849">
        <v>0</v>
      </c>
      <c r="Z849">
        <v>-496</v>
      </c>
      <c r="AD849" t="s">
        <v>2516</v>
      </c>
      <c r="AE849">
        <v>1134115000</v>
      </c>
      <c r="AF849" t="s">
        <v>2516</v>
      </c>
      <c r="AG849" s="1" t="s">
        <v>2544</v>
      </c>
      <c r="AH849" t="s">
        <v>2518</v>
      </c>
    </row>
    <row r="850" spans="1:34" x14ac:dyDescent="0.3">
      <c r="A850">
        <v>101</v>
      </c>
      <c r="B850" t="s">
        <v>34</v>
      </c>
      <c r="C850">
        <v>2</v>
      </c>
      <c r="D850" s="1" t="s">
        <v>2553</v>
      </c>
      <c r="E850" s="1" t="s">
        <v>36</v>
      </c>
      <c r="G850">
        <v>455556</v>
      </c>
      <c r="H850" t="s">
        <v>2554</v>
      </c>
      <c r="I850" t="s">
        <v>2413</v>
      </c>
      <c r="J850">
        <v>27</v>
      </c>
      <c r="K850">
        <v>2695</v>
      </c>
      <c r="L850">
        <v>95000</v>
      </c>
      <c r="M850" t="s">
        <v>69</v>
      </c>
      <c r="N850">
        <v>78</v>
      </c>
      <c r="O850" s="2">
        <v>46181</v>
      </c>
      <c r="P850" s="2">
        <v>46296</v>
      </c>
      <c r="R850" t="s">
        <v>2555</v>
      </c>
      <c r="S850" t="str">
        <f>""</f>
        <v/>
      </c>
      <c r="T850" t="s">
        <v>41</v>
      </c>
      <c r="U850">
        <v>833.52</v>
      </c>
      <c r="V850">
        <v>824.35</v>
      </c>
      <c r="W850">
        <v>824.35</v>
      </c>
      <c r="X850">
        <v>0</v>
      </c>
      <c r="Y850">
        <v>0</v>
      </c>
      <c r="Z850">
        <v>-521</v>
      </c>
      <c r="AA850">
        <v>690633</v>
      </c>
      <c r="AD850" t="s">
        <v>2556</v>
      </c>
      <c r="AE850">
        <v>11341150000</v>
      </c>
      <c r="AF850" t="s">
        <v>2556</v>
      </c>
      <c r="AG850" s="1" t="s">
        <v>2557</v>
      </c>
      <c r="AH850" t="s">
        <v>2472</v>
      </c>
    </row>
    <row r="851" spans="1:34" x14ac:dyDescent="0.3">
      <c r="A851">
        <v>101</v>
      </c>
      <c r="B851" t="s">
        <v>34</v>
      </c>
      <c r="C851">
        <v>2</v>
      </c>
      <c r="D851" s="1" t="s">
        <v>2558</v>
      </c>
      <c r="E851" s="1" t="s">
        <v>36</v>
      </c>
      <c r="G851">
        <v>455556</v>
      </c>
      <c r="H851" t="s">
        <v>2554</v>
      </c>
      <c r="I851" t="s">
        <v>2413</v>
      </c>
      <c r="J851">
        <v>27</v>
      </c>
      <c r="K851">
        <v>2695</v>
      </c>
      <c r="L851">
        <v>95000</v>
      </c>
      <c r="M851" t="s">
        <v>69</v>
      </c>
      <c r="N851">
        <v>78</v>
      </c>
      <c r="O851" s="2">
        <v>46181</v>
      </c>
      <c r="P851" s="2">
        <v>46296</v>
      </c>
      <c r="R851" t="s">
        <v>2559</v>
      </c>
      <c r="S851" t="str">
        <f>""</f>
        <v/>
      </c>
      <c r="T851" t="s">
        <v>41</v>
      </c>
      <c r="U851">
        <v>5296.4</v>
      </c>
      <c r="V851">
        <v>5238.1400000000003</v>
      </c>
      <c r="W851">
        <v>5238.1400000000003</v>
      </c>
      <c r="X851">
        <v>0</v>
      </c>
      <c r="Y851">
        <v>0</v>
      </c>
      <c r="Z851">
        <v>-521</v>
      </c>
      <c r="AA851">
        <v>690597</v>
      </c>
      <c r="AD851" t="s">
        <v>2556</v>
      </c>
      <c r="AE851">
        <v>11341150000</v>
      </c>
      <c r="AF851" t="s">
        <v>2556</v>
      </c>
      <c r="AG851" s="1" t="s">
        <v>2557</v>
      </c>
      <c r="AH851" t="s">
        <v>2472</v>
      </c>
    </row>
    <row r="852" spans="1:34" x14ac:dyDescent="0.3">
      <c r="A852">
        <v>101</v>
      </c>
      <c r="B852" t="s">
        <v>34</v>
      </c>
      <c r="C852">
        <v>2</v>
      </c>
      <c r="D852" s="1" t="s">
        <v>2560</v>
      </c>
      <c r="E852" s="1" t="s">
        <v>36</v>
      </c>
      <c r="G852">
        <v>455556</v>
      </c>
      <c r="H852" t="s">
        <v>2554</v>
      </c>
      <c r="I852" t="s">
        <v>2413</v>
      </c>
      <c r="J852">
        <v>27</v>
      </c>
      <c r="K852">
        <v>2695</v>
      </c>
      <c r="L852">
        <v>95000</v>
      </c>
      <c r="M852" t="s">
        <v>69</v>
      </c>
      <c r="N852">
        <v>78</v>
      </c>
      <c r="O852" s="2">
        <v>46188</v>
      </c>
      <c r="P852" s="2">
        <v>46296</v>
      </c>
      <c r="R852" t="s">
        <v>2561</v>
      </c>
      <c r="S852" t="str">
        <f>""</f>
        <v/>
      </c>
      <c r="T852" t="s">
        <v>41</v>
      </c>
      <c r="U852">
        <v>5274.9</v>
      </c>
      <c r="V852">
        <v>5216.88</v>
      </c>
      <c r="W852">
        <v>5216.88</v>
      </c>
      <c r="X852">
        <v>0</v>
      </c>
      <c r="Y852">
        <v>0</v>
      </c>
      <c r="Z852">
        <v>-521</v>
      </c>
      <c r="AA852">
        <v>691309</v>
      </c>
      <c r="AD852" t="s">
        <v>2556</v>
      </c>
      <c r="AE852">
        <v>11341150000</v>
      </c>
      <c r="AF852" t="s">
        <v>2556</v>
      </c>
      <c r="AG852" s="1" t="s">
        <v>2557</v>
      </c>
      <c r="AH852" t="s">
        <v>2472</v>
      </c>
    </row>
    <row r="853" spans="1:34" x14ac:dyDescent="0.3">
      <c r="A853">
        <v>101</v>
      </c>
      <c r="B853" t="s">
        <v>34</v>
      </c>
      <c r="C853">
        <v>2</v>
      </c>
      <c r="D853" s="1" t="s">
        <v>2562</v>
      </c>
      <c r="E853" s="1" t="s">
        <v>36</v>
      </c>
      <c r="G853">
        <v>455556</v>
      </c>
      <c r="H853" t="s">
        <v>2554</v>
      </c>
      <c r="I853" t="s">
        <v>2413</v>
      </c>
      <c r="J853">
        <v>27</v>
      </c>
      <c r="K853">
        <v>2695</v>
      </c>
      <c r="L853">
        <v>95000</v>
      </c>
      <c r="M853" t="s">
        <v>69</v>
      </c>
      <c r="N853">
        <v>78</v>
      </c>
      <c r="O853" s="2">
        <v>46139</v>
      </c>
      <c r="P853" s="2">
        <v>46255</v>
      </c>
      <c r="R853" t="s">
        <v>2563</v>
      </c>
      <c r="S853" t="str">
        <f>""</f>
        <v/>
      </c>
      <c r="T853" t="s">
        <v>41</v>
      </c>
      <c r="U853">
        <v>7951.83</v>
      </c>
      <c r="V853">
        <v>7864.36</v>
      </c>
      <c r="W853">
        <v>7864.36</v>
      </c>
      <c r="X853">
        <v>0</v>
      </c>
      <c r="Y853">
        <v>0</v>
      </c>
      <c r="Z853">
        <v>-480</v>
      </c>
      <c r="AA853">
        <v>686241</v>
      </c>
      <c r="AD853" t="s">
        <v>2556</v>
      </c>
      <c r="AE853">
        <v>11341150000</v>
      </c>
      <c r="AF853" t="s">
        <v>2556</v>
      </c>
      <c r="AG853" s="1" t="s">
        <v>2557</v>
      </c>
      <c r="AH853" t="s">
        <v>2472</v>
      </c>
    </row>
    <row r="854" spans="1:34" x14ac:dyDescent="0.3">
      <c r="A854">
        <v>101</v>
      </c>
      <c r="B854" t="s">
        <v>34</v>
      </c>
      <c r="C854">
        <v>2</v>
      </c>
      <c r="D854" s="1" t="s">
        <v>2564</v>
      </c>
      <c r="E854" s="1" t="s">
        <v>36</v>
      </c>
      <c r="G854">
        <v>458610</v>
      </c>
      <c r="H854" t="s">
        <v>2565</v>
      </c>
      <c r="I854" t="s">
        <v>2413</v>
      </c>
      <c r="J854">
        <v>27</v>
      </c>
      <c r="K854">
        <v>2695</v>
      </c>
      <c r="L854">
        <v>95000</v>
      </c>
      <c r="M854" t="s">
        <v>69</v>
      </c>
      <c r="N854">
        <v>78</v>
      </c>
      <c r="O854" s="2">
        <v>46139</v>
      </c>
      <c r="P854" s="2">
        <v>46255</v>
      </c>
      <c r="R854" t="s">
        <v>2566</v>
      </c>
      <c r="S854" t="str">
        <f>""</f>
        <v/>
      </c>
      <c r="T854" t="s">
        <v>41</v>
      </c>
      <c r="U854">
        <v>15338.38</v>
      </c>
      <c r="V854">
        <v>15169.66</v>
      </c>
      <c r="W854">
        <v>15169.66</v>
      </c>
      <c r="X854">
        <v>0</v>
      </c>
      <c r="Y854">
        <v>0</v>
      </c>
      <c r="Z854">
        <v>-480</v>
      </c>
      <c r="AA854">
        <v>686255</v>
      </c>
      <c r="AD854" t="s">
        <v>2516</v>
      </c>
      <c r="AE854" t="s">
        <v>2567</v>
      </c>
      <c r="AF854" t="s">
        <v>2516</v>
      </c>
      <c r="AG854" s="1" t="s">
        <v>2568</v>
      </c>
      <c r="AH854" t="s">
        <v>2518</v>
      </c>
    </row>
    <row r="855" spans="1:34" x14ac:dyDescent="0.3">
      <c r="A855">
        <v>101</v>
      </c>
      <c r="B855" t="s">
        <v>34</v>
      </c>
      <c r="C855">
        <v>2</v>
      </c>
      <c r="D855" s="1" t="s">
        <v>2569</v>
      </c>
      <c r="E855" s="1" t="s">
        <v>36</v>
      </c>
      <c r="G855">
        <v>458610</v>
      </c>
      <c r="H855" t="s">
        <v>2565</v>
      </c>
      <c r="I855" t="s">
        <v>2413</v>
      </c>
      <c r="J855">
        <v>27</v>
      </c>
      <c r="K855">
        <v>2695</v>
      </c>
      <c r="L855">
        <v>95000</v>
      </c>
      <c r="M855" t="s">
        <v>69</v>
      </c>
      <c r="N855">
        <v>78</v>
      </c>
      <c r="O855" s="2">
        <v>46106</v>
      </c>
      <c r="P855" s="2">
        <v>46255</v>
      </c>
      <c r="R855" t="s">
        <v>2570</v>
      </c>
      <c r="S855" t="str">
        <f>""</f>
        <v/>
      </c>
      <c r="T855" t="s">
        <v>41</v>
      </c>
      <c r="U855">
        <v>9450.75</v>
      </c>
      <c r="V855">
        <v>9346.7900000000009</v>
      </c>
      <c r="W855">
        <v>9346.7900000000009</v>
      </c>
      <c r="X855">
        <v>0</v>
      </c>
      <c r="Y855">
        <v>0</v>
      </c>
      <c r="Z855">
        <v>-480</v>
      </c>
      <c r="AA855">
        <v>683137</v>
      </c>
      <c r="AD855" t="s">
        <v>2516</v>
      </c>
      <c r="AE855" t="s">
        <v>2567</v>
      </c>
      <c r="AF855" t="s">
        <v>2516</v>
      </c>
      <c r="AG855" s="1" t="s">
        <v>2568</v>
      </c>
      <c r="AH855" t="s">
        <v>2518</v>
      </c>
    </row>
    <row r="856" spans="1:34" x14ac:dyDescent="0.3">
      <c r="A856">
        <v>101</v>
      </c>
      <c r="B856" t="s">
        <v>34</v>
      </c>
      <c r="C856">
        <v>2</v>
      </c>
      <c r="D856" s="1" t="s">
        <v>2571</v>
      </c>
      <c r="E856" s="1" t="s">
        <v>36</v>
      </c>
      <c r="G856">
        <v>458610</v>
      </c>
      <c r="H856" t="s">
        <v>2565</v>
      </c>
      <c r="I856" t="s">
        <v>2413</v>
      </c>
      <c r="J856">
        <v>27</v>
      </c>
      <c r="K856">
        <v>2695</v>
      </c>
      <c r="L856">
        <v>95000</v>
      </c>
      <c r="M856" t="s">
        <v>69</v>
      </c>
      <c r="N856">
        <v>78</v>
      </c>
      <c r="O856" s="2">
        <v>46188</v>
      </c>
      <c r="P856" s="2">
        <v>46308</v>
      </c>
      <c r="R856" t="s">
        <v>2572</v>
      </c>
      <c r="S856" t="str">
        <f>""</f>
        <v/>
      </c>
      <c r="T856" t="s">
        <v>41</v>
      </c>
      <c r="U856">
        <v>9886.27</v>
      </c>
      <c r="V856">
        <v>9777.52</v>
      </c>
      <c r="W856">
        <v>9777.52</v>
      </c>
      <c r="X856">
        <v>0</v>
      </c>
      <c r="Y856">
        <v>0</v>
      </c>
      <c r="Z856">
        <v>-533</v>
      </c>
      <c r="AA856">
        <v>691323</v>
      </c>
      <c r="AD856" t="s">
        <v>2516</v>
      </c>
      <c r="AE856" t="s">
        <v>2567</v>
      </c>
      <c r="AF856" t="s">
        <v>2516</v>
      </c>
      <c r="AG856" s="1" t="s">
        <v>2568</v>
      </c>
      <c r="AH856" t="s">
        <v>2518</v>
      </c>
    </row>
    <row r="857" spans="1:34" x14ac:dyDescent="0.3">
      <c r="A857">
        <v>101</v>
      </c>
      <c r="B857" t="s">
        <v>34</v>
      </c>
      <c r="C857">
        <v>2</v>
      </c>
      <c r="D857" s="1" t="s">
        <v>2573</v>
      </c>
      <c r="E857" s="1" t="s">
        <v>36</v>
      </c>
      <c r="G857">
        <v>458610</v>
      </c>
      <c r="H857" t="s">
        <v>2565</v>
      </c>
      <c r="I857" t="s">
        <v>2413</v>
      </c>
      <c r="J857">
        <v>27</v>
      </c>
      <c r="K857">
        <v>2695</v>
      </c>
      <c r="L857">
        <v>95000</v>
      </c>
      <c r="M857" t="s">
        <v>69</v>
      </c>
      <c r="N857">
        <v>78</v>
      </c>
      <c r="O857" s="2">
        <v>46181</v>
      </c>
      <c r="P857" s="2">
        <v>46308</v>
      </c>
      <c r="R857" s="1" t="s">
        <v>2574</v>
      </c>
      <c r="S857" t="str">
        <f>""</f>
        <v/>
      </c>
      <c r="T857" t="s">
        <v>41</v>
      </c>
      <c r="U857">
        <v>2083.8000000000002</v>
      </c>
      <c r="V857">
        <v>2060.88</v>
      </c>
      <c r="W857">
        <v>2060.88</v>
      </c>
      <c r="X857">
        <v>0</v>
      </c>
      <c r="Y857">
        <v>0</v>
      </c>
      <c r="Z857">
        <v>-533</v>
      </c>
      <c r="AA857">
        <v>690645</v>
      </c>
      <c r="AD857" t="s">
        <v>2516</v>
      </c>
      <c r="AE857" t="s">
        <v>2567</v>
      </c>
      <c r="AF857" t="s">
        <v>2516</v>
      </c>
      <c r="AG857" s="1" t="s">
        <v>2568</v>
      </c>
      <c r="AH857" t="s">
        <v>2518</v>
      </c>
    </row>
    <row r="858" spans="1:34" x14ac:dyDescent="0.3">
      <c r="A858">
        <v>101</v>
      </c>
      <c r="B858" t="s">
        <v>34</v>
      </c>
      <c r="C858">
        <v>2</v>
      </c>
      <c r="D858" s="1" t="s">
        <v>2575</v>
      </c>
      <c r="E858" s="1" t="s">
        <v>36</v>
      </c>
      <c r="G858">
        <v>458611</v>
      </c>
      <c r="H858" t="s">
        <v>2576</v>
      </c>
      <c r="I858" t="s">
        <v>2413</v>
      </c>
      <c r="J858">
        <v>27</v>
      </c>
      <c r="K858">
        <v>2695</v>
      </c>
      <c r="L858">
        <v>95000</v>
      </c>
      <c r="M858" t="s">
        <v>69</v>
      </c>
      <c r="N858">
        <v>78</v>
      </c>
      <c r="O858" s="2">
        <v>46188</v>
      </c>
      <c r="P858" s="2">
        <v>46296</v>
      </c>
      <c r="R858" t="s">
        <v>2577</v>
      </c>
      <c r="S858" t="str">
        <f>""</f>
        <v/>
      </c>
      <c r="T858" t="s">
        <v>41</v>
      </c>
      <c r="U858">
        <v>833.52</v>
      </c>
      <c r="V858">
        <v>824.35</v>
      </c>
      <c r="W858">
        <v>824.35</v>
      </c>
      <c r="X858">
        <v>0</v>
      </c>
      <c r="Y858">
        <v>0</v>
      </c>
      <c r="Z858">
        <v>-521</v>
      </c>
      <c r="AA858">
        <v>691337</v>
      </c>
      <c r="AD858" t="s">
        <v>2516</v>
      </c>
      <c r="AE858" t="s">
        <v>2567</v>
      </c>
      <c r="AF858" t="s">
        <v>2516</v>
      </c>
      <c r="AG858" s="1" t="s">
        <v>2578</v>
      </c>
      <c r="AH858" t="s">
        <v>2518</v>
      </c>
    </row>
    <row r="859" spans="1:34" x14ac:dyDescent="0.3">
      <c r="A859">
        <v>101</v>
      </c>
      <c r="B859" t="s">
        <v>34</v>
      </c>
      <c r="C859">
        <v>2</v>
      </c>
      <c r="D859" s="1" t="s">
        <v>2579</v>
      </c>
      <c r="E859" s="1" t="s">
        <v>36</v>
      </c>
      <c r="G859">
        <v>458611</v>
      </c>
      <c r="H859" t="s">
        <v>2576</v>
      </c>
      <c r="I859" t="s">
        <v>2413</v>
      </c>
      <c r="J859">
        <v>27</v>
      </c>
      <c r="K859">
        <v>2695</v>
      </c>
      <c r="L859">
        <v>95000</v>
      </c>
      <c r="M859" t="s">
        <v>69</v>
      </c>
      <c r="N859">
        <v>78</v>
      </c>
      <c r="O859" s="2">
        <v>46188</v>
      </c>
      <c r="P859" s="2">
        <v>46296</v>
      </c>
      <c r="R859" t="s">
        <v>2580</v>
      </c>
      <c r="S859" t="str">
        <f>""</f>
        <v/>
      </c>
      <c r="T859" t="s">
        <v>41</v>
      </c>
      <c r="U859">
        <v>793.3</v>
      </c>
      <c r="V859">
        <v>784.57</v>
      </c>
      <c r="W859">
        <v>784.57</v>
      </c>
      <c r="X859">
        <v>0</v>
      </c>
      <c r="Y859">
        <v>0</v>
      </c>
      <c r="Z859">
        <v>-521</v>
      </c>
      <c r="AA859">
        <v>691355</v>
      </c>
      <c r="AD859" t="s">
        <v>2516</v>
      </c>
      <c r="AE859" t="s">
        <v>2567</v>
      </c>
      <c r="AF859" t="s">
        <v>2516</v>
      </c>
      <c r="AG859" s="1" t="s">
        <v>2578</v>
      </c>
      <c r="AH859" t="s">
        <v>2518</v>
      </c>
    </row>
    <row r="860" spans="1:34" x14ac:dyDescent="0.3">
      <c r="A860">
        <v>101</v>
      </c>
      <c r="B860" t="s">
        <v>34</v>
      </c>
      <c r="C860">
        <v>2</v>
      </c>
      <c r="D860" s="1" t="s">
        <v>2581</v>
      </c>
      <c r="E860" s="1" t="s">
        <v>36</v>
      </c>
      <c r="G860">
        <v>458611</v>
      </c>
      <c r="H860" t="s">
        <v>2576</v>
      </c>
      <c r="I860" t="s">
        <v>2413</v>
      </c>
      <c r="J860">
        <v>27</v>
      </c>
      <c r="K860">
        <v>2695</v>
      </c>
      <c r="L860">
        <v>95000</v>
      </c>
      <c r="M860" t="s">
        <v>69</v>
      </c>
      <c r="N860">
        <v>78</v>
      </c>
      <c r="O860" s="2">
        <v>46188</v>
      </c>
      <c r="P860" s="2">
        <v>46296</v>
      </c>
      <c r="R860" t="s">
        <v>2582</v>
      </c>
      <c r="S860" t="str">
        <f>""</f>
        <v/>
      </c>
      <c r="T860" t="s">
        <v>41</v>
      </c>
      <c r="U860">
        <v>6153.27</v>
      </c>
      <c r="V860">
        <v>6085.58</v>
      </c>
      <c r="W860">
        <v>6085.58</v>
      </c>
      <c r="X860">
        <v>0</v>
      </c>
      <c r="Y860">
        <v>0</v>
      </c>
      <c r="Z860">
        <v>-521</v>
      </c>
      <c r="AA860">
        <v>691321</v>
      </c>
      <c r="AD860" t="s">
        <v>2516</v>
      </c>
      <c r="AE860" t="s">
        <v>2567</v>
      </c>
      <c r="AF860" t="s">
        <v>2516</v>
      </c>
      <c r="AG860" s="1" t="s">
        <v>2578</v>
      </c>
      <c r="AH860" t="s">
        <v>2518</v>
      </c>
    </row>
    <row r="861" spans="1:34" x14ac:dyDescent="0.3">
      <c r="A861">
        <v>101</v>
      </c>
      <c r="B861" t="s">
        <v>34</v>
      </c>
      <c r="C861">
        <v>2</v>
      </c>
      <c r="D861" s="1" t="s">
        <v>2583</v>
      </c>
      <c r="E861" s="1" t="s">
        <v>36</v>
      </c>
      <c r="G861">
        <v>458611</v>
      </c>
      <c r="H861" t="s">
        <v>2576</v>
      </c>
      <c r="I861" t="s">
        <v>2413</v>
      </c>
      <c r="J861">
        <v>27</v>
      </c>
      <c r="K861">
        <v>2695</v>
      </c>
      <c r="L861">
        <v>95000</v>
      </c>
      <c r="M861" t="s">
        <v>69</v>
      </c>
      <c r="N861">
        <v>78</v>
      </c>
      <c r="O861" s="2">
        <v>46106</v>
      </c>
      <c r="P861" s="2">
        <v>46255</v>
      </c>
      <c r="R861" t="s">
        <v>2584</v>
      </c>
      <c r="S861" t="str">
        <f>""</f>
        <v/>
      </c>
      <c r="T861" t="s">
        <v>41</v>
      </c>
      <c r="U861">
        <v>7721.23</v>
      </c>
      <c r="V861">
        <v>7636.3</v>
      </c>
      <c r="W861">
        <v>7636.3</v>
      </c>
      <c r="X861">
        <v>0</v>
      </c>
      <c r="Y861">
        <v>0</v>
      </c>
      <c r="Z861">
        <v>-480</v>
      </c>
      <c r="AA861">
        <v>683135</v>
      </c>
      <c r="AD861" t="s">
        <v>2516</v>
      </c>
      <c r="AE861" t="s">
        <v>2567</v>
      </c>
      <c r="AF861" t="s">
        <v>2516</v>
      </c>
      <c r="AG861" s="1" t="s">
        <v>2578</v>
      </c>
      <c r="AH861" t="s">
        <v>2518</v>
      </c>
    </row>
    <row r="862" spans="1:34" x14ac:dyDescent="0.3">
      <c r="A862">
        <v>101</v>
      </c>
      <c r="B862" t="s">
        <v>34</v>
      </c>
      <c r="C862">
        <v>2</v>
      </c>
      <c r="D862" s="1" t="s">
        <v>2585</v>
      </c>
      <c r="E862" s="1" t="s">
        <v>36</v>
      </c>
      <c r="G862">
        <v>458611</v>
      </c>
      <c r="H862" t="s">
        <v>2576</v>
      </c>
      <c r="I862" t="s">
        <v>2413</v>
      </c>
      <c r="J862">
        <v>27</v>
      </c>
      <c r="K862">
        <v>2695</v>
      </c>
      <c r="L862">
        <v>95000</v>
      </c>
      <c r="M862" t="s">
        <v>69</v>
      </c>
      <c r="N862">
        <v>78</v>
      </c>
      <c r="O862" s="2">
        <v>46139</v>
      </c>
      <c r="P862" s="2">
        <v>46255</v>
      </c>
      <c r="R862" t="s">
        <v>2586</v>
      </c>
      <c r="S862" t="str">
        <f>""</f>
        <v/>
      </c>
      <c r="T862" t="s">
        <v>41</v>
      </c>
      <c r="U862">
        <v>12538.66</v>
      </c>
      <c r="V862">
        <v>12400.73</v>
      </c>
      <c r="W862">
        <v>12400.73</v>
      </c>
      <c r="X862">
        <v>0</v>
      </c>
      <c r="Y862">
        <v>0</v>
      </c>
      <c r="Z862">
        <v>-480</v>
      </c>
      <c r="AA862">
        <v>686253</v>
      </c>
      <c r="AD862" t="s">
        <v>2516</v>
      </c>
      <c r="AE862" t="s">
        <v>2567</v>
      </c>
      <c r="AF862" t="s">
        <v>2516</v>
      </c>
      <c r="AG862" s="1" t="s">
        <v>2578</v>
      </c>
      <c r="AH862" t="s">
        <v>2518</v>
      </c>
    </row>
    <row r="863" spans="1:34" x14ac:dyDescent="0.3">
      <c r="A863">
        <v>101</v>
      </c>
      <c r="B863" t="s">
        <v>34</v>
      </c>
      <c r="C863">
        <v>2</v>
      </c>
      <c r="D863" s="1" t="s">
        <v>2587</v>
      </c>
      <c r="E863" s="1" t="s">
        <v>36</v>
      </c>
      <c r="G863">
        <v>458612</v>
      </c>
      <c r="H863" t="s">
        <v>2588</v>
      </c>
      <c r="I863" t="s">
        <v>2413</v>
      </c>
      <c r="J863">
        <v>27</v>
      </c>
      <c r="K863">
        <v>2695</v>
      </c>
      <c r="L863">
        <v>95000</v>
      </c>
      <c r="M863" t="s">
        <v>69</v>
      </c>
      <c r="N863">
        <v>78</v>
      </c>
      <c r="O863" s="2">
        <v>46139</v>
      </c>
      <c r="P863" s="2">
        <v>46255</v>
      </c>
      <c r="R863" t="s">
        <v>2589</v>
      </c>
      <c r="S863" t="str">
        <f>""</f>
        <v/>
      </c>
      <c r="T863" t="s">
        <v>41</v>
      </c>
      <c r="U863">
        <v>8557.41</v>
      </c>
      <c r="V863">
        <v>8463.2800000000007</v>
      </c>
      <c r="W863">
        <v>8463.2800000000007</v>
      </c>
      <c r="X863">
        <v>0</v>
      </c>
      <c r="Y863">
        <v>0</v>
      </c>
      <c r="Z863">
        <v>-480</v>
      </c>
      <c r="AA863">
        <v>686259</v>
      </c>
      <c r="AD863" t="s">
        <v>2470</v>
      </c>
      <c r="AE863" t="s">
        <v>2567</v>
      </c>
      <c r="AF863" t="s">
        <v>2470</v>
      </c>
      <c r="AG863" s="1" t="s">
        <v>2590</v>
      </c>
      <c r="AH863" t="s">
        <v>2472</v>
      </c>
    </row>
    <row r="864" spans="1:34" x14ac:dyDescent="0.3">
      <c r="A864">
        <v>101</v>
      </c>
      <c r="B864" t="s">
        <v>34</v>
      </c>
      <c r="C864">
        <v>2</v>
      </c>
      <c r="D864" s="1" t="s">
        <v>2591</v>
      </c>
      <c r="E864" s="1" t="s">
        <v>36</v>
      </c>
      <c r="G864">
        <v>458612</v>
      </c>
      <c r="H864" t="s">
        <v>2588</v>
      </c>
      <c r="I864" t="s">
        <v>2413</v>
      </c>
      <c r="J864">
        <v>27</v>
      </c>
      <c r="K864">
        <v>2695</v>
      </c>
      <c r="L864">
        <v>95000</v>
      </c>
      <c r="M864" t="s">
        <v>69</v>
      </c>
      <c r="N864">
        <v>78</v>
      </c>
      <c r="O864" s="2">
        <v>46181</v>
      </c>
      <c r="P864" s="2">
        <v>46296</v>
      </c>
      <c r="R864" t="s">
        <v>2592</v>
      </c>
      <c r="S864" t="str">
        <f>""</f>
        <v/>
      </c>
      <c r="T864" t="s">
        <v>41</v>
      </c>
      <c r="U864">
        <v>1041.9000000000001</v>
      </c>
      <c r="V864">
        <v>1030.44</v>
      </c>
      <c r="W864">
        <v>1030.44</v>
      </c>
      <c r="X864">
        <v>0</v>
      </c>
      <c r="Y864">
        <v>0</v>
      </c>
      <c r="Z864">
        <v>-521</v>
      </c>
      <c r="AA864">
        <v>690647</v>
      </c>
      <c r="AD864" t="s">
        <v>2470</v>
      </c>
      <c r="AE864" t="s">
        <v>2567</v>
      </c>
      <c r="AF864" t="s">
        <v>2470</v>
      </c>
      <c r="AG864" s="1" t="s">
        <v>2590</v>
      </c>
      <c r="AH864" t="s">
        <v>2472</v>
      </c>
    </row>
    <row r="865" spans="1:34" x14ac:dyDescent="0.3">
      <c r="A865">
        <v>101</v>
      </c>
      <c r="B865" t="s">
        <v>34</v>
      </c>
      <c r="C865">
        <v>2</v>
      </c>
      <c r="D865" s="1" t="s">
        <v>2593</v>
      </c>
      <c r="E865" s="1" t="s">
        <v>36</v>
      </c>
      <c r="G865">
        <v>458612</v>
      </c>
      <c r="H865" t="s">
        <v>2588</v>
      </c>
      <c r="I865" t="s">
        <v>2413</v>
      </c>
      <c r="J865">
        <v>27</v>
      </c>
      <c r="K865">
        <v>2695</v>
      </c>
      <c r="L865">
        <v>95000</v>
      </c>
      <c r="M865" t="s">
        <v>69</v>
      </c>
      <c r="N865">
        <v>78</v>
      </c>
      <c r="O865" s="2">
        <v>46188</v>
      </c>
      <c r="P865" s="2">
        <v>46296</v>
      </c>
      <c r="R865" t="s">
        <v>2594</v>
      </c>
      <c r="S865" t="str">
        <f>""</f>
        <v/>
      </c>
      <c r="T865" t="s">
        <v>41</v>
      </c>
      <c r="U865">
        <v>2512.63</v>
      </c>
      <c r="V865">
        <v>2484.9899999999998</v>
      </c>
      <c r="W865">
        <v>2484.9899999999998</v>
      </c>
      <c r="X865">
        <v>0</v>
      </c>
      <c r="Y865">
        <v>0</v>
      </c>
      <c r="Z865">
        <v>-521</v>
      </c>
      <c r="AA865">
        <v>691327</v>
      </c>
      <c r="AD865" t="s">
        <v>2470</v>
      </c>
      <c r="AE865" t="s">
        <v>2567</v>
      </c>
      <c r="AF865" t="s">
        <v>2470</v>
      </c>
      <c r="AG865" s="1" t="s">
        <v>2590</v>
      </c>
      <c r="AH865" t="s">
        <v>2472</v>
      </c>
    </row>
    <row r="866" spans="1:34" x14ac:dyDescent="0.3">
      <c r="A866">
        <v>101</v>
      </c>
      <c r="B866" t="s">
        <v>34</v>
      </c>
      <c r="C866">
        <v>2</v>
      </c>
      <c r="D866" s="1" t="s">
        <v>2595</v>
      </c>
      <c r="E866" s="1" t="s">
        <v>36</v>
      </c>
      <c r="G866">
        <v>458612</v>
      </c>
      <c r="H866" t="s">
        <v>2588</v>
      </c>
      <c r="I866" t="s">
        <v>2413</v>
      </c>
      <c r="J866">
        <v>27</v>
      </c>
      <c r="K866">
        <v>2695</v>
      </c>
      <c r="L866">
        <v>95000</v>
      </c>
      <c r="M866" t="s">
        <v>69</v>
      </c>
      <c r="N866">
        <v>78</v>
      </c>
      <c r="O866" s="2">
        <v>46181</v>
      </c>
      <c r="P866" s="2">
        <v>46296</v>
      </c>
      <c r="R866" t="s">
        <v>2596</v>
      </c>
      <c r="S866" t="str">
        <f>""</f>
        <v/>
      </c>
      <c r="T866" t="s">
        <v>41</v>
      </c>
      <c r="U866">
        <v>3943.8</v>
      </c>
      <c r="V866">
        <v>3900.42</v>
      </c>
      <c r="W866">
        <v>3900.42</v>
      </c>
      <c r="X866">
        <v>0</v>
      </c>
      <c r="Y866">
        <v>0</v>
      </c>
      <c r="Z866">
        <v>-521</v>
      </c>
      <c r="AA866">
        <v>690609</v>
      </c>
      <c r="AD866" t="s">
        <v>2470</v>
      </c>
      <c r="AE866" t="s">
        <v>2567</v>
      </c>
      <c r="AF866" t="s">
        <v>2470</v>
      </c>
      <c r="AG866" s="1" t="s">
        <v>2590</v>
      </c>
      <c r="AH866" t="s">
        <v>2472</v>
      </c>
    </row>
    <row r="867" spans="1:34" x14ac:dyDescent="0.3">
      <c r="A867">
        <v>101</v>
      </c>
      <c r="B867" t="s">
        <v>34</v>
      </c>
      <c r="C867">
        <v>2</v>
      </c>
      <c r="D867" s="1" t="s">
        <v>2597</v>
      </c>
      <c r="E867" s="1" t="s">
        <v>36</v>
      </c>
      <c r="G867">
        <v>458613</v>
      </c>
      <c r="H867" t="s">
        <v>2598</v>
      </c>
      <c r="I867" t="s">
        <v>2413</v>
      </c>
      <c r="J867">
        <v>27</v>
      </c>
      <c r="K867">
        <v>2695</v>
      </c>
      <c r="L867">
        <v>95000</v>
      </c>
      <c r="M867" t="s">
        <v>69</v>
      </c>
      <c r="N867">
        <v>78</v>
      </c>
      <c r="O867" s="2">
        <v>46188</v>
      </c>
      <c r="P867" s="2">
        <v>46316</v>
      </c>
      <c r="R867" t="s">
        <v>2599</v>
      </c>
      <c r="S867" t="str">
        <f>""</f>
        <v/>
      </c>
      <c r="T867" t="s">
        <v>41</v>
      </c>
      <c r="U867">
        <v>1352.6</v>
      </c>
      <c r="V867">
        <v>1337.72</v>
      </c>
      <c r="W867">
        <v>1337.72</v>
      </c>
      <c r="X867">
        <v>0</v>
      </c>
      <c r="Y867">
        <v>0</v>
      </c>
      <c r="Z867">
        <v>-541</v>
      </c>
      <c r="AA867">
        <v>691341</v>
      </c>
      <c r="AD867" t="s">
        <v>2482</v>
      </c>
      <c r="AE867" t="s">
        <v>2567</v>
      </c>
      <c r="AF867" t="s">
        <v>2482</v>
      </c>
      <c r="AG867" s="1" t="s">
        <v>2600</v>
      </c>
      <c r="AH867" t="s">
        <v>2484</v>
      </c>
    </row>
    <row r="868" spans="1:34" x14ac:dyDescent="0.3">
      <c r="A868">
        <v>101</v>
      </c>
      <c r="B868" t="s">
        <v>34</v>
      </c>
      <c r="C868">
        <v>2</v>
      </c>
      <c r="D868" s="1" t="s">
        <v>2601</v>
      </c>
      <c r="E868" s="1" t="s">
        <v>36</v>
      </c>
      <c r="G868">
        <v>458613</v>
      </c>
      <c r="H868" t="s">
        <v>2598</v>
      </c>
      <c r="I868" t="s">
        <v>2413</v>
      </c>
      <c r="J868">
        <v>27</v>
      </c>
      <c r="K868">
        <v>2695</v>
      </c>
      <c r="L868">
        <v>95000</v>
      </c>
      <c r="M868" t="s">
        <v>69</v>
      </c>
      <c r="N868">
        <v>78</v>
      </c>
      <c r="O868" s="2">
        <v>46188</v>
      </c>
      <c r="P868" s="2">
        <v>46316</v>
      </c>
      <c r="R868" t="s">
        <v>2602</v>
      </c>
      <c r="S868" t="str">
        <f>""</f>
        <v/>
      </c>
      <c r="T868" t="s">
        <v>41</v>
      </c>
      <c r="U868">
        <v>2379.9</v>
      </c>
      <c r="V868">
        <v>2353.7199999999998</v>
      </c>
      <c r="W868">
        <v>2353.7199999999998</v>
      </c>
      <c r="X868">
        <v>0</v>
      </c>
      <c r="Y868">
        <v>0</v>
      </c>
      <c r="Z868">
        <v>-541</v>
      </c>
      <c r="AA868">
        <v>691357</v>
      </c>
      <c r="AD868" t="s">
        <v>2482</v>
      </c>
      <c r="AE868" t="s">
        <v>2567</v>
      </c>
      <c r="AF868" t="s">
        <v>2482</v>
      </c>
      <c r="AG868" s="1" t="s">
        <v>2600</v>
      </c>
      <c r="AH868" t="s">
        <v>2484</v>
      </c>
    </row>
    <row r="869" spans="1:34" x14ac:dyDescent="0.3">
      <c r="A869">
        <v>101</v>
      </c>
      <c r="B869" t="s">
        <v>34</v>
      </c>
      <c r="C869">
        <v>2</v>
      </c>
      <c r="D869" s="1" t="s">
        <v>2603</v>
      </c>
      <c r="E869" s="1" t="s">
        <v>36</v>
      </c>
      <c r="G869">
        <v>458613</v>
      </c>
      <c r="H869" t="s">
        <v>2598</v>
      </c>
      <c r="I869" t="s">
        <v>2413</v>
      </c>
      <c r="J869">
        <v>27</v>
      </c>
      <c r="K869">
        <v>2695</v>
      </c>
      <c r="L869">
        <v>95000</v>
      </c>
      <c r="M869" t="s">
        <v>69</v>
      </c>
      <c r="N869">
        <v>78</v>
      </c>
      <c r="O869" s="2">
        <v>46188</v>
      </c>
      <c r="P869" s="2">
        <v>46316</v>
      </c>
      <c r="R869" t="s">
        <v>2604</v>
      </c>
      <c r="S869" t="str">
        <f>""</f>
        <v/>
      </c>
      <c r="T869" t="s">
        <v>41</v>
      </c>
      <c r="U869">
        <v>5286.14</v>
      </c>
      <c r="V869">
        <v>5227.99</v>
      </c>
      <c r="W869">
        <v>5227.99</v>
      </c>
      <c r="X869">
        <v>0</v>
      </c>
      <c r="Y869">
        <v>0</v>
      </c>
      <c r="Z869">
        <v>-541</v>
      </c>
      <c r="AA869">
        <v>691325</v>
      </c>
      <c r="AD869" t="s">
        <v>2482</v>
      </c>
      <c r="AE869" t="s">
        <v>2567</v>
      </c>
      <c r="AF869" t="s">
        <v>2482</v>
      </c>
      <c r="AG869" s="1" t="s">
        <v>2600</v>
      </c>
      <c r="AH869" t="s">
        <v>2484</v>
      </c>
    </row>
    <row r="870" spans="1:34" x14ac:dyDescent="0.3">
      <c r="A870">
        <v>101</v>
      </c>
      <c r="B870" t="s">
        <v>34</v>
      </c>
      <c r="C870">
        <v>2</v>
      </c>
      <c r="D870" s="1" t="s">
        <v>2605</v>
      </c>
      <c r="E870" s="1" t="s">
        <v>36</v>
      </c>
      <c r="G870">
        <v>458613</v>
      </c>
      <c r="H870" t="s">
        <v>2598</v>
      </c>
      <c r="I870" t="s">
        <v>2413</v>
      </c>
      <c r="J870">
        <v>27</v>
      </c>
      <c r="K870">
        <v>2695</v>
      </c>
      <c r="L870">
        <v>95000</v>
      </c>
      <c r="M870" t="s">
        <v>69</v>
      </c>
      <c r="N870">
        <v>78</v>
      </c>
      <c r="O870" s="2">
        <v>46139</v>
      </c>
      <c r="P870" s="2">
        <v>46255</v>
      </c>
      <c r="R870" t="s">
        <v>2606</v>
      </c>
      <c r="S870" t="str">
        <f>""</f>
        <v/>
      </c>
      <c r="T870" t="s">
        <v>41</v>
      </c>
      <c r="U870">
        <v>8049.56</v>
      </c>
      <c r="V870">
        <v>7961.01</v>
      </c>
      <c r="W870">
        <v>7961.01</v>
      </c>
      <c r="X870">
        <v>0</v>
      </c>
      <c r="Y870">
        <v>0</v>
      </c>
      <c r="Z870">
        <v>-480</v>
      </c>
      <c r="AA870">
        <v>686257</v>
      </c>
      <c r="AD870" t="s">
        <v>2482</v>
      </c>
      <c r="AE870" t="s">
        <v>2567</v>
      </c>
      <c r="AF870" t="s">
        <v>2482</v>
      </c>
      <c r="AG870" s="1" t="s">
        <v>2600</v>
      </c>
      <c r="AH870" t="s">
        <v>2484</v>
      </c>
    </row>
    <row r="871" spans="1:34" x14ac:dyDescent="0.3">
      <c r="A871">
        <v>101</v>
      </c>
      <c r="B871" t="s">
        <v>34</v>
      </c>
      <c r="C871">
        <v>2</v>
      </c>
      <c r="D871" s="1" t="s">
        <v>2607</v>
      </c>
      <c r="E871" s="1" t="s">
        <v>36</v>
      </c>
      <c r="G871">
        <v>458614</v>
      </c>
      <c r="H871" t="s">
        <v>2608</v>
      </c>
      <c r="I871" t="s">
        <v>2413</v>
      </c>
      <c r="J871">
        <v>27</v>
      </c>
      <c r="K871">
        <v>2695</v>
      </c>
      <c r="L871">
        <v>95000</v>
      </c>
      <c r="M871" t="s">
        <v>69</v>
      </c>
      <c r="N871">
        <v>78</v>
      </c>
      <c r="O871" s="2">
        <v>46139</v>
      </c>
      <c r="P871" s="2">
        <v>46255</v>
      </c>
      <c r="R871" t="s">
        <v>2609</v>
      </c>
      <c r="S871" t="str">
        <f>""</f>
        <v/>
      </c>
      <c r="T871" t="s">
        <v>41</v>
      </c>
      <c r="U871">
        <v>7112.67</v>
      </c>
      <c r="V871">
        <v>7034.43</v>
      </c>
      <c r="W871">
        <v>7034.43</v>
      </c>
      <c r="X871">
        <v>0</v>
      </c>
      <c r="Y871">
        <v>0</v>
      </c>
      <c r="Z871">
        <v>-480</v>
      </c>
      <c r="AA871">
        <v>686249</v>
      </c>
      <c r="AD871" t="s">
        <v>2610</v>
      </c>
      <c r="AE871" t="s">
        <v>2567</v>
      </c>
      <c r="AF871" t="s">
        <v>2610</v>
      </c>
      <c r="AG871" s="1" t="s">
        <v>2611</v>
      </c>
      <c r="AH871" t="s">
        <v>2484</v>
      </c>
    </row>
    <row r="872" spans="1:34" x14ac:dyDescent="0.3">
      <c r="A872">
        <v>101</v>
      </c>
      <c r="B872" t="s">
        <v>34</v>
      </c>
      <c r="C872">
        <v>2</v>
      </c>
      <c r="D872" s="1" t="s">
        <v>2612</v>
      </c>
      <c r="E872" s="1" t="s">
        <v>36</v>
      </c>
      <c r="G872">
        <v>458614</v>
      </c>
      <c r="H872" t="s">
        <v>2608</v>
      </c>
      <c r="I872" t="s">
        <v>2413</v>
      </c>
      <c r="J872">
        <v>27</v>
      </c>
      <c r="K872">
        <v>2695</v>
      </c>
      <c r="L872">
        <v>95000</v>
      </c>
      <c r="M872" t="s">
        <v>69</v>
      </c>
      <c r="N872">
        <v>78</v>
      </c>
      <c r="O872" s="2">
        <v>46188</v>
      </c>
      <c r="P872" s="2">
        <v>46308</v>
      </c>
      <c r="R872" t="s">
        <v>2613</v>
      </c>
      <c r="S872" t="str">
        <f>""</f>
        <v/>
      </c>
      <c r="T872" t="s">
        <v>41</v>
      </c>
      <c r="U872">
        <v>2475.04</v>
      </c>
      <c r="V872">
        <v>2447.81</v>
      </c>
      <c r="W872">
        <v>2447.81</v>
      </c>
      <c r="X872">
        <v>0</v>
      </c>
      <c r="Y872">
        <v>0</v>
      </c>
      <c r="Z872">
        <v>-533</v>
      </c>
      <c r="AA872">
        <v>691317</v>
      </c>
      <c r="AD872" t="s">
        <v>2610</v>
      </c>
      <c r="AE872" t="s">
        <v>2567</v>
      </c>
      <c r="AF872" t="s">
        <v>2610</v>
      </c>
      <c r="AG872" s="1" t="s">
        <v>2611</v>
      </c>
      <c r="AH872" t="s">
        <v>2484</v>
      </c>
    </row>
    <row r="873" spans="1:34" x14ac:dyDescent="0.3">
      <c r="A873">
        <v>101</v>
      </c>
      <c r="B873" t="s">
        <v>34</v>
      </c>
      <c r="C873">
        <v>2</v>
      </c>
      <c r="D873" s="1" t="s">
        <v>2614</v>
      </c>
      <c r="E873" s="1" t="s">
        <v>36</v>
      </c>
      <c r="G873">
        <v>458614</v>
      </c>
      <c r="H873" t="s">
        <v>2608</v>
      </c>
      <c r="I873" t="s">
        <v>2413</v>
      </c>
      <c r="J873">
        <v>27</v>
      </c>
      <c r="K873">
        <v>2695</v>
      </c>
      <c r="L873">
        <v>95000</v>
      </c>
      <c r="M873" t="s">
        <v>69</v>
      </c>
      <c r="N873">
        <v>78</v>
      </c>
      <c r="O873" s="2">
        <v>46181</v>
      </c>
      <c r="P873" s="2">
        <v>46308</v>
      </c>
      <c r="R873" t="s">
        <v>2615</v>
      </c>
      <c r="S873" t="str">
        <f>""</f>
        <v/>
      </c>
      <c r="T873" t="s">
        <v>41</v>
      </c>
      <c r="U873">
        <v>833.52</v>
      </c>
      <c r="V873">
        <v>824.35</v>
      </c>
      <c r="W873">
        <v>824.35</v>
      </c>
      <c r="X873">
        <v>0</v>
      </c>
      <c r="Y873">
        <v>0</v>
      </c>
      <c r="Z873">
        <v>-533</v>
      </c>
      <c r="AA873">
        <v>690641</v>
      </c>
      <c r="AD873" t="s">
        <v>2610</v>
      </c>
      <c r="AE873" t="s">
        <v>2567</v>
      </c>
      <c r="AF873" t="s">
        <v>2610</v>
      </c>
      <c r="AG873" s="1" t="s">
        <v>2611</v>
      </c>
      <c r="AH873" t="s">
        <v>2484</v>
      </c>
    </row>
    <row r="874" spans="1:34" x14ac:dyDescent="0.3">
      <c r="A874">
        <v>101</v>
      </c>
      <c r="B874" t="s">
        <v>34</v>
      </c>
      <c r="C874">
        <v>2</v>
      </c>
      <c r="D874" s="1" t="s">
        <v>2616</v>
      </c>
      <c r="E874" s="1" t="s">
        <v>36</v>
      </c>
      <c r="G874">
        <v>458614</v>
      </c>
      <c r="H874" t="s">
        <v>2608</v>
      </c>
      <c r="I874" t="s">
        <v>2413</v>
      </c>
      <c r="J874">
        <v>27</v>
      </c>
      <c r="K874">
        <v>2695</v>
      </c>
      <c r="L874">
        <v>95000</v>
      </c>
      <c r="M874" t="s">
        <v>69</v>
      </c>
      <c r="N874">
        <v>78</v>
      </c>
      <c r="O874" s="2">
        <v>46181</v>
      </c>
      <c r="P874" s="2">
        <v>46308</v>
      </c>
      <c r="R874" t="s">
        <v>2617</v>
      </c>
      <c r="S874" t="str">
        <f>""</f>
        <v/>
      </c>
      <c r="T874" t="s">
        <v>41</v>
      </c>
      <c r="U874">
        <v>1352.6</v>
      </c>
      <c r="V874">
        <v>1337.72</v>
      </c>
      <c r="W874">
        <v>1337.72</v>
      </c>
      <c r="X874">
        <v>0</v>
      </c>
      <c r="Y874">
        <v>0</v>
      </c>
      <c r="Z874">
        <v>-533</v>
      </c>
      <c r="AA874">
        <v>690605</v>
      </c>
      <c r="AD874" t="s">
        <v>2610</v>
      </c>
      <c r="AE874" t="s">
        <v>2567</v>
      </c>
      <c r="AF874" t="s">
        <v>2610</v>
      </c>
      <c r="AG874" s="1" t="s">
        <v>2611</v>
      </c>
      <c r="AH874" t="s">
        <v>2484</v>
      </c>
    </row>
    <row r="875" spans="1:34" x14ac:dyDescent="0.3">
      <c r="A875">
        <v>101</v>
      </c>
      <c r="B875" t="s">
        <v>34</v>
      </c>
      <c r="C875">
        <v>2</v>
      </c>
      <c r="D875" s="1" t="s">
        <v>2618</v>
      </c>
      <c r="E875" s="1" t="s">
        <v>36</v>
      </c>
      <c r="G875">
        <v>458615</v>
      </c>
      <c r="H875" t="s">
        <v>2619</v>
      </c>
      <c r="I875" t="s">
        <v>2413</v>
      </c>
      <c r="J875">
        <v>27</v>
      </c>
      <c r="K875">
        <v>2695</v>
      </c>
      <c r="L875">
        <v>95000</v>
      </c>
      <c r="M875" t="s">
        <v>69</v>
      </c>
      <c r="N875">
        <v>78</v>
      </c>
      <c r="O875" s="2">
        <v>46188</v>
      </c>
      <c r="P875" s="2">
        <v>46308</v>
      </c>
      <c r="R875" t="s">
        <v>2620</v>
      </c>
      <c r="S875" t="str">
        <f>""</f>
        <v/>
      </c>
      <c r="T875" t="s">
        <v>41</v>
      </c>
      <c r="U875">
        <v>3578.03</v>
      </c>
      <c r="V875">
        <v>3538.67</v>
      </c>
      <c r="W875">
        <v>3538.67</v>
      </c>
      <c r="X875">
        <v>0</v>
      </c>
      <c r="Y875">
        <v>0</v>
      </c>
      <c r="Z875">
        <v>-533</v>
      </c>
      <c r="AA875">
        <v>691329</v>
      </c>
      <c r="AD875" t="s">
        <v>2494</v>
      </c>
      <c r="AE875" t="s">
        <v>2567</v>
      </c>
      <c r="AF875" t="s">
        <v>2494</v>
      </c>
      <c r="AG875" s="1" t="s">
        <v>2621</v>
      </c>
      <c r="AH875" t="s">
        <v>2472</v>
      </c>
    </row>
    <row r="876" spans="1:34" x14ac:dyDescent="0.3">
      <c r="A876">
        <v>101</v>
      </c>
      <c r="B876" t="s">
        <v>34</v>
      </c>
      <c r="C876">
        <v>2</v>
      </c>
      <c r="D876" s="1" t="s">
        <v>2622</v>
      </c>
      <c r="E876" s="1" t="s">
        <v>36</v>
      </c>
      <c r="G876">
        <v>458615</v>
      </c>
      <c r="H876" t="s">
        <v>2619</v>
      </c>
      <c r="I876" t="s">
        <v>2413</v>
      </c>
      <c r="J876">
        <v>27</v>
      </c>
      <c r="K876">
        <v>2695</v>
      </c>
      <c r="L876">
        <v>95000</v>
      </c>
      <c r="M876" t="s">
        <v>69</v>
      </c>
      <c r="N876">
        <v>78</v>
      </c>
      <c r="O876" s="2">
        <v>46188</v>
      </c>
      <c r="P876" s="2">
        <v>46308</v>
      </c>
      <c r="R876" t="s">
        <v>2623</v>
      </c>
      <c r="S876" t="str">
        <f>""</f>
        <v/>
      </c>
      <c r="T876" t="s">
        <v>41</v>
      </c>
      <c r="U876">
        <v>1586.6</v>
      </c>
      <c r="V876">
        <v>1569.15</v>
      </c>
      <c r="W876">
        <v>1569.15</v>
      </c>
      <c r="X876">
        <v>0</v>
      </c>
      <c r="Y876">
        <v>0</v>
      </c>
      <c r="Z876">
        <v>-533</v>
      </c>
      <c r="AA876">
        <v>691359</v>
      </c>
      <c r="AD876" t="s">
        <v>2494</v>
      </c>
      <c r="AE876" t="s">
        <v>2567</v>
      </c>
      <c r="AF876" t="s">
        <v>2494</v>
      </c>
      <c r="AG876" s="1" t="s">
        <v>2621</v>
      </c>
      <c r="AH876" t="s">
        <v>2472</v>
      </c>
    </row>
    <row r="877" spans="1:34" x14ac:dyDescent="0.3">
      <c r="A877">
        <v>101</v>
      </c>
      <c r="B877" t="s">
        <v>34</v>
      </c>
      <c r="C877">
        <v>2</v>
      </c>
      <c r="D877" s="1" t="s">
        <v>2624</v>
      </c>
      <c r="E877" s="1" t="s">
        <v>36</v>
      </c>
      <c r="G877">
        <v>458615</v>
      </c>
      <c r="H877" t="s">
        <v>2619</v>
      </c>
      <c r="I877" t="s">
        <v>2413</v>
      </c>
      <c r="J877">
        <v>27</v>
      </c>
      <c r="K877">
        <v>2695</v>
      </c>
      <c r="L877">
        <v>95000</v>
      </c>
      <c r="M877" t="s">
        <v>69</v>
      </c>
      <c r="N877">
        <v>78</v>
      </c>
      <c r="O877" s="2">
        <v>46139</v>
      </c>
      <c r="P877" s="2">
        <v>46255</v>
      </c>
      <c r="R877" t="s">
        <v>2625</v>
      </c>
      <c r="S877" t="str">
        <f>""</f>
        <v/>
      </c>
      <c r="T877" t="s">
        <v>41</v>
      </c>
      <c r="U877">
        <v>5696.84</v>
      </c>
      <c r="V877">
        <v>5634.17</v>
      </c>
      <c r="W877">
        <v>5634.17</v>
      </c>
      <c r="X877">
        <v>0</v>
      </c>
      <c r="Y877">
        <v>0</v>
      </c>
      <c r="Z877">
        <v>-480</v>
      </c>
      <c r="AA877">
        <v>686261</v>
      </c>
      <c r="AD877" t="s">
        <v>2494</v>
      </c>
      <c r="AE877" t="s">
        <v>2567</v>
      </c>
      <c r="AF877" t="s">
        <v>2494</v>
      </c>
      <c r="AG877" s="1" t="s">
        <v>2621</v>
      </c>
      <c r="AH877" t="s">
        <v>2472</v>
      </c>
    </row>
    <row r="878" spans="1:34" x14ac:dyDescent="0.3">
      <c r="A878">
        <v>101</v>
      </c>
      <c r="B878" t="s">
        <v>34</v>
      </c>
      <c r="C878">
        <v>2</v>
      </c>
      <c r="D878" s="1" t="s">
        <v>2626</v>
      </c>
      <c r="E878" s="1" t="s">
        <v>36</v>
      </c>
      <c r="G878">
        <v>463588</v>
      </c>
      <c r="H878" t="s">
        <v>2627</v>
      </c>
      <c r="I878" t="s">
        <v>2413</v>
      </c>
      <c r="J878">
        <v>27</v>
      </c>
      <c r="K878">
        <v>2695</v>
      </c>
      <c r="L878">
        <v>95000</v>
      </c>
      <c r="M878" t="s">
        <v>69</v>
      </c>
      <c r="N878">
        <v>78</v>
      </c>
      <c r="O878" s="2">
        <v>46181</v>
      </c>
      <c r="P878" s="2">
        <v>46329</v>
      </c>
      <c r="R878" t="s">
        <v>2628</v>
      </c>
      <c r="S878" t="str">
        <f>""</f>
        <v/>
      </c>
      <c r="T878" t="s">
        <v>41</v>
      </c>
      <c r="U878">
        <v>1041.9000000000001</v>
      </c>
      <c r="V878">
        <v>1030.44</v>
      </c>
      <c r="W878">
        <v>1030.44</v>
      </c>
      <c r="X878">
        <v>0</v>
      </c>
      <c r="Y878">
        <v>0</v>
      </c>
      <c r="Z878">
        <v>-554</v>
      </c>
      <c r="AA878">
        <v>690629</v>
      </c>
      <c r="AD878" t="s">
        <v>2629</v>
      </c>
      <c r="AE878" t="s">
        <v>2567</v>
      </c>
      <c r="AF878" t="s">
        <v>2629</v>
      </c>
      <c r="AG878" s="1" t="s">
        <v>2630</v>
      </c>
      <c r="AH878" t="s">
        <v>2518</v>
      </c>
    </row>
    <row r="879" spans="1:34" x14ac:dyDescent="0.3">
      <c r="A879">
        <v>101</v>
      </c>
      <c r="B879" t="s">
        <v>34</v>
      </c>
      <c r="C879">
        <v>2</v>
      </c>
      <c r="D879" s="1" t="s">
        <v>2631</v>
      </c>
      <c r="E879" s="1" t="s">
        <v>36</v>
      </c>
      <c r="G879">
        <v>463588</v>
      </c>
      <c r="H879" t="s">
        <v>2627</v>
      </c>
      <c r="I879" t="s">
        <v>2413</v>
      </c>
      <c r="J879">
        <v>27</v>
      </c>
      <c r="K879">
        <v>2695</v>
      </c>
      <c r="L879">
        <v>95000</v>
      </c>
      <c r="M879" t="s">
        <v>69</v>
      </c>
      <c r="N879">
        <v>78</v>
      </c>
      <c r="O879" s="2">
        <v>46139</v>
      </c>
      <c r="P879" s="2">
        <v>46255</v>
      </c>
      <c r="R879" t="s">
        <v>2632</v>
      </c>
      <c r="S879" t="str">
        <f>""</f>
        <v/>
      </c>
      <c r="T879" t="s">
        <v>41</v>
      </c>
      <c r="U879">
        <v>4519.84</v>
      </c>
      <c r="V879">
        <v>4470.12</v>
      </c>
      <c r="W879">
        <v>4470.12</v>
      </c>
      <c r="X879">
        <v>0</v>
      </c>
      <c r="Y879">
        <v>0</v>
      </c>
      <c r="Z879">
        <v>-480</v>
      </c>
      <c r="AA879">
        <v>686231</v>
      </c>
      <c r="AD879" t="s">
        <v>2629</v>
      </c>
      <c r="AE879" t="s">
        <v>2567</v>
      </c>
      <c r="AF879" t="s">
        <v>2629</v>
      </c>
      <c r="AG879" s="1" t="s">
        <v>2630</v>
      </c>
      <c r="AH879" t="s">
        <v>2518</v>
      </c>
    </row>
    <row r="880" spans="1:34" x14ac:dyDescent="0.3">
      <c r="A880">
        <v>101</v>
      </c>
      <c r="B880" t="s">
        <v>34</v>
      </c>
      <c r="C880">
        <v>2</v>
      </c>
      <c r="D880" s="1" t="s">
        <v>2633</v>
      </c>
      <c r="E880" s="1" t="s">
        <v>36</v>
      </c>
      <c r="G880">
        <v>463588</v>
      </c>
      <c r="H880" t="s">
        <v>2627</v>
      </c>
      <c r="I880" t="s">
        <v>2413</v>
      </c>
      <c r="J880">
        <v>27</v>
      </c>
      <c r="K880">
        <v>2695</v>
      </c>
      <c r="L880">
        <v>95000</v>
      </c>
      <c r="M880" t="s">
        <v>69</v>
      </c>
      <c r="N880">
        <v>78</v>
      </c>
      <c r="O880" s="2">
        <v>46181</v>
      </c>
      <c r="P880" s="2">
        <v>46329</v>
      </c>
      <c r="R880" t="s">
        <v>2634</v>
      </c>
      <c r="S880" t="str">
        <f>""</f>
        <v/>
      </c>
      <c r="T880" t="s">
        <v>41</v>
      </c>
      <c r="U880">
        <v>6806.13</v>
      </c>
      <c r="V880">
        <v>6731.26</v>
      </c>
      <c r="W880">
        <v>6731.26</v>
      </c>
      <c r="X880">
        <v>0</v>
      </c>
      <c r="Y880">
        <v>0</v>
      </c>
      <c r="Z880">
        <v>-554</v>
      </c>
      <c r="AA880">
        <v>690589</v>
      </c>
      <c r="AD880" t="s">
        <v>2629</v>
      </c>
      <c r="AE880" t="s">
        <v>2567</v>
      </c>
      <c r="AF880" t="s">
        <v>2629</v>
      </c>
      <c r="AG880" s="1" t="s">
        <v>2630</v>
      </c>
      <c r="AH880" t="s">
        <v>2518</v>
      </c>
    </row>
    <row r="881" spans="1:34" x14ac:dyDescent="0.3">
      <c r="A881">
        <v>101</v>
      </c>
      <c r="B881" t="s">
        <v>34</v>
      </c>
      <c r="C881">
        <v>2</v>
      </c>
      <c r="D881" s="1" t="s">
        <v>2635</v>
      </c>
      <c r="E881" s="1" t="s">
        <v>36</v>
      </c>
      <c r="G881">
        <v>463588</v>
      </c>
      <c r="H881" t="s">
        <v>2627</v>
      </c>
      <c r="I881" t="s">
        <v>2413</v>
      </c>
      <c r="J881">
        <v>27</v>
      </c>
      <c r="K881">
        <v>2695</v>
      </c>
      <c r="L881">
        <v>95080</v>
      </c>
      <c r="M881" t="s">
        <v>83</v>
      </c>
      <c r="N881">
        <v>78</v>
      </c>
      <c r="O881" s="2">
        <v>46106</v>
      </c>
      <c r="P881" s="2">
        <v>46196</v>
      </c>
      <c r="R881" t="s">
        <v>2636</v>
      </c>
      <c r="S881" t="str">
        <f>""</f>
        <v/>
      </c>
      <c r="T881" t="s">
        <v>41</v>
      </c>
      <c r="U881">
        <v>6819.51</v>
      </c>
      <c r="V881">
        <v>6744.5</v>
      </c>
      <c r="W881">
        <v>6744.5</v>
      </c>
      <c r="X881">
        <v>0</v>
      </c>
      <c r="Y881">
        <v>0</v>
      </c>
      <c r="Z881">
        <v>-421</v>
      </c>
      <c r="AA881">
        <v>683111</v>
      </c>
      <c r="AD881" t="s">
        <v>2629</v>
      </c>
      <c r="AE881" t="s">
        <v>2567</v>
      </c>
      <c r="AF881" t="s">
        <v>2629</v>
      </c>
      <c r="AG881" s="1" t="s">
        <v>2630</v>
      </c>
      <c r="AH881" t="s">
        <v>2518</v>
      </c>
    </row>
    <row r="882" spans="1:34" x14ac:dyDescent="0.3">
      <c r="A882">
        <v>101</v>
      </c>
      <c r="B882" t="s">
        <v>34</v>
      </c>
      <c r="C882">
        <v>2</v>
      </c>
      <c r="D882" s="1" t="s">
        <v>2637</v>
      </c>
      <c r="E882" s="1" t="s">
        <v>36</v>
      </c>
      <c r="G882">
        <v>463588</v>
      </c>
      <c r="H882" t="s">
        <v>2627</v>
      </c>
      <c r="I882" t="s">
        <v>2413</v>
      </c>
      <c r="J882">
        <v>27</v>
      </c>
      <c r="K882">
        <v>2695</v>
      </c>
      <c r="L882">
        <v>95000</v>
      </c>
      <c r="M882" t="s">
        <v>69</v>
      </c>
      <c r="N882">
        <v>78</v>
      </c>
      <c r="O882" s="2">
        <v>46188</v>
      </c>
      <c r="P882" s="2">
        <v>46308</v>
      </c>
      <c r="R882" t="s">
        <v>2638</v>
      </c>
      <c r="S882" t="str">
        <f>""</f>
        <v/>
      </c>
      <c r="T882" t="s">
        <v>41</v>
      </c>
      <c r="U882">
        <v>9716.64</v>
      </c>
      <c r="V882">
        <v>9361.9500000000007</v>
      </c>
      <c r="W882">
        <v>9361.9500000000007</v>
      </c>
      <c r="X882">
        <v>0</v>
      </c>
      <c r="Y882">
        <v>0</v>
      </c>
      <c r="Z882">
        <v>-533</v>
      </c>
      <c r="AA882">
        <v>691299</v>
      </c>
      <c r="AD882" t="s">
        <v>2629</v>
      </c>
      <c r="AE882" t="s">
        <v>2567</v>
      </c>
      <c r="AF882" t="s">
        <v>2629</v>
      </c>
      <c r="AG882" s="1" t="s">
        <v>2630</v>
      </c>
      <c r="AH882" t="s">
        <v>2518</v>
      </c>
    </row>
    <row r="883" spans="1:34" x14ac:dyDescent="0.3">
      <c r="A883">
        <v>101</v>
      </c>
      <c r="B883" t="s">
        <v>34</v>
      </c>
      <c r="C883">
        <v>2</v>
      </c>
      <c r="D883" s="1" t="s">
        <v>2639</v>
      </c>
      <c r="E883" s="1" t="s">
        <v>36</v>
      </c>
      <c r="G883">
        <v>463588</v>
      </c>
      <c r="H883" t="s">
        <v>2627</v>
      </c>
      <c r="I883" t="s">
        <v>2413</v>
      </c>
      <c r="J883">
        <v>27</v>
      </c>
      <c r="K883">
        <v>2695</v>
      </c>
      <c r="L883">
        <v>95000</v>
      </c>
      <c r="M883" t="s">
        <v>69</v>
      </c>
      <c r="N883">
        <v>78</v>
      </c>
      <c r="O883" s="2">
        <v>46206</v>
      </c>
      <c r="P883" s="2">
        <v>46271</v>
      </c>
      <c r="R883" t="s">
        <v>2640</v>
      </c>
      <c r="S883" t="str">
        <f>""</f>
        <v/>
      </c>
      <c r="T883" t="s">
        <v>41</v>
      </c>
      <c r="U883">
        <v>248.37</v>
      </c>
      <c r="V883">
        <v>248.37</v>
      </c>
      <c r="W883">
        <v>248.37</v>
      </c>
      <c r="X883">
        <v>0</v>
      </c>
      <c r="Y883">
        <v>0</v>
      </c>
      <c r="Z883">
        <v>-496</v>
      </c>
      <c r="AD883" t="s">
        <v>2629</v>
      </c>
      <c r="AE883" t="s">
        <v>2567</v>
      </c>
      <c r="AF883" t="s">
        <v>2629</v>
      </c>
      <c r="AG883" s="1" t="s">
        <v>2630</v>
      </c>
      <c r="AH883" t="s">
        <v>2518</v>
      </c>
    </row>
    <row r="884" spans="1:34" x14ac:dyDescent="0.3">
      <c r="A884">
        <v>104</v>
      </c>
      <c r="B884" t="s">
        <v>34</v>
      </c>
      <c r="C884">
        <v>4</v>
      </c>
      <c r="D884" s="1" t="s">
        <v>2641</v>
      </c>
      <c r="E884" s="1" t="s">
        <v>36</v>
      </c>
      <c r="G884">
        <v>463975</v>
      </c>
      <c r="H884" t="s">
        <v>2642</v>
      </c>
      <c r="I884" t="s">
        <v>2643</v>
      </c>
      <c r="J884">
        <v>15</v>
      </c>
      <c r="K884">
        <v>463975</v>
      </c>
      <c r="L884">
        <v>50341</v>
      </c>
      <c r="M884" t="s">
        <v>146</v>
      </c>
      <c r="N884">
        <v>78</v>
      </c>
      <c r="O884" s="2">
        <v>46234</v>
      </c>
      <c r="P884" s="2">
        <v>46286</v>
      </c>
      <c r="R884" t="s">
        <v>2644</v>
      </c>
      <c r="S884" t="str">
        <f>"00013431"</f>
        <v>00013431</v>
      </c>
      <c r="T884" t="s">
        <v>41</v>
      </c>
      <c r="U884">
        <v>219654.66</v>
      </c>
      <c r="V884">
        <v>209654.66</v>
      </c>
      <c r="W884">
        <v>209654.66</v>
      </c>
      <c r="X884">
        <v>0</v>
      </c>
      <c r="Y884">
        <v>0</v>
      </c>
      <c r="Z884">
        <v>-511</v>
      </c>
      <c r="AA884" t="s">
        <v>2645</v>
      </c>
      <c r="AD884" t="s">
        <v>2437</v>
      </c>
      <c r="AE884" t="s">
        <v>2646</v>
      </c>
      <c r="AF884" t="s">
        <v>2437</v>
      </c>
      <c r="AG884" s="1" t="s">
        <v>2647</v>
      </c>
      <c r="AH884" t="s">
        <v>2403</v>
      </c>
    </row>
    <row r="885" spans="1:34" x14ac:dyDescent="0.3">
      <c r="A885">
        <v>104</v>
      </c>
      <c r="B885" t="s">
        <v>34</v>
      </c>
      <c r="C885">
        <v>4</v>
      </c>
      <c r="D885" s="1" t="s">
        <v>2648</v>
      </c>
      <c r="E885" s="1" t="s">
        <v>36</v>
      </c>
      <c r="G885">
        <v>463975</v>
      </c>
      <c r="H885" t="s">
        <v>2642</v>
      </c>
      <c r="I885" t="s">
        <v>2643</v>
      </c>
      <c r="J885">
        <v>15</v>
      </c>
      <c r="K885">
        <v>463975</v>
      </c>
      <c r="L885">
        <v>50341</v>
      </c>
      <c r="M885" t="s">
        <v>146</v>
      </c>
      <c r="N885">
        <v>78</v>
      </c>
      <c r="O885" s="2">
        <v>46234</v>
      </c>
      <c r="P885" s="2">
        <v>46286</v>
      </c>
      <c r="R885" t="s">
        <v>2649</v>
      </c>
      <c r="S885" t="str">
        <f>"00013432"</f>
        <v>00013432</v>
      </c>
      <c r="T885" t="s">
        <v>41</v>
      </c>
      <c r="U885">
        <v>8505</v>
      </c>
      <c r="V885">
        <v>8505</v>
      </c>
      <c r="W885">
        <v>8505</v>
      </c>
      <c r="X885">
        <v>0</v>
      </c>
      <c r="Y885">
        <v>0</v>
      </c>
      <c r="Z885">
        <v>-511</v>
      </c>
      <c r="AA885">
        <v>695710</v>
      </c>
      <c r="AD885" t="s">
        <v>2437</v>
      </c>
      <c r="AE885" t="s">
        <v>2646</v>
      </c>
      <c r="AF885" t="s">
        <v>2437</v>
      </c>
      <c r="AG885" s="1" t="s">
        <v>2647</v>
      </c>
      <c r="AH885" t="s">
        <v>2403</v>
      </c>
    </row>
    <row r="886" spans="1:34" x14ac:dyDescent="0.3">
      <c r="A886">
        <v>106</v>
      </c>
      <c r="B886" t="s">
        <v>34</v>
      </c>
      <c r="C886">
        <v>2</v>
      </c>
      <c r="D886" s="1" t="s">
        <v>2650</v>
      </c>
      <c r="E886" s="1" t="s">
        <v>36</v>
      </c>
      <c r="G886">
        <v>463975</v>
      </c>
      <c r="H886" t="s">
        <v>2642</v>
      </c>
      <c r="I886" t="s">
        <v>2643</v>
      </c>
      <c r="J886">
        <v>15</v>
      </c>
      <c r="K886">
        <v>463975</v>
      </c>
      <c r="L886">
        <v>50341</v>
      </c>
      <c r="M886" t="s">
        <v>146</v>
      </c>
      <c r="N886">
        <v>78</v>
      </c>
      <c r="O886" s="2">
        <v>46234</v>
      </c>
      <c r="P886" s="2">
        <v>46284</v>
      </c>
      <c r="R886" t="s">
        <v>2651</v>
      </c>
      <c r="S886" t="str">
        <f>"00013439"</f>
        <v>00013439</v>
      </c>
      <c r="T886" t="s">
        <v>41</v>
      </c>
      <c r="U886">
        <v>8428.14</v>
      </c>
      <c r="V886">
        <v>8428.14</v>
      </c>
      <c r="W886">
        <v>8428.14</v>
      </c>
      <c r="X886">
        <v>0</v>
      </c>
      <c r="Y886">
        <v>0</v>
      </c>
      <c r="Z886">
        <v>-509</v>
      </c>
      <c r="AA886" t="s">
        <v>2652</v>
      </c>
      <c r="AD886" t="s">
        <v>2437</v>
      </c>
      <c r="AE886" t="s">
        <v>2646</v>
      </c>
      <c r="AF886" t="s">
        <v>2437</v>
      </c>
      <c r="AG886" s="1" t="s">
        <v>2647</v>
      </c>
      <c r="AH886" t="s">
        <v>2403</v>
      </c>
    </row>
    <row r="887" spans="1:34" x14ac:dyDescent="0.3">
      <c r="A887">
        <v>101</v>
      </c>
      <c r="B887" t="s">
        <v>34</v>
      </c>
      <c r="C887">
        <v>2</v>
      </c>
      <c r="D887" s="1" t="s">
        <v>2653</v>
      </c>
      <c r="E887" s="1" t="s">
        <v>36</v>
      </c>
      <c r="G887">
        <v>467887</v>
      </c>
      <c r="H887" t="s">
        <v>2654</v>
      </c>
      <c r="I887" t="s">
        <v>2413</v>
      </c>
      <c r="J887">
        <v>27</v>
      </c>
      <c r="K887">
        <v>2695</v>
      </c>
      <c r="L887">
        <v>95000</v>
      </c>
      <c r="M887" t="s">
        <v>69</v>
      </c>
      <c r="N887">
        <v>78</v>
      </c>
      <c r="O887" s="2">
        <v>46188</v>
      </c>
      <c r="P887" s="2">
        <v>46308</v>
      </c>
      <c r="R887" t="s">
        <v>2655</v>
      </c>
      <c r="S887" t="str">
        <f>""</f>
        <v/>
      </c>
      <c r="T887" t="s">
        <v>41</v>
      </c>
      <c r="U887">
        <v>2379.9</v>
      </c>
      <c r="V887">
        <v>2353.7199999999998</v>
      </c>
      <c r="W887">
        <v>2353.7199999999998</v>
      </c>
      <c r="X887">
        <v>0</v>
      </c>
      <c r="Y887">
        <v>0</v>
      </c>
      <c r="Z887">
        <v>-533</v>
      </c>
      <c r="AA887">
        <v>691349</v>
      </c>
      <c r="AD887" t="s">
        <v>2407</v>
      </c>
      <c r="AF887" t="s">
        <v>2407</v>
      </c>
      <c r="AG887" s="1" t="s">
        <v>2656</v>
      </c>
      <c r="AH887" t="s">
        <v>2403</v>
      </c>
    </row>
    <row r="888" spans="1:34" x14ac:dyDescent="0.3">
      <c r="A888">
        <v>101</v>
      </c>
      <c r="B888" t="s">
        <v>34</v>
      </c>
      <c r="C888">
        <v>2</v>
      </c>
      <c r="D888" s="1" t="s">
        <v>2657</v>
      </c>
      <c r="E888" s="1" t="s">
        <v>36</v>
      </c>
      <c r="G888">
        <v>467887</v>
      </c>
      <c r="H888" t="s">
        <v>2654</v>
      </c>
      <c r="I888" t="s">
        <v>2413</v>
      </c>
      <c r="J888">
        <v>27</v>
      </c>
      <c r="K888">
        <v>2695</v>
      </c>
      <c r="L888">
        <v>95000</v>
      </c>
      <c r="M888" t="s">
        <v>69</v>
      </c>
      <c r="N888">
        <v>78</v>
      </c>
      <c r="O888" s="2">
        <v>46188</v>
      </c>
      <c r="P888" s="2">
        <v>46308</v>
      </c>
      <c r="R888" t="s">
        <v>2658</v>
      </c>
      <c r="S888" t="str">
        <f>""</f>
        <v/>
      </c>
      <c r="T888" t="s">
        <v>41</v>
      </c>
      <c r="U888">
        <v>1958.96</v>
      </c>
      <c r="V888">
        <v>1937.41</v>
      </c>
      <c r="W888">
        <v>1937.41</v>
      </c>
      <c r="X888">
        <v>0</v>
      </c>
      <c r="Y888">
        <v>0</v>
      </c>
      <c r="Z888">
        <v>-533</v>
      </c>
      <c r="AA888">
        <v>691301</v>
      </c>
      <c r="AD888" t="s">
        <v>2407</v>
      </c>
      <c r="AF888" t="s">
        <v>2407</v>
      </c>
      <c r="AG888" s="1" t="s">
        <v>2656</v>
      </c>
      <c r="AH888" t="s">
        <v>2403</v>
      </c>
    </row>
    <row r="889" spans="1:34" x14ac:dyDescent="0.3">
      <c r="A889">
        <v>101</v>
      </c>
      <c r="B889" t="s">
        <v>34</v>
      </c>
      <c r="C889">
        <v>2</v>
      </c>
      <c r="D889" s="1" t="s">
        <v>2659</v>
      </c>
      <c r="E889" s="1" t="s">
        <v>36</v>
      </c>
      <c r="G889">
        <v>467887</v>
      </c>
      <c r="H889" t="s">
        <v>2654</v>
      </c>
      <c r="I889" t="s">
        <v>2413</v>
      </c>
      <c r="J889">
        <v>27</v>
      </c>
      <c r="K889">
        <v>2695</v>
      </c>
      <c r="L889">
        <v>95000</v>
      </c>
      <c r="M889" t="s">
        <v>69</v>
      </c>
      <c r="N889">
        <v>78</v>
      </c>
      <c r="O889" s="2">
        <v>46139</v>
      </c>
      <c r="P889" s="2">
        <v>46276</v>
      </c>
      <c r="R889" t="s">
        <v>2660</v>
      </c>
      <c r="S889" t="str">
        <f>""</f>
        <v/>
      </c>
      <c r="T889" t="s">
        <v>41</v>
      </c>
      <c r="U889">
        <v>7364.55</v>
      </c>
      <c r="V889">
        <v>7283.54</v>
      </c>
      <c r="W889">
        <v>7283.54</v>
      </c>
      <c r="X889">
        <v>0</v>
      </c>
      <c r="Y889">
        <v>0</v>
      </c>
      <c r="Z889">
        <v>-501</v>
      </c>
      <c r="AA889">
        <v>686233</v>
      </c>
      <c r="AD889" t="s">
        <v>2407</v>
      </c>
      <c r="AF889" t="s">
        <v>2407</v>
      </c>
      <c r="AG889" s="1" t="s">
        <v>2656</v>
      </c>
      <c r="AH889" t="s">
        <v>2403</v>
      </c>
    </row>
    <row r="890" spans="1:34" x14ac:dyDescent="0.3">
      <c r="A890">
        <v>101</v>
      </c>
      <c r="B890" t="s">
        <v>34</v>
      </c>
      <c r="C890">
        <v>2</v>
      </c>
      <c r="D890" s="1" t="s">
        <v>2661</v>
      </c>
      <c r="E890" s="1" t="s">
        <v>36</v>
      </c>
      <c r="G890">
        <v>467889</v>
      </c>
      <c r="H890" t="s">
        <v>2662</v>
      </c>
      <c r="I890" t="s">
        <v>2413</v>
      </c>
      <c r="J890">
        <v>27</v>
      </c>
      <c r="K890">
        <v>2695</v>
      </c>
      <c r="L890">
        <v>95000</v>
      </c>
      <c r="M890" t="s">
        <v>69</v>
      </c>
      <c r="N890">
        <v>78</v>
      </c>
      <c r="O890" s="2">
        <v>46139</v>
      </c>
      <c r="P890" s="2">
        <v>46255</v>
      </c>
      <c r="R890" t="s">
        <v>2663</v>
      </c>
      <c r="S890" t="str">
        <f>""</f>
        <v/>
      </c>
      <c r="T890" t="s">
        <v>41</v>
      </c>
      <c r="U890">
        <v>8998.16</v>
      </c>
      <c r="V890">
        <v>8899.18</v>
      </c>
      <c r="W890">
        <v>8899.18</v>
      </c>
      <c r="X890">
        <v>0</v>
      </c>
      <c r="Y890">
        <v>0</v>
      </c>
      <c r="Z890">
        <v>-480</v>
      </c>
      <c r="AA890">
        <v>686237</v>
      </c>
      <c r="AD890" t="s">
        <v>2664</v>
      </c>
      <c r="AF890" t="s">
        <v>2664</v>
      </c>
      <c r="AG890" s="1" t="s">
        <v>2665</v>
      </c>
      <c r="AH890" t="s">
        <v>2403</v>
      </c>
    </row>
    <row r="891" spans="1:34" x14ac:dyDescent="0.3">
      <c r="A891">
        <v>101</v>
      </c>
      <c r="B891" t="s">
        <v>34</v>
      </c>
      <c r="C891">
        <v>2</v>
      </c>
      <c r="D891" s="1" t="s">
        <v>2666</v>
      </c>
      <c r="E891" s="1" t="s">
        <v>36</v>
      </c>
      <c r="G891">
        <v>467889</v>
      </c>
      <c r="H891" t="s">
        <v>2662</v>
      </c>
      <c r="I891" t="s">
        <v>2413</v>
      </c>
      <c r="J891">
        <v>27</v>
      </c>
      <c r="K891">
        <v>2695</v>
      </c>
      <c r="L891">
        <v>95000</v>
      </c>
      <c r="M891" t="s">
        <v>69</v>
      </c>
      <c r="N891">
        <v>78</v>
      </c>
      <c r="O891" s="2">
        <v>46188</v>
      </c>
      <c r="P891" s="2">
        <v>46296</v>
      </c>
      <c r="R891" t="s">
        <v>2667</v>
      </c>
      <c r="S891" t="str">
        <f>""</f>
        <v/>
      </c>
      <c r="T891" t="s">
        <v>41</v>
      </c>
      <c r="U891">
        <v>2925.64</v>
      </c>
      <c r="V891">
        <v>2893.46</v>
      </c>
      <c r="W891">
        <v>2893.46</v>
      </c>
      <c r="X891">
        <v>0</v>
      </c>
      <c r="Y891">
        <v>0</v>
      </c>
      <c r="Z891">
        <v>-521</v>
      </c>
      <c r="AA891">
        <v>691305</v>
      </c>
      <c r="AD891" t="s">
        <v>2664</v>
      </c>
      <c r="AF891" t="s">
        <v>2664</v>
      </c>
      <c r="AG891" s="1" t="s">
        <v>2665</v>
      </c>
      <c r="AH891" t="s">
        <v>2403</v>
      </c>
    </row>
    <row r="892" spans="1:34" x14ac:dyDescent="0.3">
      <c r="A892">
        <v>101</v>
      </c>
      <c r="B892" t="s">
        <v>34</v>
      </c>
      <c r="C892">
        <v>2</v>
      </c>
      <c r="D892" s="1" t="s">
        <v>2668</v>
      </c>
      <c r="E892" s="1" t="s">
        <v>36</v>
      </c>
      <c r="G892">
        <v>467889</v>
      </c>
      <c r="H892" t="s">
        <v>2662</v>
      </c>
      <c r="I892" t="s">
        <v>2413</v>
      </c>
      <c r="J892">
        <v>27</v>
      </c>
      <c r="K892">
        <v>2695</v>
      </c>
      <c r="L892">
        <v>95000</v>
      </c>
      <c r="M892" t="s">
        <v>69</v>
      </c>
      <c r="N892">
        <v>78</v>
      </c>
      <c r="O892" s="2">
        <v>46181</v>
      </c>
      <c r="P892" s="2">
        <v>46296</v>
      </c>
      <c r="R892" t="s">
        <v>2669</v>
      </c>
      <c r="S892" t="str">
        <f>""</f>
        <v/>
      </c>
      <c r="T892" t="s">
        <v>41</v>
      </c>
      <c r="U892">
        <v>833.52</v>
      </c>
      <c r="V892">
        <v>824.35</v>
      </c>
      <c r="W892">
        <v>824.35</v>
      </c>
      <c r="X892">
        <v>0</v>
      </c>
      <c r="Y892">
        <v>0</v>
      </c>
      <c r="Z892">
        <v>-521</v>
      </c>
      <c r="AA892">
        <v>690631</v>
      </c>
      <c r="AD892" t="s">
        <v>2664</v>
      </c>
      <c r="AF892" t="s">
        <v>2664</v>
      </c>
      <c r="AG892" s="1" t="s">
        <v>2665</v>
      </c>
      <c r="AH892" t="s">
        <v>2403</v>
      </c>
    </row>
    <row r="893" spans="1:34" x14ac:dyDescent="0.3">
      <c r="A893">
        <v>101</v>
      </c>
      <c r="B893" t="s">
        <v>34</v>
      </c>
      <c r="C893">
        <v>2</v>
      </c>
      <c r="D893" s="1" t="s">
        <v>2670</v>
      </c>
      <c r="E893" s="1" t="s">
        <v>36</v>
      </c>
      <c r="G893">
        <v>467889</v>
      </c>
      <c r="H893" t="s">
        <v>2662</v>
      </c>
      <c r="I893" t="s">
        <v>2413</v>
      </c>
      <c r="J893">
        <v>27</v>
      </c>
      <c r="K893">
        <v>2695</v>
      </c>
      <c r="L893">
        <v>95000</v>
      </c>
      <c r="M893" t="s">
        <v>69</v>
      </c>
      <c r="N893">
        <v>78</v>
      </c>
      <c r="O893" s="2">
        <v>46181</v>
      </c>
      <c r="P893" s="2">
        <v>46296</v>
      </c>
      <c r="R893" s="1" t="s">
        <v>2671</v>
      </c>
      <c r="S893" t="str">
        <f>""</f>
        <v/>
      </c>
      <c r="T893" t="s">
        <v>41</v>
      </c>
      <c r="U893">
        <v>1352.6</v>
      </c>
      <c r="V893">
        <v>1337.72</v>
      </c>
      <c r="W893">
        <v>1337.72</v>
      </c>
      <c r="X893">
        <v>0</v>
      </c>
      <c r="Y893">
        <v>0</v>
      </c>
      <c r="Z893">
        <v>-521</v>
      </c>
      <c r="AA893">
        <v>690593</v>
      </c>
      <c r="AD893" t="s">
        <v>2664</v>
      </c>
      <c r="AF893" t="s">
        <v>2664</v>
      </c>
      <c r="AG893" s="1" t="s">
        <v>2665</v>
      </c>
      <c r="AH893" t="s">
        <v>2403</v>
      </c>
    </row>
    <row r="894" spans="1:34" x14ac:dyDescent="0.3">
      <c r="A894">
        <v>101</v>
      </c>
      <c r="B894" t="s">
        <v>34</v>
      </c>
      <c r="C894">
        <v>2</v>
      </c>
      <c r="D894" s="1" t="s">
        <v>2672</v>
      </c>
      <c r="E894" s="1" t="s">
        <v>36</v>
      </c>
      <c r="G894">
        <v>467890</v>
      </c>
      <c r="H894" t="s">
        <v>2673</v>
      </c>
      <c r="I894" t="s">
        <v>2413</v>
      </c>
      <c r="J894">
        <v>27</v>
      </c>
      <c r="K894">
        <v>2695</v>
      </c>
      <c r="L894">
        <v>95000</v>
      </c>
      <c r="M894" t="s">
        <v>69</v>
      </c>
      <c r="N894">
        <v>78</v>
      </c>
      <c r="O894" s="2">
        <v>46188</v>
      </c>
      <c r="P894" s="2">
        <v>46296</v>
      </c>
      <c r="R894" t="s">
        <v>2674</v>
      </c>
      <c r="S894" t="str">
        <f>""</f>
        <v/>
      </c>
      <c r="T894" t="s">
        <v>41</v>
      </c>
      <c r="U894">
        <v>2379.9</v>
      </c>
      <c r="V894">
        <v>2353.7199999999998</v>
      </c>
      <c r="W894">
        <v>2353.7199999999998</v>
      </c>
      <c r="X894">
        <v>0</v>
      </c>
      <c r="Y894">
        <v>0</v>
      </c>
      <c r="Z894">
        <v>-521</v>
      </c>
      <c r="AA894">
        <v>691353</v>
      </c>
      <c r="AD894" t="s">
        <v>2437</v>
      </c>
      <c r="AF894" t="s">
        <v>2437</v>
      </c>
      <c r="AG894" s="1" t="s">
        <v>2675</v>
      </c>
      <c r="AH894" t="s">
        <v>2403</v>
      </c>
    </row>
    <row r="895" spans="1:34" x14ac:dyDescent="0.3">
      <c r="A895">
        <v>101</v>
      </c>
      <c r="B895" t="s">
        <v>34</v>
      </c>
      <c r="C895">
        <v>2</v>
      </c>
      <c r="D895" s="1" t="s">
        <v>2676</v>
      </c>
      <c r="E895" s="1" t="s">
        <v>36</v>
      </c>
      <c r="G895">
        <v>467890</v>
      </c>
      <c r="H895" t="s">
        <v>2673</v>
      </c>
      <c r="I895" t="s">
        <v>2413</v>
      </c>
      <c r="J895">
        <v>27</v>
      </c>
      <c r="K895">
        <v>2695</v>
      </c>
      <c r="L895">
        <v>95000</v>
      </c>
      <c r="M895" t="s">
        <v>69</v>
      </c>
      <c r="N895">
        <v>78</v>
      </c>
      <c r="O895" s="2">
        <v>46181</v>
      </c>
      <c r="P895" s="2">
        <v>46296</v>
      </c>
      <c r="R895" t="s">
        <v>2677</v>
      </c>
      <c r="S895" t="str">
        <f>""</f>
        <v/>
      </c>
      <c r="T895" t="s">
        <v>41</v>
      </c>
      <c r="U895">
        <v>5296.4</v>
      </c>
      <c r="V895">
        <v>5238.1400000000003</v>
      </c>
      <c r="W895">
        <v>5238.1400000000003</v>
      </c>
      <c r="X895">
        <v>0</v>
      </c>
      <c r="Y895">
        <v>0</v>
      </c>
      <c r="Z895">
        <v>-521</v>
      </c>
      <c r="AA895">
        <v>690595</v>
      </c>
      <c r="AD895" t="s">
        <v>2437</v>
      </c>
      <c r="AF895" t="s">
        <v>2437</v>
      </c>
      <c r="AG895" s="1" t="s">
        <v>2675</v>
      </c>
      <c r="AH895" t="s">
        <v>2403</v>
      </c>
    </row>
    <row r="896" spans="1:34" x14ac:dyDescent="0.3">
      <c r="A896">
        <v>101</v>
      </c>
      <c r="B896" t="s">
        <v>34</v>
      </c>
      <c r="C896">
        <v>2</v>
      </c>
      <c r="D896" s="1" t="s">
        <v>2678</v>
      </c>
      <c r="E896" s="1" t="s">
        <v>36</v>
      </c>
      <c r="G896">
        <v>467890</v>
      </c>
      <c r="H896" t="s">
        <v>2673</v>
      </c>
      <c r="I896" t="s">
        <v>2413</v>
      </c>
      <c r="J896">
        <v>27</v>
      </c>
      <c r="K896">
        <v>2695</v>
      </c>
      <c r="L896">
        <v>95000</v>
      </c>
      <c r="M896" t="s">
        <v>69</v>
      </c>
      <c r="N896">
        <v>78</v>
      </c>
      <c r="O896" s="2">
        <v>46188</v>
      </c>
      <c r="P896" s="2">
        <v>46296</v>
      </c>
      <c r="R896" t="s">
        <v>2679</v>
      </c>
      <c r="S896" t="str">
        <f>""</f>
        <v/>
      </c>
      <c r="T896" t="s">
        <v>41</v>
      </c>
      <c r="U896">
        <v>3805.97</v>
      </c>
      <c r="V896">
        <v>3764.1</v>
      </c>
      <c r="W896">
        <v>3764.1</v>
      </c>
      <c r="X896">
        <v>0</v>
      </c>
      <c r="Y896">
        <v>0</v>
      </c>
      <c r="Z896">
        <v>-521</v>
      </c>
      <c r="AA896">
        <v>691307</v>
      </c>
      <c r="AD896" t="s">
        <v>2437</v>
      </c>
      <c r="AF896" t="s">
        <v>2437</v>
      </c>
      <c r="AG896" s="1" t="s">
        <v>2675</v>
      </c>
      <c r="AH896" t="s">
        <v>2403</v>
      </c>
    </row>
    <row r="897" spans="1:34" x14ac:dyDescent="0.3">
      <c r="A897">
        <v>101</v>
      </c>
      <c r="B897" t="s">
        <v>34</v>
      </c>
      <c r="C897">
        <v>2</v>
      </c>
      <c r="D897" s="1" t="s">
        <v>2680</v>
      </c>
      <c r="E897" s="1" t="s">
        <v>36</v>
      </c>
      <c r="G897">
        <v>467890</v>
      </c>
      <c r="H897" t="s">
        <v>2673</v>
      </c>
      <c r="I897" t="s">
        <v>2413</v>
      </c>
      <c r="J897">
        <v>27</v>
      </c>
      <c r="K897">
        <v>2695</v>
      </c>
      <c r="L897">
        <v>95000</v>
      </c>
      <c r="M897" t="s">
        <v>69</v>
      </c>
      <c r="N897">
        <v>78</v>
      </c>
      <c r="O897" s="2">
        <v>46139</v>
      </c>
      <c r="P897" s="2">
        <v>46255</v>
      </c>
      <c r="R897" t="s">
        <v>2681</v>
      </c>
      <c r="S897" t="str">
        <f>""</f>
        <v/>
      </c>
      <c r="T897" t="s">
        <v>41</v>
      </c>
      <c r="U897">
        <v>7731.82</v>
      </c>
      <c r="V897">
        <v>7646.77</v>
      </c>
      <c r="W897">
        <v>7646.77</v>
      </c>
      <c r="X897">
        <v>0</v>
      </c>
      <c r="Y897">
        <v>0</v>
      </c>
      <c r="Z897">
        <v>-480</v>
      </c>
      <c r="AA897">
        <v>686239</v>
      </c>
      <c r="AD897" t="s">
        <v>2437</v>
      </c>
      <c r="AF897" t="s">
        <v>2437</v>
      </c>
      <c r="AG897" s="1" t="s">
        <v>2675</v>
      </c>
      <c r="AH897" t="s">
        <v>2403</v>
      </c>
    </row>
    <row r="898" spans="1:34" x14ac:dyDescent="0.3">
      <c r="A898">
        <v>101</v>
      </c>
      <c r="B898" t="s">
        <v>34</v>
      </c>
      <c r="C898">
        <v>2</v>
      </c>
      <c r="D898" s="1" t="s">
        <v>2682</v>
      </c>
      <c r="E898" s="1" t="s">
        <v>36</v>
      </c>
      <c r="G898">
        <v>467891</v>
      </c>
      <c r="H898" t="s">
        <v>2683</v>
      </c>
      <c r="I898" t="s">
        <v>2413</v>
      </c>
      <c r="J898">
        <v>27</v>
      </c>
      <c r="K898">
        <v>2695</v>
      </c>
      <c r="L898">
        <v>95000</v>
      </c>
      <c r="M898" t="s">
        <v>69</v>
      </c>
      <c r="N898">
        <v>78</v>
      </c>
      <c r="O898" s="2">
        <v>46139</v>
      </c>
      <c r="P898" s="2">
        <v>46255</v>
      </c>
      <c r="R898" t="s">
        <v>2684</v>
      </c>
      <c r="S898" t="str">
        <f>""</f>
        <v/>
      </c>
      <c r="T898" t="s">
        <v>41</v>
      </c>
      <c r="U898">
        <v>8457.0300000000007</v>
      </c>
      <c r="V898">
        <v>8364</v>
      </c>
      <c r="W898">
        <v>8364</v>
      </c>
      <c r="X898">
        <v>0</v>
      </c>
      <c r="Y898">
        <v>0</v>
      </c>
      <c r="Z898">
        <v>-480</v>
      </c>
      <c r="AA898">
        <v>686243</v>
      </c>
      <c r="AD898" t="s">
        <v>2685</v>
      </c>
      <c r="AF898" t="s">
        <v>2685</v>
      </c>
      <c r="AG898" s="1" t="s">
        <v>2686</v>
      </c>
      <c r="AH898" t="s">
        <v>2403</v>
      </c>
    </row>
    <row r="899" spans="1:34" x14ac:dyDescent="0.3">
      <c r="A899">
        <v>101</v>
      </c>
      <c r="B899" t="s">
        <v>34</v>
      </c>
      <c r="C899">
        <v>2</v>
      </c>
      <c r="D899" s="1" t="s">
        <v>2687</v>
      </c>
      <c r="E899" s="1" t="s">
        <v>36</v>
      </c>
      <c r="G899">
        <v>467891</v>
      </c>
      <c r="H899" t="s">
        <v>2683</v>
      </c>
      <c r="I899" t="s">
        <v>2413</v>
      </c>
      <c r="J899">
        <v>27</v>
      </c>
      <c r="K899">
        <v>2695</v>
      </c>
      <c r="L899">
        <v>95000</v>
      </c>
      <c r="M899" t="s">
        <v>69</v>
      </c>
      <c r="N899">
        <v>78</v>
      </c>
      <c r="O899" s="2">
        <v>46188</v>
      </c>
      <c r="P899" s="2">
        <v>46316</v>
      </c>
      <c r="R899" t="s">
        <v>2688</v>
      </c>
      <c r="S899" t="str">
        <f>""</f>
        <v/>
      </c>
      <c r="T899" t="s">
        <v>41</v>
      </c>
      <c r="U899">
        <v>3343.94</v>
      </c>
      <c r="V899">
        <v>3307.16</v>
      </c>
      <c r="W899">
        <v>3307.16</v>
      </c>
      <c r="X899">
        <v>0</v>
      </c>
      <c r="Y899">
        <v>0</v>
      </c>
      <c r="Z899">
        <v>-541</v>
      </c>
      <c r="AA899">
        <v>691311</v>
      </c>
      <c r="AD899" t="s">
        <v>2685</v>
      </c>
      <c r="AF899" t="s">
        <v>2685</v>
      </c>
      <c r="AG899" s="1" t="s">
        <v>2686</v>
      </c>
      <c r="AH899" t="s">
        <v>2403</v>
      </c>
    </row>
    <row r="900" spans="1:34" x14ac:dyDescent="0.3">
      <c r="A900">
        <v>101</v>
      </c>
      <c r="B900" t="s">
        <v>34</v>
      </c>
      <c r="C900">
        <v>2</v>
      </c>
      <c r="D900" s="1" t="s">
        <v>2689</v>
      </c>
      <c r="E900" s="1" t="s">
        <v>36</v>
      </c>
      <c r="G900">
        <v>467891</v>
      </c>
      <c r="H900" t="s">
        <v>2683</v>
      </c>
      <c r="I900" t="s">
        <v>2413</v>
      </c>
      <c r="J900">
        <v>27</v>
      </c>
      <c r="K900">
        <v>2695</v>
      </c>
      <c r="L900">
        <v>95000</v>
      </c>
      <c r="M900" t="s">
        <v>69</v>
      </c>
      <c r="N900">
        <v>78</v>
      </c>
      <c r="O900" s="2">
        <v>46181</v>
      </c>
      <c r="P900" s="2">
        <v>46316</v>
      </c>
      <c r="R900" t="s">
        <v>2690</v>
      </c>
      <c r="S900" t="str">
        <f>""</f>
        <v/>
      </c>
      <c r="T900" t="s">
        <v>41</v>
      </c>
      <c r="U900">
        <v>1041.9000000000001</v>
      </c>
      <c r="V900">
        <v>1030.44</v>
      </c>
      <c r="W900">
        <v>1030.44</v>
      </c>
      <c r="X900">
        <v>0</v>
      </c>
      <c r="Y900">
        <v>0</v>
      </c>
      <c r="Z900">
        <v>-541</v>
      </c>
      <c r="AA900">
        <v>690635</v>
      </c>
      <c r="AD900" t="s">
        <v>2685</v>
      </c>
      <c r="AF900" t="s">
        <v>2685</v>
      </c>
      <c r="AG900" s="1" t="s">
        <v>2686</v>
      </c>
      <c r="AH900" t="s">
        <v>2403</v>
      </c>
    </row>
    <row r="901" spans="1:34" x14ac:dyDescent="0.3">
      <c r="A901">
        <v>101</v>
      </c>
      <c r="B901" t="s">
        <v>34</v>
      </c>
      <c r="C901">
        <v>2</v>
      </c>
      <c r="D901" s="1" t="s">
        <v>2691</v>
      </c>
      <c r="E901" s="1" t="s">
        <v>36</v>
      </c>
      <c r="G901">
        <v>467891</v>
      </c>
      <c r="H901" t="s">
        <v>2683</v>
      </c>
      <c r="I901" t="s">
        <v>2413</v>
      </c>
      <c r="J901">
        <v>27</v>
      </c>
      <c r="K901">
        <v>2695</v>
      </c>
      <c r="L901">
        <v>95000</v>
      </c>
      <c r="M901" t="s">
        <v>69</v>
      </c>
      <c r="N901">
        <v>78</v>
      </c>
      <c r="O901" s="2">
        <v>46181</v>
      </c>
      <c r="P901" s="2">
        <v>46316</v>
      </c>
      <c r="R901" t="s">
        <v>2692</v>
      </c>
      <c r="S901" t="str">
        <f>""</f>
        <v/>
      </c>
      <c r="T901" t="s">
        <v>41</v>
      </c>
      <c r="U901">
        <v>2667.2</v>
      </c>
      <c r="V901">
        <v>2637.86</v>
      </c>
      <c r="W901">
        <v>2637.86</v>
      </c>
      <c r="X901">
        <v>0</v>
      </c>
      <c r="Y901">
        <v>0</v>
      </c>
      <c r="Z901">
        <v>-541</v>
      </c>
      <c r="AA901">
        <v>690599</v>
      </c>
      <c r="AD901" t="s">
        <v>2685</v>
      </c>
      <c r="AF901" t="s">
        <v>2685</v>
      </c>
      <c r="AG901" s="1" t="s">
        <v>2686</v>
      </c>
      <c r="AH901" t="s">
        <v>2403</v>
      </c>
    </row>
    <row r="902" spans="1:34" x14ac:dyDescent="0.3">
      <c r="A902">
        <v>101</v>
      </c>
      <c r="B902" t="s">
        <v>34</v>
      </c>
      <c r="C902">
        <v>2</v>
      </c>
      <c r="D902" s="1" t="s">
        <v>2693</v>
      </c>
      <c r="E902" s="1" t="s">
        <v>36</v>
      </c>
      <c r="G902">
        <v>467892</v>
      </c>
      <c r="H902" t="s">
        <v>2694</v>
      </c>
      <c r="I902" t="s">
        <v>2413</v>
      </c>
      <c r="J902">
        <v>27</v>
      </c>
      <c r="K902">
        <v>2695</v>
      </c>
      <c r="L902">
        <v>95000</v>
      </c>
      <c r="M902" t="s">
        <v>69</v>
      </c>
      <c r="N902">
        <v>78</v>
      </c>
      <c r="O902" s="2">
        <v>46188</v>
      </c>
      <c r="P902" s="2">
        <v>46316</v>
      </c>
      <c r="R902" t="s">
        <v>2695</v>
      </c>
      <c r="S902" t="str">
        <f>""</f>
        <v/>
      </c>
      <c r="T902" t="s">
        <v>41</v>
      </c>
      <c r="U902">
        <v>3674.39</v>
      </c>
      <c r="V902">
        <v>3633.97</v>
      </c>
      <c r="W902">
        <v>3633.97</v>
      </c>
      <c r="X902">
        <v>0</v>
      </c>
      <c r="Y902">
        <v>0</v>
      </c>
      <c r="Z902">
        <v>-541</v>
      </c>
      <c r="AA902">
        <v>691315</v>
      </c>
      <c r="AD902" t="s">
        <v>2437</v>
      </c>
      <c r="AF902" t="s">
        <v>2437</v>
      </c>
      <c r="AG902" s="1" t="s">
        <v>2696</v>
      </c>
      <c r="AH902" t="s">
        <v>2403</v>
      </c>
    </row>
    <row r="903" spans="1:34" x14ac:dyDescent="0.3">
      <c r="A903">
        <v>101</v>
      </c>
      <c r="B903" t="s">
        <v>34</v>
      </c>
      <c r="C903">
        <v>2</v>
      </c>
      <c r="D903" s="1" t="s">
        <v>2697</v>
      </c>
      <c r="E903" s="1" t="s">
        <v>36</v>
      </c>
      <c r="G903">
        <v>467892</v>
      </c>
      <c r="H903" t="s">
        <v>2694</v>
      </c>
      <c r="I903" t="s">
        <v>2413</v>
      </c>
      <c r="J903">
        <v>27</v>
      </c>
      <c r="K903">
        <v>2695</v>
      </c>
      <c r="L903">
        <v>95000</v>
      </c>
      <c r="M903" t="s">
        <v>69</v>
      </c>
      <c r="N903">
        <v>78</v>
      </c>
      <c r="O903" s="2">
        <v>46181</v>
      </c>
      <c r="P903" s="2">
        <v>46316</v>
      </c>
      <c r="R903" t="s">
        <v>2698</v>
      </c>
      <c r="S903" t="str">
        <f>""</f>
        <v/>
      </c>
      <c r="T903" t="s">
        <v>41</v>
      </c>
      <c r="U903">
        <v>2667.2</v>
      </c>
      <c r="V903">
        <v>2637.86</v>
      </c>
      <c r="W903">
        <v>2637.86</v>
      </c>
      <c r="X903">
        <v>0</v>
      </c>
      <c r="Y903">
        <v>0</v>
      </c>
      <c r="Z903">
        <v>-541</v>
      </c>
      <c r="AA903">
        <v>690603</v>
      </c>
      <c r="AD903" t="s">
        <v>2437</v>
      </c>
      <c r="AF903" t="s">
        <v>2437</v>
      </c>
      <c r="AG903" s="1" t="s">
        <v>2696</v>
      </c>
      <c r="AH903" t="s">
        <v>2403</v>
      </c>
    </row>
    <row r="904" spans="1:34" x14ac:dyDescent="0.3">
      <c r="A904">
        <v>101</v>
      </c>
      <c r="B904" t="s">
        <v>34</v>
      </c>
      <c r="C904">
        <v>2</v>
      </c>
      <c r="D904" s="1" t="s">
        <v>2699</v>
      </c>
      <c r="E904" s="1" t="s">
        <v>36</v>
      </c>
      <c r="G904">
        <v>467892</v>
      </c>
      <c r="H904" t="s">
        <v>2694</v>
      </c>
      <c r="I904" t="s">
        <v>2413</v>
      </c>
      <c r="J904">
        <v>27</v>
      </c>
      <c r="K904">
        <v>2695</v>
      </c>
      <c r="L904">
        <v>95000</v>
      </c>
      <c r="M904" t="s">
        <v>69</v>
      </c>
      <c r="N904">
        <v>78</v>
      </c>
      <c r="O904" s="2">
        <v>46181</v>
      </c>
      <c r="P904" s="2">
        <v>46316</v>
      </c>
      <c r="R904" t="s">
        <v>2700</v>
      </c>
      <c r="S904" t="str">
        <f>""</f>
        <v/>
      </c>
      <c r="T904" t="s">
        <v>41</v>
      </c>
      <c r="U904">
        <v>2083.8000000000002</v>
      </c>
      <c r="V904">
        <v>2060.88</v>
      </c>
      <c r="W904">
        <v>2060.88</v>
      </c>
      <c r="X904">
        <v>0</v>
      </c>
      <c r="Y904">
        <v>0</v>
      </c>
      <c r="Z904">
        <v>-541</v>
      </c>
      <c r="AA904">
        <v>690639</v>
      </c>
      <c r="AD904" t="s">
        <v>2437</v>
      </c>
      <c r="AF904" t="s">
        <v>2437</v>
      </c>
      <c r="AG904" s="1" t="s">
        <v>2696</v>
      </c>
      <c r="AH904" t="s">
        <v>2403</v>
      </c>
    </row>
    <row r="905" spans="1:34" x14ac:dyDescent="0.3">
      <c r="A905">
        <v>101</v>
      </c>
      <c r="B905" t="s">
        <v>34</v>
      </c>
      <c r="C905">
        <v>2</v>
      </c>
      <c r="D905" s="1" t="s">
        <v>2701</v>
      </c>
      <c r="E905" s="1" t="s">
        <v>36</v>
      </c>
      <c r="G905">
        <v>467892</v>
      </c>
      <c r="H905" t="s">
        <v>2694</v>
      </c>
      <c r="I905" t="s">
        <v>2413</v>
      </c>
      <c r="J905">
        <v>27</v>
      </c>
      <c r="K905">
        <v>2695</v>
      </c>
      <c r="L905">
        <v>95000</v>
      </c>
      <c r="M905" t="s">
        <v>69</v>
      </c>
      <c r="N905">
        <v>78</v>
      </c>
      <c r="O905" s="2">
        <v>46139</v>
      </c>
      <c r="P905" s="2">
        <v>46255</v>
      </c>
      <c r="R905" t="s">
        <v>2702</v>
      </c>
      <c r="S905" t="str">
        <f>""</f>
        <v/>
      </c>
      <c r="T905" t="s">
        <v>41</v>
      </c>
      <c r="U905">
        <v>9955.35</v>
      </c>
      <c r="V905">
        <v>9845.84</v>
      </c>
      <c r="W905">
        <v>9845.84</v>
      </c>
      <c r="X905">
        <v>0</v>
      </c>
      <c r="Y905">
        <v>0</v>
      </c>
      <c r="Z905">
        <v>-480</v>
      </c>
      <c r="AA905">
        <v>686247</v>
      </c>
      <c r="AD905" t="s">
        <v>2437</v>
      </c>
      <c r="AF905" t="s">
        <v>2437</v>
      </c>
      <c r="AG905" s="1" t="s">
        <v>2696</v>
      </c>
      <c r="AH905" t="s">
        <v>2403</v>
      </c>
    </row>
    <row r="906" spans="1:34" x14ac:dyDescent="0.3">
      <c r="A906">
        <v>101</v>
      </c>
      <c r="B906" t="s">
        <v>34</v>
      </c>
      <c r="C906">
        <v>2</v>
      </c>
      <c r="D906" s="1" t="s">
        <v>2703</v>
      </c>
      <c r="E906" s="1" t="s">
        <v>36</v>
      </c>
      <c r="G906">
        <v>467896</v>
      </c>
      <c r="H906" t="s">
        <v>2704</v>
      </c>
      <c r="I906" t="s">
        <v>2413</v>
      </c>
      <c r="J906">
        <v>27</v>
      </c>
      <c r="K906">
        <v>2695</v>
      </c>
      <c r="L906">
        <v>95000</v>
      </c>
      <c r="M906" t="s">
        <v>69</v>
      </c>
      <c r="N906">
        <v>78</v>
      </c>
      <c r="O906" s="2">
        <v>46139</v>
      </c>
      <c r="P906" s="2">
        <v>46255</v>
      </c>
      <c r="R906" t="s">
        <v>2705</v>
      </c>
      <c r="S906" t="str">
        <f>""</f>
        <v/>
      </c>
      <c r="T906" t="s">
        <v>41</v>
      </c>
      <c r="U906">
        <v>8226.9599999999991</v>
      </c>
      <c r="V906">
        <v>8136.46</v>
      </c>
      <c r="W906">
        <v>8136.46</v>
      </c>
      <c r="X906">
        <v>0</v>
      </c>
      <c r="Y906">
        <v>0</v>
      </c>
      <c r="Z906">
        <v>-480</v>
      </c>
      <c r="AA906">
        <v>686251</v>
      </c>
      <c r="AD906" t="s">
        <v>2437</v>
      </c>
      <c r="AF906" t="s">
        <v>2437</v>
      </c>
      <c r="AG906" s="1" t="s">
        <v>2706</v>
      </c>
      <c r="AH906" t="s">
        <v>2403</v>
      </c>
    </row>
    <row r="907" spans="1:34" x14ac:dyDescent="0.3">
      <c r="A907">
        <v>101</v>
      </c>
      <c r="B907" t="s">
        <v>34</v>
      </c>
      <c r="C907">
        <v>2</v>
      </c>
      <c r="D907" s="1" t="s">
        <v>2707</v>
      </c>
      <c r="E907" s="1" t="s">
        <v>36</v>
      </c>
      <c r="G907">
        <v>467896</v>
      </c>
      <c r="H907" t="s">
        <v>2704</v>
      </c>
      <c r="I907" t="s">
        <v>2413</v>
      </c>
      <c r="J907">
        <v>27</v>
      </c>
      <c r="K907">
        <v>2695</v>
      </c>
      <c r="L907">
        <v>95000</v>
      </c>
      <c r="M907" t="s">
        <v>69</v>
      </c>
      <c r="N907">
        <v>78</v>
      </c>
      <c r="O907" s="2">
        <v>46188</v>
      </c>
      <c r="P907" s="2">
        <v>46296</v>
      </c>
      <c r="R907" t="s">
        <v>2708</v>
      </c>
      <c r="S907" t="str">
        <f>""</f>
        <v/>
      </c>
      <c r="T907" t="s">
        <v>41</v>
      </c>
      <c r="U907">
        <v>3745.42</v>
      </c>
      <c r="V907">
        <v>3704.22</v>
      </c>
      <c r="W907">
        <v>3704.22</v>
      </c>
      <c r="X907">
        <v>0</v>
      </c>
      <c r="Y907">
        <v>0</v>
      </c>
      <c r="Z907">
        <v>-521</v>
      </c>
      <c r="AA907">
        <v>691319</v>
      </c>
      <c r="AD907" t="s">
        <v>2437</v>
      </c>
      <c r="AF907" t="s">
        <v>2437</v>
      </c>
      <c r="AG907" s="1" t="s">
        <v>2706</v>
      </c>
      <c r="AH907" t="s">
        <v>2403</v>
      </c>
    </row>
    <row r="908" spans="1:34" x14ac:dyDescent="0.3">
      <c r="A908">
        <v>101</v>
      </c>
      <c r="B908" t="s">
        <v>34</v>
      </c>
      <c r="C908">
        <v>2</v>
      </c>
      <c r="D908" s="1" t="s">
        <v>2709</v>
      </c>
      <c r="E908" s="1" t="s">
        <v>36</v>
      </c>
      <c r="G908">
        <v>467896</v>
      </c>
      <c r="H908" t="s">
        <v>2704</v>
      </c>
      <c r="I908" t="s">
        <v>2413</v>
      </c>
      <c r="J908">
        <v>27</v>
      </c>
      <c r="K908">
        <v>2695</v>
      </c>
      <c r="L908">
        <v>95000</v>
      </c>
      <c r="M908" t="s">
        <v>69</v>
      </c>
      <c r="N908">
        <v>78</v>
      </c>
      <c r="O908" s="2">
        <v>46181</v>
      </c>
      <c r="P908" s="2">
        <v>46296</v>
      </c>
      <c r="R908" t="s">
        <v>2710</v>
      </c>
      <c r="S908" t="str">
        <f>""</f>
        <v/>
      </c>
      <c r="T908" t="s">
        <v>41</v>
      </c>
      <c r="U908">
        <v>1041.9000000000001</v>
      </c>
      <c r="V908">
        <v>1030.44</v>
      </c>
      <c r="W908">
        <v>1030.44</v>
      </c>
      <c r="X908">
        <v>0</v>
      </c>
      <c r="Y908">
        <v>0</v>
      </c>
      <c r="Z908">
        <v>-521</v>
      </c>
      <c r="AA908">
        <v>690643</v>
      </c>
      <c r="AD908" t="s">
        <v>2437</v>
      </c>
      <c r="AF908" t="s">
        <v>2437</v>
      </c>
      <c r="AG908" s="1" t="s">
        <v>2706</v>
      </c>
      <c r="AH908" t="s">
        <v>2403</v>
      </c>
    </row>
    <row r="909" spans="1:34" x14ac:dyDescent="0.3">
      <c r="A909">
        <v>101</v>
      </c>
      <c r="B909" t="s">
        <v>34</v>
      </c>
      <c r="C909">
        <v>2</v>
      </c>
      <c r="D909" s="1" t="s">
        <v>2711</v>
      </c>
      <c r="E909" s="1" t="s">
        <v>36</v>
      </c>
      <c r="G909">
        <v>467896</v>
      </c>
      <c r="H909" t="s">
        <v>2704</v>
      </c>
      <c r="I909" t="s">
        <v>2413</v>
      </c>
      <c r="J909">
        <v>27</v>
      </c>
      <c r="K909">
        <v>2695</v>
      </c>
      <c r="L909">
        <v>95000</v>
      </c>
      <c r="M909" t="s">
        <v>69</v>
      </c>
      <c r="N909">
        <v>78</v>
      </c>
      <c r="O909" s="2">
        <v>46181</v>
      </c>
      <c r="P909" s="2">
        <v>46296</v>
      </c>
      <c r="R909" t="s">
        <v>2712</v>
      </c>
      <c r="S909" t="str">
        <f>""</f>
        <v/>
      </c>
      <c r="T909" t="s">
        <v>41</v>
      </c>
      <c r="U909">
        <v>5296.4</v>
      </c>
      <c r="V909">
        <v>5238.1400000000003</v>
      </c>
      <c r="W909">
        <v>5238.1400000000003</v>
      </c>
      <c r="X909">
        <v>0</v>
      </c>
      <c r="Y909">
        <v>0</v>
      </c>
      <c r="Z909">
        <v>-521</v>
      </c>
      <c r="AA909">
        <v>690607</v>
      </c>
      <c r="AD909" t="s">
        <v>2437</v>
      </c>
      <c r="AF909" t="s">
        <v>2437</v>
      </c>
      <c r="AG909" s="1" t="s">
        <v>2706</v>
      </c>
      <c r="AH909" t="s">
        <v>2403</v>
      </c>
    </row>
    <row r="910" spans="1:34" x14ac:dyDescent="0.3">
      <c r="A910">
        <v>101</v>
      </c>
      <c r="B910" t="s">
        <v>34</v>
      </c>
      <c r="C910">
        <v>2</v>
      </c>
      <c r="D910" s="1" t="s">
        <v>2713</v>
      </c>
      <c r="E910" s="1" t="s">
        <v>36</v>
      </c>
      <c r="G910">
        <v>467899</v>
      </c>
      <c r="H910" t="s">
        <v>2714</v>
      </c>
      <c r="I910" t="s">
        <v>2413</v>
      </c>
      <c r="J910">
        <v>27</v>
      </c>
      <c r="K910">
        <v>2695</v>
      </c>
      <c r="L910">
        <v>95000</v>
      </c>
      <c r="M910" t="s">
        <v>69</v>
      </c>
      <c r="N910">
        <v>78</v>
      </c>
      <c r="O910" s="2">
        <v>46188</v>
      </c>
      <c r="P910" s="2">
        <v>46308</v>
      </c>
      <c r="R910" t="s">
        <v>2715</v>
      </c>
      <c r="S910" t="str">
        <f>""</f>
        <v/>
      </c>
      <c r="T910" t="s">
        <v>41</v>
      </c>
      <c r="U910">
        <v>1041.9000000000001</v>
      </c>
      <c r="V910">
        <v>1030.44</v>
      </c>
      <c r="W910">
        <v>1030.44</v>
      </c>
      <c r="X910">
        <v>0</v>
      </c>
      <c r="Y910">
        <v>0</v>
      </c>
      <c r="Z910">
        <v>-533</v>
      </c>
      <c r="AA910">
        <v>691339</v>
      </c>
      <c r="AD910" t="s">
        <v>2716</v>
      </c>
      <c r="AF910" t="s">
        <v>2716</v>
      </c>
      <c r="AG910" s="1" t="s">
        <v>2717</v>
      </c>
      <c r="AH910" t="s">
        <v>2484</v>
      </c>
    </row>
    <row r="911" spans="1:34" x14ac:dyDescent="0.3">
      <c r="A911">
        <v>101</v>
      </c>
      <c r="B911" t="s">
        <v>34</v>
      </c>
      <c r="C911">
        <v>2</v>
      </c>
      <c r="D911" s="1" t="s">
        <v>2718</v>
      </c>
      <c r="E911" s="1" t="s">
        <v>36</v>
      </c>
      <c r="G911">
        <v>467899</v>
      </c>
      <c r="H911" t="s">
        <v>2714</v>
      </c>
      <c r="I911" t="s">
        <v>2413</v>
      </c>
      <c r="J911">
        <v>27</v>
      </c>
      <c r="K911">
        <v>2695</v>
      </c>
      <c r="L911">
        <v>95000</v>
      </c>
      <c r="M911" t="s">
        <v>69</v>
      </c>
      <c r="N911">
        <v>78</v>
      </c>
      <c r="O911" s="2">
        <v>46188</v>
      </c>
      <c r="P911" s="2">
        <v>46308</v>
      </c>
      <c r="R911" t="s">
        <v>2719</v>
      </c>
      <c r="S911" t="str">
        <f>""</f>
        <v/>
      </c>
      <c r="T911" t="s">
        <v>41</v>
      </c>
      <c r="U911">
        <v>3085.99</v>
      </c>
      <c r="V911">
        <v>3052.04</v>
      </c>
      <c r="W911">
        <v>3052.04</v>
      </c>
      <c r="X911">
        <v>0</v>
      </c>
      <c r="Y911">
        <v>0</v>
      </c>
      <c r="Z911">
        <v>-533</v>
      </c>
      <c r="AA911">
        <v>691331</v>
      </c>
      <c r="AD911" t="s">
        <v>2716</v>
      </c>
      <c r="AF911" t="s">
        <v>2716</v>
      </c>
      <c r="AG911" s="1" t="s">
        <v>2717</v>
      </c>
      <c r="AH911" t="s">
        <v>2484</v>
      </c>
    </row>
    <row r="912" spans="1:34" x14ac:dyDescent="0.3">
      <c r="A912">
        <v>101</v>
      </c>
      <c r="B912" t="s">
        <v>34</v>
      </c>
      <c r="C912">
        <v>2</v>
      </c>
      <c r="D912" s="1" t="s">
        <v>2720</v>
      </c>
      <c r="E912" s="1" t="s">
        <v>36</v>
      </c>
      <c r="G912">
        <v>467899</v>
      </c>
      <c r="H912" t="s">
        <v>2714</v>
      </c>
      <c r="I912" t="s">
        <v>2413</v>
      </c>
      <c r="J912">
        <v>27</v>
      </c>
      <c r="K912">
        <v>2695</v>
      </c>
      <c r="L912">
        <v>95000</v>
      </c>
      <c r="M912" t="s">
        <v>69</v>
      </c>
      <c r="N912">
        <v>78</v>
      </c>
      <c r="O912" s="2">
        <v>46139</v>
      </c>
      <c r="P912" s="2">
        <v>46266</v>
      </c>
      <c r="R912" t="s">
        <v>2721</v>
      </c>
      <c r="S912" t="str">
        <f>""</f>
        <v/>
      </c>
      <c r="T912" t="s">
        <v>41</v>
      </c>
      <c r="U912">
        <v>6772.68</v>
      </c>
      <c r="V912">
        <v>6698.18</v>
      </c>
      <c r="W912">
        <v>6698.18</v>
      </c>
      <c r="X912">
        <v>0</v>
      </c>
      <c r="Y912">
        <v>0</v>
      </c>
      <c r="Z912">
        <v>-491</v>
      </c>
      <c r="AA912">
        <v>686263</v>
      </c>
      <c r="AD912" t="s">
        <v>2716</v>
      </c>
      <c r="AF912" t="s">
        <v>2716</v>
      </c>
      <c r="AG912" s="1" t="s">
        <v>2717</v>
      </c>
      <c r="AH912" t="s">
        <v>2484</v>
      </c>
    </row>
    <row r="913" spans="1:34" x14ac:dyDescent="0.3">
      <c r="A913">
        <v>101</v>
      </c>
      <c r="B913" t="s">
        <v>34</v>
      </c>
      <c r="C913">
        <v>2</v>
      </c>
      <c r="D913" s="1" t="s">
        <v>2722</v>
      </c>
      <c r="E913" s="1" t="s">
        <v>36</v>
      </c>
      <c r="G913">
        <v>468023</v>
      </c>
      <c r="H913" t="s">
        <v>2723</v>
      </c>
      <c r="I913" t="s">
        <v>2413</v>
      </c>
      <c r="J913">
        <v>27</v>
      </c>
      <c r="K913">
        <v>2695</v>
      </c>
      <c r="L913">
        <v>95000</v>
      </c>
      <c r="M913" t="s">
        <v>69</v>
      </c>
      <c r="N913">
        <v>78</v>
      </c>
      <c r="O913" s="2">
        <v>46139</v>
      </c>
      <c r="P913" s="2">
        <v>46255</v>
      </c>
      <c r="R913" t="s">
        <v>2724</v>
      </c>
      <c r="S913" t="str">
        <f>""</f>
        <v/>
      </c>
      <c r="T913" t="s">
        <v>41</v>
      </c>
      <c r="U913">
        <v>10981.62</v>
      </c>
      <c r="V913">
        <v>10795.46</v>
      </c>
      <c r="W913">
        <v>10795.46</v>
      </c>
      <c r="X913">
        <v>0</v>
      </c>
      <c r="Y913">
        <v>0</v>
      </c>
      <c r="Z913">
        <v>-480</v>
      </c>
      <c r="AA913">
        <v>686229</v>
      </c>
      <c r="AD913" t="s">
        <v>2725</v>
      </c>
      <c r="AF913" t="s">
        <v>2725</v>
      </c>
      <c r="AG913" s="1" t="s">
        <v>2726</v>
      </c>
      <c r="AH913" t="s">
        <v>2403</v>
      </c>
    </row>
    <row r="914" spans="1:34" x14ac:dyDescent="0.3">
      <c r="A914">
        <v>101</v>
      </c>
      <c r="B914" t="s">
        <v>34</v>
      </c>
      <c r="C914">
        <v>2</v>
      </c>
      <c r="D914" s="1" t="s">
        <v>2727</v>
      </c>
      <c r="E914" s="1" t="s">
        <v>36</v>
      </c>
      <c r="G914">
        <v>468023</v>
      </c>
      <c r="H914" t="s">
        <v>2723</v>
      </c>
      <c r="I914" t="s">
        <v>2413</v>
      </c>
      <c r="J914">
        <v>27</v>
      </c>
      <c r="K914">
        <v>2695</v>
      </c>
      <c r="L914">
        <v>95000</v>
      </c>
      <c r="M914" t="s">
        <v>69</v>
      </c>
      <c r="N914">
        <v>78</v>
      </c>
      <c r="O914" s="2">
        <v>46188</v>
      </c>
      <c r="P914" s="2">
        <v>46296</v>
      </c>
      <c r="R914" t="s">
        <v>2728</v>
      </c>
      <c r="S914" t="str">
        <f>""</f>
        <v/>
      </c>
      <c r="T914" t="s">
        <v>41</v>
      </c>
      <c r="U914">
        <v>2982.59</v>
      </c>
      <c r="V914">
        <v>2949.78</v>
      </c>
      <c r="W914">
        <v>2949.78</v>
      </c>
      <c r="X914">
        <v>0</v>
      </c>
      <c r="Y914">
        <v>0</v>
      </c>
      <c r="Z914">
        <v>-521</v>
      </c>
      <c r="AA914">
        <v>691297</v>
      </c>
      <c r="AD914" t="s">
        <v>2725</v>
      </c>
      <c r="AF914" t="s">
        <v>2725</v>
      </c>
      <c r="AG914" s="1" t="s">
        <v>2726</v>
      </c>
      <c r="AH914" t="s">
        <v>2403</v>
      </c>
    </row>
    <row r="915" spans="1:34" x14ac:dyDescent="0.3">
      <c r="A915">
        <v>101</v>
      </c>
      <c r="B915" t="s">
        <v>34</v>
      </c>
      <c r="C915">
        <v>2</v>
      </c>
      <c r="D915" s="1" t="s">
        <v>2729</v>
      </c>
      <c r="E915" s="1" t="s">
        <v>36</v>
      </c>
      <c r="G915">
        <v>468023</v>
      </c>
      <c r="H915" t="s">
        <v>2723</v>
      </c>
      <c r="I915" t="s">
        <v>2413</v>
      </c>
      <c r="J915">
        <v>27</v>
      </c>
      <c r="K915">
        <v>2695</v>
      </c>
      <c r="L915">
        <v>95000</v>
      </c>
      <c r="M915" t="s">
        <v>69</v>
      </c>
      <c r="N915">
        <v>78</v>
      </c>
      <c r="O915" s="2">
        <v>46188</v>
      </c>
      <c r="P915" s="2">
        <v>46296</v>
      </c>
      <c r="R915" t="s">
        <v>2730</v>
      </c>
      <c r="S915" t="str">
        <f>""</f>
        <v/>
      </c>
      <c r="T915" t="s">
        <v>41</v>
      </c>
      <c r="U915">
        <v>520.95000000000005</v>
      </c>
      <c r="V915">
        <v>515.22</v>
      </c>
      <c r="W915">
        <v>515.22</v>
      </c>
      <c r="X915">
        <v>0</v>
      </c>
      <c r="Y915">
        <v>0</v>
      </c>
      <c r="Z915">
        <v>-521</v>
      </c>
      <c r="AA915">
        <v>691335</v>
      </c>
      <c r="AD915" t="s">
        <v>2725</v>
      </c>
      <c r="AF915" t="s">
        <v>2725</v>
      </c>
      <c r="AG915" s="1" t="s">
        <v>2726</v>
      </c>
      <c r="AH915" t="s">
        <v>2403</v>
      </c>
    </row>
    <row r="916" spans="1:34" x14ac:dyDescent="0.3">
      <c r="A916">
        <v>101</v>
      </c>
      <c r="B916" t="s">
        <v>34</v>
      </c>
      <c r="C916">
        <v>2</v>
      </c>
      <c r="D916" s="1" t="s">
        <v>2731</v>
      </c>
      <c r="E916" s="1" t="s">
        <v>36</v>
      </c>
      <c r="G916">
        <v>468023</v>
      </c>
      <c r="H916" t="s">
        <v>2723</v>
      </c>
      <c r="I916" t="s">
        <v>2413</v>
      </c>
      <c r="J916">
        <v>27</v>
      </c>
      <c r="K916">
        <v>2695</v>
      </c>
      <c r="L916">
        <v>95000</v>
      </c>
      <c r="M916" t="s">
        <v>69</v>
      </c>
      <c r="N916">
        <v>78</v>
      </c>
      <c r="O916" s="2">
        <v>46188</v>
      </c>
      <c r="P916" s="2">
        <v>46296</v>
      </c>
      <c r="R916" t="s">
        <v>2732</v>
      </c>
      <c r="S916" t="str">
        <f>""</f>
        <v/>
      </c>
      <c r="T916" t="s">
        <v>41</v>
      </c>
      <c r="U916">
        <v>793.3</v>
      </c>
      <c r="V916">
        <v>784.57</v>
      </c>
      <c r="W916">
        <v>784.57</v>
      </c>
      <c r="X916">
        <v>0</v>
      </c>
      <c r="Y916">
        <v>0</v>
      </c>
      <c r="Z916">
        <v>-521</v>
      </c>
      <c r="AA916">
        <v>691347</v>
      </c>
      <c r="AD916" t="s">
        <v>2725</v>
      </c>
      <c r="AF916" t="s">
        <v>2725</v>
      </c>
      <c r="AG916" s="1" t="s">
        <v>2726</v>
      </c>
      <c r="AH916" t="s">
        <v>2403</v>
      </c>
    </row>
    <row r="917" spans="1:34" x14ac:dyDescent="0.3">
      <c r="A917">
        <v>104</v>
      </c>
      <c r="B917" t="s">
        <v>34</v>
      </c>
      <c r="C917">
        <v>4</v>
      </c>
      <c r="D917" s="1" t="s">
        <v>2733</v>
      </c>
      <c r="E917" s="1" t="s">
        <v>36</v>
      </c>
      <c r="G917">
        <v>470646</v>
      </c>
      <c r="H917" t="s">
        <v>2734</v>
      </c>
      <c r="I917" t="s">
        <v>2735</v>
      </c>
      <c r="J917">
        <v>15</v>
      </c>
      <c r="K917">
        <v>470646</v>
      </c>
      <c r="L917">
        <v>50341</v>
      </c>
      <c r="M917" t="s">
        <v>146</v>
      </c>
      <c r="N917">
        <v>78</v>
      </c>
      <c r="O917" s="2">
        <v>46233</v>
      </c>
      <c r="P917" s="2">
        <v>46293</v>
      </c>
      <c r="R917" t="s">
        <v>2736</v>
      </c>
      <c r="S917" t="str">
        <f>"00013384"</f>
        <v>00013384</v>
      </c>
      <c r="T917" t="s">
        <v>41</v>
      </c>
      <c r="U917">
        <v>54736.6</v>
      </c>
      <c r="V917">
        <v>52736.6</v>
      </c>
      <c r="W917">
        <v>52736.6</v>
      </c>
      <c r="X917">
        <v>0</v>
      </c>
      <c r="Y917">
        <v>0</v>
      </c>
      <c r="Z917">
        <v>-518</v>
      </c>
      <c r="AA917">
        <v>1498</v>
      </c>
      <c r="AD917" t="s">
        <v>2437</v>
      </c>
      <c r="AE917">
        <v>8132521997</v>
      </c>
      <c r="AF917" t="s">
        <v>2437</v>
      </c>
      <c r="AG917" s="1" t="s">
        <v>2737</v>
      </c>
      <c r="AH917" t="s">
        <v>2403</v>
      </c>
    </row>
    <row r="918" spans="1:34" x14ac:dyDescent="0.3">
      <c r="A918">
        <v>101</v>
      </c>
      <c r="B918" t="s">
        <v>34</v>
      </c>
      <c r="C918">
        <v>2</v>
      </c>
      <c r="D918" s="1" t="s">
        <v>2738</v>
      </c>
      <c r="E918" s="1" t="s">
        <v>36</v>
      </c>
      <c r="G918">
        <v>9273</v>
      </c>
      <c r="H918" t="s">
        <v>2739</v>
      </c>
      <c r="I918" t="s">
        <v>2740</v>
      </c>
      <c r="J918">
        <v>12</v>
      </c>
      <c r="K918">
        <v>9273</v>
      </c>
      <c r="L918">
        <v>50033</v>
      </c>
      <c r="M918" t="s">
        <v>39</v>
      </c>
      <c r="N918">
        <v>92</v>
      </c>
      <c r="O918" s="2">
        <v>46234</v>
      </c>
      <c r="P918" s="2">
        <v>46269</v>
      </c>
      <c r="R918" t="s">
        <v>2741</v>
      </c>
      <c r="S918" t="str">
        <f>"0000050411900"</f>
        <v>0000050411900</v>
      </c>
      <c r="T918" t="s">
        <v>41</v>
      </c>
      <c r="U918">
        <v>16258.37</v>
      </c>
      <c r="V918">
        <v>16258.37</v>
      </c>
      <c r="W918">
        <v>16258.37</v>
      </c>
      <c r="X918">
        <v>0</v>
      </c>
      <c r="Y918">
        <v>0</v>
      </c>
      <c r="Z918">
        <v>-494</v>
      </c>
      <c r="AA918">
        <v>1980</v>
      </c>
      <c r="AD918" t="s">
        <v>2742</v>
      </c>
      <c r="AE918" t="s">
        <v>2743</v>
      </c>
      <c r="AF918" t="s">
        <v>2742</v>
      </c>
      <c r="AG918" s="1" t="s">
        <v>2744</v>
      </c>
      <c r="AH918" t="s">
        <v>2745</v>
      </c>
    </row>
    <row r="919" spans="1:34" x14ac:dyDescent="0.3">
      <c r="A919">
        <v>101</v>
      </c>
      <c r="B919" t="s">
        <v>34</v>
      </c>
      <c r="C919">
        <v>2</v>
      </c>
      <c r="D919" s="1" t="s">
        <v>2738</v>
      </c>
      <c r="E919" s="1" t="s">
        <v>122</v>
      </c>
      <c r="G919">
        <v>9273</v>
      </c>
      <c r="H919" t="s">
        <v>2739</v>
      </c>
      <c r="I919" t="s">
        <v>2740</v>
      </c>
      <c r="J919">
        <v>12</v>
      </c>
      <c r="K919">
        <v>9273</v>
      </c>
      <c r="L919">
        <v>50033</v>
      </c>
      <c r="M919" t="s">
        <v>39</v>
      </c>
      <c r="N919">
        <v>92</v>
      </c>
      <c r="O919" s="2">
        <v>46234</v>
      </c>
      <c r="P919" s="2">
        <v>46279</v>
      </c>
      <c r="R919" t="s">
        <v>2741</v>
      </c>
      <c r="S919" t="str">
        <f>"0000050411918"</f>
        <v>0000050411918</v>
      </c>
      <c r="T919" t="s">
        <v>41</v>
      </c>
      <c r="U919">
        <v>15763.11</v>
      </c>
      <c r="V919">
        <v>15763.11</v>
      </c>
      <c r="W919">
        <v>15763.11</v>
      </c>
      <c r="X919">
        <v>0</v>
      </c>
      <c r="Y919">
        <v>0</v>
      </c>
      <c r="Z919">
        <v>-504</v>
      </c>
      <c r="AA919">
        <v>1980</v>
      </c>
      <c r="AD919" t="s">
        <v>2742</v>
      </c>
      <c r="AE919" t="s">
        <v>2743</v>
      </c>
      <c r="AF919" t="s">
        <v>2742</v>
      </c>
      <c r="AG919" s="1" t="s">
        <v>2744</v>
      </c>
      <c r="AH919" t="s">
        <v>2745</v>
      </c>
    </row>
    <row r="920" spans="1:34" x14ac:dyDescent="0.3">
      <c r="A920">
        <v>101</v>
      </c>
      <c r="B920" t="s">
        <v>34</v>
      </c>
      <c r="C920">
        <v>2</v>
      </c>
      <c r="D920" s="1" t="s">
        <v>2746</v>
      </c>
      <c r="E920" s="1" t="s">
        <v>122</v>
      </c>
      <c r="G920">
        <v>442404</v>
      </c>
      <c r="H920" t="s">
        <v>2747</v>
      </c>
      <c r="I920" t="s">
        <v>2748</v>
      </c>
      <c r="J920">
        <v>12</v>
      </c>
      <c r="K920">
        <v>442404</v>
      </c>
      <c r="L920">
        <v>50001</v>
      </c>
      <c r="M920" t="s">
        <v>39</v>
      </c>
      <c r="N920">
        <v>92</v>
      </c>
      <c r="O920" s="2">
        <v>46233</v>
      </c>
      <c r="P920" s="2">
        <v>46278</v>
      </c>
      <c r="R920" t="s">
        <v>2749</v>
      </c>
      <c r="S920" t="str">
        <f>"25666160000051695"</f>
        <v>25666160000051695</v>
      </c>
      <c r="T920" t="s">
        <v>41</v>
      </c>
      <c r="U920">
        <v>24058.38</v>
      </c>
      <c r="V920">
        <v>24058.38</v>
      </c>
      <c r="W920">
        <v>24058.38</v>
      </c>
      <c r="X920">
        <v>0</v>
      </c>
      <c r="Y920">
        <v>0</v>
      </c>
      <c r="Z920">
        <v>-503</v>
      </c>
      <c r="AA920">
        <v>1974</v>
      </c>
      <c r="AD920" t="s">
        <v>2750</v>
      </c>
      <c r="AE920" t="s">
        <v>2751</v>
      </c>
      <c r="AF920" t="s">
        <v>2750</v>
      </c>
      <c r="AG920" s="1" t="s">
        <v>2752</v>
      </c>
      <c r="AH920" t="s">
        <v>2745</v>
      </c>
    </row>
    <row r="921" spans="1:34" x14ac:dyDescent="0.3">
      <c r="A921">
        <v>101</v>
      </c>
      <c r="B921" t="s">
        <v>34</v>
      </c>
      <c r="C921">
        <v>2</v>
      </c>
      <c r="D921" s="1" t="s">
        <v>2746</v>
      </c>
      <c r="E921" s="1" t="s">
        <v>36</v>
      </c>
      <c r="G921">
        <v>442404</v>
      </c>
      <c r="H921" t="s">
        <v>2747</v>
      </c>
      <c r="I921" t="s">
        <v>2748</v>
      </c>
      <c r="J921">
        <v>12</v>
      </c>
      <c r="K921">
        <v>442404</v>
      </c>
      <c r="L921">
        <v>50001</v>
      </c>
      <c r="M921" t="s">
        <v>39</v>
      </c>
      <c r="N921">
        <v>92</v>
      </c>
      <c r="O921" s="2">
        <v>46233</v>
      </c>
      <c r="P921" s="2">
        <v>46268</v>
      </c>
      <c r="R921" t="s">
        <v>2749</v>
      </c>
      <c r="S921" t="str">
        <f>"25666160000051694"</f>
        <v>25666160000051694</v>
      </c>
      <c r="T921" t="s">
        <v>41</v>
      </c>
      <c r="U921">
        <v>27575.34</v>
      </c>
      <c r="V921">
        <v>27575.34</v>
      </c>
      <c r="W921">
        <v>27575.34</v>
      </c>
      <c r="X921">
        <v>0</v>
      </c>
      <c r="Y921">
        <v>0</v>
      </c>
      <c r="Z921">
        <v>-493</v>
      </c>
      <c r="AA921">
        <v>1974</v>
      </c>
      <c r="AD921" t="s">
        <v>2750</v>
      </c>
      <c r="AE921" t="s">
        <v>2751</v>
      </c>
      <c r="AF921" t="s">
        <v>2750</v>
      </c>
      <c r="AG921" s="1" t="s">
        <v>2752</v>
      </c>
      <c r="AH921" t="s">
        <v>2745</v>
      </c>
    </row>
    <row r="922" spans="1:34" x14ac:dyDescent="0.3">
      <c r="A922">
        <v>101</v>
      </c>
      <c r="B922" t="s">
        <v>34</v>
      </c>
      <c r="C922">
        <v>2</v>
      </c>
      <c r="D922" s="1" t="s">
        <v>2753</v>
      </c>
      <c r="E922" s="1" t="s">
        <v>36</v>
      </c>
      <c r="G922">
        <v>450127</v>
      </c>
      <c r="H922" t="s">
        <v>2754</v>
      </c>
      <c r="I922" t="s">
        <v>2755</v>
      </c>
      <c r="J922">
        <v>12</v>
      </c>
      <c r="K922">
        <v>450127</v>
      </c>
      <c r="L922">
        <v>50033</v>
      </c>
      <c r="M922" t="s">
        <v>39</v>
      </c>
      <c r="N922">
        <v>92</v>
      </c>
      <c r="O922" s="2">
        <v>46234</v>
      </c>
      <c r="P922" s="2">
        <v>46262</v>
      </c>
      <c r="R922" t="s">
        <v>2756</v>
      </c>
      <c r="S922" t="str">
        <f>"0000050412078"</f>
        <v>0000050412078</v>
      </c>
      <c r="T922" t="s">
        <v>41</v>
      </c>
      <c r="U922">
        <v>16546.009999999998</v>
      </c>
      <c r="V922">
        <v>16546.009999999998</v>
      </c>
      <c r="W922">
        <v>16546.009999999998</v>
      </c>
      <c r="X922">
        <v>0</v>
      </c>
      <c r="Y922">
        <v>0</v>
      </c>
      <c r="Z922">
        <v>-487</v>
      </c>
      <c r="AA922">
        <v>1986</v>
      </c>
      <c r="AD922" t="s">
        <v>2742</v>
      </c>
      <c r="AE922" t="s">
        <v>2757</v>
      </c>
      <c r="AF922" t="s">
        <v>2742</v>
      </c>
      <c r="AG922">
        <v>24407713000132</v>
      </c>
      <c r="AH922" t="s">
        <v>2745</v>
      </c>
    </row>
    <row r="923" spans="1:34" x14ac:dyDescent="0.3">
      <c r="A923">
        <v>101</v>
      </c>
      <c r="B923" t="s">
        <v>34</v>
      </c>
      <c r="C923">
        <v>2</v>
      </c>
      <c r="D923" s="1" t="s">
        <v>2753</v>
      </c>
      <c r="E923" s="1" t="s">
        <v>122</v>
      </c>
      <c r="G923">
        <v>450127</v>
      </c>
      <c r="H923" t="s">
        <v>2754</v>
      </c>
      <c r="I923" t="s">
        <v>2755</v>
      </c>
      <c r="J923">
        <v>12</v>
      </c>
      <c r="K923">
        <v>450127</v>
      </c>
      <c r="L923">
        <v>50033</v>
      </c>
      <c r="M923" t="s">
        <v>39</v>
      </c>
      <c r="N923">
        <v>92</v>
      </c>
      <c r="O923" s="2">
        <v>46234</v>
      </c>
      <c r="P923" s="2">
        <v>46269</v>
      </c>
      <c r="R923" t="s">
        <v>2756</v>
      </c>
      <c r="S923" t="str">
        <f>"0000050412086"</f>
        <v>0000050412086</v>
      </c>
      <c r="T923" t="s">
        <v>41</v>
      </c>
      <c r="U923">
        <v>14248.56</v>
      </c>
      <c r="V923">
        <v>14248.56</v>
      </c>
      <c r="W923">
        <v>14248.56</v>
      </c>
      <c r="X923">
        <v>0</v>
      </c>
      <c r="Y923">
        <v>0</v>
      </c>
      <c r="Z923">
        <v>-494</v>
      </c>
      <c r="AA923">
        <v>1986</v>
      </c>
      <c r="AD923" t="s">
        <v>2742</v>
      </c>
      <c r="AE923" t="s">
        <v>2757</v>
      </c>
      <c r="AF923" t="s">
        <v>2742</v>
      </c>
      <c r="AG923">
        <v>24407713000132</v>
      </c>
      <c r="AH923" t="s">
        <v>2745</v>
      </c>
    </row>
    <row r="924" spans="1:34" x14ac:dyDescent="0.3">
      <c r="A924">
        <v>101</v>
      </c>
      <c r="B924" t="s">
        <v>34</v>
      </c>
      <c r="C924">
        <v>2</v>
      </c>
      <c r="D924" s="1" t="s">
        <v>2753</v>
      </c>
      <c r="E924" s="1" t="s">
        <v>116</v>
      </c>
      <c r="G924">
        <v>450127</v>
      </c>
      <c r="H924" t="s">
        <v>2754</v>
      </c>
      <c r="I924" t="s">
        <v>2755</v>
      </c>
      <c r="J924">
        <v>12</v>
      </c>
      <c r="K924">
        <v>450127</v>
      </c>
      <c r="L924">
        <v>50033</v>
      </c>
      <c r="M924" t="s">
        <v>39</v>
      </c>
      <c r="N924">
        <v>92</v>
      </c>
      <c r="O924" s="2">
        <v>46234</v>
      </c>
      <c r="P924" s="2">
        <v>46276</v>
      </c>
      <c r="R924" t="s">
        <v>2756</v>
      </c>
      <c r="S924" t="str">
        <f>"0000050412094"</f>
        <v>0000050412094</v>
      </c>
      <c r="T924" t="s">
        <v>41</v>
      </c>
      <c r="U924">
        <v>14252.84</v>
      </c>
      <c r="V924">
        <v>14252.84</v>
      </c>
      <c r="W924">
        <v>14252.84</v>
      </c>
      <c r="X924">
        <v>0</v>
      </c>
      <c r="Y924">
        <v>0</v>
      </c>
      <c r="Z924">
        <v>-501</v>
      </c>
      <c r="AA924">
        <v>1986</v>
      </c>
      <c r="AD924" t="s">
        <v>2742</v>
      </c>
      <c r="AE924" t="s">
        <v>2757</v>
      </c>
      <c r="AF924" t="s">
        <v>2742</v>
      </c>
      <c r="AG924">
        <v>24407713000132</v>
      </c>
      <c r="AH924" t="s">
        <v>2745</v>
      </c>
    </row>
    <row r="925" spans="1:34" x14ac:dyDescent="0.3">
      <c r="A925">
        <v>101</v>
      </c>
      <c r="B925" t="s">
        <v>34</v>
      </c>
      <c r="C925">
        <v>2</v>
      </c>
      <c r="D925" s="1" t="s">
        <v>2758</v>
      </c>
      <c r="E925" s="1" t="s">
        <v>36</v>
      </c>
      <c r="G925">
        <v>451531</v>
      </c>
      <c r="H925" t="s">
        <v>2759</v>
      </c>
      <c r="I925" t="s">
        <v>2760</v>
      </c>
      <c r="J925">
        <v>15</v>
      </c>
      <c r="K925">
        <v>451531</v>
      </c>
      <c r="L925">
        <v>50341</v>
      </c>
      <c r="M925" t="s">
        <v>146</v>
      </c>
      <c r="N925">
        <v>92</v>
      </c>
      <c r="O925" s="2">
        <v>46234</v>
      </c>
      <c r="P925" s="2">
        <v>46294</v>
      </c>
      <c r="R925" t="s">
        <v>2761</v>
      </c>
      <c r="S925" t="str">
        <f>"00013479"</f>
        <v>00013479</v>
      </c>
      <c r="T925" t="s">
        <v>41</v>
      </c>
      <c r="U925">
        <v>17998.2</v>
      </c>
      <c r="V925">
        <v>17098.2</v>
      </c>
      <c r="W925">
        <v>17098.2</v>
      </c>
      <c r="X925">
        <v>0</v>
      </c>
      <c r="Y925">
        <v>0</v>
      </c>
      <c r="Z925">
        <v>-519</v>
      </c>
      <c r="AA925">
        <v>4203</v>
      </c>
      <c r="AD925" t="s">
        <v>2750</v>
      </c>
      <c r="AE925" t="s">
        <v>2762</v>
      </c>
      <c r="AF925" t="s">
        <v>2750</v>
      </c>
      <c r="AG925" s="1" t="s">
        <v>2763</v>
      </c>
      <c r="AH925" t="s">
        <v>2745</v>
      </c>
    </row>
    <row r="926" spans="1:34" x14ac:dyDescent="0.3">
      <c r="A926">
        <v>101</v>
      </c>
      <c r="B926" t="s">
        <v>34</v>
      </c>
      <c r="C926">
        <v>2</v>
      </c>
      <c r="D926" s="1" t="s">
        <v>2764</v>
      </c>
      <c r="E926" s="1" t="s">
        <v>36</v>
      </c>
      <c r="G926">
        <v>451531</v>
      </c>
      <c r="H926" t="s">
        <v>2759</v>
      </c>
      <c r="I926" t="s">
        <v>2760</v>
      </c>
      <c r="J926">
        <v>15</v>
      </c>
      <c r="K926">
        <v>451531</v>
      </c>
      <c r="L926">
        <v>50341</v>
      </c>
      <c r="M926" t="s">
        <v>146</v>
      </c>
      <c r="N926">
        <v>92</v>
      </c>
      <c r="O926" s="2">
        <v>46233</v>
      </c>
      <c r="P926" s="2">
        <v>46293</v>
      </c>
      <c r="R926" t="s">
        <v>2765</v>
      </c>
      <c r="S926" t="str">
        <f>"00013364"</f>
        <v>00013364</v>
      </c>
      <c r="T926" t="s">
        <v>41</v>
      </c>
      <c r="U926">
        <v>9850.7999999999993</v>
      </c>
      <c r="V926">
        <v>9358.7999999999993</v>
      </c>
      <c r="W926">
        <v>9358.7999999999993</v>
      </c>
      <c r="X926">
        <v>0</v>
      </c>
      <c r="Y926">
        <v>0</v>
      </c>
      <c r="Z926">
        <v>-518</v>
      </c>
      <c r="AA926">
        <v>1881</v>
      </c>
      <c r="AD926" t="s">
        <v>2750</v>
      </c>
      <c r="AE926" t="s">
        <v>2762</v>
      </c>
      <c r="AF926" t="s">
        <v>2750</v>
      </c>
      <c r="AG926" s="1" t="s">
        <v>2763</v>
      </c>
      <c r="AH926" t="s">
        <v>2745</v>
      </c>
    </row>
    <row r="927" spans="1:34" x14ac:dyDescent="0.3">
      <c r="A927">
        <v>101</v>
      </c>
      <c r="B927" t="s">
        <v>34</v>
      </c>
      <c r="C927">
        <v>2</v>
      </c>
      <c r="D927" s="1" t="s">
        <v>2758</v>
      </c>
      <c r="E927" s="1" t="s">
        <v>116</v>
      </c>
      <c r="G927">
        <v>451531</v>
      </c>
      <c r="H927" t="s">
        <v>2759</v>
      </c>
      <c r="I927" t="s">
        <v>2760</v>
      </c>
      <c r="J927">
        <v>15</v>
      </c>
      <c r="K927">
        <v>451531</v>
      </c>
      <c r="L927">
        <v>50341</v>
      </c>
      <c r="M927" t="s">
        <v>146</v>
      </c>
      <c r="N927">
        <v>92</v>
      </c>
      <c r="O927" s="2">
        <v>46234</v>
      </c>
      <c r="P927" s="2">
        <v>46314</v>
      </c>
      <c r="R927" t="s">
        <v>2761</v>
      </c>
      <c r="S927" t="str">
        <f>"00013481"</f>
        <v>00013481</v>
      </c>
      <c r="T927" t="s">
        <v>41</v>
      </c>
      <c r="U927">
        <v>18003.599999999999</v>
      </c>
      <c r="V927">
        <v>17103.599999999999</v>
      </c>
      <c r="W927">
        <v>17103.599999999999</v>
      </c>
      <c r="X927">
        <v>0</v>
      </c>
      <c r="Y927">
        <v>0</v>
      </c>
      <c r="Z927">
        <v>-539</v>
      </c>
      <c r="AA927">
        <v>4203</v>
      </c>
      <c r="AD927" t="s">
        <v>2750</v>
      </c>
      <c r="AE927" t="s">
        <v>2762</v>
      </c>
      <c r="AF927" t="s">
        <v>2750</v>
      </c>
      <c r="AG927" s="1" t="s">
        <v>2763</v>
      </c>
      <c r="AH927" t="s">
        <v>2745</v>
      </c>
    </row>
    <row r="928" spans="1:34" x14ac:dyDescent="0.3">
      <c r="A928">
        <v>101</v>
      </c>
      <c r="B928" t="s">
        <v>34</v>
      </c>
      <c r="C928">
        <v>2</v>
      </c>
      <c r="D928" s="1" t="s">
        <v>2766</v>
      </c>
      <c r="E928" s="1" t="s">
        <v>36</v>
      </c>
      <c r="G928">
        <v>451531</v>
      </c>
      <c r="H928" t="s">
        <v>2759</v>
      </c>
      <c r="I928" t="s">
        <v>2760</v>
      </c>
      <c r="J928">
        <v>15</v>
      </c>
      <c r="K928">
        <v>451531</v>
      </c>
      <c r="L928">
        <v>50341</v>
      </c>
      <c r="M928" t="s">
        <v>146</v>
      </c>
      <c r="N928">
        <v>92</v>
      </c>
      <c r="O928" s="2">
        <v>46234</v>
      </c>
      <c r="P928" s="2">
        <v>46294</v>
      </c>
      <c r="R928" t="s">
        <v>2767</v>
      </c>
      <c r="S928" t="str">
        <f>"00013420"</f>
        <v>00013420</v>
      </c>
      <c r="T928" t="s">
        <v>41</v>
      </c>
      <c r="U928">
        <v>39799.379999999997</v>
      </c>
      <c r="V928">
        <v>37966.050000000003</v>
      </c>
      <c r="W928">
        <v>37966.050000000003</v>
      </c>
      <c r="X928">
        <v>0</v>
      </c>
      <c r="Y928">
        <v>0</v>
      </c>
      <c r="Z928">
        <v>-519</v>
      </c>
      <c r="AA928">
        <v>4091</v>
      </c>
      <c r="AD928" t="s">
        <v>2750</v>
      </c>
      <c r="AE928" t="s">
        <v>2762</v>
      </c>
      <c r="AF928" t="s">
        <v>2750</v>
      </c>
      <c r="AG928" s="1" t="s">
        <v>2763</v>
      </c>
      <c r="AH928" t="s">
        <v>2745</v>
      </c>
    </row>
    <row r="929" spans="1:34" x14ac:dyDescent="0.3">
      <c r="A929">
        <v>101</v>
      </c>
      <c r="B929" t="s">
        <v>34</v>
      </c>
      <c r="C929">
        <v>2</v>
      </c>
      <c r="D929" s="1" t="s">
        <v>2766</v>
      </c>
      <c r="E929" s="1" t="s">
        <v>122</v>
      </c>
      <c r="G929">
        <v>451531</v>
      </c>
      <c r="H929" t="s">
        <v>2759</v>
      </c>
      <c r="I929" t="s">
        <v>2760</v>
      </c>
      <c r="J929">
        <v>15</v>
      </c>
      <c r="K929">
        <v>451531</v>
      </c>
      <c r="L929">
        <v>50341</v>
      </c>
      <c r="M929" t="s">
        <v>146</v>
      </c>
      <c r="N929">
        <v>92</v>
      </c>
      <c r="O929" s="2">
        <v>46234</v>
      </c>
      <c r="P929" s="2">
        <v>46304</v>
      </c>
      <c r="R929" t="s">
        <v>2767</v>
      </c>
      <c r="S929" t="str">
        <f>"00013421"</f>
        <v>00013421</v>
      </c>
      <c r="T929" t="s">
        <v>41</v>
      </c>
      <c r="U929">
        <v>36941.9</v>
      </c>
      <c r="V929">
        <v>35108.57</v>
      </c>
      <c r="W929">
        <v>35108.57</v>
      </c>
      <c r="X929">
        <v>0</v>
      </c>
      <c r="Y929">
        <v>0</v>
      </c>
      <c r="Z929">
        <v>-529</v>
      </c>
      <c r="AA929">
        <v>4091</v>
      </c>
      <c r="AD929" t="s">
        <v>2750</v>
      </c>
      <c r="AE929" t="s">
        <v>2762</v>
      </c>
      <c r="AF929" t="s">
        <v>2750</v>
      </c>
      <c r="AG929" s="1" t="s">
        <v>2763</v>
      </c>
      <c r="AH929" t="s">
        <v>2745</v>
      </c>
    </row>
    <row r="930" spans="1:34" x14ac:dyDescent="0.3">
      <c r="A930">
        <v>101</v>
      </c>
      <c r="B930" t="s">
        <v>34</v>
      </c>
      <c r="C930">
        <v>2</v>
      </c>
      <c r="D930" s="1" t="s">
        <v>2766</v>
      </c>
      <c r="E930" s="1" t="s">
        <v>116</v>
      </c>
      <c r="G930">
        <v>451531</v>
      </c>
      <c r="H930" t="s">
        <v>2759</v>
      </c>
      <c r="I930" t="s">
        <v>2760</v>
      </c>
      <c r="J930">
        <v>15</v>
      </c>
      <c r="K930">
        <v>451531</v>
      </c>
      <c r="L930">
        <v>50341</v>
      </c>
      <c r="M930" t="s">
        <v>146</v>
      </c>
      <c r="N930">
        <v>92</v>
      </c>
      <c r="O930" s="2">
        <v>46234</v>
      </c>
      <c r="P930" s="2">
        <v>46314</v>
      </c>
      <c r="R930" t="s">
        <v>2767</v>
      </c>
      <c r="S930" t="str">
        <f>"00013404"</f>
        <v>00013404</v>
      </c>
      <c r="T930" t="s">
        <v>41</v>
      </c>
      <c r="U930">
        <v>36952.97</v>
      </c>
      <c r="V930">
        <v>35119.64</v>
      </c>
      <c r="W930">
        <v>35119.64</v>
      </c>
      <c r="X930">
        <v>0</v>
      </c>
      <c r="Y930">
        <v>0</v>
      </c>
      <c r="Z930">
        <v>-539</v>
      </c>
      <c r="AA930">
        <v>4091</v>
      </c>
      <c r="AD930" t="s">
        <v>2750</v>
      </c>
      <c r="AE930" t="s">
        <v>2762</v>
      </c>
      <c r="AF930" t="s">
        <v>2750</v>
      </c>
      <c r="AG930" s="1" t="s">
        <v>2763</v>
      </c>
      <c r="AH930" t="s">
        <v>2745</v>
      </c>
    </row>
    <row r="931" spans="1:34" x14ac:dyDescent="0.3">
      <c r="A931">
        <v>101</v>
      </c>
      <c r="B931" t="s">
        <v>34</v>
      </c>
      <c r="C931">
        <v>2</v>
      </c>
      <c r="D931" s="1" t="s">
        <v>2758</v>
      </c>
      <c r="E931" s="1" t="s">
        <v>122</v>
      </c>
      <c r="G931">
        <v>451531</v>
      </c>
      <c r="H931" t="s">
        <v>2759</v>
      </c>
      <c r="I931" t="s">
        <v>2760</v>
      </c>
      <c r="J931">
        <v>15</v>
      </c>
      <c r="K931">
        <v>451531</v>
      </c>
      <c r="L931">
        <v>50341</v>
      </c>
      <c r="M931" t="s">
        <v>146</v>
      </c>
      <c r="N931">
        <v>92</v>
      </c>
      <c r="O931" s="2">
        <v>46234</v>
      </c>
      <c r="P931" s="2">
        <v>46304</v>
      </c>
      <c r="R931" t="s">
        <v>2761</v>
      </c>
      <c r="S931" t="str">
        <f>"00013480"</f>
        <v>00013480</v>
      </c>
      <c r="T931" t="s">
        <v>41</v>
      </c>
      <c r="U931">
        <v>17998.2</v>
      </c>
      <c r="V931">
        <v>17098.2</v>
      </c>
      <c r="W931">
        <v>17098.2</v>
      </c>
      <c r="X931">
        <v>0</v>
      </c>
      <c r="Y931">
        <v>0</v>
      </c>
      <c r="Z931">
        <v>-529</v>
      </c>
      <c r="AA931">
        <v>4203</v>
      </c>
      <c r="AD931" t="s">
        <v>2750</v>
      </c>
      <c r="AE931" t="s">
        <v>2762</v>
      </c>
      <c r="AF931" t="s">
        <v>2750</v>
      </c>
      <c r="AG931" s="1" t="s">
        <v>2763</v>
      </c>
      <c r="AH931" t="s">
        <v>2745</v>
      </c>
    </row>
    <row r="932" spans="1:34" x14ac:dyDescent="0.3">
      <c r="A932">
        <v>101</v>
      </c>
      <c r="B932" t="s">
        <v>34</v>
      </c>
      <c r="C932">
        <v>2</v>
      </c>
      <c r="D932" s="1" t="s">
        <v>2768</v>
      </c>
      <c r="E932" s="1" t="s">
        <v>116</v>
      </c>
      <c r="G932">
        <v>451531</v>
      </c>
      <c r="H932" t="s">
        <v>2759</v>
      </c>
      <c r="I932" t="s">
        <v>2760</v>
      </c>
      <c r="J932">
        <v>15</v>
      </c>
      <c r="K932">
        <v>451531</v>
      </c>
      <c r="L932">
        <v>50341</v>
      </c>
      <c r="M932" t="s">
        <v>146</v>
      </c>
      <c r="N932">
        <v>92</v>
      </c>
      <c r="O932" s="2">
        <v>46203</v>
      </c>
      <c r="P932" s="2">
        <v>46283</v>
      </c>
      <c r="R932" t="s">
        <v>2769</v>
      </c>
      <c r="S932" t="str">
        <f>"00012977"</f>
        <v>00012977</v>
      </c>
      <c r="T932" t="s">
        <v>41</v>
      </c>
      <c r="U932">
        <v>113886.33</v>
      </c>
      <c r="V932">
        <v>108136.33</v>
      </c>
      <c r="W932">
        <v>108136.33</v>
      </c>
      <c r="X932">
        <v>0</v>
      </c>
      <c r="Y932">
        <v>0</v>
      </c>
      <c r="Z932">
        <v>-508</v>
      </c>
      <c r="AA932">
        <v>963</v>
      </c>
      <c r="AD932" t="s">
        <v>2750</v>
      </c>
      <c r="AE932" t="s">
        <v>2762</v>
      </c>
      <c r="AF932" t="s">
        <v>2750</v>
      </c>
      <c r="AG932" s="1" t="s">
        <v>2763</v>
      </c>
      <c r="AH932" t="s">
        <v>2745</v>
      </c>
    </row>
    <row r="933" spans="1:34" x14ac:dyDescent="0.3">
      <c r="A933">
        <v>101</v>
      </c>
      <c r="B933" t="s">
        <v>34</v>
      </c>
      <c r="C933">
        <v>2</v>
      </c>
      <c r="D933" s="1" t="s">
        <v>2768</v>
      </c>
      <c r="E933" s="1" t="s">
        <v>36</v>
      </c>
      <c r="G933">
        <v>451531</v>
      </c>
      <c r="H933" t="s">
        <v>2759</v>
      </c>
      <c r="I933" t="s">
        <v>2760</v>
      </c>
      <c r="J933">
        <v>15</v>
      </c>
      <c r="K933">
        <v>451531</v>
      </c>
      <c r="L933">
        <v>50341</v>
      </c>
      <c r="M933" t="s">
        <v>146</v>
      </c>
      <c r="N933">
        <v>92</v>
      </c>
      <c r="O933" s="2">
        <v>46203</v>
      </c>
      <c r="P933" s="2">
        <v>46263</v>
      </c>
      <c r="R933" t="s">
        <v>2769</v>
      </c>
      <c r="S933" t="str">
        <f>"00012991"</f>
        <v>00012991</v>
      </c>
      <c r="T933" t="s">
        <v>41</v>
      </c>
      <c r="U933">
        <v>117830.44</v>
      </c>
      <c r="V933">
        <v>111685.87</v>
      </c>
      <c r="W933">
        <v>111685.87</v>
      </c>
      <c r="X933">
        <v>0</v>
      </c>
      <c r="Y933">
        <v>0</v>
      </c>
      <c r="Z933">
        <v>-488</v>
      </c>
      <c r="AA933">
        <v>963</v>
      </c>
      <c r="AD933" t="s">
        <v>2750</v>
      </c>
      <c r="AE933" t="s">
        <v>2762</v>
      </c>
      <c r="AF933" t="s">
        <v>2750</v>
      </c>
      <c r="AG933" s="1" t="s">
        <v>2763</v>
      </c>
      <c r="AH933" t="s">
        <v>2745</v>
      </c>
    </row>
    <row r="934" spans="1:34" x14ac:dyDescent="0.3">
      <c r="A934">
        <v>101</v>
      </c>
      <c r="B934" t="s">
        <v>34</v>
      </c>
      <c r="C934">
        <v>2</v>
      </c>
      <c r="D934" s="1" t="s">
        <v>2768</v>
      </c>
      <c r="E934" s="1" t="s">
        <v>122</v>
      </c>
      <c r="G934">
        <v>451531</v>
      </c>
      <c r="H934" t="s">
        <v>2759</v>
      </c>
      <c r="I934" t="s">
        <v>2760</v>
      </c>
      <c r="J934">
        <v>15</v>
      </c>
      <c r="K934">
        <v>451531</v>
      </c>
      <c r="L934">
        <v>50341</v>
      </c>
      <c r="M934" t="s">
        <v>146</v>
      </c>
      <c r="N934">
        <v>92</v>
      </c>
      <c r="O934" s="2">
        <v>46203</v>
      </c>
      <c r="P934" s="2">
        <v>46273</v>
      </c>
      <c r="R934" t="s">
        <v>2769</v>
      </c>
      <c r="S934" t="str">
        <f>"00012976"</f>
        <v>00012976</v>
      </c>
      <c r="T934" t="s">
        <v>41</v>
      </c>
      <c r="U934">
        <v>113852.17</v>
      </c>
      <c r="V934">
        <v>108102.17</v>
      </c>
      <c r="W934">
        <v>108102.17</v>
      </c>
      <c r="X934">
        <v>0</v>
      </c>
      <c r="Y934">
        <v>0</v>
      </c>
      <c r="Z934">
        <v>-498</v>
      </c>
      <c r="AA934">
        <v>963</v>
      </c>
      <c r="AD934" t="s">
        <v>2750</v>
      </c>
      <c r="AE934" t="s">
        <v>2762</v>
      </c>
      <c r="AF934" t="s">
        <v>2750</v>
      </c>
      <c r="AG934" s="1" t="s">
        <v>2763</v>
      </c>
      <c r="AH934" t="s">
        <v>2745</v>
      </c>
    </row>
    <row r="935" spans="1:34" x14ac:dyDescent="0.3">
      <c r="A935">
        <v>101</v>
      </c>
      <c r="B935" t="s">
        <v>34</v>
      </c>
      <c r="C935">
        <v>2</v>
      </c>
      <c r="D935" s="1" t="s">
        <v>2770</v>
      </c>
      <c r="E935" s="1" t="s">
        <v>122</v>
      </c>
      <c r="G935">
        <v>452574</v>
      </c>
      <c r="H935" t="s">
        <v>2771</v>
      </c>
      <c r="I935" t="s">
        <v>2772</v>
      </c>
      <c r="J935">
        <v>15</v>
      </c>
      <c r="K935">
        <v>452574</v>
      </c>
      <c r="L935">
        <v>50341</v>
      </c>
      <c r="M935" t="s">
        <v>146</v>
      </c>
      <c r="N935">
        <v>92</v>
      </c>
      <c r="O935" s="2">
        <v>46203</v>
      </c>
      <c r="P935" s="2">
        <v>46263</v>
      </c>
      <c r="R935" t="s">
        <v>2773</v>
      </c>
      <c r="S935" t="str">
        <f>"00012993"</f>
        <v>00012993</v>
      </c>
      <c r="T935" t="s">
        <v>41</v>
      </c>
      <c r="U935">
        <v>59764.6</v>
      </c>
      <c r="V935">
        <v>55214.12</v>
      </c>
      <c r="W935">
        <v>55214.12</v>
      </c>
      <c r="X935">
        <v>0</v>
      </c>
      <c r="Y935">
        <v>0</v>
      </c>
      <c r="Z935">
        <v>-488</v>
      </c>
      <c r="AA935">
        <v>958</v>
      </c>
      <c r="AD935" t="s">
        <v>2750</v>
      </c>
      <c r="AE935" t="s">
        <v>2774</v>
      </c>
      <c r="AF935" t="s">
        <v>2750</v>
      </c>
      <c r="AG935">
        <v>32316779000145</v>
      </c>
      <c r="AH935" t="s">
        <v>2745</v>
      </c>
    </row>
    <row r="936" spans="1:34" x14ac:dyDescent="0.3">
      <c r="A936">
        <v>101</v>
      </c>
      <c r="B936" t="s">
        <v>34</v>
      </c>
      <c r="C936">
        <v>2</v>
      </c>
      <c r="D936" s="1" t="s">
        <v>2770</v>
      </c>
      <c r="E936" s="1" t="s">
        <v>36</v>
      </c>
      <c r="G936">
        <v>452574</v>
      </c>
      <c r="H936" t="s">
        <v>2771</v>
      </c>
      <c r="I936" t="s">
        <v>2772</v>
      </c>
      <c r="J936">
        <v>15</v>
      </c>
      <c r="K936">
        <v>452574</v>
      </c>
      <c r="L936">
        <v>50341</v>
      </c>
      <c r="M936" t="s">
        <v>146</v>
      </c>
      <c r="N936">
        <v>92</v>
      </c>
      <c r="O936" s="2">
        <v>46203</v>
      </c>
      <c r="P936" s="2">
        <v>46256</v>
      </c>
      <c r="R936" t="s">
        <v>2773</v>
      </c>
      <c r="S936" t="str">
        <f>"00012992"</f>
        <v>00012992</v>
      </c>
      <c r="T936" t="s">
        <v>41</v>
      </c>
      <c r="U936">
        <v>65649.210000000006</v>
      </c>
      <c r="V936">
        <v>60804.5</v>
      </c>
      <c r="W936">
        <v>60804.5</v>
      </c>
      <c r="X936">
        <v>0</v>
      </c>
      <c r="Y936">
        <v>0</v>
      </c>
      <c r="Z936">
        <v>-481</v>
      </c>
      <c r="AA936">
        <v>958</v>
      </c>
      <c r="AD936" t="s">
        <v>2750</v>
      </c>
      <c r="AE936" t="s">
        <v>2774</v>
      </c>
      <c r="AF936" t="s">
        <v>2750</v>
      </c>
      <c r="AG936">
        <v>32316779000145</v>
      </c>
      <c r="AH936" t="s">
        <v>2745</v>
      </c>
    </row>
    <row r="937" spans="1:34" x14ac:dyDescent="0.3">
      <c r="A937">
        <v>101</v>
      </c>
      <c r="B937" t="s">
        <v>34</v>
      </c>
      <c r="C937">
        <v>2</v>
      </c>
      <c r="D937" s="1" t="s">
        <v>2775</v>
      </c>
      <c r="E937" s="1" t="s">
        <v>36</v>
      </c>
      <c r="G937">
        <v>452574</v>
      </c>
      <c r="H937" t="s">
        <v>2771</v>
      </c>
      <c r="I937" t="s">
        <v>2772</v>
      </c>
      <c r="J937">
        <v>15</v>
      </c>
      <c r="K937">
        <v>452574</v>
      </c>
      <c r="L937">
        <v>50341</v>
      </c>
      <c r="M937" t="s">
        <v>146</v>
      </c>
      <c r="N937">
        <v>92</v>
      </c>
      <c r="O937" s="2">
        <v>46233</v>
      </c>
      <c r="P937" s="2">
        <v>46286</v>
      </c>
      <c r="R937" t="s">
        <v>2776</v>
      </c>
      <c r="S937" t="str">
        <f>"00013365"</f>
        <v>00013365</v>
      </c>
      <c r="T937" t="s">
        <v>41</v>
      </c>
      <c r="U937">
        <v>48860.49</v>
      </c>
      <c r="V937">
        <v>45375.97</v>
      </c>
      <c r="W937">
        <v>45375.97</v>
      </c>
      <c r="X937">
        <v>0</v>
      </c>
      <c r="Y937">
        <v>0</v>
      </c>
      <c r="Z937">
        <v>-511</v>
      </c>
      <c r="AA937">
        <v>1945</v>
      </c>
      <c r="AD937" t="s">
        <v>2750</v>
      </c>
      <c r="AE937" t="s">
        <v>2774</v>
      </c>
      <c r="AF937" t="s">
        <v>2750</v>
      </c>
      <c r="AG937">
        <v>32316779000145</v>
      </c>
      <c r="AH937" t="s">
        <v>2745</v>
      </c>
    </row>
    <row r="938" spans="1:34" x14ac:dyDescent="0.3">
      <c r="A938">
        <v>101</v>
      </c>
      <c r="B938" t="s">
        <v>34</v>
      </c>
      <c r="C938">
        <v>2</v>
      </c>
      <c r="D938" s="1" t="s">
        <v>2775</v>
      </c>
      <c r="E938" s="1" t="s">
        <v>122</v>
      </c>
      <c r="G938">
        <v>452574</v>
      </c>
      <c r="H938" t="s">
        <v>2771</v>
      </c>
      <c r="I938" t="s">
        <v>2772</v>
      </c>
      <c r="J938">
        <v>15</v>
      </c>
      <c r="K938">
        <v>452574</v>
      </c>
      <c r="L938">
        <v>50341</v>
      </c>
      <c r="M938" t="s">
        <v>146</v>
      </c>
      <c r="N938">
        <v>92</v>
      </c>
      <c r="O938" s="2">
        <v>46233</v>
      </c>
      <c r="P938" s="2">
        <v>46293</v>
      </c>
      <c r="R938" t="s">
        <v>2776</v>
      </c>
      <c r="S938" t="str">
        <f>"00013366"</f>
        <v>00013366</v>
      </c>
      <c r="T938" t="s">
        <v>41</v>
      </c>
      <c r="U938">
        <v>44848.69</v>
      </c>
      <c r="V938">
        <v>41564.76</v>
      </c>
      <c r="W938">
        <v>41564.76</v>
      </c>
      <c r="X938">
        <v>0</v>
      </c>
      <c r="Y938">
        <v>0</v>
      </c>
      <c r="Z938">
        <v>-518</v>
      </c>
      <c r="AA938">
        <v>1945</v>
      </c>
      <c r="AD938" t="s">
        <v>2750</v>
      </c>
      <c r="AE938" t="s">
        <v>2774</v>
      </c>
      <c r="AF938" t="s">
        <v>2750</v>
      </c>
      <c r="AG938">
        <v>32316779000145</v>
      </c>
      <c r="AH938" t="s">
        <v>2745</v>
      </c>
    </row>
    <row r="939" spans="1:34" x14ac:dyDescent="0.3">
      <c r="A939">
        <v>101</v>
      </c>
      <c r="B939" t="s">
        <v>34</v>
      </c>
      <c r="C939">
        <v>2</v>
      </c>
      <c r="D939" s="1" t="s">
        <v>2777</v>
      </c>
      <c r="E939" s="1" t="s">
        <v>122</v>
      </c>
      <c r="G939">
        <v>465163</v>
      </c>
      <c r="H939" t="s">
        <v>2778</v>
      </c>
      <c r="I939" t="s">
        <v>2779</v>
      </c>
      <c r="J939">
        <v>12</v>
      </c>
      <c r="K939">
        <v>465163</v>
      </c>
      <c r="L939">
        <v>50341</v>
      </c>
      <c r="M939" t="s">
        <v>146</v>
      </c>
      <c r="N939">
        <v>92</v>
      </c>
      <c r="O939" s="2">
        <v>46234</v>
      </c>
      <c r="P939" s="2">
        <v>46276</v>
      </c>
      <c r="R939" t="s">
        <v>2780</v>
      </c>
      <c r="S939" t="str">
        <f>"00013414"</f>
        <v>00013414</v>
      </c>
      <c r="T939" t="s">
        <v>41</v>
      </c>
      <c r="U939">
        <v>6499.27</v>
      </c>
      <c r="V939">
        <v>6499.27</v>
      </c>
      <c r="W939">
        <v>6499.27</v>
      </c>
      <c r="X939">
        <v>0</v>
      </c>
      <c r="Y939">
        <v>0</v>
      </c>
      <c r="Z939">
        <v>-501</v>
      </c>
      <c r="AA939">
        <v>1960</v>
      </c>
      <c r="AD939" t="s">
        <v>2750</v>
      </c>
      <c r="AE939" t="s">
        <v>2781</v>
      </c>
      <c r="AF939" t="s">
        <v>2750</v>
      </c>
      <c r="AG939">
        <v>30471057000300</v>
      </c>
      <c r="AH939" t="s">
        <v>2745</v>
      </c>
    </row>
    <row r="940" spans="1:34" x14ac:dyDescent="0.3">
      <c r="A940">
        <v>101</v>
      </c>
      <c r="B940" t="s">
        <v>34</v>
      </c>
      <c r="C940">
        <v>2</v>
      </c>
      <c r="D940" s="1" t="s">
        <v>2777</v>
      </c>
      <c r="E940" s="1" t="s">
        <v>36</v>
      </c>
      <c r="G940">
        <v>465163</v>
      </c>
      <c r="H940" t="s">
        <v>2778</v>
      </c>
      <c r="I940" t="s">
        <v>2779</v>
      </c>
      <c r="J940">
        <v>12</v>
      </c>
      <c r="K940">
        <v>465163</v>
      </c>
      <c r="L940">
        <v>50341</v>
      </c>
      <c r="M940" t="s">
        <v>146</v>
      </c>
      <c r="N940">
        <v>92</v>
      </c>
      <c r="O940" s="2">
        <v>46234</v>
      </c>
      <c r="P940" s="2">
        <v>46269</v>
      </c>
      <c r="R940" t="s">
        <v>2780</v>
      </c>
      <c r="S940" t="str">
        <f>"00013413"</f>
        <v>00013413</v>
      </c>
      <c r="T940" t="s">
        <v>41</v>
      </c>
      <c r="U940">
        <v>6979.32</v>
      </c>
      <c r="V940">
        <v>6979.32</v>
      </c>
      <c r="W940">
        <v>6979.32</v>
      </c>
      <c r="X940">
        <v>0</v>
      </c>
      <c r="Y940">
        <v>0</v>
      </c>
      <c r="Z940">
        <v>-494</v>
      </c>
      <c r="AA940">
        <v>1960</v>
      </c>
      <c r="AD940" t="s">
        <v>2750</v>
      </c>
      <c r="AE940" t="s">
        <v>2781</v>
      </c>
      <c r="AF940" t="s">
        <v>2750</v>
      </c>
      <c r="AG940">
        <v>30471057000300</v>
      </c>
      <c r="AH940" t="s">
        <v>2745</v>
      </c>
    </row>
    <row r="941" spans="1:34" x14ac:dyDescent="0.3">
      <c r="A941">
        <v>101</v>
      </c>
      <c r="B941" t="s">
        <v>34</v>
      </c>
      <c r="C941">
        <v>2</v>
      </c>
      <c r="D941" s="1" t="s">
        <v>2777</v>
      </c>
      <c r="E941" s="1" t="s">
        <v>116</v>
      </c>
      <c r="G941">
        <v>465163</v>
      </c>
      <c r="H941" t="s">
        <v>2778</v>
      </c>
      <c r="I941" t="s">
        <v>2779</v>
      </c>
      <c r="J941">
        <v>12</v>
      </c>
      <c r="K941">
        <v>465163</v>
      </c>
      <c r="L941">
        <v>50341</v>
      </c>
      <c r="M941" t="s">
        <v>146</v>
      </c>
      <c r="N941">
        <v>92</v>
      </c>
      <c r="O941" s="2">
        <v>46234</v>
      </c>
      <c r="P941" s="2">
        <v>46283</v>
      </c>
      <c r="R941" t="s">
        <v>2780</v>
      </c>
      <c r="S941" t="str">
        <f>"00013415"</f>
        <v>00013415</v>
      </c>
      <c r="T941" t="s">
        <v>41</v>
      </c>
      <c r="U941">
        <v>6501.21</v>
      </c>
      <c r="V941">
        <v>6501.21</v>
      </c>
      <c r="W941">
        <v>6501.21</v>
      </c>
      <c r="X941">
        <v>0</v>
      </c>
      <c r="Y941">
        <v>0</v>
      </c>
      <c r="Z941">
        <v>-508</v>
      </c>
      <c r="AA941">
        <v>1960</v>
      </c>
      <c r="AD941" t="s">
        <v>2750</v>
      </c>
      <c r="AE941" t="s">
        <v>2781</v>
      </c>
      <c r="AF941" t="s">
        <v>2750</v>
      </c>
      <c r="AG941">
        <v>30471057000300</v>
      </c>
      <c r="AH941" t="s">
        <v>2745</v>
      </c>
    </row>
    <row r="942" spans="1:34" x14ac:dyDescent="0.3">
      <c r="A942">
        <v>101</v>
      </c>
      <c r="B942" t="s">
        <v>34</v>
      </c>
      <c r="C942">
        <v>2</v>
      </c>
      <c r="D942" s="1" t="s">
        <v>2782</v>
      </c>
      <c r="E942" s="1" t="s">
        <v>122</v>
      </c>
      <c r="G942">
        <v>467985</v>
      </c>
      <c r="H942" t="s">
        <v>2783</v>
      </c>
      <c r="I942" t="s">
        <v>2784</v>
      </c>
      <c r="J942">
        <v>12</v>
      </c>
      <c r="K942">
        <v>467985</v>
      </c>
      <c r="L942">
        <v>50237</v>
      </c>
      <c r="M942" t="s">
        <v>39</v>
      </c>
      <c r="N942">
        <v>92</v>
      </c>
      <c r="O942" s="2">
        <v>46234</v>
      </c>
      <c r="P942" s="2">
        <v>46262</v>
      </c>
      <c r="R942" t="s">
        <v>2785</v>
      </c>
      <c r="S942" t="str">
        <f>"330000051791"</f>
        <v>330000051791</v>
      </c>
      <c r="T942" t="s">
        <v>41</v>
      </c>
      <c r="U942">
        <v>1150.3699999999999</v>
      </c>
      <c r="V942">
        <v>1150.3699999999999</v>
      </c>
      <c r="W942">
        <v>1150.3699999999999</v>
      </c>
      <c r="X942">
        <v>0</v>
      </c>
      <c r="Y942">
        <v>0</v>
      </c>
      <c r="Z942">
        <v>-487</v>
      </c>
      <c r="AA942">
        <v>4027</v>
      </c>
      <c r="AD942" t="s">
        <v>2750</v>
      </c>
      <c r="AE942" t="s">
        <v>2786</v>
      </c>
      <c r="AF942" t="s">
        <v>2750</v>
      </c>
      <c r="AG942" s="1" t="s">
        <v>2787</v>
      </c>
      <c r="AH942" t="s">
        <v>2745</v>
      </c>
    </row>
    <row r="943" spans="1:34" x14ac:dyDescent="0.3">
      <c r="A943">
        <v>101</v>
      </c>
      <c r="B943" t="s">
        <v>34</v>
      </c>
      <c r="C943">
        <v>2</v>
      </c>
      <c r="D943" s="1" t="s">
        <v>2782</v>
      </c>
      <c r="E943" s="1" t="s">
        <v>116</v>
      </c>
      <c r="G943">
        <v>467985</v>
      </c>
      <c r="H943" t="s">
        <v>2783</v>
      </c>
      <c r="I943" t="s">
        <v>2784</v>
      </c>
      <c r="J943">
        <v>12</v>
      </c>
      <c r="K943">
        <v>467985</v>
      </c>
      <c r="L943">
        <v>50237</v>
      </c>
      <c r="M943" t="s">
        <v>39</v>
      </c>
      <c r="N943">
        <v>92</v>
      </c>
      <c r="O943" s="2">
        <v>46234</v>
      </c>
      <c r="P943" s="2">
        <v>46269</v>
      </c>
      <c r="R943" t="s">
        <v>2785</v>
      </c>
      <c r="S943" t="str">
        <f>"330000051805"</f>
        <v>330000051805</v>
      </c>
      <c r="T943" t="s">
        <v>41</v>
      </c>
      <c r="U943">
        <v>1150.73</v>
      </c>
      <c r="V943">
        <v>1150.73</v>
      </c>
      <c r="W943">
        <v>1150.73</v>
      </c>
      <c r="X943">
        <v>0</v>
      </c>
      <c r="Y943">
        <v>0</v>
      </c>
      <c r="Z943">
        <v>-494</v>
      </c>
      <c r="AA943">
        <v>4027</v>
      </c>
      <c r="AD943" t="s">
        <v>2750</v>
      </c>
      <c r="AE943" t="s">
        <v>2786</v>
      </c>
      <c r="AF943" t="s">
        <v>2750</v>
      </c>
      <c r="AG943" s="1" t="s">
        <v>2787</v>
      </c>
      <c r="AH943" t="s">
        <v>2745</v>
      </c>
    </row>
    <row r="944" spans="1:34" x14ac:dyDescent="0.3">
      <c r="A944">
        <v>101</v>
      </c>
      <c r="B944" t="s">
        <v>34</v>
      </c>
      <c r="C944">
        <v>2</v>
      </c>
      <c r="D944" s="1" t="s">
        <v>2788</v>
      </c>
      <c r="E944" s="1" t="s">
        <v>36</v>
      </c>
      <c r="G944">
        <v>469670</v>
      </c>
      <c r="H944" t="s">
        <v>2789</v>
      </c>
      <c r="I944" t="s">
        <v>2790</v>
      </c>
      <c r="J944">
        <v>12</v>
      </c>
      <c r="K944">
        <v>451262</v>
      </c>
      <c r="L944">
        <v>50033</v>
      </c>
      <c r="M944" t="s">
        <v>39</v>
      </c>
      <c r="N944">
        <v>92</v>
      </c>
      <c r="O944" s="2">
        <v>46233</v>
      </c>
      <c r="P944" s="2">
        <v>46268</v>
      </c>
      <c r="R944" t="s">
        <v>2791</v>
      </c>
      <c r="S944" t="str">
        <f>"0000050411675"</f>
        <v>0000050411675</v>
      </c>
      <c r="T944" t="s">
        <v>41</v>
      </c>
      <c r="U944">
        <v>6735.39</v>
      </c>
      <c r="V944">
        <v>6735.39</v>
      </c>
      <c r="W944">
        <v>6735.39</v>
      </c>
      <c r="X944">
        <v>0</v>
      </c>
      <c r="Y944">
        <v>0</v>
      </c>
      <c r="Z944">
        <v>-493</v>
      </c>
      <c r="AA944">
        <v>1961</v>
      </c>
      <c r="AD944" t="s">
        <v>2792</v>
      </c>
      <c r="AE944" t="s">
        <v>2793</v>
      </c>
      <c r="AF944" t="s">
        <v>2792</v>
      </c>
      <c r="AG944">
        <v>37820872000297</v>
      </c>
      <c r="AH944" t="s">
        <v>2745</v>
      </c>
    </row>
    <row r="945" spans="1:34" x14ac:dyDescent="0.3">
      <c r="A945">
        <v>101</v>
      </c>
      <c r="B945" t="s">
        <v>34</v>
      </c>
      <c r="C945">
        <v>2</v>
      </c>
      <c r="D945" s="1" t="s">
        <v>2788</v>
      </c>
      <c r="E945" s="1" t="s">
        <v>116</v>
      </c>
      <c r="G945">
        <v>469670</v>
      </c>
      <c r="H945" t="s">
        <v>2789</v>
      </c>
      <c r="I945" t="s">
        <v>2790</v>
      </c>
      <c r="J945">
        <v>12</v>
      </c>
      <c r="K945">
        <v>451262</v>
      </c>
      <c r="L945">
        <v>50033</v>
      </c>
      <c r="M945" t="s">
        <v>39</v>
      </c>
      <c r="N945">
        <v>92</v>
      </c>
      <c r="O945" s="2">
        <v>46233</v>
      </c>
      <c r="P945" s="2">
        <v>46282</v>
      </c>
      <c r="R945" t="s">
        <v>2791</v>
      </c>
      <c r="S945" t="str">
        <f>"0000050411691"</f>
        <v>0000050411691</v>
      </c>
      <c r="T945" t="s">
        <v>41</v>
      </c>
      <c r="U945">
        <v>6737.42</v>
      </c>
      <c r="V945">
        <v>6737.42</v>
      </c>
      <c r="W945">
        <v>6737.42</v>
      </c>
      <c r="X945">
        <v>0</v>
      </c>
      <c r="Y945">
        <v>0</v>
      </c>
      <c r="Z945">
        <v>-507</v>
      </c>
      <c r="AA945">
        <v>1961</v>
      </c>
      <c r="AD945" t="s">
        <v>2792</v>
      </c>
      <c r="AE945" t="s">
        <v>2793</v>
      </c>
      <c r="AF945" t="s">
        <v>2792</v>
      </c>
      <c r="AG945">
        <v>37820872000297</v>
      </c>
      <c r="AH945" t="s">
        <v>2745</v>
      </c>
    </row>
    <row r="946" spans="1:34" x14ac:dyDescent="0.3">
      <c r="A946">
        <v>101</v>
      </c>
      <c r="B946" t="s">
        <v>34</v>
      </c>
      <c r="C946">
        <v>2</v>
      </c>
      <c r="D946" s="1" t="s">
        <v>2788</v>
      </c>
      <c r="E946" s="1" t="s">
        <v>122</v>
      </c>
      <c r="G946">
        <v>469670</v>
      </c>
      <c r="H946" t="s">
        <v>2789</v>
      </c>
      <c r="I946" t="s">
        <v>2790</v>
      </c>
      <c r="J946">
        <v>12</v>
      </c>
      <c r="K946">
        <v>451262</v>
      </c>
      <c r="L946">
        <v>50033</v>
      </c>
      <c r="M946" t="s">
        <v>39</v>
      </c>
      <c r="N946">
        <v>92</v>
      </c>
      <c r="O946" s="2">
        <v>46233</v>
      </c>
      <c r="P946" s="2">
        <v>46275</v>
      </c>
      <c r="R946" t="s">
        <v>2791</v>
      </c>
      <c r="S946" t="str">
        <f>"0000050411683"</f>
        <v>0000050411683</v>
      </c>
      <c r="T946" t="s">
        <v>41</v>
      </c>
      <c r="U946">
        <v>6735.39</v>
      </c>
      <c r="V946">
        <v>6735.39</v>
      </c>
      <c r="W946">
        <v>6735.39</v>
      </c>
      <c r="X946">
        <v>0</v>
      </c>
      <c r="Y946">
        <v>0</v>
      </c>
      <c r="Z946">
        <v>-500</v>
      </c>
      <c r="AA946">
        <v>1961</v>
      </c>
      <c r="AD946" t="s">
        <v>2792</v>
      </c>
      <c r="AE946" t="s">
        <v>2793</v>
      </c>
      <c r="AF946" t="s">
        <v>2792</v>
      </c>
      <c r="AG946">
        <v>37820872000297</v>
      </c>
      <c r="AH946" t="s">
        <v>2745</v>
      </c>
    </row>
    <row r="947" spans="1:34" x14ac:dyDescent="0.3">
      <c r="A947">
        <v>101</v>
      </c>
      <c r="B947" t="s">
        <v>34</v>
      </c>
      <c r="C947">
        <v>2</v>
      </c>
      <c r="D947" s="1" t="s">
        <v>2794</v>
      </c>
      <c r="E947" s="1" t="s">
        <v>122</v>
      </c>
      <c r="G947">
        <v>999001085</v>
      </c>
      <c r="H947" t="s">
        <v>2795</v>
      </c>
      <c r="I947" t="s">
        <v>2796</v>
      </c>
      <c r="J947">
        <v>12</v>
      </c>
      <c r="K947">
        <v>999001085</v>
      </c>
      <c r="L947">
        <v>50341</v>
      </c>
      <c r="M947" t="s">
        <v>146</v>
      </c>
      <c r="N947">
        <v>92</v>
      </c>
      <c r="O947" s="2">
        <v>46230</v>
      </c>
      <c r="P947" s="2">
        <v>46272</v>
      </c>
      <c r="R947" t="s">
        <v>2797</v>
      </c>
      <c r="S947" t="str">
        <f>"00013352"</f>
        <v>00013352</v>
      </c>
      <c r="T947" t="s">
        <v>41</v>
      </c>
      <c r="U947">
        <v>40769.160000000003</v>
      </c>
      <c r="V947">
        <v>39546.089999999997</v>
      </c>
      <c r="W947">
        <v>39546.089999999997</v>
      </c>
      <c r="X947">
        <v>0</v>
      </c>
      <c r="Y947">
        <v>0</v>
      </c>
      <c r="Z947">
        <v>-497</v>
      </c>
      <c r="AA947">
        <v>1749</v>
      </c>
      <c r="AD947" t="s">
        <v>2750</v>
      </c>
      <c r="AE947" t="s">
        <v>2798</v>
      </c>
      <c r="AF947" t="s">
        <v>2750</v>
      </c>
      <c r="AG947" s="1" t="s">
        <v>2799</v>
      </c>
      <c r="AH947" t="s">
        <v>2745</v>
      </c>
    </row>
    <row r="948" spans="1:34" x14ac:dyDescent="0.3">
      <c r="A948">
        <v>101</v>
      </c>
      <c r="B948" t="s">
        <v>34</v>
      </c>
      <c r="C948">
        <v>2</v>
      </c>
      <c r="D948" s="1" t="s">
        <v>2794</v>
      </c>
      <c r="E948" s="1" t="s">
        <v>36</v>
      </c>
      <c r="G948">
        <v>999001085</v>
      </c>
      <c r="H948" t="s">
        <v>2795</v>
      </c>
      <c r="I948" t="s">
        <v>2796</v>
      </c>
      <c r="J948">
        <v>12</v>
      </c>
      <c r="K948">
        <v>999001085</v>
      </c>
      <c r="L948">
        <v>50341</v>
      </c>
      <c r="M948" t="s">
        <v>146</v>
      </c>
      <c r="N948">
        <v>92</v>
      </c>
      <c r="O948" s="2">
        <v>46230</v>
      </c>
      <c r="P948" s="2">
        <v>46265</v>
      </c>
      <c r="R948" t="s">
        <v>2797</v>
      </c>
      <c r="S948" t="str">
        <f>"00013351"</f>
        <v>00013351</v>
      </c>
      <c r="T948" t="s">
        <v>41</v>
      </c>
      <c r="U948">
        <v>43285.02</v>
      </c>
      <c r="V948">
        <v>41986.47</v>
      </c>
      <c r="W948">
        <v>41986.47</v>
      </c>
      <c r="X948">
        <v>0</v>
      </c>
      <c r="Y948">
        <v>0</v>
      </c>
      <c r="Z948">
        <v>-490</v>
      </c>
      <c r="AA948">
        <v>1749</v>
      </c>
      <c r="AD948" t="s">
        <v>2750</v>
      </c>
      <c r="AE948" t="s">
        <v>2798</v>
      </c>
      <c r="AF948" t="s">
        <v>2750</v>
      </c>
      <c r="AG948" s="1" t="s">
        <v>2799</v>
      </c>
      <c r="AH948" t="s">
        <v>2745</v>
      </c>
    </row>
    <row r="949" spans="1:34" x14ac:dyDescent="0.3">
      <c r="A949">
        <v>101</v>
      </c>
      <c r="B949" t="s">
        <v>34</v>
      </c>
      <c r="C949">
        <v>2</v>
      </c>
      <c r="D949" s="1" t="s">
        <v>2800</v>
      </c>
      <c r="E949" s="1" t="s">
        <v>122</v>
      </c>
      <c r="G949">
        <v>999002483</v>
      </c>
      <c r="H949" t="s">
        <v>2801</v>
      </c>
      <c r="I949" t="s">
        <v>2802</v>
      </c>
      <c r="J949">
        <v>12</v>
      </c>
      <c r="K949">
        <v>999002483</v>
      </c>
      <c r="L949">
        <v>50001</v>
      </c>
      <c r="M949" t="s">
        <v>39</v>
      </c>
      <c r="N949">
        <v>92</v>
      </c>
      <c r="O949" s="2">
        <v>46230</v>
      </c>
      <c r="P949" s="2">
        <v>46265</v>
      </c>
      <c r="R949" t="s">
        <v>2803</v>
      </c>
      <c r="S949" t="str">
        <f>"25666160000051661"</f>
        <v>25666160000051661</v>
      </c>
      <c r="T949" t="s">
        <v>41</v>
      </c>
      <c r="U949">
        <v>16660.96</v>
      </c>
      <c r="V949">
        <v>16660.96</v>
      </c>
      <c r="W949">
        <v>16660.96</v>
      </c>
      <c r="X949">
        <v>0</v>
      </c>
      <c r="Y949">
        <v>0</v>
      </c>
      <c r="Z949">
        <v>-490</v>
      </c>
      <c r="AA949">
        <v>1732</v>
      </c>
      <c r="AD949" t="s">
        <v>2804</v>
      </c>
      <c r="AE949" t="s">
        <v>2805</v>
      </c>
      <c r="AF949" t="s">
        <v>2804</v>
      </c>
      <c r="AG949" s="1" t="s">
        <v>2806</v>
      </c>
      <c r="AH949" t="s">
        <v>2745</v>
      </c>
    </row>
    <row r="950" spans="1:34" x14ac:dyDescent="0.3">
      <c r="A950">
        <v>101</v>
      </c>
      <c r="B950" t="s">
        <v>34</v>
      </c>
      <c r="C950">
        <v>2</v>
      </c>
      <c r="D950" s="1" t="s">
        <v>2800</v>
      </c>
      <c r="E950" s="1" t="s">
        <v>116</v>
      </c>
      <c r="G950">
        <v>999002483</v>
      </c>
      <c r="H950" t="s">
        <v>2801</v>
      </c>
      <c r="I950" t="s">
        <v>2802</v>
      </c>
      <c r="J950">
        <v>12</v>
      </c>
      <c r="K950">
        <v>999002483</v>
      </c>
      <c r="L950">
        <v>50001</v>
      </c>
      <c r="M950" t="s">
        <v>39</v>
      </c>
      <c r="N950">
        <v>92</v>
      </c>
      <c r="O950" s="2">
        <v>46230</v>
      </c>
      <c r="P950" s="2">
        <v>46272</v>
      </c>
      <c r="R950" t="s">
        <v>2803</v>
      </c>
      <c r="S950" t="str">
        <f>"25666160000051662"</f>
        <v>25666160000051662</v>
      </c>
      <c r="T950" t="s">
        <v>41</v>
      </c>
      <c r="U950">
        <v>16665.97</v>
      </c>
      <c r="V950">
        <v>16665.97</v>
      </c>
      <c r="W950">
        <v>16665.97</v>
      </c>
      <c r="X950">
        <v>0</v>
      </c>
      <c r="Y950">
        <v>0</v>
      </c>
      <c r="Z950">
        <v>-497</v>
      </c>
      <c r="AA950">
        <v>1732</v>
      </c>
      <c r="AD950" t="s">
        <v>2804</v>
      </c>
      <c r="AE950" t="s">
        <v>2805</v>
      </c>
      <c r="AF950" t="s">
        <v>2804</v>
      </c>
      <c r="AG950" s="1" t="s">
        <v>2806</v>
      </c>
      <c r="AH950" t="s">
        <v>2745</v>
      </c>
    </row>
    <row r="951" spans="1:34" x14ac:dyDescent="0.3">
      <c r="A951">
        <v>101</v>
      </c>
      <c r="B951" t="s">
        <v>34</v>
      </c>
      <c r="C951">
        <v>2</v>
      </c>
      <c r="D951" s="1" t="s">
        <v>2807</v>
      </c>
      <c r="E951" s="1" t="s">
        <v>36</v>
      </c>
      <c r="G951">
        <v>2613</v>
      </c>
      <c r="H951" t="s">
        <v>2808</v>
      </c>
      <c r="I951" t="s">
        <v>2809</v>
      </c>
      <c r="J951">
        <v>12</v>
      </c>
      <c r="K951">
        <v>2613</v>
      </c>
      <c r="L951">
        <v>50033</v>
      </c>
      <c r="M951" t="s">
        <v>39</v>
      </c>
      <c r="N951">
        <v>111</v>
      </c>
      <c r="O951" s="2">
        <v>46223</v>
      </c>
      <c r="P951" s="2">
        <v>46258</v>
      </c>
      <c r="R951" t="s">
        <v>2810</v>
      </c>
      <c r="S951" t="str">
        <f>"0000050410695"</f>
        <v>0000050410695</v>
      </c>
      <c r="T951" t="s">
        <v>41</v>
      </c>
      <c r="U951">
        <v>3897.75</v>
      </c>
      <c r="V951">
        <v>3857.75</v>
      </c>
      <c r="W951">
        <v>3857.75</v>
      </c>
      <c r="X951">
        <v>0</v>
      </c>
      <c r="Y951">
        <v>0</v>
      </c>
      <c r="Z951">
        <v>-483</v>
      </c>
      <c r="AA951">
        <v>1214</v>
      </c>
      <c r="AD951" t="s">
        <v>2811</v>
      </c>
      <c r="AE951" t="s">
        <v>2812</v>
      </c>
      <c r="AF951" t="s">
        <v>2811</v>
      </c>
      <c r="AG951" s="1" t="s">
        <v>2813</v>
      </c>
      <c r="AH951" t="s">
        <v>44</v>
      </c>
    </row>
    <row r="952" spans="1:34" x14ac:dyDescent="0.3">
      <c r="A952">
        <v>101</v>
      </c>
      <c r="B952" t="s">
        <v>34</v>
      </c>
      <c r="C952">
        <v>2</v>
      </c>
      <c r="D952" s="1" t="s">
        <v>2807</v>
      </c>
      <c r="E952" s="1" t="s">
        <v>122</v>
      </c>
      <c r="G952">
        <v>2613</v>
      </c>
      <c r="H952" t="s">
        <v>2808</v>
      </c>
      <c r="I952" t="s">
        <v>2809</v>
      </c>
      <c r="J952">
        <v>12</v>
      </c>
      <c r="K952">
        <v>2613</v>
      </c>
      <c r="L952">
        <v>50033</v>
      </c>
      <c r="M952" t="s">
        <v>39</v>
      </c>
      <c r="N952">
        <v>111</v>
      </c>
      <c r="O952" s="2">
        <v>46223</v>
      </c>
      <c r="P952" s="2">
        <v>46265</v>
      </c>
      <c r="R952" t="s">
        <v>2810</v>
      </c>
      <c r="S952" t="str">
        <f>"0000050410709"</f>
        <v>0000050410709</v>
      </c>
      <c r="T952" t="s">
        <v>41</v>
      </c>
      <c r="U952">
        <v>3197.15</v>
      </c>
      <c r="V952">
        <v>3157.15</v>
      </c>
      <c r="W952">
        <v>3157.15</v>
      </c>
      <c r="X952">
        <v>0</v>
      </c>
      <c r="Y952">
        <v>0</v>
      </c>
      <c r="Z952">
        <v>-490</v>
      </c>
      <c r="AA952">
        <v>1214</v>
      </c>
      <c r="AD952" t="s">
        <v>2811</v>
      </c>
      <c r="AE952" t="s">
        <v>2812</v>
      </c>
      <c r="AF952" t="s">
        <v>2811</v>
      </c>
      <c r="AG952" s="1" t="s">
        <v>2813</v>
      </c>
      <c r="AH952" t="s">
        <v>44</v>
      </c>
    </row>
    <row r="953" spans="1:34" x14ac:dyDescent="0.3">
      <c r="A953">
        <v>101</v>
      </c>
      <c r="B953" t="s">
        <v>34</v>
      </c>
      <c r="C953">
        <v>2</v>
      </c>
      <c r="D953" s="1" t="s">
        <v>2807</v>
      </c>
      <c r="E953" s="1" t="s">
        <v>116</v>
      </c>
      <c r="G953">
        <v>2613</v>
      </c>
      <c r="H953" t="s">
        <v>2808</v>
      </c>
      <c r="I953" t="s">
        <v>2809</v>
      </c>
      <c r="J953">
        <v>12</v>
      </c>
      <c r="K953">
        <v>2613</v>
      </c>
      <c r="L953">
        <v>50033</v>
      </c>
      <c r="M953" t="s">
        <v>39</v>
      </c>
      <c r="N953">
        <v>111</v>
      </c>
      <c r="O953" s="2">
        <v>46223</v>
      </c>
      <c r="P953" s="2">
        <v>46272</v>
      </c>
      <c r="R953" t="s">
        <v>2810</v>
      </c>
      <c r="S953" t="str">
        <f>"0000050410717"</f>
        <v>0000050410717</v>
      </c>
      <c r="T953" t="s">
        <v>41</v>
      </c>
      <c r="U953">
        <v>3198.1</v>
      </c>
      <c r="V953">
        <v>3158.1</v>
      </c>
      <c r="W953">
        <v>3158.1</v>
      </c>
      <c r="X953">
        <v>0</v>
      </c>
      <c r="Y953">
        <v>0</v>
      </c>
      <c r="Z953">
        <v>-497</v>
      </c>
      <c r="AA953">
        <v>1214</v>
      </c>
      <c r="AD953" t="s">
        <v>2811</v>
      </c>
      <c r="AE953" t="s">
        <v>2812</v>
      </c>
      <c r="AF953" t="s">
        <v>2811</v>
      </c>
      <c r="AG953" s="1" t="s">
        <v>2813</v>
      </c>
      <c r="AH953" t="s">
        <v>44</v>
      </c>
    </row>
    <row r="954" spans="1:34" x14ac:dyDescent="0.3">
      <c r="A954">
        <v>101</v>
      </c>
      <c r="B954" t="s">
        <v>34</v>
      </c>
      <c r="C954">
        <v>2</v>
      </c>
      <c r="D954" s="1" t="s">
        <v>2814</v>
      </c>
      <c r="E954" s="1" t="s">
        <v>122</v>
      </c>
      <c r="G954">
        <v>3208</v>
      </c>
      <c r="H954" t="s">
        <v>2815</v>
      </c>
      <c r="I954" t="s">
        <v>2816</v>
      </c>
      <c r="J954">
        <v>12</v>
      </c>
      <c r="K954">
        <v>2613</v>
      </c>
      <c r="L954">
        <v>50033</v>
      </c>
      <c r="M954" t="s">
        <v>39</v>
      </c>
      <c r="N954">
        <v>111</v>
      </c>
      <c r="O954" s="2">
        <v>46223</v>
      </c>
      <c r="P954" s="2">
        <v>46265</v>
      </c>
      <c r="R954" t="s">
        <v>2817</v>
      </c>
      <c r="S954" t="str">
        <f>"0000050410733"</f>
        <v>0000050410733</v>
      </c>
      <c r="T954" t="s">
        <v>41</v>
      </c>
      <c r="U954">
        <v>3511.7</v>
      </c>
      <c r="V954">
        <v>3471.7</v>
      </c>
      <c r="W954">
        <v>3471.7</v>
      </c>
      <c r="X954">
        <v>0</v>
      </c>
      <c r="Y954">
        <v>0</v>
      </c>
      <c r="Z954">
        <v>-490</v>
      </c>
      <c r="AA954">
        <v>1215</v>
      </c>
      <c r="AD954" t="s">
        <v>2811</v>
      </c>
      <c r="AE954" t="s">
        <v>2818</v>
      </c>
      <c r="AF954" t="s">
        <v>2811</v>
      </c>
      <c r="AG954" s="1" t="s">
        <v>2819</v>
      </c>
      <c r="AH954" t="s">
        <v>44</v>
      </c>
    </row>
    <row r="955" spans="1:34" x14ac:dyDescent="0.3">
      <c r="A955">
        <v>101</v>
      </c>
      <c r="B955" t="s">
        <v>34</v>
      </c>
      <c r="C955">
        <v>2</v>
      </c>
      <c r="D955" s="1" t="s">
        <v>2814</v>
      </c>
      <c r="E955" s="1" t="s">
        <v>116</v>
      </c>
      <c r="G955">
        <v>3208</v>
      </c>
      <c r="H955" t="s">
        <v>2815</v>
      </c>
      <c r="I955" t="s">
        <v>2816</v>
      </c>
      <c r="J955">
        <v>12</v>
      </c>
      <c r="K955">
        <v>2613</v>
      </c>
      <c r="L955">
        <v>50033</v>
      </c>
      <c r="M955" t="s">
        <v>39</v>
      </c>
      <c r="N955">
        <v>111</v>
      </c>
      <c r="O955" s="2">
        <v>46223</v>
      </c>
      <c r="P955" s="2">
        <v>46272</v>
      </c>
      <c r="R955" t="s">
        <v>2817</v>
      </c>
      <c r="S955" t="str">
        <f>"0000050410741"</f>
        <v>0000050410741</v>
      </c>
      <c r="T955" t="s">
        <v>41</v>
      </c>
      <c r="U955">
        <v>3512.76</v>
      </c>
      <c r="V955">
        <v>3472.76</v>
      </c>
      <c r="W955">
        <v>3472.76</v>
      </c>
      <c r="X955">
        <v>0</v>
      </c>
      <c r="Y955">
        <v>0</v>
      </c>
      <c r="Z955">
        <v>-497</v>
      </c>
      <c r="AA955">
        <v>1215</v>
      </c>
      <c r="AD955" t="s">
        <v>2811</v>
      </c>
      <c r="AE955" t="s">
        <v>2818</v>
      </c>
      <c r="AF955" t="s">
        <v>2811</v>
      </c>
      <c r="AG955" s="1" t="s">
        <v>2819</v>
      </c>
      <c r="AH955" t="s">
        <v>44</v>
      </c>
    </row>
    <row r="956" spans="1:34" x14ac:dyDescent="0.3">
      <c r="A956">
        <v>101</v>
      </c>
      <c r="B956" t="s">
        <v>34</v>
      </c>
      <c r="C956">
        <v>2</v>
      </c>
      <c r="D956" s="1" t="s">
        <v>2814</v>
      </c>
      <c r="E956" s="1" t="s">
        <v>36</v>
      </c>
      <c r="G956">
        <v>3208</v>
      </c>
      <c r="H956" t="s">
        <v>2815</v>
      </c>
      <c r="I956" t="s">
        <v>2816</v>
      </c>
      <c r="J956">
        <v>12</v>
      </c>
      <c r="K956">
        <v>2613</v>
      </c>
      <c r="L956">
        <v>50033</v>
      </c>
      <c r="M956" t="s">
        <v>39</v>
      </c>
      <c r="N956">
        <v>111</v>
      </c>
      <c r="O956" s="2">
        <v>46223</v>
      </c>
      <c r="P956" s="2">
        <v>46258</v>
      </c>
      <c r="R956" t="s">
        <v>2817</v>
      </c>
      <c r="S956" t="str">
        <f>"0000050410725"</f>
        <v>0000050410725</v>
      </c>
      <c r="T956" t="s">
        <v>41</v>
      </c>
      <c r="U956">
        <v>4251.3999999999996</v>
      </c>
      <c r="V956">
        <v>4211.3999999999996</v>
      </c>
      <c r="W956">
        <v>4211.3999999999996</v>
      </c>
      <c r="X956">
        <v>0</v>
      </c>
      <c r="Y956">
        <v>0</v>
      </c>
      <c r="Z956">
        <v>-483</v>
      </c>
      <c r="AA956">
        <v>1215</v>
      </c>
      <c r="AD956" t="s">
        <v>2811</v>
      </c>
      <c r="AE956" t="s">
        <v>2818</v>
      </c>
      <c r="AF956" t="s">
        <v>2811</v>
      </c>
      <c r="AG956" s="1" t="s">
        <v>2819</v>
      </c>
      <c r="AH956" t="s">
        <v>44</v>
      </c>
    </row>
    <row r="957" spans="1:34" x14ac:dyDescent="0.3">
      <c r="A957">
        <v>101</v>
      </c>
      <c r="B957" t="s">
        <v>34</v>
      </c>
      <c r="C957">
        <v>2</v>
      </c>
      <c r="D957" s="1" t="s">
        <v>2820</v>
      </c>
      <c r="E957" s="1" t="s">
        <v>36</v>
      </c>
      <c r="G957">
        <v>3654</v>
      </c>
      <c r="H957" t="s">
        <v>2821</v>
      </c>
      <c r="I957" t="s">
        <v>2822</v>
      </c>
      <c r="J957">
        <v>12</v>
      </c>
      <c r="K957">
        <v>9785</v>
      </c>
      <c r="L957">
        <v>50033</v>
      </c>
      <c r="M957" t="s">
        <v>39</v>
      </c>
      <c r="N957">
        <v>111</v>
      </c>
      <c r="O957" s="2">
        <v>46251</v>
      </c>
      <c r="P957" s="2">
        <v>46281</v>
      </c>
      <c r="R957" t="s">
        <v>2823</v>
      </c>
      <c r="S957" t="str">
        <f>"0000050413430"</f>
        <v>0000050413430</v>
      </c>
      <c r="T957" t="s">
        <v>41</v>
      </c>
      <c r="U957">
        <v>1770.61</v>
      </c>
      <c r="V957">
        <v>1770.61</v>
      </c>
      <c r="W957">
        <v>1770.61</v>
      </c>
      <c r="X957">
        <v>0</v>
      </c>
      <c r="Y957">
        <v>0</v>
      </c>
      <c r="Z957">
        <v>-506</v>
      </c>
      <c r="AA957">
        <v>4751</v>
      </c>
      <c r="AD957" t="s">
        <v>2824</v>
      </c>
      <c r="AE957" t="s">
        <v>2825</v>
      </c>
      <c r="AF957" t="s">
        <v>2824</v>
      </c>
      <c r="AG957">
        <v>48697825000214</v>
      </c>
      <c r="AH957" t="s">
        <v>44</v>
      </c>
    </row>
    <row r="958" spans="1:34" x14ac:dyDescent="0.3">
      <c r="A958">
        <v>101</v>
      </c>
      <c r="B958" t="s">
        <v>34</v>
      </c>
      <c r="C958">
        <v>2</v>
      </c>
      <c r="D958" s="1" t="s">
        <v>2820</v>
      </c>
      <c r="E958" s="1" t="s">
        <v>122</v>
      </c>
      <c r="G958">
        <v>3654</v>
      </c>
      <c r="H958" t="s">
        <v>2821</v>
      </c>
      <c r="I958" t="s">
        <v>2822</v>
      </c>
      <c r="J958">
        <v>12</v>
      </c>
      <c r="K958">
        <v>9785</v>
      </c>
      <c r="L958">
        <v>50033</v>
      </c>
      <c r="M958" t="s">
        <v>39</v>
      </c>
      <c r="N958">
        <v>111</v>
      </c>
      <c r="O958" s="2">
        <v>46251</v>
      </c>
      <c r="P958" s="2">
        <v>46296</v>
      </c>
      <c r="R958" t="s">
        <v>2823</v>
      </c>
      <c r="S958" t="str">
        <f>"0000050413449"</f>
        <v>0000050413449</v>
      </c>
      <c r="T958" t="s">
        <v>41</v>
      </c>
      <c r="U958">
        <v>1724.92</v>
      </c>
      <c r="V958">
        <v>1724.92</v>
      </c>
      <c r="W958">
        <v>1724.92</v>
      </c>
      <c r="X958">
        <v>0</v>
      </c>
      <c r="Y958">
        <v>0</v>
      </c>
      <c r="Z958">
        <v>-521</v>
      </c>
      <c r="AA958">
        <v>4751</v>
      </c>
      <c r="AD958" t="s">
        <v>2824</v>
      </c>
      <c r="AE958" t="s">
        <v>2825</v>
      </c>
      <c r="AF958" t="s">
        <v>2824</v>
      </c>
      <c r="AG958">
        <v>48697825000214</v>
      </c>
      <c r="AH958" t="s">
        <v>44</v>
      </c>
    </row>
    <row r="959" spans="1:34" x14ac:dyDescent="0.3">
      <c r="A959">
        <v>101</v>
      </c>
      <c r="B959" t="s">
        <v>34</v>
      </c>
      <c r="C959">
        <v>2</v>
      </c>
      <c r="D959" s="1" t="s">
        <v>2826</v>
      </c>
      <c r="E959" s="1" t="s">
        <v>36</v>
      </c>
      <c r="G959">
        <v>3941</v>
      </c>
      <c r="H959" t="s">
        <v>2827</v>
      </c>
      <c r="I959" t="s">
        <v>2828</v>
      </c>
      <c r="J959">
        <v>12</v>
      </c>
      <c r="K959">
        <v>9785</v>
      </c>
      <c r="L959">
        <v>50341</v>
      </c>
      <c r="M959" t="s">
        <v>146</v>
      </c>
      <c r="N959">
        <v>111</v>
      </c>
      <c r="O959" s="2">
        <v>46251</v>
      </c>
      <c r="P959" s="2">
        <v>46281</v>
      </c>
      <c r="R959" t="s">
        <v>2829</v>
      </c>
      <c r="S959" t="str">
        <f>"00013673"</f>
        <v>00013673</v>
      </c>
      <c r="T959" t="s">
        <v>41</v>
      </c>
      <c r="U959">
        <v>4751.5</v>
      </c>
      <c r="V959">
        <v>4701.5</v>
      </c>
      <c r="W959">
        <v>4701.5</v>
      </c>
      <c r="X959">
        <v>0</v>
      </c>
      <c r="Y959">
        <v>0</v>
      </c>
      <c r="Z959">
        <v>-506</v>
      </c>
      <c r="AA959">
        <v>4640</v>
      </c>
      <c r="AD959" t="s">
        <v>2811</v>
      </c>
      <c r="AE959" t="s">
        <v>2830</v>
      </c>
      <c r="AF959" t="s">
        <v>2811</v>
      </c>
      <c r="AG959">
        <v>67506865000103</v>
      </c>
      <c r="AH959" t="s">
        <v>44</v>
      </c>
    </row>
    <row r="960" spans="1:34" x14ac:dyDescent="0.3">
      <c r="A960">
        <v>101</v>
      </c>
      <c r="B960" t="s">
        <v>34</v>
      </c>
      <c r="C960">
        <v>2</v>
      </c>
      <c r="D960" s="1" t="s">
        <v>2826</v>
      </c>
      <c r="E960" s="1" t="s">
        <v>122</v>
      </c>
      <c r="G960">
        <v>3941</v>
      </c>
      <c r="H960" t="s">
        <v>2827</v>
      </c>
      <c r="I960" t="s">
        <v>2828</v>
      </c>
      <c r="J960">
        <v>12</v>
      </c>
      <c r="K960">
        <v>9785</v>
      </c>
      <c r="L960">
        <v>50341</v>
      </c>
      <c r="M960" t="s">
        <v>146</v>
      </c>
      <c r="N960">
        <v>111</v>
      </c>
      <c r="O960" s="2">
        <v>46251</v>
      </c>
      <c r="P960" s="2">
        <v>46296</v>
      </c>
      <c r="R960" t="s">
        <v>2829</v>
      </c>
      <c r="S960" t="str">
        <f>"00013674"</f>
        <v>00013674</v>
      </c>
      <c r="T960" t="s">
        <v>41</v>
      </c>
      <c r="U960">
        <v>4467.41</v>
      </c>
      <c r="V960">
        <v>4417.41</v>
      </c>
      <c r="W960">
        <v>4417.41</v>
      </c>
      <c r="X960">
        <v>0</v>
      </c>
      <c r="Y960">
        <v>0</v>
      </c>
      <c r="Z960">
        <v>-521</v>
      </c>
      <c r="AA960">
        <v>4640</v>
      </c>
      <c r="AD960" t="s">
        <v>2811</v>
      </c>
      <c r="AE960" t="s">
        <v>2830</v>
      </c>
      <c r="AF960" t="s">
        <v>2811</v>
      </c>
      <c r="AG960">
        <v>67506865000103</v>
      </c>
      <c r="AH960" t="s">
        <v>44</v>
      </c>
    </row>
    <row r="961" spans="1:34" x14ac:dyDescent="0.3">
      <c r="A961">
        <v>101</v>
      </c>
      <c r="B961" t="s">
        <v>34</v>
      </c>
      <c r="C961">
        <v>2</v>
      </c>
      <c r="D961" s="1" t="s">
        <v>2831</v>
      </c>
      <c r="E961" s="1" t="s">
        <v>122</v>
      </c>
      <c r="G961">
        <v>3941</v>
      </c>
      <c r="H961" t="s">
        <v>2827</v>
      </c>
      <c r="I961" t="s">
        <v>2828</v>
      </c>
      <c r="J961">
        <v>12</v>
      </c>
      <c r="K961">
        <v>9785</v>
      </c>
      <c r="L961">
        <v>95080</v>
      </c>
      <c r="M961" t="s">
        <v>83</v>
      </c>
      <c r="N961">
        <v>111</v>
      </c>
      <c r="O961" s="2">
        <v>46111</v>
      </c>
      <c r="P961" s="2">
        <v>46156</v>
      </c>
      <c r="R961">
        <v>2603304766</v>
      </c>
      <c r="S961" t="str">
        <f>""</f>
        <v/>
      </c>
      <c r="T961" t="s">
        <v>41</v>
      </c>
      <c r="U961">
        <v>5191.09</v>
      </c>
      <c r="V961">
        <v>5041.09</v>
      </c>
      <c r="W961">
        <v>5041.09</v>
      </c>
      <c r="X961">
        <v>0</v>
      </c>
      <c r="Y961">
        <v>0</v>
      </c>
      <c r="Z961">
        <v>-381</v>
      </c>
      <c r="AA961">
        <v>684120</v>
      </c>
      <c r="AD961" t="s">
        <v>2811</v>
      </c>
      <c r="AE961" t="s">
        <v>2830</v>
      </c>
      <c r="AF961" t="s">
        <v>2811</v>
      </c>
      <c r="AG961">
        <v>67506865000103</v>
      </c>
      <c r="AH961" t="s">
        <v>44</v>
      </c>
    </row>
    <row r="962" spans="1:34" x14ac:dyDescent="0.3">
      <c r="A962">
        <v>101</v>
      </c>
      <c r="B962" t="s">
        <v>34</v>
      </c>
      <c r="C962">
        <v>2</v>
      </c>
      <c r="D962" s="1" t="s">
        <v>2831</v>
      </c>
      <c r="E962" s="1" t="s">
        <v>36</v>
      </c>
      <c r="G962">
        <v>3941</v>
      </c>
      <c r="H962" t="s">
        <v>2827</v>
      </c>
      <c r="I962" t="s">
        <v>2828</v>
      </c>
      <c r="J962">
        <v>12</v>
      </c>
      <c r="K962">
        <v>9785</v>
      </c>
      <c r="L962">
        <v>95080</v>
      </c>
      <c r="M962" t="s">
        <v>48</v>
      </c>
      <c r="N962">
        <v>111</v>
      </c>
      <c r="O962" s="2">
        <v>46111</v>
      </c>
      <c r="P962" s="2">
        <v>46141</v>
      </c>
      <c r="R962">
        <v>2603304766</v>
      </c>
      <c r="S962" t="str">
        <f>""</f>
        <v/>
      </c>
      <c r="T962" t="s">
        <v>41</v>
      </c>
      <c r="U962">
        <v>5792.99</v>
      </c>
      <c r="V962">
        <v>5642.99</v>
      </c>
      <c r="W962">
        <v>5642.99</v>
      </c>
      <c r="X962">
        <v>0</v>
      </c>
      <c r="Y962">
        <v>0</v>
      </c>
      <c r="Z962">
        <v>-366</v>
      </c>
      <c r="AA962">
        <v>684120</v>
      </c>
      <c r="AD962" t="s">
        <v>2811</v>
      </c>
      <c r="AE962" t="s">
        <v>2830</v>
      </c>
      <c r="AF962" t="s">
        <v>2811</v>
      </c>
      <c r="AG962">
        <v>67506865000103</v>
      </c>
      <c r="AH962" t="s">
        <v>44</v>
      </c>
    </row>
    <row r="963" spans="1:34" x14ac:dyDescent="0.3">
      <c r="A963">
        <v>101</v>
      </c>
      <c r="B963" t="s">
        <v>34</v>
      </c>
      <c r="C963">
        <v>2</v>
      </c>
      <c r="D963" s="1" t="s">
        <v>2832</v>
      </c>
      <c r="E963" s="1" t="s">
        <v>122</v>
      </c>
      <c r="G963">
        <v>3943</v>
      </c>
      <c r="H963" t="s">
        <v>2833</v>
      </c>
      <c r="I963" t="s">
        <v>2834</v>
      </c>
      <c r="J963">
        <v>12</v>
      </c>
      <c r="K963">
        <v>9785</v>
      </c>
      <c r="L963">
        <v>50341</v>
      </c>
      <c r="M963" t="s">
        <v>146</v>
      </c>
      <c r="N963">
        <v>111</v>
      </c>
      <c r="O963" s="2">
        <v>46216</v>
      </c>
      <c r="P963" s="2">
        <v>46261</v>
      </c>
      <c r="R963" t="s">
        <v>2835</v>
      </c>
      <c r="S963" t="str">
        <f>"00013096"</f>
        <v>00013096</v>
      </c>
      <c r="T963" t="s">
        <v>41</v>
      </c>
      <c r="U963">
        <v>6024.3</v>
      </c>
      <c r="V963">
        <v>5899.3</v>
      </c>
      <c r="W963">
        <v>5899.3</v>
      </c>
      <c r="X963">
        <v>0</v>
      </c>
      <c r="Y963">
        <v>0</v>
      </c>
      <c r="Z963">
        <v>-486</v>
      </c>
      <c r="AA963">
        <v>693799</v>
      </c>
      <c r="AD963" t="s">
        <v>2836</v>
      </c>
      <c r="AE963" t="s">
        <v>2837</v>
      </c>
      <c r="AF963" t="s">
        <v>2836</v>
      </c>
      <c r="AG963">
        <v>47772041000160</v>
      </c>
      <c r="AH963" t="s">
        <v>44</v>
      </c>
    </row>
    <row r="964" spans="1:34" x14ac:dyDescent="0.3">
      <c r="A964">
        <v>101</v>
      </c>
      <c r="B964" t="s">
        <v>34</v>
      </c>
      <c r="C964">
        <v>2</v>
      </c>
      <c r="D964" s="1" t="s">
        <v>2838</v>
      </c>
      <c r="E964" s="1" t="s">
        <v>122</v>
      </c>
      <c r="G964">
        <v>4340</v>
      </c>
      <c r="H964" t="s">
        <v>2839</v>
      </c>
      <c r="I964" t="s">
        <v>2840</v>
      </c>
      <c r="J964">
        <v>12</v>
      </c>
      <c r="K964">
        <v>4340</v>
      </c>
      <c r="L964">
        <v>50001</v>
      </c>
      <c r="M964" t="s">
        <v>39</v>
      </c>
      <c r="N964">
        <v>111</v>
      </c>
      <c r="O964" s="2">
        <v>46202</v>
      </c>
      <c r="P964" s="2">
        <v>46254</v>
      </c>
      <c r="R964" t="s">
        <v>2841</v>
      </c>
      <c r="S964" t="str">
        <f>"25666160000051269"</f>
        <v>25666160000051269</v>
      </c>
      <c r="T964" t="s">
        <v>41</v>
      </c>
      <c r="U964">
        <v>2805.79</v>
      </c>
      <c r="V964">
        <v>2765.79</v>
      </c>
      <c r="W964">
        <v>2765.79</v>
      </c>
      <c r="X964">
        <v>0</v>
      </c>
      <c r="Y964">
        <v>0</v>
      </c>
      <c r="Z964">
        <v>-479</v>
      </c>
      <c r="AA964">
        <v>692889</v>
      </c>
      <c r="AD964" t="s">
        <v>2842</v>
      </c>
      <c r="AE964" t="s">
        <v>2843</v>
      </c>
      <c r="AF964" t="s">
        <v>2842</v>
      </c>
      <c r="AG964" s="1" t="s">
        <v>2844</v>
      </c>
      <c r="AH964" t="s">
        <v>44</v>
      </c>
    </row>
    <row r="965" spans="1:34" x14ac:dyDescent="0.3">
      <c r="A965">
        <v>101</v>
      </c>
      <c r="B965" t="s">
        <v>34</v>
      </c>
      <c r="C965">
        <v>2</v>
      </c>
      <c r="D965" s="1" t="s">
        <v>2845</v>
      </c>
      <c r="E965" s="1" t="s">
        <v>36</v>
      </c>
      <c r="G965">
        <v>5307</v>
      </c>
      <c r="H965" t="s">
        <v>2846</v>
      </c>
      <c r="I965" t="s">
        <v>2847</v>
      </c>
      <c r="J965">
        <v>12</v>
      </c>
      <c r="K965">
        <v>9785</v>
      </c>
      <c r="L965">
        <v>50341</v>
      </c>
      <c r="M965" t="s">
        <v>146</v>
      </c>
      <c r="N965">
        <v>111</v>
      </c>
      <c r="O965" s="2">
        <v>46239</v>
      </c>
      <c r="P965" s="2">
        <v>46267</v>
      </c>
      <c r="R965" t="s">
        <v>2848</v>
      </c>
      <c r="S965" t="str">
        <f>"00013596"</f>
        <v>00013596</v>
      </c>
      <c r="T965" t="s">
        <v>41</v>
      </c>
      <c r="U965">
        <v>7319.17</v>
      </c>
      <c r="V965">
        <v>7169.17</v>
      </c>
      <c r="W965">
        <v>7169.17</v>
      </c>
      <c r="X965">
        <v>0</v>
      </c>
      <c r="Y965">
        <v>0</v>
      </c>
      <c r="Z965">
        <v>-492</v>
      </c>
      <c r="AA965">
        <v>4243</v>
      </c>
      <c r="AD965" t="s">
        <v>2811</v>
      </c>
      <c r="AE965" t="s">
        <v>2849</v>
      </c>
      <c r="AF965" t="s">
        <v>2811</v>
      </c>
      <c r="AG965">
        <v>71101489000136</v>
      </c>
      <c r="AH965" t="s">
        <v>44</v>
      </c>
    </row>
    <row r="966" spans="1:34" x14ac:dyDescent="0.3">
      <c r="A966">
        <v>101</v>
      </c>
      <c r="B966" t="s">
        <v>34</v>
      </c>
      <c r="C966">
        <v>2</v>
      </c>
      <c r="D966" s="1" t="s">
        <v>2850</v>
      </c>
      <c r="E966" s="1" t="s">
        <v>36</v>
      </c>
      <c r="G966">
        <v>5565</v>
      </c>
      <c r="H966" t="s">
        <v>2851</v>
      </c>
      <c r="I966" t="s">
        <v>2852</v>
      </c>
      <c r="J966">
        <v>12</v>
      </c>
      <c r="K966">
        <v>9785</v>
      </c>
      <c r="L966">
        <v>50033</v>
      </c>
      <c r="M966" t="s">
        <v>39</v>
      </c>
      <c r="N966">
        <v>111</v>
      </c>
      <c r="O966" s="2">
        <v>46251</v>
      </c>
      <c r="P966" s="2">
        <v>46281</v>
      </c>
      <c r="R966" t="s">
        <v>2853</v>
      </c>
      <c r="S966" t="str">
        <f>"0000050413465"</f>
        <v>0000050413465</v>
      </c>
      <c r="T966" t="s">
        <v>41</v>
      </c>
      <c r="U966">
        <v>1947.48</v>
      </c>
      <c r="V966">
        <v>1947.48</v>
      </c>
      <c r="W966">
        <v>1947.48</v>
      </c>
      <c r="X966">
        <v>0</v>
      </c>
      <c r="Y966">
        <v>0</v>
      </c>
      <c r="Z966">
        <v>-506</v>
      </c>
      <c r="AA966">
        <v>4738</v>
      </c>
      <c r="AD966" t="s">
        <v>2824</v>
      </c>
      <c r="AE966" t="s">
        <v>2854</v>
      </c>
      <c r="AF966" t="s">
        <v>2824</v>
      </c>
      <c r="AG966">
        <v>48697825000133</v>
      </c>
      <c r="AH966" t="s">
        <v>44</v>
      </c>
    </row>
    <row r="967" spans="1:34" x14ac:dyDescent="0.3">
      <c r="A967">
        <v>101</v>
      </c>
      <c r="B967" t="s">
        <v>34</v>
      </c>
      <c r="C967">
        <v>2</v>
      </c>
      <c r="D967" s="1" t="s">
        <v>2850</v>
      </c>
      <c r="E967" s="1" t="s">
        <v>122</v>
      </c>
      <c r="G967">
        <v>5565</v>
      </c>
      <c r="H967" t="s">
        <v>2851</v>
      </c>
      <c r="I967" t="s">
        <v>2852</v>
      </c>
      <c r="J967">
        <v>12</v>
      </c>
      <c r="K967">
        <v>9785</v>
      </c>
      <c r="L967">
        <v>50033</v>
      </c>
      <c r="M967" t="s">
        <v>39</v>
      </c>
      <c r="N967">
        <v>111</v>
      </c>
      <c r="O967" s="2">
        <v>46251</v>
      </c>
      <c r="P967" s="2">
        <v>46296</v>
      </c>
      <c r="R967" t="s">
        <v>2853</v>
      </c>
      <c r="S967" t="str">
        <f>"0000050413473"</f>
        <v>0000050413473</v>
      </c>
      <c r="T967" t="s">
        <v>41</v>
      </c>
      <c r="U967">
        <v>1908.15</v>
      </c>
      <c r="V967">
        <v>1908.15</v>
      </c>
      <c r="W967">
        <v>1908.15</v>
      </c>
      <c r="X967">
        <v>0</v>
      </c>
      <c r="Y967">
        <v>0</v>
      </c>
      <c r="Z967">
        <v>-521</v>
      </c>
      <c r="AA967">
        <v>4738</v>
      </c>
      <c r="AD967" t="s">
        <v>2824</v>
      </c>
      <c r="AE967" t="s">
        <v>2854</v>
      </c>
      <c r="AF967" t="s">
        <v>2824</v>
      </c>
      <c r="AG967">
        <v>48697825000133</v>
      </c>
      <c r="AH967" t="s">
        <v>44</v>
      </c>
    </row>
    <row r="968" spans="1:34" x14ac:dyDescent="0.3">
      <c r="A968">
        <v>101</v>
      </c>
      <c r="B968" t="s">
        <v>34</v>
      </c>
      <c r="C968">
        <v>2</v>
      </c>
      <c r="D968" s="1" t="s">
        <v>2855</v>
      </c>
      <c r="E968" s="1" t="s">
        <v>122</v>
      </c>
      <c r="G968">
        <v>7827</v>
      </c>
      <c r="H968" t="s">
        <v>2856</v>
      </c>
      <c r="I968" t="s">
        <v>2857</v>
      </c>
      <c r="J968">
        <v>12</v>
      </c>
      <c r="K968">
        <v>9785</v>
      </c>
      <c r="L968">
        <v>50341</v>
      </c>
      <c r="M968" t="s">
        <v>146</v>
      </c>
      <c r="N968">
        <v>111</v>
      </c>
      <c r="O968" s="2">
        <v>46226</v>
      </c>
      <c r="P968" s="2">
        <v>46271</v>
      </c>
      <c r="R968" t="s">
        <v>2858</v>
      </c>
      <c r="S968" t="str">
        <f>"00013270"</f>
        <v>00013270</v>
      </c>
      <c r="T968" t="s">
        <v>41</v>
      </c>
      <c r="U968">
        <v>907.44</v>
      </c>
      <c r="V968">
        <v>907.44</v>
      </c>
      <c r="W968">
        <v>907.44</v>
      </c>
      <c r="X968">
        <v>0</v>
      </c>
      <c r="Y968">
        <v>0</v>
      </c>
      <c r="Z968">
        <v>-496</v>
      </c>
      <c r="AA968">
        <v>1679</v>
      </c>
      <c r="AD968" t="s">
        <v>2859</v>
      </c>
      <c r="AE968" t="s">
        <v>2860</v>
      </c>
      <c r="AF968" t="s">
        <v>2859</v>
      </c>
      <c r="AG968" s="1" t="s">
        <v>2861</v>
      </c>
      <c r="AH968" t="s">
        <v>44</v>
      </c>
    </row>
    <row r="969" spans="1:34" x14ac:dyDescent="0.3">
      <c r="A969">
        <v>101</v>
      </c>
      <c r="B969" t="s">
        <v>34</v>
      </c>
      <c r="C969">
        <v>2</v>
      </c>
      <c r="D969" s="1" t="s">
        <v>2855</v>
      </c>
      <c r="E969" s="1" t="s">
        <v>36</v>
      </c>
      <c r="G969">
        <v>7827</v>
      </c>
      <c r="H969" t="s">
        <v>2856</v>
      </c>
      <c r="I969" t="s">
        <v>2857</v>
      </c>
      <c r="J969">
        <v>12</v>
      </c>
      <c r="K969">
        <v>9785</v>
      </c>
      <c r="L969">
        <v>50341</v>
      </c>
      <c r="M969" t="s">
        <v>146</v>
      </c>
      <c r="N969">
        <v>111</v>
      </c>
      <c r="O969" s="2">
        <v>46226</v>
      </c>
      <c r="P969" s="2">
        <v>46256</v>
      </c>
      <c r="R969" t="s">
        <v>2858</v>
      </c>
      <c r="S969" t="str">
        <f>"00013269"</f>
        <v>00013269</v>
      </c>
      <c r="T969" t="s">
        <v>41</v>
      </c>
      <c r="U969">
        <v>1028.8</v>
      </c>
      <c r="V969">
        <v>1028.8</v>
      </c>
      <c r="W969">
        <v>1028.8</v>
      </c>
      <c r="X969">
        <v>0</v>
      </c>
      <c r="Y969">
        <v>0</v>
      </c>
      <c r="Z969">
        <v>-481</v>
      </c>
      <c r="AA969">
        <v>1679</v>
      </c>
      <c r="AD969" t="s">
        <v>2859</v>
      </c>
      <c r="AE969" t="s">
        <v>2860</v>
      </c>
      <c r="AF969" t="s">
        <v>2859</v>
      </c>
      <c r="AG969" s="1" t="s">
        <v>2861</v>
      </c>
      <c r="AH969" t="s">
        <v>44</v>
      </c>
    </row>
    <row r="970" spans="1:34" x14ac:dyDescent="0.3">
      <c r="A970">
        <v>101</v>
      </c>
      <c r="B970" t="s">
        <v>34</v>
      </c>
      <c r="C970">
        <v>2</v>
      </c>
      <c r="D970" s="1" t="s">
        <v>2862</v>
      </c>
      <c r="E970" s="1" t="s">
        <v>116</v>
      </c>
      <c r="G970">
        <v>9111</v>
      </c>
      <c r="H970" t="s">
        <v>2863</v>
      </c>
      <c r="I970" t="s">
        <v>2864</v>
      </c>
      <c r="J970">
        <v>12</v>
      </c>
      <c r="K970">
        <v>9111</v>
      </c>
      <c r="L970">
        <v>50033</v>
      </c>
      <c r="M970" t="s">
        <v>39</v>
      </c>
      <c r="N970">
        <v>111</v>
      </c>
      <c r="O970" s="2">
        <v>46202</v>
      </c>
      <c r="P970" s="2">
        <v>46259</v>
      </c>
      <c r="R970" t="s">
        <v>2865</v>
      </c>
      <c r="S970" t="str">
        <f>"0000050407678"</f>
        <v>0000050407678</v>
      </c>
      <c r="T970" t="s">
        <v>41</v>
      </c>
      <c r="U970">
        <v>2665.29</v>
      </c>
      <c r="V970">
        <v>2638.62</v>
      </c>
      <c r="W970">
        <v>2638.62</v>
      </c>
      <c r="X970">
        <v>0</v>
      </c>
      <c r="Y970">
        <v>0</v>
      </c>
      <c r="Z970">
        <v>-484</v>
      </c>
      <c r="AA970">
        <v>692886</v>
      </c>
      <c r="AD970" t="s">
        <v>2866</v>
      </c>
      <c r="AE970" t="s">
        <v>2867</v>
      </c>
      <c r="AF970" t="s">
        <v>2866</v>
      </c>
      <c r="AG970" s="1" t="s">
        <v>2868</v>
      </c>
      <c r="AH970" t="s">
        <v>44</v>
      </c>
    </row>
    <row r="971" spans="1:34" x14ac:dyDescent="0.3">
      <c r="A971">
        <v>101</v>
      </c>
      <c r="B971" t="s">
        <v>34</v>
      </c>
      <c r="C971">
        <v>2</v>
      </c>
      <c r="D971" s="1" t="s">
        <v>2869</v>
      </c>
      <c r="E971" s="1" t="s">
        <v>122</v>
      </c>
      <c r="G971">
        <v>9175</v>
      </c>
      <c r="H971" t="s">
        <v>2870</v>
      </c>
      <c r="I971" t="s">
        <v>2871</v>
      </c>
      <c r="J971">
        <v>12</v>
      </c>
      <c r="K971">
        <v>9175</v>
      </c>
      <c r="L971">
        <v>50341</v>
      </c>
      <c r="M971" t="s">
        <v>146</v>
      </c>
      <c r="N971">
        <v>111</v>
      </c>
      <c r="O971" s="2">
        <v>46240</v>
      </c>
      <c r="P971" s="2">
        <v>46280</v>
      </c>
      <c r="R971" t="s">
        <v>2872</v>
      </c>
      <c r="S971" t="str">
        <f>"00013603"</f>
        <v>00013603</v>
      </c>
      <c r="T971" t="s">
        <v>41</v>
      </c>
      <c r="U971">
        <v>570.16</v>
      </c>
      <c r="V971">
        <v>553.49</v>
      </c>
      <c r="W971">
        <v>553.49</v>
      </c>
      <c r="X971">
        <v>0</v>
      </c>
      <c r="Y971">
        <v>0</v>
      </c>
      <c r="Z971">
        <v>-505</v>
      </c>
      <c r="AA971">
        <v>4335</v>
      </c>
      <c r="AD971" t="s">
        <v>2873</v>
      </c>
      <c r="AE971" t="s">
        <v>2874</v>
      </c>
      <c r="AF971" t="s">
        <v>2873</v>
      </c>
      <c r="AG971" s="1" t="s">
        <v>2875</v>
      </c>
      <c r="AH971" t="s">
        <v>44</v>
      </c>
    </row>
    <row r="972" spans="1:34" x14ac:dyDescent="0.3">
      <c r="A972">
        <v>101</v>
      </c>
      <c r="B972" t="s">
        <v>34</v>
      </c>
      <c r="C972">
        <v>2</v>
      </c>
      <c r="D972" s="1" t="s">
        <v>2869</v>
      </c>
      <c r="E972" s="1" t="s">
        <v>36</v>
      </c>
      <c r="G972">
        <v>9175</v>
      </c>
      <c r="H972" t="s">
        <v>2870</v>
      </c>
      <c r="I972" t="s">
        <v>2871</v>
      </c>
      <c r="J972">
        <v>12</v>
      </c>
      <c r="K972">
        <v>9175</v>
      </c>
      <c r="L972">
        <v>50341</v>
      </c>
      <c r="M972" t="s">
        <v>146</v>
      </c>
      <c r="N972">
        <v>111</v>
      </c>
      <c r="O972" s="2">
        <v>46240</v>
      </c>
      <c r="P972" s="2">
        <v>46270</v>
      </c>
      <c r="R972" t="s">
        <v>2872</v>
      </c>
      <c r="S972" t="str">
        <f>"00013602"</f>
        <v>00013602</v>
      </c>
      <c r="T972" t="s">
        <v>41</v>
      </c>
      <c r="U972">
        <v>594.30999999999995</v>
      </c>
      <c r="V972">
        <v>577.64</v>
      </c>
      <c r="W972">
        <v>577.64</v>
      </c>
      <c r="X972">
        <v>0</v>
      </c>
      <c r="Y972">
        <v>0</v>
      </c>
      <c r="Z972">
        <v>-495</v>
      </c>
      <c r="AA972">
        <v>4335</v>
      </c>
      <c r="AD972" t="s">
        <v>2873</v>
      </c>
      <c r="AE972" t="s">
        <v>2874</v>
      </c>
      <c r="AF972" t="s">
        <v>2873</v>
      </c>
      <c r="AG972" s="1" t="s">
        <v>2875</v>
      </c>
      <c r="AH972" t="s">
        <v>44</v>
      </c>
    </row>
    <row r="973" spans="1:34" x14ac:dyDescent="0.3">
      <c r="A973">
        <v>101</v>
      </c>
      <c r="B973" t="s">
        <v>34</v>
      </c>
      <c r="C973">
        <v>2</v>
      </c>
      <c r="D973" s="1" t="s">
        <v>2869</v>
      </c>
      <c r="E973" s="1" t="s">
        <v>116</v>
      </c>
      <c r="G973">
        <v>9175</v>
      </c>
      <c r="H973" t="s">
        <v>2870</v>
      </c>
      <c r="I973" t="s">
        <v>2871</v>
      </c>
      <c r="J973">
        <v>12</v>
      </c>
      <c r="K973">
        <v>9175</v>
      </c>
      <c r="L973">
        <v>50341</v>
      </c>
      <c r="M973" t="s">
        <v>146</v>
      </c>
      <c r="N973">
        <v>111</v>
      </c>
      <c r="O973" s="2">
        <v>46240</v>
      </c>
      <c r="P973" s="2">
        <v>46290</v>
      </c>
      <c r="R973" t="s">
        <v>2872</v>
      </c>
      <c r="S973" t="str">
        <f>"00013604"</f>
        <v>00013604</v>
      </c>
      <c r="T973" t="s">
        <v>41</v>
      </c>
      <c r="U973">
        <v>570.32000000000005</v>
      </c>
      <c r="V973">
        <v>553.65</v>
      </c>
      <c r="W973">
        <v>553.65</v>
      </c>
      <c r="X973">
        <v>0</v>
      </c>
      <c r="Y973">
        <v>0</v>
      </c>
      <c r="Z973">
        <v>-515</v>
      </c>
      <c r="AA973">
        <v>4335</v>
      </c>
      <c r="AD973" t="s">
        <v>2873</v>
      </c>
      <c r="AE973" t="s">
        <v>2874</v>
      </c>
      <c r="AF973" t="s">
        <v>2873</v>
      </c>
      <c r="AG973" s="1" t="s">
        <v>2875</v>
      </c>
      <c r="AH973" t="s">
        <v>44</v>
      </c>
    </row>
    <row r="974" spans="1:34" x14ac:dyDescent="0.3">
      <c r="A974">
        <v>101</v>
      </c>
      <c r="B974" t="s">
        <v>34</v>
      </c>
      <c r="C974">
        <v>2</v>
      </c>
      <c r="D974" s="1" t="s">
        <v>2876</v>
      </c>
      <c r="E974" s="1" t="s">
        <v>122</v>
      </c>
      <c r="G974">
        <v>9612</v>
      </c>
      <c r="H974" t="s">
        <v>2877</v>
      </c>
      <c r="I974" t="s">
        <v>2878</v>
      </c>
      <c r="J974">
        <v>12</v>
      </c>
      <c r="K974">
        <v>9612</v>
      </c>
      <c r="L974">
        <v>50033</v>
      </c>
      <c r="M974" t="s">
        <v>39</v>
      </c>
      <c r="N974">
        <v>111</v>
      </c>
      <c r="O974" s="2">
        <v>46235</v>
      </c>
      <c r="P974" s="2">
        <v>46270</v>
      </c>
      <c r="R974" t="s">
        <v>2879</v>
      </c>
      <c r="S974" t="str">
        <f>"0000050411934"</f>
        <v>0000050411934</v>
      </c>
      <c r="T974" t="s">
        <v>41</v>
      </c>
      <c r="U974">
        <v>5881.85</v>
      </c>
      <c r="V974">
        <v>5715.18</v>
      </c>
      <c r="W974">
        <v>5715.18</v>
      </c>
      <c r="X974">
        <v>0</v>
      </c>
      <c r="Y974">
        <v>0</v>
      </c>
      <c r="Z974">
        <v>-495</v>
      </c>
      <c r="AA974">
        <v>1646</v>
      </c>
      <c r="AD974" t="s">
        <v>2824</v>
      </c>
      <c r="AE974" t="s">
        <v>2880</v>
      </c>
      <c r="AF974" t="s">
        <v>2824</v>
      </c>
      <c r="AG974" s="1" t="s">
        <v>2881</v>
      </c>
      <c r="AH974" t="s">
        <v>44</v>
      </c>
    </row>
    <row r="975" spans="1:34" x14ac:dyDescent="0.3">
      <c r="A975">
        <v>101</v>
      </c>
      <c r="B975" t="s">
        <v>34</v>
      </c>
      <c r="C975">
        <v>2</v>
      </c>
      <c r="D975" s="1" t="s">
        <v>2876</v>
      </c>
      <c r="E975" s="1" t="s">
        <v>36</v>
      </c>
      <c r="G975">
        <v>9612</v>
      </c>
      <c r="H975" t="s">
        <v>2877</v>
      </c>
      <c r="I975" t="s">
        <v>2878</v>
      </c>
      <c r="J975">
        <v>12</v>
      </c>
      <c r="K975">
        <v>9612</v>
      </c>
      <c r="L975">
        <v>50033</v>
      </c>
      <c r="M975" t="s">
        <v>39</v>
      </c>
      <c r="N975">
        <v>111</v>
      </c>
      <c r="O975" s="2">
        <v>46235</v>
      </c>
      <c r="P975" s="2">
        <v>46263</v>
      </c>
      <c r="R975" t="s">
        <v>2879</v>
      </c>
      <c r="S975" t="str">
        <f>"0000050411926"</f>
        <v>0000050411926</v>
      </c>
      <c r="T975" t="s">
        <v>41</v>
      </c>
      <c r="U975">
        <v>6271.98</v>
      </c>
      <c r="V975">
        <v>6105.31</v>
      </c>
      <c r="W975">
        <v>6105.31</v>
      </c>
      <c r="X975">
        <v>0</v>
      </c>
      <c r="Y975">
        <v>0</v>
      </c>
      <c r="Z975">
        <v>-488</v>
      </c>
      <c r="AA975">
        <v>1646</v>
      </c>
      <c r="AD975" t="s">
        <v>2824</v>
      </c>
      <c r="AE975" t="s">
        <v>2880</v>
      </c>
      <c r="AF975" t="s">
        <v>2824</v>
      </c>
      <c r="AG975" s="1" t="s">
        <v>2881</v>
      </c>
      <c r="AH975" t="s">
        <v>44</v>
      </c>
    </row>
    <row r="976" spans="1:34" x14ac:dyDescent="0.3">
      <c r="A976">
        <v>101</v>
      </c>
      <c r="B976" t="s">
        <v>34</v>
      </c>
      <c r="C976">
        <v>2</v>
      </c>
      <c r="D976" s="1" t="s">
        <v>2876</v>
      </c>
      <c r="E976" s="1" t="s">
        <v>116</v>
      </c>
      <c r="G976">
        <v>9612</v>
      </c>
      <c r="H976" t="s">
        <v>2877</v>
      </c>
      <c r="I976" t="s">
        <v>2878</v>
      </c>
      <c r="J976">
        <v>12</v>
      </c>
      <c r="K976">
        <v>9612</v>
      </c>
      <c r="L976">
        <v>50033</v>
      </c>
      <c r="M976" t="s">
        <v>39</v>
      </c>
      <c r="N976">
        <v>111</v>
      </c>
      <c r="O976" s="2">
        <v>46235</v>
      </c>
      <c r="P976" s="2">
        <v>46277</v>
      </c>
      <c r="R976" t="s">
        <v>2879</v>
      </c>
      <c r="S976" t="str">
        <f>"0000050411942"</f>
        <v>0000050411942</v>
      </c>
      <c r="T976" t="s">
        <v>41</v>
      </c>
      <c r="U976">
        <v>5883.62</v>
      </c>
      <c r="V976">
        <v>5716.95</v>
      </c>
      <c r="W976">
        <v>5716.95</v>
      </c>
      <c r="X976">
        <v>0</v>
      </c>
      <c r="Y976">
        <v>0</v>
      </c>
      <c r="Z976">
        <v>-502</v>
      </c>
      <c r="AA976">
        <v>1646</v>
      </c>
      <c r="AD976" t="s">
        <v>2824</v>
      </c>
      <c r="AE976" t="s">
        <v>2880</v>
      </c>
      <c r="AF976" t="s">
        <v>2824</v>
      </c>
      <c r="AG976" s="1" t="s">
        <v>2881</v>
      </c>
      <c r="AH976" t="s">
        <v>44</v>
      </c>
    </row>
    <row r="977" spans="1:34" x14ac:dyDescent="0.3">
      <c r="A977">
        <v>101</v>
      </c>
      <c r="B977" t="s">
        <v>34</v>
      </c>
      <c r="C977">
        <v>2</v>
      </c>
      <c r="D977" s="1" t="s">
        <v>2882</v>
      </c>
      <c r="E977" s="1" t="s">
        <v>36</v>
      </c>
      <c r="G977">
        <v>9635</v>
      </c>
      <c r="H977" t="s">
        <v>2883</v>
      </c>
      <c r="I977" t="s">
        <v>2884</v>
      </c>
      <c r="J977">
        <v>12</v>
      </c>
      <c r="K977">
        <v>9635</v>
      </c>
      <c r="L977">
        <v>50033</v>
      </c>
      <c r="M977" t="s">
        <v>39</v>
      </c>
      <c r="N977">
        <v>111</v>
      </c>
      <c r="O977" s="2">
        <v>46235</v>
      </c>
      <c r="P977" s="2">
        <v>46270</v>
      </c>
      <c r="R977" t="s">
        <v>2885</v>
      </c>
      <c r="S977" t="str">
        <f>"0000050411969"</f>
        <v>0000050411969</v>
      </c>
      <c r="T977" t="s">
        <v>41</v>
      </c>
      <c r="U977">
        <v>4357.24</v>
      </c>
      <c r="V977">
        <v>4257.24</v>
      </c>
      <c r="W977">
        <v>4257.24</v>
      </c>
      <c r="X977">
        <v>0</v>
      </c>
      <c r="Y977">
        <v>0</v>
      </c>
      <c r="Z977">
        <v>-495</v>
      </c>
      <c r="AA977">
        <v>1833</v>
      </c>
      <c r="AD977" t="s">
        <v>2824</v>
      </c>
      <c r="AE977" t="s">
        <v>2886</v>
      </c>
      <c r="AF977" t="s">
        <v>2824</v>
      </c>
      <c r="AG977">
        <v>74648197000106</v>
      </c>
      <c r="AH977" t="s">
        <v>44</v>
      </c>
    </row>
    <row r="978" spans="1:34" x14ac:dyDescent="0.3">
      <c r="A978">
        <v>101</v>
      </c>
      <c r="B978" t="s">
        <v>34</v>
      </c>
      <c r="C978">
        <v>2</v>
      </c>
      <c r="D978" s="1" t="s">
        <v>2887</v>
      </c>
      <c r="E978" s="1" t="s">
        <v>36</v>
      </c>
      <c r="G978">
        <v>11471</v>
      </c>
      <c r="H978" t="s">
        <v>2888</v>
      </c>
      <c r="I978" t="s">
        <v>2889</v>
      </c>
      <c r="J978">
        <v>12</v>
      </c>
      <c r="K978">
        <v>11687</v>
      </c>
      <c r="L978">
        <v>50001</v>
      </c>
      <c r="M978" t="s">
        <v>39</v>
      </c>
      <c r="N978">
        <v>111</v>
      </c>
      <c r="O978" s="2">
        <v>46255</v>
      </c>
      <c r="P978" s="2">
        <v>46285</v>
      </c>
      <c r="R978" t="s">
        <v>2890</v>
      </c>
      <c r="S978" t="str">
        <f>"25666160000052013"</f>
        <v>25666160000052013</v>
      </c>
      <c r="T978" t="s">
        <v>41</v>
      </c>
      <c r="U978">
        <v>4995.17</v>
      </c>
      <c r="V978">
        <v>4923.17</v>
      </c>
      <c r="W978">
        <v>4923.17</v>
      </c>
      <c r="X978">
        <v>0</v>
      </c>
      <c r="Y978">
        <v>0</v>
      </c>
      <c r="Z978">
        <v>-510</v>
      </c>
      <c r="AA978">
        <v>4862</v>
      </c>
      <c r="AD978" t="s">
        <v>2836</v>
      </c>
      <c r="AE978" t="s">
        <v>2891</v>
      </c>
      <c r="AF978" t="s">
        <v>2836</v>
      </c>
      <c r="AG978" s="1" t="s">
        <v>2892</v>
      </c>
      <c r="AH978" t="s">
        <v>44</v>
      </c>
    </row>
    <row r="979" spans="1:34" x14ac:dyDescent="0.3">
      <c r="A979">
        <v>101</v>
      </c>
      <c r="B979" t="s">
        <v>34</v>
      </c>
      <c r="C979">
        <v>2</v>
      </c>
      <c r="D979" s="1" t="s">
        <v>2893</v>
      </c>
      <c r="E979" s="1" t="s">
        <v>122</v>
      </c>
      <c r="G979">
        <v>11599</v>
      </c>
      <c r="H979" t="s">
        <v>2894</v>
      </c>
      <c r="I979" t="s">
        <v>2895</v>
      </c>
      <c r="J979">
        <v>12</v>
      </c>
      <c r="K979">
        <v>11599</v>
      </c>
      <c r="L979">
        <v>50001</v>
      </c>
      <c r="M979" t="s">
        <v>39</v>
      </c>
      <c r="N979">
        <v>111</v>
      </c>
      <c r="O979" s="2">
        <v>46247</v>
      </c>
      <c r="P979" s="2">
        <v>46287</v>
      </c>
      <c r="R979" t="s">
        <v>2896</v>
      </c>
      <c r="S979" t="str">
        <f>"25666160000051896"</f>
        <v>25666160000051896</v>
      </c>
      <c r="T979" t="s">
        <v>41</v>
      </c>
      <c r="U979">
        <v>7007.71</v>
      </c>
      <c r="V979">
        <v>6724.38</v>
      </c>
      <c r="W979">
        <v>6724.38</v>
      </c>
      <c r="X979">
        <v>0</v>
      </c>
      <c r="Y979">
        <v>0</v>
      </c>
      <c r="Z979">
        <v>-512</v>
      </c>
      <c r="AA979">
        <v>4317</v>
      </c>
      <c r="AD979" t="s">
        <v>2873</v>
      </c>
      <c r="AE979" t="s">
        <v>2897</v>
      </c>
      <c r="AF979" t="s">
        <v>2873</v>
      </c>
      <c r="AG979" s="1" t="s">
        <v>2898</v>
      </c>
      <c r="AH979" t="s">
        <v>44</v>
      </c>
    </row>
    <row r="980" spans="1:34" x14ac:dyDescent="0.3">
      <c r="A980">
        <v>101</v>
      </c>
      <c r="B980" t="s">
        <v>34</v>
      </c>
      <c r="C980">
        <v>2</v>
      </c>
      <c r="D980" s="1" t="s">
        <v>2893</v>
      </c>
      <c r="E980" s="1" t="s">
        <v>116</v>
      </c>
      <c r="G980">
        <v>11599</v>
      </c>
      <c r="H980" t="s">
        <v>2894</v>
      </c>
      <c r="I980" t="s">
        <v>2895</v>
      </c>
      <c r="J980">
        <v>12</v>
      </c>
      <c r="K980">
        <v>11599</v>
      </c>
      <c r="L980">
        <v>50001</v>
      </c>
      <c r="M980" t="s">
        <v>39</v>
      </c>
      <c r="N980">
        <v>111</v>
      </c>
      <c r="O980" s="2">
        <v>46247</v>
      </c>
      <c r="P980" s="2">
        <v>46297</v>
      </c>
      <c r="R980" t="s">
        <v>2896</v>
      </c>
      <c r="S980" t="str">
        <f>"25666160000051897"</f>
        <v>25666160000051897</v>
      </c>
      <c r="T980" t="s">
        <v>41</v>
      </c>
      <c r="U980">
        <v>7009.82</v>
      </c>
      <c r="V980">
        <v>6726.49</v>
      </c>
      <c r="W980">
        <v>6726.49</v>
      </c>
      <c r="X980">
        <v>0</v>
      </c>
      <c r="Y980">
        <v>0</v>
      </c>
      <c r="Z980">
        <v>-522</v>
      </c>
      <c r="AA980">
        <v>4317</v>
      </c>
      <c r="AD980" t="s">
        <v>2873</v>
      </c>
      <c r="AE980" t="s">
        <v>2897</v>
      </c>
      <c r="AF980" t="s">
        <v>2873</v>
      </c>
      <c r="AG980" s="1" t="s">
        <v>2898</v>
      </c>
      <c r="AH980" t="s">
        <v>44</v>
      </c>
    </row>
    <row r="981" spans="1:34" x14ac:dyDescent="0.3">
      <c r="A981">
        <v>101</v>
      </c>
      <c r="B981" t="s">
        <v>34</v>
      </c>
      <c r="C981">
        <v>2</v>
      </c>
      <c r="D981" s="1" t="s">
        <v>2893</v>
      </c>
      <c r="E981" s="1" t="s">
        <v>36</v>
      </c>
      <c r="G981">
        <v>11599</v>
      </c>
      <c r="H981" t="s">
        <v>2894</v>
      </c>
      <c r="I981" t="s">
        <v>2895</v>
      </c>
      <c r="J981">
        <v>12</v>
      </c>
      <c r="K981">
        <v>11599</v>
      </c>
      <c r="L981">
        <v>50001</v>
      </c>
      <c r="M981" t="s">
        <v>39</v>
      </c>
      <c r="N981">
        <v>111</v>
      </c>
      <c r="O981" s="2">
        <v>46247</v>
      </c>
      <c r="P981" s="2">
        <v>46277</v>
      </c>
      <c r="R981" t="s">
        <v>2896</v>
      </c>
      <c r="S981" t="str">
        <f>"25666160000051895"</f>
        <v>25666160000051895</v>
      </c>
      <c r="T981" t="s">
        <v>41</v>
      </c>
      <c r="U981">
        <v>7504</v>
      </c>
      <c r="V981">
        <v>7220.67</v>
      </c>
      <c r="W981">
        <v>7220.67</v>
      </c>
      <c r="X981">
        <v>0</v>
      </c>
      <c r="Y981">
        <v>0</v>
      </c>
      <c r="Z981">
        <v>-502</v>
      </c>
      <c r="AA981">
        <v>4317</v>
      </c>
      <c r="AD981" t="s">
        <v>2873</v>
      </c>
      <c r="AE981" t="s">
        <v>2897</v>
      </c>
      <c r="AF981" t="s">
        <v>2873</v>
      </c>
      <c r="AG981" s="1" t="s">
        <v>2898</v>
      </c>
      <c r="AH981" t="s">
        <v>44</v>
      </c>
    </row>
    <row r="982" spans="1:34" x14ac:dyDescent="0.3">
      <c r="A982">
        <v>101</v>
      </c>
      <c r="B982" t="s">
        <v>34</v>
      </c>
      <c r="C982">
        <v>2</v>
      </c>
      <c r="D982" s="1" t="s">
        <v>2899</v>
      </c>
      <c r="E982" s="1" t="s">
        <v>36</v>
      </c>
      <c r="G982">
        <v>11687</v>
      </c>
      <c r="H982" t="s">
        <v>2900</v>
      </c>
      <c r="I982" t="s">
        <v>2901</v>
      </c>
      <c r="J982">
        <v>12</v>
      </c>
      <c r="K982">
        <v>11687</v>
      </c>
      <c r="L982">
        <v>50001</v>
      </c>
      <c r="M982" t="s">
        <v>39</v>
      </c>
      <c r="N982">
        <v>111</v>
      </c>
      <c r="O982" s="2">
        <v>46230</v>
      </c>
      <c r="P982" s="2">
        <v>46265</v>
      </c>
      <c r="R982" t="s">
        <v>2902</v>
      </c>
      <c r="S982" t="str">
        <f>"25666160000051638"</f>
        <v>25666160000051638</v>
      </c>
      <c r="T982" t="s">
        <v>41</v>
      </c>
      <c r="U982">
        <v>2374</v>
      </c>
      <c r="V982">
        <v>2374</v>
      </c>
      <c r="W982">
        <v>2374</v>
      </c>
      <c r="X982">
        <v>0</v>
      </c>
      <c r="Y982">
        <v>0</v>
      </c>
      <c r="Z982">
        <v>-490</v>
      </c>
      <c r="AA982">
        <v>1729</v>
      </c>
      <c r="AD982" t="s">
        <v>2903</v>
      </c>
      <c r="AE982" t="s">
        <v>2891</v>
      </c>
      <c r="AF982" t="s">
        <v>2903</v>
      </c>
      <c r="AG982" s="1" t="s">
        <v>2904</v>
      </c>
      <c r="AH982" t="s">
        <v>44</v>
      </c>
    </row>
    <row r="983" spans="1:34" x14ac:dyDescent="0.3">
      <c r="A983">
        <v>101</v>
      </c>
      <c r="B983" t="s">
        <v>34</v>
      </c>
      <c r="C983">
        <v>2</v>
      </c>
      <c r="D983" s="1" t="s">
        <v>2905</v>
      </c>
      <c r="E983" s="1" t="s">
        <v>116</v>
      </c>
      <c r="G983">
        <v>433737</v>
      </c>
      <c r="H983" t="s">
        <v>2906</v>
      </c>
      <c r="I983" t="s">
        <v>2871</v>
      </c>
      <c r="J983">
        <v>12</v>
      </c>
      <c r="K983">
        <v>9175</v>
      </c>
      <c r="L983">
        <v>50033</v>
      </c>
      <c r="M983" t="s">
        <v>39</v>
      </c>
      <c r="N983">
        <v>111</v>
      </c>
      <c r="O983" s="2">
        <v>46240</v>
      </c>
      <c r="P983" s="2">
        <v>46290</v>
      </c>
      <c r="R983" t="s">
        <v>2907</v>
      </c>
      <c r="S983" t="str">
        <f>"0000050412922"</f>
        <v>0000050412922</v>
      </c>
      <c r="T983" t="s">
        <v>41</v>
      </c>
      <c r="U983">
        <v>889.36</v>
      </c>
      <c r="V983">
        <v>862.69</v>
      </c>
      <c r="W983">
        <v>862.69</v>
      </c>
      <c r="X983">
        <v>0</v>
      </c>
      <c r="Y983">
        <v>0</v>
      </c>
      <c r="Z983">
        <v>-515</v>
      </c>
      <c r="AA983">
        <v>4333</v>
      </c>
      <c r="AD983" t="s">
        <v>2811</v>
      </c>
      <c r="AE983" t="s">
        <v>2908</v>
      </c>
      <c r="AF983" t="s">
        <v>2811</v>
      </c>
      <c r="AG983" s="1" t="s">
        <v>2909</v>
      </c>
      <c r="AH983" t="s">
        <v>44</v>
      </c>
    </row>
    <row r="984" spans="1:34" x14ac:dyDescent="0.3">
      <c r="A984">
        <v>101</v>
      </c>
      <c r="B984" t="s">
        <v>34</v>
      </c>
      <c r="C984">
        <v>2</v>
      </c>
      <c r="D984" s="1" t="s">
        <v>2905</v>
      </c>
      <c r="E984" s="1" t="s">
        <v>122</v>
      </c>
      <c r="G984">
        <v>433737</v>
      </c>
      <c r="H984" t="s">
        <v>2906</v>
      </c>
      <c r="I984" t="s">
        <v>2871</v>
      </c>
      <c r="J984">
        <v>12</v>
      </c>
      <c r="K984">
        <v>9175</v>
      </c>
      <c r="L984">
        <v>50033</v>
      </c>
      <c r="M984" t="s">
        <v>39</v>
      </c>
      <c r="N984">
        <v>111</v>
      </c>
      <c r="O984" s="2">
        <v>46240</v>
      </c>
      <c r="P984" s="2">
        <v>46280</v>
      </c>
      <c r="R984" t="s">
        <v>2907</v>
      </c>
      <c r="S984" t="str">
        <f>"0000050412914"</f>
        <v>0000050412914</v>
      </c>
      <c r="T984" t="s">
        <v>41</v>
      </c>
      <c r="U984">
        <v>889.08</v>
      </c>
      <c r="V984">
        <v>862.41</v>
      </c>
      <c r="W984">
        <v>862.41</v>
      </c>
      <c r="X984">
        <v>0</v>
      </c>
      <c r="Y984">
        <v>0</v>
      </c>
      <c r="Z984">
        <v>-505</v>
      </c>
      <c r="AA984">
        <v>4333</v>
      </c>
      <c r="AD984" t="s">
        <v>2811</v>
      </c>
      <c r="AE984" t="s">
        <v>2908</v>
      </c>
      <c r="AF984" t="s">
        <v>2811</v>
      </c>
      <c r="AG984" s="1" t="s">
        <v>2909</v>
      </c>
      <c r="AH984" t="s">
        <v>44</v>
      </c>
    </row>
    <row r="985" spans="1:34" x14ac:dyDescent="0.3">
      <c r="A985">
        <v>101</v>
      </c>
      <c r="B985" t="s">
        <v>34</v>
      </c>
      <c r="C985">
        <v>2</v>
      </c>
      <c r="D985" s="1" t="s">
        <v>2905</v>
      </c>
      <c r="E985" s="1" t="s">
        <v>36</v>
      </c>
      <c r="G985">
        <v>433737</v>
      </c>
      <c r="H985" t="s">
        <v>2906</v>
      </c>
      <c r="I985" t="s">
        <v>2871</v>
      </c>
      <c r="J985">
        <v>12</v>
      </c>
      <c r="K985">
        <v>9175</v>
      </c>
      <c r="L985">
        <v>50033</v>
      </c>
      <c r="M985" t="s">
        <v>39</v>
      </c>
      <c r="N985">
        <v>111</v>
      </c>
      <c r="O985" s="2">
        <v>46240</v>
      </c>
      <c r="P985" s="2">
        <v>46270</v>
      </c>
      <c r="R985" t="s">
        <v>2907</v>
      </c>
      <c r="S985" t="str">
        <f>"0000050412906"</f>
        <v>0000050412906</v>
      </c>
      <c r="T985" t="s">
        <v>41</v>
      </c>
      <c r="U985">
        <v>928.58</v>
      </c>
      <c r="V985">
        <v>901.91</v>
      </c>
      <c r="W985">
        <v>901.91</v>
      </c>
      <c r="X985">
        <v>0</v>
      </c>
      <c r="Y985">
        <v>0</v>
      </c>
      <c r="Z985">
        <v>-495</v>
      </c>
      <c r="AA985">
        <v>4333</v>
      </c>
      <c r="AD985" t="s">
        <v>2811</v>
      </c>
      <c r="AE985" t="s">
        <v>2908</v>
      </c>
      <c r="AF985" t="s">
        <v>2811</v>
      </c>
      <c r="AG985" s="1" t="s">
        <v>2909</v>
      </c>
      <c r="AH985" t="s">
        <v>44</v>
      </c>
    </row>
    <row r="986" spans="1:34" x14ac:dyDescent="0.3">
      <c r="A986">
        <v>101</v>
      </c>
      <c r="B986" t="s">
        <v>34</v>
      </c>
      <c r="C986">
        <v>2</v>
      </c>
      <c r="D986" s="1" t="s">
        <v>2910</v>
      </c>
      <c r="E986" s="1" t="s">
        <v>36</v>
      </c>
      <c r="G986">
        <v>433839</v>
      </c>
      <c r="H986" t="s">
        <v>2911</v>
      </c>
      <c r="I986" t="s">
        <v>2912</v>
      </c>
      <c r="J986">
        <v>12</v>
      </c>
      <c r="K986">
        <v>9635</v>
      </c>
      <c r="L986">
        <v>50001</v>
      </c>
      <c r="M986" t="s">
        <v>39</v>
      </c>
      <c r="N986">
        <v>111</v>
      </c>
      <c r="O986" s="2">
        <v>46235</v>
      </c>
      <c r="P986" s="2">
        <v>46270</v>
      </c>
      <c r="R986" t="s">
        <v>2913</v>
      </c>
      <c r="S986" t="str">
        <f>"25666160000051729"</f>
        <v>25666160000051729</v>
      </c>
      <c r="T986" t="s">
        <v>41</v>
      </c>
      <c r="U986">
        <v>4062.36</v>
      </c>
      <c r="V986">
        <v>3962.36</v>
      </c>
      <c r="W986">
        <v>3962.36</v>
      </c>
      <c r="X986">
        <v>0</v>
      </c>
      <c r="Y986">
        <v>0</v>
      </c>
      <c r="Z986">
        <v>-495</v>
      </c>
      <c r="AA986">
        <v>1832</v>
      </c>
      <c r="AD986" t="s">
        <v>2824</v>
      </c>
      <c r="AE986">
        <v>1333582291</v>
      </c>
      <c r="AF986" t="s">
        <v>2824</v>
      </c>
      <c r="AG986">
        <v>10431181000164</v>
      </c>
      <c r="AH986" t="s">
        <v>44</v>
      </c>
    </row>
    <row r="987" spans="1:34" x14ac:dyDescent="0.3">
      <c r="A987">
        <v>101</v>
      </c>
      <c r="B987" t="s">
        <v>34</v>
      </c>
      <c r="C987">
        <v>2</v>
      </c>
      <c r="D987" s="1" t="s">
        <v>2914</v>
      </c>
      <c r="E987" s="1" t="s">
        <v>36</v>
      </c>
      <c r="G987">
        <v>435194</v>
      </c>
      <c r="H987" t="s">
        <v>2915</v>
      </c>
      <c r="I987" t="s">
        <v>2916</v>
      </c>
      <c r="J987">
        <v>12</v>
      </c>
      <c r="K987">
        <v>999001298</v>
      </c>
      <c r="L987">
        <v>50341</v>
      </c>
      <c r="M987" t="s">
        <v>146</v>
      </c>
      <c r="N987">
        <v>111</v>
      </c>
      <c r="O987" s="2">
        <v>46235</v>
      </c>
      <c r="P987" s="2">
        <v>46263</v>
      </c>
      <c r="R987" t="s">
        <v>2917</v>
      </c>
      <c r="S987" t="str">
        <f>"00013445"</f>
        <v>00013445</v>
      </c>
      <c r="T987" t="s">
        <v>41</v>
      </c>
      <c r="U987">
        <v>617.59</v>
      </c>
      <c r="V987">
        <v>586.71</v>
      </c>
      <c r="W987">
        <v>586.71</v>
      </c>
      <c r="X987">
        <v>0</v>
      </c>
      <c r="Y987">
        <v>0</v>
      </c>
      <c r="Z987">
        <v>-488</v>
      </c>
      <c r="AA987">
        <v>1867</v>
      </c>
      <c r="AD987" t="s">
        <v>2918</v>
      </c>
      <c r="AE987" t="s">
        <v>2919</v>
      </c>
      <c r="AF987" t="s">
        <v>2918</v>
      </c>
      <c r="AG987" s="1" t="s">
        <v>2920</v>
      </c>
      <c r="AH987" t="s">
        <v>44</v>
      </c>
    </row>
    <row r="988" spans="1:34" x14ac:dyDescent="0.3">
      <c r="A988">
        <v>101</v>
      </c>
      <c r="B988" t="s">
        <v>34</v>
      </c>
      <c r="C988">
        <v>2</v>
      </c>
      <c r="D988" s="1" t="s">
        <v>2914</v>
      </c>
      <c r="E988" s="1" t="s">
        <v>122</v>
      </c>
      <c r="G988">
        <v>435194</v>
      </c>
      <c r="H988" t="s">
        <v>2915</v>
      </c>
      <c r="I988" t="s">
        <v>2916</v>
      </c>
      <c r="J988">
        <v>12</v>
      </c>
      <c r="K988">
        <v>999001298</v>
      </c>
      <c r="L988">
        <v>50341</v>
      </c>
      <c r="M988" t="s">
        <v>146</v>
      </c>
      <c r="N988">
        <v>111</v>
      </c>
      <c r="O988" s="2">
        <v>46235</v>
      </c>
      <c r="P988" s="2">
        <v>46270</v>
      </c>
      <c r="R988" t="s">
        <v>2917</v>
      </c>
      <c r="S988" t="str">
        <f>"00013446"</f>
        <v>00013446</v>
      </c>
      <c r="T988" t="s">
        <v>41</v>
      </c>
      <c r="U988">
        <v>597.95000000000005</v>
      </c>
      <c r="V988">
        <v>568.04999999999995</v>
      </c>
      <c r="W988">
        <v>568.04999999999995</v>
      </c>
      <c r="X988">
        <v>0</v>
      </c>
      <c r="Y988">
        <v>0</v>
      </c>
      <c r="Z988">
        <v>-495</v>
      </c>
      <c r="AA988">
        <v>1867</v>
      </c>
      <c r="AD988" t="s">
        <v>2918</v>
      </c>
      <c r="AE988" t="s">
        <v>2919</v>
      </c>
      <c r="AF988" t="s">
        <v>2918</v>
      </c>
      <c r="AG988" s="1" t="s">
        <v>2920</v>
      </c>
      <c r="AH988" t="s">
        <v>44</v>
      </c>
    </row>
    <row r="989" spans="1:34" x14ac:dyDescent="0.3">
      <c r="A989">
        <v>101</v>
      </c>
      <c r="B989" t="s">
        <v>34</v>
      </c>
      <c r="C989">
        <v>2</v>
      </c>
      <c r="D989" s="1" t="s">
        <v>2914</v>
      </c>
      <c r="E989" s="1" t="s">
        <v>116</v>
      </c>
      <c r="G989">
        <v>435194</v>
      </c>
      <c r="H989" t="s">
        <v>2915</v>
      </c>
      <c r="I989" t="s">
        <v>2916</v>
      </c>
      <c r="J989">
        <v>12</v>
      </c>
      <c r="K989">
        <v>999001298</v>
      </c>
      <c r="L989">
        <v>50341</v>
      </c>
      <c r="M989" t="s">
        <v>146</v>
      </c>
      <c r="N989">
        <v>111</v>
      </c>
      <c r="O989" s="2">
        <v>46235</v>
      </c>
      <c r="P989" s="2">
        <v>46277</v>
      </c>
      <c r="R989" t="s">
        <v>2917</v>
      </c>
      <c r="S989" t="str">
        <f>"00013447"</f>
        <v>00013447</v>
      </c>
      <c r="T989" t="s">
        <v>41</v>
      </c>
      <c r="U989">
        <v>598.14</v>
      </c>
      <c r="V989">
        <v>568.23</v>
      </c>
      <c r="W989">
        <v>568.23</v>
      </c>
      <c r="X989">
        <v>0</v>
      </c>
      <c r="Y989">
        <v>0</v>
      </c>
      <c r="Z989">
        <v>-502</v>
      </c>
      <c r="AA989">
        <v>1867</v>
      </c>
      <c r="AD989" t="s">
        <v>2918</v>
      </c>
      <c r="AE989" t="s">
        <v>2919</v>
      </c>
      <c r="AF989" t="s">
        <v>2918</v>
      </c>
      <c r="AG989" s="1" t="s">
        <v>2920</v>
      </c>
      <c r="AH989" t="s">
        <v>44</v>
      </c>
    </row>
    <row r="990" spans="1:34" x14ac:dyDescent="0.3">
      <c r="A990">
        <v>101</v>
      </c>
      <c r="B990" t="s">
        <v>34</v>
      </c>
      <c r="C990">
        <v>2</v>
      </c>
      <c r="D990" s="1" t="s">
        <v>2921</v>
      </c>
      <c r="E990" s="1" t="s">
        <v>36</v>
      </c>
      <c r="G990">
        <v>451581</v>
      </c>
      <c r="H990" t="s">
        <v>2922</v>
      </c>
      <c r="I990" t="s">
        <v>2923</v>
      </c>
      <c r="J990">
        <v>12</v>
      </c>
      <c r="K990">
        <v>451581</v>
      </c>
      <c r="L990">
        <v>50001</v>
      </c>
      <c r="M990" t="s">
        <v>39</v>
      </c>
      <c r="N990">
        <v>111</v>
      </c>
      <c r="O990" s="2">
        <v>46226</v>
      </c>
      <c r="P990" s="2">
        <v>46266</v>
      </c>
      <c r="R990" t="s">
        <v>2924</v>
      </c>
      <c r="S990" t="str">
        <f>"25666160000051570"</f>
        <v>25666160000051570</v>
      </c>
      <c r="T990" t="s">
        <v>41</v>
      </c>
      <c r="U990">
        <v>36655.43</v>
      </c>
      <c r="V990">
        <v>34456.1</v>
      </c>
      <c r="W990">
        <v>34456.1</v>
      </c>
      <c r="X990">
        <v>0</v>
      </c>
      <c r="Y990">
        <v>0</v>
      </c>
      <c r="Z990">
        <v>-491</v>
      </c>
      <c r="AA990">
        <v>1412</v>
      </c>
      <c r="AD990" t="s">
        <v>2873</v>
      </c>
      <c r="AE990" t="s">
        <v>2925</v>
      </c>
      <c r="AF990" t="s">
        <v>2873</v>
      </c>
      <c r="AG990">
        <v>21010503000118</v>
      </c>
      <c r="AH990" t="s">
        <v>44</v>
      </c>
    </row>
    <row r="991" spans="1:34" x14ac:dyDescent="0.3">
      <c r="A991">
        <v>101</v>
      </c>
      <c r="B991" t="s">
        <v>34</v>
      </c>
      <c r="C991">
        <v>2</v>
      </c>
      <c r="D991" s="1" t="s">
        <v>2926</v>
      </c>
      <c r="E991" s="1" t="s">
        <v>36</v>
      </c>
      <c r="G991">
        <v>451581</v>
      </c>
      <c r="H991" t="s">
        <v>2922</v>
      </c>
      <c r="I991" t="s">
        <v>2923</v>
      </c>
      <c r="J991">
        <v>12</v>
      </c>
      <c r="K991">
        <v>451581</v>
      </c>
      <c r="L991">
        <v>50001</v>
      </c>
      <c r="M991" t="s">
        <v>39</v>
      </c>
      <c r="N991">
        <v>111</v>
      </c>
      <c r="O991" s="2">
        <v>46247</v>
      </c>
      <c r="P991" s="2">
        <v>46287</v>
      </c>
      <c r="R991" t="s">
        <v>2927</v>
      </c>
      <c r="S991" t="str">
        <f>"25666160000051898"</f>
        <v>25666160000051898</v>
      </c>
      <c r="T991" t="s">
        <v>41</v>
      </c>
      <c r="U991">
        <v>62640.14</v>
      </c>
      <c r="V991">
        <v>58231.73</v>
      </c>
      <c r="W991">
        <v>58231.73</v>
      </c>
      <c r="X991">
        <v>0</v>
      </c>
      <c r="Y991">
        <v>0</v>
      </c>
      <c r="Z991">
        <v>-512</v>
      </c>
      <c r="AA991">
        <v>4332</v>
      </c>
      <c r="AD991" t="s">
        <v>2873</v>
      </c>
      <c r="AE991" t="s">
        <v>2925</v>
      </c>
      <c r="AF991" t="s">
        <v>2873</v>
      </c>
      <c r="AG991">
        <v>21010503000118</v>
      </c>
      <c r="AH991" t="s">
        <v>44</v>
      </c>
    </row>
    <row r="992" spans="1:34" x14ac:dyDescent="0.3">
      <c r="A992">
        <v>101</v>
      </c>
      <c r="B992" t="s">
        <v>34</v>
      </c>
      <c r="C992">
        <v>2</v>
      </c>
      <c r="D992" s="1" t="s">
        <v>2928</v>
      </c>
      <c r="E992" s="1" t="s">
        <v>36</v>
      </c>
      <c r="G992">
        <v>454599</v>
      </c>
      <c r="H992" t="s">
        <v>2929</v>
      </c>
      <c r="I992" t="s">
        <v>2916</v>
      </c>
      <c r="J992">
        <v>12</v>
      </c>
      <c r="K992">
        <v>999001298</v>
      </c>
      <c r="L992">
        <v>50341</v>
      </c>
      <c r="M992" t="s">
        <v>146</v>
      </c>
      <c r="N992">
        <v>111</v>
      </c>
      <c r="O992" s="2">
        <v>46235</v>
      </c>
      <c r="P992" s="2">
        <v>46263</v>
      </c>
      <c r="R992" t="s">
        <v>2930</v>
      </c>
      <c r="S992" t="str">
        <f>"00013482"</f>
        <v>00013482</v>
      </c>
      <c r="T992" t="s">
        <v>41</v>
      </c>
      <c r="U992">
        <v>1450.13</v>
      </c>
      <c r="V992">
        <v>1377.62</v>
      </c>
      <c r="W992">
        <v>1377.62</v>
      </c>
      <c r="X992">
        <v>0</v>
      </c>
      <c r="Y992">
        <v>0</v>
      </c>
      <c r="Z992">
        <v>-488</v>
      </c>
      <c r="AA992">
        <v>1866</v>
      </c>
      <c r="AD992" t="s">
        <v>2918</v>
      </c>
      <c r="AE992">
        <v>1338424443</v>
      </c>
      <c r="AF992" t="s">
        <v>2918</v>
      </c>
      <c r="AG992" s="1" t="s">
        <v>2931</v>
      </c>
      <c r="AH992" t="s">
        <v>44</v>
      </c>
    </row>
    <row r="993" spans="1:34" x14ac:dyDescent="0.3">
      <c r="A993">
        <v>101</v>
      </c>
      <c r="B993" t="s">
        <v>34</v>
      </c>
      <c r="C993">
        <v>2</v>
      </c>
      <c r="D993" s="1" t="s">
        <v>2928</v>
      </c>
      <c r="E993" s="1" t="s">
        <v>122</v>
      </c>
      <c r="G993">
        <v>454599</v>
      </c>
      <c r="H993" t="s">
        <v>2929</v>
      </c>
      <c r="I993" t="s">
        <v>2916</v>
      </c>
      <c r="J993">
        <v>12</v>
      </c>
      <c r="K993">
        <v>999001298</v>
      </c>
      <c r="L993">
        <v>50341</v>
      </c>
      <c r="M993" t="s">
        <v>146</v>
      </c>
      <c r="N993">
        <v>111</v>
      </c>
      <c r="O993" s="2">
        <v>46235</v>
      </c>
      <c r="P993" s="2">
        <v>46270</v>
      </c>
      <c r="R993" t="s">
        <v>2930</v>
      </c>
      <c r="S993" t="str">
        <f>"00013483"</f>
        <v>00013483</v>
      </c>
      <c r="T993" t="s">
        <v>41</v>
      </c>
      <c r="U993">
        <v>1392.79</v>
      </c>
      <c r="V993">
        <v>1323.15</v>
      </c>
      <c r="W993">
        <v>1323.15</v>
      </c>
      <c r="X993">
        <v>0</v>
      </c>
      <c r="Y993">
        <v>0</v>
      </c>
      <c r="Z993">
        <v>-495</v>
      </c>
      <c r="AA993">
        <v>1866</v>
      </c>
      <c r="AD993" t="s">
        <v>2918</v>
      </c>
      <c r="AE993">
        <v>1338424443</v>
      </c>
      <c r="AF993" t="s">
        <v>2918</v>
      </c>
      <c r="AG993" s="1" t="s">
        <v>2931</v>
      </c>
      <c r="AH993" t="s">
        <v>44</v>
      </c>
    </row>
    <row r="994" spans="1:34" x14ac:dyDescent="0.3">
      <c r="A994">
        <v>101</v>
      </c>
      <c r="B994" t="s">
        <v>34</v>
      </c>
      <c r="C994">
        <v>2</v>
      </c>
      <c r="D994" s="1" t="s">
        <v>2928</v>
      </c>
      <c r="E994" s="1" t="s">
        <v>116</v>
      </c>
      <c r="G994">
        <v>454599</v>
      </c>
      <c r="H994" t="s">
        <v>2929</v>
      </c>
      <c r="I994" t="s">
        <v>2916</v>
      </c>
      <c r="J994">
        <v>12</v>
      </c>
      <c r="K994">
        <v>999001298</v>
      </c>
      <c r="L994">
        <v>50341</v>
      </c>
      <c r="M994" t="s">
        <v>146</v>
      </c>
      <c r="N994">
        <v>111</v>
      </c>
      <c r="O994" s="2">
        <v>46235</v>
      </c>
      <c r="P994" s="2">
        <v>46277</v>
      </c>
      <c r="R994" t="s">
        <v>2930</v>
      </c>
      <c r="S994" t="str">
        <f>"00013484"</f>
        <v>00013484</v>
      </c>
      <c r="T994" t="s">
        <v>41</v>
      </c>
      <c r="U994">
        <v>1393.22</v>
      </c>
      <c r="V994">
        <v>1323.56</v>
      </c>
      <c r="W994">
        <v>1323.56</v>
      </c>
      <c r="X994">
        <v>0</v>
      </c>
      <c r="Y994">
        <v>0</v>
      </c>
      <c r="Z994">
        <v>-502</v>
      </c>
      <c r="AA994">
        <v>1866</v>
      </c>
      <c r="AD994" t="s">
        <v>2918</v>
      </c>
      <c r="AE994">
        <v>1338424443</v>
      </c>
      <c r="AF994" t="s">
        <v>2918</v>
      </c>
      <c r="AG994" s="1" t="s">
        <v>2931</v>
      </c>
      <c r="AH994" t="s">
        <v>44</v>
      </c>
    </row>
    <row r="995" spans="1:34" x14ac:dyDescent="0.3">
      <c r="A995">
        <v>101</v>
      </c>
      <c r="B995" t="s">
        <v>34</v>
      </c>
      <c r="C995">
        <v>2</v>
      </c>
      <c r="D995" s="1" t="s">
        <v>2932</v>
      </c>
      <c r="E995" s="1" t="s">
        <v>36</v>
      </c>
      <c r="G995">
        <v>461079</v>
      </c>
      <c r="H995" t="s">
        <v>2933</v>
      </c>
      <c r="I995" t="s">
        <v>2934</v>
      </c>
      <c r="J995">
        <v>12</v>
      </c>
      <c r="K995">
        <v>9175</v>
      </c>
      <c r="L995">
        <v>50341</v>
      </c>
      <c r="M995" t="s">
        <v>146</v>
      </c>
      <c r="N995">
        <v>111</v>
      </c>
      <c r="O995" s="2">
        <v>46240</v>
      </c>
      <c r="P995" s="2">
        <v>46270</v>
      </c>
      <c r="R995" t="s">
        <v>2935</v>
      </c>
      <c r="S995" t="str">
        <f>"00013636"</f>
        <v>00013636</v>
      </c>
      <c r="T995" t="s">
        <v>41</v>
      </c>
      <c r="U995">
        <v>1555.99</v>
      </c>
      <c r="V995">
        <v>1505.99</v>
      </c>
      <c r="W995">
        <v>1505.99</v>
      </c>
      <c r="X995">
        <v>0</v>
      </c>
      <c r="Y995">
        <v>0</v>
      </c>
      <c r="Z995">
        <v>-495</v>
      </c>
      <c r="AA995">
        <v>4336</v>
      </c>
      <c r="AD995" t="s">
        <v>2811</v>
      </c>
      <c r="AE995">
        <v>1338785959</v>
      </c>
      <c r="AF995" t="s">
        <v>2811</v>
      </c>
      <c r="AG995">
        <v>47484995000177</v>
      </c>
      <c r="AH995" t="s">
        <v>44</v>
      </c>
    </row>
    <row r="996" spans="1:34" x14ac:dyDescent="0.3">
      <c r="A996">
        <v>101</v>
      </c>
      <c r="B996" t="s">
        <v>34</v>
      </c>
      <c r="C996">
        <v>2</v>
      </c>
      <c r="D996" s="1" t="s">
        <v>2932</v>
      </c>
      <c r="E996" s="1" t="s">
        <v>122</v>
      </c>
      <c r="G996">
        <v>461079</v>
      </c>
      <c r="H996" t="s">
        <v>2933</v>
      </c>
      <c r="I996" t="s">
        <v>2934</v>
      </c>
      <c r="J996">
        <v>12</v>
      </c>
      <c r="K996">
        <v>9175</v>
      </c>
      <c r="L996">
        <v>50341</v>
      </c>
      <c r="M996" t="s">
        <v>146</v>
      </c>
      <c r="N996">
        <v>111</v>
      </c>
      <c r="O996" s="2">
        <v>46240</v>
      </c>
      <c r="P996" s="2">
        <v>46280</v>
      </c>
      <c r="R996" t="s">
        <v>2935</v>
      </c>
      <c r="S996" t="str">
        <f>"00013637"</f>
        <v>00013637</v>
      </c>
      <c r="T996" t="s">
        <v>41</v>
      </c>
      <c r="U996">
        <v>1476</v>
      </c>
      <c r="V996">
        <v>1426</v>
      </c>
      <c r="W996">
        <v>1426</v>
      </c>
      <c r="X996">
        <v>0</v>
      </c>
      <c r="Y996">
        <v>0</v>
      </c>
      <c r="Z996">
        <v>-505</v>
      </c>
      <c r="AA996">
        <v>4336</v>
      </c>
      <c r="AD996" t="s">
        <v>2811</v>
      </c>
      <c r="AE996">
        <v>1338785959</v>
      </c>
      <c r="AF996" t="s">
        <v>2811</v>
      </c>
      <c r="AG996">
        <v>47484995000177</v>
      </c>
      <c r="AH996" t="s">
        <v>44</v>
      </c>
    </row>
    <row r="997" spans="1:34" x14ac:dyDescent="0.3">
      <c r="A997">
        <v>101</v>
      </c>
      <c r="B997" t="s">
        <v>34</v>
      </c>
      <c r="C997">
        <v>2</v>
      </c>
      <c r="D997" s="1" t="s">
        <v>2932</v>
      </c>
      <c r="E997" s="1" t="s">
        <v>116</v>
      </c>
      <c r="G997">
        <v>461079</v>
      </c>
      <c r="H997" t="s">
        <v>2933</v>
      </c>
      <c r="I997" t="s">
        <v>2934</v>
      </c>
      <c r="J997">
        <v>12</v>
      </c>
      <c r="K997">
        <v>9175</v>
      </c>
      <c r="L997">
        <v>50341</v>
      </c>
      <c r="M997" t="s">
        <v>146</v>
      </c>
      <c r="N997">
        <v>111</v>
      </c>
      <c r="O997" s="2">
        <v>46240</v>
      </c>
      <c r="P997" s="2">
        <v>46290</v>
      </c>
      <c r="R997" t="s">
        <v>2935</v>
      </c>
      <c r="S997" t="str">
        <f>"00013638"</f>
        <v>00013638</v>
      </c>
      <c r="T997" t="s">
        <v>41</v>
      </c>
      <c r="U997">
        <v>1476.44</v>
      </c>
      <c r="V997">
        <v>1426.44</v>
      </c>
      <c r="W997">
        <v>1426.44</v>
      </c>
      <c r="X997">
        <v>0</v>
      </c>
      <c r="Y997">
        <v>0</v>
      </c>
      <c r="Z997">
        <v>-515</v>
      </c>
      <c r="AA997">
        <v>4336</v>
      </c>
      <c r="AD997" t="s">
        <v>2811</v>
      </c>
      <c r="AE997">
        <v>1338785959</v>
      </c>
      <c r="AF997" t="s">
        <v>2811</v>
      </c>
      <c r="AG997">
        <v>47484995000177</v>
      </c>
      <c r="AH997" t="s">
        <v>44</v>
      </c>
    </row>
    <row r="998" spans="1:34" x14ac:dyDescent="0.3">
      <c r="A998">
        <v>101</v>
      </c>
      <c r="B998" t="s">
        <v>34</v>
      </c>
      <c r="C998">
        <v>2</v>
      </c>
      <c r="D998" s="1" t="s">
        <v>2936</v>
      </c>
      <c r="E998" s="1" t="s">
        <v>36</v>
      </c>
      <c r="G998">
        <v>465330</v>
      </c>
      <c r="H998" t="s">
        <v>2937</v>
      </c>
      <c r="I998" t="s">
        <v>2938</v>
      </c>
      <c r="J998">
        <v>12</v>
      </c>
      <c r="K998">
        <v>465330</v>
      </c>
      <c r="L998">
        <v>50001</v>
      </c>
      <c r="M998" t="s">
        <v>39</v>
      </c>
      <c r="N998">
        <v>111</v>
      </c>
      <c r="O998" s="2">
        <v>46235</v>
      </c>
      <c r="P998" s="2">
        <v>46265</v>
      </c>
      <c r="R998" t="s">
        <v>2939</v>
      </c>
      <c r="S998" t="str">
        <f>"25666160000051747"</f>
        <v>25666160000051747</v>
      </c>
      <c r="T998" t="s">
        <v>41</v>
      </c>
      <c r="U998">
        <v>848.45</v>
      </c>
      <c r="V998">
        <v>831.78</v>
      </c>
      <c r="W998">
        <v>831.78</v>
      </c>
      <c r="X998">
        <v>0</v>
      </c>
      <c r="Y998">
        <v>0</v>
      </c>
      <c r="Z998">
        <v>-490</v>
      </c>
      <c r="AA998">
        <v>1985</v>
      </c>
      <c r="AD998" t="s">
        <v>2940</v>
      </c>
      <c r="AE998" t="s">
        <v>2941</v>
      </c>
      <c r="AF998" t="s">
        <v>2940</v>
      </c>
      <c r="AG998">
        <v>51400593000114</v>
      </c>
      <c r="AH998" t="s">
        <v>44</v>
      </c>
    </row>
    <row r="999" spans="1:34" x14ac:dyDescent="0.3">
      <c r="A999">
        <v>101</v>
      </c>
      <c r="B999" t="s">
        <v>34</v>
      </c>
      <c r="C999">
        <v>2</v>
      </c>
      <c r="D999" s="1" t="s">
        <v>2936</v>
      </c>
      <c r="E999" s="1" t="s">
        <v>122</v>
      </c>
      <c r="G999">
        <v>465330</v>
      </c>
      <c r="H999" t="s">
        <v>2937</v>
      </c>
      <c r="I999" t="s">
        <v>2938</v>
      </c>
      <c r="J999">
        <v>12</v>
      </c>
      <c r="K999">
        <v>465330</v>
      </c>
      <c r="L999">
        <v>50001</v>
      </c>
      <c r="M999" t="s">
        <v>39</v>
      </c>
      <c r="N999">
        <v>111</v>
      </c>
      <c r="O999" s="2">
        <v>46235</v>
      </c>
      <c r="P999" s="2">
        <v>46275</v>
      </c>
      <c r="R999" t="s">
        <v>2939</v>
      </c>
      <c r="S999" t="str">
        <f>"25666160000051748"</f>
        <v>25666160000051748</v>
      </c>
      <c r="T999" t="s">
        <v>41</v>
      </c>
      <c r="U999">
        <v>805.31</v>
      </c>
      <c r="V999">
        <v>788.64</v>
      </c>
      <c r="W999">
        <v>788.64</v>
      </c>
      <c r="X999">
        <v>0</v>
      </c>
      <c r="Y999">
        <v>0</v>
      </c>
      <c r="Z999">
        <v>-500</v>
      </c>
      <c r="AA999">
        <v>1985</v>
      </c>
      <c r="AD999" t="s">
        <v>2940</v>
      </c>
      <c r="AE999" t="s">
        <v>2941</v>
      </c>
      <c r="AF999" t="s">
        <v>2940</v>
      </c>
      <c r="AG999">
        <v>51400593000114</v>
      </c>
      <c r="AH999" t="s">
        <v>44</v>
      </c>
    </row>
    <row r="1000" spans="1:34" x14ac:dyDescent="0.3">
      <c r="A1000">
        <v>101</v>
      </c>
      <c r="B1000" t="s">
        <v>34</v>
      </c>
      <c r="C1000">
        <v>2</v>
      </c>
      <c r="D1000" s="1" t="s">
        <v>2936</v>
      </c>
      <c r="E1000" s="1" t="s">
        <v>116</v>
      </c>
      <c r="G1000">
        <v>465330</v>
      </c>
      <c r="H1000" t="s">
        <v>2937</v>
      </c>
      <c r="I1000" t="s">
        <v>2938</v>
      </c>
      <c r="J1000">
        <v>12</v>
      </c>
      <c r="K1000">
        <v>465330</v>
      </c>
      <c r="L1000">
        <v>50001</v>
      </c>
      <c r="M1000" t="s">
        <v>39</v>
      </c>
      <c r="N1000">
        <v>111</v>
      </c>
      <c r="O1000" s="2">
        <v>46235</v>
      </c>
      <c r="P1000" s="2">
        <v>46285</v>
      </c>
      <c r="R1000" t="s">
        <v>2939</v>
      </c>
      <c r="S1000" t="str">
        <f>"25666160000051749"</f>
        <v>25666160000051749</v>
      </c>
      <c r="T1000" t="s">
        <v>41</v>
      </c>
      <c r="U1000">
        <v>805.56</v>
      </c>
      <c r="V1000">
        <v>788.89</v>
      </c>
      <c r="W1000">
        <v>788.89</v>
      </c>
      <c r="X1000">
        <v>0</v>
      </c>
      <c r="Y1000">
        <v>0</v>
      </c>
      <c r="Z1000">
        <v>-510</v>
      </c>
      <c r="AA1000">
        <v>1985</v>
      </c>
      <c r="AD1000" t="s">
        <v>2940</v>
      </c>
      <c r="AE1000" t="s">
        <v>2941</v>
      </c>
      <c r="AF1000" t="s">
        <v>2940</v>
      </c>
      <c r="AG1000">
        <v>51400593000114</v>
      </c>
      <c r="AH1000" t="s">
        <v>44</v>
      </c>
    </row>
    <row r="1001" spans="1:34" x14ac:dyDescent="0.3">
      <c r="A1001">
        <v>101</v>
      </c>
      <c r="B1001" t="s">
        <v>34</v>
      </c>
      <c r="C1001">
        <v>2</v>
      </c>
      <c r="D1001" s="1" t="s">
        <v>2942</v>
      </c>
      <c r="E1001" s="1" t="s">
        <v>36</v>
      </c>
      <c r="G1001">
        <v>465332</v>
      </c>
      <c r="H1001" t="s">
        <v>2943</v>
      </c>
      <c r="I1001" t="s">
        <v>2944</v>
      </c>
      <c r="J1001">
        <v>12</v>
      </c>
      <c r="K1001">
        <v>465330</v>
      </c>
      <c r="L1001">
        <v>50001</v>
      </c>
      <c r="M1001" t="s">
        <v>39</v>
      </c>
      <c r="N1001">
        <v>111</v>
      </c>
      <c r="O1001" s="2">
        <v>46255</v>
      </c>
      <c r="P1001" s="2">
        <v>46285</v>
      </c>
      <c r="R1001" t="s">
        <v>2945</v>
      </c>
      <c r="S1001" t="str">
        <f>"25666160000052015"</f>
        <v>25666160000052015</v>
      </c>
      <c r="T1001" t="s">
        <v>41</v>
      </c>
      <c r="U1001">
        <v>1617.87</v>
      </c>
      <c r="V1001">
        <v>1617.87</v>
      </c>
      <c r="W1001">
        <v>1617.87</v>
      </c>
      <c r="X1001">
        <v>0</v>
      </c>
      <c r="Y1001">
        <v>0</v>
      </c>
      <c r="Z1001">
        <v>-510</v>
      </c>
      <c r="AA1001">
        <v>4931</v>
      </c>
      <c r="AD1001" t="s">
        <v>2940</v>
      </c>
      <c r="AE1001" t="s">
        <v>2946</v>
      </c>
      <c r="AF1001" t="s">
        <v>2940</v>
      </c>
      <c r="AG1001">
        <v>51415118000111</v>
      </c>
      <c r="AH1001" t="s">
        <v>44</v>
      </c>
    </row>
    <row r="1002" spans="1:34" x14ac:dyDescent="0.3">
      <c r="A1002">
        <v>101</v>
      </c>
      <c r="B1002" t="s">
        <v>34</v>
      </c>
      <c r="C1002">
        <v>2</v>
      </c>
      <c r="D1002" s="1" t="s">
        <v>2942</v>
      </c>
      <c r="E1002" s="1" t="s">
        <v>122</v>
      </c>
      <c r="G1002">
        <v>465332</v>
      </c>
      <c r="H1002" t="s">
        <v>2943</v>
      </c>
      <c r="I1002" t="s">
        <v>2944</v>
      </c>
      <c r="J1002">
        <v>12</v>
      </c>
      <c r="K1002">
        <v>465330</v>
      </c>
      <c r="L1002">
        <v>50001</v>
      </c>
      <c r="M1002" t="s">
        <v>39</v>
      </c>
      <c r="N1002">
        <v>111</v>
      </c>
      <c r="O1002" s="2">
        <v>46255</v>
      </c>
      <c r="P1002" s="2">
        <v>46295</v>
      </c>
      <c r="R1002" t="s">
        <v>2945</v>
      </c>
      <c r="S1002" t="str">
        <f>"25666160000052016"</f>
        <v>25666160000052016</v>
      </c>
      <c r="T1002" t="s">
        <v>41</v>
      </c>
      <c r="U1002">
        <v>1599.02</v>
      </c>
      <c r="V1002">
        <v>1599.02</v>
      </c>
      <c r="W1002">
        <v>1599.02</v>
      </c>
      <c r="X1002">
        <v>0</v>
      </c>
      <c r="Y1002">
        <v>0</v>
      </c>
      <c r="Z1002">
        <v>-520</v>
      </c>
      <c r="AA1002">
        <v>4931</v>
      </c>
      <c r="AD1002" t="s">
        <v>2940</v>
      </c>
      <c r="AE1002" t="s">
        <v>2946</v>
      </c>
      <c r="AF1002" t="s">
        <v>2940</v>
      </c>
      <c r="AG1002">
        <v>51415118000111</v>
      </c>
      <c r="AH1002" t="s">
        <v>44</v>
      </c>
    </row>
    <row r="1003" spans="1:34" x14ac:dyDescent="0.3">
      <c r="A1003">
        <v>101</v>
      </c>
      <c r="B1003" t="s">
        <v>34</v>
      </c>
      <c r="C1003">
        <v>2</v>
      </c>
      <c r="D1003" s="1" t="s">
        <v>2942</v>
      </c>
      <c r="E1003" s="1" t="s">
        <v>116</v>
      </c>
      <c r="G1003">
        <v>465332</v>
      </c>
      <c r="H1003" t="s">
        <v>2943</v>
      </c>
      <c r="I1003" t="s">
        <v>2944</v>
      </c>
      <c r="J1003">
        <v>12</v>
      </c>
      <c r="K1003">
        <v>465330</v>
      </c>
      <c r="L1003">
        <v>50001</v>
      </c>
      <c r="M1003" t="s">
        <v>39</v>
      </c>
      <c r="N1003">
        <v>111</v>
      </c>
      <c r="O1003" s="2">
        <v>46255</v>
      </c>
      <c r="P1003" s="2">
        <v>46305</v>
      </c>
      <c r="R1003" t="s">
        <v>2945</v>
      </c>
      <c r="S1003" t="str">
        <f>"25666160000052017"</f>
        <v>25666160000052017</v>
      </c>
      <c r="T1003" t="s">
        <v>41</v>
      </c>
      <c r="U1003">
        <v>1599.51</v>
      </c>
      <c r="V1003">
        <v>1599.51</v>
      </c>
      <c r="W1003">
        <v>1599.51</v>
      </c>
      <c r="X1003">
        <v>0</v>
      </c>
      <c r="Y1003">
        <v>0</v>
      </c>
      <c r="Z1003">
        <v>-530</v>
      </c>
      <c r="AA1003">
        <v>4931</v>
      </c>
      <c r="AD1003" t="s">
        <v>2940</v>
      </c>
      <c r="AE1003" t="s">
        <v>2946</v>
      </c>
      <c r="AF1003" t="s">
        <v>2940</v>
      </c>
      <c r="AG1003">
        <v>51415118000111</v>
      </c>
      <c r="AH1003" t="s">
        <v>44</v>
      </c>
    </row>
    <row r="1004" spans="1:34" x14ac:dyDescent="0.3">
      <c r="A1004">
        <v>101</v>
      </c>
      <c r="B1004" t="s">
        <v>34</v>
      </c>
      <c r="C1004">
        <v>2</v>
      </c>
      <c r="D1004" s="1" t="s">
        <v>2947</v>
      </c>
      <c r="E1004" s="1" t="s">
        <v>116</v>
      </c>
      <c r="G1004">
        <v>465333</v>
      </c>
      <c r="H1004" t="s">
        <v>2948</v>
      </c>
      <c r="I1004" t="s">
        <v>2949</v>
      </c>
      <c r="J1004">
        <v>12</v>
      </c>
      <c r="K1004">
        <v>465330</v>
      </c>
      <c r="L1004">
        <v>50001</v>
      </c>
      <c r="M1004" t="s">
        <v>39</v>
      </c>
      <c r="N1004">
        <v>111</v>
      </c>
      <c r="O1004" s="2">
        <v>46235</v>
      </c>
      <c r="P1004" s="2">
        <v>46285</v>
      </c>
      <c r="R1004" t="s">
        <v>2950</v>
      </c>
      <c r="S1004" t="str">
        <f>"25666160000051752"</f>
        <v>25666160000051752</v>
      </c>
      <c r="T1004" t="s">
        <v>41</v>
      </c>
      <c r="U1004">
        <v>2032.99</v>
      </c>
      <c r="V1004">
        <v>1866.32</v>
      </c>
      <c r="W1004">
        <v>1866.32</v>
      </c>
      <c r="X1004">
        <v>0</v>
      </c>
      <c r="Y1004">
        <v>0</v>
      </c>
      <c r="Z1004">
        <v>-510</v>
      </c>
      <c r="AA1004">
        <v>2000</v>
      </c>
      <c r="AD1004" t="s">
        <v>2951</v>
      </c>
      <c r="AE1004" t="s">
        <v>2946</v>
      </c>
      <c r="AF1004" t="s">
        <v>2951</v>
      </c>
      <c r="AG1004">
        <v>51490494000170</v>
      </c>
      <c r="AH1004" t="s">
        <v>44</v>
      </c>
    </row>
    <row r="1005" spans="1:34" x14ac:dyDescent="0.3">
      <c r="A1005">
        <v>101</v>
      </c>
      <c r="B1005" t="s">
        <v>34</v>
      </c>
      <c r="C1005">
        <v>2</v>
      </c>
      <c r="D1005" s="1" t="s">
        <v>2947</v>
      </c>
      <c r="E1005" s="1" t="s">
        <v>122</v>
      </c>
      <c r="G1005">
        <v>465333</v>
      </c>
      <c r="H1005" t="s">
        <v>2948</v>
      </c>
      <c r="I1005" t="s">
        <v>2949</v>
      </c>
      <c r="J1005">
        <v>12</v>
      </c>
      <c r="K1005">
        <v>465330</v>
      </c>
      <c r="L1005">
        <v>50001</v>
      </c>
      <c r="M1005" t="s">
        <v>39</v>
      </c>
      <c r="N1005">
        <v>111</v>
      </c>
      <c r="O1005" s="2">
        <v>46235</v>
      </c>
      <c r="P1005" s="2">
        <v>46275</v>
      </c>
      <c r="R1005" t="s">
        <v>2950</v>
      </c>
      <c r="S1005" t="str">
        <f>"25666160000051751"</f>
        <v>25666160000051751</v>
      </c>
      <c r="T1005" t="s">
        <v>41</v>
      </c>
      <c r="U1005">
        <v>2032.37</v>
      </c>
      <c r="V1005">
        <v>1865.7</v>
      </c>
      <c r="W1005">
        <v>1865.7</v>
      </c>
      <c r="X1005">
        <v>0</v>
      </c>
      <c r="Y1005">
        <v>0</v>
      </c>
      <c r="Z1005">
        <v>-500</v>
      </c>
      <c r="AA1005">
        <v>2000</v>
      </c>
      <c r="AD1005" t="s">
        <v>2951</v>
      </c>
      <c r="AE1005" t="s">
        <v>2946</v>
      </c>
      <c r="AF1005" t="s">
        <v>2951</v>
      </c>
      <c r="AG1005">
        <v>51490494000170</v>
      </c>
      <c r="AH1005" t="s">
        <v>44</v>
      </c>
    </row>
    <row r="1006" spans="1:34" x14ac:dyDescent="0.3">
      <c r="A1006">
        <v>101</v>
      </c>
      <c r="B1006" t="s">
        <v>34</v>
      </c>
      <c r="C1006">
        <v>2</v>
      </c>
      <c r="D1006" s="1" t="s">
        <v>2947</v>
      </c>
      <c r="E1006" s="1" t="s">
        <v>36</v>
      </c>
      <c r="G1006">
        <v>465333</v>
      </c>
      <c r="H1006" t="s">
        <v>2948</v>
      </c>
      <c r="I1006" t="s">
        <v>2949</v>
      </c>
      <c r="J1006">
        <v>12</v>
      </c>
      <c r="K1006">
        <v>465330</v>
      </c>
      <c r="L1006">
        <v>50001</v>
      </c>
      <c r="M1006" t="s">
        <v>39</v>
      </c>
      <c r="N1006">
        <v>111</v>
      </c>
      <c r="O1006" s="2">
        <v>46235</v>
      </c>
      <c r="P1006" s="2">
        <v>46265</v>
      </c>
      <c r="R1006" t="s">
        <v>2950</v>
      </c>
      <c r="S1006" t="str">
        <f>"25666160000051750"</f>
        <v>25666160000051750</v>
      </c>
      <c r="T1006" t="s">
        <v>41</v>
      </c>
      <c r="U1006">
        <v>2185.38</v>
      </c>
      <c r="V1006">
        <v>2018.71</v>
      </c>
      <c r="W1006">
        <v>2018.71</v>
      </c>
      <c r="X1006">
        <v>0</v>
      </c>
      <c r="Y1006">
        <v>0</v>
      </c>
      <c r="Z1006">
        <v>-490</v>
      </c>
      <c r="AA1006">
        <v>2000</v>
      </c>
      <c r="AD1006" t="s">
        <v>2951</v>
      </c>
      <c r="AE1006" t="s">
        <v>2946</v>
      </c>
      <c r="AF1006" t="s">
        <v>2951</v>
      </c>
      <c r="AG1006">
        <v>51490494000170</v>
      </c>
      <c r="AH1006" t="s">
        <v>44</v>
      </c>
    </row>
    <row r="1007" spans="1:34" x14ac:dyDescent="0.3">
      <c r="A1007">
        <v>101</v>
      </c>
      <c r="B1007" t="s">
        <v>34</v>
      </c>
      <c r="C1007">
        <v>2</v>
      </c>
      <c r="D1007" s="1" t="s">
        <v>2952</v>
      </c>
      <c r="E1007" s="1" t="s">
        <v>36</v>
      </c>
      <c r="G1007">
        <v>465334</v>
      </c>
      <c r="H1007" t="s">
        <v>2953</v>
      </c>
      <c r="I1007" t="s">
        <v>2954</v>
      </c>
      <c r="J1007">
        <v>12</v>
      </c>
      <c r="K1007">
        <v>465330</v>
      </c>
      <c r="L1007">
        <v>50001</v>
      </c>
      <c r="M1007" t="s">
        <v>39</v>
      </c>
      <c r="N1007">
        <v>111</v>
      </c>
      <c r="O1007" s="2">
        <v>46255</v>
      </c>
      <c r="P1007" s="2">
        <v>46285</v>
      </c>
      <c r="R1007" t="s">
        <v>2955</v>
      </c>
      <c r="S1007" t="str">
        <f>"25666160000052018"</f>
        <v>25666160000052018</v>
      </c>
      <c r="T1007" t="s">
        <v>41</v>
      </c>
      <c r="U1007">
        <v>1336.8</v>
      </c>
      <c r="V1007">
        <v>1336.8</v>
      </c>
      <c r="W1007">
        <v>1336.8</v>
      </c>
      <c r="X1007">
        <v>0</v>
      </c>
      <c r="Y1007">
        <v>0</v>
      </c>
      <c r="Z1007">
        <v>-510</v>
      </c>
      <c r="AA1007">
        <v>4932</v>
      </c>
      <c r="AD1007" t="s">
        <v>2940</v>
      </c>
      <c r="AE1007" t="s">
        <v>2946</v>
      </c>
      <c r="AF1007" t="s">
        <v>2940</v>
      </c>
      <c r="AG1007">
        <v>51444428000164</v>
      </c>
      <c r="AH1007" t="s">
        <v>44</v>
      </c>
    </row>
    <row r="1008" spans="1:34" x14ac:dyDescent="0.3">
      <c r="A1008">
        <v>101</v>
      </c>
      <c r="B1008" t="s">
        <v>34</v>
      </c>
      <c r="C1008">
        <v>2</v>
      </c>
      <c r="D1008" s="1" t="s">
        <v>2952</v>
      </c>
      <c r="E1008" s="1" t="s">
        <v>122</v>
      </c>
      <c r="G1008">
        <v>465334</v>
      </c>
      <c r="H1008" t="s">
        <v>2953</v>
      </c>
      <c r="I1008" t="s">
        <v>2954</v>
      </c>
      <c r="J1008">
        <v>12</v>
      </c>
      <c r="K1008">
        <v>465330</v>
      </c>
      <c r="L1008">
        <v>50001</v>
      </c>
      <c r="M1008" t="s">
        <v>39</v>
      </c>
      <c r="N1008">
        <v>111</v>
      </c>
      <c r="O1008" s="2">
        <v>46255</v>
      </c>
      <c r="P1008" s="2">
        <v>46295</v>
      </c>
      <c r="R1008" t="s">
        <v>2955</v>
      </c>
      <c r="S1008" t="str">
        <f>"25666160000052019"</f>
        <v>25666160000052019</v>
      </c>
      <c r="T1008" t="s">
        <v>41</v>
      </c>
      <c r="U1008">
        <v>1278.6199999999999</v>
      </c>
      <c r="V1008">
        <v>1278.6199999999999</v>
      </c>
      <c r="W1008">
        <v>1278.6199999999999</v>
      </c>
      <c r="X1008">
        <v>0</v>
      </c>
      <c r="Y1008">
        <v>0</v>
      </c>
      <c r="Z1008">
        <v>-520</v>
      </c>
      <c r="AA1008">
        <v>4932</v>
      </c>
      <c r="AD1008" t="s">
        <v>2940</v>
      </c>
      <c r="AE1008" t="s">
        <v>2946</v>
      </c>
      <c r="AF1008" t="s">
        <v>2940</v>
      </c>
      <c r="AG1008">
        <v>51444428000164</v>
      </c>
      <c r="AH1008" t="s">
        <v>44</v>
      </c>
    </row>
    <row r="1009" spans="1:34" x14ac:dyDescent="0.3">
      <c r="A1009">
        <v>101</v>
      </c>
      <c r="B1009" t="s">
        <v>34</v>
      </c>
      <c r="C1009">
        <v>2</v>
      </c>
      <c r="D1009" s="1" t="s">
        <v>2952</v>
      </c>
      <c r="E1009" s="1" t="s">
        <v>116</v>
      </c>
      <c r="G1009">
        <v>465334</v>
      </c>
      <c r="H1009" t="s">
        <v>2953</v>
      </c>
      <c r="I1009" t="s">
        <v>2954</v>
      </c>
      <c r="J1009">
        <v>12</v>
      </c>
      <c r="K1009">
        <v>465330</v>
      </c>
      <c r="L1009">
        <v>50001</v>
      </c>
      <c r="M1009" t="s">
        <v>39</v>
      </c>
      <c r="N1009">
        <v>111</v>
      </c>
      <c r="O1009" s="2">
        <v>46255</v>
      </c>
      <c r="P1009" s="2">
        <v>46305</v>
      </c>
      <c r="R1009" t="s">
        <v>2955</v>
      </c>
      <c r="S1009" t="str">
        <f>"25666160000052020"</f>
        <v>25666160000052020</v>
      </c>
      <c r="T1009" t="s">
        <v>41</v>
      </c>
      <c r="U1009">
        <v>1279</v>
      </c>
      <c r="V1009">
        <v>1279</v>
      </c>
      <c r="W1009">
        <v>1279</v>
      </c>
      <c r="X1009">
        <v>0</v>
      </c>
      <c r="Y1009">
        <v>0</v>
      </c>
      <c r="Z1009">
        <v>-530</v>
      </c>
      <c r="AA1009">
        <v>4932</v>
      </c>
      <c r="AD1009" t="s">
        <v>2940</v>
      </c>
      <c r="AE1009" t="s">
        <v>2946</v>
      </c>
      <c r="AF1009" t="s">
        <v>2940</v>
      </c>
      <c r="AG1009">
        <v>51444428000164</v>
      </c>
      <c r="AH1009" t="s">
        <v>44</v>
      </c>
    </row>
    <row r="1010" spans="1:34" x14ac:dyDescent="0.3">
      <c r="A1010">
        <v>101</v>
      </c>
      <c r="B1010" t="s">
        <v>34</v>
      </c>
      <c r="C1010">
        <v>2</v>
      </c>
      <c r="D1010" s="1" t="s">
        <v>2956</v>
      </c>
      <c r="E1010" s="1" t="s">
        <v>36</v>
      </c>
      <c r="G1010">
        <v>465336</v>
      </c>
      <c r="H1010" t="s">
        <v>2957</v>
      </c>
      <c r="I1010" t="s">
        <v>2958</v>
      </c>
      <c r="J1010">
        <v>12</v>
      </c>
      <c r="K1010">
        <v>465330</v>
      </c>
      <c r="L1010">
        <v>50001</v>
      </c>
      <c r="M1010" t="s">
        <v>39</v>
      </c>
      <c r="N1010">
        <v>111</v>
      </c>
      <c r="O1010" s="2">
        <v>46235</v>
      </c>
      <c r="P1010" s="2">
        <v>46265</v>
      </c>
      <c r="R1010" t="s">
        <v>2959</v>
      </c>
      <c r="S1010" t="str">
        <f>"25666160000051753"</f>
        <v>25666160000051753</v>
      </c>
      <c r="T1010" t="s">
        <v>41</v>
      </c>
      <c r="U1010">
        <v>2572.6999999999998</v>
      </c>
      <c r="V1010">
        <v>2406.0300000000002</v>
      </c>
      <c r="W1010">
        <v>2406.0300000000002</v>
      </c>
      <c r="X1010">
        <v>0</v>
      </c>
      <c r="Y1010">
        <v>0</v>
      </c>
      <c r="Z1010">
        <v>-490</v>
      </c>
      <c r="AA1010">
        <v>4007</v>
      </c>
      <c r="AD1010" t="s">
        <v>2951</v>
      </c>
      <c r="AE1010" t="s">
        <v>2946</v>
      </c>
      <c r="AF1010" t="s">
        <v>2951</v>
      </c>
      <c r="AG1010">
        <v>51515023000170</v>
      </c>
      <c r="AH1010" t="s">
        <v>44</v>
      </c>
    </row>
    <row r="1011" spans="1:34" x14ac:dyDescent="0.3">
      <c r="A1011">
        <v>101</v>
      </c>
      <c r="B1011" t="s">
        <v>34</v>
      </c>
      <c r="C1011">
        <v>2</v>
      </c>
      <c r="D1011" s="1" t="s">
        <v>2956</v>
      </c>
      <c r="E1011" s="1" t="s">
        <v>116</v>
      </c>
      <c r="G1011">
        <v>465336</v>
      </c>
      <c r="H1011" t="s">
        <v>2957</v>
      </c>
      <c r="I1011" t="s">
        <v>2958</v>
      </c>
      <c r="J1011">
        <v>12</v>
      </c>
      <c r="K1011">
        <v>465330</v>
      </c>
      <c r="L1011">
        <v>50001</v>
      </c>
      <c r="M1011" t="s">
        <v>39</v>
      </c>
      <c r="N1011">
        <v>111</v>
      </c>
      <c r="O1011" s="2">
        <v>46235</v>
      </c>
      <c r="P1011" s="2">
        <v>46285</v>
      </c>
      <c r="R1011" t="s">
        <v>2959</v>
      </c>
      <c r="S1011" t="str">
        <f>"25666160000051755"</f>
        <v>25666160000051755</v>
      </c>
      <c r="T1011" t="s">
        <v>41</v>
      </c>
      <c r="U1011">
        <v>2429.85</v>
      </c>
      <c r="V1011">
        <v>2263.1799999999998</v>
      </c>
      <c r="W1011">
        <v>2263.1799999999998</v>
      </c>
      <c r="X1011">
        <v>0</v>
      </c>
      <c r="Y1011">
        <v>0</v>
      </c>
      <c r="Z1011">
        <v>-510</v>
      </c>
      <c r="AA1011">
        <v>4007</v>
      </c>
      <c r="AD1011" t="s">
        <v>2951</v>
      </c>
      <c r="AE1011" t="s">
        <v>2946</v>
      </c>
      <c r="AF1011" t="s">
        <v>2951</v>
      </c>
      <c r="AG1011">
        <v>51515023000170</v>
      </c>
      <c r="AH1011" t="s">
        <v>44</v>
      </c>
    </row>
    <row r="1012" spans="1:34" x14ac:dyDescent="0.3">
      <c r="A1012">
        <v>101</v>
      </c>
      <c r="B1012" t="s">
        <v>34</v>
      </c>
      <c r="C1012">
        <v>2</v>
      </c>
      <c r="D1012" s="1" t="s">
        <v>2956</v>
      </c>
      <c r="E1012" s="1" t="s">
        <v>122</v>
      </c>
      <c r="G1012">
        <v>465336</v>
      </c>
      <c r="H1012" t="s">
        <v>2957</v>
      </c>
      <c r="I1012" t="s">
        <v>2958</v>
      </c>
      <c r="J1012">
        <v>12</v>
      </c>
      <c r="K1012">
        <v>465330</v>
      </c>
      <c r="L1012">
        <v>50001</v>
      </c>
      <c r="M1012" t="s">
        <v>39</v>
      </c>
      <c r="N1012">
        <v>111</v>
      </c>
      <c r="O1012" s="2">
        <v>46235</v>
      </c>
      <c r="P1012" s="2">
        <v>46275</v>
      </c>
      <c r="R1012" t="s">
        <v>2959</v>
      </c>
      <c r="S1012" t="str">
        <f>"25666160000051754"</f>
        <v>25666160000051754</v>
      </c>
      <c r="T1012" t="s">
        <v>41</v>
      </c>
      <c r="U1012">
        <v>2429.12</v>
      </c>
      <c r="V1012">
        <v>2262.4499999999998</v>
      </c>
      <c r="W1012">
        <v>2262.4499999999998</v>
      </c>
      <c r="X1012">
        <v>0</v>
      </c>
      <c r="Y1012">
        <v>0</v>
      </c>
      <c r="Z1012">
        <v>-500</v>
      </c>
      <c r="AA1012">
        <v>4007</v>
      </c>
      <c r="AD1012" t="s">
        <v>2951</v>
      </c>
      <c r="AE1012" t="s">
        <v>2946</v>
      </c>
      <c r="AF1012" t="s">
        <v>2951</v>
      </c>
      <c r="AG1012">
        <v>51515023000170</v>
      </c>
      <c r="AH1012" t="s">
        <v>44</v>
      </c>
    </row>
    <row r="1013" spans="1:34" x14ac:dyDescent="0.3">
      <c r="A1013">
        <v>101</v>
      </c>
      <c r="B1013" t="s">
        <v>34</v>
      </c>
      <c r="C1013">
        <v>2</v>
      </c>
      <c r="D1013" s="1" t="s">
        <v>2960</v>
      </c>
      <c r="E1013" s="1" t="s">
        <v>36</v>
      </c>
      <c r="G1013">
        <v>465337</v>
      </c>
      <c r="H1013" t="s">
        <v>2961</v>
      </c>
      <c r="I1013" t="s">
        <v>2962</v>
      </c>
      <c r="J1013">
        <v>12</v>
      </c>
      <c r="K1013">
        <v>465330</v>
      </c>
      <c r="L1013">
        <v>50001</v>
      </c>
      <c r="M1013" t="s">
        <v>39</v>
      </c>
      <c r="N1013">
        <v>111</v>
      </c>
      <c r="O1013" s="2">
        <v>46235</v>
      </c>
      <c r="P1013" s="2">
        <v>46265</v>
      </c>
      <c r="R1013" t="s">
        <v>2963</v>
      </c>
      <c r="S1013" t="str">
        <f>"25666160000051756"</f>
        <v>25666160000051756</v>
      </c>
      <c r="T1013" t="s">
        <v>41</v>
      </c>
      <c r="U1013">
        <v>2116.7399999999998</v>
      </c>
      <c r="V1013">
        <v>1950.07</v>
      </c>
      <c r="W1013">
        <v>1950.07</v>
      </c>
      <c r="X1013">
        <v>0</v>
      </c>
      <c r="Y1013">
        <v>0</v>
      </c>
      <c r="Z1013">
        <v>-490</v>
      </c>
      <c r="AA1013">
        <v>4010</v>
      </c>
      <c r="AD1013" t="s">
        <v>2940</v>
      </c>
      <c r="AE1013" t="s">
        <v>2946</v>
      </c>
      <c r="AF1013" t="s">
        <v>2940</v>
      </c>
      <c r="AG1013">
        <v>51400545000126</v>
      </c>
      <c r="AH1013" t="s">
        <v>44</v>
      </c>
    </row>
    <row r="1014" spans="1:34" x14ac:dyDescent="0.3">
      <c r="A1014">
        <v>101</v>
      </c>
      <c r="B1014" t="s">
        <v>34</v>
      </c>
      <c r="C1014">
        <v>2</v>
      </c>
      <c r="D1014" s="1" t="s">
        <v>2960</v>
      </c>
      <c r="E1014" s="1" t="s">
        <v>122</v>
      </c>
      <c r="G1014">
        <v>465337</v>
      </c>
      <c r="H1014" t="s">
        <v>2961</v>
      </c>
      <c r="I1014" t="s">
        <v>2962</v>
      </c>
      <c r="J1014">
        <v>12</v>
      </c>
      <c r="K1014">
        <v>465330</v>
      </c>
      <c r="L1014">
        <v>50001</v>
      </c>
      <c r="M1014" t="s">
        <v>39</v>
      </c>
      <c r="N1014">
        <v>111</v>
      </c>
      <c r="O1014" s="2">
        <v>46235</v>
      </c>
      <c r="P1014" s="2">
        <v>46275</v>
      </c>
      <c r="R1014" t="s">
        <v>2963</v>
      </c>
      <c r="S1014" t="str">
        <f>"25666160000051757"</f>
        <v>25666160000051757</v>
      </c>
      <c r="T1014" t="s">
        <v>41</v>
      </c>
      <c r="U1014">
        <v>1997.28</v>
      </c>
      <c r="V1014">
        <v>1830.61</v>
      </c>
      <c r="W1014">
        <v>1830.61</v>
      </c>
      <c r="X1014">
        <v>0</v>
      </c>
      <c r="Y1014">
        <v>0</v>
      </c>
      <c r="Z1014">
        <v>-500</v>
      </c>
      <c r="AA1014">
        <v>4010</v>
      </c>
      <c r="AD1014" t="s">
        <v>2940</v>
      </c>
      <c r="AE1014" t="s">
        <v>2946</v>
      </c>
      <c r="AF1014" t="s">
        <v>2940</v>
      </c>
      <c r="AG1014">
        <v>51400545000126</v>
      </c>
      <c r="AH1014" t="s">
        <v>44</v>
      </c>
    </row>
    <row r="1015" spans="1:34" x14ac:dyDescent="0.3">
      <c r="A1015">
        <v>101</v>
      </c>
      <c r="B1015" t="s">
        <v>34</v>
      </c>
      <c r="C1015">
        <v>2</v>
      </c>
      <c r="D1015" s="1" t="s">
        <v>2960</v>
      </c>
      <c r="E1015" s="1" t="s">
        <v>116</v>
      </c>
      <c r="G1015">
        <v>465337</v>
      </c>
      <c r="H1015" t="s">
        <v>2961</v>
      </c>
      <c r="I1015" t="s">
        <v>2962</v>
      </c>
      <c r="J1015">
        <v>12</v>
      </c>
      <c r="K1015">
        <v>465330</v>
      </c>
      <c r="L1015">
        <v>50001</v>
      </c>
      <c r="M1015" t="s">
        <v>39</v>
      </c>
      <c r="N1015">
        <v>111</v>
      </c>
      <c r="O1015" s="2">
        <v>46235</v>
      </c>
      <c r="P1015" s="2">
        <v>46285</v>
      </c>
      <c r="R1015" t="s">
        <v>2963</v>
      </c>
      <c r="S1015" t="str">
        <f>"25666160000051758"</f>
        <v>25666160000051758</v>
      </c>
      <c r="T1015" t="s">
        <v>41</v>
      </c>
      <c r="U1015">
        <v>1997.89</v>
      </c>
      <c r="V1015">
        <v>1831.22</v>
      </c>
      <c r="W1015">
        <v>1831.22</v>
      </c>
      <c r="X1015">
        <v>0</v>
      </c>
      <c r="Y1015">
        <v>0</v>
      </c>
      <c r="Z1015">
        <v>-510</v>
      </c>
      <c r="AA1015">
        <v>4010</v>
      </c>
      <c r="AD1015" t="s">
        <v>2940</v>
      </c>
      <c r="AE1015" t="s">
        <v>2946</v>
      </c>
      <c r="AF1015" t="s">
        <v>2940</v>
      </c>
      <c r="AG1015">
        <v>51400545000126</v>
      </c>
      <c r="AH1015" t="s">
        <v>44</v>
      </c>
    </row>
    <row r="1016" spans="1:34" x14ac:dyDescent="0.3">
      <c r="A1016">
        <v>101</v>
      </c>
      <c r="B1016" t="s">
        <v>34</v>
      </c>
      <c r="C1016">
        <v>2</v>
      </c>
      <c r="D1016" s="1" t="s">
        <v>2964</v>
      </c>
      <c r="E1016" s="1" t="s">
        <v>116</v>
      </c>
      <c r="G1016">
        <v>465339</v>
      </c>
      <c r="H1016" t="s">
        <v>2965</v>
      </c>
      <c r="I1016" t="s">
        <v>2966</v>
      </c>
      <c r="J1016">
        <v>12</v>
      </c>
      <c r="K1016">
        <v>465330</v>
      </c>
      <c r="L1016">
        <v>50001</v>
      </c>
      <c r="M1016" t="s">
        <v>39</v>
      </c>
      <c r="N1016">
        <v>111</v>
      </c>
      <c r="O1016" s="2">
        <v>46255</v>
      </c>
      <c r="P1016" s="2">
        <v>46305</v>
      </c>
      <c r="R1016" t="s">
        <v>2967</v>
      </c>
      <c r="S1016" t="str">
        <f>"25666160000052023"</f>
        <v>25666160000052023</v>
      </c>
      <c r="T1016" t="s">
        <v>41</v>
      </c>
      <c r="U1016">
        <v>1447.5</v>
      </c>
      <c r="V1016">
        <v>1447.5</v>
      </c>
      <c r="W1016">
        <v>1447.5</v>
      </c>
      <c r="X1016">
        <v>0</v>
      </c>
      <c r="Y1016">
        <v>0</v>
      </c>
      <c r="Z1016">
        <v>-530</v>
      </c>
      <c r="AA1016">
        <v>4933</v>
      </c>
      <c r="AD1016" t="s">
        <v>2940</v>
      </c>
      <c r="AE1016" t="s">
        <v>2946</v>
      </c>
      <c r="AF1016" t="s">
        <v>2940</v>
      </c>
      <c r="AG1016">
        <v>52337252000104</v>
      </c>
      <c r="AH1016" t="s">
        <v>44</v>
      </c>
    </row>
    <row r="1017" spans="1:34" x14ac:dyDescent="0.3">
      <c r="A1017">
        <v>101</v>
      </c>
      <c r="B1017" t="s">
        <v>34</v>
      </c>
      <c r="C1017">
        <v>2</v>
      </c>
      <c r="D1017" s="1" t="s">
        <v>2964</v>
      </c>
      <c r="E1017" s="1" t="s">
        <v>122</v>
      </c>
      <c r="G1017">
        <v>465339</v>
      </c>
      <c r="H1017" t="s">
        <v>2965</v>
      </c>
      <c r="I1017" t="s">
        <v>2966</v>
      </c>
      <c r="J1017">
        <v>12</v>
      </c>
      <c r="K1017">
        <v>465330</v>
      </c>
      <c r="L1017">
        <v>50001</v>
      </c>
      <c r="M1017" t="s">
        <v>39</v>
      </c>
      <c r="N1017">
        <v>111</v>
      </c>
      <c r="O1017" s="2">
        <v>46255</v>
      </c>
      <c r="P1017" s="2">
        <v>46295</v>
      </c>
      <c r="R1017" t="s">
        <v>2967</v>
      </c>
      <c r="S1017" t="str">
        <f>"25666160000052022"</f>
        <v>25666160000052022</v>
      </c>
      <c r="T1017" t="s">
        <v>41</v>
      </c>
      <c r="U1017">
        <v>1447.08</v>
      </c>
      <c r="V1017">
        <v>1447.08</v>
      </c>
      <c r="W1017">
        <v>1447.08</v>
      </c>
      <c r="X1017">
        <v>0</v>
      </c>
      <c r="Y1017">
        <v>0</v>
      </c>
      <c r="Z1017">
        <v>-520</v>
      </c>
      <c r="AA1017">
        <v>4933</v>
      </c>
      <c r="AD1017" t="s">
        <v>2940</v>
      </c>
      <c r="AE1017" t="s">
        <v>2946</v>
      </c>
      <c r="AF1017" t="s">
        <v>2940</v>
      </c>
      <c r="AG1017">
        <v>52337252000104</v>
      </c>
      <c r="AH1017" t="s">
        <v>44</v>
      </c>
    </row>
    <row r="1018" spans="1:34" x14ac:dyDescent="0.3">
      <c r="A1018">
        <v>101</v>
      </c>
      <c r="B1018" t="s">
        <v>34</v>
      </c>
      <c r="C1018">
        <v>2</v>
      </c>
      <c r="D1018" s="1" t="s">
        <v>2964</v>
      </c>
      <c r="E1018" s="1" t="s">
        <v>36</v>
      </c>
      <c r="G1018">
        <v>465339</v>
      </c>
      <c r="H1018" t="s">
        <v>2965</v>
      </c>
      <c r="I1018" t="s">
        <v>2966</v>
      </c>
      <c r="J1018">
        <v>12</v>
      </c>
      <c r="K1018">
        <v>465330</v>
      </c>
      <c r="L1018">
        <v>50001</v>
      </c>
      <c r="M1018" t="s">
        <v>39</v>
      </c>
      <c r="N1018">
        <v>111</v>
      </c>
      <c r="O1018" s="2">
        <v>46255</v>
      </c>
      <c r="P1018" s="2">
        <v>46285</v>
      </c>
      <c r="R1018" t="s">
        <v>2967</v>
      </c>
      <c r="S1018" t="str">
        <f>"25666160000052021"</f>
        <v>25666160000052021</v>
      </c>
      <c r="T1018" t="s">
        <v>41</v>
      </c>
      <c r="U1018">
        <v>1519.14</v>
      </c>
      <c r="V1018">
        <v>1519.14</v>
      </c>
      <c r="W1018">
        <v>1519.14</v>
      </c>
      <c r="X1018">
        <v>0</v>
      </c>
      <c r="Y1018">
        <v>0</v>
      </c>
      <c r="Z1018">
        <v>-510</v>
      </c>
      <c r="AA1018">
        <v>4933</v>
      </c>
      <c r="AD1018" t="s">
        <v>2940</v>
      </c>
      <c r="AE1018" t="s">
        <v>2946</v>
      </c>
      <c r="AF1018" t="s">
        <v>2940</v>
      </c>
      <c r="AG1018">
        <v>52337252000104</v>
      </c>
      <c r="AH1018" t="s">
        <v>44</v>
      </c>
    </row>
    <row r="1019" spans="1:34" x14ac:dyDescent="0.3">
      <c r="A1019">
        <v>101</v>
      </c>
      <c r="B1019" t="s">
        <v>34</v>
      </c>
      <c r="C1019">
        <v>2</v>
      </c>
      <c r="D1019" s="1" t="s">
        <v>2968</v>
      </c>
      <c r="E1019" s="1" t="s">
        <v>122</v>
      </c>
      <c r="G1019">
        <v>469189</v>
      </c>
      <c r="H1019" t="s">
        <v>2969</v>
      </c>
      <c r="I1019" t="s">
        <v>2970</v>
      </c>
      <c r="J1019">
        <v>12</v>
      </c>
      <c r="K1019">
        <v>9175</v>
      </c>
      <c r="L1019">
        <v>50237</v>
      </c>
      <c r="M1019" t="s">
        <v>39</v>
      </c>
      <c r="N1019">
        <v>111</v>
      </c>
      <c r="O1019" s="2">
        <v>46240</v>
      </c>
      <c r="P1019" s="2">
        <v>46280</v>
      </c>
      <c r="R1019" t="s">
        <v>2971</v>
      </c>
      <c r="S1019" t="str">
        <f>"330000052062"</f>
        <v>330000052062</v>
      </c>
      <c r="T1019" t="s">
        <v>41</v>
      </c>
      <c r="U1019">
        <v>1779.77</v>
      </c>
      <c r="V1019">
        <v>1729.77</v>
      </c>
      <c r="W1019">
        <v>1729.77</v>
      </c>
      <c r="X1019">
        <v>0</v>
      </c>
      <c r="Y1019">
        <v>0</v>
      </c>
      <c r="Z1019">
        <v>-505</v>
      </c>
      <c r="AA1019">
        <v>4337</v>
      </c>
      <c r="AD1019" t="s">
        <v>2811</v>
      </c>
      <c r="AE1019">
        <v>1338785962</v>
      </c>
      <c r="AF1019" t="s">
        <v>2811</v>
      </c>
      <c r="AG1019">
        <v>47484995000258</v>
      </c>
      <c r="AH1019" t="s">
        <v>44</v>
      </c>
    </row>
    <row r="1020" spans="1:34" x14ac:dyDescent="0.3">
      <c r="A1020">
        <v>101</v>
      </c>
      <c r="B1020" t="s">
        <v>34</v>
      </c>
      <c r="C1020">
        <v>2</v>
      </c>
      <c r="D1020" s="1" t="s">
        <v>2968</v>
      </c>
      <c r="E1020" s="1" t="s">
        <v>116</v>
      </c>
      <c r="G1020">
        <v>469189</v>
      </c>
      <c r="H1020" t="s">
        <v>2969</v>
      </c>
      <c r="I1020" t="s">
        <v>2970</v>
      </c>
      <c r="J1020">
        <v>12</v>
      </c>
      <c r="K1020">
        <v>9175</v>
      </c>
      <c r="L1020">
        <v>50237</v>
      </c>
      <c r="M1020" t="s">
        <v>39</v>
      </c>
      <c r="N1020">
        <v>111</v>
      </c>
      <c r="O1020" s="2">
        <v>46240</v>
      </c>
      <c r="P1020" s="2">
        <v>46290</v>
      </c>
      <c r="R1020" t="s">
        <v>2971</v>
      </c>
      <c r="S1020" t="str">
        <f>"330000052070"</f>
        <v>330000052070</v>
      </c>
      <c r="T1020" t="s">
        <v>41</v>
      </c>
      <c r="U1020">
        <v>1780.29</v>
      </c>
      <c r="V1020">
        <v>1730.29</v>
      </c>
      <c r="W1020">
        <v>1730.29</v>
      </c>
      <c r="X1020">
        <v>0</v>
      </c>
      <c r="Y1020">
        <v>0</v>
      </c>
      <c r="Z1020">
        <v>-515</v>
      </c>
      <c r="AA1020">
        <v>4337</v>
      </c>
      <c r="AD1020" t="s">
        <v>2811</v>
      </c>
      <c r="AE1020">
        <v>1338785962</v>
      </c>
      <c r="AF1020" t="s">
        <v>2811</v>
      </c>
      <c r="AG1020">
        <v>47484995000258</v>
      </c>
      <c r="AH1020" t="s">
        <v>44</v>
      </c>
    </row>
    <row r="1021" spans="1:34" x14ac:dyDescent="0.3">
      <c r="A1021">
        <v>101</v>
      </c>
      <c r="B1021" t="s">
        <v>34</v>
      </c>
      <c r="C1021">
        <v>2</v>
      </c>
      <c r="D1021" s="1" t="s">
        <v>2968</v>
      </c>
      <c r="E1021" s="1" t="s">
        <v>36</v>
      </c>
      <c r="G1021">
        <v>469189</v>
      </c>
      <c r="H1021" t="s">
        <v>2969</v>
      </c>
      <c r="I1021" t="s">
        <v>2970</v>
      </c>
      <c r="J1021">
        <v>12</v>
      </c>
      <c r="K1021">
        <v>9175</v>
      </c>
      <c r="L1021">
        <v>50237</v>
      </c>
      <c r="M1021" t="s">
        <v>39</v>
      </c>
      <c r="N1021">
        <v>111</v>
      </c>
      <c r="O1021" s="2">
        <v>46240</v>
      </c>
      <c r="P1021" s="2">
        <v>46270</v>
      </c>
      <c r="R1021" t="s">
        <v>2971</v>
      </c>
      <c r="S1021" t="str">
        <f>"330000052054"</f>
        <v>330000052054</v>
      </c>
      <c r="T1021" t="s">
        <v>41</v>
      </c>
      <c r="U1021">
        <v>1834.61</v>
      </c>
      <c r="V1021">
        <v>1784.61</v>
      </c>
      <c r="W1021">
        <v>1784.61</v>
      </c>
      <c r="X1021">
        <v>0</v>
      </c>
      <c r="Y1021">
        <v>0</v>
      </c>
      <c r="Z1021">
        <v>-495</v>
      </c>
      <c r="AA1021">
        <v>4337</v>
      </c>
      <c r="AD1021" t="s">
        <v>2811</v>
      </c>
      <c r="AE1021">
        <v>1338785962</v>
      </c>
      <c r="AF1021" t="s">
        <v>2811</v>
      </c>
      <c r="AG1021">
        <v>47484995000258</v>
      </c>
      <c r="AH1021" t="s">
        <v>44</v>
      </c>
    </row>
    <row r="1022" spans="1:34" x14ac:dyDescent="0.3">
      <c r="A1022">
        <v>101</v>
      </c>
      <c r="B1022" t="s">
        <v>34</v>
      </c>
      <c r="C1022">
        <v>2</v>
      </c>
      <c r="D1022" s="1" t="s">
        <v>2972</v>
      </c>
      <c r="E1022" s="1" t="s">
        <v>122</v>
      </c>
      <c r="G1022">
        <v>471120</v>
      </c>
      <c r="H1022" t="s">
        <v>2973</v>
      </c>
      <c r="I1022" t="s">
        <v>2974</v>
      </c>
      <c r="J1022">
        <v>12</v>
      </c>
      <c r="K1022">
        <v>465330</v>
      </c>
      <c r="L1022">
        <v>50001</v>
      </c>
      <c r="M1022" t="s">
        <v>39</v>
      </c>
      <c r="N1022">
        <v>111</v>
      </c>
      <c r="O1022" s="2">
        <v>46235</v>
      </c>
      <c r="P1022" s="2">
        <v>46275</v>
      </c>
      <c r="R1022" t="s">
        <v>2975</v>
      </c>
      <c r="S1022" t="str">
        <f>"25666160000051764"</f>
        <v>25666160000051764</v>
      </c>
      <c r="T1022" t="s">
        <v>41</v>
      </c>
      <c r="U1022">
        <v>3540.73</v>
      </c>
      <c r="V1022">
        <v>3207.4</v>
      </c>
      <c r="W1022">
        <v>3207.4</v>
      </c>
      <c r="X1022">
        <v>0</v>
      </c>
      <c r="Y1022">
        <v>0</v>
      </c>
      <c r="Z1022">
        <v>-500</v>
      </c>
      <c r="AA1022">
        <v>1995</v>
      </c>
      <c r="AD1022" t="s">
        <v>2824</v>
      </c>
      <c r="AE1022" t="s">
        <v>2976</v>
      </c>
      <c r="AF1022" t="s">
        <v>2824</v>
      </c>
      <c r="AG1022">
        <v>66284957000115</v>
      </c>
      <c r="AH1022" t="s">
        <v>44</v>
      </c>
    </row>
    <row r="1023" spans="1:34" x14ac:dyDescent="0.3">
      <c r="A1023">
        <v>101</v>
      </c>
      <c r="B1023" t="s">
        <v>34</v>
      </c>
      <c r="C1023">
        <v>2</v>
      </c>
      <c r="D1023" s="1" t="s">
        <v>2972</v>
      </c>
      <c r="E1023" s="1" t="s">
        <v>36</v>
      </c>
      <c r="G1023">
        <v>471120</v>
      </c>
      <c r="H1023" t="s">
        <v>2973</v>
      </c>
      <c r="I1023" t="s">
        <v>2974</v>
      </c>
      <c r="J1023">
        <v>12</v>
      </c>
      <c r="K1023">
        <v>465330</v>
      </c>
      <c r="L1023">
        <v>50001</v>
      </c>
      <c r="M1023" t="s">
        <v>39</v>
      </c>
      <c r="N1023">
        <v>111</v>
      </c>
      <c r="O1023" s="2">
        <v>46235</v>
      </c>
      <c r="P1023" s="2">
        <v>46265</v>
      </c>
      <c r="R1023" t="s">
        <v>2975</v>
      </c>
      <c r="S1023" t="str">
        <f>"25666160000051763"</f>
        <v>25666160000051763</v>
      </c>
      <c r="T1023" t="s">
        <v>41</v>
      </c>
      <c r="U1023">
        <v>3795.76</v>
      </c>
      <c r="V1023">
        <v>3462.43</v>
      </c>
      <c r="W1023">
        <v>3462.43</v>
      </c>
      <c r="X1023">
        <v>0</v>
      </c>
      <c r="Y1023">
        <v>0</v>
      </c>
      <c r="Z1023">
        <v>-490</v>
      </c>
      <c r="AA1023">
        <v>1995</v>
      </c>
      <c r="AD1023" t="s">
        <v>2824</v>
      </c>
      <c r="AE1023" t="s">
        <v>2976</v>
      </c>
      <c r="AF1023" t="s">
        <v>2824</v>
      </c>
      <c r="AG1023">
        <v>66284957000115</v>
      </c>
      <c r="AH1023" t="s">
        <v>44</v>
      </c>
    </row>
    <row r="1024" spans="1:34" x14ac:dyDescent="0.3">
      <c r="A1024">
        <v>101</v>
      </c>
      <c r="B1024" t="s">
        <v>34</v>
      </c>
      <c r="C1024">
        <v>2</v>
      </c>
      <c r="D1024" s="1" t="s">
        <v>2972</v>
      </c>
      <c r="E1024" s="1" t="s">
        <v>116</v>
      </c>
      <c r="G1024">
        <v>471120</v>
      </c>
      <c r="H1024" t="s">
        <v>2973</v>
      </c>
      <c r="I1024" t="s">
        <v>2974</v>
      </c>
      <c r="J1024">
        <v>12</v>
      </c>
      <c r="K1024">
        <v>465330</v>
      </c>
      <c r="L1024">
        <v>50001</v>
      </c>
      <c r="M1024" t="s">
        <v>39</v>
      </c>
      <c r="N1024">
        <v>111</v>
      </c>
      <c r="O1024" s="2">
        <v>46235</v>
      </c>
      <c r="P1024" s="2">
        <v>46285</v>
      </c>
      <c r="R1024" t="s">
        <v>2975</v>
      </c>
      <c r="S1024" t="str">
        <f>"25666160000051765"</f>
        <v>25666160000051765</v>
      </c>
      <c r="T1024" t="s">
        <v>41</v>
      </c>
      <c r="U1024">
        <v>3541.78</v>
      </c>
      <c r="V1024">
        <v>3208.45</v>
      </c>
      <c r="W1024">
        <v>3208.45</v>
      </c>
      <c r="X1024">
        <v>0</v>
      </c>
      <c r="Y1024">
        <v>0</v>
      </c>
      <c r="Z1024">
        <v>-510</v>
      </c>
      <c r="AA1024">
        <v>1995</v>
      </c>
      <c r="AD1024" t="s">
        <v>2824</v>
      </c>
      <c r="AE1024" t="s">
        <v>2976</v>
      </c>
      <c r="AF1024" t="s">
        <v>2824</v>
      </c>
      <c r="AG1024">
        <v>66284957000115</v>
      </c>
      <c r="AH1024" t="s">
        <v>44</v>
      </c>
    </row>
    <row r="1025" spans="1:34" x14ac:dyDescent="0.3">
      <c r="A1025">
        <v>101</v>
      </c>
      <c r="B1025" t="s">
        <v>34</v>
      </c>
      <c r="C1025">
        <v>2</v>
      </c>
      <c r="D1025" s="1" t="s">
        <v>2977</v>
      </c>
      <c r="E1025" s="1" t="s">
        <v>122</v>
      </c>
      <c r="G1025">
        <v>999001003</v>
      </c>
      <c r="H1025" t="s">
        <v>2978</v>
      </c>
      <c r="I1025" t="s">
        <v>2979</v>
      </c>
      <c r="J1025">
        <v>12</v>
      </c>
      <c r="K1025">
        <v>999001003</v>
      </c>
      <c r="L1025">
        <v>50033</v>
      </c>
      <c r="M1025" t="s">
        <v>39</v>
      </c>
      <c r="N1025">
        <v>111</v>
      </c>
      <c r="O1025" s="2">
        <v>46227</v>
      </c>
      <c r="P1025" s="2">
        <v>46269</v>
      </c>
      <c r="R1025" t="s">
        <v>2980</v>
      </c>
      <c r="S1025" t="str">
        <f>"0000050410911"</f>
        <v>0000050410911</v>
      </c>
      <c r="T1025" t="s">
        <v>41</v>
      </c>
      <c r="U1025">
        <v>2603.69</v>
      </c>
      <c r="V1025">
        <v>2603.69</v>
      </c>
      <c r="W1025">
        <v>2603.69</v>
      </c>
      <c r="X1025">
        <v>0</v>
      </c>
      <c r="Y1025">
        <v>0</v>
      </c>
      <c r="Z1025">
        <v>-494</v>
      </c>
      <c r="AA1025">
        <v>1728</v>
      </c>
      <c r="AD1025" t="s">
        <v>2824</v>
      </c>
      <c r="AE1025" t="s">
        <v>2981</v>
      </c>
      <c r="AF1025" t="s">
        <v>2824</v>
      </c>
      <c r="AG1025" s="1" t="s">
        <v>2982</v>
      </c>
      <c r="AH1025" t="s">
        <v>44</v>
      </c>
    </row>
    <row r="1026" spans="1:34" x14ac:dyDescent="0.3">
      <c r="A1026">
        <v>101</v>
      </c>
      <c r="B1026" t="s">
        <v>34</v>
      </c>
      <c r="C1026">
        <v>2</v>
      </c>
      <c r="D1026" s="1" t="s">
        <v>2983</v>
      </c>
      <c r="E1026" s="1" t="s">
        <v>122</v>
      </c>
      <c r="G1026">
        <v>999001221</v>
      </c>
      <c r="H1026" t="s">
        <v>2984</v>
      </c>
      <c r="I1026" t="s">
        <v>2985</v>
      </c>
      <c r="J1026">
        <v>12</v>
      </c>
      <c r="K1026">
        <v>999001298</v>
      </c>
      <c r="L1026">
        <v>50341</v>
      </c>
      <c r="M1026" t="s">
        <v>146</v>
      </c>
      <c r="N1026">
        <v>111</v>
      </c>
      <c r="O1026" s="2">
        <v>46235</v>
      </c>
      <c r="P1026" s="2">
        <v>46270</v>
      </c>
      <c r="R1026" t="s">
        <v>2986</v>
      </c>
      <c r="S1026" t="str">
        <f>"00013537"</f>
        <v>00013537</v>
      </c>
      <c r="T1026" t="s">
        <v>41</v>
      </c>
      <c r="U1026">
        <v>3204.89</v>
      </c>
      <c r="V1026">
        <v>3044.65</v>
      </c>
      <c r="W1026">
        <v>3044.65</v>
      </c>
      <c r="X1026">
        <v>0</v>
      </c>
      <c r="Y1026">
        <v>0</v>
      </c>
      <c r="Z1026">
        <v>-495</v>
      </c>
      <c r="AA1026">
        <v>1857</v>
      </c>
      <c r="AD1026" t="s">
        <v>2842</v>
      </c>
      <c r="AE1026" t="s">
        <v>2987</v>
      </c>
      <c r="AF1026" t="s">
        <v>2842</v>
      </c>
      <c r="AG1026" s="1" t="s">
        <v>2988</v>
      </c>
      <c r="AH1026" t="s">
        <v>44</v>
      </c>
    </row>
    <row r="1027" spans="1:34" x14ac:dyDescent="0.3">
      <c r="A1027">
        <v>101</v>
      </c>
      <c r="B1027" t="s">
        <v>34</v>
      </c>
      <c r="C1027">
        <v>2</v>
      </c>
      <c r="D1027" s="1" t="s">
        <v>2983</v>
      </c>
      <c r="E1027" s="1" t="s">
        <v>116</v>
      </c>
      <c r="G1027">
        <v>999001221</v>
      </c>
      <c r="H1027" t="s">
        <v>2984</v>
      </c>
      <c r="I1027" t="s">
        <v>2985</v>
      </c>
      <c r="J1027">
        <v>12</v>
      </c>
      <c r="K1027">
        <v>999001298</v>
      </c>
      <c r="L1027">
        <v>50341</v>
      </c>
      <c r="M1027" t="s">
        <v>146</v>
      </c>
      <c r="N1027">
        <v>111</v>
      </c>
      <c r="O1027" s="2">
        <v>46235</v>
      </c>
      <c r="P1027" s="2">
        <v>46277</v>
      </c>
      <c r="R1027" t="s">
        <v>2986</v>
      </c>
      <c r="S1027" t="str">
        <f>"00013538"</f>
        <v>00013538</v>
      </c>
      <c r="T1027" t="s">
        <v>41</v>
      </c>
      <c r="U1027">
        <v>3205.86</v>
      </c>
      <c r="V1027">
        <v>3045.57</v>
      </c>
      <c r="W1027">
        <v>3045.57</v>
      </c>
      <c r="X1027">
        <v>0</v>
      </c>
      <c r="Y1027">
        <v>0</v>
      </c>
      <c r="Z1027">
        <v>-502</v>
      </c>
      <c r="AA1027">
        <v>1857</v>
      </c>
      <c r="AD1027" t="s">
        <v>2842</v>
      </c>
      <c r="AE1027" t="s">
        <v>2987</v>
      </c>
      <c r="AF1027" t="s">
        <v>2842</v>
      </c>
      <c r="AG1027" s="1" t="s">
        <v>2988</v>
      </c>
      <c r="AH1027" t="s">
        <v>44</v>
      </c>
    </row>
    <row r="1028" spans="1:34" x14ac:dyDescent="0.3">
      <c r="A1028">
        <v>101</v>
      </c>
      <c r="B1028" t="s">
        <v>34</v>
      </c>
      <c r="C1028">
        <v>2</v>
      </c>
      <c r="D1028" s="1" t="s">
        <v>2983</v>
      </c>
      <c r="E1028" s="1" t="s">
        <v>36</v>
      </c>
      <c r="G1028">
        <v>999001221</v>
      </c>
      <c r="H1028" t="s">
        <v>2984</v>
      </c>
      <c r="I1028" t="s">
        <v>2985</v>
      </c>
      <c r="J1028">
        <v>12</v>
      </c>
      <c r="K1028">
        <v>999001298</v>
      </c>
      <c r="L1028">
        <v>50341</v>
      </c>
      <c r="M1028" t="s">
        <v>146</v>
      </c>
      <c r="N1028">
        <v>111</v>
      </c>
      <c r="O1028" s="2">
        <v>46235</v>
      </c>
      <c r="P1028" s="2">
        <v>46263</v>
      </c>
      <c r="R1028" t="s">
        <v>2986</v>
      </c>
      <c r="S1028" t="str">
        <f>"00013536"</f>
        <v>00013536</v>
      </c>
      <c r="T1028" t="s">
        <v>41</v>
      </c>
      <c r="U1028">
        <v>3291.8</v>
      </c>
      <c r="V1028">
        <v>3127.21</v>
      </c>
      <c r="W1028">
        <v>3127.21</v>
      </c>
      <c r="X1028">
        <v>0</v>
      </c>
      <c r="Y1028">
        <v>0</v>
      </c>
      <c r="Z1028">
        <v>-488</v>
      </c>
      <c r="AA1028">
        <v>1857</v>
      </c>
      <c r="AD1028" t="s">
        <v>2842</v>
      </c>
      <c r="AE1028" t="s">
        <v>2987</v>
      </c>
      <c r="AF1028" t="s">
        <v>2842</v>
      </c>
      <c r="AG1028" s="1" t="s">
        <v>2988</v>
      </c>
      <c r="AH1028" t="s">
        <v>44</v>
      </c>
    </row>
    <row r="1029" spans="1:34" x14ac:dyDescent="0.3">
      <c r="A1029">
        <v>101</v>
      </c>
      <c r="B1029" t="s">
        <v>34</v>
      </c>
      <c r="C1029">
        <v>2</v>
      </c>
      <c r="D1029" s="1" t="s">
        <v>2989</v>
      </c>
      <c r="E1029" s="1" t="s">
        <v>36</v>
      </c>
      <c r="G1029">
        <v>999001296</v>
      </c>
      <c r="H1029" t="s">
        <v>2990</v>
      </c>
      <c r="I1029" t="s">
        <v>2991</v>
      </c>
      <c r="J1029">
        <v>12</v>
      </c>
      <c r="K1029">
        <v>999001298</v>
      </c>
      <c r="L1029">
        <v>50341</v>
      </c>
      <c r="M1029" t="s">
        <v>146</v>
      </c>
      <c r="N1029">
        <v>111</v>
      </c>
      <c r="O1029" s="2">
        <v>46235</v>
      </c>
      <c r="P1029" s="2">
        <v>46263</v>
      </c>
      <c r="R1029" t="s">
        <v>2992</v>
      </c>
      <c r="S1029" t="str">
        <f>"00013539"</f>
        <v>00013539</v>
      </c>
      <c r="T1029" t="s">
        <v>41</v>
      </c>
      <c r="U1029">
        <v>937.9</v>
      </c>
      <c r="V1029">
        <v>891.01</v>
      </c>
      <c r="W1029">
        <v>891.01</v>
      </c>
      <c r="X1029">
        <v>0</v>
      </c>
      <c r="Y1029">
        <v>0</v>
      </c>
      <c r="Z1029">
        <v>-488</v>
      </c>
      <c r="AA1029">
        <v>1859</v>
      </c>
      <c r="AD1029" t="s">
        <v>2842</v>
      </c>
      <c r="AE1029" t="s">
        <v>2993</v>
      </c>
      <c r="AF1029" t="s">
        <v>2842</v>
      </c>
      <c r="AG1029" s="1" t="s">
        <v>2994</v>
      </c>
      <c r="AH1029" t="s">
        <v>44</v>
      </c>
    </row>
    <row r="1030" spans="1:34" x14ac:dyDescent="0.3">
      <c r="A1030">
        <v>101</v>
      </c>
      <c r="B1030" t="s">
        <v>34</v>
      </c>
      <c r="C1030">
        <v>2</v>
      </c>
      <c r="D1030" s="1" t="s">
        <v>2989</v>
      </c>
      <c r="E1030" s="1" t="s">
        <v>122</v>
      </c>
      <c r="G1030">
        <v>999001296</v>
      </c>
      <c r="H1030" t="s">
        <v>2990</v>
      </c>
      <c r="I1030" t="s">
        <v>2991</v>
      </c>
      <c r="J1030">
        <v>12</v>
      </c>
      <c r="K1030">
        <v>999001298</v>
      </c>
      <c r="L1030">
        <v>50341</v>
      </c>
      <c r="M1030" t="s">
        <v>146</v>
      </c>
      <c r="N1030">
        <v>111</v>
      </c>
      <c r="O1030" s="2">
        <v>46235</v>
      </c>
      <c r="P1030" s="2">
        <v>46270</v>
      </c>
      <c r="R1030" t="s">
        <v>2992</v>
      </c>
      <c r="S1030" t="str">
        <f>"00013540"</f>
        <v>00013540</v>
      </c>
      <c r="T1030" t="s">
        <v>41</v>
      </c>
      <c r="U1030">
        <v>897.92</v>
      </c>
      <c r="V1030">
        <v>853.02</v>
      </c>
      <c r="W1030">
        <v>853.02</v>
      </c>
      <c r="X1030">
        <v>0</v>
      </c>
      <c r="Y1030">
        <v>0</v>
      </c>
      <c r="Z1030">
        <v>-495</v>
      </c>
      <c r="AA1030">
        <v>1859</v>
      </c>
      <c r="AD1030" t="s">
        <v>2842</v>
      </c>
      <c r="AE1030" t="s">
        <v>2993</v>
      </c>
      <c r="AF1030" t="s">
        <v>2842</v>
      </c>
      <c r="AG1030" s="1" t="s">
        <v>2994</v>
      </c>
      <c r="AH1030" t="s">
        <v>44</v>
      </c>
    </row>
    <row r="1031" spans="1:34" x14ac:dyDescent="0.3">
      <c r="A1031">
        <v>101</v>
      </c>
      <c r="B1031" t="s">
        <v>34</v>
      </c>
      <c r="C1031">
        <v>2</v>
      </c>
      <c r="D1031" s="1" t="s">
        <v>2989</v>
      </c>
      <c r="E1031" s="1" t="s">
        <v>116</v>
      </c>
      <c r="G1031">
        <v>999001296</v>
      </c>
      <c r="H1031" t="s">
        <v>2990</v>
      </c>
      <c r="I1031" t="s">
        <v>2991</v>
      </c>
      <c r="J1031">
        <v>12</v>
      </c>
      <c r="K1031">
        <v>999001298</v>
      </c>
      <c r="L1031">
        <v>50341</v>
      </c>
      <c r="M1031" t="s">
        <v>146</v>
      </c>
      <c r="N1031">
        <v>111</v>
      </c>
      <c r="O1031" s="2">
        <v>46235</v>
      </c>
      <c r="P1031" s="2">
        <v>46277</v>
      </c>
      <c r="R1031" t="s">
        <v>2992</v>
      </c>
      <c r="S1031" t="str">
        <f>"00013541"</f>
        <v>00013541</v>
      </c>
      <c r="T1031" t="s">
        <v>41</v>
      </c>
      <c r="U1031">
        <v>898.2</v>
      </c>
      <c r="V1031">
        <v>853.29</v>
      </c>
      <c r="W1031">
        <v>853.29</v>
      </c>
      <c r="X1031">
        <v>0</v>
      </c>
      <c r="Y1031">
        <v>0</v>
      </c>
      <c r="Z1031">
        <v>-502</v>
      </c>
      <c r="AA1031">
        <v>1859</v>
      </c>
      <c r="AD1031" t="s">
        <v>2842</v>
      </c>
      <c r="AE1031" t="s">
        <v>2993</v>
      </c>
      <c r="AF1031" t="s">
        <v>2842</v>
      </c>
      <c r="AG1031" s="1" t="s">
        <v>2994</v>
      </c>
      <c r="AH1031" t="s">
        <v>44</v>
      </c>
    </row>
    <row r="1032" spans="1:34" x14ac:dyDescent="0.3">
      <c r="A1032">
        <v>101</v>
      </c>
      <c r="B1032" t="s">
        <v>34</v>
      </c>
      <c r="C1032">
        <v>2</v>
      </c>
      <c r="D1032" s="1" t="s">
        <v>2995</v>
      </c>
      <c r="E1032" s="1" t="s">
        <v>116</v>
      </c>
      <c r="G1032">
        <v>999001299</v>
      </c>
      <c r="H1032" t="s">
        <v>2996</v>
      </c>
      <c r="I1032" t="s">
        <v>2991</v>
      </c>
      <c r="J1032">
        <v>12</v>
      </c>
      <c r="K1032">
        <v>999001298</v>
      </c>
      <c r="L1032">
        <v>50341</v>
      </c>
      <c r="M1032" t="s">
        <v>146</v>
      </c>
      <c r="N1032">
        <v>111</v>
      </c>
      <c r="O1032" s="2">
        <v>46235</v>
      </c>
      <c r="P1032" s="2">
        <v>46277</v>
      </c>
      <c r="R1032" t="s">
        <v>2997</v>
      </c>
      <c r="S1032" t="str">
        <f>"00013544"</f>
        <v>00013544</v>
      </c>
      <c r="T1032" t="s">
        <v>41</v>
      </c>
      <c r="U1032">
        <v>1478.96</v>
      </c>
      <c r="V1032">
        <v>1405.01</v>
      </c>
      <c r="W1032">
        <v>1405.01</v>
      </c>
      <c r="X1032">
        <v>0</v>
      </c>
      <c r="Y1032">
        <v>0</v>
      </c>
      <c r="Z1032">
        <v>-502</v>
      </c>
      <c r="AA1032">
        <v>1861</v>
      </c>
      <c r="AD1032" t="s">
        <v>2998</v>
      </c>
      <c r="AE1032" t="s">
        <v>2999</v>
      </c>
      <c r="AF1032" t="s">
        <v>2998</v>
      </c>
      <c r="AG1032" s="1" t="s">
        <v>3000</v>
      </c>
      <c r="AH1032" t="s">
        <v>44</v>
      </c>
    </row>
    <row r="1033" spans="1:34" x14ac:dyDescent="0.3">
      <c r="A1033">
        <v>101</v>
      </c>
      <c r="B1033" t="s">
        <v>34</v>
      </c>
      <c r="C1033">
        <v>2</v>
      </c>
      <c r="D1033" s="1" t="s">
        <v>2995</v>
      </c>
      <c r="E1033" s="1" t="s">
        <v>36</v>
      </c>
      <c r="G1033">
        <v>999001299</v>
      </c>
      <c r="H1033" t="s">
        <v>2996</v>
      </c>
      <c r="I1033" t="s">
        <v>2991</v>
      </c>
      <c r="J1033">
        <v>12</v>
      </c>
      <c r="K1033">
        <v>999001298</v>
      </c>
      <c r="L1033">
        <v>50341</v>
      </c>
      <c r="M1033" t="s">
        <v>146</v>
      </c>
      <c r="N1033">
        <v>111</v>
      </c>
      <c r="O1033" s="2">
        <v>46235</v>
      </c>
      <c r="P1033" s="2">
        <v>46263</v>
      </c>
      <c r="R1033" t="s">
        <v>2997</v>
      </c>
      <c r="S1033" t="str">
        <f>"00013542"</f>
        <v>00013542</v>
      </c>
      <c r="T1033" t="s">
        <v>41</v>
      </c>
      <c r="U1033">
        <v>1498.16</v>
      </c>
      <c r="V1033">
        <v>1423.25</v>
      </c>
      <c r="W1033">
        <v>1423.25</v>
      </c>
      <c r="X1033">
        <v>0</v>
      </c>
      <c r="Y1033">
        <v>0</v>
      </c>
      <c r="Z1033">
        <v>-488</v>
      </c>
      <c r="AA1033">
        <v>1861</v>
      </c>
      <c r="AD1033" t="s">
        <v>2998</v>
      </c>
      <c r="AE1033" t="s">
        <v>2999</v>
      </c>
      <c r="AF1033" t="s">
        <v>2998</v>
      </c>
      <c r="AG1033" s="1" t="s">
        <v>3000</v>
      </c>
      <c r="AH1033" t="s">
        <v>44</v>
      </c>
    </row>
    <row r="1034" spans="1:34" x14ac:dyDescent="0.3">
      <c r="A1034">
        <v>101</v>
      </c>
      <c r="B1034" t="s">
        <v>34</v>
      </c>
      <c r="C1034">
        <v>2</v>
      </c>
      <c r="D1034" s="1" t="s">
        <v>2995</v>
      </c>
      <c r="E1034" s="1" t="s">
        <v>122</v>
      </c>
      <c r="G1034">
        <v>999001299</v>
      </c>
      <c r="H1034" t="s">
        <v>2996</v>
      </c>
      <c r="I1034" t="s">
        <v>2991</v>
      </c>
      <c r="J1034">
        <v>12</v>
      </c>
      <c r="K1034">
        <v>999001298</v>
      </c>
      <c r="L1034">
        <v>50341</v>
      </c>
      <c r="M1034" t="s">
        <v>146</v>
      </c>
      <c r="N1034">
        <v>111</v>
      </c>
      <c r="O1034" s="2">
        <v>46235</v>
      </c>
      <c r="P1034" s="2">
        <v>46270</v>
      </c>
      <c r="R1034" t="s">
        <v>2997</v>
      </c>
      <c r="S1034" t="str">
        <f>"00013543"</f>
        <v>00013543</v>
      </c>
      <c r="T1034" t="s">
        <v>41</v>
      </c>
      <c r="U1034">
        <v>1478.52</v>
      </c>
      <c r="V1034">
        <v>1404.59</v>
      </c>
      <c r="W1034">
        <v>1404.59</v>
      </c>
      <c r="X1034">
        <v>0</v>
      </c>
      <c r="Y1034">
        <v>0</v>
      </c>
      <c r="Z1034">
        <v>-495</v>
      </c>
      <c r="AA1034">
        <v>1861</v>
      </c>
      <c r="AD1034" t="s">
        <v>2998</v>
      </c>
      <c r="AE1034" t="s">
        <v>2999</v>
      </c>
      <c r="AF1034" t="s">
        <v>2998</v>
      </c>
      <c r="AG1034" s="1" t="s">
        <v>3000</v>
      </c>
      <c r="AH1034" t="s">
        <v>44</v>
      </c>
    </row>
    <row r="1035" spans="1:34" x14ac:dyDescent="0.3">
      <c r="A1035">
        <v>101</v>
      </c>
      <c r="B1035" t="s">
        <v>34</v>
      </c>
      <c r="C1035">
        <v>2</v>
      </c>
      <c r="D1035" s="1" t="s">
        <v>3001</v>
      </c>
      <c r="E1035" s="1" t="s">
        <v>116</v>
      </c>
      <c r="G1035">
        <v>999001342</v>
      </c>
      <c r="H1035" t="s">
        <v>3002</v>
      </c>
      <c r="I1035" t="s">
        <v>2991</v>
      </c>
      <c r="J1035">
        <v>12</v>
      </c>
      <c r="K1035">
        <v>999001298</v>
      </c>
      <c r="L1035">
        <v>50341</v>
      </c>
      <c r="M1035" t="s">
        <v>146</v>
      </c>
      <c r="N1035">
        <v>111</v>
      </c>
      <c r="O1035" s="2">
        <v>46235</v>
      </c>
      <c r="P1035" s="2">
        <v>46277</v>
      </c>
      <c r="R1035" t="s">
        <v>3003</v>
      </c>
      <c r="S1035" t="str">
        <f>"00013547"</f>
        <v>00013547</v>
      </c>
      <c r="T1035" t="s">
        <v>41</v>
      </c>
      <c r="U1035">
        <v>964.2</v>
      </c>
      <c r="V1035">
        <v>915.99</v>
      </c>
      <c r="W1035">
        <v>915.99</v>
      </c>
      <c r="X1035">
        <v>0</v>
      </c>
      <c r="Y1035">
        <v>0</v>
      </c>
      <c r="Z1035">
        <v>-502</v>
      </c>
      <c r="AA1035">
        <v>1852</v>
      </c>
      <c r="AD1035" t="s">
        <v>3004</v>
      </c>
      <c r="AE1035" t="s">
        <v>3005</v>
      </c>
      <c r="AF1035" t="s">
        <v>3004</v>
      </c>
      <c r="AG1035" s="1" t="s">
        <v>3006</v>
      </c>
      <c r="AH1035" t="s">
        <v>44</v>
      </c>
    </row>
    <row r="1036" spans="1:34" x14ac:dyDescent="0.3">
      <c r="A1036">
        <v>101</v>
      </c>
      <c r="B1036" t="s">
        <v>34</v>
      </c>
      <c r="C1036">
        <v>2</v>
      </c>
      <c r="D1036" s="1" t="s">
        <v>3001</v>
      </c>
      <c r="E1036" s="1" t="s">
        <v>122</v>
      </c>
      <c r="G1036">
        <v>999001342</v>
      </c>
      <c r="H1036" t="s">
        <v>3002</v>
      </c>
      <c r="I1036" t="s">
        <v>2991</v>
      </c>
      <c r="J1036">
        <v>12</v>
      </c>
      <c r="K1036">
        <v>999001298</v>
      </c>
      <c r="L1036">
        <v>50341</v>
      </c>
      <c r="M1036" t="s">
        <v>146</v>
      </c>
      <c r="N1036">
        <v>111</v>
      </c>
      <c r="O1036" s="2">
        <v>46235</v>
      </c>
      <c r="P1036" s="2">
        <v>46270</v>
      </c>
      <c r="R1036" t="s">
        <v>3003</v>
      </c>
      <c r="S1036" t="str">
        <f>"00013546"</f>
        <v>00013546</v>
      </c>
      <c r="T1036" t="s">
        <v>41</v>
      </c>
      <c r="U1036">
        <v>963.92</v>
      </c>
      <c r="V1036">
        <v>915.72</v>
      </c>
      <c r="W1036">
        <v>915.72</v>
      </c>
      <c r="X1036">
        <v>0</v>
      </c>
      <c r="Y1036">
        <v>0</v>
      </c>
      <c r="Z1036">
        <v>-495</v>
      </c>
      <c r="AA1036">
        <v>1852</v>
      </c>
      <c r="AD1036" t="s">
        <v>3004</v>
      </c>
      <c r="AE1036" t="s">
        <v>3005</v>
      </c>
      <c r="AF1036" t="s">
        <v>3004</v>
      </c>
      <c r="AG1036" s="1" t="s">
        <v>3006</v>
      </c>
      <c r="AH1036" t="s">
        <v>44</v>
      </c>
    </row>
    <row r="1037" spans="1:34" x14ac:dyDescent="0.3">
      <c r="A1037">
        <v>101</v>
      </c>
      <c r="B1037" t="s">
        <v>34</v>
      </c>
      <c r="C1037">
        <v>2</v>
      </c>
      <c r="D1037" s="1" t="s">
        <v>3001</v>
      </c>
      <c r="E1037" s="1" t="s">
        <v>36</v>
      </c>
      <c r="G1037">
        <v>999001342</v>
      </c>
      <c r="H1037" t="s">
        <v>3002</v>
      </c>
      <c r="I1037" t="s">
        <v>2991</v>
      </c>
      <c r="J1037">
        <v>12</v>
      </c>
      <c r="K1037">
        <v>999001298</v>
      </c>
      <c r="L1037">
        <v>50341</v>
      </c>
      <c r="M1037" t="s">
        <v>146</v>
      </c>
      <c r="N1037">
        <v>111</v>
      </c>
      <c r="O1037" s="2">
        <v>46235</v>
      </c>
      <c r="P1037" s="2">
        <v>46263</v>
      </c>
      <c r="R1037" t="s">
        <v>3003</v>
      </c>
      <c r="S1037" t="str">
        <f>"00013545"</f>
        <v>00013545</v>
      </c>
      <c r="T1037" t="s">
        <v>41</v>
      </c>
      <c r="U1037">
        <v>970.88</v>
      </c>
      <c r="V1037">
        <v>922.34</v>
      </c>
      <c r="W1037">
        <v>922.34</v>
      </c>
      <c r="X1037">
        <v>0</v>
      </c>
      <c r="Y1037">
        <v>0</v>
      </c>
      <c r="Z1037">
        <v>-488</v>
      </c>
      <c r="AA1037">
        <v>1852</v>
      </c>
      <c r="AD1037" t="s">
        <v>3004</v>
      </c>
      <c r="AE1037" t="s">
        <v>3005</v>
      </c>
      <c r="AF1037" t="s">
        <v>3004</v>
      </c>
      <c r="AG1037" s="1" t="s">
        <v>3006</v>
      </c>
      <c r="AH1037" t="s">
        <v>44</v>
      </c>
    </row>
    <row r="1038" spans="1:34" x14ac:dyDescent="0.3">
      <c r="A1038">
        <v>101</v>
      </c>
      <c r="B1038" t="s">
        <v>34</v>
      </c>
      <c r="C1038">
        <v>2</v>
      </c>
      <c r="D1038" s="1" t="s">
        <v>3007</v>
      </c>
      <c r="E1038" s="1" t="s">
        <v>116</v>
      </c>
      <c r="G1038">
        <v>999001354</v>
      </c>
      <c r="H1038" t="s">
        <v>3008</v>
      </c>
      <c r="I1038" t="s">
        <v>2991</v>
      </c>
      <c r="J1038">
        <v>12</v>
      </c>
      <c r="K1038">
        <v>999001298</v>
      </c>
      <c r="L1038">
        <v>50341</v>
      </c>
      <c r="M1038" t="s">
        <v>146</v>
      </c>
      <c r="N1038">
        <v>111</v>
      </c>
      <c r="O1038" s="2">
        <v>46235</v>
      </c>
      <c r="P1038" s="2">
        <v>46277</v>
      </c>
      <c r="R1038" t="s">
        <v>3009</v>
      </c>
      <c r="S1038" t="str">
        <f>"00013550"</f>
        <v>00013550</v>
      </c>
      <c r="T1038" t="s">
        <v>41</v>
      </c>
      <c r="U1038">
        <v>643.78</v>
      </c>
      <c r="V1038">
        <v>611.59</v>
      </c>
      <c r="W1038">
        <v>611.59</v>
      </c>
      <c r="X1038">
        <v>0</v>
      </c>
      <c r="Y1038">
        <v>0</v>
      </c>
      <c r="Z1038">
        <v>-502</v>
      </c>
      <c r="AA1038">
        <v>1863</v>
      </c>
      <c r="AD1038" t="s">
        <v>2842</v>
      </c>
      <c r="AE1038" t="s">
        <v>3010</v>
      </c>
      <c r="AF1038" t="s">
        <v>2842</v>
      </c>
      <c r="AG1038" s="1" t="s">
        <v>3011</v>
      </c>
      <c r="AH1038" t="s">
        <v>44</v>
      </c>
    </row>
    <row r="1039" spans="1:34" x14ac:dyDescent="0.3">
      <c r="A1039">
        <v>101</v>
      </c>
      <c r="B1039" t="s">
        <v>34</v>
      </c>
      <c r="C1039">
        <v>2</v>
      </c>
      <c r="D1039" s="1" t="s">
        <v>3007</v>
      </c>
      <c r="E1039" s="1" t="s">
        <v>36</v>
      </c>
      <c r="G1039">
        <v>999001354</v>
      </c>
      <c r="H1039" t="s">
        <v>3008</v>
      </c>
      <c r="I1039" t="s">
        <v>2991</v>
      </c>
      <c r="J1039">
        <v>12</v>
      </c>
      <c r="K1039">
        <v>999001298</v>
      </c>
      <c r="L1039">
        <v>50341</v>
      </c>
      <c r="M1039" t="s">
        <v>146</v>
      </c>
      <c r="N1039">
        <v>111</v>
      </c>
      <c r="O1039" s="2">
        <v>46235</v>
      </c>
      <c r="P1039" s="2">
        <v>46263</v>
      </c>
      <c r="R1039" t="s">
        <v>3009</v>
      </c>
      <c r="S1039" t="str">
        <f>"00013548"</f>
        <v>00013548</v>
      </c>
      <c r="T1039" t="s">
        <v>41</v>
      </c>
      <c r="U1039">
        <v>643.59</v>
      </c>
      <c r="V1039">
        <v>611.41</v>
      </c>
      <c r="W1039">
        <v>611.41</v>
      </c>
      <c r="X1039">
        <v>0</v>
      </c>
      <c r="Y1039">
        <v>0</v>
      </c>
      <c r="Z1039">
        <v>-488</v>
      </c>
      <c r="AA1039">
        <v>1863</v>
      </c>
      <c r="AD1039" t="s">
        <v>2842</v>
      </c>
      <c r="AE1039" t="s">
        <v>3010</v>
      </c>
      <c r="AF1039" t="s">
        <v>2842</v>
      </c>
      <c r="AG1039" s="1" t="s">
        <v>3011</v>
      </c>
      <c r="AH1039" t="s">
        <v>44</v>
      </c>
    </row>
    <row r="1040" spans="1:34" x14ac:dyDescent="0.3">
      <c r="A1040">
        <v>101</v>
      </c>
      <c r="B1040" t="s">
        <v>34</v>
      </c>
      <c r="C1040">
        <v>2</v>
      </c>
      <c r="D1040" s="1" t="s">
        <v>3007</v>
      </c>
      <c r="E1040" s="1" t="s">
        <v>122</v>
      </c>
      <c r="G1040">
        <v>999001354</v>
      </c>
      <c r="H1040" t="s">
        <v>3008</v>
      </c>
      <c r="I1040" t="s">
        <v>2991</v>
      </c>
      <c r="J1040">
        <v>12</v>
      </c>
      <c r="K1040">
        <v>999001298</v>
      </c>
      <c r="L1040">
        <v>50341</v>
      </c>
      <c r="M1040" t="s">
        <v>146</v>
      </c>
      <c r="N1040">
        <v>111</v>
      </c>
      <c r="O1040" s="2">
        <v>46235</v>
      </c>
      <c r="P1040" s="2">
        <v>46270</v>
      </c>
      <c r="R1040" t="s">
        <v>3009</v>
      </c>
      <c r="S1040" t="str">
        <f>"00013549"</f>
        <v>00013549</v>
      </c>
      <c r="T1040" t="s">
        <v>41</v>
      </c>
      <c r="U1040">
        <v>643.59</v>
      </c>
      <c r="V1040">
        <v>611.41</v>
      </c>
      <c r="W1040">
        <v>611.41</v>
      </c>
      <c r="X1040">
        <v>0</v>
      </c>
      <c r="Y1040">
        <v>0</v>
      </c>
      <c r="Z1040">
        <v>-495</v>
      </c>
      <c r="AA1040">
        <v>1863</v>
      </c>
      <c r="AD1040" t="s">
        <v>2842</v>
      </c>
      <c r="AE1040" t="s">
        <v>3010</v>
      </c>
      <c r="AF1040" t="s">
        <v>2842</v>
      </c>
      <c r="AG1040" s="1" t="s">
        <v>3011</v>
      </c>
      <c r="AH1040" t="s">
        <v>44</v>
      </c>
    </row>
    <row r="1041" spans="1:34" x14ac:dyDescent="0.3">
      <c r="A1041">
        <v>101</v>
      </c>
      <c r="B1041" t="s">
        <v>34</v>
      </c>
      <c r="C1041">
        <v>2</v>
      </c>
      <c r="D1041" s="1" t="s">
        <v>3012</v>
      </c>
      <c r="E1041" s="1" t="s">
        <v>36</v>
      </c>
      <c r="G1041">
        <v>999001425</v>
      </c>
      <c r="H1041" t="s">
        <v>3013</v>
      </c>
      <c r="I1041" t="s">
        <v>3014</v>
      </c>
      <c r="J1041">
        <v>12</v>
      </c>
      <c r="K1041">
        <v>999001425</v>
      </c>
      <c r="L1041">
        <v>50341</v>
      </c>
      <c r="M1041" t="s">
        <v>146</v>
      </c>
      <c r="N1041">
        <v>111</v>
      </c>
      <c r="O1041" s="2">
        <v>46223</v>
      </c>
      <c r="P1041" s="2">
        <v>46262</v>
      </c>
      <c r="R1041" t="s">
        <v>3015</v>
      </c>
      <c r="S1041" t="str">
        <f>"00013353"</f>
        <v>00013353</v>
      </c>
      <c r="T1041" t="s">
        <v>41</v>
      </c>
      <c r="U1041">
        <v>2287.9</v>
      </c>
      <c r="V1041">
        <v>2287.9</v>
      </c>
      <c r="W1041">
        <v>2287.9</v>
      </c>
      <c r="X1041">
        <v>0</v>
      </c>
      <c r="Y1041">
        <v>0</v>
      </c>
      <c r="Z1041">
        <v>-487</v>
      </c>
      <c r="AA1041">
        <v>1171</v>
      </c>
      <c r="AD1041" t="s">
        <v>2824</v>
      </c>
      <c r="AE1041" t="s">
        <v>3016</v>
      </c>
      <c r="AF1041" t="s">
        <v>2824</v>
      </c>
      <c r="AG1041" s="1" t="s">
        <v>3017</v>
      </c>
      <c r="AH1041" t="s">
        <v>44</v>
      </c>
    </row>
    <row r="1042" spans="1:34" x14ac:dyDescent="0.3">
      <c r="A1042">
        <v>101</v>
      </c>
      <c r="B1042" t="s">
        <v>34</v>
      </c>
      <c r="C1042">
        <v>2</v>
      </c>
      <c r="D1042" s="1" t="s">
        <v>3018</v>
      </c>
      <c r="E1042" s="1" t="s">
        <v>36</v>
      </c>
      <c r="G1042">
        <v>436360</v>
      </c>
      <c r="H1042" t="s">
        <v>3019</v>
      </c>
      <c r="I1042" t="s">
        <v>3020</v>
      </c>
      <c r="J1042">
        <v>18</v>
      </c>
      <c r="K1042">
        <v>999001944</v>
      </c>
      <c r="L1042">
        <v>50001</v>
      </c>
      <c r="M1042" t="s">
        <v>39</v>
      </c>
      <c r="N1042">
        <v>112</v>
      </c>
      <c r="O1042" s="2">
        <v>46235</v>
      </c>
      <c r="P1042" s="2">
        <v>46265</v>
      </c>
      <c r="R1042" t="s">
        <v>3021</v>
      </c>
      <c r="S1042" t="str">
        <f>"25666160000051730"</f>
        <v>25666160000051730</v>
      </c>
      <c r="T1042" t="s">
        <v>41</v>
      </c>
      <c r="U1042">
        <v>3299.37</v>
      </c>
      <c r="V1042">
        <v>3299.37</v>
      </c>
      <c r="W1042">
        <v>3299.37</v>
      </c>
      <c r="X1042">
        <v>0</v>
      </c>
      <c r="Y1042">
        <v>0</v>
      </c>
      <c r="Z1042">
        <v>-490</v>
      </c>
      <c r="AA1042">
        <v>4196</v>
      </c>
      <c r="AD1042" t="s">
        <v>3022</v>
      </c>
      <c r="AE1042" t="s">
        <v>3023</v>
      </c>
      <c r="AF1042" t="s">
        <v>3022</v>
      </c>
      <c r="AG1042">
        <v>63864771001380</v>
      </c>
      <c r="AH1042" t="s">
        <v>3024</v>
      </c>
    </row>
    <row r="1043" spans="1:34" x14ac:dyDescent="0.3">
      <c r="A1043">
        <v>101</v>
      </c>
      <c r="B1043" t="s">
        <v>34</v>
      </c>
      <c r="C1043">
        <v>2</v>
      </c>
      <c r="D1043" s="1" t="s">
        <v>3025</v>
      </c>
      <c r="E1043" s="1" t="s">
        <v>36</v>
      </c>
      <c r="G1043">
        <v>447656</v>
      </c>
      <c r="H1043" t="s">
        <v>3026</v>
      </c>
      <c r="I1043" t="s">
        <v>3027</v>
      </c>
      <c r="J1043">
        <v>12</v>
      </c>
      <c r="K1043">
        <v>447656</v>
      </c>
      <c r="L1043">
        <v>50001</v>
      </c>
      <c r="M1043" t="s">
        <v>39</v>
      </c>
      <c r="N1043">
        <v>112</v>
      </c>
      <c r="O1043" s="2">
        <v>46231</v>
      </c>
      <c r="P1043" s="2">
        <v>46321</v>
      </c>
      <c r="R1043" t="s">
        <v>3028</v>
      </c>
      <c r="S1043" t="str">
        <f>"25666160000051668"</f>
        <v>25666160000051668</v>
      </c>
      <c r="T1043" t="s">
        <v>41</v>
      </c>
      <c r="U1043">
        <v>105230.39999999999</v>
      </c>
      <c r="V1043">
        <v>105230.39999999999</v>
      </c>
      <c r="W1043">
        <v>105230.39999999999</v>
      </c>
      <c r="X1043">
        <v>0</v>
      </c>
      <c r="Y1043">
        <v>0</v>
      </c>
      <c r="Z1043">
        <v>-546</v>
      </c>
      <c r="AA1043">
        <v>1796</v>
      </c>
      <c r="AD1043" t="s">
        <v>3022</v>
      </c>
      <c r="AE1043" t="s">
        <v>3029</v>
      </c>
      <c r="AF1043" t="s">
        <v>3022</v>
      </c>
      <c r="AG1043" s="1" t="s">
        <v>3030</v>
      </c>
      <c r="AH1043" t="s">
        <v>3024</v>
      </c>
    </row>
    <row r="1044" spans="1:34" x14ac:dyDescent="0.3">
      <c r="A1044">
        <v>101</v>
      </c>
      <c r="B1044" t="s">
        <v>34</v>
      </c>
      <c r="C1044">
        <v>2</v>
      </c>
      <c r="D1044" s="1" t="s">
        <v>3031</v>
      </c>
      <c r="E1044" s="1" t="s">
        <v>36</v>
      </c>
      <c r="G1044">
        <v>999001944</v>
      </c>
      <c r="H1044" t="s">
        <v>3032</v>
      </c>
      <c r="I1044" t="s">
        <v>3020</v>
      </c>
      <c r="J1044">
        <v>18</v>
      </c>
      <c r="K1044">
        <v>999001944</v>
      </c>
      <c r="L1044">
        <v>50001</v>
      </c>
      <c r="M1044" t="s">
        <v>39</v>
      </c>
      <c r="N1044">
        <v>112</v>
      </c>
      <c r="O1044" s="2">
        <v>46235</v>
      </c>
      <c r="P1044" s="2">
        <v>46265</v>
      </c>
      <c r="R1044" t="s">
        <v>3033</v>
      </c>
      <c r="S1044" t="str">
        <f>"25666160000051776"</f>
        <v>25666160000051776</v>
      </c>
      <c r="T1044" t="s">
        <v>41</v>
      </c>
      <c r="U1044">
        <v>3299.49</v>
      </c>
      <c r="V1044">
        <v>3299.49</v>
      </c>
      <c r="W1044">
        <v>3299.49</v>
      </c>
      <c r="X1044">
        <v>0</v>
      </c>
      <c r="Y1044">
        <v>0</v>
      </c>
      <c r="Z1044">
        <v>-490</v>
      </c>
      <c r="AA1044">
        <v>4231</v>
      </c>
      <c r="AD1044" t="s">
        <v>3022</v>
      </c>
      <c r="AE1044" t="s">
        <v>3034</v>
      </c>
      <c r="AF1044" t="s">
        <v>3022</v>
      </c>
      <c r="AG1044">
        <v>63864771000732</v>
      </c>
      <c r="AH1044" t="s">
        <v>3024</v>
      </c>
    </row>
    <row r="1045" spans="1:34" x14ac:dyDescent="0.3">
      <c r="A1045">
        <v>101</v>
      </c>
      <c r="B1045" t="s">
        <v>34</v>
      </c>
      <c r="C1045">
        <v>2</v>
      </c>
      <c r="D1045" s="1" t="s">
        <v>3035</v>
      </c>
      <c r="E1045" s="1" t="s">
        <v>36</v>
      </c>
      <c r="G1045">
        <v>999001945</v>
      </c>
      <c r="H1045" t="s">
        <v>3036</v>
      </c>
      <c r="I1045" t="s">
        <v>3020</v>
      </c>
      <c r="J1045">
        <v>18</v>
      </c>
      <c r="K1045">
        <v>999001944</v>
      </c>
      <c r="L1045">
        <v>50001</v>
      </c>
      <c r="M1045" t="s">
        <v>39</v>
      </c>
      <c r="N1045">
        <v>112</v>
      </c>
      <c r="O1045" s="2">
        <v>46235</v>
      </c>
      <c r="P1045" s="2">
        <v>46265</v>
      </c>
      <c r="R1045" t="s">
        <v>3037</v>
      </c>
      <c r="S1045" t="str">
        <f>"25666160000051777"</f>
        <v>25666160000051777</v>
      </c>
      <c r="T1045" t="s">
        <v>41</v>
      </c>
      <c r="U1045">
        <v>3627.86</v>
      </c>
      <c r="V1045">
        <v>3627.86</v>
      </c>
      <c r="W1045">
        <v>3627.86</v>
      </c>
      <c r="X1045">
        <v>0</v>
      </c>
      <c r="Y1045">
        <v>0</v>
      </c>
      <c r="Z1045">
        <v>-490</v>
      </c>
      <c r="AA1045">
        <v>4214</v>
      </c>
      <c r="AD1045" t="s">
        <v>3022</v>
      </c>
      <c r="AE1045" t="s">
        <v>3038</v>
      </c>
      <c r="AF1045" t="s">
        <v>3022</v>
      </c>
      <c r="AG1045">
        <v>63864771000147</v>
      </c>
      <c r="AH1045" t="s">
        <v>3024</v>
      </c>
    </row>
    <row r="1046" spans="1:34" x14ac:dyDescent="0.3">
      <c r="A1046">
        <v>101</v>
      </c>
      <c r="B1046" t="s">
        <v>34</v>
      </c>
      <c r="C1046">
        <v>2</v>
      </c>
      <c r="D1046" s="1" t="s">
        <v>3039</v>
      </c>
      <c r="E1046" s="1" t="s">
        <v>36</v>
      </c>
      <c r="G1046">
        <v>999001946</v>
      </c>
      <c r="H1046" t="s">
        <v>3040</v>
      </c>
      <c r="I1046" t="s">
        <v>3020</v>
      </c>
      <c r="J1046">
        <v>18</v>
      </c>
      <c r="K1046">
        <v>999001944</v>
      </c>
      <c r="L1046">
        <v>50341</v>
      </c>
      <c r="M1046" t="s">
        <v>146</v>
      </c>
      <c r="N1046">
        <v>112</v>
      </c>
      <c r="O1046" s="2">
        <v>46235</v>
      </c>
      <c r="P1046" s="2">
        <v>46265</v>
      </c>
      <c r="R1046" t="s">
        <v>3041</v>
      </c>
      <c r="S1046" t="str">
        <f>"00013551"</f>
        <v>00013551</v>
      </c>
      <c r="T1046" t="s">
        <v>41</v>
      </c>
      <c r="U1046">
        <v>4103.17</v>
      </c>
      <c r="V1046">
        <v>4103.17</v>
      </c>
      <c r="W1046">
        <v>4103.17</v>
      </c>
      <c r="X1046">
        <v>0</v>
      </c>
      <c r="Y1046">
        <v>0</v>
      </c>
      <c r="Z1046">
        <v>-490</v>
      </c>
      <c r="AA1046">
        <v>4216</v>
      </c>
      <c r="AD1046" t="s">
        <v>3042</v>
      </c>
      <c r="AE1046" t="s">
        <v>3043</v>
      </c>
      <c r="AF1046" t="s">
        <v>3042</v>
      </c>
      <c r="AG1046">
        <v>63864771000570</v>
      </c>
      <c r="AH1046" t="s">
        <v>3024</v>
      </c>
    </row>
    <row r="1047" spans="1:34" x14ac:dyDescent="0.3">
      <c r="A1047">
        <v>104</v>
      </c>
      <c r="B1047" t="s">
        <v>34</v>
      </c>
      <c r="C1047">
        <v>4</v>
      </c>
      <c r="D1047" s="1" t="s">
        <v>3044</v>
      </c>
      <c r="E1047" s="1" t="s">
        <v>36</v>
      </c>
      <c r="G1047">
        <v>8208</v>
      </c>
      <c r="H1047" t="s">
        <v>3045</v>
      </c>
      <c r="I1047" t="s">
        <v>3046</v>
      </c>
      <c r="J1047">
        <v>39</v>
      </c>
      <c r="K1047">
        <v>8208</v>
      </c>
      <c r="L1047">
        <v>50341</v>
      </c>
      <c r="M1047" t="s">
        <v>146</v>
      </c>
      <c r="N1047">
        <v>118</v>
      </c>
      <c r="O1047" s="2">
        <v>46230</v>
      </c>
      <c r="P1047" s="2">
        <v>46307</v>
      </c>
      <c r="R1047" t="s">
        <v>3047</v>
      </c>
      <c r="S1047" t="str">
        <f>"00013357"</f>
        <v>00013357</v>
      </c>
      <c r="T1047" t="s">
        <v>41</v>
      </c>
      <c r="U1047">
        <v>273057.14</v>
      </c>
      <c r="V1047">
        <v>273057.14</v>
      </c>
      <c r="W1047">
        <v>273057.14</v>
      </c>
      <c r="X1047">
        <v>0</v>
      </c>
      <c r="Y1047">
        <v>0</v>
      </c>
      <c r="Z1047">
        <v>-532</v>
      </c>
      <c r="AA1047" t="s">
        <v>3048</v>
      </c>
      <c r="AD1047" t="s">
        <v>3049</v>
      </c>
      <c r="AE1047" t="s">
        <v>3050</v>
      </c>
      <c r="AF1047" t="s">
        <v>3049</v>
      </c>
      <c r="AG1047" s="1" t="s">
        <v>3051</v>
      </c>
      <c r="AH1047" t="s">
        <v>2472</v>
      </c>
    </row>
    <row r="1048" spans="1:34" x14ac:dyDescent="0.3">
      <c r="A1048">
        <v>104</v>
      </c>
      <c r="B1048" t="s">
        <v>34</v>
      </c>
      <c r="C1048">
        <v>4</v>
      </c>
      <c r="D1048" s="1" t="s">
        <v>3052</v>
      </c>
      <c r="E1048" s="1" t="s">
        <v>36</v>
      </c>
      <c r="G1048">
        <v>8208</v>
      </c>
      <c r="H1048" t="s">
        <v>3045</v>
      </c>
      <c r="I1048" t="s">
        <v>3046</v>
      </c>
      <c r="J1048">
        <v>39</v>
      </c>
      <c r="K1048">
        <v>8208</v>
      </c>
      <c r="L1048">
        <v>50341</v>
      </c>
      <c r="M1048" t="s">
        <v>146</v>
      </c>
      <c r="N1048">
        <v>118</v>
      </c>
      <c r="O1048" s="2">
        <v>46202</v>
      </c>
      <c r="P1048" s="2">
        <v>46279</v>
      </c>
      <c r="R1048" t="s">
        <v>3053</v>
      </c>
      <c r="S1048" t="str">
        <f>"00012927"</f>
        <v>00012927</v>
      </c>
      <c r="T1048" t="s">
        <v>41</v>
      </c>
      <c r="U1048">
        <v>222068.46</v>
      </c>
      <c r="V1048">
        <v>202773.46</v>
      </c>
      <c r="W1048">
        <v>202773.46</v>
      </c>
      <c r="X1048">
        <v>0</v>
      </c>
      <c r="Y1048">
        <v>0</v>
      </c>
      <c r="Z1048">
        <v>-504</v>
      </c>
      <c r="AA1048" t="s">
        <v>3054</v>
      </c>
      <c r="AD1048" t="s">
        <v>3049</v>
      </c>
      <c r="AE1048" t="s">
        <v>3050</v>
      </c>
      <c r="AF1048" t="s">
        <v>3049</v>
      </c>
      <c r="AG1048" s="1" t="s">
        <v>3051</v>
      </c>
      <c r="AH1048" t="s">
        <v>2472</v>
      </c>
    </row>
    <row r="1049" spans="1:34" x14ac:dyDescent="0.3">
      <c r="A1049">
        <v>106</v>
      </c>
      <c r="B1049" t="s">
        <v>34</v>
      </c>
      <c r="C1049">
        <v>2</v>
      </c>
      <c r="D1049" s="1" t="s">
        <v>3055</v>
      </c>
      <c r="E1049" s="1" t="s">
        <v>36</v>
      </c>
      <c r="G1049">
        <v>8208</v>
      </c>
      <c r="H1049" t="s">
        <v>3045</v>
      </c>
      <c r="I1049" t="s">
        <v>3046</v>
      </c>
      <c r="J1049">
        <v>39</v>
      </c>
      <c r="K1049">
        <v>8208</v>
      </c>
      <c r="L1049">
        <v>50341</v>
      </c>
      <c r="M1049" t="s">
        <v>146</v>
      </c>
      <c r="N1049">
        <v>118</v>
      </c>
      <c r="O1049" s="2">
        <v>46202</v>
      </c>
      <c r="P1049" s="2">
        <v>46277</v>
      </c>
      <c r="R1049" t="s">
        <v>3056</v>
      </c>
      <c r="S1049" t="str">
        <f>"00012923"</f>
        <v>00012923</v>
      </c>
      <c r="T1049" t="s">
        <v>41</v>
      </c>
      <c r="U1049">
        <v>201925.82</v>
      </c>
      <c r="V1049">
        <v>185078.67</v>
      </c>
      <c r="W1049">
        <v>185078.67</v>
      </c>
      <c r="X1049">
        <v>0</v>
      </c>
      <c r="Y1049">
        <v>0</v>
      </c>
      <c r="Z1049">
        <v>-502</v>
      </c>
      <c r="AA1049" t="s">
        <v>3057</v>
      </c>
      <c r="AD1049" t="s">
        <v>3049</v>
      </c>
      <c r="AE1049" t="s">
        <v>3050</v>
      </c>
      <c r="AF1049" t="s">
        <v>3049</v>
      </c>
      <c r="AG1049" s="1" t="s">
        <v>3051</v>
      </c>
      <c r="AH1049" t="s">
        <v>2472</v>
      </c>
    </row>
    <row r="1050" spans="1:34" x14ac:dyDescent="0.3">
      <c r="A1050">
        <v>106</v>
      </c>
      <c r="B1050" t="s">
        <v>34</v>
      </c>
      <c r="C1050">
        <v>2</v>
      </c>
      <c r="D1050" s="1" t="s">
        <v>3058</v>
      </c>
      <c r="E1050" s="1" t="s">
        <v>36</v>
      </c>
      <c r="G1050">
        <v>8208</v>
      </c>
      <c r="H1050" t="s">
        <v>3045</v>
      </c>
      <c r="I1050" t="s">
        <v>3046</v>
      </c>
      <c r="J1050">
        <v>39</v>
      </c>
      <c r="K1050">
        <v>8208</v>
      </c>
      <c r="L1050">
        <v>50341</v>
      </c>
      <c r="M1050" t="s">
        <v>146</v>
      </c>
      <c r="N1050">
        <v>118</v>
      </c>
      <c r="O1050" s="2">
        <v>46212</v>
      </c>
      <c r="P1050" s="2">
        <v>46287</v>
      </c>
      <c r="R1050" t="s">
        <v>3059</v>
      </c>
      <c r="S1050" t="str">
        <f>"00013151"</f>
        <v>00013151</v>
      </c>
      <c r="T1050" t="s">
        <v>41</v>
      </c>
      <c r="U1050">
        <v>17359.759999999998</v>
      </c>
      <c r="V1050">
        <v>17359.759999999998</v>
      </c>
      <c r="W1050">
        <v>17359.759999999998</v>
      </c>
      <c r="X1050">
        <v>0</v>
      </c>
      <c r="Y1050">
        <v>0</v>
      </c>
      <c r="Z1050">
        <v>-512</v>
      </c>
      <c r="AA1050" t="s">
        <v>3057</v>
      </c>
      <c r="AD1050" t="s">
        <v>3049</v>
      </c>
      <c r="AE1050" t="s">
        <v>3050</v>
      </c>
      <c r="AF1050" t="s">
        <v>3049</v>
      </c>
      <c r="AG1050" s="1" t="s">
        <v>3051</v>
      </c>
      <c r="AH1050" t="s">
        <v>2472</v>
      </c>
    </row>
    <row r="1051" spans="1:34" x14ac:dyDescent="0.3">
      <c r="A1051">
        <v>106</v>
      </c>
      <c r="B1051" t="s">
        <v>34</v>
      </c>
      <c r="C1051">
        <v>2</v>
      </c>
      <c r="D1051" s="1" t="s">
        <v>3060</v>
      </c>
      <c r="E1051" s="1" t="s">
        <v>36</v>
      </c>
      <c r="G1051">
        <v>8208</v>
      </c>
      <c r="H1051" t="s">
        <v>3045</v>
      </c>
      <c r="I1051" t="s">
        <v>3046</v>
      </c>
      <c r="J1051">
        <v>39</v>
      </c>
      <c r="K1051">
        <v>8208</v>
      </c>
      <c r="L1051">
        <v>50341</v>
      </c>
      <c r="M1051" t="s">
        <v>146</v>
      </c>
      <c r="N1051">
        <v>118</v>
      </c>
      <c r="O1051" s="2">
        <v>46231</v>
      </c>
      <c r="P1051" s="2">
        <v>46306</v>
      </c>
      <c r="R1051" t="s">
        <v>3061</v>
      </c>
      <c r="S1051" t="str">
        <f>"00013559"</f>
        <v>00013559</v>
      </c>
      <c r="T1051" t="s">
        <v>41</v>
      </c>
      <c r="U1051">
        <v>204066.72</v>
      </c>
      <c r="V1051">
        <v>204066.72</v>
      </c>
      <c r="W1051">
        <v>204066.72</v>
      </c>
      <c r="X1051">
        <v>0</v>
      </c>
      <c r="Y1051">
        <v>0</v>
      </c>
      <c r="Z1051">
        <v>-531</v>
      </c>
      <c r="AA1051" t="s">
        <v>3062</v>
      </c>
      <c r="AD1051" t="s">
        <v>3049</v>
      </c>
      <c r="AE1051" t="s">
        <v>3050</v>
      </c>
      <c r="AF1051" t="s">
        <v>3049</v>
      </c>
      <c r="AG1051" s="1" t="s">
        <v>3051</v>
      </c>
      <c r="AH1051" t="s">
        <v>2472</v>
      </c>
    </row>
    <row r="1052" spans="1:34" x14ac:dyDescent="0.3">
      <c r="A1052">
        <v>106</v>
      </c>
      <c r="B1052" t="s">
        <v>34</v>
      </c>
      <c r="C1052">
        <v>2</v>
      </c>
      <c r="D1052" s="1" t="s">
        <v>3063</v>
      </c>
      <c r="E1052" s="1" t="s">
        <v>116</v>
      </c>
      <c r="G1052">
        <v>11974</v>
      </c>
      <c r="H1052" t="s">
        <v>3064</v>
      </c>
      <c r="I1052" t="s">
        <v>3065</v>
      </c>
      <c r="J1052">
        <v>39</v>
      </c>
      <c r="K1052">
        <v>11974</v>
      </c>
      <c r="L1052">
        <v>50033</v>
      </c>
      <c r="M1052" t="s">
        <v>39</v>
      </c>
      <c r="N1052">
        <v>118</v>
      </c>
      <c r="O1052" s="2">
        <v>46202</v>
      </c>
      <c r="P1052" s="2">
        <v>46267</v>
      </c>
      <c r="R1052" t="s">
        <v>3066</v>
      </c>
      <c r="S1052" t="str">
        <f>"0000050408089"</f>
        <v>0000050408089</v>
      </c>
      <c r="T1052" t="s">
        <v>41</v>
      </c>
      <c r="U1052">
        <v>5789.31</v>
      </c>
      <c r="V1052">
        <v>5489.31</v>
      </c>
      <c r="W1052">
        <v>5489.31</v>
      </c>
      <c r="X1052">
        <v>0</v>
      </c>
      <c r="Y1052">
        <v>0</v>
      </c>
      <c r="Z1052">
        <v>-492</v>
      </c>
      <c r="AA1052" t="s">
        <v>3067</v>
      </c>
      <c r="AD1052" t="s">
        <v>2470</v>
      </c>
      <c r="AE1052" t="s">
        <v>3068</v>
      </c>
      <c r="AF1052" t="s">
        <v>2470</v>
      </c>
      <c r="AG1052" s="1" t="s">
        <v>3069</v>
      </c>
      <c r="AH1052" t="s">
        <v>2472</v>
      </c>
    </row>
    <row r="1053" spans="1:34" x14ac:dyDescent="0.3">
      <c r="A1053">
        <v>106</v>
      </c>
      <c r="B1053" t="s">
        <v>34</v>
      </c>
      <c r="C1053">
        <v>2</v>
      </c>
      <c r="D1053" s="1" t="s">
        <v>3063</v>
      </c>
      <c r="E1053" s="1" t="s">
        <v>122</v>
      </c>
      <c r="G1053">
        <v>11974</v>
      </c>
      <c r="H1053" t="s">
        <v>3064</v>
      </c>
      <c r="I1053" t="s">
        <v>3065</v>
      </c>
      <c r="J1053">
        <v>39</v>
      </c>
      <c r="K1053">
        <v>11974</v>
      </c>
      <c r="L1053">
        <v>50033</v>
      </c>
      <c r="M1053" t="s">
        <v>39</v>
      </c>
      <c r="N1053">
        <v>118</v>
      </c>
      <c r="O1053" s="2">
        <v>46202</v>
      </c>
      <c r="P1053" s="2">
        <v>46257</v>
      </c>
      <c r="R1053" t="s">
        <v>3066</v>
      </c>
      <c r="S1053" t="str">
        <f>"0000050408070"</f>
        <v>0000050408070</v>
      </c>
      <c r="T1053" t="s">
        <v>41</v>
      </c>
      <c r="U1053">
        <v>5787.57</v>
      </c>
      <c r="V1053">
        <v>5487.57</v>
      </c>
      <c r="W1053">
        <v>5487.57</v>
      </c>
      <c r="X1053">
        <v>0</v>
      </c>
      <c r="Y1053">
        <v>0</v>
      </c>
      <c r="Z1053">
        <v>-482</v>
      </c>
      <c r="AA1053" t="s">
        <v>3067</v>
      </c>
      <c r="AD1053" t="s">
        <v>2470</v>
      </c>
      <c r="AE1053" t="s">
        <v>3068</v>
      </c>
      <c r="AF1053" t="s">
        <v>2470</v>
      </c>
      <c r="AG1053" s="1" t="s">
        <v>3069</v>
      </c>
      <c r="AH1053" t="s">
        <v>2472</v>
      </c>
    </row>
    <row r="1054" spans="1:34" x14ac:dyDescent="0.3">
      <c r="A1054">
        <v>104</v>
      </c>
      <c r="B1054" t="s">
        <v>34</v>
      </c>
      <c r="C1054">
        <v>4</v>
      </c>
      <c r="D1054" s="1" t="s">
        <v>3070</v>
      </c>
      <c r="E1054" s="1" t="s">
        <v>122</v>
      </c>
      <c r="G1054">
        <v>11974</v>
      </c>
      <c r="H1054" t="s">
        <v>3064</v>
      </c>
      <c r="I1054" t="s">
        <v>3065</v>
      </c>
      <c r="J1054">
        <v>39</v>
      </c>
      <c r="K1054">
        <v>11974</v>
      </c>
      <c r="L1054">
        <v>50033</v>
      </c>
      <c r="M1054" t="s">
        <v>39</v>
      </c>
      <c r="N1054">
        <v>118</v>
      </c>
      <c r="O1054" s="2">
        <v>46202</v>
      </c>
      <c r="P1054" s="2">
        <v>46258</v>
      </c>
      <c r="R1054" t="s">
        <v>3071</v>
      </c>
      <c r="S1054" t="str">
        <f>"0000050407953"</f>
        <v>0000050407953</v>
      </c>
      <c r="T1054" t="s">
        <v>41</v>
      </c>
      <c r="U1054">
        <v>3649.64</v>
      </c>
      <c r="V1054">
        <v>3649.64</v>
      </c>
      <c r="W1054">
        <v>3649.64</v>
      </c>
      <c r="X1054">
        <v>0</v>
      </c>
      <c r="Y1054">
        <v>0</v>
      </c>
      <c r="Z1054">
        <v>-483</v>
      </c>
      <c r="AA1054" t="s">
        <v>3072</v>
      </c>
      <c r="AD1054" t="s">
        <v>2470</v>
      </c>
      <c r="AE1054" t="s">
        <v>3068</v>
      </c>
      <c r="AF1054" t="s">
        <v>2470</v>
      </c>
      <c r="AG1054" s="1" t="s">
        <v>3069</v>
      </c>
      <c r="AH1054" t="s">
        <v>2472</v>
      </c>
    </row>
    <row r="1055" spans="1:34" x14ac:dyDescent="0.3">
      <c r="A1055">
        <v>104</v>
      </c>
      <c r="B1055" t="s">
        <v>34</v>
      </c>
      <c r="C1055">
        <v>4</v>
      </c>
      <c r="D1055" s="1" t="s">
        <v>3070</v>
      </c>
      <c r="E1055" s="1" t="s">
        <v>116</v>
      </c>
      <c r="G1055">
        <v>11974</v>
      </c>
      <c r="H1055" t="s">
        <v>3064</v>
      </c>
      <c r="I1055" t="s">
        <v>3065</v>
      </c>
      <c r="J1055">
        <v>39</v>
      </c>
      <c r="K1055">
        <v>11974</v>
      </c>
      <c r="L1055">
        <v>50033</v>
      </c>
      <c r="M1055" t="s">
        <v>39</v>
      </c>
      <c r="N1055">
        <v>118</v>
      </c>
      <c r="O1055" s="2">
        <v>46202</v>
      </c>
      <c r="P1055" s="2">
        <v>46267</v>
      </c>
      <c r="R1055" t="s">
        <v>3071</v>
      </c>
      <c r="S1055" t="str">
        <f>"0000050407961"</f>
        <v>0000050407961</v>
      </c>
      <c r="T1055" t="s">
        <v>41</v>
      </c>
      <c r="U1055">
        <v>3650.72</v>
      </c>
      <c r="V1055">
        <v>3650.72</v>
      </c>
      <c r="W1055">
        <v>3650.72</v>
      </c>
      <c r="X1055">
        <v>0</v>
      </c>
      <c r="Y1055">
        <v>0</v>
      </c>
      <c r="Z1055">
        <v>-492</v>
      </c>
      <c r="AA1055" t="s">
        <v>3072</v>
      </c>
      <c r="AD1055" t="s">
        <v>2470</v>
      </c>
      <c r="AE1055" t="s">
        <v>3068</v>
      </c>
      <c r="AF1055" t="s">
        <v>2470</v>
      </c>
      <c r="AG1055" s="1" t="s">
        <v>3069</v>
      </c>
      <c r="AH1055" t="s">
        <v>2472</v>
      </c>
    </row>
    <row r="1056" spans="1:34" x14ac:dyDescent="0.3">
      <c r="A1056">
        <v>104</v>
      </c>
      <c r="B1056" t="s">
        <v>34</v>
      </c>
      <c r="C1056">
        <v>4</v>
      </c>
      <c r="D1056" s="1" t="s">
        <v>3073</v>
      </c>
      <c r="E1056" s="1" t="s">
        <v>36</v>
      </c>
      <c r="G1056">
        <v>12848</v>
      </c>
      <c r="H1056" t="s">
        <v>3074</v>
      </c>
      <c r="I1056" t="s">
        <v>3075</v>
      </c>
      <c r="J1056">
        <v>39</v>
      </c>
      <c r="K1056">
        <v>12848</v>
      </c>
      <c r="L1056">
        <v>50341</v>
      </c>
      <c r="M1056" t="s">
        <v>146</v>
      </c>
      <c r="N1056">
        <v>118</v>
      </c>
      <c r="O1056" s="2">
        <v>46234</v>
      </c>
      <c r="P1056" s="2">
        <v>46279</v>
      </c>
      <c r="R1056" t="s">
        <v>3076</v>
      </c>
      <c r="S1056" t="str">
        <f>"00013422"</f>
        <v>00013422</v>
      </c>
      <c r="T1056" t="s">
        <v>41</v>
      </c>
      <c r="U1056">
        <v>9746.2999999999993</v>
      </c>
      <c r="V1056">
        <v>9746.2999999999993</v>
      </c>
      <c r="W1056">
        <v>9746.2999999999993</v>
      </c>
      <c r="X1056">
        <v>0</v>
      </c>
      <c r="Y1056">
        <v>0</v>
      </c>
      <c r="Z1056">
        <v>-504</v>
      </c>
      <c r="AA1056" t="s">
        <v>3077</v>
      </c>
      <c r="AD1056" t="s">
        <v>2470</v>
      </c>
      <c r="AE1056" t="s">
        <v>3078</v>
      </c>
      <c r="AF1056" t="s">
        <v>2470</v>
      </c>
      <c r="AG1056" s="1" t="s">
        <v>3079</v>
      </c>
      <c r="AH1056" t="s">
        <v>2472</v>
      </c>
    </row>
    <row r="1057" spans="1:34" x14ac:dyDescent="0.3">
      <c r="A1057">
        <v>104</v>
      </c>
      <c r="B1057" t="s">
        <v>34</v>
      </c>
      <c r="C1057">
        <v>4</v>
      </c>
      <c r="D1057" s="1" t="s">
        <v>3073</v>
      </c>
      <c r="E1057" s="1" t="s">
        <v>116</v>
      </c>
      <c r="G1057">
        <v>12848</v>
      </c>
      <c r="H1057" t="s">
        <v>3074</v>
      </c>
      <c r="I1057" t="s">
        <v>3075</v>
      </c>
      <c r="J1057">
        <v>39</v>
      </c>
      <c r="K1057">
        <v>12848</v>
      </c>
      <c r="L1057">
        <v>50341</v>
      </c>
      <c r="M1057" t="s">
        <v>146</v>
      </c>
      <c r="N1057">
        <v>118</v>
      </c>
      <c r="O1057" s="2">
        <v>46234</v>
      </c>
      <c r="P1057" s="2">
        <v>46300</v>
      </c>
      <c r="R1057" t="s">
        <v>3076</v>
      </c>
      <c r="S1057" t="str">
        <f>"00013424"</f>
        <v>00013424</v>
      </c>
      <c r="T1057" t="s">
        <v>41</v>
      </c>
      <c r="U1057">
        <v>9284.08</v>
      </c>
      <c r="V1057">
        <v>9284.08</v>
      </c>
      <c r="W1057">
        <v>9284.08</v>
      </c>
      <c r="X1057">
        <v>0</v>
      </c>
      <c r="Y1057">
        <v>0</v>
      </c>
      <c r="Z1057">
        <v>-525</v>
      </c>
      <c r="AA1057" t="s">
        <v>3077</v>
      </c>
      <c r="AD1057" t="s">
        <v>2470</v>
      </c>
      <c r="AE1057" t="s">
        <v>3078</v>
      </c>
      <c r="AF1057" t="s">
        <v>2470</v>
      </c>
      <c r="AG1057" s="1" t="s">
        <v>3079</v>
      </c>
      <c r="AH1057" t="s">
        <v>2472</v>
      </c>
    </row>
    <row r="1058" spans="1:34" x14ac:dyDescent="0.3">
      <c r="A1058">
        <v>104</v>
      </c>
      <c r="B1058" t="s">
        <v>34</v>
      </c>
      <c r="C1058">
        <v>4</v>
      </c>
      <c r="D1058" s="1" t="s">
        <v>3073</v>
      </c>
      <c r="E1058" s="1" t="s">
        <v>122</v>
      </c>
      <c r="G1058">
        <v>12848</v>
      </c>
      <c r="H1058" t="s">
        <v>3074</v>
      </c>
      <c r="I1058" t="s">
        <v>3075</v>
      </c>
      <c r="J1058">
        <v>39</v>
      </c>
      <c r="K1058">
        <v>12848</v>
      </c>
      <c r="L1058">
        <v>50341</v>
      </c>
      <c r="M1058" t="s">
        <v>146</v>
      </c>
      <c r="N1058">
        <v>118</v>
      </c>
      <c r="O1058" s="2">
        <v>46234</v>
      </c>
      <c r="P1058" s="2">
        <v>46289</v>
      </c>
      <c r="R1058" t="s">
        <v>3076</v>
      </c>
      <c r="S1058" t="str">
        <f>"00013423"</f>
        <v>00013423</v>
      </c>
      <c r="T1058" t="s">
        <v>41</v>
      </c>
      <c r="U1058">
        <v>9281.2900000000009</v>
      </c>
      <c r="V1058">
        <v>9281.2900000000009</v>
      </c>
      <c r="W1058">
        <v>9281.2900000000009</v>
      </c>
      <c r="X1058">
        <v>0</v>
      </c>
      <c r="Y1058">
        <v>0</v>
      </c>
      <c r="Z1058">
        <v>-514</v>
      </c>
      <c r="AA1058" t="s">
        <v>3077</v>
      </c>
      <c r="AD1058" t="s">
        <v>2470</v>
      </c>
      <c r="AE1058" t="s">
        <v>3078</v>
      </c>
      <c r="AF1058" t="s">
        <v>2470</v>
      </c>
      <c r="AG1058" s="1" t="s">
        <v>3079</v>
      </c>
      <c r="AH1058" t="s">
        <v>2472</v>
      </c>
    </row>
    <row r="1059" spans="1:34" x14ac:dyDescent="0.3">
      <c r="A1059">
        <v>104</v>
      </c>
      <c r="B1059" t="s">
        <v>34</v>
      </c>
      <c r="C1059">
        <v>4</v>
      </c>
      <c r="D1059" s="1" t="s">
        <v>3080</v>
      </c>
      <c r="E1059" s="1" t="s">
        <v>116</v>
      </c>
      <c r="G1059">
        <v>12848</v>
      </c>
      <c r="H1059" t="s">
        <v>3074</v>
      </c>
      <c r="I1059" t="s">
        <v>3075</v>
      </c>
      <c r="J1059">
        <v>39</v>
      </c>
      <c r="K1059">
        <v>12848</v>
      </c>
      <c r="L1059">
        <v>50341</v>
      </c>
      <c r="M1059" t="s">
        <v>146</v>
      </c>
      <c r="N1059">
        <v>118</v>
      </c>
      <c r="O1059" s="2">
        <v>46234</v>
      </c>
      <c r="P1059" s="2">
        <v>46300</v>
      </c>
      <c r="R1059" t="s">
        <v>3081</v>
      </c>
      <c r="S1059" t="str">
        <f>"00013427"</f>
        <v>00013427</v>
      </c>
      <c r="T1059" t="s">
        <v>41</v>
      </c>
      <c r="U1059">
        <v>2057.12</v>
      </c>
      <c r="V1059">
        <v>2057.12</v>
      </c>
      <c r="W1059">
        <v>2057.12</v>
      </c>
      <c r="X1059">
        <v>0</v>
      </c>
      <c r="Y1059">
        <v>0</v>
      </c>
      <c r="Z1059">
        <v>-525</v>
      </c>
      <c r="AA1059" t="s">
        <v>3077</v>
      </c>
      <c r="AD1059" t="s">
        <v>2470</v>
      </c>
      <c r="AE1059" t="s">
        <v>3078</v>
      </c>
      <c r="AF1059" t="s">
        <v>2470</v>
      </c>
      <c r="AG1059" s="1" t="s">
        <v>3079</v>
      </c>
      <c r="AH1059" t="s">
        <v>2472</v>
      </c>
    </row>
    <row r="1060" spans="1:34" x14ac:dyDescent="0.3">
      <c r="A1060">
        <v>104</v>
      </c>
      <c r="B1060" t="s">
        <v>34</v>
      </c>
      <c r="C1060">
        <v>4</v>
      </c>
      <c r="D1060" s="1" t="s">
        <v>3080</v>
      </c>
      <c r="E1060" s="1" t="s">
        <v>122</v>
      </c>
      <c r="G1060">
        <v>12848</v>
      </c>
      <c r="H1060" t="s">
        <v>3074</v>
      </c>
      <c r="I1060" t="s">
        <v>3075</v>
      </c>
      <c r="J1060">
        <v>39</v>
      </c>
      <c r="K1060">
        <v>12848</v>
      </c>
      <c r="L1060">
        <v>50341</v>
      </c>
      <c r="M1060" t="s">
        <v>146</v>
      </c>
      <c r="N1060">
        <v>118</v>
      </c>
      <c r="O1060" s="2">
        <v>46234</v>
      </c>
      <c r="P1060" s="2">
        <v>46289</v>
      </c>
      <c r="R1060" t="s">
        <v>3081</v>
      </c>
      <c r="S1060" t="str">
        <f>"00013426"</f>
        <v>00013426</v>
      </c>
      <c r="T1060" t="s">
        <v>41</v>
      </c>
      <c r="U1060">
        <v>2056.4899999999998</v>
      </c>
      <c r="V1060">
        <v>2056.4899999999998</v>
      </c>
      <c r="W1060">
        <v>2056.4899999999998</v>
      </c>
      <c r="X1060">
        <v>0</v>
      </c>
      <c r="Y1060">
        <v>0</v>
      </c>
      <c r="Z1060">
        <v>-514</v>
      </c>
      <c r="AA1060" t="s">
        <v>3077</v>
      </c>
      <c r="AD1060" t="s">
        <v>2470</v>
      </c>
      <c r="AE1060" t="s">
        <v>3078</v>
      </c>
      <c r="AF1060" t="s">
        <v>2470</v>
      </c>
      <c r="AG1060" s="1" t="s">
        <v>3079</v>
      </c>
      <c r="AH1060" t="s">
        <v>2472</v>
      </c>
    </row>
    <row r="1061" spans="1:34" x14ac:dyDescent="0.3">
      <c r="A1061">
        <v>104</v>
      </c>
      <c r="B1061" t="s">
        <v>34</v>
      </c>
      <c r="C1061">
        <v>4</v>
      </c>
      <c r="D1061" s="1" t="s">
        <v>3080</v>
      </c>
      <c r="E1061" s="1" t="s">
        <v>36</v>
      </c>
      <c r="G1061">
        <v>12848</v>
      </c>
      <c r="H1061" t="s">
        <v>3074</v>
      </c>
      <c r="I1061" t="s">
        <v>3075</v>
      </c>
      <c r="J1061">
        <v>39</v>
      </c>
      <c r="K1061">
        <v>12848</v>
      </c>
      <c r="L1061">
        <v>50341</v>
      </c>
      <c r="M1061" t="s">
        <v>146</v>
      </c>
      <c r="N1061">
        <v>118</v>
      </c>
      <c r="O1061" s="2">
        <v>46234</v>
      </c>
      <c r="P1061" s="2">
        <v>46279</v>
      </c>
      <c r="R1061" t="s">
        <v>3081</v>
      </c>
      <c r="S1061" t="str">
        <f>"00013425"</f>
        <v>00013425</v>
      </c>
      <c r="T1061" t="s">
        <v>41</v>
      </c>
      <c r="U1061">
        <v>2280.69</v>
      </c>
      <c r="V1061">
        <v>2280.69</v>
      </c>
      <c r="W1061">
        <v>2280.69</v>
      </c>
      <c r="X1061">
        <v>0</v>
      </c>
      <c r="Y1061">
        <v>0</v>
      </c>
      <c r="Z1061">
        <v>-504</v>
      </c>
      <c r="AA1061" t="s">
        <v>3077</v>
      </c>
      <c r="AD1061" t="s">
        <v>2470</v>
      </c>
      <c r="AE1061" t="s">
        <v>3078</v>
      </c>
      <c r="AF1061" t="s">
        <v>2470</v>
      </c>
      <c r="AG1061" s="1" t="s">
        <v>3079</v>
      </c>
      <c r="AH1061" t="s">
        <v>2472</v>
      </c>
    </row>
    <row r="1062" spans="1:34" x14ac:dyDescent="0.3">
      <c r="A1062">
        <v>106</v>
      </c>
      <c r="B1062" t="s">
        <v>34</v>
      </c>
      <c r="C1062">
        <v>2</v>
      </c>
      <c r="D1062" s="1" t="s">
        <v>3082</v>
      </c>
      <c r="E1062" s="1" t="s">
        <v>36</v>
      </c>
      <c r="G1062">
        <v>12848</v>
      </c>
      <c r="H1062" t="s">
        <v>3074</v>
      </c>
      <c r="I1062" t="s">
        <v>3075</v>
      </c>
      <c r="J1062">
        <v>39</v>
      </c>
      <c r="K1062">
        <v>12848</v>
      </c>
      <c r="L1062">
        <v>50341</v>
      </c>
      <c r="M1062" t="s">
        <v>146</v>
      </c>
      <c r="N1062">
        <v>118</v>
      </c>
      <c r="O1062" s="2">
        <v>46233</v>
      </c>
      <c r="P1062" s="2">
        <v>46278</v>
      </c>
      <c r="R1062" t="s">
        <v>3083</v>
      </c>
      <c r="S1062" t="str">
        <f>"00013385"</f>
        <v>00013385</v>
      </c>
      <c r="T1062" t="s">
        <v>41</v>
      </c>
      <c r="U1062">
        <v>16485.79</v>
      </c>
      <c r="V1062">
        <v>15203.46</v>
      </c>
      <c r="W1062">
        <v>15203.46</v>
      </c>
      <c r="X1062">
        <v>0</v>
      </c>
      <c r="Y1062">
        <v>0</v>
      </c>
      <c r="Z1062">
        <v>-503</v>
      </c>
      <c r="AA1062" t="s">
        <v>3084</v>
      </c>
      <c r="AD1062" t="s">
        <v>2470</v>
      </c>
      <c r="AE1062" t="s">
        <v>3078</v>
      </c>
      <c r="AF1062" t="s">
        <v>2470</v>
      </c>
      <c r="AG1062" s="1" t="s">
        <v>3079</v>
      </c>
      <c r="AH1062" t="s">
        <v>2472</v>
      </c>
    </row>
    <row r="1063" spans="1:34" x14ac:dyDescent="0.3">
      <c r="A1063">
        <v>106</v>
      </c>
      <c r="B1063" t="s">
        <v>34</v>
      </c>
      <c r="C1063">
        <v>2</v>
      </c>
      <c r="D1063" s="1" t="s">
        <v>3082</v>
      </c>
      <c r="E1063" s="1" t="s">
        <v>116</v>
      </c>
      <c r="G1063">
        <v>12848</v>
      </c>
      <c r="H1063" t="s">
        <v>3074</v>
      </c>
      <c r="I1063" t="s">
        <v>3075</v>
      </c>
      <c r="J1063">
        <v>39</v>
      </c>
      <c r="K1063">
        <v>12848</v>
      </c>
      <c r="L1063">
        <v>50341</v>
      </c>
      <c r="M1063" t="s">
        <v>146</v>
      </c>
      <c r="N1063">
        <v>118</v>
      </c>
      <c r="O1063" s="2">
        <v>46233</v>
      </c>
      <c r="P1063" s="2">
        <v>46298</v>
      </c>
      <c r="R1063" t="s">
        <v>3083</v>
      </c>
      <c r="S1063" t="str">
        <f>"00013387"</f>
        <v>00013387</v>
      </c>
      <c r="T1063" t="s">
        <v>41</v>
      </c>
      <c r="U1063">
        <v>12878.39</v>
      </c>
      <c r="V1063">
        <v>11596.06</v>
      </c>
      <c r="W1063">
        <v>11596.06</v>
      </c>
      <c r="X1063">
        <v>0</v>
      </c>
      <c r="Y1063">
        <v>0</v>
      </c>
      <c r="Z1063">
        <v>-523</v>
      </c>
      <c r="AA1063" t="s">
        <v>3084</v>
      </c>
      <c r="AD1063" t="s">
        <v>2470</v>
      </c>
      <c r="AE1063" t="s">
        <v>3078</v>
      </c>
      <c r="AF1063" t="s">
        <v>2470</v>
      </c>
      <c r="AG1063" s="1" t="s">
        <v>3079</v>
      </c>
      <c r="AH1063" t="s">
        <v>2472</v>
      </c>
    </row>
    <row r="1064" spans="1:34" x14ac:dyDescent="0.3">
      <c r="A1064">
        <v>106</v>
      </c>
      <c r="B1064" t="s">
        <v>34</v>
      </c>
      <c r="C1064">
        <v>2</v>
      </c>
      <c r="D1064" s="1" t="s">
        <v>3082</v>
      </c>
      <c r="E1064" s="1" t="s">
        <v>122</v>
      </c>
      <c r="G1064">
        <v>12848</v>
      </c>
      <c r="H1064" t="s">
        <v>3074</v>
      </c>
      <c r="I1064" t="s">
        <v>3075</v>
      </c>
      <c r="J1064">
        <v>39</v>
      </c>
      <c r="K1064">
        <v>12848</v>
      </c>
      <c r="L1064">
        <v>50341</v>
      </c>
      <c r="M1064" t="s">
        <v>146</v>
      </c>
      <c r="N1064">
        <v>118</v>
      </c>
      <c r="O1064" s="2">
        <v>46233</v>
      </c>
      <c r="P1064" s="2">
        <v>46288</v>
      </c>
      <c r="R1064" t="s">
        <v>3083</v>
      </c>
      <c r="S1064" t="str">
        <f>"00013386"</f>
        <v>00013386</v>
      </c>
      <c r="T1064" t="s">
        <v>41</v>
      </c>
      <c r="U1064">
        <v>12874.53</v>
      </c>
      <c r="V1064">
        <v>11592.2</v>
      </c>
      <c r="W1064">
        <v>11592.2</v>
      </c>
      <c r="X1064">
        <v>0</v>
      </c>
      <c r="Y1064">
        <v>0</v>
      </c>
      <c r="Z1064">
        <v>-513</v>
      </c>
      <c r="AA1064" t="s">
        <v>3084</v>
      </c>
      <c r="AD1064" t="s">
        <v>2470</v>
      </c>
      <c r="AE1064" t="s">
        <v>3078</v>
      </c>
      <c r="AF1064" t="s">
        <v>2470</v>
      </c>
      <c r="AG1064" s="1" t="s">
        <v>3079</v>
      </c>
      <c r="AH1064" t="s">
        <v>2472</v>
      </c>
    </row>
    <row r="1065" spans="1:34" x14ac:dyDescent="0.3">
      <c r="A1065">
        <v>106</v>
      </c>
      <c r="B1065" t="s">
        <v>34</v>
      </c>
      <c r="C1065">
        <v>2</v>
      </c>
      <c r="D1065" s="1" t="s">
        <v>3085</v>
      </c>
      <c r="E1065" s="1" t="s">
        <v>122</v>
      </c>
      <c r="G1065">
        <v>432618</v>
      </c>
      <c r="H1065" t="s">
        <v>3086</v>
      </c>
      <c r="I1065" t="s">
        <v>3087</v>
      </c>
      <c r="J1065">
        <v>39</v>
      </c>
      <c r="K1065">
        <v>432618</v>
      </c>
      <c r="L1065">
        <v>50341</v>
      </c>
      <c r="M1065" t="s">
        <v>146</v>
      </c>
      <c r="N1065">
        <v>118</v>
      </c>
      <c r="O1065" s="2">
        <v>46234</v>
      </c>
      <c r="P1065" s="2">
        <v>46289</v>
      </c>
      <c r="R1065" t="s">
        <v>3088</v>
      </c>
      <c r="S1065" t="str">
        <f>"00013434"</f>
        <v>00013434</v>
      </c>
      <c r="T1065" t="s">
        <v>41</v>
      </c>
      <c r="U1065">
        <v>8503.57</v>
      </c>
      <c r="V1065">
        <v>8503.57</v>
      </c>
      <c r="W1065">
        <v>8503.57</v>
      </c>
      <c r="X1065">
        <v>0</v>
      </c>
      <c r="Y1065">
        <v>0</v>
      </c>
      <c r="Z1065">
        <v>-514</v>
      </c>
      <c r="AA1065" t="s">
        <v>3089</v>
      </c>
      <c r="AD1065" t="s">
        <v>2556</v>
      </c>
      <c r="AE1065" t="s">
        <v>3090</v>
      </c>
      <c r="AF1065" t="s">
        <v>2556</v>
      </c>
      <c r="AG1065" s="1" t="s">
        <v>3091</v>
      </c>
      <c r="AH1065" t="s">
        <v>2472</v>
      </c>
    </row>
    <row r="1066" spans="1:34" x14ac:dyDescent="0.3">
      <c r="A1066">
        <v>106</v>
      </c>
      <c r="B1066" t="s">
        <v>34</v>
      </c>
      <c r="C1066">
        <v>2</v>
      </c>
      <c r="D1066" s="1" t="s">
        <v>3085</v>
      </c>
      <c r="E1066" s="1" t="s">
        <v>116</v>
      </c>
      <c r="G1066">
        <v>432618</v>
      </c>
      <c r="H1066" t="s">
        <v>3086</v>
      </c>
      <c r="I1066" t="s">
        <v>3087</v>
      </c>
      <c r="J1066">
        <v>39</v>
      </c>
      <c r="K1066">
        <v>432618</v>
      </c>
      <c r="L1066">
        <v>50341</v>
      </c>
      <c r="M1066" t="s">
        <v>146</v>
      </c>
      <c r="N1066">
        <v>118</v>
      </c>
      <c r="O1066" s="2">
        <v>46234</v>
      </c>
      <c r="P1066" s="2">
        <v>46299</v>
      </c>
      <c r="R1066" t="s">
        <v>3088</v>
      </c>
      <c r="S1066" t="str">
        <f>"00013435"</f>
        <v>00013435</v>
      </c>
      <c r="T1066" t="s">
        <v>41</v>
      </c>
      <c r="U1066">
        <v>8506.11</v>
      </c>
      <c r="V1066">
        <v>8506.11</v>
      </c>
      <c r="W1066">
        <v>8506.11</v>
      </c>
      <c r="X1066">
        <v>0</v>
      </c>
      <c r="Y1066">
        <v>0</v>
      </c>
      <c r="Z1066">
        <v>-524</v>
      </c>
      <c r="AA1066" t="s">
        <v>3089</v>
      </c>
      <c r="AD1066" t="s">
        <v>2556</v>
      </c>
      <c r="AE1066" t="s">
        <v>3090</v>
      </c>
      <c r="AF1066" t="s">
        <v>2556</v>
      </c>
      <c r="AG1066" s="1" t="s">
        <v>3091</v>
      </c>
      <c r="AH1066" t="s">
        <v>2472</v>
      </c>
    </row>
    <row r="1067" spans="1:34" x14ac:dyDescent="0.3">
      <c r="A1067">
        <v>106</v>
      </c>
      <c r="B1067" t="s">
        <v>34</v>
      </c>
      <c r="C1067">
        <v>2</v>
      </c>
      <c r="D1067" s="1" t="s">
        <v>3085</v>
      </c>
      <c r="E1067" s="1" t="s">
        <v>36</v>
      </c>
      <c r="G1067">
        <v>432618</v>
      </c>
      <c r="H1067" t="s">
        <v>3086</v>
      </c>
      <c r="I1067" t="s">
        <v>3087</v>
      </c>
      <c r="J1067">
        <v>39</v>
      </c>
      <c r="K1067">
        <v>432618</v>
      </c>
      <c r="L1067">
        <v>50341</v>
      </c>
      <c r="M1067" t="s">
        <v>146</v>
      </c>
      <c r="N1067">
        <v>118</v>
      </c>
      <c r="O1067" s="2">
        <v>46234</v>
      </c>
      <c r="P1067" s="2">
        <v>46279</v>
      </c>
      <c r="R1067" t="s">
        <v>3088</v>
      </c>
      <c r="S1067" t="str">
        <f>"00013440"</f>
        <v>00013440</v>
      </c>
      <c r="T1067" t="s">
        <v>41</v>
      </c>
      <c r="U1067">
        <v>10608.93</v>
      </c>
      <c r="V1067">
        <v>10308.93</v>
      </c>
      <c r="W1067">
        <v>10308.93</v>
      </c>
      <c r="X1067">
        <v>0</v>
      </c>
      <c r="Y1067">
        <v>0</v>
      </c>
      <c r="Z1067">
        <v>-504</v>
      </c>
      <c r="AA1067" t="s">
        <v>3089</v>
      </c>
      <c r="AD1067" t="s">
        <v>2556</v>
      </c>
      <c r="AE1067" t="s">
        <v>3090</v>
      </c>
      <c r="AF1067" t="s">
        <v>2556</v>
      </c>
      <c r="AG1067" s="1" t="s">
        <v>3091</v>
      </c>
      <c r="AH1067" t="s">
        <v>2472</v>
      </c>
    </row>
    <row r="1068" spans="1:34" x14ac:dyDescent="0.3">
      <c r="A1068">
        <v>104</v>
      </c>
      <c r="B1068" t="s">
        <v>34</v>
      </c>
      <c r="C1068">
        <v>4</v>
      </c>
      <c r="D1068" s="1" t="s">
        <v>3092</v>
      </c>
      <c r="E1068" s="1" t="s">
        <v>36</v>
      </c>
      <c r="G1068">
        <v>432618</v>
      </c>
      <c r="H1068" t="s">
        <v>3086</v>
      </c>
      <c r="I1068" t="s">
        <v>3087</v>
      </c>
      <c r="J1068">
        <v>39</v>
      </c>
      <c r="K1068">
        <v>432618</v>
      </c>
      <c r="L1068">
        <v>50341</v>
      </c>
      <c r="M1068" t="s">
        <v>146</v>
      </c>
      <c r="N1068">
        <v>118</v>
      </c>
      <c r="O1068" s="2">
        <v>46234</v>
      </c>
      <c r="P1068" s="2">
        <v>46279</v>
      </c>
      <c r="R1068" t="s">
        <v>3093</v>
      </c>
      <c r="S1068" t="str">
        <f>"00013428"</f>
        <v>00013428</v>
      </c>
      <c r="T1068" t="s">
        <v>41</v>
      </c>
      <c r="U1068">
        <v>4992.6099999999997</v>
      </c>
      <c r="V1068">
        <v>4992.6099999999997</v>
      </c>
      <c r="W1068">
        <v>4992.6099999999997</v>
      </c>
      <c r="X1068">
        <v>0</v>
      </c>
      <c r="Y1068">
        <v>0</v>
      </c>
      <c r="Z1068">
        <v>-504</v>
      </c>
      <c r="AA1068" t="s">
        <v>3094</v>
      </c>
      <c r="AD1068" t="s">
        <v>2556</v>
      </c>
      <c r="AE1068" t="s">
        <v>3090</v>
      </c>
      <c r="AF1068" t="s">
        <v>2556</v>
      </c>
      <c r="AG1068" s="1" t="s">
        <v>3091</v>
      </c>
      <c r="AH1068" t="s">
        <v>2472</v>
      </c>
    </row>
    <row r="1069" spans="1:34" x14ac:dyDescent="0.3">
      <c r="A1069">
        <v>104</v>
      </c>
      <c r="B1069" t="s">
        <v>34</v>
      </c>
      <c r="C1069">
        <v>4</v>
      </c>
      <c r="D1069" s="1" t="s">
        <v>3092</v>
      </c>
      <c r="E1069" s="1" t="s">
        <v>116</v>
      </c>
      <c r="G1069">
        <v>432618</v>
      </c>
      <c r="H1069" t="s">
        <v>3086</v>
      </c>
      <c r="I1069" t="s">
        <v>3087</v>
      </c>
      <c r="J1069">
        <v>39</v>
      </c>
      <c r="K1069">
        <v>432618</v>
      </c>
      <c r="L1069">
        <v>50341</v>
      </c>
      <c r="M1069" t="s">
        <v>146</v>
      </c>
      <c r="N1069">
        <v>118</v>
      </c>
      <c r="O1069" s="2">
        <v>46234</v>
      </c>
      <c r="P1069" s="2">
        <v>46300</v>
      </c>
      <c r="R1069" t="s">
        <v>3093</v>
      </c>
      <c r="S1069" t="str">
        <f>"00013430"</f>
        <v>00013430</v>
      </c>
      <c r="T1069" t="s">
        <v>41</v>
      </c>
      <c r="U1069">
        <v>4782.5</v>
      </c>
      <c r="V1069">
        <v>4782.5</v>
      </c>
      <c r="W1069">
        <v>4782.5</v>
      </c>
      <c r="X1069">
        <v>0</v>
      </c>
      <c r="Y1069">
        <v>0</v>
      </c>
      <c r="Z1069">
        <v>-525</v>
      </c>
      <c r="AA1069" t="s">
        <v>3094</v>
      </c>
      <c r="AD1069" t="s">
        <v>2556</v>
      </c>
      <c r="AE1069" t="s">
        <v>3090</v>
      </c>
      <c r="AF1069" t="s">
        <v>2556</v>
      </c>
      <c r="AG1069" s="1" t="s">
        <v>3091</v>
      </c>
      <c r="AH1069" t="s">
        <v>2472</v>
      </c>
    </row>
    <row r="1070" spans="1:34" x14ac:dyDescent="0.3">
      <c r="A1070">
        <v>104</v>
      </c>
      <c r="B1070" t="s">
        <v>34</v>
      </c>
      <c r="C1070">
        <v>4</v>
      </c>
      <c r="D1070" s="1" t="s">
        <v>3092</v>
      </c>
      <c r="E1070" s="1" t="s">
        <v>122</v>
      </c>
      <c r="G1070">
        <v>432618</v>
      </c>
      <c r="H1070" t="s">
        <v>3086</v>
      </c>
      <c r="I1070" t="s">
        <v>3087</v>
      </c>
      <c r="J1070">
        <v>39</v>
      </c>
      <c r="K1070">
        <v>432618</v>
      </c>
      <c r="L1070">
        <v>50341</v>
      </c>
      <c r="M1070" t="s">
        <v>146</v>
      </c>
      <c r="N1070">
        <v>118</v>
      </c>
      <c r="O1070" s="2">
        <v>46234</v>
      </c>
      <c r="P1070" s="2">
        <v>46289</v>
      </c>
      <c r="R1070" t="s">
        <v>3093</v>
      </c>
      <c r="S1070" t="str">
        <f>"00013429"</f>
        <v>00013429</v>
      </c>
      <c r="T1070" t="s">
        <v>41</v>
      </c>
      <c r="U1070">
        <v>4781.07</v>
      </c>
      <c r="V1070">
        <v>4781.07</v>
      </c>
      <c r="W1070">
        <v>4781.07</v>
      </c>
      <c r="X1070">
        <v>0</v>
      </c>
      <c r="Y1070">
        <v>0</v>
      </c>
      <c r="Z1070">
        <v>-514</v>
      </c>
      <c r="AA1070" t="s">
        <v>3094</v>
      </c>
      <c r="AD1070" t="s">
        <v>2556</v>
      </c>
      <c r="AE1070" t="s">
        <v>3090</v>
      </c>
      <c r="AF1070" t="s">
        <v>2556</v>
      </c>
      <c r="AG1070" s="1" t="s">
        <v>3091</v>
      </c>
      <c r="AH1070" t="s">
        <v>2472</v>
      </c>
    </row>
    <row r="1071" spans="1:34" x14ac:dyDescent="0.3">
      <c r="A1071">
        <v>104</v>
      </c>
      <c r="B1071" t="s">
        <v>34</v>
      </c>
      <c r="C1071">
        <v>4</v>
      </c>
      <c r="D1071" s="1" t="s">
        <v>3095</v>
      </c>
      <c r="E1071" s="1" t="s">
        <v>36</v>
      </c>
      <c r="G1071">
        <v>434949</v>
      </c>
      <c r="H1071" t="s">
        <v>3096</v>
      </c>
      <c r="I1071" t="s">
        <v>3097</v>
      </c>
      <c r="J1071">
        <v>39</v>
      </c>
      <c r="K1071">
        <v>434949</v>
      </c>
      <c r="L1071">
        <v>50341</v>
      </c>
      <c r="M1071" t="s">
        <v>146</v>
      </c>
      <c r="N1071">
        <v>118</v>
      </c>
      <c r="O1071" s="2">
        <v>46202</v>
      </c>
      <c r="P1071" s="2">
        <v>46279</v>
      </c>
      <c r="R1071" t="s">
        <v>3098</v>
      </c>
      <c r="S1071" t="str">
        <f>"00012928"</f>
        <v>00012928</v>
      </c>
      <c r="T1071" t="s">
        <v>41</v>
      </c>
      <c r="U1071">
        <v>119043.61</v>
      </c>
      <c r="V1071">
        <v>118677.88</v>
      </c>
      <c r="W1071">
        <v>118677.88</v>
      </c>
      <c r="X1071">
        <v>0</v>
      </c>
      <c r="Y1071">
        <v>0</v>
      </c>
      <c r="Z1071">
        <v>-504</v>
      </c>
      <c r="AA1071" t="s">
        <v>3099</v>
      </c>
      <c r="AD1071" t="s">
        <v>2610</v>
      </c>
      <c r="AE1071" t="s">
        <v>3100</v>
      </c>
      <c r="AF1071" t="s">
        <v>2610</v>
      </c>
      <c r="AG1071">
        <v>13446587000109</v>
      </c>
      <c r="AH1071" t="s">
        <v>2484</v>
      </c>
    </row>
    <row r="1072" spans="1:34" x14ac:dyDescent="0.3">
      <c r="A1072">
        <v>104</v>
      </c>
      <c r="B1072" t="s">
        <v>34</v>
      </c>
      <c r="C1072">
        <v>4</v>
      </c>
      <c r="D1072" s="1" t="s">
        <v>3101</v>
      </c>
      <c r="E1072" s="1" t="s">
        <v>36</v>
      </c>
      <c r="G1072">
        <v>434949</v>
      </c>
      <c r="H1072" t="s">
        <v>3096</v>
      </c>
      <c r="I1072" t="s">
        <v>3097</v>
      </c>
      <c r="J1072">
        <v>39</v>
      </c>
      <c r="K1072">
        <v>434949</v>
      </c>
      <c r="L1072">
        <v>50341</v>
      </c>
      <c r="M1072" t="s">
        <v>146</v>
      </c>
      <c r="N1072">
        <v>118</v>
      </c>
      <c r="O1072" s="2">
        <v>46230</v>
      </c>
      <c r="P1072" s="2">
        <v>46307</v>
      </c>
      <c r="R1072" t="s">
        <v>3102</v>
      </c>
      <c r="S1072" t="str">
        <f>"00013358"</f>
        <v>00013358</v>
      </c>
      <c r="T1072" t="s">
        <v>41</v>
      </c>
      <c r="U1072">
        <v>141773.54</v>
      </c>
      <c r="V1072">
        <v>141773.54</v>
      </c>
      <c r="W1072">
        <v>141773.54</v>
      </c>
      <c r="X1072">
        <v>0</v>
      </c>
      <c r="Y1072">
        <v>0</v>
      </c>
      <c r="Z1072">
        <v>-532</v>
      </c>
      <c r="AA1072" t="s">
        <v>3103</v>
      </c>
      <c r="AD1072" t="s">
        <v>2610</v>
      </c>
      <c r="AE1072" t="s">
        <v>3100</v>
      </c>
      <c r="AF1072" t="s">
        <v>2610</v>
      </c>
      <c r="AG1072">
        <v>13446587000109</v>
      </c>
      <c r="AH1072" t="s">
        <v>2484</v>
      </c>
    </row>
    <row r="1073" spans="1:34" x14ac:dyDescent="0.3">
      <c r="A1073">
        <v>106</v>
      </c>
      <c r="B1073" t="s">
        <v>34</v>
      </c>
      <c r="C1073">
        <v>2</v>
      </c>
      <c r="D1073" s="1" t="s">
        <v>3104</v>
      </c>
      <c r="E1073" s="1" t="s">
        <v>36</v>
      </c>
      <c r="G1073">
        <v>434949</v>
      </c>
      <c r="H1073" t="s">
        <v>3096</v>
      </c>
      <c r="I1073" t="s">
        <v>3097</v>
      </c>
      <c r="J1073">
        <v>39</v>
      </c>
      <c r="K1073">
        <v>434949</v>
      </c>
      <c r="L1073">
        <v>50341</v>
      </c>
      <c r="M1073" t="s">
        <v>146</v>
      </c>
      <c r="N1073">
        <v>118</v>
      </c>
      <c r="O1073" s="2">
        <v>46202</v>
      </c>
      <c r="P1073" s="2">
        <v>46277</v>
      </c>
      <c r="R1073" t="s">
        <v>3105</v>
      </c>
      <c r="S1073" t="str">
        <f>"00012924"</f>
        <v>00012924</v>
      </c>
      <c r="T1073" t="s">
        <v>41</v>
      </c>
      <c r="U1073">
        <v>76806.98</v>
      </c>
      <c r="V1073">
        <v>76806.98</v>
      </c>
      <c r="W1073">
        <v>76806.98</v>
      </c>
      <c r="X1073">
        <v>0</v>
      </c>
      <c r="Y1073">
        <v>0</v>
      </c>
      <c r="Z1073">
        <v>-502</v>
      </c>
      <c r="AA1073" t="s">
        <v>3106</v>
      </c>
      <c r="AD1073" t="s">
        <v>2610</v>
      </c>
      <c r="AE1073" t="s">
        <v>3100</v>
      </c>
      <c r="AF1073" t="s">
        <v>2610</v>
      </c>
      <c r="AG1073">
        <v>13446587000109</v>
      </c>
      <c r="AH1073" t="s">
        <v>2484</v>
      </c>
    </row>
    <row r="1074" spans="1:34" x14ac:dyDescent="0.3">
      <c r="A1074">
        <v>106</v>
      </c>
      <c r="B1074" t="s">
        <v>34</v>
      </c>
      <c r="C1074">
        <v>2</v>
      </c>
      <c r="D1074" s="1" t="s">
        <v>3107</v>
      </c>
      <c r="E1074" s="1" t="s">
        <v>36</v>
      </c>
      <c r="G1074">
        <v>434949</v>
      </c>
      <c r="H1074" t="s">
        <v>3096</v>
      </c>
      <c r="I1074" t="s">
        <v>3097</v>
      </c>
      <c r="J1074">
        <v>39</v>
      </c>
      <c r="K1074">
        <v>434949</v>
      </c>
      <c r="L1074">
        <v>50341</v>
      </c>
      <c r="M1074" t="s">
        <v>146</v>
      </c>
      <c r="N1074">
        <v>118</v>
      </c>
      <c r="O1074" s="2">
        <v>46203</v>
      </c>
      <c r="P1074" s="2">
        <v>46278</v>
      </c>
      <c r="R1074" t="s">
        <v>3108</v>
      </c>
      <c r="S1074" t="str">
        <f>"00013033"</f>
        <v>00013033</v>
      </c>
      <c r="T1074" t="s">
        <v>41</v>
      </c>
      <c r="U1074">
        <v>22610.12</v>
      </c>
      <c r="V1074">
        <v>22610.12</v>
      </c>
      <c r="W1074">
        <v>22610.12</v>
      </c>
      <c r="X1074">
        <v>0</v>
      </c>
      <c r="Y1074">
        <v>0</v>
      </c>
      <c r="Z1074">
        <v>-503</v>
      </c>
      <c r="AA1074" t="s">
        <v>3106</v>
      </c>
      <c r="AD1074" t="s">
        <v>2610</v>
      </c>
      <c r="AE1074" t="s">
        <v>3100</v>
      </c>
      <c r="AF1074" t="s">
        <v>2610</v>
      </c>
      <c r="AG1074">
        <v>13446587000109</v>
      </c>
      <c r="AH1074" t="s">
        <v>2484</v>
      </c>
    </row>
    <row r="1075" spans="1:34" x14ac:dyDescent="0.3">
      <c r="A1075">
        <v>106</v>
      </c>
      <c r="B1075" t="s">
        <v>34</v>
      </c>
      <c r="C1075">
        <v>2</v>
      </c>
      <c r="D1075" s="1" t="s">
        <v>3109</v>
      </c>
      <c r="E1075" s="1" t="s">
        <v>36</v>
      </c>
      <c r="G1075">
        <v>434949</v>
      </c>
      <c r="H1075" t="s">
        <v>3096</v>
      </c>
      <c r="I1075" t="s">
        <v>3097</v>
      </c>
      <c r="J1075">
        <v>39</v>
      </c>
      <c r="K1075">
        <v>434949</v>
      </c>
      <c r="L1075">
        <v>50341</v>
      </c>
      <c r="M1075" t="s">
        <v>146</v>
      </c>
      <c r="N1075">
        <v>118</v>
      </c>
      <c r="O1075" s="2">
        <v>46231</v>
      </c>
      <c r="P1075" s="2">
        <v>46306</v>
      </c>
      <c r="R1075" t="s">
        <v>3110</v>
      </c>
      <c r="S1075" t="str">
        <f>"00013562"</f>
        <v>00013562</v>
      </c>
      <c r="T1075" t="s">
        <v>41</v>
      </c>
      <c r="U1075">
        <v>53457.01</v>
      </c>
      <c r="V1075">
        <v>53457.01</v>
      </c>
      <c r="W1075">
        <v>53457.01</v>
      </c>
      <c r="X1075">
        <v>0</v>
      </c>
      <c r="Y1075">
        <v>0</v>
      </c>
      <c r="Z1075">
        <v>-531</v>
      </c>
      <c r="AA1075" t="s">
        <v>3111</v>
      </c>
      <c r="AD1075" t="s">
        <v>2610</v>
      </c>
      <c r="AE1075" t="s">
        <v>3100</v>
      </c>
      <c r="AF1075" t="s">
        <v>2610</v>
      </c>
      <c r="AG1075">
        <v>13446587000109</v>
      </c>
      <c r="AH1075" t="s">
        <v>2484</v>
      </c>
    </row>
    <row r="1076" spans="1:34" x14ac:dyDescent="0.3">
      <c r="A1076">
        <v>106</v>
      </c>
      <c r="B1076" t="s">
        <v>34</v>
      </c>
      <c r="C1076">
        <v>2</v>
      </c>
      <c r="D1076" s="1" t="s">
        <v>3112</v>
      </c>
      <c r="E1076" s="1" t="s">
        <v>122</v>
      </c>
      <c r="G1076">
        <v>453580</v>
      </c>
      <c r="H1076" t="s">
        <v>3113</v>
      </c>
      <c r="I1076" t="s">
        <v>3114</v>
      </c>
      <c r="J1076">
        <v>39</v>
      </c>
      <c r="K1076">
        <v>432618</v>
      </c>
      <c r="L1076">
        <v>50341</v>
      </c>
      <c r="M1076" t="s">
        <v>146</v>
      </c>
      <c r="N1076">
        <v>118</v>
      </c>
      <c r="O1076" s="2">
        <v>46234</v>
      </c>
      <c r="P1076" s="2">
        <v>46289</v>
      </c>
      <c r="R1076" t="s">
        <v>3115</v>
      </c>
      <c r="S1076" t="str">
        <f>"00013437"</f>
        <v>00013437</v>
      </c>
      <c r="T1076" t="s">
        <v>41</v>
      </c>
      <c r="U1076">
        <v>139.36000000000001</v>
      </c>
      <c r="V1076">
        <v>139.36000000000001</v>
      </c>
      <c r="W1076">
        <v>139.36000000000001</v>
      </c>
      <c r="X1076">
        <v>0</v>
      </c>
      <c r="Y1076">
        <v>0</v>
      </c>
      <c r="Z1076">
        <v>-514</v>
      </c>
      <c r="AA1076" t="s">
        <v>3116</v>
      </c>
      <c r="AD1076" t="s">
        <v>2470</v>
      </c>
      <c r="AE1076" t="s">
        <v>3117</v>
      </c>
      <c r="AF1076" t="s">
        <v>2470</v>
      </c>
      <c r="AG1076">
        <v>34452442000190</v>
      </c>
      <c r="AH1076" t="s">
        <v>2472</v>
      </c>
    </row>
    <row r="1077" spans="1:34" x14ac:dyDescent="0.3">
      <c r="A1077">
        <v>106</v>
      </c>
      <c r="B1077" t="s">
        <v>34</v>
      </c>
      <c r="C1077">
        <v>2</v>
      </c>
      <c r="D1077" s="1" t="s">
        <v>3118</v>
      </c>
      <c r="E1077" s="1" t="s">
        <v>116</v>
      </c>
      <c r="G1077">
        <v>453580</v>
      </c>
      <c r="H1077" t="s">
        <v>3113</v>
      </c>
      <c r="I1077" t="s">
        <v>3114</v>
      </c>
      <c r="J1077">
        <v>39</v>
      </c>
      <c r="K1077">
        <v>432618</v>
      </c>
      <c r="L1077">
        <v>50341</v>
      </c>
      <c r="M1077" t="s">
        <v>146</v>
      </c>
      <c r="N1077">
        <v>118</v>
      </c>
      <c r="O1077" s="2">
        <v>46195</v>
      </c>
      <c r="P1077" s="2">
        <v>46260</v>
      </c>
      <c r="R1077" t="s">
        <v>3119</v>
      </c>
      <c r="S1077" t="str">
        <f>"00012795"</f>
        <v>00012795</v>
      </c>
      <c r="T1077" t="s">
        <v>41</v>
      </c>
      <c r="U1077">
        <v>10907.1</v>
      </c>
      <c r="V1077">
        <v>10307.1</v>
      </c>
      <c r="W1077">
        <v>10307.1</v>
      </c>
      <c r="X1077">
        <v>0</v>
      </c>
      <c r="Y1077">
        <v>0</v>
      </c>
      <c r="Z1077">
        <v>-485</v>
      </c>
      <c r="AA1077" t="s">
        <v>3120</v>
      </c>
      <c r="AD1077" t="s">
        <v>2470</v>
      </c>
      <c r="AE1077" t="s">
        <v>3117</v>
      </c>
      <c r="AF1077" t="s">
        <v>2470</v>
      </c>
      <c r="AG1077">
        <v>34452442000190</v>
      </c>
      <c r="AH1077" t="s">
        <v>2472</v>
      </c>
    </row>
    <row r="1078" spans="1:34" x14ac:dyDescent="0.3">
      <c r="A1078">
        <v>106</v>
      </c>
      <c r="B1078" t="s">
        <v>34</v>
      </c>
      <c r="C1078">
        <v>2</v>
      </c>
      <c r="D1078" s="1" t="s">
        <v>3121</v>
      </c>
      <c r="E1078" s="1" t="s">
        <v>116</v>
      </c>
      <c r="G1078">
        <v>453580</v>
      </c>
      <c r="H1078" t="s">
        <v>3113</v>
      </c>
      <c r="I1078" t="s">
        <v>3114</v>
      </c>
      <c r="J1078">
        <v>39</v>
      </c>
      <c r="K1078">
        <v>432618</v>
      </c>
      <c r="L1078">
        <v>50341</v>
      </c>
      <c r="M1078" t="s">
        <v>146</v>
      </c>
      <c r="N1078">
        <v>118</v>
      </c>
      <c r="O1078" s="2">
        <v>46233</v>
      </c>
      <c r="P1078" s="2">
        <v>46298</v>
      </c>
      <c r="R1078" t="s">
        <v>3122</v>
      </c>
      <c r="S1078" t="str">
        <f>"00013390"</f>
        <v>00013390</v>
      </c>
      <c r="T1078" t="s">
        <v>41</v>
      </c>
      <c r="U1078">
        <v>6764.18</v>
      </c>
      <c r="V1078">
        <v>6464.18</v>
      </c>
      <c r="W1078">
        <v>6464.18</v>
      </c>
      <c r="X1078">
        <v>0</v>
      </c>
      <c r="Y1078">
        <v>0</v>
      </c>
      <c r="Z1078">
        <v>-523</v>
      </c>
      <c r="AA1078" t="s">
        <v>3116</v>
      </c>
      <c r="AD1078" t="s">
        <v>2470</v>
      </c>
      <c r="AE1078" t="s">
        <v>3117</v>
      </c>
      <c r="AF1078" t="s">
        <v>2470</v>
      </c>
      <c r="AG1078">
        <v>34452442000190</v>
      </c>
      <c r="AH1078" t="s">
        <v>2472</v>
      </c>
    </row>
    <row r="1079" spans="1:34" x14ac:dyDescent="0.3">
      <c r="A1079">
        <v>106</v>
      </c>
      <c r="B1079" t="s">
        <v>34</v>
      </c>
      <c r="C1079">
        <v>2</v>
      </c>
      <c r="D1079" s="1" t="s">
        <v>3121</v>
      </c>
      <c r="E1079" s="1" t="s">
        <v>36</v>
      </c>
      <c r="G1079">
        <v>453580</v>
      </c>
      <c r="H1079" t="s">
        <v>3113</v>
      </c>
      <c r="I1079" t="s">
        <v>3114</v>
      </c>
      <c r="J1079">
        <v>39</v>
      </c>
      <c r="K1079">
        <v>432618</v>
      </c>
      <c r="L1079">
        <v>50341</v>
      </c>
      <c r="M1079" t="s">
        <v>146</v>
      </c>
      <c r="N1079">
        <v>118</v>
      </c>
      <c r="O1079" s="2">
        <v>46233</v>
      </c>
      <c r="P1079" s="2">
        <v>46278</v>
      </c>
      <c r="R1079" t="s">
        <v>3122</v>
      </c>
      <c r="S1079" t="str">
        <f>"00013394"</f>
        <v>00013394</v>
      </c>
      <c r="T1079" t="s">
        <v>41</v>
      </c>
      <c r="U1079">
        <v>8678.2999999999993</v>
      </c>
      <c r="V1079">
        <v>8378.2999999999993</v>
      </c>
      <c r="W1079">
        <v>8378.2999999999993</v>
      </c>
      <c r="X1079">
        <v>0</v>
      </c>
      <c r="Y1079">
        <v>0</v>
      </c>
      <c r="Z1079">
        <v>-503</v>
      </c>
      <c r="AA1079" t="s">
        <v>3116</v>
      </c>
      <c r="AD1079" t="s">
        <v>2470</v>
      </c>
      <c r="AE1079" t="s">
        <v>3117</v>
      </c>
      <c r="AF1079" t="s">
        <v>2470</v>
      </c>
      <c r="AG1079">
        <v>34452442000190</v>
      </c>
      <c r="AH1079" t="s">
        <v>2472</v>
      </c>
    </row>
    <row r="1080" spans="1:34" x14ac:dyDescent="0.3">
      <c r="A1080">
        <v>106</v>
      </c>
      <c r="B1080" t="s">
        <v>34</v>
      </c>
      <c r="C1080">
        <v>2</v>
      </c>
      <c r="D1080" s="1" t="s">
        <v>3112</v>
      </c>
      <c r="E1080" s="1" t="s">
        <v>36</v>
      </c>
      <c r="G1080">
        <v>453580</v>
      </c>
      <c r="H1080" t="s">
        <v>3113</v>
      </c>
      <c r="I1080" t="s">
        <v>3114</v>
      </c>
      <c r="J1080">
        <v>39</v>
      </c>
      <c r="K1080">
        <v>432618</v>
      </c>
      <c r="L1080">
        <v>50341</v>
      </c>
      <c r="M1080" t="s">
        <v>146</v>
      </c>
      <c r="N1080">
        <v>118</v>
      </c>
      <c r="O1080" s="2">
        <v>46234</v>
      </c>
      <c r="P1080" s="2">
        <v>46279</v>
      </c>
      <c r="R1080" t="s">
        <v>3115</v>
      </c>
      <c r="S1080" t="str">
        <f>"00013436"</f>
        <v>00013436</v>
      </c>
      <c r="T1080" t="s">
        <v>41</v>
      </c>
      <c r="U1080">
        <v>180.13</v>
      </c>
      <c r="V1080">
        <v>180.13</v>
      </c>
      <c r="W1080">
        <v>180.13</v>
      </c>
      <c r="X1080">
        <v>0</v>
      </c>
      <c r="Y1080">
        <v>0</v>
      </c>
      <c r="Z1080">
        <v>-504</v>
      </c>
      <c r="AA1080" t="s">
        <v>3116</v>
      </c>
      <c r="AD1080" t="s">
        <v>2470</v>
      </c>
      <c r="AE1080" t="s">
        <v>3117</v>
      </c>
      <c r="AF1080" t="s">
        <v>2470</v>
      </c>
      <c r="AG1080">
        <v>34452442000190</v>
      </c>
      <c r="AH1080" t="s">
        <v>2472</v>
      </c>
    </row>
    <row r="1081" spans="1:34" x14ac:dyDescent="0.3">
      <c r="A1081">
        <v>106</v>
      </c>
      <c r="B1081" t="s">
        <v>34</v>
      </c>
      <c r="C1081">
        <v>2</v>
      </c>
      <c r="D1081" s="1" t="s">
        <v>3112</v>
      </c>
      <c r="E1081" s="1" t="s">
        <v>116</v>
      </c>
      <c r="G1081">
        <v>453580</v>
      </c>
      <c r="H1081" t="s">
        <v>3113</v>
      </c>
      <c r="I1081" t="s">
        <v>3114</v>
      </c>
      <c r="J1081">
        <v>39</v>
      </c>
      <c r="K1081">
        <v>432618</v>
      </c>
      <c r="L1081">
        <v>50341</v>
      </c>
      <c r="M1081" t="s">
        <v>146</v>
      </c>
      <c r="N1081">
        <v>118</v>
      </c>
      <c r="O1081" s="2">
        <v>46234</v>
      </c>
      <c r="P1081" s="2">
        <v>46299</v>
      </c>
      <c r="R1081" t="s">
        <v>3115</v>
      </c>
      <c r="S1081" t="str">
        <f>"00013438"</f>
        <v>00013438</v>
      </c>
      <c r="T1081" t="s">
        <v>41</v>
      </c>
      <c r="U1081">
        <v>139.4</v>
      </c>
      <c r="V1081">
        <v>139.4</v>
      </c>
      <c r="W1081">
        <v>139.4</v>
      </c>
      <c r="X1081">
        <v>0</v>
      </c>
      <c r="Y1081">
        <v>0</v>
      </c>
      <c r="Z1081">
        <v>-524</v>
      </c>
      <c r="AA1081" t="s">
        <v>3116</v>
      </c>
      <c r="AD1081" t="s">
        <v>2470</v>
      </c>
      <c r="AE1081" t="s">
        <v>3117</v>
      </c>
      <c r="AF1081" t="s">
        <v>2470</v>
      </c>
      <c r="AG1081">
        <v>34452442000190</v>
      </c>
      <c r="AH1081" t="s">
        <v>2472</v>
      </c>
    </row>
    <row r="1082" spans="1:34" x14ac:dyDescent="0.3">
      <c r="A1082">
        <v>106</v>
      </c>
      <c r="B1082" t="s">
        <v>34</v>
      </c>
      <c r="C1082">
        <v>2</v>
      </c>
      <c r="D1082" s="1" t="s">
        <v>3121</v>
      </c>
      <c r="E1082" s="1" t="s">
        <v>122</v>
      </c>
      <c r="G1082">
        <v>453580</v>
      </c>
      <c r="H1082" t="s">
        <v>3113</v>
      </c>
      <c r="I1082" t="s">
        <v>3114</v>
      </c>
      <c r="J1082">
        <v>39</v>
      </c>
      <c r="K1082">
        <v>432618</v>
      </c>
      <c r="L1082">
        <v>50341</v>
      </c>
      <c r="M1082" t="s">
        <v>146</v>
      </c>
      <c r="N1082">
        <v>118</v>
      </c>
      <c r="O1082" s="2">
        <v>46233</v>
      </c>
      <c r="P1082" s="2">
        <v>46288</v>
      </c>
      <c r="R1082" t="s">
        <v>3122</v>
      </c>
      <c r="S1082" t="str">
        <f>"00013389"</f>
        <v>00013389</v>
      </c>
      <c r="T1082" t="s">
        <v>41</v>
      </c>
      <c r="U1082">
        <v>6762.14</v>
      </c>
      <c r="V1082">
        <v>6462.14</v>
      </c>
      <c r="W1082">
        <v>6462.14</v>
      </c>
      <c r="X1082">
        <v>0</v>
      </c>
      <c r="Y1082">
        <v>0</v>
      </c>
      <c r="Z1082">
        <v>-513</v>
      </c>
      <c r="AA1082" t="s">
        <v>3116</v>
      </c>
      <c r="AD1082" t="s">
        <v>2470</v>
      </c>
      <c r="AE1082" t="s">
        <v>3117</v>
      </c>
      <c r="AF1082" t="s">
        <v>2470</v>
      </c>
      <c r="AG1082">
        <v>34452442000190</v>
      </c>
      <c r="AH1082" t="s">
        <v>2472</v>
      </c>
    </row>
    <row r="1083" spans="1:34" x14ac:dyDescent="0.3">
      <c r="A1083">
        <v>104</v>
      </c>
      <c r="B1083" t="s">
        <v>34</v>
      </c>
      <c r="C1083">
        <v>4</v>
      </c>
      <c r="D1083" s="1" t="s">
        <v>3123</v>
      </c>
      <c r="E1083" s="1" t="s">
        <v>116</v>
      </c>
      <c r="G1083">
        <v>453580</v>
      </c>
      <c r="H1083" t="s">
        <v>3113</v>
      </c>
      <c r="I1083" t="s">
        <v>3114</v>
      </c>
      <c r="J1083">
        <v>39</v>
      </c>
      <c r="K1083">
        <v>432618</v>
      </c>
      <c r="L1083">
        <v>50341</v>
      </c>
      <c r="M1083" t="s">
        <v>146</v>
      </c>
      <c r="N1083">
        <v>118</v>
      </c>
      <c r="O1083" s="2">
        <v>46195</v>
      </c>
      <c r="P1083" s="2">
        <v>46260</v>
      </c>
      <c r="R1083" t="s">
        <v>3124</v>
      </c>
      <c r="S1083" t="str">
        <f>"00012665"</f>
        <v>00012665</v>
      </c>
      <c r="T1083" t="s">
        <v>41</v>
      </c>
      <c r="U1083">
        <v>4334.63</v>
      </c>
      <c r="V1083">
        <v>4334.63</v>
      </c>
      <c r="W1083">
        <v>4334.63</v>
      </c>
      <c r="X1083">
        <v>0</v>
      </c>
      <c r="Y1083">
        <v>0</v>
      </c>
      <c r="Z1083">
        <v>-485</v>
      </c>
      <c r="AA1083" t="s">
        <v>3125</v>
      </c>
      <c r="AD1083" t="s">
        <v>2470</v>
      </c>
      <c r="AE1083" t="s">
        <v>3117</v>
      </c>
      <c r="AF1083" t="s">
        <v>2470</v>
      </c>
      <c r="AG1083">
        <v>34452442000190</v>
      </c>
      <c r="AH1083" t="s">
        <v>2472</v>
      </c>
    </row>
    <row r="1084" spans="1:34" x14ac:dyDescent="0.3">
      <c r="A1084">
        <v>104</v>
      </c>
      <c r="B1084" t="s">
        <v>34</v>
      </c>
      <c r="C1084">
        <v>4</v>
      </c>
      <c r="D1084" s="1" t="s">
        <v>3126</v>
      </c>
      <c r="E1084" s="1" t="s">
        <v>116</v>
      </c>
      <c r="G1084">
        <v>453580</v>
      </c>
      <c r="H1084" t="s">
        <v>3113</v>
      </c>
      <c r="I1084" t="s">
        <v>3114</v>
      </c>
      <c r="J1084">
        <v>39</v>
      </c>
      <c r="K1084">
        <v>432618</v>
      </c>
      <c r="L1084">
        <v>50341</v>
      </c>
      <c r="M1084" t="s">
        <v>146</v>
      </c>
      <c r="N1084">
        <v>118</v>
      </c>
      <c r="O1084" s="2">
        <v>46233</v>
      </c>
      <c r="P1084" s="2">
        <v>46300</v>
      </c>
      <c r="R1084" t="s">
        <v>3127</v>
      </c>
      <c r="S1084" t="str">
        <f>"00013380"</f>
        <v>00013380</v>
      </c>
      <c r="T1084" t="s">
        <v>41</v>
      </c>
      <c r="U1084">
        <v>3140.12</v>
      </c>
      <c r="V1084">
        <v>3140.12</v>
      </c>
      <c r="W1084">
        <v>3140.12</v>
      </c>
      <c r="X1084">
        <v>0</v>
      </c>
      <c r="Y1084">
        <v>0</v>
      </c>
      <c r="Z1084">
        <v>-525</v>
      </c>
      <c r="AA1084" t="s">
        <v>3128</v>
      </c>
      <c r="AD1084" t="s">
        <v>2470</v>
      </c>
      <c r="AE1084" t="s">
        <v>3117</v>
      </c>
      <c r="AF1084" t="s">
        <v>2470</v>
      </c>
      <c r="AG1084">
        <v>34452442000190</v>
      </c>
      <c r="AH1084" t="s">
        <v>2472</v>
      </c>
    </row>
    <row r="1085" spans="1:34" x14ac:dyDescent="0.3">
      <c r="A1085">
        <v>104</v>
      </c>
      <c r="B1085" t="s">
        <v>34</v>
      </c>
      <c r="C1085">
        <v>4</v>
      </c>
      <c r="D1085" s="1" t="s">
        <v>3126</v>
      </c>
      <c r="E1085" s="1" t="s">
        <v>36</v>
      </c>
      <c r="G1085">
        <v>453580</v>
      </c>
      <c r="H1085" t="s">
        <v>3113</v>
      </c>
      <c r="I1085" t="s">
        <v>3114</v>
      </c>
      <c r="J1085">
        <v>39</v>
      </c>
      <c r="K1085">
        <v>432618</v>
      </c>
      <c r="L1085">
        <v>50341</v>
      </c>
      <c r="M1085" t="s">
        <v>146</v>
      </c>
      <c r="N1085">
        <v>118</v>
      </c>
      <c r="O1085" s="2">
        <v>46233</v>
      </c>
      <c r="P1085" s="2">
        <v>46279</v>
      </c>
      <c r="R1085" t="s">
        <v>3127</v>
      </c>
      <c r="S1085" t="str">
        <f>"00013378"</f>
        <v>00013378</v>
      </c>
      <c r="T1085" t="s">
        <v>41</v>
      </c>
      <c r="U1085">
        <v>3302.11</v>
      </c>
      <c r="V1085">
        <v>3302.11</v>
      </c>
      <c r="W1085">
        <v>3302.11</v>
      </c>
      <c r="X1085">
        <v>0</v>
      </c>
      <c r="Y1085">
        <v>0</v>
      </c>
      <c r="Z1085">
        <v>-504</v>
      </c>
      <c r="AA1085" t="s">
        <v>3128</v>
      </c>
      <c r="AD1085" t="s">
        <v>2470</v>
      </c>
      <c r="AE1085" t="s">
        <v>3117</v>
      </c>
      <c r="AF1085" t="s">
        <v>2470</v>
      </c>
      <c r="AG1085">
        <v>34452442000190</v>
      </c>
      <c r="AH1085" t="s">
        <v>2472</v>
      </c>
    </row>
    <row r="1086" spans="1:34" x14ac:dyDescent="0.3">
      <c r="A1086">
        <v>104</v>
      </c>
      <c r="B1086" t="s">
        <v>34</v>
      </c>
      <c r="C1086">
        <v>4</v>
      </c>
      <c r="D1086" s="1" t="s">
        <v>3126</v>
      </c>
      <c r="E1086" s="1" t="s">
        <v>122</v>
      </c>
      <c r="G1086">
        <v>453580</v>
      </c>
      <c r="H1086" t="s">
        <v>3113</v>
      </c>
      <c r="I1086" t="s">
        <v>3114</v>
      </c>
      <c r="J1086">
        <v>39</v>
      </c>
      <c r="K1086">
        <v>432618</v>
      </c>
      <c r="L1086">
        <v>50341</v>
      </c>
      <c r="M1086" t="s">
        <v>146</v>
      </c>
      <c r="N1086">
        <v>118</v>
      </c>
      <c r="O1086" s="2">
        <v>46233</v>
      </c>
      <c r="P1086" s="2">
        <v>46288</v>
      </c>
      <c r="R1086" t="s">
        <v>3127</v>
      </c>
      <c r="S1086" t="str">
        <f>"00013379"</f>
        <v>00013379</v>
      </c>
      <c r="T1086" t="s">
        <v>41</v>
      </c>
      <c r="U1086">
        <v>3139.17</v>
      </c>
      <c r="V1086">
        <v>3139.17</v>
      </c>
      <c r="W1086">
        <v>3139.17</v>
      </c>
      <c r="X1086">
        <v>0</v>
      </c>
      <c r="Y1086">
        <v>0</v>
      </c>
      <c r="Z1086">
        <v>-513</v>
      </c>
      <c r="AA1086" t="s">
        <v>3128</v>
      </c>
      <c r="AD1086" t="s">
        <v>2470</v>
      </c>
      <c r="AE1086" t="s">
        <v>3117</v>
      </c>
      <c r="AF1086" t="s">
        <v>2470</v>
      </c>
      <c r="AG1086">
        <v>34452442000190</v>
      </c>
      <c r="AH1086" t="s">
        <v>2472</v>
      </c>
    </row>
    <row r="1087" spans="1:34" x14ac:dyDescent="0.3">
      <c r="A1087">
        <v>104</v>
      </c>
      <c r="B1087" t="s">
        <v>34</v>
      </c>
      <c r="C1087">
        <v>4</v>
      </c>
      <c r="D1087" s="1" t="s">
        <v>3129</v>
      </c>
      <c r="E1087" s="1" t="s">
        <v>36</v>
      </c>
      <c r="G1087">
        <v>8480</v>
      </c>
      <c r="H1087" t="s">
        <v>3130</v>
      </c>
      <c r="I1087" t="s">
        <v>3131</v>
      </c>
      <c r="J1087">
        <v>15</v>
      </c>
      <c r="K1087">
        <v>4716</v>
      </c>
      <c r="L1087">
        <v>95000</v>
      </c>
      <c r="M1087" t="s">
        <v>69</v>
      </c>
      <c r="N1087">
        <v>183</v>
      </c>
      <c r="O1087" s="2">
        <v>46238</v>
      </c>
      <c r="P1087" s="2">
        <v>46328</v>
      </c>
      <c r="R1087" t="s">
        <v>3132</v>
      </c>
      <c r="S1087" t="str">
        <f>""</f>
        <v/>
      </c>
      <c r="T1087" t="s">
        <v>41</v>
      </c>
      <c r="U1087">
        <v>11525.24</v>
      </c>
      <c r="V1087">
        <v>11121.86</v>
      </c>
      <c r="W1087">
        <v>11121.86</v>
      </c>
      <c r="X1087">
        <v>0</v>
      </c>
      <c r="Y1087">
        <v>0</v>
      </c>
      <c r="Z1087">
        <v>-553</v>
      </c>
      <c r="AA1087">
        <v>696069</v>
      </c>
      <c r="AD1087" t="s">
        <v>64</v>
      </c>
      <c r="AF1087" t="s">
        <v>64</v>
      </c>
      <c r="AG1087">
        <v>75315333002071</v>
      </c>
      <c r="AH1087" t="s">
        <v>44</v>
      </c>
    </row>
    <row r="1088" spans="1:34" x14ac:dyDescent="0.3">
      <c r="A1088">
        <v>101</v>
      </c>
      <c r="B1088" t="s">
        <v>34</v>
      </c>
      <c r="C1088">
        <v>4</v>
      </c>
      <c r="D1088" s="1" t="s">
        <v>3133</v>
      </c>
      <c r="E1088" t="s">
        <v>3134</v>
      </c>
      <c r="G1088">
        <v>8480</v>
      </c>
      <c r="H1088" t="s">
        <v>3130</v>
      </c>
      <c r="I1088" t="s">
        <v>3131</v>
      </c>
      <c r="J1088">
        <v>15</v>
      </c>
      <c r="K1088">
        <v>4716</v>
      </c>
      <c r="L1088">
        <v>10001</v>
      </c>
      <c r="M1088" t="s">
        <v>3135</v>
      </c>
      <c r="N1088">
        <v>183</v>
      </c>
      <c r="O1088" s="2">
        <v>46171</v>
      </c>
      <c r="P1088" s="2">
        <v>46266</v>
      </c>
      <c r="R1088" t="s">
        <v>3136</v>
      </c>
      <c r="S1088" t="str">
        <f>"07.0572790"</f>
        <v>07.0572790</v>
      </c>
      <c r="T1088" t="s">
        <v>41</v>
      </c>
      <c r="U1088">
        <v>46456.03</v>
      </c>
      <c r="V1088">
        <v>46456.03</v>
      </c>
      <c r="W1088">
        <v>46456.03</v>
      </c>
      <c r="X1088">
        <v>0</v>
      </c>
      <c r="Y1088">
        <v>0</v>
      </c>
      <c r="Z1088">
        <v>-491</v>
      </c>
      <c r="AA1088">
        <v>688926</v>
      </c>
      <c r="AD1088" t="s">
        <v>64</v>
      </c>
      <c r="AF1088" t="s">
        <v>64</v>
      </c>
      <c r="AG1088">
        <v>75315333002071</v>
      </c>
      <c r="AH1088" t="s">
        <v>44</v>
      </c>
    </row>
    <row r="1089" spans="1:34" x14ac:dyDescent="0.3">
      <c r="A1089">
        <v>101</v>
      </c>
      <c r="B1089" t="s">
        <v>34</v>
      </c>
      <c r="C1089">
        <v>4</v>
      </c>
      <c r="D1089" s="1" t="s">
        <v>3137</v>
      </c>
      <c r="E1089" t="s">
        <v>3134</v>
      </c>
      <c r="G1089">
        <v>8545</v>
      </c>
      <c r="H1089" t="s">
        <v>3138</v>
      </c>
      <c r="I1089" t="s">
        <v>3131</v>
      </c>
      <c r="J1089">
        <v>15</v>
      </c>
      <c r="K1089">
        <v>4716</v>
      </c>
      <c r="L1089">
        <v>10001</v>
      </c>
      <c r="M1089" t="s">
        <v>3135</v>
      </c>
      <c r="N1089">
        <v>183</v>
      </c>
      <c r="O1089" s="2">
        <v>46171</v>
      </c>
      <c r="P1089" s="2">
        <v>46266</v>
      </c>
      <c r="R1089" t="s">
        <v>3136</v>
      </c>
      <c r="S1089" t="str">
        <f>"07.0572790"</f>
        <v>07.0572790</v>
      </c>
      <c r="T1089" t="s">
        <v>41</v>
      </c>
      <c r="U1089">
        <v>28702.13</v>
      </c>
      <c r="V1089">
        <v>28702.13</v>
      </c>
      <c r="W1089">
        <v>28702.13</v>
      </c>
      <c r="X1089">
        <v>0</v>
      </c>
      <c r="Y1089">
        <v>0</v>
      </c>
      <c r="Z1089">
        <v>-491</v>
      </c>
      <c r="AA1089">
        <v>688914</v>
      </c>
      <c r="AD1089" t="s">
        <v>64</v>
      </c>
      <c r="AE1089" t="s">
        <v>3139</v>
      </c>
      <c r="AF1089" t="s">
        <v>64</v>
      </c>
      <c r="AG1089">
        <v>75315333004872</v>
      </c>
      <c r="AH1089" t="s">
        <v>44</v>
      </c>
    </row>
    <row r="1090" spans="1:34" x14ac:dyDescent="0.3">
      <c r="A1090">
        <v>104</v>
      </c>
      <c r="B1090" t="s">
        <v>34</v>
      </c>
      <c r="C1090">
        <v>4</v>
      </c>
      <c r="D1090" s="1" t="s">
        <v>3140</v>
      </c>
      <c r="E1090" s="1" t="s">
        <v>36</v>
      </c>
      <c r="G1090">
        <v>8545</v>
      </c>
      <c r="H1090" t="s">
        <v>3138</v>
      </c>
      <c r="I1090" t="s">
        <v>3131</v>
      </c>
      <c r="J1090">
        <v>15</v>
      </c>
      <c r="K1090">
        <v>4716</v>
      </c>
      <c r="L1090">
        <v>95000</v>
      </c>
      <c r="M1090" t="s">
        <v>69</v>
      </c>
      <c r="N1090">
        <v>183</v>
      </c>
      <c r="O1090" s="2">
        <v>46238</v>
      </c>
      <c r="P1090" s="2">
        <v>46328</v>
      </c>
      <c r="R1090" t="s">
        <v>3141</v>
      </c>
      <c r="S1090" t="str">
        <f>""</f>
        <v/>
      </c>
      <c r="T1090" t="s">
        <v>41</v>
      </c>
      <c r="U1090">
        <v>15448.88</v>
      </c>
      <c r="V1090">
        <v>14908.17</v>
      </c>
      <c r="W1090">
        <v>14908.17</v>
      </c>
      <c r="X1090">
        <v>0</v>
      </c>
      <c r="Y1090">
        <v>0</v>
      </c>
      <c r="Z1090">
        <v>-553</v>
      </c>
      <c r="AA1090">
        <v>696063</v>
      </c>
      <c r="AD1090" t="s">
        <v>64</v>
      </c>
      <c r="AE1090" t="s">
        <v>3139</v>
      </c>
      <c r="AF1090" t="s">
        <v>64</v>
      </c>
      <c r="AG1090">
        <v>75315333004872</v>
      </c>
      <c r="AH1090" t="s">
        <v>44</v>
      </c>
    </row>
    <row r="1091" spans="1:34" x14ac:dyDescent="0.3">
      <c r="A1091">
        <v>101</v>
      </c>
      <c r="B1091" t="s">
        <v>34</v>
      </c>
      <c r="C1091">
        <v>4</v>
      </c>
      <c r="D1091" s="1" t="s">
        <v>3142</v>
      </c>
      <c r="E1091" t="s">
        <v>3134</v>
      </c>
      <c r="G1091">
        <v>10887</v>
      </c>
      <c r="H1091" t="s">
        <v>3143</v>
      </c>
      <c r="I1091" t="s">
        <v>3131</v>
      </c>
      <c r="J1091">
        <v>15</v>
      </c>
      <c r="K1091">
        <v>4716</v>
      </c>
      <c r="L1091">
        <v>10001</v>
      </c>
      <c r="M1091" t="s">
        <v>3135</v>
      </c>
      <c r="N1091">
        <v>183</v>
      </c>
      <c r="O1091" s="2">
        <v>46149</v>
      </c>
      <c r="P1091" s="2">
        <v>46281</v>
      </c>
      <c r="R1091" t="s">
        <v>3144</v>
      </c>
      <c r="S1091" t="str">
        <f>"07.0574661"</f>
        <v>07.0574661</v>
      </c>
      <c r="T1091" t="s">
        <v>41</v>
      </c>
      <c r="U1091">
        <v>20035.36</v>
      </c>
      <c r="V1091">
        <v>20035.36</v>
      </c>
      <c r="W1091">
        <v>20035.36</v>
      </c>
      <c r="X1091">
        <v>0</v>
      </c>
      <c r="Y1091">
        <v>0</v>
      </c>
      <c r="Z1091">
        <v>-506</v>
      </c>
      <c r="AA1091">
        <v>687789</v>
      </c>
      <c r="AD1091" t="s">
        <v>3145</v>
      </c>
      <c r="AE1091" t="s">
        <v>3146</v>
      </c>
      <c r="AF1091" t="s">
        <v>64</v>
      </c>
      <c r="AG1091">
        <v>75315333006816</v>
      </c>
      <c r="AH1091" t="s">
        <v>44</v>
      </c>
    </row>
    <row r="1092" spans="1:34" x14ac:dyDescent="0.3">
      <c r="A1092">
        <v>101</v>
      </c>
      <c r="B1092" t="s">
        <v>34</v>
      </c>
      <c r="C1092">
        <v>4</v>
      </c>
      <c r="D1092" s="1" t="s">
        <v>3147</v>
      </c>
      <c r="E1092" t="s">
        <v>3134</v>
      </c>
      <c r="G1092">
        <v>11072</v>
      </c>
      <c r="H1092" t="s">
        <v>3148</v>
      </c>
      <c r="I1092" t="s">
        <v>3131</v>
      </c>
      <c r="J1092">
        <v>15</v>
      </c>
      <c r="K1092">
        <v>4716</v>
      </c>
      <c r="L1092">
        <v>10001</v>
      </c>
      <c r="M1092" t="s">
        <v>3135</v>
      </c>
      <c r="N1092">
        <v>183</v>
      </c>
      <c r="O1092" s="2">
        <v>46171</v>
      </c>
      <c r="P1092" s="2">
        <v>46266</v>
      </c>
      <c r="R1092" t="s">
        <v>3136</v>
      </c>
      <c r="S1092" t="str">
        <f>"07.0572790"</f>
        <v>07.0572790</v>
      </c>
      <c r="T1092" t="s">
        <v>41</v>
      </c>
      <c r="U1092">
        <v>54077.440000000002</v>
      </c>
      <c r="V1092">
        <v>54077.440000000002</v>
      </c>
      <c r="W1092">
        <v>54077.440000000002</v>
      </c>
      <c r="X1092">
        <v>0</v>
      </c>
      <c r="Y1092">
        <v>0</v>
      </c>
      <c r="Z1092">
        <v>-491</v>
      </c>
      <c r="AA1092">
        <v>688860</v>
      </c>
      <c r="AD1092" t="s">
        <v>64</v>
      </c>
      <c r="AE1092" t="s">
        <v>3149</v>
      </c>
      <c r="AF1092" t="s">
        <v>3150</v>
      </c>
      <c r="AG1092">
        <v>75315333000613</v>
      </c>
      <c r="AH1092" t="s">
        <v>44</v>
      </c>
    </row>
    <row r="1093" spans="1:34" x14ac:dyDescent="0.3">
      <c r="A1093">
        <v>104</v>
      </c>
      <c r="B1093" t="s">
        <v>34</v>
      </c>
      <c r="C1093">
        <v>4</v>
      </c>
      <c r="D1093" s="1" t="s">
        <v>3151</v>
      </c>
      <c r="E1093" s="1" t="s">
        <v>36</v>
      </c>
      <c r="G1093">
        <v>11072</v>
      </c>
      <c r="H1093" t="s">
        <v>3148</v>
      </c>
      <c r="I1093" t="s">
        <v>3131</v>
      </c>
      <c r="J1093">
        <v>15</v>
      </c>
      <c r="K1093">
        <v>4716</v>
      </c>
      <c r="L1093">
        <v>95000</v>
      </c>
      <c r="M1093" t="s">
        <v>69</v>
      </c>
      <c r="N1093">
        <v>183</v>
      </c>
      <c r="O1093" s="2">
        <v>46238</v>
      </c>
      <c r="P1093" s="2">
        <v>46308</v>
      </c>
      <c r="R1093" t="s">
        <v>3152</v>
      </c>
      <c r="S1093" t="str">
        <f>""</f>
        <v/>
      </c>
      <c r="T1093" t="s">
        <v>41</v>
      </c>
      <c r="U1093">
        <v>26716.18</v>
      </c>
      <c r="V1093">
        <v>25781.11</v>
      </c>
      <c r="W1093">
        <v>25781.11</v>
      </c>
      <c r="X1093">
        <v>0</v>
      </c>
      <c r="Y1093">
        <v>0</v>
      </c>
      <c r="Z1093">
        <v>-533</v>
      </c>
      <c r="AA1093">
        <v>696011</v>
      </c>
      <c r="AD1093" t="s">
        <v>64</v>
      </c>
      <c r="AE1093" t="s">
        <v>3149</v>
      </c>
      <c r="AF1093" t="s">
        <v>3150</v>
      </c>
      <c r="AG1093">
        <v>75315333000613</v>
      </c>
      <c r="AH1093" t="s">
        <v>44</v>
      </c>
    </row>
    <row r="1094" spans="1:34" x14ac:dyDescent="0.3">
      <c r="A1094">
        <v>104</v>
      </c>
      <c r="B1094" t="s">
        <v>34</v>
      </c>
      <c r="C1094">
        <v>4</v>
      </c>
      <c r="D1094" s="1" t="s">
        <v>3153</v>
      </c>
      <c r="E1094" s="1" t="s">
        <v>36</v>
      </c>
      <c r="G1094">
        <v>11074</v>
      </c>
      <c r="H1094" t="s">
        <v>3154</v>
      </c>
      <c r="I1094" t="s">
        <v>3131</v>
      </c>
      <c r="J1094">
        <v>15</v>
      </c>
      <c r="K1094">
        <v>4716</v>
      </c>
      <c r="L1094">
        <v>95000</v>
      </c>
      <c r="M1094" t="s">
        <v>69</v>
      </c>
      <c r="N1094">
        <v>183</v>
      </c>
      <c r="O1094" s="2">
        <v>46238</v>
      </c>
      <c r="P1094" s="2">
        <v>46328</v>
      </c>
      <c r="R1094" t="s">
        <v>3155</v>
      </c>
      <c r="S1094" t="str">
        <f>""</f>
        <v/>
      </c>
      <c r="T1094" t="s">
        <v>41</v>
      </c>
      <c r="U1094">
        <v>10229.16</v>
      </c>
      <c r="V1094">
        <v>9871.14</v>
      </c>
      <c r="W1094">
        <v>9871.14</v>
      </c>
      <c r="X1094">
        <v>0</v>
      </c>
      <c r="Y1094">
        <v>0</v>
      </c>
      <c r="Z1094">
        <v>-553</v>
      </c>
      <c r="AA1094">
        <v>696055</v>
      </c>
      <c r="AD1094" t="s">
        <v>64</v>
      </c>
      <c r="AF1094" t="s">
        <v>64</v>
      </c>
      <c r="AG1094">
        <v>75315333003558</v>
      </c>
      <c r="AH1094" t="s">
        <v>44</v>
      </c>
    </row>
    <row r="1095" spans="1:34" x14ac:dyDescent="0.3">
      <c r="A1095">
        <v>101</v>
      </c>
      <c r="B1095" t="s">
        <v>34</v>
      </c>
      <c r="C1095">
        <v>4</v>
      </c>
      <c r="D1095" s="1" t="s">
        <v>3156</v>
      </c>
      <c r="E1095" t="s">
        <v>3134</v>
      </c>
      <c r="G1095">
        <v>11074</v>
      </c>
      <c r="H1095" t="s">
        <v>3154</v>
      </c>
      <c r="I1095" t="s">
        <v>3131</v>
      </c>
      <c r="J1095">
        <v>15</v>
      </c>
      <c r="K1095">
        <v>4716</v>
      </c>
      <c r="L1095">
        <v>10001</v>
      </c>
      <c r="M1095" t="s">
        <v>3135</v>
      </c>
      <c r="N1095">
        <v>183</v>
      </c>
      <c r="O1095" s="2">
        <v>46171</v>
      </c>
      <c r="P1095" s="2">
        <v>46266</v>
      </c>
      <c r="R1095" t="s">
        <v>3136</v>
      </c>
      <c r="S1095" t="str">
        <f>"07.0572790"</f>
        <v>07.0572790</v>
      </c>
      <c r="T1095" t="s">
        <v>41</v>
      </c>
      <c r="U1095">
        <v>55170.74</v>
      </c>
      <c r="V1095">
        <v>55170.74</v>
      </c>
      <c r="W1095">
        <v>55170.74</v>
      </c>
      <c r="X1095">
        <v>0</v>
      </c>
      <c r="Y1095">
        <v>0</v>
      </c>
      <c r="Z1095">
        <v>-491</v>
      </c>
      <c r="AA1095">
        <v>688906</v>
      </c>
      <c r="AD1095" t="s">
        <v>64</v>
      </c>
      <c r="AF1095" t="s">
        <v>64</v>
      </c>
      <c r="AG1095">
        <v>75315333003558</v>
      </c>
      <c r="AH1095" t="s">
        <v>44</v>
      </c>
    </row>
    <row r="1096" spans="1:34" x14ac:dyDescent="0.3">
      <c r="A1096">
        <v>101</v>
      </c>
      <c r="B1096" t="s">
        <v>34</v>
      </c>
      <c r="C1096">
        <v>4</v>
      </c>
      <c r="D1096" s="1" t="s">
        <v>3157</v>
      </c>
      <c r="E1096" t="s">
        <v>3134</v>
      </c>
      <c r="G1096">
        <v>11076</v>
      </c>
      <c r="H1096" t="s">
        <v>3158</v>
      </c>
      <c r="I1096" t="s">
        <v>3131</v>
      </c>
      <c r="J1096">
        <v>15</v>
      </c>
      <c r="K1096">
        <v>4716</v>
      </c>
      <c r="L1096">
        <v>10001</v>
      </c>
      <c r="M1096" t="s">
        <v>3135</v>
      </c>
      <c r="N1096">
        <v>183</v>
      </c>
      <c r="O1096" s="2">
        <v>46171</v>
      </c>
      <c r="P1096" s="2">
        <v>46266</v>
      </c>
      <c r="R1096" t="s">
        <v>3136</v>
      </c>
      <c r="S1096" t="str">
        <f>"07.0572790"</f>
        <v>07.0572790</v>
      </c>
      <c r="T1096" t="s">
        <v>41</v>
      </c>
      <c r="U1096">
        <v>22066.63</v>
      </c>
      <c r="V1096">
        <v>22066.63</v>
      </c>
      <c r="W1096">
        <v>22066.63</v>
      </c>
      <c r="X1096">
        <v>0</v>
      </c>
      <c r="Y1096">
        <v>0</v>
      </c>
      <c r="Z1096">
        <v>-491</v>
      </c>
      <c r="AA1096">
        <v>688904</v>
      </c>
      <c r="AD1096" t="s">
        <v>2859</v>
      </c>
      <c r="AE1096" t="s">
        <v>3159</v>
      </c>
      <c r="AF1096" t="s">
        <v>2859</v>
      </c>
      <c r="AG1096">
        <v>75315333004600</v>
      </c>
      <c r="AH1096" t="s">
        <v>44</v>
      </c>
    </row>
    <row r="1097" spans="1:34" x14ac:dyDescent="0.3">
      <c r="A1097">
        <v>104</v>
      </c>
      <c r="B1097" t="s">
        <v>34</v>
      </c>
      <c r="C1097">
        <v>4</v>
      </c>
      <c r="D1097" s="1" t="s">
        <v>3160</v>
      </c>
      <c r="E1097" s="1" t="s">
        <v>36</v>
      </c>
      <c r="G1097">
        <v>11076</v>
      </c>
      <c r="H1097" t="s">
        <v>3158</v>
      </c>
      <c r="I1097" t="s">
        <v>3131</v>
      </c>
      <c r="J1097">
        <v>15</v>
      </c>
      <c r="K1097">
        <v>4716</v>
      </c>
      <c r="L1097">
        <v>95000</v>
      </c>
      <c r="M1097" t="s">
        <v>69</v>
      </c>
      <c r="N1097">
        <v>183</v>
      </c>
      <c r="O1097" s="2">
        <v>46238</v>
      </c>
      <c r="P1097" s="2">
        <v>46308</v>
      </c>
      <c r="R1097" t="s">
        <v>3161</v>
      </c>
      <c r="S1097" t="str">
        <f>""</f>
        <v/>
      </c>
      <c r="T1097" t="s">
        <v>41</v>
      </c>
      <c r="U1097">
        <v>5559.37</v>
      </c>
      <c r="V1097">
        <v>5364.79</v>
      </c>
      <c r="W1097">
        <v>5364.79</v>
      </c>
      <c r="X1097">
        <v>0</v>
      </c>
      <c r="Y1097">
        <v>0</v>
      </c>
      <c r="Z1097">
        <v>-533</v>
      </c>
      <c r="AA1097">
        <v>696053</v>
      </c>
      <c r="AD1097" t="s">
        <v>2859</v>
      </c>
      <c r="AE1097" t="s">
        <v>3159</v>
      </c>
      <c r="AF1097" t="s">
        <v>2859</v>
      </c>
      <c r="AG1097">
        <v>75315333004600</v>
      </c>
      <c r="AH1097" t="s">
        <v>44</v>
      </c>
    </row>
    <row r="1098" spans="1:34" x14ac:dyDescent="0.3">
      <c r="A1098">
        <v>104</v>
      </c>
      <c r="B1098" t="s">
        <v>34</v>
      </c>
      <c r="C1098">
        <v>4</v>
      </c>
      <c r="D1098" s="1" t="s">
        <v>3162</v>
      </c>
      <c r="E1098" s="1" t="s">
        <v>36</v>
      </c>
      <c r="G1098">
        <v>11079</v>
      </c>
      <c r="H1098" t="s">
        <v>3163</v>
      </c>
      <c r="I1098" t="s">
        <v>3131</v>
      </c>
      <c r="J1098">
        <v>15</v>
      </c>
      <c r="K1098">
        <v>4716</v>
      </c>
      <c r="L1098">
        <v>95000</v>
      </c>
      <c r="M1098" t="s">
        <v>69</v>
      </c>
      <c r="N1098">
        <v>183</v>
      </c>
      <c r="O1098" s="2">
        <v>46238</v>
      </c>
      <c r="P1098" s="2">
        <v>46328</v>
      </c>
      <c r="R1098" t="s">
        <v>3164</v>
      </c>
      <c r="S1098" t="str">
        <f>""</f>
        <v/>
      </c>
      <c r="T1098" t="s">
        <v>41</v>
      </c>
      <c r="U1098">
        <v>20660.830000000002</v>
      </c>
      <c r="V1098">
        <v>19937.7</v>
      </c>
      <c r="W1098">
        <v>19937.7</v>
      </c>
      <c r="X1098">
        <v>0</v>
      </c>
      <c r="Y1098">
        <v>0</v>
      </c>
      <c r="Z1098">
        <v>-553</v>
      </c>
      <c r="AA1098">
        <v>696051</v>
      </c>
      <c r="AD1098" t="s">
        <v>64</v>
      </c>
      <c r="AF1098" t="s">
        <v>3150</v>
      </c>
      <c r="AG1098">
        <v>75315333005763</v>
      </c>
      <c r="AH1098" t="s">
        <v>44</v>
      </c>
    </row>
    <row r="1099" spans="1:34" x14ac:dyDescent="0.3">
      <c r="A1099">
        <v>101</v>
      </c>
      <c r="B1099" t="s">
        <v>34</v>
      </c>
      <c r="C1099">
        <v>4</v>
      </c>
      <c r="D1099" s="1" t="s">
        <v>3165</v>
      </c>
      <c r="E1099" t="s">
        <v>3134</v>
      </c>
      <c r="G1099">
        <v>11079</v>
      </c>
      <c r="H1099" t="s">
        <v>3163</v>
      </c>
      <c r="I1099" t="s">
        <v>3131</v>
      </c>
      <c r="J1099">
        <v>15</v>
      </c>
      <c r="K1099">
        <v>4716</v>
      </c>
      <c r="L1099">
        <v>10001</v>
      </c>
      <c r="M1099" t="s">
        <v>3135</v>
      </c>
      <c r="N1099">
        <v>183</v>
      </c>
      <c r="O1099" s="2">
        <v>46171</v>
      </c>
      <c r="P1099" s="2">
        <v>46266</v>
      </c>
      <c r="R1099" t="s">
        <v>3136</v>
      </c>
      <c r="S1099" t="str">
        <f>"07.0572790"</f>
        <v>07.0572790</v>
      </c>
      <c r="T1099" t="s">
        <v>41</v>
      </c>
      <c r="U1099">
        <v>57443</v>
      </c>
      <c r="V1099">
        <v>57443</v>
      </c>
      <c r="W1099">
        <v>57443</v>
      </c>
      <c r="X1099">
        <v>0</v>
      </c>
      <c r="Y1099">
        <v>0</v>
      </c>
      <c r="Z1099">
        <v>-491</v>
      </c>
      <c r="AA1099">
        <v>688902</v>
      </c>
      <c r="AD1099" t="s">
        <v>64</v>
      </c>
      <c r="AF1099" t="s">
        <v>3150</v>
      </c>
      <c r="AG1099">
        <v>75315333005763</v>
      </c>
      <c r="AH1099" t="s">
        <v>44</v>
      </c>
    </row>
    <row r="1100" spans="1:34" x14ac:dyDescent="0.3">
      <c r="A1100">
        <v>101</v>
      </c>
      <c r="B1100" t="s">
        <v>34</v>
      </c>
      <c r="C1100">
        <v>4</v>
      </c>
      <c r="D1100" s="1" t="s">
        <v>3166</v>
      </c>
      <c r="E1100" t="s">
        <v>3134</v>
      </c>
      <c r="G1100">
        <v>11081</v>
      </c>
      <c r="H1100" t="s">
        <v>3167</v>
      </c>
      <c r="I1100" t="s">
        <v>3131</v>
      </c>
      <c r="J1100">
        <v>15</v>
      </c>
      <c r="K1100">
        <v>4716</v>
      </c>
      <c r="L1100">
        <v>10001</v>
      </c>
      <c r="M1100" t="s">
        <v>3135</v>
      </c>
      <c r="N1100">
        <v>183</v>
      </c>
      <c r="O1100" s="2">
        <v>46171</v>
      </c>
      <c r="P1100" s="2">
        <v>46266</v>
      </c>
      <c r="R1100" t="s">
        <v>3136</v>
      </c>
      <c r="S1100" t="str">
        <f>"07.0572790"</f>
        <v>07.0572790</v>
      </c>
      <c r="T1100" t="s">
        <v>41</v>
      </c>
      <c r="U1100">
        <v>38934.239999999998</v>
      </c>
      <c r="V1100">
        <v>38934.239999999998</v>
      </c>
      <c r="W1100">
        <v>38934.239999999998</v>
      </c>
      <c r="X1100">
        <v>0</v>
      </c>
      <c r="Y1100">
        <v>0</v>
      </c>
      <c r="Z1100">
        <v>-491</v>
      </c>
      <c r="AA1100">
        <v>688920</v>
      </c>
      <c r="AD1100" t="s">
        <v>64</v>
      </c>
      <c r="AE1100" t="s">
        <v>3168</v>
      </c>
      <c r="AF1100" t="s">
        <v>3150</v>
      </c>
      <c r="AG1100">
        <v>75315333006069</v>
      </c>
      <c r="AH1100" t="s">
        <v>44</v>
      </c>
    </row>
    <row r="1101" spans="1:34" x14ac:dyDescent="0.3">
      <c r="A1101">
        <v>104</v>
      </c>
      <c r="B1101" t="s">
        <v>34</v>
      </c>
      <c r="C1101">
        <v>4</v>
      </c>
      <c r="D1101" s="1" t="s">
        <v>3169</v>
      </c>
      <c r="E1101" s="1" t="s">
        <v>36</v>
      </c>
      <c r="G1101">
        <v>11081</v>
      </c>
      <c r="H1101" t="s">
        <v>3167</v>
      </c>
      <c r="I1101" t="s">
        <v>3131</v>
      </c>
      <c r="J1101">
        <v>15</v>
      </c>
      <c r="K1101">
        <v>4716</v>
      </c>
      <c r="L1101">
        <v>95000</v>
      </c>
      <c r="M1101" t="s">
        <v>69</v>
      </c>
      <c r="N1101">
        <v>183</v>
      </c>
      <c r="O1101" s="2">
        <v>46238</v>
      </c>
      <c r="P1101" s="2">
        <v>46328</v>
      </c>
      <c r="R1101" t="s">
        <v>3170</v>
      </c>
      <c r="S1101" t="str">
        <f>""</f>
        <v/>
      </c>
      <c r="T1101" t="s">
        <v>41</v>
      </c>
      <c r="U1101">
        <v>32889.33</v>
      </c>
      <c r="V1101">
        <v>31738.2</v>
      </c>
      <c r="W1101">
        <v>31738.2</v>
      </c>
      <c r="X1101">
        <v>0</v>
      </c>
      <c r="Y1101">
        <v>0</v>
      </c>
      <c r="Z1101">
        <v>-553</v>
      </c>
      <c r="AA1101">
        <v>696065</v>
      </c>
      <c r="AD1101" t="s">
        <v>64</v>
      </c>
      <c r="AE1101" t="s">
        <v>3168</v>
      </c>
      <c r="AF1101" t="s">
        <v>3150</v>
      </c>
      <c r="AG1101">
        <v>75315333006069</v>
      </c>
      <c r="AH1101" t="s">
        <v>44</v>
      </c>
    </row>
    <row r="1102" spans="1:34" x14ac:dyDescent="0.3">
      <c r="A1102">
        <v>101</v>
      </c>
      <c r="B1102" t="s">
        <v>34</v>
      </c>
      <c r="C1102">
        <v>4</v>
      </c>
      <c r="D1102" s="1" t="s">
        <v>3171</v>
      </c>
      <c r="E1102" t="s">
        <v>3134</v>
      </c>
      <c r="G1102">
        <v>11735</v>
      </c>
      <c r="H1102" t="s">
        <v>3172</v>
      </c>
      <c r="I1102" t="s">
        <v>3131</v>
      </c>
      <c r="J1102">
        <v>15</v>
      </c>
      <c r="K1102">
        <v>4716</v>
      </c>
      <c r="L1102">
        <v>10001</v>
      </c>
      <c r="M1102" t="s">
        <v>3135</v>
      </c>
      <c r="N1102">
        <v>183</v>
      </c>
      <c r="O1102" s="2">
        <v>46155</v>
      </c>
      <c r="P1102" s="2">
        <v>46296</v>
      </c>
      <c r="R1102" t="s">
        <v>3144</v>
      </c>
      <c r="S1102" t="str">
        <f>"07.0574661"</f>
        <v>07.0574661</v>
      </c>
      <c r="T1102" t="s">
        <v>41</v>
      </c>
      <c r="U1102">
        <v>25464.43</v>
      </c>
      <c r="V1102">
        <v>25464.43</v>
      </c>
      <c r="W1102">
        <v>25464.43</v>
      </c>
      <c r="X1102">
        <v>0</v>
      </c>
      <c r="Y1102">
        <v>0</v>
      </c>
      <c r="Z1102">
        <v>-521</v>
      </c>
      <c r="AA1102">
        <v>688240</v>
      </c>
      <c r="AD1102" t="s">
        <v>1988</v>
      </c>
      <c r="AE1102" t="s">
        <v>3173</v>
      </c>
      <c r="AF1102" t="s">
        <v>1988</v>
      </c>
      <c r="AG1102">
        <v>75315333009408</v>
      </c>
      <c r="AH1102" t="s">
        <v>87</v>
      </c>
    </row>
    <row r="1103" spans="1:34" x14ac:dyDescent="0.3">
      <c r="A1103">
        <v>104</v>
      </c>
      <c r="B1103" t="s">
        <v>34</v>
      </c>
      <c r="C1103">
        <v>4</v>
      </c>
      <c r="D1103" s="1" t="s">
        <v>3174</v>
      </c>
      <c r="E1103" s="1" t="s">
        <v>36</v>
      </c>
      <c r="G1103">
        <v>11735</v>
      </c>
      <c r="H1103" t="s">
        <v>3172</v>
      </c>
      <c r="I1103" t="s">
        <v>3131</v>
      </c>
      <c r="J1103">
        <v>15</v>
      </c>
      <c r="K1103">
        <v>4716</v>
      </c>
      <c r="L1103">
        <v>95000</v>
      </c>
      <c r="M1103" t="s">
        <v>69</v>
      </c>
      <c r="N1103">
        <v>183</v>
      </c>
      <c r="O1103" s="2">
        <v>46234</v>
      </c>
      <c r="P1103" s="2">
        <v>46304</v>
      </c>
      <c r="R1103" t="s">
        <v>3175</v>
      </c>
      <c r="S1103" t="str">
        <f>""</f>
        <v/>
      </c>
      <c r="T1103" t="s">
        <v>41</v>
      </c>
      <c r="U1103">
        <v>25055.75</v>
      </c>
      <c r="V1103">
        <v>23176.57</v>
      </c>
      <c r="W1103">
        <v>23176.57</v>
      </c>
      <c r="X1103">
        <v>0</v>
      </c>
      <c r="Y1103">
        <v>0</v>
      </c>
      <c r="Z1103">
        <v>-529</v>
      </c>
      <c r="AA1103">
        <v>695211</v>
      </c>
      <c r="AD1103" t="s">
        <v>1988</v>
      </c>
      <c r="AE1103" t="s">
        <v>3173</v>
      </c>
      <c r="AF1103" t="s">
        <v>1988</v>
      </c>
      <c r="AG1103">
        <v>75315333009408</v>
      </c>
      <c r="AH1103" t="s">
        <v>87</v>
      </c>
    </row>
    <row r="1104" spans="1:34" x14ac:dyDescent="0.3">
      <c r="A1104">
        <v>104</v>
      </c>
      <c r="B1104" t="s">
        <v>34</v>
      </c>
      <c r="C1104">
        <v>4</v>
      </c>
      <c r="D1104" s="1" t="s">
        <v>3176</v>
      </c>
      <c r="E1104" s="1" t="s">
        <v>36</v>
      </c>
      <c r="G1104">
        <v>11735</v>
      </c>
      <c r="H1104" t="s">
        <v>3172</v>
      </c>
      <c r="I1104" t="s">
        <v>3131</v>
      </c>
      <c r="J1104">
        <v>15</v>
      </c>
      <c r="K1104">
        <v>4716</v>
      </c>
      <c r="L1104">
        <v>95000</v>
      </c>
      <c r="M1104" t="s">
        <v>69</v>
      </c>
      <c r="N1104">
        <v>183</v>
      </c>
      <c r="O1104" s="2">
        <v>46234</v>
      </c>
      <c r="P1104" s="2">
        <v>46304</v>
      </c>
      <c r="R1104" t="s">
        <v>3177</v>
      </c>
      <c r="S1104" t="str">
        <f>""</f>
        <v/>
      </c>
      <c r="T1104" t="s">
        <v>41</v>
      </c>
      <c r="U1104">
        <v>5280</v>
      </c>
      <c r="V1104">
        <v>4884</v>
      </c>
      <c r="W1104">
        <v>4884</v>
      </c>
      <c r="X1104">
        <v>0</v>
      </c>
      <c r="Y1104">
        <v>0</v>
      </c>
      <c r="Z1104">
        <v>-529</v>
      </c>
      <c r="AA1104">
        <v>688240</v>
      </c>
      <c r="AD1104" t="s">
        <v>1988</v>
      </c>
      <c r="AE1104" t="s">
        <v>3173</v>
      </c>
      <c r="AF1104" t="s">
        <v>1988</v>
      </c>
      <c r="AG1104">
        <v>75315333009408</v>
      </c>
      <c r="AH1104" t="s">
        <v>87</v>
      </c>
    </row>
    <row r="1105" spans="1:34" x14ac:dyDescent="0.3">
      <c r="A1105">
        <v>101</v>
      </c>
      <c r="B1105" t="s">
        <v>34</v>
      </c>
      <c r="C1105">
        <v>4</v>
      </c>
      <c r="D1105" s="1" t="s">
        <v>3178</v>
      </c>
      <c r="E1105" t="s">
        <v>3134</v>
      </c>
      <c r="G1105">
        <v>11735</v>
      </c>
      <c r="H1105" t="s">
        <v>3172</v>
      </c>
      <c r="I1105" t="s">
        <v>3131</v>
      </c>
      <c r="J1105">
        <v>15</v>
      </c>
      <c r="K1105">
        <v>4716</v>
      </c>
      <c r="L1105">
        <v>10001</v>
      </c>
      <c r="M1105" t="s">
        <v>3135</v>
      </c>
      <c r="N1105">
        <v>183</v>
      </c>
      <c r="O1105" s="2">
        <v>46195</v>
      </c>
      <c r="P1105" s="2">
        <v>46296</v>
      </c>
      <c r="R1105" t="s">
        <v>3179</v>
      </c>
      <c r="S1105" t="str">
        <f>"08.0576919"</f>
        <v>08.0576919</v>
      </c>
      <c r="T1105" t="s">
        <v>41</v>
      </c>
      <c r="U1105">
        <v>35750.97</v>
      </c>
      <c r="V1105">
        <v>35750.97</v>
      </c>
      <c r="W1105">
        <v>35750.97</v>
      </c>
      <c r="X1105">
        <v>0</v>
      </c>
      <c r="Y1105">
        <v>0</v>
      </c>
      <c r="Z1105">
        <v>-521</v>
      </c>
      <c r="AA1105">
        <v>690654</v>
      </c>
      <c r="AD1105" t="s">
        <v>1988</v>
      </c>
      <c r="AE1105" t="s">
        <v>3173</v>
      </c>
      <c r="AF1105" t="s">
        <v>1988</v>
      </c>
      <c r="AG1105">
        <v>75315333009408</v>
      </c>
      <c r="AH1105" t="s">
        <v>87</v>
      </c>
    </row>
    <row r="1106" spans="1:34" x14ac:dyDescent="0.3">
      <c r="A1106">
        <v>104</v>
      </c>
      <c r="B1106" t="s">
        <v>34</v>
      </c>
      <c r="C1106">
        <v>4</v>
      </c>
      <c r="D1106" s="1" t="s">
        <v>3180</v>
      </c>
      <c r="E1106" s="1" t="s">
        <v>36</v>
      </c>
      <c r="G1106">
        <v>12842</v>
      </c>
      <c r="H1106" t="s">
        <v>3181</v>
      </c>
      <c r="I1106" t="s">
        <v>3131</v>
      </c>
      <c r="J1106">
        <v>15</v>
      </c>
      <c r="K1106">
        <v>4716</v>
      </c>
      <c r="L1106">
        <v>95000</v>
      </c>
      <c r="M1106" t="s">
        <v>69</v>
      </c>
      <c r="N1106">
        <v>183</v>
      </c>
      <c r="O1106" s="2">
        <v>46238</v>
      </c>
      <c r="P1106" s="2">
        <v>46328</v>
      </c>
      <c r="R1106" t="s">
        <v>3182</v>
      </c>
      <c r="S1106" t="str">
        <f>""</f>
        <v/>
      </c>
      <c r="T1106" t="s">
        <v>41</v>
      </c>
      <c r="U1106">
        <v>20814.66</v>
      </c>
      <c r="V1106">
        <v>20086.150000000001</v>
      </c>
      <c r="W1106">
        <v>20086.150000000001</v>
      </c>
      <c r="X1106">
        <v>0</v>
      </c>
      <c r="Y1106">
        <v>0</v>
      </c>
      <c r="Z1106">
        <v>-553</v>
      </c>
      <c r="AA1106">
        <v>696061</v>
      </c>
      <c r="AD1106" t="s">
        <v>64</v>
      </c>
      <c r="AE1106" t="s">
        <v>3183</v>
      </c>
      <c r="AF1106" t="s">
        <v>64</v>
      </c>
      <c r="AG1106">
        <v>75315333012034</v>
      </c>
      <c r="AH1106" t="s">
        <v>44</v>
      </c>
    </row>
    <row r="1107" spans="1:34" x14ac:dyDescent="0.3">
      <c r="A1107">
        <v>101</v>
      </c>
      <c r="B1107" t="s">
        <v>34</v>
      </c>
      <c r="C1107">
        <v>4</v>
      </c>
      <c r="D1107" s="1" t="s">
        <v>3184</v>
      </c>
      <c r="E1107" t="s">
        <v>3134</v>
      </c>
      <c r="G1107">
        <v>12842</v>
      </c>
      <c r="H1107" t="s">
        <v>3181</v>
      </c>
      <c r="I1107" t="s">
        <v>3131</v>
      </c>
      <c r="J1107">
        <v>15</v>
      </c>
      <c r="K1107">
        <v>4716</v>
      </c>
      <c r="L1107">
        <v>10001</v>
      </c>
      <c r="M1107" t="s">
        <v>3135</v>
      </c>
      <c r="N1107">
        <v>183</v>
      </c>
      <c r="O1107" s="2">
        <v>46171</v>
      </c>
      <c r="P1107" s="2">
        <v>46266</v>
      </c>
      <c r="R1107" t="s">
        <v>3136</v>
      </c>
      <c r="S1107" t="str">
        <f>"07.0572790"</f>
        <v>07.0572790</v>
      </c>
      <c r="T1107" t="s">
        <v>41</v>
      </c>
      <c r="U1107">
        <v>34443.370000000003</v>
      </c>
      <c r="V1107">
        <v>34443.370000000003</v>
      </c>
      <c r="W1107">
        <v>34443.370000000003</v>
      </c>
      <c r="X1107">
        <v>0</v>
      </c>
      <c r="Y1107">
        <v>0</v>
      </c>
      <c r="Z1107">
        <v>-491</v>
      </c>
      <c r="AA1107">
        <v>688912</v>
      </c>
      <c r="AD1107" t="s">
        <v>64</v>
      </c>
      <c r="AE1107" t="s">
        <v>3183</v>
      </c>
      <c r="AF1107" t="s">
        <v>64</v>
      </c>
      <c r="AG1107">
        <v>75315333012034</v>
      </c>
      <c r="AH1107" t="s">
        <v>44</v>
      </c>
    </row>
    <row r="1108" spans="1:34" x14ac:dyDescent="0.3">
      <c r="A1108">
        <v>101</v>
      </c>
      <c r="B1108" t="s">
        <v>34</v>
      </c>
      <c r="C1108">
        <v>4</v>
      </c>
      <c r="D1108" s="1" t="s">
        <v>3185</v>
      </c>
      <c r="E1108" t="s">
        <v>3134</v>
      </c>
      <c r="G1108">
        <v>12844</v>
      </c>
      <c r="H1108" t="s">
        <v>3186</v>
      </c>
      <c r="I1108" t="s">
        <v>3131</v>
      </c>
      <c r="J1108">
        <v>15</v>
      </c>
      <c r="K1108">
        <v>4716</v>
      </c>
      <c r="L1108">
        <v>10001</v>
      </c>
      <c r="M1108" t="s">
        <v>3135</v>
      </c>
      <c r="N1108">
        <v>183</v>
      </c>
      <c r="O1108" s="2">
        <v>46238</v>
      </c>
      <c r="P1108" s="2">
        <v>46329</v>
      </c>
      <c r="R1108" t="s">
        <v>3187</v>
      </c>
      <c r="S1108" t="str">
        <f>"08.0579034"</f>
        <v>08.0579034</v>
      </c>
      <c r="T1108" t="s">
        <v>41</v>
      </c>
      <c r="U1108">
        <v>3586.76</v>
      </c>
      <c r="V1108">
        <v>3586.76</v>
      </c>
      <c r="W1108">
        <v>3586.76</v>
      </c>
      <c r="X1108">
        <v>0</v>
      </c>
      <c r="Y1108">
        <v>0</v>
      </c>
      <c r="Z1108">
        <v>-554</v>
      </c>
      <c r="AA1108">
        <v>696017</v>
      </c>
      <c r="AD1108" t="s">
        <v>3188</v>
      </c>
      <c r="AF1108" t="s">
        <v>3188</v>
      </c>
      <c r="AG1108">
        <v>75315333013944</v>
      </c>
      <c r="AH1108" t="s">
        <v>44</v>
      </c>
    </row>
    <row r="1109" spans="1:34" x14ac:dyDescent="0.3">
      <c r="A1109">
        <v>104</v>
      </c>
      <c r="B1109" t="s">
        <v>34</v>
      </c>
      <c r="C1109">
        <v>4</v>
      </c>
      <c r="D1109" s="1" t="s">
        <v>3189</v>
      </c>
      <c r="E1109" s="1" t="s">
        <v>36</v>
      </c>
      <c r="G1109">
        <v>433201</v>
      </c>
      <c r="H1109" t="s">
        <v>3190</v>
      </c>
      <c r="I1109" t="s">
        <v>3131</v>
      </c>
      <c r="J1109">
        <v>15</v>
      </c>
      <c r="K1109">
        <v>4716</v>
      </c>
      <c r="L1109">
        <v>95000</v>
      </c>
      <c r="M1109" t="s">
        <v>69</v>
      </c>
      <c r="N1109">
        <v>183</v>
      </c>
      <c r="O1109" s="2">
        <v>46238</v>
      </c>
      <c r="P1109" s="2">
        <v>46328</v>
      </c>
      <c r="R1109" t="s">
        <v>3191</v>
      </c>
      <c r="S1109" t="str">
        <f>""</f>
        <v/>
      </c>
      <c r="T1109" t="s">
        <v>41</v>
      </c>
      <c r="U1109">
        <v>17869.09</v>
      </c>
      <c r="V1109">
        <v>17243.669999999998</v>
      </c>
      <c r="W1109">
        <v>17243.669999999998</v>
      </c>
      <c r="X1109">
        <v>0</v>
      </c>
      <c r="Y1109">
        <v>0</v>
      </c>
      <c r="Z1109">
        <v>-553</v>
      </c>
      <c r="AA1109">
        <v>696019</v>
      </c>
      <c r="AD1109" t="s">
        <v>64</v>
      </c>
      <c r="AE1109" t="s">
        <v>3192</v>
      </c>
      <c r="AF1109" t="s">
        <v>64</v>
      </c>
      <c r="AG1109">
        <v>75315333013359</v>
      </c>
      <c r="AH1109" t="s">
        <v>44</v>
      </c>
    </row>
    <row r="1110" spans="1:34" x14ac:dyDescent="0.3">
      <c r="A1110">
        <v>101</v>
      </c>
      <c r="B1110" t="s">
        <v>34</v>
      </c>
      <c r="C1110">
        <v>4</v>
      </c>
      <c r="D1110" s="1" t="s">
        <v>3193</v>
      </c>
      <c r="E1110" t="s">
        <v>3134</v>
      </c>
      <c r="G1110">
        <v>433201</v>
      </c>
      <c r="H1110" t="s">
        <v>3190</v>
      </c>
      <c r="I1110" t="s">
        <v>3131</v>
      </c>
      <c r="J1110">
        <v>15</v>
      </c>
      <c r="K1110">
        <v>4716</v>
      </c>
      <c r="L1110">
        <v>10001</v>
      </c>
      <c r="M1110" t="s">
        <v>3135</v>
      </c>
      <c r="N1110">
        <v>183</v>
      </c>
      <c r="O1110" s="2">
        <v>46171</v>
      </c>
      <c r="P1110" s="2">
        <v>46281</v>
      </c>
      <c r="R1110" t="s">
        <v>3144</v>
      </c>
      <c r="S1110" t="str">
        <f>"07.0574661"</f>
        <v>07.0574661</v>
      </c>
      <c r="T1110" t="s">
        <v>41</v>
      </c>
      <c r="U1110">
        <v>30911.61</v>
      </c>
      <c r="V1110">
        <v>30911.61</v>
      </c>
      <c r="W1110">
        <v>30911.61</v>
      </c>
      <c r="X1110">
        <v>0</v>
      </c>
      <c r="Y1110">
        <v>0</v>
      </c>
      <c r="Z1110">
        <v>-506</v>
      </c>
      <c r="AA1110">
        <v>688868</v>
      </c>
      <c r="AD1110" t="s">
        <v>64</v>
      </c>
      <c r="AE1110" t="s">
        <v>3192</v>
      </c>
      <c r="AF1110" t="s">
        <v>64</v>
      </c>
      <c r="AG1110">
        <v>75315333013359</v>
      </c>
      <c r="AH1110" t="s">
        <v>44</v>
      </c>
    </row>
    <row r="1111" spans="1:34" x14ac:dyDescent="0.3">
      <c r="A1111">
        <v>101</v>
      </c>
      <c r="B1111" t="s">
        <v>34</v>
      </c>
      <c r="C1111">
        <v>4</v>
      </c>
      <c r="D1111" s="1" t="s">
        <v>3194</v>
      </c>
      <c r="E1111" t="s">
        <v>3134</v>
      </c>
      <c r="G1111">
        <v>436490</v>
      </c>
      <c r="H1111" t="s">
        <v>3195</v>
      </c>
      <c r="I1111" t="s">
        <v>3196</v>
      </c>
      <c r="J1111">
        <v>15</v>
      </c>
      <c r="K1111">
        <v>4716</v>
      </c>
      <c r="L1111">
        <v>10001</v>
      </c>
      <c r="M1111" t="s">
        <v>3135</v>
      </c>
      <c r="N1111">
        <v>183</v>
      </c>
      <c r="O1111" s="2">
        <v>46181</v>
      </c>
      <c r="P1111" s="2">
        <v>46266</v>
      </c>
      <c r="R1111" t="s">
        <v>3179</v>
      </c>
      <c r="S1111" t="str">
        <f>"08.0576919"</f>
        <v>08.0576919</v>
      </c>
      <c r="T1111" t="s">
        <v>41</v>
      </c>
      <c r="U1111">
        <v>19980</v>
      </c>
      <c r="V1111">
        <v>19980</v>
      </c>
      <c r="W1111">
        <v>19980</v>
      </c>
      <c r="X1111">
        <v>0</v>
      </c>
      <c r="Y1111">
        <v>0</v>
      </c>
      <c r="Z1111">
        <v>-491</v>
      </c>
      <c r="AA1111">
        <v>688940</v>
      </c>
      <c r="AD1111" t="s">
        <v>64</v>
      </c>
      <c r="AE1111" t="s">
        <v>3197</v>
      </c>
      <c r="AF1111" t="s">
        <v>64</v>
      </c>
      <c r="AG1111">
        <v>75315333011143</v>
      </c>
      <c r="AH1111" t="s">
        <v>44</v>
      </c>
    </row>
    <row r="1112" spans="1:34" x14ac:dyDescent="0.3">
      <c r="A1112">
        <v>101</v>
      </c>
      <c r="B1112" t="s">
        <v>34</v>
      </c>
      <c r="C1112">
        <v>4</v>
      </c>
      <c r="D1112" s="1" t="s">
        <v>3198</v>
      </c>
      <c r="E1112" t="s">
        <v>3134</v>
      </c>
      <c r="G1112">
        <v>436490</v>
      </c>
      <c r="H1112" t="s">
        <v>3195</v>
      </c>
      <c r="I1112" t="s">
        <v>3196</v>
      </c>
      <c r="J1112">
        <v>15</v>
      </c>
      <c r="K1112">
        <v>4716</v>
      </c>
      <c r="L1112">
        <v>10001</v>
      </c>
      <c r="M1112" t="s">
        <v>3135</v>
      </c>
      <c r="N1112">
        <v>183</v>
      </c>
      <c r="O1112" s="2">
        <v>46181</v>
      </c>
      <c r="P1112" s="2">
        <v>46266</v>
      </c>
      <c r="R1112" t="s">
        <v>3179</v>
      </c>
      <c r="S1112" t="str">
        <f>"08.0576919"</f>
        <v>08.0576919</v>
      </c>
      <c r="T1112" t="s">
        <v>41</v>
      </c>
      <c r="U1112">
        <v>59940</v>
      </c>
      <c r="V1112">
        <v>59940</v>
      </c>
      <c r="W1112">
        <v>59940</v>
      </c>
      <c r="X1112">
        <v>0</v>
      </c>
      <c r="Y1112">
        <v>0</v>
      </c>
      <c r="Z1112">
        <v>-491</v>
      </c>
      <c r="AA1112">
        <v>688940</v>
      </c>
      <c r="AD1112" t="s">
        <v>64</v>
      </c>
      <c r="AE1112" t="s">
        <v>3197</v>
      </c>
      <c r="AF1112" t="s">
        <v>64</v>
      </c>
      <c r="AG1112">
        <v>75315333011143</v>
      </c>
      <c r="AH1112" t="s">
        <v>44</v>
      </c>
    </row>
    <row r="1113" spans="1:34" x14ac:dyDescent="0.3">
      <c r="A1113">
        <v>101</v>
      </c>
      <c r="B1113" t="s">
        <v>34</v>
      </c>
      <c r="C1113">
        <v>4</v>
      </c>
      <c r="D1113" s="1" t="s">
        <v>3199</v>
      </c>
      <c r="E1113" t="s">
        <v>3134</v>
      </c>
      <c r="G1113">
        <v>440053</v>
      </c>
      <c r="H1113" t="s">
        <v>3200</v>
      </c>
      <c r="I1113" t="s">
        <v>3131</v>
      </c>
      <c r="J1113">
        <v>15</v>
      </c>
      <c r="K1113">
        <v>4716</v>
      </c>
      <c r="L1113">
        <v>10001</v>
      </c>
      <c r="M1113" t="s">
        <v>3135</v>
      </c>
      <c r="N1113">
        <v>183</v>
      </c>
      <c r="O1113" s="2">
        <v>46181</v>
      </c>
      <c r="P1113" s="2">
        <v>46266</v>
      </c>
      <c r="R1113" t="s">
        <v>3179</v>
      </c>
      <c r="S1113" t="str">
        <f>"08.0576919"</f>
        <v>08.0576919</v>
      </c>
      <c r="T1113" t="s">
        <v>41</v>
      </c>
      <c r="U1113">
        <v>284809.51</v>
      </c>
      <c r="V1113">
        <v>284809.51</v>
      </c>
      <c r="W1113">
        <v>284809.51</v>
      </c>
      <c r="X1113">
        <v>0</v>
      </c>
      <c r="Y1113">
        <v>0</v>
      </c>
      <c r="Z1113">
        <v>-491</v>
      </c>
      <c r="AA1113">
        <v>690656</v>
      </c>
      <c r="AD1113" t="s">
        <v>3201</v>
      </c>
      <c r="AE1113" t="s">
        <v>3197</v>
      </c>
      <c r="AF1113" t="s">
        <v>3201</v>
      </c>
      <c r="AG1113">
        <v>75315333018741</v>
      </c>
      <c r="AH1113" t="s">
        <v>2403</v>
      </c>
    </row>
    <row r="1114" spans="1:34" x14ac:dyDescent="0.3">
      <c r="A1114">
        <v>101</v>
      </c>
      <c r="B1114" t="s">
        <v>34</v>
      </c>
      <c r="C1114">
        <v>4</v>
      </c>
      <c r="D1114" s="1" t="s">
        <v>3202</v>
      </c>
      <c r="E1114" t="s">
        <v>3134</v>
      </c>
      <c r="G1114">
        <v>440053</v>
      </c>
      <c r="H1114" t="s">
        <v>3200</v>
      </c>
      <c r="I1114" t="s">
        <v>3131</v>
      </c>
      <c r="J1114">
        <v>15</v>
      </c>
      <c r="K1114">
        <v>4716</v>
      </c>
      <c r="L1114">
        <v>10001</v>
      </c>
      <c r="M1114" t="s">
        <v>3135</v>
      </c>
      <c r="N1114">
        <v>183</v>
      </c>
      <c r="O1114" s="2">
        <v>46185</v>
      </c>
      <c r="P1114" s="2">
        <v>46266</v>
      </c>
      <c r="R1114" t="s">
        <v>3179</v>
      </c>
      <c r="S1114" t="str">
        <f>"08.0576919"</f>
        <v>08.0576919</v>
      </c>
      <c r="T1114" t="s">
        <v>41</v>
      </c>
      <c r="U1114">
        <v>14626.22</v>
      </c>
      <c r="V1114">
        <v>14626.22</v>
      </c>
      <c r="W1114">
        <v>14626.22</v>
      </c>
      <c r="X1114">
        <v>0</v>
      </c>
      <c r="Y1114">
        <v>0</v>
      </c>
      <c r="Z1114">
        <v>-491</v>
      </c>
      <c r="AA1114">
        <v>690656</v>
      </c>
      <c r="AD1114" t="s">
        <v>3201</v>
      </c>
      <c r="AE1114" t="s">
        <v>3197</v>
      </c>
      <c r="AF1114" t="s">
        <v>3201</v>
      </c>
      <c r="AG1114">
        <v>75315333018741</v>
      </c>
      <c r="AH1114" t="s">
        <v>2403</v>
      </c>
    </row>
    <row r="1115" spans="1:34" x14ac:dyDescent="0.3">
      <c r="A1115">
        <v>101</v>
      </c>
      <c r="B1115" t="s">
        <v>34</v>
      </c>
      <c r="C1115">
        <v>4</v>
      </c>
      <c r="D1115" s="1" t="s">
        <v>3203</v>
      </c>
      <c r="E1115" t="s">
        <v>3134</v>
      </c>
      <c r="G1115">
        <v>440053</v>
      </c>
      <c r="H1115" t="s">
        <v>3200</v>
      </c>
      <c r="I1115" t="s">
        <v>3131</v>
      </c>
      <c r="J1115">
        <v>15</v>
      </c>
      <c r="K1115">
        <v>4716</v>
      </c>
      <c r="L1115">
        <v>10001</v>
      </c>
      <c r="M1115" t="s">
        <v>3135</v>
      </c>
      <c r="N1115">
        <v>183</v>
      </c>
      <c r="O1115" s="2">
        <v>46181</v>
      </c>
      <c r="P1115" s="2">
        <v>46266</v>
      </c>
      <c r="R1115" t="s">
        <v>3179</v>
      </c>
      <c r="S1115" t="str">
        <f>"08.0576919"</f>
        <v>08.0576919</v>
      </c>
      <c r="T1115" t="s">
        <v>41</v>
      </c>
      <c r="U1115">
        <v>12210</v>
      </c>
      <c r="V1115">
        <v>12210</v>
      </c>
      <c r="W1115">
        <v>12210</v>
      </c>
      <c r="X1115">
        <v>0</v>
      </c>
      <c r="Y1115">
        <v>0</v>
      </c>
      <c r="Z1115">
        <v>-491</v>
      </c>
      <c r="AA1115">
        <v>688244</v>
      </c>
      <c r="AD1115" t="s">
        <v>3201</v>
      </c>
      <c r="AE1115" t="s">
        <v>3197</v>
      </c>
      <c r="AF1115" t="s">
        <v>3201</v>
      </c>
      <c r="AG1115">
        <v>75315333018741</v>
      </c>
      <c r="AH1115" t="s">
        <v>2403</v>
      </c>
    </row>
    <row r="1116" spans="1:34" x14ac:dyDescent="0.3">
      <c r="A1116">
        <v>101</v>
      </c>
      <c r="B1116" t="s">
        <v>34</v>
      </c>
      <c r="C1116">
        <v>4</v>
      </c>
      <c r="D1116" s="1" t="s">
        <v>3204</v>
      </c>
      <c r="E1116" t="s">
        <v>3134</v>
      </c>
      <c r="G1116">
        <v>451189</v>
      </c>
      <c r="H1116" t="s">
        <v>3205</v>
      </c>
      <c r="I1116" t="s">
        <v>3131</v>
      </c>
      <c r="J1116">
        <v>15</v>
      </c>
      <c r="K1116">
        <v>4716</v>
      </c>
      <c r="L1116">
        <v>10001</v>
      </c>
      <c r="M1116" t="s">
        <v>3135</v>
      </c>
      <c r="N1116">
        <v>183</v>
      </c>
      <c r="O1116" s="2">
        <v>46155</v>
      </c>
      <c r="P1116" s="2">
        <v>46266</v>
      </c>
      <c r="R1116" t="s">
        <v>3136</v>
      </c>
      <c r="S1116" t="str">
        <f>"07.0572790"</f>
        <v>07.0572790</v>
      </c>
      <c r="T1116" t="s">
        <v>41</v>
      </c>
      <c r="U1116">
        <v>59290.67</v>
      </c>
      <c r="V1116">
        <v>59290.67</v>
      </c>
      <c r="W1116">
        <v>59290.67</v>
      </c>
      <c r="X1116">
        <v>0</v>
      </c>
      <c r="Y1116">
        <v>0</v>
      </c>
      <c r="Z1116">
        <v>-491</v>
      </c>
      <c r="AA1116">
        <v>688246</v>
      </c>
      <c r="AD1116" t="s">
        <v>2610</v>
      </c>
      <c r="AE1116" t="s">
        <v>3197</v>
      </c>
      <c r="AF1116" t="s">
        <v>64</v>
      </c>
      <c r="AG1116">
        <v>75315333022420</v>
      </c>
      <c r="AH1116" t="s">
        <v>44</v>
      </c>
    </row>
    <row r="1117" spans="1:34" x14ac:dyDescent="0.3">
      <c r="A1117">
        <v>104</v>
      </c>
      <c r="B1117" t="s">
        <v>34</v>
      </c>
      <c r="C1117">
        <v>4</v>
      </c>
      <c r="D1117" s="1" t="s">
        <v>3206</v>
      </c>
      <c r="E1117" s="1" t="s">
        <v>36</v>
      </c>
      <c r="G1117">
        <v>451189</v>
      </c>
      <c r="H1117" t="s">
        <v>3205</v>
      </c>
      <c r="I1117" t="s">
        <v>3131</v>
      </c>
      <c r="J1117">
        <v>15</v>
      </c>
      <c r="K1117">
        <v>4716</v>
      </c>
      <c r="L1117">
        <v>95000</v>
      </c>
      <c r="M1117" t="s">
        <v>69</v>
      </c>
      <c r="N1117">
        <v>183</v>
      </c>
      <c r="O1117" s="2">
        <v>46234</v>
      </c>
      <c r="P1117" s="2">
        <v>46304</v>
      </c>
      <c r="R1117" t="s">
        <v>3207</v>
      </c>
      <c r="S1117" t="str">
        <f>""</f>
        <v/>
      </c>
      <c r="T1117" t="s">
        <v>41</v>
      </c>
      <c r="U1117">
        <v>82327.320000000007</v>
      </c>
      <c r="V1117">
        <v>76152.77</v>
      </c>
      <c r="W1117">
        <v>76152.77</v>
      </c>
      <c r="X1117">
        <v>0</v>
      </c>
      <c r="Y1117">
        <v>0</v>
      </c>
      <c r="Z1117">
        <v>-529</v>
      </c>
      <c r="AA1117">
        <v>695245</v>
      </c>
      <c r="AD1117" t="s">
        <v>2610</v>
      </c>
      <c r="AE1117" t="s">
        <v>3197</v>
      </c>
      <c r="AF1117" t="s">
        <v>64</v>
      </c>
      <c r="AG1117">
        <v>75315333022420</v>
      </c>
      <c r="AH1117" t="s">
        <v>44</v>
      </c>
    </row>
    <row r="1118" spans="1:34" x14ac:dyDescent="0.3">
      <c r="A1118">
        <v>101</v>
      </c>
      <c r="B1118" t="s">
        <v>34</v>
      </c>
      <c r="C1118">
        <v>4</v>
      </c>
      <c r="D1118" s="1" t="s">
        <v>3208</v>
      </c>
      <c r="E1118" t="s">
        <v>3134</v>
      </c>
      <c r="G1118">
        <v>453175</v>
      </c>
      <c r="H1118" t="s">
        <v>3209</v>
      </c>
      <c r="I1118" t="s">
        <v>3131</v>
      </c>
      <c r="J1118">
        <v>15</v>
      </c>
      <c r="K1118">
        <v>4716</v>
      </c>
      <c r="L1118">
        <v>10001</v>
      </c>
      <c r="M1118" t="s">
        <v>3135</v>
      </c>
      <c r="N1118">
        <v>183</v>
      </c>
      <c r="O1118" s="2">
        <v>46234</v>
      </c>
      <c r="P1118" s="2">
        <v>46329</v>
      </c>
      <c r="R1118" t="s">
        <v>3187</v>
      </c>
      <c r="S1118" t="str">
        <f>"08.0579034"</f>
        <v>08.0579034</v>
      </c>
      <c r="T1118" t="s">
        <v>41</v>
      </c>
      <c r="U1118">
        <v>79253.850000000006</v>
      </c>
      <c r="V1118">
        <v>79253.850000000006</v>
      </c>
      <c r="W1118">
        <v>79253.850000000006</v>
      </c>
      <c r="X1118">
        <v>0</v>
      </c>
      <c r="Y1118">
        <v>0</v>
      </c>
      <c r="Z1118">
        <v>-554</v>
      </c>
      <c r="AA1118">
        <v>695243</v>
      </c>
      <c r="AD1118" t="s">
        <v>2516</v>
      </c>
      <c r="AE1118" t="s">
        <v>3197</v>
      </c>
      <c r="AF1118" t="s">
        <v>64</v>
      </c>
      <c r="AG1118">
        <v>75315333022005</v>
      </c>
      <c r="AH1118" t="s">
        <v>44</v>
      </c>
    </row>
    <row r="1119" spans="1:34" x14ac:dyDescent="0.3">
      <c r="A1119">
        <v>101</v>
      </c>
      <c r="B1119" t="s">
        <v>34</v>
      </c>
      <c r="C1119">
        <v>4</v>
      </c>
      <c r="D1119" s="1" t="s">
        <v>3210</v>
      </c>
      <c r="E1119" t="s">
        <v>3134</v>
      </c>
      <c r="G1119">
        <v>453175</v>
      </c>
      <c r="H1119" t="s">
        <v>3209</v>
      </c>
      <c r="I1119" t="s">
        <v>3131</v>
      </c>
      <c r="J1119">
        <v>15</v>
      </c>
      <c r="K1119">
        <v>4716</v>
      </c>
      <c r="L1119">
        <v>10001</v>
      </c>
      <c r="M1119" t="s">
        <v>3135</v>
      </c>
      <c r="N1119">
        <v>183</v>
      </c>
      <c r="O1119" s="2">
        <v>46234</v>
      </c>
      <c r="P1119" s="2">
        <v>46329</v>
      </c>
      <c r="R1119" t="s">
        <v>3187</v>
      </c>
      <c r="S1119" t="str">
        <f>"08.0579034"</f>
        <v>08.0579034</v>
      </c>
      <c r="T1119" t="s">
        <v>41</v>
      </c>
      <c r="U1119">
        <v>3663</v>
      </c>
      <c r="V1119">
        <v>3663</v>
      </c>
      <c r="W1119">
        <v>3663</v>
      </c>
      <c r="X1119">
        <v>0</v>
      </c>
      <c r="Y1119">
        <v>0</v>
      </c>
      <c r="Z1119">
        <v>-554</v>
      </c>
      <c r="AA1119">
        <v>688242</v>
      </c>
      <c r="AD1119" t="s">
        <v>2516</v>
      </c>
      <c r="AE1119" t="s">
        <v>3197</v>
      </c>
      <c r="AF1119" t="s">
        <v>64</v>
      </c>
      <c r="AG1119">
        <v>75315333022005</v>
      </c>
      <c r="AH1119" t="s">
        <v>44</v>
      </c>
    </row>
    <row r="1120" spans="1:34" x14ac:dyDescent="0.3">
      <c r="A1120">
        <v>101</v>
      </c>
      <c r="B1120" t="s">
        <v>34</v>
      </c>
      <c r="C1120">
        <v>4</v>
      </c>
      <c r="D1120" s="1" t="s">
        <v>3211</v>
      </c>
      <c r="E1120" t="s">
        <v>3134</v>
      </c>
      <c r="G1120">
        <v>453175</v>
      </c>
      <c r="H1120" t="s">
        <v>3209</v>
      </c>
      <c r="I1120" t="s">
        <v>3131</v>
      </c>
      <c r="J1120">
        <v>15</v>
      </c>
      <c r="K1120">
        <v>4716</v>
      </c>
      <c r="L1120">
        <v>10001</v>
      </c>
      <c r="M1120" t="s">
        <v>3135</v>
      </c>
      <c r="N1120">
        <v>183</v>
      </c>
      <c r="O1120" s="2">
        <v>46155</v>
      </c>
      <c r="P1120" s="2">
        <v>46266</v>
      </c>
      <c r="R1120" t="s">
        <v>3136</v>
      </c>
      <c r="S1120" t="str">
        <f>"07.0572790"</f>
        <v>07.0572790</v>
      </c>
      <c r="T1120" t="s">
        <v>41</v>
      </c>
      <c r="U1120">
        <v>49427.28</v>
      </c>
      <c r="V1120">
        <v>49427.28</v>
      </c>
      <c r="W1120">
        <v>49427.28</v>
      </c>
      <c r="X1120">
        <v>0</v>
      </c>
      <c r="Y1120">
        <v>0</v>
      </c>
      <c r="Z1120">
        <v>-491</v>
      </c>
      <c r="AA1120">
        <v>688242</v>
      </c>
      <c r="AD1120" t="s">
        <v>2516</v>
      </c>
      <c r="AE1120" t="s">
        <v>3197</v>
      </c>
      <c r="AF1120" t="s">
        <v>64</v>
      </c>
      <c r="AG1120">
        <v>75315333022005</v>
      </c>
      <c r="AH1120" t="s">
        <v>44</v>
      </c>
    </row>
    <row r="1121" spans="1:34" x14ac:dyDescent="0.3">
      <c r="A1121">
        <v>101</v>
      </c>
      <c r="B1121" t="s">
        <v>34</v>
      </c>
      <c r="C1121">
        <v>4</v>
      </c>
      <c r="D1121" s="1" t="s">
        <v>3212</v>
      </c>
      <c r="E1121" t="s">
        <v>3134</v>
      </c>
      <c r="G1121">
        <v>453175</v>
      </c>
      <c r="H1121" t="s">
        <v>3209</v>
      </c>
      <c r="I1121" t="s">
        <v>3131</v>
      </c>
      <c r="J1121">
        <v>15</v>
      </c>
      <c r="K1121">
        <v>4716</v>
      </c>
      <c r="L1121">
        <v>10001</v>
      </c>
      <c r="M1121" t="s">
        <v>3135</v>
      </c>
      <c r="N1121">
        <v>183</v>
      </c>
      <c r="O1121" s="2">
        <v>46149</v>
      </c>
      <c r="P1121" s="2">
        <v>46266</v>
      </c>
      <c r="R1121" t="s">
        <v>3136</v>
      </c>
      <c r="S1121" t="str">
        <f>"07.0572790"</f>
        <v>07.0572790</v>
      </c>
      <c r="T1121" t="s">
        <v>41</v>
      </c>
      <c r="U1121">
        <v>62990.15</v>
      </c>
      <c r="V1121">
        <v>62990.15</v>
      </c>
      <c r="W1121">
        <v>62990.15</v>
      </c>
      <c r="X1121">
        <v>0</v>
      </c>
      <c r="Y1121">
        <v>0</v>
      </c>
      <c r="Z1121">
        <v>-491</v>
      </c>
      <c r="AA1121">
        <v>687785</v>
      </c>
      <c r="AD1121" t="s">
        <v>2516</v>
      </c>
      <c r="AE1121" t="s">
        <v>3197</v>
      </c>
      <c r="AF1121" t="s">
        <v>64</v>
      </c>
      <c r="AG1121">
        <v>75315333022005</v>
      </c>
      <c r="AH1121" t="s">
        <v>44</v>
      </c>
    </row>
    <row r="1122" spans="1:34" x14ac:dyDescent="0.3">
      <c r="A1122">
        <v>101</v>
      </c>
      <c r="B1122" t="s">
        <v>34</v>
      </c>
      <c r="C1122">
        <v>4</v>
      </c>
      <c r="D1122" s="1" t="s">
        <v>3213</v>
      </c>
      <c r="E1122" t="s">
        <v>3134</v>
      </c>
      <c r="G1122">
        <v>453796</v>
      </c>
      <c r="H1122" t="s">
        <v>3214</v>
      </c>
      <c r="I1122" t="s">
        <v>3131</v>
      </c>
      <c r="J1122">
        <v>15</v>
      </c>
      <c r="K1122">
        <v>4716</v>
      </c>
      <c r="L1122">
        <v>10001</v>
      </c>
      <c r="M1122" t="s">
        <v>3135</v>
      </c>
      <c r="N1122">
        <v>183</v>
      </c>
      <c r="O1122" s="2">
        <v>46171</v>
      </c>
      <c r="P1122" s="2">
        <v>46266</v>
      </c>
      <c r="R1122" t="s">
        <v>3136</v>
      </c>
      <c r="S1122" t="str">
        <f>"07.0572790"</f>
        <v>07.0572790</v>
      </c>
      <c r="T1122" t="s">
        <v>41</v>
      </c>
      <c r="U1122">
        <v>14828.7</v>
      </c>
      <c r="V1122">
        <v>14828.7</v>
      </c>
      <c r="W1122">
        <v>14828.7</v>
      </c>
      <c r="X1122">
        <v>0</v>
      </c>
      <c r="Y1122">
        <v>0</v>
      </c>
      <c r="Z1122">
        <v>-491</v>
      </c>
      <c r="AA1122">
        <v>688864</v>
      </c>
      <c r="AD1122" t="s">
        <v>64</v>
      </c>
      <c r="AE1122">
        <v>1129648461</v>
      </c>
      <c r="AF1122" t="s">
        <v>64</v>
      </c>
      <c r="AG1122">
        <v>75315333022692</v>
      </c>
      <c r="AH1122" t="s">
        <v>44</v>
      </c>
    </row>
    <row r="1123" spans="1:34" x14ac:dyDescent="0.3">
      <c r="A1123">
        <v>104</v>
      </c>
      <c r="B1123" t="s">
        <v>34</v>
      </c>
      <c r="C1123">
        <v>4</v>
      </c>
      <c r="D1123" s="1" t="s">
        <v>3215</v>
      </c>
      <c r="E1123" s="1" t="s">
        <v>36</v>
      </c>
      <c r="G1123">
        <v>453796</v>
      </c>
      <c r="H1123" t="s">
        <v>3214</v>
      </c>
      <c r="I1123" t="s">
        <v>3131</v>
      </c>
      <c r="J1123">
        <v>15</v>
      </c>
      <c r="K1123">
        <v>4716</v>
      </c>
      <c r="L1123">
        <v>95000</v>
      </c>
      <c r="M1123" t="s">
        <v>69</v>
      </c>
      <c r="N1123">
        <v>183</v>
      </c>
      <c r="O1123" s="2">
        <v>46238</v>
      </c>
      <c r="P1123" s="2">
        <v>46328</v>
      </c>
      <c r="R1123" t="s">
        <v>3216</v>
      </c>
      <c r="S1123" t="str">
        <f>""</f>
        <v/>
      </c>
      <c r="T1123" t="s">
        <v>41</v>
      </c>
      <c r="U1123">
        <v>7319.84</v>
      </c>
      <c r="V1123">
        <v>7063.65</v>
      </c>
      <c r="W1123">
        <v>7063.65</v>
      </c>
      <c r="X1123">
        <v>0</v>
      </c>
      <c r="Y1123">
        <v>0</v>
      </c>
      <c r="Z1123">
        <v>-553</v>
      </c>
      <c r="AA1123">
        <v>696015</v>
      </c>
      <c r="AD1123" t="s">
        <v>64</v>
      </c>
      <c r="AE1123">
        <v>1129648461</v>
      </c>
      <c r="AF1123" t="s">
        <v>64</v>
      </c>
      <c r="AG1123">
        <v>75315333022692</v>
      </c>
      <c r="AH1123" t="s">
        <v>44</v>
      </c>
    </row>
    <row r="1124" spans="1:34" x14ac:dyDescent="0.3">
      <c r="A1124">
        <v>101</v>
      </c>
      <c r="B1124" t="s">
        <v>34</v>
      </c>
      <c r="C1124">
        <v>4</v>
      </c>
      <c r="D1124" s="1" t="s">
        <v>3217</v>
      </c>
      <c r="E1124" t="s">
        <v>3134</v>
      </c>
      <c r="G1124">
        <v>453837</v>
      </c>
      <c r="H1124" t="s">
        <v>3218</v>
      </c>
      <c r="I1124" t="s">
        <v>3131</v>
      </c>
      <c r="J1124">
        <v>15</v>
      </c>
      <c r="K1124">
        <v>4716</v>
      </c>
      <c r="L1124">
        <v>10001</v>
      </c>
      <c r="M1124" t="s">
        <v>3135</v>
      </c>
      <c r="N1124">
        <v>183</v>
      </c>
      <c r="O1124" s="2">
        <v>46149</v>
      </c>
      <c r="P1124" s="2">
        <v>46266</v>
      </c>
      <c r="R1124" t="s">
        <v>3136</v>
      </c>
      <c r="S1124" t="str">
        <f>"07.0572790"</f>
        <v>07.0572790</v>
      </c>
      <c r="T1124" t="s">
        <v>41</v>
      </c>
      <c r="U1124">
        <v>10071.76</v>
      </c>
      <c r="V1124">
        <v>10071.76</v>
      </c>
      <c r="W1124">
        <v>10071.76</v>
      </c>
      <c r="X1124">
        <v>0</v>
      </c>
      <c r="Y1124">
        <v>0</v>
      </c>
      <c r="Z1124">
        <v>-491</v>
      </c>
      <c r="AA1124">
        <v>687793</v>
      </c>
      <c r="AD1124" t="s">
        <v>3145</v>
      </c>
      <c r="AE1124" t="s">
        <v>3219</v>
      </c>
      <c r="AF1124" t="s">
        <v>64</v>
      </c>
      <c r="AG1124">
        <v>75315333027490</v>
      </c>
      <c r="AH1124" t="s">
        <v>44</v>
      </c>
    </row>
    <row r="1125" spans="1:34" x14ac:dyDescent="0.3">
      <c r="A1125">
        <v>104</v>
      </c>
      <c r="B1125" t="s">
        <v>34</v>
      </c>
      <c r="C1125">
        <v>4</v>
      </c>
      <c r="D1125" s="1" t="s">
        <v>3220</v>
      </c>
      <c r="E1125" s="1" t="s">
        <v>36</v>
      </c>
      <c r="G1125">
        <v>455120</v>
      </c>
      <c r="H1125" t="s">
        <v>3221</v>
      </c>
      <c r="I1125" t="s">
        <v>3222</v>
      </c>
      <c r="J1125">
        <v>15</v>
      </c>
      <c r="K1125">
        <v>4716</v>
      </c>
      <c r="L1125">
        <v>95000</v>
      </c>
      <c r="M1125" t="s">
        <v>69</v>
      </c>
      <c r="N1125">
        <v>183</v>
      </c>
      <c r="O1125" s="2">
        <v>46171</v>
      </c>
      <c r="P1125" s="2">
        <v>46266</v>
      </c>
      <c r="R1125" t="s">
        <v>3223</v>
      </c>
      <c r="S1125" t="str">
        <f>""</f>
        <v/>
      </c>
      <c r="T1125" t="s">
        <v>41</v>
      </c>
      <c r="U1125">
        <v>12392.31</v>
      </c>
      <c r="V1125">
        <v>11958.58</v>
      </c>
      <c r="W1125">
        <v>11958.58</v>
      </c>
      <c r="X1125">
        <v>0</v>
      </c>
      <c r="Y1125">
        <v>0</v>
      </c>
      <c r="Z1125">
        <v>-491</v>
      </c>
      <c r="AA1125">
        <v>688874</v>
      </c>
      <c r="AD1125" t="s">
        <v>3224</v>
      </c>
      <c r="AE1125">
        <v>11963394642</v>
      </c>
      <c r="AF1125" t="s">
        <v>3224</v>
      </c>
      <c r="AG1125">
        <v>93209765051617</v>
      </c>
      <c r="AH1125" t="s">
        <v>44</v>
      </c>
    </row>
    <row r="1126" spans="1:34" x14ac:dyDescent="0.3">
      <c r="A1126">
        <v>104</v>
      </c>
      <c r="B1126" t="s">
        <v>34</v>
      </c>
      <c r="C1126">
        <v>4</v>
      </c>
      <c r="D1126" s="1" t="s">
        <v>3225</v>
      </c>
      <c r="E1126" s="1" t="s">
        <v>36</v>
      </c>
      <c r="G1126">
        <v>461234</v>
      </c>
      <c r="H1126" t="s">
        <v>3226</v>
      </c>
      <c r="I1126" t="s">
        <v>3222</v>
      </c>
      <c r="J1126">
        <v>15</v>
      </c>
      <c r="K1126">
        <v>4716</v>
      </c>
      <c r="L1126">
        <v>95000</v>
      </c>
      <c r="M1126" t="s">
        <v>69</v>
      </c>
      <c r="N1126">
        <v>183</v>
      </c>
      <c r="O1126" s="2">
        <v>46171</v>
      </c>
      <c r="P1126" s="2">
        <v>46266</v>
      </c>
      <c r="R1126" t="s">
        <v>3227</v>
      </c>
      <c r="S1126" t="str">
        <f>""</f>
        <v/>
      </c>
      <c r="T1126" t="s">
        <v>41</v>
      </c>
      <c r="U1126">
        <v>13833.29</v>
      </c>
      <c r="V1126">
        <v>13349.12</v>
      </c>
      <c r="W1126">
        <v>13349.12</v>
      </c>
      <c r="X1126">
        <v>0</v>
      </c>
      <c r="Y1126">
        <v>0</v>
      </c>
      <c r="Z1126">
        <v>-491</v>
      </c>
      <c r="AA1126">
        <v>688934</v>
      </c>
      <c r="AD1126" t="s">
        <v>3228</v>
      </c>
      <c r="AE1126">
        <v>5133494540</v>
      </c>
      <c r="AF1126" t="s">
        <v>3228</v>
      </c>
      <c r="AG1126">
        <v>93209765047938</v>
      </c>
      <c r="AH1126" t="s">
        <v>44</v>
      </c>
    </row>
    <row r="1127" spans="1:34" x14ac:dyDescent="0.3">
      <c r="A1127">
        <v>104</v>
      </c>
      <c r="B1127" t="s">
        <v>34</v>
      </c>
      <c r="C1127">
        <v>4</v>
      </c>
      <c r="D1127" s="1" t="s">
        <v>3229</v>
      </c>
      <c r="E1127" s="1" t="s">
        <v>36</v>
      </c>
      <c r="G1127">
        <v>461234</v>
      </c>
      <c r="H1127" t="s">
        <v>3226</v>
      </c>
      <c r="I1127" t="s">
        <v>3222</v>
      </c>
      <c r="J1127">
        <v>15</v>
      </c>
      <c r="K1127">
        <v>4716</v>
      </c>
      <c r="L1127">
        <v>95000</v>
      </c>
      <c r="M1127" t="s">
        <v>69</v>
      </c>
      <c r="N1127">
        <v>183</v>
      </c>
      <c r="O1127" s="2">
        <v>46238</v>
      </c>
      <c r="P1127" s="2">
        <v>46308</v>
      </c>
      <c r="R1127" t="s">
        <v>3230</v>
      </c>
      <c r="S1127" t="str">
        <f>""</f>
        <v/>
      </c>
      <c r="T1127" t="s">
        <v>41</v>
      </c>
      <c r="U1127">
        <v>5108.09</v>
      </c>
      <c r="V1127">
        <v>4929.3100000000004</v>
      </c>
      <c r="W1127">
        <v>4929.3100000000004</v>
      </c>
      <c r="X1127">
        <v>0</v>
      </c>
      <c r="Y1127">
        <v>0</v>
      </c>
      <c r="Z1127">
        <v>-533</v>
      </c>
      <c r="AA1127">
        <v>696077</v>
      </c>
      <c r="AD1127" t="s">
        <v>3228</v>
      </c>
      <c r="AE1127">
        <v>5133494540</v>
      </c>
      <c r="AF1127" t="s">
        <v>3228</v>
      </c>
      <c r="AG1127">
        <v>93209765047938</v>
      </c>
      <c r="AH1127" t="s">
        <v>44</v>
      </c>
    </row>
    <row r="1128" spans="1:34" x14ac:dyDescent="0.3">
      <c r="A1128">
        <v>101</v>
      </c>
      <c r="B1128" t="s">
        <v>34</v>
      </c>
      <c r="C1128">
        <v>4</v>
      </c>
      <c r="D1128" s="1" t="s">
        <v>3231</v>
      </c>
      <c r="E1128" t="s">
        <v>3134</v>
      </c>
      <c r="G1128">
        <v>461841</v>
      </c>
      <c r="H1128" t="s">
        <v>3232</v>
      </c>
      <c r="I1128" t="s">
        <v>3131</v>
      </c>
      <c r="J1128">
        <v>15</v>
      </c>
      <c r="K1128">
        <v>4716</v>
      </c>
      <c r="L1128">
        <v>10001</v>
      </c>
      <c r="M1128" t="s">
        <v>3135</v>
      </c>
      <c r="N1128">
        <v>183</v>
      </c>
      <c r="O1128" s="2">
        <v>46183</v>
      </c>
      <c r="P1128" s="2">
        <v>46281</v>
      </c>
      <c r="R1128" t="s">
        <v>3144</v>
      </c>
      <c r="S1128" t="str">
        <f>"07.0574661"</f>
        <v>07.0574661</v>
      </c>
      <c r="T1128" t="s">
        <v>41</v>
      </c>
      <c r="U1128">
        <v>124391.56</v>
      </c>
      <c r="V1128">
        <v>124391.56</v>
      </c>
      <c r="W1128">
        <v>124391.56</v>
      </c>
      <c r="X1128">
        <v>0</v>
      </c>
      <c r="Y1128">
        <v>0</v>
      </c>
      <c r="Z1128">
        <v>-506</v>
      </c>
      <c r="AA1128">
        <v>690652</v>
      </c>
      <c r="AD1128" t="s">
        <v>3233</v>
      </c>
      <c r="AE1128">
        <v>1129678461</v>
      </c>
      <c r="AF1128" t="s">
        <v>3233</v>
      </c>
      <c r="AG1128">
        <v>75315333034194</v>
      </c>
      <c r="AH1128" t="s">
        <v>87</v>
      </c>
    </row>
    <row r="1129" spans="1:34" x14ac:dyDescent="0.3">
      <c r="A1129">
        <v>101</v>
      </c>
      <c r="B1129" t="s">
        <v>34</v>
      </c>
      <c r="C1129">
        <v>4</v>
      </c>
      <c r="D1129" s="1" t="s">
        <v>3234</v>
      </c>
      <c r="E1129" t="s">
        <v>3134</v>
      </c>
      <c r="G1129">
        <v>461841</v>
      </c>
      <c r="H1129" t="s">
        <v>3232</v>
      </c>
      <c r="I1129" t="s">
        <v>3131</v>
      </c>
      <c r="J1129">
        <v>15</v>
      </c>
      <c r="K1129">
        <v>4716</v>
      </c>
      <c r="L1129">
        <v>10001</v>
      </c>
      <c r="M1129" t="s">
        <v>3135</v>
      </c>
      <c r="N1129">
        <v>183</v>
      </c>
      <c r="O1129" s="2">
        <v>46183</v>
      </c>
      <c r="P1129" s="2">
        <v>46281</v>
      </c>
      <c r="R1129" t="s">
        <v>3144</v>
      </c>
      <c r="S1129" t="str">
        <f>"07.0574661"</f>
        <v>07.0574661</v>
      </c>
      <c r="T1129" t="s">
        <v>41</v>
      </c>
      <c r="U1129">
        <v>9768</v>
      </c>
      <c r="V1129">
        <v>9768</v>
      </c>
      <c r="W1129">
        <v>9768</v>
      </c>
      <c r="X1129">
        <v>0</v>
      </c>
      <c r="Y1129">
        <v>0</v>
      </c>
      <c r="Z1129">
        <v>-506</v>
      </c>
      <c r="AA1129">
        <v>688238</v>
      </c>
      <c r="AD1129" t="s">
        <v>3233</v>
      </c>
      <c r="AE1129">
        <v>1129678461</v>
      </c>
      <c r="AF1129" t="s">
        <v>3233</v>
      </c>
      <c r="AG1129">
        <v>75315333034194</v>
      </c>
      <c r="AH1129" t="s">
        <v>87</v>
      </c>
    </row>
    <row r="1130" spans="1:34" x14ac:dyDescent="0.3">
      <c r="A1130">
        <v>104</v>
      </c>
      <c r="B1130" t="s">
        <v>34</v>
      </c>
      <c r="C1130">
        <v>4</v>
      </c>
      <c r="D1130" s="1" t="s">
        <v>3235</v>
      </c>
      <c r="E1130" s="1" t="s">
        <v>36</v>
      </c>
      <c r="G1130">
        <v>462179</v>
      </c>
      <c r="H1130" t="s">
        <v>3236</v>
      </c>
      <c r="I1130" t="s">
        <v>3237</v>
      </c>
      <c r="J1130">
        <v>15</v>
      </c>
      <c r="K1130">
        <v>4716</v>
      </c>
      <c r="L1130">
        <v>95000</v>
      </c>
      <c r="M1130" t="s">
        <v>69</v>
      </c>
      <c r="N1130">
        <v>183</v>
      </c>
      <c r="O1130" s="2">
        <v>46231</v>
      </c>
      <c r="P1130" s="2">
        <v>46301</v>
      </c>
      <c r="R1130" t="s">
        <v>3238</v>
      </c>
      <c r="S1130" t="str">
        <f>""</f>
        <v/>
      </c>
      <c r="T1130" t="s">
        <v>41</v>
      </c>
      <c r="U1130">
        <v>3924.6</v>
      </c>
      <c r="V1130">
        <v>3787.24</v>
      </c>
      <c r="W1130">
        <v>3787.24</v>
      </c>
      <c r="X1130">
        <v>0</v>
      </c>
      <c r="Y1130">
        <v>0</v>
      </c>
      <c r="Z1130">
        <v>-526</v>
      </c>
      <c r="AA1130">
        <v>695223</v>
      </c>
      <c r="AD1130" t="s">
        <v>2494</v>
      </c>
      <c r="AE1130">
        <v>1129678461</v>
      </c>
      <c r="AF1130" t="s">
        <v>2494</v>
      </c>
      <c r="AG1130">
        <v>93209765033120</v>
      </c>
      <c r="AH1130" t="s">
        <v>2472</v>
      </c>
    </row>
    <row r="1131" spans="1:34" x14ac:dyDescent="0.3">
      <c r="A1131">
        <v>104</v>
      </c>
      <c r="B1131" t="s">
        <v>34</v>
      </c>
      <c r="C1131">
        <v>4</v>
      </c>
      <c r="D1131" s="1" t="s">
        <v>3239</v>
      </c>
      <c r="E1131" s="1" t="s">
        <v>36</v>
      </c>
      <c r="G1131">
        <v>463419</v>
      </c>
      <c r="H1131" t="s">
        <v>3240</v>
      </c>
      <c r="I1131" t="s">
        <v>3131</v>
      </c>
      <c r="J1131">
        <v>15</v>
      </c>
      <c r="K1131">
        <v>4716</v>
      </c>
      <c r="L1131">
        <v>95000</v>
      </c>
      <c r="M1131" t="s">
        <v>69</v>
      </c>
      <c r="N1131">
        <v>183</v>
      </c>
      <c r="O1131" s="2">
        <v>46238</v>
      </c>
      <c r="P1131" s="2">
        <v>46308</v>
      </c>
      <c r="R1131" t="s">
        <v>3241</v>
      </c>
      <c r="S1131" t="str">
        <f>""</f>
        <v/>
      </c>
      <c r="T1131" t="s">
        <v>41</v>
      </c>
      <c r="U1131">
        <v>7366.81</v>
      </c>
      <c r="V1131">
        <v>7108.97</v>
      </c>
      <c r="W1131">
        <v>7108.97</v>
      </c>
      <c r="X1131">
        <v>0</v>
      </c>
      <c r="Y1131">
        <v>0</v>
      </c>
      <c r="Z1131">
        <v>-533</v>
      </c>
      <c r="AA1131">
        <v>696079</v>
      </c>
      <c r="AD1131" t="s">
        <v>64</v>
      </c>
      <c r="AE1131" t="s">
        <v>3242</v>
      </c>
      <c r="AF1131" t="s">
        <v>64</v>
      </c>
      <c r="AG1131">
        <v>75315333034003</v>
      </c>
      <c r="AH1131" t="s">
        <v>44</v>
      </c>
    </row>
    <row r="1132" spans="1:34" x14ac:dyDescent="0.3">
      <c r="A1132">
        <v>101</v>
      </c>
      <c r="B1132" t="s">
        <v>34</v>
      </c>
      <c r="C1132">
        <v>4</v>
      </c>
      <c r="D1132" s="1" t="s">
        <v>3243</v>
      </c>
      <c r="E1132" t="s">
        <v>3134</v>
      </c>
      <c r="G1132">
        <v>463419</v>
      </c>
      <c r="H1132" t="s">
        <v>3240</v>
      </c>
      <c r="I1132" t="s">
        <v>3131</v>
      </c>
      <c r="J1132">
        <v>15</v>
      </c>
      <c r="K1132">
        <v>4716</v>
      </c>
      <c r="L1132">
        <v>10001</v>
      </c>
      <c r="M1132" t="s">
        <v>3135</v>
      </c>
      <c r="N1132">
        <v>183</v>
      </c>
      <c r="O1132" s="2">
        <v>46171</v>
      </c>
      <c r="P1132" s="2">
        <v>46266</v>
      </c>
      <c r="R1132" t="s">
        <v>3136</v>
      </c>
      <c r="S1132" t="str">
        <f>"07.0572790"</f>
        <v>07.0572790</v>
      </c>
      <c r="T1132" t="s">
        <v>41</v>
      </c>
      <c r="U1132">
        <v>10421.700000000001</v>
      </c>
      <c r="V1132">
        <v>10421.700000000001</v>
      </c>
      <c r="W1132">
        <v>10421.700000000001</v>
      </c>
      <c r="X1132">
        <v>0</v>
      </c>
      <c r="Y1132">
        <v>0</v>
      </c>
      <c r="Z1132">
        <v>-491</v>
      </c>
      <c r="AA1132">
        <v>688936</v>
      </c>
      <c r="AD1132" t="s">
        <v>64</v>
      </c>
      <c r="AE1132" t="s">
        <v>3242</v>
      </c>
      <c r="AF1132" t="s">
        <v>64</v>
      </c>
      <c r="AG1132">
        <v>75315333034003</v>
      </c>
      <c r="AH1132" t="s">
        <v>44</v>
      </c>
    </row>
    <row r="1133" spans="1:34" x14ac:dyDescent="0.3">
      <c r="A1133">
        <v>104</v>
      </c>
      <c r="B1133" t="s">
        <v>34</v>
      </c>
      <c r="C1133">
        <v>4</v>
      </c>
      <c r="D1133" s="1" t="s">
        <v>3244</v>
      </c>
      <c r="E1133" s="1" t="s">
        <v>36</v>
      </c>
      <c r="G1133">
        <v>464116</v>
      </c>
      <c r="H1133" t="s">
        <v>3245</v>
      </c>
      <c r="I1133" t="s">
        <v>3222</v>
      </c>
      <c r="J1133">
        <v>15</v>
      </c>
      <c r="K1133">
        <v>4716</v>
      </c>
      <c r="L1133">
        <v>95000</v>
      </c>
      <c r="M1133" t="s">
        <v>69</v>
      </c>
      <c r="N1133">
        <v>183</v>
      </c>
      <c r="O1133" s="2">
        <v>46149</v>
      </c>
      <c r="P1133" s="2">
        <v>46266</v>
      </c>
      <c r="R1133" t="s">
        <v>3246</v>
      </c>
      <c r="S1133" t="str">
        <f>""</f>
        <v/>
      </c>
      <c r="T1133" t="s">
        <v>41</v>
      </c>
      <c r="U1133">
        <v>8447.1</v>
      </c>
      <c r="V1133">
        <v>8151.45</v>
      </c>
      <c r="W1133">
        <v>8151.45</v>
      </c>
      <c r="X1133">
        <v>0</v>
      </c>
      <c r="Y1133">
        <v>0</v>
      </c>
      <c r="Z1133">
        <v>-491</v>
      </c>
      <c r="AA1133">
        <v>687791</v>
      </c>
      <c r="AD1133" t="s">
        <v>3145</v>
      </c>
      <c r="AE1133">
        <v>11963394642</v>
      </c>
      <c r="AF1133" t="s">
        <v>3145</v>
      </c>
      <c r="AG1133">
        <v>93209765053156</v>
      </c>
      <c r="AH1133" t="s">
        <v>2154</v>
      </c>
    </row>
    <row r="1134" spans="1:34" x14ac:dyDescent="0.3">
      <c r="A1134">
        <v>101</v>
      </c>
      <c r="B1134" t="s">
        <v>34</v>
      </c>
      <c r="C1134">
        <v>4</v>
      </c>
      <c r="D1134" s="1" t="s">
        <v>3247</v>
      </c>
      <c r="E1134" t="s">
        <v>3134</v>
      </c>
      <c r="G1134">
        <v>464916</v>
      </c>
      <c r="H1134" t="s">
        <v>3248</v>
      </c>
      <c r="I1134" t="s">
        <v>3131</v>
      </c>
      <c r="J1134">
        <v>15</v>
      </c>
      <c r="K1134">
        <v>4716</v>
      </c>
      <c r="L1134">
        <v>10001</v>
      </c>
      <c r="M1134" t="s">
        <v>3135</v>
      </c>
      <c r="N1134">
        <v>183</v>
      </c>
      <c r="O1134" s="2">
        <v>46172</v>
      </c>
      <c r="P1134" s="2">
        <v>46266</v>
      </c>
      <c r="R1134" t="s">
        <v>3136</v>
      </c>
      <c r="S1134" t="str">
        <f>"07.0572790"</f>
        <v>07.0572790</v>
      </c>
      <c r="T1134" t="s">
        <v>41</v>
      </c>
      <c r="U1134">
        <v>58009.39</v>
      </c>
      <c r="V1134">
        <v>58009.39</v>
      </c>
      <c r="W1134">
        <v>58009.39</v>
      </c>
      <c r="X1134">
        <v>0</v>
      </c>
      <c r="Y1134">
        <v>0</v>
      </c>
      <c r="Z1134">
        <v>-491</v>
      </c>
      <c r="AA1134">
        <v>690107</v>
      </c>
      <c r="AD1134" t="s">
        <v>2278</v>
      </c>
      <c r="AE1134" t="s">
        <v>3249</v>
      </c>
      <c r="AF1134" t="s">
        <v>2278</v>
      </c>
      <c r="AG1134">
        <v>75315333035832</v>
      </c>
      <c r="AH1134" t="s">
        <v>44</v>
      </c>
    </row>
    <row r="1135" spans="1:34" x14ac:dyDescent="0.3">
      <c r="A1135">
        <v>101</v>
      </c>
      <c r="B1135" t="s">
        <v>34</v>
      </c>
      <c r="C1135">
        <v>4</v>
      </c>
      <c r="D1135" s="1" t="s">
        <v>3250</v>
      </c>
      <c r="E1135" t="s">
        <v>3134</v>
      </c>
      <c r="G1135">
        <v>464916</v>
      </c>
      <c r="H1135" t="s">
        <v>3248</v>
      </c>
      <c r="I1135" t="s">
        <v>3131</v>
      </c>
      <c r="J1135">
        <v>15</v>
      </c>
      <c r="K1135">
        <v>4716</v>
      </c>
      <c r="L1135">
        <v>10001</v>
      </c>
      <c r="M1135" t="s">
        <v>3135</v>
      </c>
      <c r="N1135">
        <v>183</v>
      </c>
      <c r="O1135" s="2">
        <v>46234</v>
      </c>
      <c r="P1135" s="2">
        <v>46329</v>
      </c>
      <c r="R1135" t="s">
        <v>3187</v>
      </c>
      <c r="S1135" t="str">
        <f>"08.0579034"</f>
        <v>08.0579034</v>
      </c>
      <c r="T1135" t="s">
        <v>41</v>
      </c>
      <c r="U1135">
        <v>117030.76</v>
      </c>
      <c r="V1135">
        <v>117030.76</v>
      </c>
      <c r="W1135">
        <v>117030.76</v>
      </c>
      <c r="X1135">
        <v>0</v>
      </c>
      <c r="Y1135">
        <v>0</v>
      </c>
      <c r="Z1135">
        <v>-554</v>
      </c>
      <c r="AA1135">
        <v>695241</v>
      </c>
      <c r="AD1135" t="s">
        <v>2278</v>
      </c>
      <c r="AE1135" t="s">
        <v>3249</v>
      </c>
      <c r="AF1135" t="s">
        <v>2278</v>
      </c>
      <c r="AG1135">
        <v>75315333035832</v>
      </c>
      <c r="AH1135" t="s">
        <v>44</v>
      </c>
    </row>
    <row r="1136" spans="1:34" x14ac:dyDescent="0.3">
      <c r="A1136">
        <v>101</v>
      </c>
      <c r="B1136" t="s">
        <v>34</v>
      </c>
      <c r="C1136">
        <v>4</v>
      </c>
      <c r="D1136" s="1" t="s">
        <v>3251</v>
      </c>
      <c r="E1136" t="s">
        <v>3134</v>
      </c>
      <c r="G1136">
        <v>464916</v>
      </c>
      <c r="H1136" t="s">
        <v>3248</v>
      </c>
      <c r="I1136" t="s">
        <v>3131</v>
      </c>
      <c r="J1136">
        <v>15</v>
      </c>
      <c r="K1136">
        <v>4716</v>
      </c>
      <c r="L1136">
        <v>10001</v>
      </c>
      <c r="M1136" t="s">
        <v>3135</v>
      </c>
      <c r="N1136">
        <v>183</v>
      </c>
      <c r="O1136" s="2">
        <v>46172</v>
      </c>
      <c r="P1136" s="2">
        <v>46266</v>
      </c>
      <c r="R1136" t="s">
        <v>3136</v>
      </c>
      <c r="S1136" t="str">
        <f>"07.0572790"</f>
        <v>07.0572790</v>
      </c>
      <c r="T1136" t="s">
        <v>41</v>
      </c>
      <c r="U1136">
        <v>72744.05</v>
      </c>
      <c r="V1136">
        <v>72744.05</v>
      </c>
      <c r="W1136">
        <v>72744.05</v>
      </c>
      <c r="X1136">
        <v>0</v>
      </c>
      <c r="Y1136">
        <v>0</v>
      </c>
      <c r="Z1136">
        <v>-491</v>
      </c>
      <c r="AA1136">
        <v>690107</v>
      </c>
      <c r="AD1136" t="s">
        <v>2278</v>
      </c>
      <c r="AE1136" t="s">
        <v>3249</v>
      </c>
      <c r="AF1136" t="s">
        <v>2278</v>
      </c>
      <c r="AG1136">
        <v>75315333035832</v>
      </c>
      <c r="AH1136" t="s">
        <v>44</v>
      </c>
    </row>
    <row r="1137" spans="1:34" x14ac:dyDescent="0.3">
      <c r="A1137">
        <v>104</v>
      </c>
      <c r="B1137" t="s">
        <v>34</v>
      </c>
      <c r="C1137">
        <v>4</v>
      </c>
      <c r="D1137" s="1" t="s">
        <v>3252</v>
      </c>
      <c r="E1137" s="1" t="s">
        <v>36</v>
      </c>
      <c r="G1137">
        <v>464916</v>
      </c>
      <c r="H1137" t="s">
        <v>3248</v>
      </c>
      <c r="I1137" t="s">
        <v>3131</v>
      </c>
      <c r="J1137">
        <v>15</v>
      </c>
      <c r="K1137">
        <v>4716</v>
      </c>
      <c r="L1137">
        <v>95000</v>
      </c>
      <c r="M1137" t="s">
        <v>69</v>
      </c>
      <c r="N1137">
        <v>183</v>
      </c>
      <c r="O1137" s="2">
        <v>46231</v>
      </c>
      <c r="P1137" s="2">
        <v>46311</v>
      </c>
      <c r="R1137" t="s">
        <v>3253</v>
      </c>
      <c r="S1137" t="str">
        <f>""</f>
        <v/>
      </c>
      <c r="T1137" t="s">
        <v>41</v>
      </c>
      <c r="U1137">
        <v>128147.6</v>
      </c>
      <c r="V1137">
        <v>118536.53</v>
      </c>
      <c r="W1137">
        <v>118536.53</v>
      </c>
      <c r="X1137">
        <v>0</v>
      </c>
      <c r="Y1137">
        <v>0</v>
      </c>
      <c r="Z1137">
        <v>-536</v>
      </c>
      <c r="AA1137">
        <v>695241</v>
      </c>
      <c r="AD1137" t="s">
        <v>2278</v>
      </c>
      <c r="AE1137" t="s">
        <v>3249</v>
      </c>
      <c r="AF1137" t="s">
        <v>2278</v>
      </c>
      <c r="AG1137">
        <v>75315333035832</v>
      </c>
      <c r="AH1137" t="s">
        <v>44</v>
      </c>
    </row>
    <row r="1138" spans="1:34" x14ac:dyDescent="0.3">
      <c r="A1138">
        <v>101</v>
      </c>
      <c r="B1138" t="s">
        <v>34</v>
      </c>
      <c r="C1138">
        <v>4</v>
      </c>
      <c r="D1138" s="1" t="s">
        <v>3254</v>
      </c>
      <c r="E1138" t="s">
        <v>3134</v>
      </c>
      <c r="G1138">
        <v>464916</v>
      </c>
      <c r="H1138" t="s">
        <v>3248</v>
      </c>
      <c r="I1138" t="s">
        <v>3131</v>
      </c>
      <c r="J1138">
        <v>15</v>
      </c>
      <c r="K1138">
        <v>4716</v>
      </c>
      <c r="L1138">
        <v>10001</v>
      </c>
      <c r="M1138" t="s">
        <v>3135</v>
      </c>
      <c r="N1138">
        <v>183</v>
      </c>
      <c r="O1138" s="2">
        <v>46172</v>
      </c>
      <c r="P1138" s="2">
        <v>46266</v>
      </c>
      <c r="R1138" t="s">
        <v>3136</v>
      </c>
      <c r="S1138" t="str">
        <f>"07.0572790"</f>
        <v>07.0572790</v>
      </c>
      <c r="T1138" t="s">
        <v>41</v>
      </c>
      <c r="U1138">
        <v>57720.59</v>
      </c>
      <c r="V1138">
        <v>57720.59</v>
      </c>
      <c r="W1138">
        <v>57720.59</v>
      </c>
      <c r="X1138">
        <v>0</v>
      </c>
      <c r="Y1138">
        <v>0</v>
      </c>
      <c r="Z1138">
        <v>-491</v>
      </c>
      <c r="AA1138">
        <v>690107</v>
      </c>
      <c r="AD1138" t="s">
        <v>2278</v>
      </c>
      <c r="AE1138" t="s">
        <v>3249</v>
      </c>
      <c r="AF1138" t="s">
        <v>2278</v>
      </c>
      <c r="AG1138">
        <v>75315333035832</v>
      </c>
      <c r="AH1138" t="s">
        <v>44</v>
      </c>
    </row>
    <row r="1139" spans="1:34" x14ac:dyDescent="0.3">
      <c r="A1139">
        <v>101</v>
      </c>
      <c r="B1139" t="s">
        <v>34</v>
      </c>
      <c r="C1139">
        <v>4</v>
      </c>
      <c r="D1139" s="1" t="s">
        <v>3255</v>
      </c>
      <c r="E1139" t="s">
        <v>3134</v>
      </c>
      <c r="G1139">
        <v>464916</v>
      </c>
      <c r="H1139" t="s">
        <v>3248</v>
      </c>
      <c r="I1139" t="s">
        <v>3131</v>
      </c>
      <c r="J1139">
        <v>15</v>
      </c>
      <c r="K1139">
        <v>4716</v>
      </c>
      <c r="L1139">
        <v>10001</v>
      </c>
      <c r="M1139" t="s">
        <v>3135</v>
      </c>
      <c r="N1139">
        <v>183</v>
      </c>
      <c r="O1139" s="2">
        <v>46231</v>
      </c>
      <c r="P1139" s="2">
        <v>46311</v>
      </c>
      <c r="R1139" t="s">
        <v>3187</v>
      </c>
      <c r="S1139" t="str">
        <f>"08.0579034"</f>
        <v>08.0579034</v>
      </c>
      <c r="T1139" t="s">
        <v>41</v>
      </c>
      <c r="U1139">
        <v>148443</v>
      </c>
      <c r="V1139">
        <v>148443</v>
      </c>
      <c r="W1139">
        <v>148443</v>
      </c>
      <c r="X1139">
        <v>0</v>
      </c>
      <c r="Y1139">
        <v>0</v>
      </c>
      <c r="Z1139">
        <v>-536</v>
      </c>
      <c r="AA1139">
        <v>695241</v>
      </c>
      <c r="AD1139" t="s">
        <v>2278</v>
      </c>
      <c r="AE1139" t="s">
        <v>3249</v>
      </c>
      <c r="AF1139" t="s">
        <v>2278</v>
      </c>
      <c r="AG1139">
        <v>75315333035832</v>
      </c>
      <c r="AH1139" t="s">
        <v>44</v>
      </c>
    </row>
    <row r="1140" spans="1:34" x14ac:dyDescent="0.3">
      <c r="A1140">
        <v>101</v>
      </c>
      <c r="B1140" t="s">
        <v>34</v>
      </c>
      <c r="C1140">
        <v>4</v>
      </c>
      <c r="D1140" s="1" t="s">
        <v>3256</v>
      </c>
      <c r="E1140" t="s">
        <v>3134</v>
      </c>
      <c r="G1140">
        <v>464916</v>
      </c>
      <c r="H1140" t="s">
        <v>3248</v>
      </c>
      <c r="I1140" t="s">
        <v>3131</v>
      </c>
      <c r="J1140">
        <v>15</v>
      </c>
      <c r="K1140">
        <v>4716</v>
      </c>
      <c r="L1140">
        <v>10001</v>
      </c>
      <c r="M1140" t="s">
        <v>3135</v>
      </c>
      <c r="N1140">
        <v>183</v>
      </c>
      <c r="O1140" s="2">
        <v>46172</v>
      </c>
      <c r="P1140" s="2">
        <v>46266</v>
      </c>
      <c r="R1140" t="s">
        <v>3136</v>
      </c>
      <c r="S1140" t="str">
        <f>"07.0572790"</f>
        <v>07.0572790</v>
      </c>
      <c r="T1140" t="s">
        <v>41</v>
      </c>
      <c r="U1140">
        <v>13034</v>
      </c>
      <c r="V1140">
        <v>13034</v>
      </c>
      <c r="W1140">
        <v>13034</v>
      </c>
      <c r="X1140">
        <v>0</v>
      </c>
      <c r="Y1140">
        <v>0</v>
      </c>
      <c r="Z1140">
        <v>-491</v>
      </c>
      <c r="AA1140">
        <v>690107</v>
      </c>
      <c r="AD1140" t="s">
        <v>2278</v>
      </c>
      <c r="AE1140" t="s">
        <v>3249</v>
      </c>
      <c r="AF1140" t="s">
        <v>2278</v>
      </c>
      <c r="AG1140">
        <v>75315333035832</v>
      </c>
      <c r="AH1140" t="s">
        <v>44</v>
      </c>
    </row>
    <row r="1141" spans="1:34" x14ac:dyDescent="0.3">
      <c r="A1141">
        <v>104</v>
      </c>
      <c r="B1141" t="s">
        <v>34</v>
      </c>
      <c r="C1141">
        <v>4</v>
      </c>
      <c r="D1141" s="1" t="s">
        <v>3257</v>
      </c>
      <c r="E1141" s="1" t="s">
        <v>36</v>
      </c>
      <c r="G1141">
        <v>464916</v>
      </c>
      <c r="H1141" t="s">
        <v>3248</v>
      </c>
      <c r="I1141" t="s">
        <v>3131</v>
      </c>
      <c r="J1141">
        <v>15</v>
      </c>
      <c r="K1141">
        <v>4716</v>
      </c>
      <c r="L1141">
        <v>95000</v>
      </c>
      <c r="M1141" t="s">
        <v>69</v>
      </c>
      <c r="N1141">
        <v>183</v>
      </c>
      <c r="O1141" s="2">
        <v>46237</v>
      </c>
      <c r="P1141" s="2">
        <v>46311</v>
      </c>
      <c r="R1141" t="s">
        <v>3258</v>
      </c>
      <c r="S1141" t="str">
        <f>""</f>
        <v/>
      </c>
      <c r="T1141" t="s">
        <v>41</v>
      </c>
      <c r="U1141">
        <v>150815.70000000001</v>
      </c>
      <c r="V1141">
        <v>139504.51999999999</v>
      </c>
      <c r="W1141">
        <v>139504.51999999999</v>
      </c>
      <c r="X1141">
        <v>0</v>
      </c>
      <c r="Y1141">
        <v>0</v>
      </c>
      <c r="Z1141">
        <v>-536</v>
      </c>
      <c r="AA1141" t="s">
        <v>3259</v>
      </c>
      <c r="AD1141" t="s">
        <v>2278</v>
      </c>
      <c r="AE1141" t="s">
        <v>3249</v>
      </c>
      <c r="AF1141" t="s">
        <v>2278</v>
      </c>
      <c r="AG1141">
        <v>75315333035832</v>
      </c>
      <c r="AH1141" t="s">
        <v>44</v>
      </c>
    </row>
    <row r="1142" spans="1:34" x14ac:dyDescent="0.3">
      <c r="A1142">
        <v>101</v>
      </c>
      <c r="B1142" t="s">
        <v>34</v>
      </c>
      <c r="C1142">
        <v>4</v>
      </c>
      <c r="D1142" s="1" t="s">
        <v>3260</v>
      </c>
      <c r="E1142" t="s">
        <v>3134</v>
      </c>
      <c r="G1142">
        <v>464916</v>
      </c>
      <c r="H1142" t="s">
        <v>3248</v>
      </c>
      <c r="I1142" t="s">
        <v>3131</v>
      </c>
      <c r="J1142">
        <v>15</v>
      </c>
      <c r="K1142">
        <v>4716</v>
      </c>
      <c r="L1142">
        <v>10001</v>
      </c>
      <c r="M1142" t="s">
        <v>3135</v>
      </c>
      <c r="N1142">
        <v>183</v>
      </c>
      <c r="O1142" s="2">
        <v>46172</v>
      </c>
      <c r="P1142" s="2">
        <v>46266</v>
      </c>
      <c r="R1142" t="s">
        <v>3136</v>
      </c>
      <c r="S1142" t="str">
        <f>"07.0572790"</f>
        <v>07.0572790</v>
      </c>
      <c r="T1142" t="s">
        <v>41</v>
      </c>
      <c r="U1142">
        <v>220538.8</v>
      </c>
      <c r="V1142">
        <v>220538.8</v>
      </c>
      <c r="W1142">
        <v>220538.8</v>
      </c>
      <c r="X1142">
        <v>0</v>
      </c>
      <c r="Y1142">
        <v>0</v>
      </c>
      <c r="Z1142">
        <v>-491</v>
      </c>
      <c r="AA1142">
        <v>690107</v>
      </c>
      <c r="AD1142" t="s">
        <v>2278</v>
      </c>
      <c r="AE1142" t="s">
        <v>3249</v>
      </c>
      <c r="AF1142" t="s">
        <v>2278</v>
      </c>
      <c r="AG1142">
        <v>75315333035832</v>
      </c>
      <c r="AH1142" t="s">
        <v>44</v>
      </c>
    </row>
    <row r="1143" spans="1:34" x14ac:dyDescent="0.3">
      <c r="A1143">
        <v>104</v>
      </c>
      <c r="B1143" t="s">
        <v>34</v>
      </c>
      <c r="C1143">
        <v>4</v>
      </c>
      <c r="D1143" s="1" t="s">
        <v>3261</v>
      </c>
      <c r="E1143" s="1" t="s">
        <v>36</v>
      </c>
      <c r="G1143">
        <v>464916</v>
      </c>
      <c r="H1143" t="s">
        <v>3248</v>
      </c>
      <c r="I1143" t="s">
        <v>3131</v>
      </c>
      <c r="J1143">
        <v>15</v>
      </c>
      <c r="K1143">
        <v>4716</v>
      </c>
      <c r="L1143">
        <v>95000</v>
      </c>
      <c r="M1143" t="s">
        <v>69</v>
      </c>
      <c r="N1143">
        <v>183</v>
      </c>
      <c r="O1143" s="2">
        <v>46237</v>
      </c>
      <c r="P1143" s="2">
        <v>46311</v>
      </c>
      <c r="R1143" t="s">
        <v>3262</v>
      </c>
      <c r="S1143" t="str">
        <f>""</f>
        <v/>
      </c>
      <c r="T1143" t="s">
        <v>41</v>
      </c>
      <c r="U1143">
        <v>13829.2</v>
      </c>
      <c r="V1143">
        <v>12792.01</v>
      </c>
      <c r="W1143">
        <v>12792.01</v>
      </c>
      <c r="X1143">
        <v>0</v>
      </c>
      <c r="Y1143">
        <v>0</v>
      </c>
      <c r="Z1143">
        <v>-536</v>
      </c>
      <c r="AA1143" t="s">
        <v>3259</v>
      </c>
      <c r="AD1143" t="s">
        <v>2278</v>
      </c>
      <c r="AE1143" t="s">
        <v>3249</v>
      </c>
      <c r="AF1143" t="s">
        <v>2278</v>
      </c>
      <c r="AG1143">
        <v>75315333035832</v>
      </c>
      <c r="AH1143" t="s">
        <v>44</v>
      </c>
    </row>
    <row r="1144" spans="1:34" x14ac:dyDescent="0.3">
      <c r="A1144">
        <v>101</v>
      </c>
      <c r="B1144" t="s">
        <v>34</v>
      </c>
      <c r="C1144">
        <v>4</v>
      </c>
      <c r="D1144" s="1" t="s">
        <v>3263</v>
      </c>
      <c r="E1144" t="s">
        <v>3134</v>
      </c>
      <c r="G1144">
        <v>464916</v>
      </c>
      <c r="H1144" t="s">
        <v>3248</v>
      </c>
      <c r="I1144" t="s">
        <v>3131</v>
      </c>
      <c r="J1144">
        <v>15</v>
      </c>
      <c r="K1144">
        <v>4716</v>
      </c>
      <c r="L1144">
        <v>10001</v>
      </c>
      <c r="M1144" t="s">
        <v>3135</v>
      </c>
      <c r="N1144">
        <v>183</v>
      </c>
      <c r="O1144" s="2">
        <v>46183</v>
      </c>
      <c r="P1144" s="2">
        <v>46266</v>
      </c>
      <c r="R1144" t="s">
        <v>3179</v>
      </c>
      <c r="S1144" t="str">
        <f>"08.0576919"</f>
        <v>08.0576919</v>
      </c>
      <c r="T1144" t="s">
        <v>41</v>
      </c>
      <c r="U1144">
        <v>82238.98</v>
      </c>
      <c r="V1144">
        <v>82238.98</v>
      </c>
      <c r="W1144">
        <v>82238.98</v>
      </c>
      <c r="X1144">
        <v>0</v>
      </c>
      <c r="Y1144">
        <v>0</v>
      </c>
      <c r="Z1144">
        <v>-491</v>
      </c>
      <c r="AA1144">
        <v>690107</v>
      </c>
      <c r="AD1144" t="s">
        <v>2278</v>
      </c>
      <c r="AE1144" t="s">
        <v>3249</v>
      </c>
      <c r="AF1144" t="s">
        <v>2278</v>
      </c>
      <c r="AG1144">
        <v>75315333035832</v>
      </c>
      <c r="AH1144" t="s">
        <v>44</v>
      </c>
    </row>
    <row r="1145" spans="1:34" x14ac:dyDescent="0.3">
      <c r="A1145">
        <v>101</v>
      </c>
      <c r="B1145" t="s">
        <v>34</v>
      </c>
      <c r="C1145">
        <v>4</v>
      </c>
      <c r="D1145" s="1" t="s">
        <v>3264</v>
      </c>
      <c r="E1145" t="s">
        <v>3134</v>
      </c>
      <c r="G1145">
        <v>464916</v>
      </c>
      <c r="H1145" t="s">
        <v>3248</v>
      </c>
      <c r="I1145" t="s">
        <v>3131</v>
      </c>
      <c r="J1145">
        <v>15</v>
      </c>
      <c r="K1145">
        <v>4716</v>
      </c>
      <c r="L1145">
        <v>10001</v>
      </c>
      <c r="M1145" t="s">
        <v>3135</v>
      </c>
      <c r="N1145">
        <v>183</v>
      </c>
      <c r="O1145" s="2">
        <v>46231</v>
      </c>
      <c r="P1145" s="2">
        <v>46311</v>
      </c>
      <c r="R1145" t="s">
        <v>3187</v>
      </c>
      <c r="S1145" t="str">
        <f>"08.0579034"</f>
        <v>08.0579034</v>
      </c>
      <c r="T1145" t="s">
        <v>41</v>
      </c>
      <c r="U1145">
        <v>220281.11</v>
      </c>
      <c r="V1145">
        <v>220281.11</v>
      </c>
      <c r="W1145">
        <v>220281.11</v>
      </c>
      <c r="X1145">
        <v>0</v>
      </c>
      <c r="Y1145">
        <v>0</v>
      </c>
      <c r="Z1145">
        <v>-536</v>
      </c>
      <c r="AA1145">
        <v>695241</v>
      </c>
      <c r="AD1145" t="s">
        <v>2278</v>
      </c>
      <c r="AE1145" t="s">
        <v>3249</v>
      </c>
      <c r="AF1145" t="s">
        <v>2278</v>
      </c>
      <c r="AG1145">
        <v>75315333035832</v>
      </c>
      <c r="AH1145" t="s">
        <v>44</v>
      </c>
    </row>
    <row r="1146" spans="1:34" x14ac:dyDescent="0.3">
      <c r="A1146">
        <v>101</v>
      </c>
      <c r="B1146" t="s">
        <v>34</v>
      </c>
      <c r="C1146">
        <v>4</v>
      </c>
      <c r="D1146" s="1" t="s">
        <v>3265</v>
      </c>
      <c r="E1146" t="s">
        <v>3134</v>
      </c>
      <c r="G1146">
        <v>464916</v>
      </c>
      <c r="H1146" t="s">
        <v>3248</v>
      </c>
      <c r="I1146" t="s">
        <v>3131</v>
      </c>
      <c r="J1146">
        <v>15</v>
      </c>
      <c r="K1146">
        <v>4716</v>
      </c>
      <c r="L1146">
        <v>10001</v>
      </c>
      <c r="M1146" t="s">
        <v>3135</v>
      </c>
      <c r="N1146">
        <v>183</v>
      </c>
      <c r="O1146" s="2">
        <v>46183</v>
      </c>
      <c r="P1146" s="2">
        <v>46266</v>
      </c>
      <c r="R1146" t="s">
        <v>3179</v>
      </c>
      <c r="S1146" t="str">
        <f>"08.0576919"</f>
        <v>08.0576919</v>
      </c>
      <c r="T1146" t="s">
        <v>41</v>
      </c>
      <c r="U1146">
        <v>97680</v>
      </c>
      <c r="V1146">
        <v>97680</v>
      </c>
      <c r="W1146">
        <v>97680</v>
      </c>
      <c r="X1146">
        <v>0</v>
      </c>
      <c r="Y1146">
        <v>0</v>
      </c>
      <c r="Z1146">
        <v>-491</v>
      </c>
      <c r="AA1146">
        <v>688235</v>
      </c>
      <c r="AD1146" t="s">
        <v>2278</v>
      </c>
      <c r="AE1146" t="s">
        <v>3249</v>
      </c>
      <c r="AF1146" t="s">
        <v>2278</v>
      </c>
      <c r="AG1146">
        <v>75315333035832</v>
      </c>
      <c r="AH1146" t="s">
        <v>44</v>
      </c>
    </row>
    <row r="1147" spans="1:34" x14ac:dyDescent="0.3">
      <c r="A1147">
        <v>101</v>
      </c>
      <c r="B1147" t="s">
        <v>34</v>
      </c>
      <c r="C1147">
        <v>4</v>
      </c>
      <c r="D1147" s="1" t="s">
        <v>3266</v>
      </c>
      <c r="E1147" t="s">
        <v>3134</v>
      </c>
      <c r="G1147">
        <v>464916</v>
      </c>
      <c r="H1147" t="s">
        <v>3248</v>
      </c>
      <c r="I1147" t="s">
        <v>3131</v>
      </c>
      <c r="J1147">
        <v>15</v>
      </c>
      <c r="K1147">
        <v>4716</v>
      </c>
      <c r="L1147">
        <v>10001</v>
      </c>
      <c r="M1147" t="s">
        <v>3135</v>
      </c>
      <c r="N1147">
        <v>183</v>
      </c>
      <c r="O1147" s="2">
        <v>46172</v>
      </c>
      <c r="P1147" s="2">
        <v>46266</v>
      </c>
      <c r="R1147" t="s">
        <v>3179</v>
      </c>
      <c r="S1147" t="str">
        <f>"08.0576919"</f>
        <v>08.0576919</v>
      </c>
      <c r="T1147" t="s">
        <v>41</v>
      </c>
      <c r="U1147">
        <v>21410.36</v>
      </c>
      <c r="V1147">
        <v>21410.36</v>
      </c>
      <c r="W1147">
        <v>21410.36</v>
      </c>
      <c r="X1147">
        <v>0</v>
      </c>
      <c r="Y1147">
        <v>0</v>
      </c>
      <c r="Z1147">
        <v>-491</v>
      </c>
      <c r="AA1147">
        <v>690107</v>
      </c>
      <c r="AD1147" t="s">
        <v>2278</v>
      </c>
      <c r="AE1147" t="s">
        <v>3249</v>
      </c>
      <c r="AF1147" t="s">
        <v>2278</v>
      </c>
      <c r="AG1147">
        <v>75315333035832</v>
      </c>
      <c r="AH1147" t="s">
        <v>44</v>
      </c>
    </row>
    <row r="1148" spans="1:34" x14ac:dyDescent="0.3">
      <c r="A1148">
        <v>101</v>
      </c>
      <c r="B1148" t="s">
        <v>34</v>
      </c>
      <c r="C1148">
        <v>4</v>
      </c>
      <c r="D1148" s="1" t="s">
        <v>3267</v>
      </c>
      <c r="E1148" t="s">
        <v>3134</v>
      </c>
      <c r="G1148">
        <v>464916</v>
      </c>
      <c r="H1148" t="s">
        <v>3248</v>
      </c>
      <c r="I1148" t="s">
        <v>3131</v>
      </c>
      <c r="J1148">
        <v>15</v>
      </c>
      <c r="K1148">
        <v>4716</v>
      </c>
      <c r="L1148">
        <v>10001</v>
      </c>
      <c r="M1148" t="s">
        <v>3135</v>
      </c>
      <c r="N1148">
        <v>183</v>
      </c>
      <c r="O1148" s="2">
        <v>46172</v>
      </c>
      <c r="P1148" s="2">
        <v>46266</v>
      </c>
      <c r="R1148" t="s">
        <v>3179</v>
      </c>
      <c r="S1148" t="str">
        <f>"08.0576919"</f>
        <v>08.0576919</v>
      </c>
      <c r="T1148" t="s">
        <v>41</v>
      </c>
      <c r="U1148">
        <v>332151.15000000002</v>
      </c>
      <c r="V1148">
        <v>332151.15000000002</v>
      </c>
      <c r="W1148">
        <v>332151.15000000002</v>
      </c>
      <c r="X1148">
        <v>0</v>
      </c>
      <c r="Y1148">
        <v>0</v>
      </c>
      <c r="Z1148">
        <v>-491</v>
      </c>
      <c r="AA1148">
        <v>690107</v>
      </c>
      <c r="AD1148" t="s">
        <v>2278</v>
      </c>
      <c r="AE1148" t="s">
        <v>3249</v>
      </c>
      <c r="AF1148" t="s">
        <v>2278</v>
      </c>
      <c r="AG1148">
        <v>75315333035832</v>
      </c>
      <c r="AH1148" t="s">
        <v>44</v>
      </c>
    </row>
    <row r="1149" spans="1:34" x14ac:dyDescent="0.3">
      <c r="A1149">
        <v>101</v>
      </c>
      <c r="B1149" t="s">
        <v>34</v>
      </c>
      <c r="C1149">
        <v>4</v>
      </c>
      <c r="D1149" s="1" t="s">
        <v>3268</v>
      </c>
      <c r="E1149" t="s">
        <v>3134</v>
      </c>
      <c r="G1149">
        <v>464916</v>
      </c>
      <c r="H1149" t="s">
        <v>3248</v>
      </c>
      <c r="I1149" t="s">
        <v>3131</v>
      </c>
      <c r="J1149">
        <v>15</v>
      </c>
      <c r="K1149">
        <v>4716</v>
      </c>
      <c r="L1149">
        <v>10001</v>
      </c>
      <c r="M1149" t="s">
        <v>3135</v>
      </c>
      <c r="N1149">
        <v>183</v>
      </c>
      <c r="O1149" s="2">
        <v>46172</v>
      </c>
      <c r="P1149" s="2">
        <v>46266</v>
      </c>
      <c r="R1149" t="s">
        <v>3179</v>
      </c>
      <c r="S1149" t="str">
        <f>"08.0576919"</f>
        <v>08.0576919</v>
      </c>
      <c r="T1149" t="s">
        <v>41</v>
      </c>
      <c r="U1149">
        <v>200129.61</v>
      </c>
      <c r="V1149">
        <v>200129.61</v>
      </c>
      <c r="W1149">
        <v>200129.61</v>
      </c>
      <c r="X1149">
        <v>0</v>
      </c>
      <c r="Y1149">
        <v>0</v>
      </c>
      <c r="Z1149">
        <v>-491</v>
      </c>
      <c r="AA1149">
        <v>690107</v>
      </c>
      <c r="AD1149" t="s">
        <v>2278</v>
      </c>
      <c r="AE1149" t="s">
        <v>3249</v>
      </c>
      <c r="AF1149" t="s">
        <v>2278</v>
      </c>
      <c r="AG1149">
        <v>75315333035832</v>
      </c>
      <c r="AH1149" t="s">
        <v>44</v>
      </c>
    </row>
    <row r="1150" spans="1:34" x14ac:dyDescent="0.3">
      <c r="A1150">
        <v>101</v>
      </c>
      <c r="B1150" t="s">
        <v>34</v>
      </c>
      <c r="C1150">
        <v>4</v>
      </c>
      <c r="D1150" s="1" t="s">
        <v>3269</v>
      </c>
      <c r="E1150" t="s">
        <v>3134</v>
      </c>
      <c r="G1150">
        <v>464916</v>
      </c>
      <c r="H1150" t="s">
        <v>3248</v>
      </c>
      <c r="I1150" t="s">
        <v>3131</v>
      </c>
      <c r="J1150">
        <v>15</v>
      </c>
      <c r="K1150">
        <v>4716</v>
      </c>
      <c r="L1150">
        <v>10001</v>
      </c>
      <c r="M1150" t="s">
        <v>3135</v>
      </c>
      <c r="N1150">
        <v>183</v>
      </c>
      <c r="O1150" s="2">
        <v>46172</v>
      </c>
      <c r="P1150" s="2">
        <v>46266</v>
      </c>
      <c r="R1150" t="s">
        <v>3179</v>
      </c>
      <c r="S1150" t="str">
        <f>"08.0576919"</f>
        <v>08.0576919</v>
      </c>
      <c r="T1150" t="s">
        <v>41</v>
      </c>
      <c r="U1150">
        <v>158237.19</v>
      </c>
      <c r="V1150">
        <v>158237.19</v>
      </c>
      <c r="W1150">
        <v>158237.19</v>
      </c>
      <c r="X1150">
        <v>0</v>
      </c>
      <c r="Y1150">
        <v>0</v>
      </c>
      <c r="Z1150">
        <v>-491</v>
      </c>
      <c r="AA1150">
        <v>690107</v>
      </c>
      <c r="AD1150" t="s">
        <v>2278</v>
      </c>
      <c r="AE1150" t="s">
        <v>3249</v>
      </c>
      <c r="AF1150" t="s">
        <v>2278</v>
      </c>
      <c r="AG1150">
        <v>75315333035832</v>
      </c>
      <c r="AH1150" t="s">
        <v>44</v>
      </c>
    </row>
    <row r="1151" spans="1:34" x14ac:dyDescent="0.3">
      <c r="A1151">
        <v>104</v>
      </c>
      <c r="B1151" t="s">
        <v>34</v>
      </c>
      <c r="C1151">
        <v>4</v>
      </c>
      <c r="D1151" s="1" t="s">
        <v>3270</v>
      </c>
      <c r="E1151" s="1" t="s">
        <v>36</v>
      </c>
      <c r="G1151">
        <v>464916</v>
      </c>
      <c r="H1151" t="s">
        <v>3248</v>
      </c>
      <c r="I1151" t="s">
        <v>3131</v>
      </c>
      <c r="J1151">
        <v>15</v>
      </c>
      <c r="K1151">
        <v>4716</v>
      </c>
      <c r="L1151">
        <v>95000</v>
      </c>
      <c r="M1151" t="s">
        <v>69</v>
      </c>
      <c r="N1151">
        <v>183</v>
      </c>
      <c r="O1151" s="2">
        <v>46251</v>
      </c>
      <c r="P1151" s="2">
        <v>46321</v>
      </c>
      <c r="R1151" t="s">
        <v>3271</v>
      </c>
      <c r="S1151" t="str">
        <f>""</f>
        <v/>
      </c>
      <c r="T1151" t="s">
        <v>41</v>
      </c>
      <c r="U1151">
        <v>107773.5</v>
      </c>
      <c r="V1151">
        <v>95379.55</v>
      </c>
      <c r="W1151">
        <v>95379.55</v>
      </c>
      <c r="X1151">
        <v>0</v>
      </c>
      <c r="Y1151">
        <v>0</v>
      </c>
      <c r="Z1151">
        <v>-546</v>
      </c>
      <c r="AA1151">
        <v>696001</v>
      </c>
      <c r="AD1151" t="s">
        <v>2278</v>
      </c>
      <c r="AE1151" t="s">
        <v>3249</v>
      </c>
      <c r="AF1151" t="s">
        <v>2278</v>
      </c>
      <c r="AG1151">
        <v>75315333035832</v>
      </c>
      <c r="AH1151" t="s">
        <v>44</v>
      </c>
    </row>
    <row r="1152" spans="1:34" x14ac:dyDescent="0.3">
      <c r="A1152">
        <v>104</v>
      </c>
      <c r="B1152" t="s">
        <v>34</v>
      </c>
      <c r="C1152">
        <v>4</v>
      </c>
      <c r="D1152" s="1" t="s">
        <v>3272</v>
      </c>
      <c r="E1152" s="1" t="s">
        <v>36</v>
      </c>
      <c r="G1152">
        <v>466839</v>
      </c>
      <c r="H1152" t="s">
        <v>3273</v>
      </c>
      <c r="I1152" t="s">
        <v>3222</v>
      </c>
      <c r="J1152">
        <v>15</v>
      </c>
      <c r="K1152">
        <v>4716</v>
      </c>
      <c r="L1152">
        <v>95000</v>
      </c>
      <c r="M1152" t="s">
        <v>69</v>
      </c>
      <c r="N1152">
        <v>183</v>
      </c>
      <c r="O1152" s="2">
        <v>46238</v>
      </c>
      <c r="P1152" s="2">
        <v>46328</v>
      </c>
      <c r="R1152" t="s">
        <v>3274</v>
      </c>
      <c r="S1152" t="str">
        <f>""</f>
        <v/>
      </c>
      <c r="T1152" t="s">
        <v>41</v>
      </c>
      <c r="U1152">
        <v>20446.38</v>
      </c>
      <c r="V1152">
        <v>19730.759999999998</v>
      </c>
      <c r="W1152">
        <v>19730.759999999998</v>
      </c>
      <c r="X1152">
        <v>0</v>
      </c>
      <c r="Y1152">
        <v>0</v>
      </c>
      <c r="Z1152">
        <v>-553</v>
      </c>
      <c r="AA1152">
        <v>696003</v>
      </c>
      <c r="AD1152" t="s">
        <v>3275</v>
      </c>
      <c r="AE1152" t="s">
        <v>3276</v>
      </c>
      <c r="AF1152" t="s">
        <v>3275</v>
      </c>
      <c r="AG1152">
        <v>93209765059944</v>
      </c>
      <c r="AH1152" t="s">
        <v>44</v>
      </c>
    </row>
    <row r="1153" spans="1:34" x14ac:dyDescent="0.3">
      <c r="A1153">
        <v>104</v>
      </c>
      <c r="B1153" t="s">
        <v>34</v>
      </c>
      <c r="C1153">
        <v>4</v>
      </c>
      <c r="D1153" s="1" t="s">
        <v>3277</v>
      </c>
      <c r="E1153" s="1" t="s">
        <v>36</v>
      </c>
      <c r="G1153">
        <v>466842</v>
      </c>
      <c r="H1153" t="s">
        <v>3278</v>
      </c>
      <c r="I1153" t="s">
        <v>3222</v>
      </c>
      <c r="J1153">
        <v>15</v>
      </c>
      <c r="K1153">
        <v>4716</v>
      </c>
      <c r="L1153">
        <v>95000</v>
      </c>
      <c r="M1153" t="s">
        <v>69</v>
      </c>
      <c r="N1153">
        <v>183</v>
      </c>
      <c r="O1153" s="2">
        <v>46238</v>
      </c>
      <c r="P1153" s="2">
        <v>46308</v>
      </c>
      <c r="R1153" t="s">
        <v>3279</v>
      </c>
      <c r="S1153" t="str">
        <f>""</f>
        <v/>
      </c>
      <c r="T1153" t="s">
        <v>41</v>
      </c>
      <c r="U1153">
        <v>19250.39</v>
      </c>
      <c r="V1153">
        <v>18576.63</v>
      </c>
      <c r="W1153">
        <v>18576.63</v>
      </c>
      <c r="X1153">
        <v>0</v>
      </c>
      <c r="Y1153">
        <v>0</v>
      </c>
      <c r="Z1153">
        <v>-533</v>
      </c>
      <c r="AA1153">
        <v>696005</v>
      </c>
      <c r="AD1153" t="s">
        <v>3275</v>
      </c>
      <c r="AE1153" t="s">
        <v>3280</v>
      </c>
      <c r="AF1153" t="s">
        <v>3275</v>
      </c>
      <c r="AG1153">
        <v>93209765059430</v>
      </c>
      <c r="AH1153" t="s">
        <v>44</v>
      </c>
    </row>
    <row r="1154" spans="1:34" x14ac:dyDescent="0.3">
      <c r="A1154">
        <v>104</v>
      </c>
      <c r="B1154" t="s">
        <v>34</v>
      </c>
      <c r="C1154">
        <v>4</v>
      </c>
      <c r="D1154" s="1" t="s">
        <v>3281</v>
      </c>
      <c r="E1154" s="1" t="s">
        <v>36</v>
      </c>
      <c r="G1154">
        <v>466843</v>
      </c>
      <c r="H1154" t="s">
        <v>3282</v>
      </c>
      <c r="I1154" t="s">
        <v>3222</v>
      </c>
      <c r="J1154">
        <v>15</v>
      </c>
      <c r="K1154">
        <v>4716</v>
      </c>
      <c r="L1154">
        <v>95000</v>
      </c>
      <c r="M1154" t="s">
        <v>69</v>
      </c>
      <c r="N1154">
        <v>183</v>
      </c>
      <c r="O1154" s="2">
        <v>46171</v>
      </c>
      <c r="P1154" s="2">
        <v>46266</v>
      </c>
      <c r="R1154" t="s">
        <v>3283</v>
      </c>
      <c r="S1154" t="str">
        <f>""</f>
        <v/>
      </c>
      <c r="T1154" t="s">
        <v>41</v>
      </c>
      <c r="U1154">
        <v>34689.18</v>
      </c>
      <c r="V1154">
        <v>33475.06</v>
      </c>
      <c r="W1154">
        <v>33475.06</v>
      </c>
      <c r="X1154">
        <v>0</v>
      </c>
      <c r="Y1154">
        <v>0</v>
      </c>
      <c r="Z1154">
        <v>-491</v>
      </c>
      <c r="AA1154">
        <v>688858</v>
      </c>
      <c r="AD1154" t="s">
        <v>3284</v>
      </c>
      <c r="AE1154" t="s">
        <v>3280</v>
      </c>
      <c r="AF1154" t="s">
        <v>3284</v>
      </c>
      <c r="AG1154">
        <v>93209765059278</v>
      </c>
      <c r="AH1154" t="s">
        <v>44</v>
      </c>
    </row>
    <row r="1155" spans="1:34" x14ac:dyDescent="0.3">
      <c r="A1155">
        <v>104</v>
      </c>
      <c r="B1155" t="s">
        <v>34</v>
      </c>
      <c r="C1155">
        <v>4</v>
      </c>
      <c r="D1155" s="1" t="s">
        <v>3285</v>
      </c>
      <c r="E1155" s="1" t="s">
        <v>36</v>
      </c>
      <c r="G1155">
        <v>466843</v>
      </c>
      <c r="H1155" t="s">
        <v>3282</v>
      </c>
      <c r="I1155" t="s">
        <v>3222</v>
      </c>
      <c r="J1155">
        <v>15</v>
      </c>
      <c r="K1155">
        <v>4716</v>
      </c>
      <c r="L1155">
        <v>95000</v>
      </c>
      <c r="M1155" t="s">
        <v>69</v>
      </c>
      <c r="N1155">
        <v>183</v>
      </c>
      <c r="O1155" s="2">
        <v>46238</v>
      </c>
      <c r="P1155" s="2">
        <v>46308</v>
      </c>
      <c r="R1155" t="s">
        <v>3286</v>
      </c>
      <c r="S1155" t="str">
        <f>""</f>
        <v/>
      </c>
      <c r="T1155" t="s">
        <v>41</v>
      </c>
      <c r="U1155">
        <v>24695.61</v>
      </c>
      <c r="V1155">
        <v>23831.26</v>
      </c>
      <c r="W1155">
        <v>23831.26</v>
      </c>
      <c r="X1155">
        <v>0</v>
      </c>
      <c r="Y1155">
        <v>0</v>
      </c>
      <c r="Z1155">
        <v>-533</v>
      </c>
      <c r="AA1155">
        <v>696009</v>
      </c>
      <c r="AD1155" t="s">
        <v>3284</v>
      </c>
      <c r="AE1155" t="s">
        <v>3280</v>
      </c>
      <c r="AF1155" t="s">
        <v>3284</v>
      </c>
      <c r="AG1155">
        <v>93209765059278</v>
      </c>
      <c r="AH1155" t="s">
        <v>44</v>
      </c>
    </row>
    <row r="1156" spans="1:34" x14ac:dyDescent="0.3">
      <c r="A1156">
        <v>104</v>
      </c>
      <c r="B1156" t="s">
        <v>34</v>
      </c>
      <c r="C1156">
        <v>4</v>
      </c>
      <c r="D1156" s="1" t="s">
        <v>3287</v>
      </c>
      <c r="E1156" s="1" t="s">
        <v>36</v>
      </c>
      <c r="G1156">
        <v>466850</v>
      </c>
      <c r="H1156" t="s">
        <v>3288</v>
      </c>
      <c r="I1156" t="s">
        <v>3222</v>
      </c>
      <c r="J1156">
        <v>15</v>
      </c>
      <c r="K1156">
        <v>4716</v>
      </c>
      <c r="L1156">
        <v>95000</v>
      </c>
      <c r="M1156" t="s">
        <v>69</v>
      </c>
      <c r="N1156">
        <v>183</v>
      </c>
      <c r="O1156" s="2">
        <v>46238</v>
      </c>
      <c r="P1156" s="2">
        <v>46328</v>
      </c>
      <c r="R1156" t="s">
        <v>3289</v>
      </c>
      <c r="S1156" t="str">
        <f>""</f>
        <v/>
      </c>
      <c r="T1156" t="s">
        <v>41</v>
      </c>
      <c r="U1156">
        <v>10900.17</v>
      </c>
      <c r="V1156">
        <v>10518.66</v>
      </c>
      <c r="W1156">
        <v>10518.66</v>
      </c>
      <c r="X1156">
        <v>0</v>
      </c>
      <c r="Y1156">
        <v>0</v>
      </c>
      <c r="Z1156">
        <v>-553</v>
      </c>
      <c r="AA1156">
        <v>696029</v>
      </c>
      <c r="AD1156" t="s">
        <v>2176</v>
      </c>
      <c r="AE1156" t="s">
        <v>3290</v>
      </c>
      <c r="AF1156" t="s">
        <v>2176</v>
      </c>
      <c r="AG1156">
        <v>93209765060870</v>
      </c>
      <c r="AH1156" t="s">
        <v>44</v>
      </c>
    </row>
    <row r="1157" spans="1:34" x14ac:dyDescent="0.3">
      <c r="A1157">
        <v>104</v>
      </c>
      <c r="B1157" t="s">
        <v>34</v>
      </c>
      <c r="C1157">
        <v>4</v>
      </c>
      <c r="D1157" s="1" t="s">
        <v>3291</v>
      </c>
      <c r="E1157" s="1" t="s">
        <v>36</v>
      </c>
      <c r="G1157">
        <v>466851</v>
      </c>
      <c r="H1157" t="s">
        <v>3292</v>
      </c>
      <c r="I1157" t="s">
        <v>3293</v>
      </c>
      <c r="J1157">
        <v>15</v>
      </c>
      <c r="K1157">
        <v>4716</v>
      </c>
      <c r="L1157">
        <v>95000</v>
      </c>
      <c r="M1157" t="s">
        <v>69</v>
      </c>
      <c r="N1157">
        <v>183</v>
      </c>
      <c r="O1157" s="2">
        <v>46171</v>
      </c>
      <c r="P1157" s="2">
        <v>46266</v>
      </c>
      <c r="R1157" t="s">
        <v>3294</v>
      </c>
      <c r="S1157" t="str">
        <f>""</f>
        <v/>
      </c>
      <c r="T1157" t="s">
        <v>41</v>
      </c>
      <c r="U1157">
        <v>47837.98</v>
      </c>
      <c r="V1157">
        <v>46163.65</v>
      </c>
      <c r="W1157">
        <v>46163.65</v>
      </c>
      <c r="X1157">
        <v>0</v>
      </c>
      <c r="Y1157">
        <v>0</v>
      </c>
      <c r="Z1157">
        <v>-491</v>
      </c>
      <c r="AA1157">
        <v>688884</v>
      </c>
      <c r="AD1157" t="s">
        <v>2873</v>
      </c>
      <c r="AE1157" t="s">
        <v>3295</v>
      </c>
      <c r="AF1157" t="s">
        <v>2873</v>
      </c>
      <c r="AG1157">
        <v>93209765060101</v>
      </c>
      <c r="AH1157" t="s">
        <v>44</v>
      </c>
    </row>
    <row r="1158" spans="1:34" x14ac:dyDescent="0.3">
      <c r="A1158">
        <v>104</v>
      </c>
      <c r="B1158" t="s">
        <v>34</v>
      </c>
      <c r="C1158">
        <v>4</v>
      </c>
      <c r="D1158" s="1" t="s">
        <v>3296</v>
      </c>
      <c r="E1158" s="1" t="s">
        <v>36</v>
      </c>
      <c r="G1158">
        <v>466851</v>
      </c>
      <c r="H1158" t="s">
        <v>3292</v>
      </c>
      <c r="I1158" t="s">
        <v>3293</v>
      </c>
      <c r="J1158">
        <v>15</v>
      </c>
      <c r="K1158">
        <v>4716</v>
      </c>
      <c r="L1158">
        <v>95000</v>
      </c>
      <c r="M1158" t="s">
        <v>69</v>
      </c>
      <c r="N1158">
        <v>183</v>
      </c>
      <c r="O1158" s="2">
        <v>46238</v>
      </c>
      <c r="P1158" s="2">
        <v>46308</v>
      </c>
      <c r="R1158" t="s">
        <v>3297</v>
      </c>
      <c r="S1158" t="str">
        <f>""</f>
        <v/>
      </c>
      <c r="T1158" t="s">
        <v>41</v>
      </c>
      <c r="U1158">
        <v>17448.03</v>
      </c>
      <c r="V1158">
        <v>16837.349999999999</v>
      </c>
      <c r="W1158">
        <v>16837.349999999999</v>
      </c>
      <c r="X1158">
        <v>0</v>
      </c>
      <c r="Y1158">
        <v>0</v>
      </c>
      <c r="Z1158">
        <v>-533</v>
      </c>
      <c r="AA1158">
        <v>696033</v>
      </c>
      <c r="AD1158" t="s">
        <v>2873</v>
      </c>
      <c r="AE1158" t="s">
        <v>3295</v>
      </c>
      <c r="AF1158" t="s">
        <v>2873</v>
      </c>
      <c r="AG1158">
        <v>93209765060101</v>
      </c>
      <c r="AH1158" t="s">
        <v>44</v>
      </c>
    </row>
    <row r="1159" spans="1:34" x14ac:dyDescent="0.3">
      <c r="A1159">
        <v>104</v>
      </c>
      <c r="B1159" t="s">
        <v>34</v>
      </c>
      <c r="C1159">
        <v>4</v>
      </c>
      <c r="D1159" s="1" t="s">
        <v>3298</v>
      </c>
      <c r="E1159" s="1" t="s">
        <v>36</v>
      </c>
      <c r="G1159">
        <v>466854</v>
      </c>
      <c r="H1159" t="s">
        <v>3299</v>
      </c>
      <c r="I1159" t="s">
        <v>3222</v>
      </c>
      <c r="J1159">
        <v>15</v>
      </c>
      <c r="K1159">
        <v>4716</v>
      </c>
      <c r="L1159">
        <v>95000</v>
      </c>
      <c r="M1159" t="s">
        <v>69</v>
      </c>
      <c r="N1159">
        <v>183</v>
      </c>
      <c r="O1159" s="2">
        <v>46238</v>
      </c>
      <c r="P1159" s="2">
        <v>46328</v>
      </c>
      <c r="R1159" t="s">
        <v>3300</v>
      </c>
      <c r="S1159" t="str">
        <f>""</f>
        <v/>
      </c>
      <c r="T1159" t="s">
        <v>41</v>
      </c>
      <c r="U1159">
        <v>9833.74</v>
      </c>
      <c r="V1159">
        <v>9489.56</v>
      </c>
      <c r="W1159">
        <v>9489.56</v>
      </c>
      <c r="X1159">
        <v>0</v>
      </c>
      <c r="Y1159">
        <v>0</v>
      </c>
      <c r="Z1159">
        <v>-553</v>
      </c>
      <c r="AA1159">
        <v>696007</v>
      </c>
      <c r="AD1159" t="s">
        <v>3301</v>
      </c>
      <c r="AE1159" t="s">
        <v>3302</v>
      </c>
      <c r="AF1159" t="s">
        <v>3301</v>
      </c>
      <c r="AG1159">
        <v>93209765059359</v>
      </c>
      <c r="AH1159" t="s">
        <v>44</v>
      </c>
    </row>
    <row r="1160" spans="1:34" x14ac:dyDescent="0.3">
      <c r="A1160">
        <v>101</v>
      </c>
      <c r="B1160" t="s">
        <v>34</v>
      </c>
      <c r="C1160">
        <v>4</v>
      </c>
      <c r="D1160" s="1" t="s">
        <v>3303</v>
      </c>
      <c r="E1160" t="s">
        <v>3134</v>
      </c>
      <c r="G1160">
        <v>466854</v>
      </c>
      <c r="H1160" t="s">
        <v>3299</v>
      </c>
      <c r="I1160" t="s">
        <v>3222</v>
      </c>
      <c r="J1160">
        <v>15</v>
      </c>
      <c r="K1160">
        <v>4716</v>
      </c>
      <c r="L1160">
        <v>10001</v>
      </c>
      <c r="M1160" t="s">
        <v>3135</v>
      </c>
      <c r="N1160">
        <v>183</v>
      </c>
      <c r="O1160" s="2">
        <v>46171</v>
      </c>
      <c r="P1160" s="2">
        <v>46281</v>
      </c>
      <c r="R1160" t="s">
        <v>3304</v>
      </c>
      <c r="S1160" t="str">
        <f>"07.0574701"</f>
        <v>07.0574701</v>
      </c>
      <c r="T1160" t="s">
        <v>41</v>
      </c>
      <c r="U1160">
        <v>25757.13</v>
      </c>
      <c r="V1160">
        <v>25757.13</v>
      </c>
      <c r="W1160">
        <v>25757.13</v>
      </c>
      <c r="X1160">
        <v>0</v>
      </c>
      <c r="Y1160">
        <v>0</v>
      </c>
      <c r="Z1160">
        <v>-506</v>
      </c>
      <c r="AA1160">
        <v>688856</v>
      </c>
      <c r="AD1160" t="s">
        <v>3301</v>
      </c>
      <c r="AE1160" t="s">
        <v>3302</v>
      </c>
      <c r="AF1160" t="s">
        <v>3301</v>
      </c>
      <c r="AG1160">
        <v>93209765059359</v>
      </c>
      <c r="AH1160" t="s">
        <v>44</v>
      </c>
    </row>
    <row r="1161" spans="1:34" x14ac:dyDescent="0.3">
      <c r="A1161">
        <v>104</v>
      </c>
      <c r="B1161" t="s">
        <v>34</v>
      </c>
      <c r="C1161">
        <v>4</v>
      </c>
      <c r="D1161" s="1" t="s">
        <v>3305</v>
      </c>
      <c r="E1161" s="1" t="s">
        <v>36</v>
      </c>
      <c r="G1161">
        <v>466855</v>
      </c>
      <c r="H1161" t="s">
        <v>3306</v>
      </c>
      <c r="I1161" t="s">
        <v>3222</v>
      </c>
      <c r="J1161">
        <v>15</v>
      </c>
      <c r="K1161">
        <v>4716</v>
      </c>
      <c r="L1161">
        <v>95000</v>
      </c>
      <c r="M1161" t="s">
        <v>69</v>
      </c>
      <c r="N1161">
        <v>183</v>
      </c>
      <c r="O1161" s="2">
        <v>46238</v>
      </c>
      <c r="P1161" s="2">
        <v>46328</v>
      </c>
      <c r="R1161" t="s">
        <v>3307</v>
      </c>
      <c r="S1161" t="str">
        <f>""</f>
        <v/>
      </c>
      <c r="T1161" t="s">
        <v>41</v>
      </c>
      <c r="U1161">
        <v>20621.2</v>
      </c>
      <c r="V1161">
        <v>19899.46</v>
      </c>
      <c r="W1161">
        <v>19899.46</v>
      </c>
      <c r="X1161">
        <v>0</v>
      </c>
      <c r="Y1161">
        <v>0</v>
      </c>
      <c r="Z1161">
        <v>-553</v>
      </c>
      <c r="AA1161">
        <v>696081</v>
      </c>
      <c r="AD1161" t="s">
        <v>3308</v>
      </c>
      <c r="AE1161" t="s">
        <v>3309</v>
      </c>
      <c r="AF1161" t="s">
        <v>3308</v>
      </c>
      <c r="AG1161">
        <v>93209765060284</v>
      </c>
      <c r="AH1161" t="s">
        <v>44</v>
      </c>
    </row>
    <row r="1162" spans="1:34" x14ac:dyDescent="0.3">
      <c r="A1162">
        <v>104</v>
      </c>
      <c r="B1162" t="s">
        <v>34</v>
      </c>
      <c r="C1162">
        <v>4</v>
      </c>
      <c r="D1162" s="1" t="s">
        <v>3310</v>
      </c>
      <c r="E1162" s="1" t="s">
        <v>36</v>
      </c>
      <c r="G1162">
        <v>466856</v>
      </c>
      <c r="H1162" t="s">
        <v>3311</v>
      </c>
      <c r="I1162" t="s">
        <v>3222</v>
      </c>
      <c r="J1162">
        <v>15</v>
      </c>
      <c r="K1162">
        <v>4716</v>
      </c>
      <c r="L1162">
        <v>95000</v>
      </c>
      <c r="M1162" t="s">
        <v>69</v>
      </c>
      <c r="N1162">
        <v>183</v>
      </c>
      <c r="O1162" s="2">
        <v>46238</v>
      </c>
      <c r="P1162" s="2">
        <v>46308</v>
      </c>
      <c r="R1162" t="s">
        <v>3312</v>
      </c>
      <c r="S1162" t="str">
        <f>""</f>
        <v/>
      </c>
      <c r="T1162" t="s">
        <v>41</v>
      </c>
      <c r="U1162">
        <v>22534.09</v>
      </c>
      <c r="V1162">
        <v>21745.4</v>
      </c>
      <c r="W1162">
        <v>21745.4</v>
      </c>
      <c r="X1162">
        <v>0</v>
      </c>
      <c r="Y1162">
        <v>0</v>
      </c>
      <c r="Z1162">
        <v>-533</v>
      </c>
      <c r="AA1162">
        <v>696035</v>
      </c>
      <c r="AD1162" t="s">
        <v>2824</v>
      </c>
      <c r="AF1162" t="s">
        <v>2824</v>
      </c>
      <c r="AG1162">
        <v>93209765060012</v>
      </c>
      <c r="AH1162" t="s">
        <v>44</v>
      </c>
    </row>
    <row r="1163" spans="1:34" x14ac:dyDescent="0.3">
      <c r="A1163">
        <v>101</v>
      </c>
      <c r="B1163" t="s">
        <v>34</v>
      </c>
      <c r="C1163">
        <v>4</v>
      </c>
      <c r="D1163" s="1" t="s">
        <v>3313</v>
      </c>
      <c r="E1163" t="s">
        <v>3134</v>
      </c>
      <c r="G1163">
        <v>466856</v>
      </c>
      <c r="H1163" t="s">
        <v>3311</v>
      </c>
      <c r="I1163" t="s">
        <v>3222</v>
      </c>
      <c r="J1163">
        <v>15</v>
      </c>
      <c r="K1163">
        <v>4716</v>
      </c>
      <c r="L1163">
        <v>10001</v>
      </c>
      <c r="M1163" t="s">
        <v>3135</v>
      </c>
      <c r="N1163">
        <v>183</v>
      </c>
      <c r="O1163" s="2">
        <v>46171</v>
      </c>
      <c r="P1163" s="2">
        <v>46281</v>
      </c>
      <c r="R1163" t="s">
        <v>3304</v>
      </c>
      <c r="S1163" t="str">
        <f>"07.0574701"</f>
        <v>07.0574701</v>
      </c>
      <c r="T1163" t="s">
        <v>41</v>
      </c>
      <c r="U1163">
        <v>29934.19</v>
      </c>
      <c r="V1163">
        <v>29934.19</v>
      </c>
      <c r="W1163">
        <v>29934.19</v>
      </c>
      <c r="X1163">
        <v>0</v>
      </c>
      <c r="Y1163">
        <v>0</v>
      </c>
      <c r="Z1163">
        <v>-506</v>
      </c>
      <c r="AA1163">
        <v>688886</v>
      </c>
      <c r="AD1163" t="s">
        <v>2824</v>
      </c>
      <c r="AF1163" t="s">
        <v>2824</v>
      </c>
      <c r="AG1163">
        <v>93209765060012</v>
      </c>
      <c r="AH1163" t="s">
        <v>44</v>
      </c>
    </row>
    <row r="1164" spans="1:34" x14ac:dyDescent="0.3">
      <c r="A1164">
        <v>104</v>
      </c>
      <c r="B1164" t="s">
        <v>34</v>
      </c>
      <c r="C1164">
        <v>4</v>
      </c>
      <c r="D1164" s="1" t="s">
        <v>3314</v>
      </c>
      <c r="E1164" s="1" t="s">
        <v>36</v>
      </c>
      <c r="G1164">
        <v>466864</v>
      </c>
      <c r="H1164" t="s">
        <v>3315</v>
      </c>
      <c r="I1164" t="s">
        <v>3222</v>
      </c>
      <c r="J1164">
        <v>15</v>
      </c>
      <c r="K1164">
        <v>4716</v>
      </c>
      <c r="L1164">
        <v>95000</v>
      </c>
      <c r="M1164" t="s">
        <v>69</v>
      </c>
      <c r="N1164">
        <v>183</v>
      </c>
      <c r="O1164" s="2">
        <v>46238</v>
      </c>
      <c r="P1164" s="2">
        <v>46328</v>
      </c>
      <c r="R1164" t="s">
        <v>3316</v>
      </c>
      <c r="S1164" t="str">
        <f>""</f>
        <v/>
      </c>
      <c r="T1164" t="s">
        <v>41</v>
      </c>
      <c r="U1164">
        <v>15935.71</v>
      </c>
      <c r="V1164">
        <v>15377.96</v>
      </c>
      <c r="W1164">
        <v>15377.96</v>
      </c>
      <c r="X1164">
        <v>0</v>
      </c>
      <c r="Y1164">
        <v>0</v>
      </c>
      <c r="Z1164">
        <v>-553</v>
      </c>
      <c r="AA1164">
        <v>696031</v>
      </c>
      <c r="AD1164" t="s">
        <v>3224</v>
      </c>
      <c r="AF1164" t="s">
        <v>3224</v>
      </c>
      <c r="AG1164">
        <v>93209765060799</v>
      </c>
      <c r="AH1164" t="s">
        <v>44</v>
      </c>
    </row>
    <row r="1165" spans="1:34" x14ac:dyDescent="0.3">
      <c r="A1165">
        <v>104</v>
      </c>
      <c r="B1165" t="s">
        <v>34</v>
      </c>
      <c r="C1165">
        <v>4</v>
      </c>
      <c r="D1165" s="1" t="s">
        <v>3317</v>
      </c>
      <c r="E1165" s="1" t="s">
        <v>36</v>
      </c>
      <c r="G1165">
        <v>466957</v>
      </c>
      <c r="H1165" t="s">
        <v>3318</v>
      </c>
      <c r="I1165" t="s">
        <v>3222</v>
      </c>
      <c r="J1165">
        <v>15</v>
      </c>
      <c r="K1165">
        <v>4716</v>
      </c>
      <c r="L1165">
        <v>95000</v>
      </c>
      <c r="M1165" t="s">
        <v>69</v>
      </c>
      <c r="N1165">
        <v>183</v>
      </c>
      <c r="O1165" s="2">
        <v>46238</v>
      </c>
      <c r="P1165" s="2">
        <v>46328</v>
      </c>
      <c r="R1165" t="s">
        <v>3319</v>
      </c>
      <c r="S1165" t="str">
        <f>""</f>
        <v/>
      </c>
      <c r="T1165" t="s">
        <v>41</v>
      </c>
      <c r="U1165">
        <v>12571.45</v>
      </c>
      <c r="V1165">
        <v>12131.45</v>
      </c>
      <c r="W1165">
        <v>12131.45</v>
      </c>
      <c r="X1165">
        <v>0</v>
      </c>
      <c r="Y1165">
        <v>0</v>
      </c>
      <c r="Z1165">
        <v>-553</v>
      </c>
      <c r="AA1165">
        <v>696075</v>
      </c>
      <c r="AD1165" t="s">
        <v>64</v>
      </c>
      <c r="AF1165" t="s">
        <v>64</v>
      </c>
      <c r="AG1165">
        <v>93209765058891</v>
      </c>
      <c r="AH1165" t="s">
        <v>44</v>
      </c>
    </row>
    <row r="1166" spans="1:34" x14ac:dyDescent="0.3">
      <c r="A1166">
        <v>104</v>
      </c>
      <c r="B1166" t="s">
        <v>34</v>
      </c>
      <c r="C1166">
        <v>4</v>
      </c>
      <c r="D1166" s="1" t="s">
        <v>3320</v>
      </c>
      <c r="E1166" s="1" t="s">
        <v>36</v>
      </c>
      <c r="G1166">
        <v>466957</v>
      </c>
      <c r="H1166" t="s">
        <v>3318</v>
      </c>
      <c r="I1166" t="s">
        <v>3222</v>
      </c>
      <c r="J1166">
        <v>15</v>
      </c>
      <c r="K1166">
        <v>4716</v>
      </c>
      <c r="L1166">
        <v>95000</v>
      </c>
      <c r="M1166" t="s">
        <v>69</v>
      </c>
      <c r="N1166">
        <v>183</v>
      </c>
      <c r="O1166" s="2">
        <v>46171</v>
      </c>
      <c r="P1166" s="2">
        <v>46266</v>
      </c>
      <c r="R1166" t="s">
        <v>3321</v>
      </c>
      <c r="S1166" t="str">
        <f>""</f>
        <v/>
      </c>
      <c r="T1166" t="s">
        <v>41</v>
      </c>
      <c r="U1166">
        <v>16430.68</v>
      </c>
      <c r="V1166">
        <v>15855.61</v>
      </c>
      <c r="W1166">
        <v>15855.61</v>
      </c>
      <c r="X1166">
        <v>0</v>
      </c>
      <c r="Y1166">
        <v>0</v>
      </c>
      <c r="Z1166">
        <v>-491</v>
      </c>
      <c r="AA1166">
        <v>688932</v>
      </c>
      <c r="AD1166" t="s">
        <v>64</v>
      </c>
      <c r="AF1166" t="s">
        <v>64</v>
      </c>
      <c r="AG1166">
        <v>93209765058891</v>
      </c>
      <c r="AH1166" t="s">
        <v>44</v>
      </c>
    </row>
    <row r="1167" spans="1:34" x14ac:dyDescent="0.3">
      <c r="A1167">
        <v>101</v>
      </c>
      <c r="B1167" t="s">
        <v>34</v>
      </c>
      <c r="C1167">
        <v>4</v>
      </c>
      <c r="D1167" s="1" t="s">
        <v>3322</v>
      </c>
      <c r="E1167" t="s">
        <v>3134</v>
      </c>
      <c r="G1167">
        <v>466958</v>
      </c>
      <c r="H1167" t="s">
        <v>3323</v>
      </c>
      <c r="I1167" t="s">
        <v>3222</v>
      </c>
      <c r="J1167">
        <v>15</v>
      </c>
      <c r="K1167">
        <v>4716</v>
      </c>
      <c r="L1167">
        <v>10001</v>
      </c>
      <c r="M1167" t="s">
        <v>3135</v>
      </c>
      <c r="N1167">
        <v>183</v>
      </c>
      <c r="O1167" s="2">
        <v>46171</v>
      </c>
      <c r="P1167" s="2">
        <v>46281</v>
      </c>
      <c r="R1167" t="s">
        <v>3304</v>
      </c>
      <c r="S1167" t="str">
        <f>"07.0574701"</f>
        <v>07.0574701</v>
      </c>
      <c r="T1167" t="s">
        <v>41</v>
      </c>
      <c r="U1167">
        <v>27845.73</v>
      </c>
      <c r="V1167">
        <v>27845.73</v>
      </c>
      <c r="W1167">
        <v>27845.73</v>
      </c>
      <c r="X1167">
        <v>0</v>
      </c>
      <c r="Y1167">
        <v>0</v>
      </c>
      <c r="Z1167">
        <v>-506</v>
      </c>
      <c r="AA1167">
        <v>688872</v>
      </c>
      <c r="AD1167" t="s">
        <v>64</v>
      </c>
      <c r="AF1167" t="s">
        <v>64</v>
      </c>
      <c r="AG1167">
        <v>93209765058972</v>
      </c>
      <c r="AH1167" t="s">
        <v>44</v>
      </c>
    </row>
    <row r="1168" spans="1:34" x14ac:dyDescent="0.3">
      <c r="A1168">
        <v>104</v>
      </c>
      <c r="B1168" t="s">
        <v>34</v>
      </c>
      <c r="C1168">
        <v>4</v>
      </c>
      <c r="D1168" s="1" t="s">
        <v>3324</v>
      </c>
      <c r="E1168" s="1" t="s">
        <v>36</v>
      </c>
      <c r="G1168">
        <v>467074</v>
      </c>
      <c r="H1168" t="s">
        <v>3325</v>
      </c>
      <c r="I1168" t="s">
        <v>3222</v>
      </c>
      <c r="J1168">
        <v>15</v>
      </c>
      <c r="K1168">
        <v>4716</v>
      </c>
      <c r="L1168">
        <v>95000</v>
      </c>
      <c r="M1168" t="s">
        <v>69</v>
      </c>
      <c r="N1168">
        <v>183</v>
      </c>
      <c r="O1168" s="2">
        <v>46238</v>
      </c>
      <c r="P1168" s="2">
        <v>46328</v>
      </c>
      <c r="R1168" t="s">
        <v>3326</v>
      </c>
      <c r="S1168" t="str">
        <f>""</f>
        <v/>
      </c>
      <c r="T1168" t="s">
        <v>41</v>
      </c>
      <c r="U1168">
        <v>12067.34</v>
      </c>
      <c r="V1168">
        <v>11644.98</v>
      </c>
      <c r="W1168">
        <v>11644.98</v>
      </c>
      <c r="X1168">
        <v>0</v>
      </c>
      <c r="Y1168">
        <v>0</v>
      </c>
      <c r="Z1168">
        <v>-553</v>
      </c>
      <c r="AA1168">
        <v>696027</v>
      </c>
      <c r="AD1168" t="s">
        <v>3327</v>
      </c>
      <c r="AF1168" t="s">
        <v>3327</v>
      </c>
      <c r="AG1168">
        <v>93209765060950</v>
      </c>
      <c r="AH1168" t="s">
        <v>44</v>
      </c>
    </row>
    <row r="1169" spans="1:34" x14ac:dyDescent="0.3">
      <c r="A1169">
        <v>104</v>
      </c>
      <c r="B1169" t="s">
        <v>34</v>
      </c>
      <c r="C1169">
        <v>4</v>
      </c>
      <c r="D1169" s="1" t="s">
        <v>3328</v>
      </c>
      <c r="E1169" s="1" t="s">
        <v>36</v>
      </c>
      <c r="G1169">
        <v>467074</v>
      </c>
      <c r="H1169" t="s">
        <v>3325</v>
      </c>
      <c r="I1169" t="s">
        <v>3222</v>
      </c>
      <c r="J1169">
        <v>15</v>
      </c>
      <c r="K1169">
        <v>4716</v>
      </c>
      <c r="L1169">
        <v>95000</v>
      </c>
      <c r="M1169" t="s">
        <v>69</v>
      </c>
      <c r="N1169">
        <v>183</v>
      </c>
      <c r="O1169" s="2">
        <v>46171</v>
      </c>
      <c r="P1169" s="2">
        <v>46266</v>
      </c>
      <c r="R1169" t="s">
        <v>3329</v>
      </c>
      <c r="S1169" t="str">
        <f>""</f>
        <v/>
      </c>
      <c r="T1169" t="s">
        <v>41</v>
      </c>
      <c r="U1169">
        <v>44876.84</v>
      </c>
      <c r="V1169">
        <v>43306.15</v>
      </c>
      <c r="W1169">
        <v>43306.15</v>
      </c>
      <c r="X1169">
        <v>0</v>
      </c>
      <c r="Y1169">
        <v>0</v>
      </c>
      <c r="Z1169">
        <v>-491</v>
      </c>
      <c r="AA1169">
        <v>688878</v>
      </c>
      <c r="AD1169" t="s">
        <v>3327</v>
      </c>
      <c r="AF1169" t="s">
        <v>3327</v>
      </c>
      <c r="AG1169">
        <v>93209765060950</v>
      </c>
      <c r="AH1169" t="s">
        <v>44</v>
      </c>
    </row>
    <row r="1170" spans="1:34" x14ac:dyDescent="0.3">
      <c r="A1170">
        <v>104</v>
      </c>
      <c r="B1170" t="s">
        <v>34</v>
      </c>
      <c r="C1170">
        <v>4</v>
      </c>
      <c r="D1170" s="1" t="s">
        <v>3330</v>
      </c>
      <c r="E1170" s="1" t="s">
        <v>36</v>
      </c>
      <c r="G1170">
        <v>467562</v>
      </c>
      <c r="H1170" t="s">
        <v>3331</v>
      </c>
      <c r="I1170" t="s">
        <v>3222</v>
      </c>
      <c r="J1170">
        <v>15</v>
      </c>
      <c r="K1170">
        <v>4716</v>
      </c>
      <c r="L1170">
        <v>95000</v>
      </c>
      <c r="M1170" t="s">
        <v>69</v>
      </c>
      <c r="N1170">
        <v>183</v>
      </c>
      <c r="O1170" s="2">
        <v>46171</v>
      </c>
      <c r="P1170" s="2">
        <v>46266</v>
      </c>
      <c r="R1170" t="s">
        <v>3332</v>
      </c>
      <c r="S1170" t="str">
        <f>""</f>
        <v/>
      </c>
      <c r="T1170" t="s">
        <v>41</v>
      </c>
      <c r="U1170">
        <v>4518.3</v>
      </c>
      <c r="V1170">
        <v>4360.16</v>
      </c>
      <c r="W1170">
        <v>4360.16</v>
      </c>
      <c r="X1170">
        <v>0</v>
      </c>
      <c r="Y1170">
        <v>0</v>
      </c>
      <c r="Z1170">
        <v>-491</v>
      </c>
      <c r="AA1170">
        <v>688938</v>
      </c>
      <c r="AD1170" t="s">
        <v>3333</v>
      </c>
      <c r="AF1170" t="s">
        <v>3333</v>
      </c>
      <c r="AG1170">
        <v>93209765066487</v>
      </c>
      <c r="AH1170" t="s">
        <v>44</v>
      </c>
    </row>
    <row r="1171" spans="1:34" x14ac:dyDescent="0.3">
      <c r="A1171">
        <v>104</v>
      </c>
      <c r="B1171" t="s">
        <v>34</v>
      </c>
      <c r="C1171">
        <v>4</v>
      </c>
      <c r="D1171" s="1" t="s">
        <v>3334</v>
      </c>
      <c r="E1171" s="1" t="s">
        <v>36</v>
      </c>
      <c r="G1171">
        <v>467566</v>
      </c>
      <c r="H1171" t="s">
        <v>3335</v>
      </c>
      <c r="I1171" t="s">
        <v>3222</v>
      </c>
      <c r="J1171">
        <v>15</v>
      </c>
      <c r="K1171">
        <v>4716</v>
      </c>
      <c r="L1171">
        <v>95000</v>
      </c>
      <c r="M1171" t="s">
        <v>69</v>
      </c>
      <c r="N1171">
        <v>183</v>
      </c>
      <c r="O1171" s="2">
        <v>46238</v>
      </c>
      <c r="P1171" s="2">
        <v>46308</v>
      </c>
      <c r="R1171" t="s">
        <v>3336</v>
      </c>
      <c r="S1171" t="str">
        <f>""</f>
        <v/>
      </c>
      <c r="T1171" t="s">
        <v>41</v>
      </c>
      <c r="U1171">
        <v>4108</v>
      </c>
      <c r="V1171">
        <v>3964.22</v>
      </c>
      <c r="W1171">
        <v>3964.22</v>
      </c>
      <c r="X1171">
        <v>0</v>
      </c>
      <c r="Y1171">
        <v>0</v>
      </c>
      <c r="Z1171">
        <v>-533</v>
      </c>
      <c r="AA1171">
        <v>696043</v>
      </c>
      <c r="AD1171" t="s">
        <v>3337</v>
      </c>
      <c r="AE1171">
        <v>5133494540</v>
      </c>
      <c r="AF1171" t="s">
        <v>3337</v>
      </c>
      <c r="AG1171">
        <v>93209765065758</v>
      </c>
      <c r="AH1171" t="s">
        <v>44</v>
      </c>
    </row>
    <row r="1172" spans="1:34" x14ac:dyDescent="0.3">
      <c r="A1172">
        <v>104</v>
      </c>
      <c r="B1172" t="s">
        <v>34</v>
      </c>
      <c r="C1172">
        <v>4</v>
      </c>
      <c r="D1172" s="1" t="s">
        <v>3338</v>
      </c>
      <c r="E1172" s="1" t="s">
        <v>36</v>
      </c>
      <c r="G1172">
        <v>467572</v>
      </c>
      <c r="H1172" t="s">
        <v>3339</v>
      </c>
      <c r="I1172" t="s">
        <v>3222</v>
      </c>
      <c r="J1172">
        <v>15</v>
      </c>
      <c r="K1172">
        <v>4716</v>
      </c>
      <c r="L1172">
        <v>95000</v>
      </c>
      <c r="M1172" t="s">
        <v>69</v>
      </c>
      <c r="N1172">
        <v>183</v>
      </c>
      <c r="O1172" s="2">
        <v>46238</v>
      </c>
      <c r="P1172" s="2">
        <v>46328</v>
      </c>
      <c r="R1172" t="s">
        <v>3340</v>
      </c>
      <c r="S1172" t="str">
        <f>""</f>
        <v/>
      </c>
      <c r="T1172" t="s">
        <v>41</v>
      </c>
      <c r="U1172">
        <v>12862.89</v>
      </c>
      <c r="V1172">
        <v>12412.69</v>
      </c>
      <c r="W1172">
        <v>12412.69</v>
      </c>
      <c r="X1172">
        <v>0</v>
      </c>
      <c r="Y1172">
        <v>0</v>
      </c>
      <c r="Z1172">
        <v>-553</v>
      </c>
      <c r="AA1172">
        <v>696083</v>
      </c>
      <c r="AD1172" t="s">
        <v>3341</v>
      </c>
      <c r="AF1172" t="s">
        <v>3341</v>
      </c>
      <c r="AG1172">
        <v>93209765065324</v>
      </c>
      <c r="AH1172" t="s">
        <v>44</v>
      </c>
    </row>
    <row r="1173" spans="1:34" x14ac:dyDescent="0.3">
      <c r="A1173">
        <v>104</v>
      </c>
      <c r="B1173" t="s">
        <v>34</v>
      </c>
      <c r="C1173">
        <v>4</v>
      </c>
      <c r="D1173" s="1" t="s">
        <v>3342</v>
      </c>
      <c r="E1173" s="1" t="s">
        <v>36</v>
      </c>
      <c r="G1173">
        <v>467574</v>
      </c>
      <c r="H1173" t="s">
        <v>3343</v>
      </c>
      <c r="I1173" t="s">
        <v>3222</v>
      </c>
      <c r="J1173">
        <v>15</v>
      </c>
      <c r="K1173">
        <v>4716</v>
      </c>
      <c r="L1173">
        <v>95000</v>
      </c>
      <c r="M1173" t="s">
        <v>69</v>
      </c>
      <c r="N1173">
        <v>183</v>
      </c>
      <c r="O1173" s="2">
        <v>46246</v>
      </c>
      <c r="P1173" s="2">
        <v>46328</v>
      </c>
      <c r="R1173" t="s">
        <v>3344</v>
      </c>
      <c r="S1173" t="str">
        <f>""</f>
        <v/>
      </c>
      <c r="T1173" t="s">
        <v>41</v>
      </c>
      <c r="U1173">
        <v>38675.53</v>
      </c>
      <c r="V1173">
        <v>35774.870000000003</v>
      </c>
      <c r="W1173">
        <v>35774.870000000003</v>
      </c>
      <c r="X1173">
        <v>0</v>
      </c>
      <c r="Y1173">
        <v>0</v>
      </c>
      <c r="Z1173">
        <v>-553</v>
      </c>
      <c r="AA1173">
        <v>696506</v>
      </c>
      <c r="AD1173" t="s">
        <v>3345</v>
      </c>
      <c r="AF1173" t="s">
        <v>3345</v>
      </c>
      <c r="AG1173">
        <v>93209765065162</v>
      </c>
      <c r="AH1173" t="s">
        <v>44</v>
      </c>
    </row>
    <row r="1174" spans="1:34" x14ac:dyDescent="0.3">
      <c r="A1174">
        <v>104</v>
      </c>
      <c r="B1174" t="s">
        <v>34</v>
      </c>
      <c r="C1174">
        <v>4</v>
      </c>
      <c r="D1174" s="1" t="s">
        <v>3346</v>
      </c>
      <c r="E1174" s="1" t="s">
        <v>36</v>
      </c>
      <c r="G1174">
        <v>467580</v>
      </c>
      <c r="H1174" t="s">
        <v>3347</v>
      </c>
      <c r="I1174" t="s">
        <v>3222</v>
      </c>
      <c r="J1174">
        <v>15</v>
      </c>
      <c r="K1174">
        <v>4716</v>
      </c>
      <c r="L1174">
        <v>95000</v>
      </c>
      <c r="M1174" t="s">
        <v>69</v>
      </c>
      <c r="N1174">
        <v>183</v>
      </c>
      <c r="O1174" s="2">
        <v>46238</v>
      </c>
      <c r="P1174" s="2">
        <v>46328</v>
      </c>
      <c r="R1174" t="s">
        <v>3348</v>
      </c>
      <c r="S1174" t="str">
        <f>""</f>
        <v/>
      </c>
      <c r="T1174" t="s">
        <v>41</v>
      </c>
      <c r="U1174">
        <v>12060.08</v>
      </c>
      <c r="V1174">
        <v>11637.98</v>
      </c>
      <c r="W1174">
        <v>11637.98</v>
      </c>
      <c r="X1174">
        <v>0</v>
      </c>
      <c r="Y1174">
        <v>0</v>
      </c>
      <c r="Z1174">
        <v>-553</v>
      </c>
      <c r="AA1174">
        <v>696085</v>
      </c>
      <c r="AD1174" t="s">
        <v>3349</v>
      </c>
      <c r="AF1174" t="s">
        <v>3349</v>
      </c>
      <c r="AG1174">
        <v>93209765064948</v>
      </c>
      <c r="AH1174" t="s">
        <v>44</v>
      </c>
    </row>
    <row r="1175" spans="1:34" x14ac:dyDescent="0.3">
      <c r="A1175">
        <v>104</v>
      </c>
      <c r="B1175" t="s">
        <v>34</v>
      </c>
      <c r="C1175">
        <v>4</v>
      </c>
      <c r="D1175" s="1" t="s">
        <v>3350</v>
      </c>
      <c r="E1175" s="1" t="s">
        <v>36</v>
      </c>
      <c r="G1175">
        <v>467588</v>
      </c>
      <c r="H1175" t="s">
        <v>3351</v>
      </c>
      <c r="I1175" t="s">
        <v>3222</v>
      </c>
      <c r="J1175">
        <v>15</v>
      </c>
      <c r="K1175">
        <v>4716</v>
      </c>
      <c r="L1175">
        <v>95000</v>
      </c>
      <c r="M1175" t="s">
        <v>69</v>
      </c>
      <c r="N1175">
        <v>183</v>
      </c>
      <c r="O1175" s="2">
        <v>46171</v>
      </c>
      <c r="P1175" s="2">
        <v>46266</v>
      </c>
      <c r="R1175" t="s">
        <v>3352</v>
      </c>
      <c r="S1175" t="str">
        <f>""</f>
        <v/>
      </c>
      <c r="T1175" t="s">
        <v>41</v>
      </c>
      <c r="U1175">
        <v>45768.85</v>
      </c>
      <c r="V1175">
        <v>44166.94</v>
      </c>
      <c r="W1175">
        <v>44166.94</v>
      </c>
      <c r="X1175">
        <v>0</v>
      </c>
      <c r="Y1175">
        <v>0</v>
      </c>
      <c r="Z1175">
        <v>-491</v>
      </c>
      <c r="AA1175">
        <v>688900</v>
      </c>
      <c r="AD1175" t="s">
        <v>50</v>
      </c>
      <c r="AE1175">
        <v>5133494540</v>
      </c>
      <c r="AF1175" t="s">
        <v>50</v>
      </c>
      <c r="AG1175">
        <v>93209765061760</v>
      </c>
      <c r="AH1175" t="s">
        <v>44</v>
      </c>
    </row>
    <row r="1176" spans="1:34" x14ac:dyDescent="0.3">
      <c r="A1176">
        <v>104</v>
      </c>
      <c r="B1176" t="s">
        <v>34</v>
      </c>
      <c r="C1176">
        <v>4</v>
      </c>
      <c r="D1176" s="1" t="s">
        <v>3353</v>
      </c>
      <c r="E1176" s="1" t="s">
        <v>36</v>
      </c>
      <c r="G1176">
        <v>467588</v>
      </c>
      <c r="H1176" t="s">
        <v>3351</v>
      </c>
      <c r="I1176" t="s">
        <v>3222</v>
      </c>
      <c r="J1176">
        <v>15</v>
      </c>
      <c r="K1176">
        <v>4716</v>
      </c>
      <c r="L1176">
        <v>95000</v>
      </c>
      <c r="M1176" t="s">
        <v>69</v>
      </c>
      <c r="N1176">
        <v>183</v>
      </c>
      <c r="O1176" s="2">
        <v>46238</v>
      </c>
      <c r="P1176" s="2">
        <v>46328</v>
      </c>
      <c r="R1176" t="s">
        <v>3354</v>
      </c>
      <c r="S1176" t="str">
        <f>""</f>
        <v/>
      </c>
      <c r="T1176" t="s">
        <v>41</v>
      </c>
      <c r="U1176">
        <v>17977.77</v>
      </c>
      <c r="V1176">
        <v>17348.55</v>
      </c>
      <c r="W1176">
        <v>17348.55</v>
      </c>
      <c r="X1176">
        <v>0</v>
      </c>
      <c r="Y1176">
        <v>0</v>
      </c>
      <c r="Z1176">
        <v>-553</v>
      </c>
      <c r="AA1176">
        <v>696049</v>
      </c>
      <c r="AD1176" t="s">
        <v>50</v>
      </c>
      <c r="AE1176">
        <v>5133494540</v>
      </c>
      <c r="AF1176" t="s">
        <v>50</v>
      </c>
      <c r="AG1176">
        <v>93209765061760</v>
      </c>
      <c r="AH1176" t="s">
        <v>44</v>
      </c>
    </row>
    <row r="1177" spans="1:34" x14ac:dyDescent="0.3">
      <c r="A1177">
        <v>104</v>
      </c>
      <c r="B1177" t="s">
        <v>34</v>
      </c>
      <c r="C1177">
        <v>4</v>
      </c>
      <c r="D1177" s="1" t="s">
        <v>3355</v>
      </c>
      <c r="E1177" s="1" t="s">
        <v>36</v>
      </c>
      <c r="G1177">
        <v>467593</v>
      </c>
      <c r="H1177" t="s">
        <v>3356</v>
      </c>
      <c r="I1177" t="s">
        <v>3222</v>
      </c>
      <c r="J1177">
        <v>15</v>
      </c>
      <c r="K1177">
        <v>4716</v>
      </c>
      <c r="L1177">
        <v>95000</v>
      </c>
      <c r="M1177" t="s">
        <v>69</v>
      </c>
      <c r="N1177">
        <v>183</v>
      </c>
      <c r="O1177" s="2">
        <v>46238</v>
      </c>
      <c r="P1177" s="2">
        <v>46328</v>
      </c>
      <c r="R1177" t="s">
        <v>3357</v>
      </c>
      <c r="S1177" t="str">
        <f>""</f>
        <v/>
      </c>
      <c r="T1177" t="s">
        <v>41</v>
      </c>
      <c r="U1177">
        <v>7687.44</v>
      </c>
      <c r="V1177">
        <v>7418.38</v>
      </c>
      <c r="W1177">
        <v>7418.38</v>
      </c>
      <c r="X1177">
        <v>0</v>
      </c>
      <c r="Y1177">
        <v>0</v>
      </c>
      <c r="Z1177">
        <v>-553</v>
      </c>
      <c r="AA1177">
        <v>696013</v>
      </c>
      <c r="AD1177" t="s">
        <v>50</v>
      </c>
      <c r="AE1177">
        <v>5133494540</v>
      </c>
      <c r="AF1177" t="s">
        <v>50</v>
      </c>
      <c r="AG1177">
        <v>93209765062902</v>
      </c>
      <c r="AH1177" t="s">
        <v>44</v>
      </c>
    </row>
    <row r="1178" spans="1:34" x14ac:dyDescent="0.3">
      <c r="A1178">
        <v>104</v>
      </c>
      <c r="B1178" t="s">
        <v>34</v>
      </c>
      <c r="C1178">
        <v>4</v>
      </c>
      <c r="D1178" s="1" t="s">
        <v>3358</v>
      </c>
      <c r="E1178" s="1" t="s">
        <v>36</v>
      </c>
      <c r="G1178">
        <v>467593</v>
      </c>
      <c r="H1178" t="s">
        <v>3356</v>
      </c>
      <c r="I1178" t="s">
        <v>3222</v>
      </c>
      <c r="J1178">
        <v>15</v>
      </c>
      <c r="K1178">
        <v>4716</v>
      </c>
      <c r="L1178">
        <v>95000</v>
      </c>
      <c r="M1178" t="s">
        <v>69</v>
      </c>
      <c r="N1178">
        <v>183</v>
      </c>
      <c r="O1178" s="2">
        <v>46171</v>
      </c>
      <c r="P1178" s="2">
        <v>46266</v>
      </c>
      <c r="R1178" t="s">
        <v>3359</v>
      </c>
      <c r="S1178" t="str">
        <f>""</f>
        <v/>
      </c>
      <c r="T1178" t="s">
        <v>41</v>
      </c>
      <c r="U1178">
        <v>33880.93</v>
      </c>
      <c r="V1178">
        <v>32695.1</v>
      </c>
      <c r="W1178">
        <v>32695.1</v>
      </c>
      <c r="X1178">
        <v>0</v>
      </c>
      <c r="Y1178">
        <v>0</v>
      </c>
      <c r="Z1178">
        <v>-491</v>
      </c>
      <c r="AA1178">
        <v>688862</v>
      </c>
      <c r="AD1178" t="s">
        <v>50</v>
      </c>
      <c r="AE1178">
        <v>5133494540</v>
      </c>
      <c r="AF1178" t="s">
        <v>50</v>
      </c>
      <c r="AG1178">
        <v>93209765062902</v>
      </c>
      <c r="AH1178" t="s">
        <v>44</v>
      </c>
    </row>
    <row r="1179" spans="1:34" x14ac:dyDescent="0.3">
      <c r="A1179">
        <v>104</v>
      </c>
      <c r="B1179" t="s">
        <v>34</v>
      </c>
      <c r="C1179">
        <v>4</v>
      </c>
      <c r="D1179" s="1" t="s">
        <v>3360</v>
      </c>
      <c r="E1179" s="1" t="s">
        <v>36</v>
      </c>
      <c r="G1179">
        <v>467599</v>
      </c>
      <c r="H1179" t="s">
        <v>3361</v>
      </c>
      <c r="I1179" t="s">
        <v>3222</v>
      </c>
      <c r="J1179">
        <v>15</v>
      </c>
      <c r="K1179">
        <v>4716</v>
      </c>
      <c r="L1179">
        <v>95000</v>
      </c>
      <c r="M1179" t="s">
        <v>69</v>
      </c>
      <c r="N1179">
        <v>183</v>
      </c>
      <c r="O1179" s="2">
        <v>46171</v>
      </c>
      <c r="P1179" s="2">
        <v>46266</v>
      </c>
      <c r="R1179" t="s">
        <v>3362</v>
      </c>
      <c r="S1179" t="str">
        <f>""</f>
        <v/>
      </c>
      <c r="T1179" t="s">
        <v>41</v>
      </c>
      <c r="U1179">
        <v>27638.32</v>
      </c>
      <c r="V1179">
        <v>26670.98</v>
      </c>
      <c r="W1179">
        <v>26670.98</v>
      </c>
      <c r="X1179">
        <v>0</v>
      </c>
      <c r="Y1179">
        <v>0</v>
      </c>
      <c r="Z1179">
        <v>-491</v>
      </c>
      <c r="AA1179">
        <v>688896</v>
      </c>
      <c r="AD1179" t="s">
        <v>3349</v>
      </c>
      <c r="AE1179">
        <v>5133494540</v>
      </c>
      <c r="AF1179" t="s">
        <v>3349</v>
      </c>
      <c r="AG1179">
        <v>93209765063704</v>
      </c>
      <c r="AH1179" t="s">
        <v>44</v>
      </c>
    </row>
    <row r="1180" spans="1:34" x14ac:dyDescent="0.3">
      <c r="A1180">
        <v>104</v>
      </c>
      <c r="B1180" t="s">
        <v>34</v>
      </c>
      <c r="C1180">
        <v>4</v>
      </c>
      <c r="D1180" s="1" t="s">
        <v>3363</v>
      </c>
      <c r="E1180" s="1" t="s">
        <v>36</v>
      </c>
      <c r="G1180">
        <v>467599</v>
      </c>
      <c r="H1180" t="s">
        <v>3361</v>
      </c>
      <c r="I1180" t="s">
        <v>3222</v>
      </c>
      <c r="J1180">
        <v>15</v>
      </c>
      <c r="K1180">
        <v>4716</v>
      </c>
      <c r="L1180">
        <v>95000</v>
      </c>
      <c r="M1180" t="s">
        <v>69</v>
      </c>
      <c r="N1180">
        <v>183</v>
      </c>
      <c r="O1180" s="2">
        <v>46238</v>
      </c>
      <c r="P1180" s="2">
        <v>46328</v>
      </c>
      <c r="R1180" t="s">
        <v>3364</v>
      </c>
      <c r="S1180" t="str">
        <f>""</f>
        <v/>
      </c>
      <c r="T1180" t="s">
        <v>41</v>
      </c>
      <c r="U1180">
        <v>14307.37</v>
      </c>
      <c r="V1180">
        <v>13806.61</v>
      </c>
      <c r="W1180">
        <v>13806.61</v>
      </c>
      <c r="X1180">
        <v>0</v>
      </c>
      <c r="Y1180">
        <v>0</v>
      </c>
      <c r="Z1180">
        <v>-553</v>
      </c>
      <c r="AA1180">
        <v>696045</v>
      </c>
      <c r="AD1180" t="s">
        <v>3349</v>
      </c>
      <c r="AE1180">
        <v>5133494540</v>
      </c>
      <c r="AF1180" t="s">
        <v>3349</v>
      </c>
      <c r="AG1180">
        <v>93209765063704</v>
      </c>
      <c r="AH1180" t="s">
        <v>44</v>
      </c>
    </row>
    <row r="1181" spans="1:34" x14ac:dyDescent="0.3">
      <c r="A1181">
        <v>104</v>
      </c>
      <c r="B1181" t="s">
        <v>34</v>
      </c>
      <c r="C1181">
        <v>4</v>
      </c>
      <c r="D1181" s="1" t="s">
        <v>3365</v>
      </c>
      <c r="E1181" s="1" t="s">
        <v>36</v>
      </c>
      <c r="G1181">
        <v>467682</v>
      </c>
      <c r="H1181" t="s">
        <v>3366</v>
      </c>
      <c r="I1181" t="s">
        <v>3222</v>
      </c>
      <c r="J1181">
        <v>15</v>
      </c>
      <c r="K1181">
        <v>4716</v>
      </c>
      <c r="L1181">
        <v>95000</v>
      </c>
      <c r="M1181" t="s">
        <v>69</v>
      </c>
      <c r="N1181">
        <v>183</v>
      </c>
      <c r="O1181" s="2">
        <v>46171</v>
      </c>
      <c r="P1181" s="2">
        <v>46266</v>
      </c>
      <c r="R1181" t="s">
        <v>3367</v>
      </c>
      <c r="S1181" t="str">
        <f>""</f>
        <v/>
      </c>
      <c r="T1181" t="s">
        <v>41</v>
      </c>
      <c r="U1181">
        <v>41140.94</v>
      </c>
      <c r="V1181">
        <v>39701.01</v>
      </c>
      <c r="W1181">
        <v>39701.01</v>
      </c>
      <c r="X1181">
        <v>0</v>
      </c>
      <c r="Y1181">
        <v>0</v>
      </c>
      <c r="Z1181">
        <v>-491</v>
      </c>
      <c r="AA1181">
        <v>688892</v>
      </c>
      <c r="AD1181" t="s">
        <v>57</v>
      </c>
      <c r="AE1181">
        <v>5133494540</v>
      </c>
      <c r="AF1181" t="s">
        <v>57</v>
      </c>
      <c r="AG1181">
        <v>93209765066304</v>
      </c>
      <c r="AH1181" t="s">
        <v>44</v>
      </c>
    </row>
    <row r="1182" spans="1:34" x14ac:dyDescent="0.3">
      <c r="A1182">
        <v>104</v>
      </c>
      <c r="B1182" t="s">
        <v>34</v>
      </c>
      <c r="C1182">
        <v>4</v>
      </c>
      <c r="D1182" s="1" t="s">
        <v>3368</v>
      </c>
      <c r="E1182" s="1" t="s">
        <v>36</v>
      </c>
      <c r="G1182">
        <v>467682</v>
      </c>
      <c r="H1182" t="s">
        <v>3366</v>
      </c>
      <c r="I1182" t="s">
        <v>3222</v>
      </c>
      <c r="J1182">
        <v>15</v>
      </c>
      <c r="K1182">
        <v>4716</v>
      </c>
      <c r="L1182">
        <v>95000</v>
      </c>
      <c r="M1182" t="s">
        <v>69</v>
      </c>
      <c r="N1182">
        <v>183</v>
      </c>
      <c r="O1182" s="2">
        <v>46238</v>
      </c>
      <c r="P1182" s="2">
        <v>46308</v>
      </c>
      <c r="R1182" t="s">
        <v>3369</v>
      </c>
      <c r="S1182" t="str">
        <f>""</f>
        <v/>
      </c>
      <c r="T1182" t="s">
        <v>41</v>
      </c>
      <c r="U1182">
        <v>8903.75</v>
      </c>
      <c r="V1182">
        <v>8592.1200000000008</v>
      </c>
      <c r="W1182">
        <v>8592.1200000000008</v>
      </c>
      <c r="X1182">
        <v>0</v>
      </c>
      <c r="Y1182">
        <v>0</v>
      </c>
      <c r="Z1182">
        <v>-533</v>
      </c>
      <c r="AA1182">
        <v>696041</v>
      </c>
      <c r="AD1182" t="s">
        <v>57</v>
      </c>
      <c r="AE1182">
        <v>5133494540</v>
      </c>
      <c r="AF1182" t="s">
        <v>57</v>
      </c>
      <c r="AG1182">
        <v>93209765066304</v>
      </c>
      <c r="AH1182" t="s">
        <v>44</v>
      </c>
    </row>
    <row r="1183" spans="1:34" x14ac:dyDescent="0.3">
      <c r="A1183">
        <v>104</v>
      </c>
      <c r="B1183" t="s">
        <v>34</v>
      </c>
      <c r="C1183">
        <v>4</v>
      </c>
      <c r="D1183" s="1" t="s">
        <v>3370</v>
      </c>
      <c r="E1183" s="1" t="s">
        <v>36</v>
      </c>
      <c r="G1183">
        <v>467708</v>
      </c>
      <c r="H1183" t="s">
        <v>3371</v>
      </c>
      <c r="I1183" t="s">
        <v>3131</v>
      </c>
      <c r="J1183">
        <v>15</v>
      </c>
      <c r="K1183">
        <v>4716</v>
      </c>
      <c r="L1183">
        <v>95000</v>
      </c>
      <c r="M1183" t="s">
        <v>69</v>
      </c>
      <c r="N1183">
        <v>183</v>
      </c>
      <c r="O1183" s="2">
        <v>46238</v>
      </c>
      <c r="P1183" s="2">
        <v>46308</v>
      </c>
      <c r="R1183" t="s">
        <v>3372</v>
      </c>
      <c r="S1183" t="str">
        <f>""</f>
        <v/>
      </c>
      <c r="T1183" t="s">
        <v>41</v>
      </c>
      <c r="U1183">
        <v>12807.81</v>
      </c>
      <c r="V1183">
        <v>12359.54</v>
      </c>
      <c r="W1183">
        <v>12359.54</v>
      </c>
      <c r="X1183">
        <v>0</v>
      </c>
      <c r="Y1183">
        <v>0</v>
      </c>
      <c r="Z1183">
        <v>-533</v>
      </c>
      <c r="AA1183">
        <v>696073</v>
      </c>
      <c r="AD1183" t="s">
        <v>3373</v>
      </c>
      <c r="AE1183" t="s">
        <v>3242</v>
      </c>
      <c r="AF1183" t="s">
        <v>3373</v>
      </c>
      <c r="AG1183">
        <v>93209765064000</v>
      </c>
      <c r="AH1183" t="s">
        <v>44</v>
      </c>
    </row>
    <row r="1184" spans="1:34" x14ac:dyDescent="0.3">
      <c r="A1184">
        <v>104</v>
      </c>
      <c r="B1184" t="s">
        <v>34</v>
      </c>
      <c r="C1184">
        <v>4</v>
      </c>
      <c r="D1184" s="1" t="s">
        <v>3374</v>
      </c>
      <c r="E1184" s="1" t="s">
        <v>36</v>
      </c>
      <c r="G1184">
        <v>467708</v>
      </c>
      <c r="H1184" t="s">
        <v>3371</v>
      </c>
      <c r="I1184" t="s">
        <v>3131</v>
      </c>
      <c r="J1184">
        <v>15</v>
      </c>
      <c r="K1184">
        <v>4716</v>
      </c>
      <c r="L1184">
        <v>95000</v>
      </c>
      <c r="M1184" t="s">
        <v>69</v>
      </c>
      <c r="N1184">
        <v>183</v>
      </c>
      <c r="O1184" s="2">
        <v>46171</v>
      </c>
      <c r="P1184" s="2">
        <v>46266</v>
      </c>
      <c r="R1184" t="s">
        <v>3375</v>
      </c>
      <c r="S1184" t="str">
        <f>""</f>
        <v/>
      </c>
      <c r="T1184" t="s">
        <v>41</v>
      </c>
      <c r="U1184">
        <v>21572.78</v>
      </c>
      <c r="V1184">
        <v>20817.73</v>
      </c>
      <c r="W1184">
        <v>20817.73</v>
      </c>
      <c r="X1184">
        <v>0</v>
      </c>
      <c r="Y1184">
        <v>0</v>
      </c>
      <c r="Z1184">
        <v>-491</v>
      </c>
      <c r="AA1184">
        <v>688930</v>
      </c>
      <c r="AD1184" t="s">
        <v>3373</v>
      </c>
      <c r="AE1184" t="s">
        <v>3242</v>
      </c>
      <c r="AF1184" t="s">
        <v>3373</v>
      </c>
      <c r="AG1184">
        <v>93209765064000</v>
      </c>
      <c r="AH1184" t="s">
        <v>44</v>
      </c>
    </row>
    <row r="1185" spans="1:34" x14ac:dyDescent="0.3">
      <c r="A1185">
        <v>104</v>
      </c>
      <c r="B1185" t="s">
        <v>34</v>
      </c>
      <c r="C1185">
        <v>4</v>
      </c>
      <c r="D1185" s="1" t="s">
        <v>3376</v>
      </c>
      <c r="E1185" s="1" t="s">
        <v>36</v>
      </c>
      <c r="G1185">
        <v>467720</v>
      </c>
      <c r="H1185" t="s">
        <v>3377</v>
      </c>
      <c r="I1185" t="s">
        <v>3222</v>
      </c>
      <c r="J1185">
        <v>15</v>
      </c>
      <c r="K1185">
        <v>4716</v>
      </c>
      <c r="L1185">
        <v>95000</v>
      </c>
      <c r="M1185" t="s">
        <v>69</v>
      </c>
      <c r="N1185">
        <v>183</v>
      </c>
      <c r="O1185" s="2">
        <v>46238</v>
      </c>
      <c r="P1185" s="2">
        <v>46308</v>
      </c>
      <c r="R1185" t="s">
        <v>3378</v>
      </c>
      <c r="S1185" t="str">
        <f>""</f>
        <v/>
      </c>
      <c r="T1185" t="s">
        <v>41</v>
      </c>
      <c r="U1185">
        <v>6642.59</v>
      </c>
      <c r="V1185">
        <v>6410.1</v>
      </c>
      <c r="W1185">
        <v>6410.1</v>
      </c>
      <c r="X1185">
        <v>0</v>
      </c>
      <c r="Y1185">
        <v>0</v>
      </c>
      <c r="Z1185">
        <v>-533</v>
      </c>
      <c r="AA1185">
        <v>696057</v>
      </c>
      <c r="AD1185" t="s">
        <v>3301</v>
      </c>
      <c r="AE1185">
        <v>5133494540</v>
      </c>
      <c r="AF1185" t="s">
        <v>3301</v>
      </c>
      <c r="AG1185">
        <v>93209765068269</v>
      </c>
      <c r="AH1185" t="s">
        <v>44</v>
      </c>
    </row>
    <row r="1186" spans="1:34" x14ac:dyDescent="0.3">
      <c r="A1186">
        <v>101</v>
      </c>
      <c r="B1186" t="s">
        <v>34</v>
      </c>
      <c r="C1186">
        <v>4</v>
      </c>
      <c r="D1186" s="1" t="s">
        <v>3379</v>
      </c>
      <c r="E1186" t="s">
        <v>3134</v>
      </c>
      <c r="G1186">
        <v>467720</v>
      </c>
      <c r="H1186" t="s">
        <v>3377</v>
      </c>
      <c r="I1186" t="s">
        <v>3222</v>
      </c>
      <c r="J1186">
        <v>15</v>
      </c>
      <c r="K1186">
        <v>4716</v>
      </c>
      <c r="L1186">
        <v>10001</v>
      </c>
      <c r="M1186" t="s">
        <v>3135</v>
      </c>
      <c r="N1186">
        <v>183</v>
      </c>
      <c r="O1186" s="2">
        <v>46171</v>
      </c>
      <c r="P1186" s="2">
        <v>46296</v>
      </c>
      <c r="R1186" t="s">
        <v>3304</v>
      </c>
      <c r="S1186" t="str">
        <f>"07.0574701"</f>
        <v>07.0574701</v>
      </c>
      <c r="T1186" t="s">
        <v>41</v>
      </c>
      <c r="U1186">
        <v>29208.32</v>
      </c>
      <c r="V1186">
        <v>29208.32</v>
      </c>
      <c r="W1186">
        <v>29208.32</v>
      </c>
      <c r="X1186">
        <v>0</v>
      </c>
      <c r="Y1186">
        <v>0</v>
      </c>
      <c r="Z1186">
        <v>-521</v>
      </c>
      <c r="AA1186">
        <v>688908</v>
      </c>
      <c r="AD1186" t="s">
        <v>3301</v>
      </c>
      <c r="AE1186">
        <v>5133494540</v>
      </c>
      <c r="AF1186" t="s">
        <v>3301</v>
      </c>
      <c r="AG1186">
        <v>93209765068269</v>
      </c>
      <c r="AH1186" t="s">
        <v>44</v>
      </c>
    </row>
    <row r="1187" spans="1:34" x14ac:dyDescent="0.3">
      <c r="A1187">
        <v>101</v>
      </c>
      <c r="B1187" t="s">
        <v>34</v>
      </c>
      <c r="C1187">
        <v>4</v>
      </c>
      <c r="D1187" s="1" t="s">
        <v>3380</v>
      </c>
      <c r="E1187" t="s">
        <v>3134</v>
      </c>
      <c r="G1187">
        <v>467721</v>
      </c>
      <c r="H1187" t="s">
        <v>3381</v>
      </c>
      <c r="I1187" t="s">
        <v>3222</v>
      </c>
      <c r="J1187">
        <v>15</v>
      </c>
      <c r="K1187">
        <v>4716</v>
      </c>
      <c r="L1187">
        <v>10001</v>
      </c>
      <c r="M1187" t="s">
        <v>3135</v>
      </c>
      <c r="N1187">
        <v>183</v>
      </c>
      <c r="O1187" s="2">
        <v>46171</v>
      </c>
      <c r="P1187" s="2">
        <v>46281</v>
      </c>
      <c r="R1187" t="s">
        <v>3304</v>
      </c>
      <c r="S1187" t="str">
        <f>"07.0574701"</f>
        <v>07.0574701</v>
      </c>
      <c r="T1187" t="s">
        <v>41</v>
      </c>
      <c r="U1187">
        <v>22003.040000000001</v>
      </c>
      <c r="V1187">
        <v>22003.040000000001</v>
      </c>
      <c r="W1187">
        <v>22003.040000000001</v>
      </c>
      <c r="X1187">
        <v>0</v>
      </c>
      <c r="Y1187">
        <v>0</v>
      </c>
      <c r="Z1187">
        <v>-506</v>
      </c>
      <c r="AA1187">
        <v>688928</v>
      </c>
      <c r="AD1187" t="s">
        <v>57</v>
      </c>
      <c r="AE1187">
        <v>5133494540</v>
      </c>
      <c r="AF1187" t="s">
        <v>57</v>
      </c>
      <c r="AG1187">
        <v>93209765066215</v>
      </c>
      <c r="AH1187" t="s">
        <v>44</v>
      </c>
    </row>
    <row r="1188" spans="1:34" x14ac:dyDescent="0.3">
      <c r="A1188">
        <v>104</v>
      </c>
      <c r="B1188" t="s">
        <v>34</v>
      </c>
      <c r="C1188">
        <v>4</v>
      </c>
      <c r="D1188" s="1" t="s">
        <v>3382</v>
      </c>
      <c r="E1188" s="1" t="s">
        <v>36</v>
      </c>
      <c r="G1188">
        <v>467721</v>
      </c>
      <c r="H1188" t="s">
        <v>3381</v>
      </c>
      <c r="I1188" t="s">
        <v>3222</v>
      </c>
      <c r="J1188">
        <v>15</v>
      </c>
      <c r="K1188">
        <v>4716</v>
      </c>
      <c r="L1188">
        <v>95000</v>
      </c>
      <c r="M1188" t="s">
        <v>69</v>
      </c>
      <c r="N1188">
        <v>183</v>
      </c>
      <c r="O1188" s="2">
        <v>46238</v>
      </c>
      <c r="P1188" s="2">
        <v>46308</v>
      </c>
      <c r="R1188" t="s">
        <v>3383</v>
      </c>
      <c r="S1188" t="str">
        <f>""</f>
        <v/>
      </c>
      <c r="T1188" t="s">
        <v>41</v>
      </c>
      <c r="U1188">
        <v>4888.79</v>
      </c>
      <c r="V1188">
        <v>4717.68</v>
      </c>
      <c r="W1188">
        <v>4717.68</v>
      </c>
      <c r="X1188">
        <v>0</v>
      </c>
      <c r="Y1188">
        <v>0</v>
      </c>
      <c r="Z1188">
        <v>-533</v>
      </c>
      <c r="AA1188">
        <v>696071</v>
      </c>
      <c r="AD1188" t="s">
        <v>57</v>
      </c>
      <c r="AE1188">
        <v>5133494540</v>
      </c>
      <c r="AF1188" t="s">
        <v>57</v>
      </c>
      <c r="AG1188">
        <v>93209765066215</v>
      </c>
      <c r="AH1188" t="s">
        <v>44</v>
      </c>
    </row>
    <row r="1189" spans="1:34" x14ac:dyDescent="0.3">
      <c r="A1189">
        <v>104</v>
      </c>
      <c r="B1189" t="s">
        <v>34</v>
      </c>
      <c r="C1189">
        <v>4</v>
      </c>
      <c r="D1189" s="1" t="s">
        <v>3384</v>
      </c>
      <c r="E1189" s="1" t="s">
        <v>36</v>
      </c>
      <c r="G1189">
        <v>467725</v>
      </c>
      <c r="H1189" t="s">
        <v>3385</v>
      </c>
      <c r="I1189" t="s">
        <v>3222</v>
      </c>
      <c r="J1189">
        <v>15</v>
      </c>
      <c r="K1189">
        <v>4716</v>
      </c>
      <c r="L1189">
        <v>95000</v>
      </c>
      <c r="M1189" t="s">
        <v>69</v>
      </c>
      <c r="N1189">
        <v>183</v>
      </c>
      <c r="O1189" s="2">
        <v>46238</v>
      </c>
      <c r="P1189" s="2">
        <v>46328</v>
      </c>
      <c r="R1189" t="s">
        <v>3386</v>
      </c>
      <c r="S1189" t="str">
        <f>""</f>
        <v/>
      </c>
      <c r="T1189" t="s">
        <v>41</v>
      </c>
      <c r="U1189">
        <v>15435.38</v>
      </c>
      <c r="V1189">
        <v>14895.14</v>
      </c>
      <c r="W1189">
        <v>14895.14</v>
      </c>
      <c r="X1189">
        <v>0</v>
      </c>
      <c r="Y1189">
        <v>0</v>
      </c>
      <c r="Z1189">
        <v>-553</v>
      </c>
      <c r="AA1189">
        <v>696067</v>
      </c>
      <c r="AD1189" t="s">
        <v>2362</v>
      </c>
      <c r="AE1189">
        <v>5133494540</v>
      </c>
      <c r="AF1189" t="s">
        <v>2362</v>
      </c>
      <c r="AG1189">
        <v>93209765063038</v>
      </c>
      <c r="AH1189" t="s">
        <v>44</v>
      </c>
    </row>
    <row r="1190" spans="1:34" x14ac:dyDescent="0.3">
      <c r="A1190">
        <v>104</v>
      </c>
      <c r="B1190" t="s">
        <v>34</v>
      </c>
      <c r="C1190">
        <v>4</v>
      </c>
      <c r="D1190" s="1" t="s">
        <v>3387</v>
      </c>
      <c r="E1190" s="1" t="s">
        <v>36</v>
      </c>
      <c r="G1190">
        <v>467729</v>
      </c>
      <c r="H1190" t="s">
        <v>3388</v>
      </c>
      <c r="I1190" t="s">
        <v>3222</v>
      </c>
      <c r="J1190">
        <v>15</v>
      </c>
      <c r="K1190">
        <v>4716</v>
      </c>
      <c r="L1190">
        <v>95000</v>
      </c>
      <c r="M1190" t="s">
        <v>69</v>
      </c>
      <c r="N1190">
        <v>183</v>
      </c>
      <c r="O1190" s="2">
        <v>46238</v>
      </c>
      <c r="P1190" s="2">
        <v>46328</v>
      </c>
      <c r="R1190" t="s">
        <v>3389</v>
      </c>
      <c r="S1190" t="str">
        <f>""</f>
        <v/>
      </c>
      <c r="T1190" t="s">
        <v>41</v>
      </c>
      <c r="U1190">
        <v>10703.87</v>
      </c>
      <c r="V1190">
        <v>10329.23</v>
      </c>
      <c r="W1190">
        <v>10329.23</v>
      </c>
      <c r="X1190">
        <v>0</v>
      </c>
      <c r="Y1190">
        <v>0</v>
      </c>
      <c r="Z1190">
        <v>-553</v>
      </c>
      <c r="AA1190">
        <v>696059</v>
      </c>
      <c r="AD1190" t="s">
        <v>3390</v>
      </c>
      <c r="AE1190">
        <v>5133494540</v>
      </c>
      <c r="AF1190" t="s">
        <v>3390</v>
      </c>
      <c r="AG1190">
        <v>93209765067610</v>
      </c>
      <c r="AH1190" t="s">
        <v>44</v>
      </c>
    </row>
    <row r="1191" spans="1:34" x14ac:dyDescent="0.3">
      <c r="A1191">
        <v>104</v>
      </c>
      <c r="B1191" t="s">
        <v>34</v>
      </c>
      <c r="C1191">
        <v>4</v>
      </c>
      <c r="D1191" s="1" t="s">
        <v>3391</v>
      </c>
      <c r="E1191" s="1" t="s">
        <v>36</v>
      </c>
      <c r="G1191">
        <v>467729</v>
      </c>
      <c r="H1191" t="s">
        <v>3388</v>
      </c>
      <c r="I1191" t="s">
        <v>3222</v>
      </c>
      <c r="J1191">
        <v>15</v>
      </c>
      <c r="K1191">
        <v>4716</v>
      </c>
      <c r="L1191">
        <v>95000</v>
      </c>
      <c r="M1191" t="s">
        <v>69</v>
      </c>
      <c r="N1191">
        <v>183</v>
      </c>
      <c r="O1191" s="2">
        <v>46171</v>
      </c>
      <c r="P1191" s="2">
        <v>46266</v>
      </c>
      <c r="R1191" t="s">
        <v>3392</v>
      </c>
      <c r="S1191" t="str">
        <f>""</f>
        <v/>
      </c>
      <c r="T1191" t="s">
        <v>41</v>
      </c>
      <c r="U1191">
        <v>17943.439999999999</v>
      </c>
      <c r="V1191">
        <v>17315.419999999998</v>
      </c>
      <c r="W1191">
        <v>17315.419999999998</v>
      </c>
      <c r="X1191">
        <v>0</v>
      </c>
      <c r="Y1191">
        <v>0</v>
      </c>
      <c r="Z1191">
        <v>-491</v>
      </c>
      <c r="AA1191">
        <v>688910</v>
      </c>
      <c r="AD1191" t="s">
        <v>3390</v>
      </c>
      <c r="AE1191">
        <v>5133494540</v>
      </c>
      <c r="AF1191" t="s">
        <v>3390</v>
      </c>
      <c r="AG1191">
        <v>93209765067610</v>
      </c>
      <c r="AH1191" t="s">
        <v>44</v>
      </c>
    </row>
    <row r="1192" spans="1:34" x14ac:dyDescent="0.3">
      <c r="A1192">
        <v>104</v>
      </c>
      <c r="B1192" t="s">
        <v>34</v>
      </c>
      <c r="C1192">
        <v>4</v>
      </c>
      <c r="D1192" s="1" t="s">
        <v>3393</v>
      </c>
      <c r="E1192" s="1" t="s">
        <v>36</v>
      </c>
      <c r="G1192">
        <v>467763</v>
      </c>
      <c r="H1192" t="s">
        <v>3394</v>
      </c>
      <c r="I1192" t="s">
        <v>3222</v>
      </c>
      <c r="J1192">
        <v>15</v>
      </c>
      <c r="K1192">
        <v>4716</v>
      </c>
      <c r="L1192">
        <v>95100</v>
      </c>
      <c r="M1192" t="s">
        <v>69</v>
      </c>
      <c r="N1192">
        <v>183</v>
      </c>
      <c r="O1192" s="2">
        <v>46238</v>
      </c>
      <c r="P1192" s="2">
        <v>46328</v>
      </c>
      <c r="R1192" t="s">
        <v>3395</v>
      </c>
      <c r="S1192" t="str">
        <f>""</f>
        <v/>
      </c>
      <c r="T1192" t="s">
        <v>41</v>
      </c>
      <c r="U1192">
        <v>16286.51</v>
      </c>
      <c r="V1192">
        <v>15716.48</v>
      </c>
      <c r="W1192">
        <v>15716.48</v>
      </c>
      <c r="X1192">
        <v>0</v>
      </c>
      <c r="Y1192">
        <v>0</v>
      </c>
      <c r="Z1192">
        <v>-553</v>
      </c>
      <c r="AA1192">
        <v>696047</v>
      </c>
      <c r="AD1192" t="s">
        <v>2278</v>
      </c>
      <c r="AF1192" t="s">
        <v>2278</v>
      </c>
      <c r="AG1192">
        <v>93209765062651</v>
      </c>
      <c r="AH1192" t="s">
        <v>44</v>
      </c>
    </row>
    <row r="1193" spans="1:34" x14ac:dyDescent="0.3">
      <c r="A1193">
        <v>104</v>
      </c>
      <c r="B1193" t="s">
        <v>34</v>
      </c>
      <c r="C1193">
        <v>4</v>
      </c>
      <c r="D1193" s="1" t="s">
        <v>3396</v>
      </c>
      <c r="E1193" s="1" t="s">
        <v>36</v>
      </c>
      <c r="G1193">
        <v>467763</v>
      </c>
      <c r="H1193" t="s">
        <v>3394</v>
      </c>
      <c r="I1193" t="s">
        <v>3222</v>
      </c>
      <c r="J1193">
        <v>15</v>
      </c>
      <c r="K1193">
        <v>4716</v>
      </c>
      <c r="L1193">
        <v>95100</v>
      </c>
      <c r="M1193" t="s">
        <v>69</v>
      </c>
      <c r="N1193">
        <v>183</v>
      </c>
      <c r="O1193" s="2">
        <v>46171</v>
      </c>
      <c r="P1193" s="2">
        <v>46266</v>
      </c>
      <c r="R1193" t="s">
        <v>3397</v>
      </c>
      <c r="S1193" t="str">
        <f>""</f>
        <v/>
      </c>
      <c r="T1193" t="s">
        <v>41</v>
      </c>
      <c r="U1193">
        <v>53098.49</v>
      </c>
      <c r="V1193">
        <v>9610.8700000000008</v>
      </c>
      <c r="W1193">
        <v>9610.8700000000008</v>
      </c>
      <c r="X1193">
        <v>0</v>
      </c>
      <c r="Y1193">
        <v>0</v>
      </c>
      <c r="Z1193">
        <v>-491</v>
      </c>
      <c r="AA1193">
        <v>688898</v>
      </c>
      <c r="AD1193" t="s">
        <v>2278</v>
      </c>
      <c r="AF1193" t="s">
        <v>2278</v>
      </c>
      <c r="AG1193">
        <v>93209765062651</v>
      </c>
      <c r="AH1193" t="s">
        <v>44</v>
      </c>
    </row>
    <row r="1194" spans="1:34" x14ac:dyDescent="0.3">
      <c r="A1194">
        <v>104</v>
      </c>
      <c r="B1194" t="s">
        <v>34</v>
      </c>
      <c r="C1194">
        <v>4</v>
      </c>
      <c r="D1194" s="1" t="s">
        <v>3398</v>
      </c>
      <c r="E1194" s="1" t="s">
        <v>36</v>
      </c>
      <c r="G1194">
        <v>467764</v>
      </c>
      <c r="H1194" t="s">
        <v>3399</v>
      </c>
      <c r="I1194" t="s">
        <v>3222</v>
      </c>
      <c r="J1194">
        <v>15</v>
      </c>
      <c r="K1194">
        <v>4716</v>
      </c>
      <c r="L1194">
        <v>95100</v>
      </c>
      <c r="M1194" t="s">
        <v>69</v>
      </c>
      <c r="N1194">
        <v>183</v>
      </c>
      <c r="O1194" s="2">
        <v>46231</v>
      </c>
      <c r="P1194" s="2">
        <v>46328</v>
      </c>
      <c r="R1194" t="s">
        <v>3400</v>
      </c>
      <c r="S1194" t="str">
        <f>""</f>
        <v/>
      </c>
      <c r="T1194" t="s">
        <v>41</v>
      </c>
      <c r="U1194">
        <v>32056.400000000001</v>
      </c>
      <c r="V1194">
        <v>30934.43</v>
      </c>
      <c r="W1194">
        <v>30934.43</v>
      </c>
      <c r="X1194">
        <v>0</v>
      </c>
      <c r="Y1194">
        <v>0</v>
      </c>
      <c r="Z1194">
        <v>-553</v>
      </c>
      <c r="AA1194">
        <v>695217</v>
      </c>
      <c r="AD1194" t="s">
        <v>2470</v>
      </c>
      <c r="AF1194" t="s">
        <v>2470</v>
      </c>
      <c r="AG1194">
        <v>93209765068854</v>
      </c>
      <c r="AH1194" t="s">
        <v>2472</v>
      </c>
    </row>
    <row r="1195" spans="1:34" x14ac:dyDescent="0.3">
      <c r="A1195">
        <v>104</v>
      </c>
      <c r="B1195" t="s">
        <v>34</v>
      </c>
      <c r="C1195">
        <v>4</v>
      </c>
      <c r="D1195" s="1" t="s">
        <v>3401</v>
      </c>
      <c r="E1195" s="1" t="s">
        <v>36</v>
      </c>
      <c r="G1195">
        <v>467768</v>
      </c>
      <c r="H1195" t="s">
        <v>3402</v>
      </c>
      <c r="I1195" t="s">
        <v>3222</v>
      </c>
      <c r="J1195">
        <v>15</v>
      </c>
      <c r="K1195">
        <v>4716</v>
      </c>
      <c r="L1195">
        <v>95100</v>
      </c>
      <c r="M1195" t="s">
        <v>69</v>
      </c>
      <c r="N1195">
        <v>183</v>
      </c>
      <c r="O1195" s="2">
        <v>46231</v>
      </c>
      <c r="P1195" s="2">
        <v>46301</v>
      </c>
      <c r="R1195" t="s">
        <v>3403</v>
      </c>
      <c r="S1195" t="str">
        <f>""</f>
        <v/>
      </c>
      <c r="T1195" t="s">
        <v>41</v>
      </c>
      <c r="U1195">
        <v>19881.14</v>
      </c>
      <c r="V1195">
        <v>19185.3</v>
      </c>
      <c r="W1195">
        <v>19185.3</v>
      </c>
      <c r="X1195">
        <v>0</v>
      </c>
      <c r="Y1195">
        <v>0</v>
      </c>
      <c r="Z1195">
        <v>-526</v>
      </c>
      <c r="AA1195">
        <v>695213</v>
      </c>
      <c r="AD1195" t="s">
        <v>3404</v>
      </c>
      <c r="AF1195" t="s">
        <v>3404</v>
      </c>
      <c r="AG1195">
        <v>93209765066649</v>
      </c>
      <c r="AH1195" t="s">
        <v>2472</v>
      </c>
    </row>
    <row r="1196" spans="1:34" x14ac:dyDescent="0.3">
      <c r="A1196">
        <v>104</v>
      </c>
      <c r="B1196" t="s">
        <v>34</v>
      </c>
      <c r="C1196">
        <v>4</v>
      </c>
      <c r="D1196" s="1" t="s">
        <v>3405</v>
      </c>
      <c r="E1196" s="1" t="s">
        <v>36</v>
      </c>
      <c r="G1196">
        <v>467769</v>
      </c>
      <c r="H1196" t="s">
        <v>3406</v>
      </c>
      <c r="I1196" t="s">
        <v>3222</v>
      </c>
      <c r="J1196">
        <v>15</v>
      </c>
      <c r="K1196">
        <v>4716</v>
      </c>
      <c r="L1196">
        <v>95100</v>
      </c>
      <c r="M1196" t="s">
        <v>69</v>
      </c>
      <c r="N1196">
        <v>183</v>
      </c>
      <c r="O1196" s="2">
        <v>46231</v>
      </c>
      <c r="P1196" s="2">
        <v>46301</v>
      </c>
      <c r="R1196" t="s">
        <v>3407</v>
      </c>
      <c r="S1196" t="str">
        <f>""</f>
        <v/>
      </c>
      <c r="T1196" t="s">
        <v>41</v>
      </c>
      <c r="U1196">
        <v>18076.72</v>
      </c>
      <c r="V1196">
        <v>17444.03</v>
      </c>
      <c r="W1196">
        <v>17444.03</v>
      </c>
      <c r="X1196">
        <v>0</v>
      </c>
      <c r="Y1196">
        <v>0</v>
      </c>
      <c r="Z1196">
        <v>-526</v>
      </c>
      <c r="AA1196">
        <v>695225</v>
      </c>
      <c r="AD1196" t="s">
        <v>2494</v>
      </c>
      <c r="AF1196" t="s">
        <v>2494</v>
      </c>
      <c r="AG1196">
        <v>93209765066720</v>
      </c>
      <c r="AH1196" t="s">
        <v>2472</v>
      </c>
    </row>
    <row r="1197" spans="1:34" x14ac:dyDescent="0.3">
      <c r="A1197">
        <v>104</v>
      </c>
      <c r="B1197" t="s">
        <v>34</v>
      </c>
      <c r="C1197">
        <v>4</v>
      </c>
      <c r="D1197" s="1" t="s">
        <v>3408</v>
      </c>
      <c r="E1197" s="1" t="s">
        <v>36</v>
      </c>
      <c r="G1197">
        <v>467770</v>
      </c>
      <c r="H1197" t="s">
        <v>3409</v>
      </c>
      <c r="I1197" t="s">
        <v>3222</v>
      </c>
      <c r="J1197">
        <v>15</v>
      </c>
      <c r="K1197">
        <v>4716</v>
      </c>
      <c r="L1197">
        <v>95100</v>
      </c>
      <c r="M1197" t="s">
        <v>69</v>
      </c>
      <c r="N1197">
        <v>183</v>
      </c>
      <c r="O1197" s="2">
        <v>46231</v>
      </c>
      <c r="P1197" s="2">
        <v>46301</v>
      </c>
      <c r="R1197" t="s">
        <v>3410</v>
      </c>
      <c r="S1197" t="str">
        <f>""</f>
        <v/>
      </c>
      <c r="T1197" t="s">
        <v>41</v>
      </c>
      <c r="U1197">
        <v>3344.07</v>
      </c>
      <c r="V1197">
        <v>3227.03</v>
      </c>
      <c r="W1197">
        <v>3227.03</v>
      </c>
      <c r="X1197">
        <v>0</v>
      </c>
      <c r="Y1197">
        <v>0</v>
      </c>
      <c r="Z1197">
        <v>-526</v>
      </c>
      <c r="AA1197">
        <v>695215</v>
      </c>
      <c r="AD1197" t="s">
        <v>2494</v>
      </c>
      <c r="AF1197" t="s">
        <v>2494</v>
      </c>
      <c r="AG1197">
        <v>93209765066991</v>
      </c>
      <c r="AH1197" t="s">
        <v>2472</v>
      </c>
    </row>
    <row r="1198" spans="1:34" x14ac:dyDescent="0.3">
      <c r="A1198">
        <v>104</v>
      </c>
      <c r="B1198" t="s">
        <v>34</v>
      </c>
      <c r="C1198">
        <v>4</v>
      </c>
      <c r="D1198" s="1" t="s">
        <v>3411</v>
      </c>
      <c r="E1198" s="1" t="s">
        <v>36</v>
      </c>
      <c r="G1198">
        <v>467862</v>
      </c>
      <c r="H1198" t="s">
        <v>3412</v>
      </c>
      <c r="I1198" t="s">
        <v>3222</v>
      </c>
      <c r="J1198">
        <v>15</v>
      </c>
      <c r="K1198">
        <v>4716</v>
      </c>
      <c r="L1198">
        <v>95000</v>
      </c>
      <c r="M1198" t="s">
        <v>69</v>
      </c>
      <c r="N1198">
        <v>183</v>
      </c>
      <c r="O1198" s="2">
        <v>46231</v>
      </c>
      <c r="P1198" s="2">
        <v>46301</v>
      </c>
      <c r="R1198" t="s">
        <v>3413</v>
      </c>
      <c r="S1198" t="str">
        <f>""</f>
        <v/>
      </c>
      <c r="T1198" t="s">
        <v>41</v>
      </c>
      <c r="U1198">
        <v>6357.01</v>
      </c>
      <c r="V1198">
        <v>6134.51</v>
      </c>
      <c r="W1198">
        <v>6134.51</v>
      </c>
      <c r="X1198">
        <v>0</v>
      </c>
      <c r="Y1198">
        <v>0</v>
      </c>
      <c r="Z1198">
        <v>-526</v>
      </c>
      <c r="AA1198">
        <v>695221</v>
      </c>
      <c r="AD1198" t="s">
        <v>2470</v>
      </c>
      <c r="AF1198" t="s">
        <v>2470</v>
      </c>
      <c r="AG1198">
        <v>93209765061337</v>
      </c>
      <c r="AH1198" t="s">
        <v>2472</v>
      </c>
    </row>
    <row r="1199" spans="1:34" x14ac:dyDescent="0.3">
      <c r="A1199">
        <v>104</v>
      </c>
      <c r="B1199" t="s">
        <v>34</v>
      </c>
      <c r="C1199">
        <v>4</v>
      </c>
      <c r="D1199" s="1" t="s">
        <v>3414</v>
      </c>
      <c r="E1199" s="1" t="s">
        <v>36</v>
      </c>
      <c r="G1199">
        <v>467863</v>
      </c>
      <c r="H1199" t="s">
        <v>3415</v>
      </c>
      <c r="I1199" t="s">
        <v>3222</v>
      </c>
      <c r="J1199">
        <v>15</v>
      </c>
      <c r="K1199">
        <v>4716</v>
      </c>
      <c r="L1199">
        <v>95100</v>
      </c>
      <c r="M1199" t="s">
        <v>69</v>
      </c>
      <c r="N1199">
        <v>183</v>
      </c>
      <c r="O1199" s="2">
        <v>46231</v>
      </c>
      <c r="P1199" s="2">
        <v>46301</v>
      </c>
      <c r="R1199" t="s">
        <v>3416</v>
      </c>
      <c r="S1199" t="str">
        <f>""</f>
        <v/>
      </c>
      <c r="T1199" t="s">
        <v>41</v>
      </c>
      <c r="U1199">
        <v>14964.03</v>
      </c>
      <c r="V1199">
        <v>14440.29</v>
      </c>
      <c r="W1199">
        <v>14440.29</v>
      </c>
      <c r="X1199">
        <v>0</v>
      </c>
      <c r="Y1199">
        <v>0</v>
      </c>
      <c r="Z1199">
        <v>-526</v>
      </c>
      <c r="AA1199">
        <v>695219</v>
      </c>
      <c r="AD1199" t="s">
        <v>3049</v>
      </c>
      <c r="AF1199" t="s">
        <v>3049</v>
      </c>
      <c r="AG1199">
        <v>93209765068935</v>
      </c>
      <c r="AH1199" t="s">
        <v>2472</v>
      </c>
    </row>
    <row r="1200" spans="1:34" x14ac:dyDescent="0.3">
      <c r="A1200">
        <v>104</v>
      </c>
      <c r="B1200" t="s">
        <v>34</v>
      </c>
      <c r="C1200">
        <v>4</v>
      </c>
      <c r="D1200" s="1" t="s">
        <v>3417</v>
      </c>
      <c r="E1200" s="1" t="s">
        <v>36</v>
      </c>
      <c r="G1200">
        <v>468158</v>
      </c>
      <c r="H1200" t="s">
        <v>3418</v>
      </c>
      <c r="I1200" t="s">
        <v>3222</v>
      </c>
      <c r="J1200">
        <v>15</v>
      </c>
      <c r="K1200">
        <v>4716</v>
      </c>
      <c r="L1200">
        <v>95000</v>
      </c>
      <c r="M1200" t="s">
        <v>69</v>
      </c>
      <c r="N1200">
        <v>183</v>
      </c>
      <c r="O1200" s="2">
        <v>46238</v>
      </c>
      <c r="P1200" s="2">
        <v>46328</v>
      </c>
      <c r="R1200" t="s">
        <v>3419</v>
      </c>
      <c r="S1200" t="str">
        <f>""</f>
        <v/>
      </c>
      <c r="T1200" t="s">
        <v>41</v>
      </c>
      <c r="U1200">
        <v>37201.97</v>
      </c>
      <c r="V1200">
        <v>35899.9</v>
      </c>
      <c r="W1200">
        <v>35899.9</v>
      </c>
      <c r="X1200">
        <v>0</v>
      </c>
      <c r="Y1200">
        <v>0</v>
      </c>
      <c r="Z1200">
        <v>-553</v>
      </c>
      <c r="AA1200">
        <v>696021</v>
      </c>
      <c r="AD1200" t="s">
        <v>3420</v>
      </c>
      <c r="AE1200">
        <v>5133494540</v>
      </c>
      <c r="AF1200" t="s">
        <v>3420</v>
      </c>
      <c r="AG1200">
        <v>93209765068501</v>
      </c>
      <c r="AH1200" t="s">
        <v>44</v>
      </c>
    </row>
    <row r="1201" spans="1:34" x14ac:dyDescent="0.3">
      <c r="A1201">
        <v>104</v>
      </c>
      <c r="B1201" t="s">
        <v>34</v>
      </c>
      <c r="C1201">
        <v>4</v>
      </c>
      <c r="D1201" s="1" t="s">
        <v>3421</v>
      </c>
      <c r="E1201" s="1" t="s">
        <v>36</v>
      </c>
      <c r="G1201">
        <v>469642</v>
      </c>
      <c r="H1201" t="s">
        <v>3422</v>
      </c>
      <c r="I1201" t="s">
        <v>3222</v>
      </c>
      <c r="J1201">
        <v>15</v>
      </c>
      <c r="K1201">
        <v>4716</v>
      </c>
      <c r="L1201">
        <v>95000</v>
      </c>
      <c r="M1201" t="s">
        <v>69</v>
      </c>
      <c r="N1201">
        <v>183</v>
      </c>
      <c r="O1201" s="2">
        <v>46238</v>
      </c>
      <c r="P1201" s="2">
        <v>46328</v>
      </c>
      <c r="R1201" t="s">
        <v>3423</v>
      </c>
      <c r="S1201" t="str">
        <f>""</f>
        <v/>
      </c>
      <c r="T1201" t="s">
        <v>41</v>
      </c>
      <c r="U1201">
        <v>8045.77</v>
      </c>
      <c r="V1201">
        <v>7764.17</v>
      </c>
      <c r="W1201">
        <v>7764.17</v>
      </c>
      <c r="X1201">
        <v>0</v>
      </c>
      <c r="Y1201">
        <v>0</v>
      </c>
      <c r="Z1201">
        <v>-553</v>
      </c>
      <c r="AA1201">
        <v>696039</v>
      </c>
      <c r="AD1201" t="s">
        <v>64</v>
      </c>
      <c r="AE1201">
        <v>5133494540</v>
      </c>
      <c r="AF1201" t="s">
        <v>64</v>
      </c>
      <c r="AG1201">
        <v>93209765068005</v>
      </c>
      <c r="AH1201" t="s">
        <v>44</v>
      </c>
    </row>
    <row r="1202" spans="1:34" x14ac:dyDescent="0.3">
      <c r="A1202">
        <v>104</v>
      </c>
      <c r="B1202" t="s">
        <v>34</v>
      </c>
      <c r="C1202">
        <v>4</v>
      </c>
      <c r="D1202" s="1" t="s">
        <v>3424</v>
      </c>
      <c r="E1202" s="1" t="s">
        <v>36</v>
      </c>
      <c r="G1202">
        <v>469642</v>
      </c>
      <c r="H1202" t="s">
        <v>3422</v>
      </c>
      <c r="I1202" t="s">
        <v>3222</v>
      </c>
      <c r="J1202">
        <v>15</v>
      </c>
      <c r="K1202">
        <v>4716</v>
      </c>
      <c r="L1202">
        <v>95000</v>
      </c>
      <c r="M1202" t="s">
        <v>69</v>
      </c>
      <c r="N1202">
        <v>183</v>
      </c>
      <c r="O1202" s="2">
        <v>46171</v>
      </c>
      <c r="P1202" s="2">
        <v>46266</v>
      </c>
      <c r="R1202" t="s">
        <v>3425</v>
      </c>
      <c r="S1202" t="str">
        <f>""</f>
        <v/>
      </c>
      <c r="T1202" t="s">
        <v>41</v>
      </c>
      <c r="U1202">
        <v>12886.34</v>
      </c>
      <c r="V1202">
        <v>12435.32</v>
      </c>
      <c r="W1202">
        <v>12435.32</v>
      </c>
      <c r="X1202">
        <v>0</v>
      </c>
      <c r="Y1202">
        <v>0</v>
      </c>
      <c r="Z1202">
        <v>-491</v>
      </c>
      <c r="AA1202">
        <v>688890</v>
      </c>
      <c r="AD1202" t="s">
        <v>64</v>
      </c>
      <c r="AE1202">
        <v>5133494540</v>
      </c>
      <c r="AF1202" t="s">
        <v>64</v>
      </c>
      <c r="AG1202">
        <v>93209765068005</v>
      </c>
      <c r="AH1202" t="s">
        <v>44</v>
      </c>
    </row>
    <row r="1203" spans="1:34" x14ac:dyDescent="0.3">
      <c r="A1203">
        <v>104</v>
      </c>
      <c r="B1203" t="s">
        <v>34</v>
      </c>
      <c r="C1203">
        <v>4</v>
      </c>
      <c r="D1203" s="1" t="s">
        <v>3426</v>
      </c>
      <c r="E1203" s="1" t="s">
        <v>36</v>
      </c>
      <c r="G1203">
        <v>469986</v>
      </c>
      <c r="H1203" t="s">
        <v>3427</v>
      </c>
      <c r="I1203" t="s">
        <v>3222</v>
      </c>
      <c r="J1203">
        <v>15</v>
      </c>
      <c r="K1203">
        <v>4716</v>
      </c>
      <c r="L1203">
        <v>95000</v>
      </c>
      <c r="M1203" t="s">
        <v>69</v>
      </c>
      <c r="N1203">
        <v>183</v>
      </c>
      <c r="O1203" s="2">
        <v>46238</v>
      </c>
      <c r="P1203" s="2">
        <v>46328</v>
      </c>
      <c r="R1203" t="s">
        <v>3428</v>
      </c>
      <c r="S1203" t="str">
        <f>""</f>
        <v/>
      </c>
      <c r="T1203" t="s">
        <v>41</v>
      </c>
      <c r="U1203">
        <v>8488.3700000000008</v>
      </c>
      <c r="V1203">
        <v>8191.28</v>
      </c>
      <c r="W1203">
        <v>8191.28</v>
      </c>
      <c r="X1203">
        <v>0</v>
      </c>
      <c r="Y1203">
        <v>0</v>
      </c>
      <c r="Z1203">
        <v>-553</v>
      </c>
      <c r="AA1203">
        <v>696037</v>
      </c>
      <c r="AD1203" t="s">
        <v>64</v>
      </c>
      <c r="AE1203">
        <v>5133494540</v>
      </c>
      <c r="AF1203" t="s">
        <v>64</v>
      </c>
      <c r="AG1203">
        <v>93209765069745</v>
      </c>
      <c r="AH1203" t="s">
        <v>44</v>
      </c>
    </row>
    <row r="1204" spans="1:34" x14ac:dyDescent="0.3">
      <c r="A1204">
        <v>104</v>
      </c>
      <c r="B1204" t="s">
        <v>34</v>
      </c>
      <c r="C1204">
        <v>4</v>
      </c>
      <c r="D1204" s="1" t="s">
        <v>3429</v>
      </c>
      <c r="E1204" s="1" t="s">
        <v>36</v>
      </c>
      <c r="G1204">
        <v>469986</v>
      </c>
      <c r="H1204" t="s">
        <v>3427</v>
      </c>
      <c r="I1204" t="s">
        <v>3222</v>
      </c>
      <c r="J1204">
        <v>15</v>
      </c>
      <c r="K1204">
        <v>4716</v>
      </c>
      <c r="L1204">
        <v>95000</v>
      </c>
      <c r="M1204" t="s">
        <v>69</v>
      </c>
      <c r="N1204">
        <v>183</v>
      </c>
      <c r="O1204" s="2">
        <v>46171</v>
      </c>
      <c r="P1204" s="2">
        <v>46266</v>
      </c>
      <c r="R1204" t="s">
        <v>3430</v>
      </c>
      <c r="S1204" t="str">
        <f>""</f>
        <v/>
      </c>
      <c r="T1204" t="s">
        <v>41</v>
      </c>
      <c r="U1204">
        <v>29611.82</v>
      </c>
      <c r="V1204">
        <v>28575.41</v>
      </c>
      <c r="W1204">
        <v>28575.41</v>
      </c>
      <c r="X1204">
        <v>0</v>
      </c>
      <c r="Y1204">
        <v>0</v>
      </c>
      <c r="Z1204">
        <v>-491</v>
      </c>
      <c r="AA1204">
        <v>688888</v>
      </c>
      <c r="AD1204" t="s">
        <v>64</v>
      </c>
      <c r="AE1204">
        <v>5133494540</v>
      </c>
      <c r="AF1204" t="s">
        <v>64</v>
      </c>
      <c r="AG1204">
        <v>93209765069745</v>
      </c>
      <c r="AH1204" t="s">
        <v>44</v>
      </c>
    </row>
    <row r="1205" spans="1:34" x14ac:dyDescent="0.3">
      <c r="A1205">
        <v>104</v>
      </c>
      <c r="B1205" t="s">
        <v>34</v>
      </c>
      <c r="C1205">
        <v>4</v>
      </c>
      <c r="D1205" s="1" t="s">
        <v>3431</v>
      </c>
      <c r="E1205" s="1" t="s">
        <v>36</v>
      </c>
      <c r="G1205">
        <v>470335</v>
      </c>
      <c r="H1205" t="s">
        <v>3432</v>
      </c>
      <c r="I1205" t="s">
        <v>3222</v>
      </c>
      <c r="J1205">
        <v>15</v>
      </c>
      <c r="K1205">
        <v>4716</v>
      </c>
      <c r="L1205">
        <v>95100</v>
      </c>
      <c r="M1205" t="s">
        <v>69</v>
      </c>
      <c r="N1205">
        <v>183</v>
      </c>
      <c r="O1205" s="2">
        <v>46171</v>
      </c>
      <c r="P1205" s="2">
        <v>46266</v>
      </c>
      <c r="R1205" t="s">
        <v>3433</v>
      </c>
      <c r="S1205" t="str">
        <f>""</f>
        <v/>
      </c>
      <c r="T1205" t="s">
        <v>41</v>
      </c>
      <c r="U1205">
        <v>24349.01</v>
      </c>
      <c r="V1205">
        <v>23496.79</v>
      </c>
      <c r="W1205">
        <v>23496.79</v>
      </c>
      <c r="X1205">
        <v>0</v>
      </c>
      <c r="Y1205">
        <v>0</v>
      </c>
      <c r="Z1205">
        <v>-491</v>
      </c>
      <c r="AA1205">
        <v>688876</v>
      </c>
      <c r="AD1205" t="s">
        <v>64</v>
      </c>
      <c r="AF1205" t="s">
        <v>64</v>
      </c>
      <c r="AG1205">
        <v>93209765047857</v>
      </c>
      <c r="AH1205" t="s">
        <v>44</v>
      </c>
    </row>
    <row r="1206" spans="1:34" x14ac:dyDescent="0.3">
      <c r="A1206">
        <v>104</v>
      </c>
      <c r="B1206" t="s">
        <v>34</v>
      </c>
      <c r="C1206">
        <v>4</v>
      </c>
      <c r="D1206" s="1" t="s">
        <v>3434</v>
      </c>
      <c r="E1206" s="1" t="s">
        <v>36</v>
      </c>
      <c r="G1206">
        <v>470335</v>
      </c>
      <c r="H1206" t="s">
        <v>3432</v>
      </c>
      <c r="I1206" t="s">
        <v>3222</v>
      </c>
      <c r="J1206">
        <v>15</v>
      </c>
      <c r="K1206">
        <v>4716</v>
      </c>
      <c r="L1206">
        <v>95100</v>
      </c>
      <c r="M1206" t="s">
        <v>69</v>
      </c>
      <c r="N1206">
        <v>183</v>
      </c>
      <c r="O1206" s="2">
        <v>46238</v>
      </c>
      <c r="P1206" s="2">
        <v>46308</v>
      </c>
      <c r="R1206" t="s">
        <v>3435</v>
      </c>
      <c r="S1206" t="str">
        <f>""</f>
        <v/>
      </c>
      <c r="T1206" t="s">
        <v>41</v>
      </c>
      <c r="U1206">
        <v>10002.530000000001</v>
      </c>
      <c r="V1206">
        <v>9652.44</v>
      </c>
      <c r="W1206">
        <v>9652.44</v>
      </c>
      <c r="X1206">
        <v>0</v>
      </c>
      <c r="Y1206">
        <v>0</v>
      </c>
      <c r="Z1206">
        <v>-533</v>
      </c>
      <c r="AA1206">
        <v>696025</v>
      </c>
      <c r="AD1206" t="s">
        <v>64</v>
      </c>
      <c r="AF1206" t="s">
        <v>64</v>
      </c>
      <c r="AG1206">
        <v>93209765047857</v>
      </c>
      <c r="AH1206" t="s">
        <v>44</v>
      </c>
    </row>
    <row r="1207" spans="1:34" x14ac:dyDescent="0.3">
      <c r="A1207">
        <v>104</v>
      </c>
      <c r="B1207" t="s">
        <v>34</v>
      </c>
      <c r="C1207">
        <v>4</v>
      </c>
      <c r="D1207" s="1" t="s">
        <v>3436</v>
      </c>
      <c r="E1207" s="1" t="s">
        <v>36</v>
      </c>
      <c r="G1207">
        <v>434676</v>
      </c>
      <c r="H1207" t="s">
        <v>3437</v>
      </c>
      <c r="I1207" t="s">
        <v>3438</v>
      </c>
      <c r="J1207">
        <v>15</v>
      </c>
      <c r="K1207">
        <v>4875</v>
      </c>
      <c r="L1207">
        <v>95000</v>
      </c>
      <c r="M1207" t="s">
        <v>69</v>
      </c>
      <c r="N1207">
        <v>184</v>
      </c>
      <c r="O1207" s="2">
        <v>46200</v>
      </c>
      <c r="P1207" s="2">
        <v>46300</v>
      </c>
      <c r="R1207" t="s">
        <v>3439</v>
      </c>
      <c r="S1207" t="str">
        <f>""</f>
        <v/>
      </c>
      <c r="T1207" t="s">
        <v>41</v>
      </c>
      <c r="U1207">
        <v>104135.78</v>
      </c>
      <c r="V1207">
        <v>96846.28</v>
      </c>
      <c r="W1207">
        <v>96846.28</v>
      </c>
      <c r="X1207">
        <v>0</v>
      </c>
      <c r="Y1207">
        <v>0</v>
      </c>
      <c r="Z1207">
        <v>-525</v>
      </c>
      <c r="AA1207" t="s">
        <v>3440</v>
      </c>
      <c r="AD1207" t="s">
        <v>3441</v>
      </c>
      <c r="AE1207" t="s">
        <v>3442</v>
      </c>
      <c r="AF1207" t="s">
        <v>3441</v>
      </c>
      <c r="AG1207">
        <v>23439441001595</v>
      </c>
      <c r="AH1207" t="s">
        <v>3443</v>
      </c>
    </row>
    <row r="1208" spans="1:34" x14ac:dyDescent="0.3">
      <c r="A1208">
        <v>104</v>
      </c>
      <c r="B1208" t="s">
        <v>34</v>
      </c>
      <c r="C1208">
        <v>4</v>
      </c>
      <c r="D1208" s="1" t="s">
        <v>3444</v>
      </c>
      <c r="E1208" s="1" t="s">
        <v>36</v>
      </c>
      <c r="G1208">
        <v>434676</v>
      </c>
      <c r="H1208" t="s">
        <v>3437</v>
      </c>
      <c r="I1208" t="s">
        <v>3438</v>
      </c>
      <c r="J1208">
        <v>15</v>
      </c>
      <c r="K1208">
        <v>4875</v>
      </c>
      <c r="L1208">
        <v>95000</v>
      </c>
      <c r="M1208" t="s">
        <v>69</v>
      </c>
      <c r="N1208">
        <v>184</v>
      </c>
      <c r="O1208" s="2">
        <v>46200</v>
      </c>
      <c r="P1208" s="2">
        <v>46280</v>
      </c>
      <c r="R1208" t="s">
        <v>3445</v>
      </c>
      <c r="S1208" t="str">
        <f>""</f>
        <v/>
      </c>
      <c r="T1208" t="s">
        <v>41</v>
      </c>
      <c r="U1208">
        <v>224511.67</v>
      </c>
      <c r="V1208">
        <v>208795.85</v>
      </c>
      <c r="W1208">
        <v>208795.85</v>
      </c>
      <c r="X1208">
        <v>0</v>
      </c>
      <c r="Y1208">
        <v>0</v>
      </c>
      <c r="Z1208">
        <v>-505</v>
      </c>
      <c r="AA1208" t="s">
        <v>3440</v>
      </c>
      <c r="AD1208" t="s">
        <v>3441</v>
      </c>
      <c r="AE1208" t="s">
        <v>3442</v>
      </c>
      <c r="AF1208" t="s">
        <v>3441</v>
      </c>
      <c r="AG1208">
        <v>23439441001595</v>
      </c>
      <c r="AH1208" t="s">
        <v>3443</v>
      </c>
    </row>
    <row r="1209" spans="1:34" x14ac:dyDescent="0.3">
      <c r="A1209">
        <v>104</v>
      </c>
      <c r="B1209" t="s">
        <v>34</v>
      </c>
      <c r="C1209">
        <v>4</v>
      </c>
      <c r="D1209" s="1" t="s">
        <v>3446</v>
      </c>
      <c r="E1209" s="1" t="s">
        <v>36</v>
      </c>
      <c r="G1209">
        <v>434676</v>
      </c>
      <c r="H1209" t="s">
        <v>3437</v>
      </c>
      <c r="I1209" t="s">
        <v>3438</v>
      </c>
      <c r="J1209">
        <v>15</v>
      </c>
      <c r="K1209">
        <v>4875</v>
      </c>
      <c r="L1209">
        <v>95000</v>
      </c>
      <c r="M1209" t="s">
        <v>69</v>
      </c>
      <c r="N1209">
        <v>184</v>
      </c>
      <c r="O1209" s="2">
        <v>46234</v>
      </c>
      <c r="P1209" s="2">
        <v>46294</v>
      </c>
      <c r="R1209" t="s">
        <v>3447</v>
      </c>
      <c r="S1209" t="str">
        <f>""</f>
        <v/>
      </c>
      <c r="T1209" t="s">
        <v>41</v>
      </c>
      <c r="U1209">
        <v>87871.72</v>
      </c>
      <c r="V1209">
        <v>81720.7</v>
      </c>
      <c r="W1209">
        <v>81720.7</v>
      </c>
      <c r="X1209">
        <v>0</v>
      </c>
      <c r="Y1209">
        <v>0</v>
      </c>
      <c r="Z1209">
        <v>-519</v>
      </c>
      <c r="AA1209" t="s">
        <v>3448</v>
      </c>
      <c r="AD1209" t="s">
        <v>3441</v>
      </c>
      <c r="AE1209" t="s">
        <v>3442</v>
      </c>
      <c r="AF1209" t="s">
        <v>3441</v>
      </c>
      <c r="AG1209">
        <v>23439441001595</v>
      </c>
      <c r="AH1209" t="s">
        <v>3443</v>
      </c>
    </row>
    <row r="1210" spans="1:34" x14ac:dyDescent="0.3">
      <c r="A1210">
        <v>106</v>
      </c>
      <c r="B1210" t="s">
        <v>34</v>
      </c>
      <c r="C1210">
        <v>2</v>
      </c>
      <c r="D1210" s="1" t="s">
        <v>3449</v>
      </c>
      <c r="E1210" s="1" t="s">
        <v>36</v>
      </c>
      <c r="G1210">
        <v>434676</v>
      </c>
      <c r="H1210" t="s">
        <v>3437</v>
      </c>
      <c r="I1210" t="s">
        <v>3438</v>
      </c>
      <c r="J1210">
        <v>15</v>
      </c>
      <c r="K1210">
        <v>4875</v>
      </c>
      <c r="L1210">
        <v>95000</v>
      </c>
      <c r="M1210" t="s">
        <v>69</v>
      </c>
      <c r="N1210">
        <v>184</v>
      </c>
      <c r="O1210" s="2">
        <v>46251</v>
      </c>
      <c r="P1210" s="2">
        <v>46311</v>
      </c>
      <c r="R1210" t="s">
        <v>3450</v>
      </c>
      <c r="S1210" t="str">
        <f>""</f>
        <v/>
      </c>
      <c r="T1210" t="s">
        <v>41</v>
      </c>
      <c r="U1210">
        <v>134238.44</v>
      </c>
      <c r="V1210">
        <v>124841.75</v>
      </c>
      <c r="W1210">
        <v>124841.75</v>
      </c>
      <c r="X1210">
        <v>0</v>
      </c>
      <c r="Y1210">
        <v>0</v>
      </c>
      <c r="Z1210">
        <v>-536</v>
      </c>
      <c r="AA1210" t="s">
        <v>3451</v>
      </c>
      <c r="AD1210" t="s">
        <v>3441</v>
      </c>
      <c r="AE1210" t="s">
        <v>3442</v>
      </c>
      <c r="AF1210" t="s">
        <v>3441</v>
      </c>
      <c r="AG1210">
        <v>23439441001595</v>
      </c>
      <c r="AH1210" t="s">
        <v>3443</v>
      </c>
    </row>
    <row r="1211" spans="1:34" x14ac:dyDescent="0.3">
      <c r="A1211">
        <v>106</v>
      </c>
      <c r="B1211" t="s">
        <v>34</v>
      </c>
      <c r="C1211">
        <v>2</v>
      </c>
      <c r="D1211" s="1" t="s">
        <v>3452</v>
      </c>
      <c r="E1211" s="1" t="s">
        <v>36</v>
      </c>
      <c r="G1211">
        <v>434676</v>
      </c>
      <c r="H1211" t="s">
        <v>3437</v>
      </c>
      <c r="I1211" t="s">
        <v>3438</v>
      </c>
      <c r="J1211">
        <v>15</v>
      </c>
      <c r="K1211">
        <v>4875</v>
      </c>
      <c r="L1211">
        <v>95000</v>
      </c>
      <c r="M1211" t="s">
        <v>69</v>
      </c>
      <c r="N1211">
        <v>184</v>
      </c>
      <c r="O1211" s="2">
        <v>46200</v>
      </c>
      <c r="P1211" s="2">
        <v>46290</v>
      </c>
      <c r="R1211" t="s">
        <v>3453</v>
      </c>
      <c r="S1211" t="str">
        <f>""</f>
        <v/>
      </c>
      <c r="T1211" t="s">
        <v>41</v>
      </c>
      <c r="U1211">
        <v>258277.03</v>
      </c>
      <c r="V1211">
        <v>240197.64</v>
      </c>
      <c r="W1211">
        <v>240197.64</v>
      </c>
      <c r="X1211">
        <v>0</v>
      </c>
      <c r="Y1211">
        <v>0</v>
      </c>
      <c r="Z1211">
        <v>-515</v>
      </c>
      <c r="AA1211" t="s">
        <v>3454</v>
      </c>
      <c r="AD1211" t="s">
        <v>3441</v>
      </c>
      <c r="AE1211" t="s">
        <v>3442</v>
      </c>
      <c r="AF1211" t="s">
        <v>3441</v>
      </c>
      <c r="AG1211">
        <v>23439441001595</v>
      </c>
      <c r="AH1211" t="s">
        <v>3443</v>
      </c>
    </row>
    <row r="1212" spans="1:34" x14ac:dyDescent="0.3">
      <c r="A1212">
        <v>106</v>
      </c>
      <c r="B1212" t="s">
        <v>34</v>
      </c>
      <c r="C1212">
        <v>2</v>
      </c>
      <c r="D1212" s="1" t="s">
        <v>3455</v>
      </c>
      <c r="E1212" s="1" t="s">
        <v>36</v>
      </c>
      <c r="G1212">
        <v>446523</v>
      </c>
      <c r="H1212" t="s">
        <v>3456</v>
      </c>
      <c r="I1212" t="s">
        <v>3457</v>
      </c>
      <c r="J1212">
        <v>15</v>
      </c>
      <c r="K1212">
        <v>4875</v>
      </c>
      <c r="L1212">
        <v>95000</v>
      </c>
      <c r="M1212" t="s">
        <v>69</v>
      </c>
      <c r="N1212">
        <v>184</v>
      </c>
      <c r="O1212" s="2">
        <v>46200</v>
      </c>
      <c r="P1212" s="2">
        <v>46290</v>
      </c>
      <c r="R1212" t="s">
        <v>3458</v>
      </c>
      <c r="S1212" t="str">
        <f>""</f>
        <v/>
      </c>
      <c r="T1212" t="s">
        <v>41</v>
      </c>
      <c r="U1212">
        <v>107280.55</v>
      </c>
      <c r="V1212">
        <v>98753.12</v>
      </c>
      <c r="W1212">
        <v>98753.12</v>
      </c>
      <c r="X1212">
        <v>0</v>
      </c>
      <c r="Y1212">
        <v>0</v>
      </c>
      <c r="Z1212">
        <v>-515</v>
      </c>
      <c r="AA1212" t="s">
        <v>3459</v>
      </c>
      <c r="AD1212" t="s">
        <v>3460</v>
      </c>
      <c r="AE1212" t="s">
        <v>3461</v>
      </c>
      <c r="AF1212" t="s">
        <v>3460</v>
      </c>
      <c r="AG1212">
        <v>23439441003539</v>
      </c>
      <c r="AH1212" t="s">
        <v>3443</v>
      </c>
    </row>
    <row r="1213" spans="1:34" x14ac:dyDescent="0.3">
      <c r="A1213">
        <v>106</v>
      </c>
      <c r="B1213" t="s">
        <v>34</v>
      </c>
      <c r="C1213">
        <v>2</v>
      </c>
      <c r="D1213" s="1" t="s">
        <v>3462</v>
      </c>
      <c r="E1213" s="1" t="s">
        <v>36</v>
      </c>
      <c r="G1213">
        <v>446523</v>
      </c>
      <c r="H1213" t="s">
        <v>3456</v>
      </c>
      <c r="I1213" t="s">
        <v>3457</v>
      </c>
      <c r="J1213">
        <v>15</v>
      </c>
      <c r="K1213">
        <v>4875</v>
      </c>
      <c r="L1213">
        <v>95000</v>
      </c>
      <c r="M1213" t="s">
        <v>69</v>
      </c>
      <c r="N1213">
        <v>184</v>
      </c>
      <c r="O1213" s="2">
        <v>46171</v>
      </c>
      <c r="P1213" s="2">
        <v>46259</v>
      </c>
      <c r="R1213" t="s">
        <v>3463</v>
      </c>
      <c r="S1213" t="str">
        <f>""</f>
        <v/>
      </c>
      <c r="T1213" t="s">
        <v>41</v>
      </c>
      <c r="U1213">
        <v>83798.13</v>
      </c>
      <c r="V1213">
        <v>77932.259999999995</v>
      </c>
      <c r="W1213">
        <v>77932.259999999995</v>
      </c>
      <c r="X1213">
        <v>0</v>
      </c>
      <c r="Y1213">
        <v>0</v>
      </c>
      <c r="Z1213">
        <v>-484</v>
      </c>
      <c r="AA1213" t="s">
        <v>3464</v>
      </c>
      <c r="AD1213" t="s">
        <v>3460</v>
      </c>
      <c r="AE1213" t="s">
        <v>3461</v>
      </c>
      <c r="AF1213" t="s">
        <v>3460</v>
      </c>
      <c r="AG1213">
        <v>23439441003539</v>
      </c>
      <c r="AH1213" t="s">
        <v>3443</v>
      </c>
    </row>
    <row r="1214" spans="1:34" x14ac:dyDescent="0.3">
      <c r="A1214">
        <v>106</v>
      </c>
      <c r="B1214" t="s">
        <v>34</v>
      </c>
      <c r="C1214">
        <v>2</v>
      </c>
      <c r="D1214" s="1" t="s">
        <v>3465</v>
      </c>
      <c r="E1214" s="1" t="s">
        <v>36</v>
      </c>
      <c r="G1214">
        <v>446523</v>
      </c>
      <c r="H1214" t="s">
        <v>3456</v>
      </c>
      <c r="I1214" t="s">
        <v>3457</v>
      </c>
      <c r="J1214">
        <v>15</v>
      </c>
      <c r="K1214">
        <v>4875</v>
      </c>
      <c r="L1214">
        <v>95000</v>
      </c>
      <c r="M1214" t="s">
        <v>69</v>
      </c>
      <c r="N1214">
        <v>184</v>
      </c>
      <c r="O1214" s="2">
        <v>46251</v>
      </c>
      <c r="P1214" s="2">
        <v>46311</v>
      </c>
      <c r="R1214" t="s">
        <v>3466</v>
      </c>
      <c r="S1214" t="str">
        <f>""</f>
        <v/>
      </c>
      <c r="T1214" t="s">
        <v>41</v>
      </c>
      <c r="U1214">
        <v>230490.93</v>
      </c>
      <c r="V1214">
        <v>214356.56</v>
      </c>
      <c r="W1214">
        <v>214356.56</v>
      </c>
      <c r="X1214">
        <v>0</v>
      </c>
      <c r="Y1214">
        <v>0</v>
      </c>
      <c r="Z1214">
        <v>-536</v>
      </c>
      <c r="AA1214" t="s">
        <v>3467</v>
      </c>
      <c r="AD1214" t="s">
        <v>3460</v>
      </c>
      <c r="AE1214" t="s">
        <v>3461</v>
      </c>
      <c r="AF1214" t="s">
        <v>3460</v>
      </c>
      <c r="AG1214">
        <v>23439441003539</v>
      </c>
      <c r="AH1214" t="s">
        <v>3443</v>
      </c>
    </row>
    <row r="1215" spans="1:34" x14ac:dyDescent="0.3">
      <c r="A1215">
        <v>104</v>
      </c>
      <c r="B1215" t="s">
        <v>34</v>
      </c>
      <c r="C1215">
        <v>4</v>
      </c>
      <c r="D1215" s="1" t="s">
        <v>3468</v>
      </c>
      <c r="E1215" s="1" t="s">
        <v>36</v>
      </c>
      <c r="G1215">
        <v>446523</v>
      </c>
      <c r="H1215" t="s">
        <v>3456</v>
      </c>
      <c r="I1215" t="s">
        <v>3457</v>
      </c>
      <c r="J1215">
        <v>15</v>
      </c>
      <c r="K1215">
        <v>4875</v>
      </c>
      <c r="L1215">
        <v>95000</v>
      </c>
      <c r="M1215" t="s">
        <v>69</v>
      </c>
      <c r="N1215">
        <v>184</v>
      </c>
      <c r="O1215" s="2">
        <v>46200</v>
      </c>
      <c r="P1215" s="2">
        <v>46290</v>
      </c>
      <c r="R1215" t="s">
        <v>3469</v>
      </c>
      <c r="S1215" t="str">
        <f>""</f>
        <v/>
      </c>
      <c r="T1215" t="s">
        <v>41</v>
      </c>
      <c r="U1215">
        <v>245857.59</v>
      </c>
      <c r="V1215">
        <v>228647.56</v>
      </c>
      <c r="W1215">
        <v>228647.56</v>
      </c>
      <c r="X1215">
        <v>0</v>
      </c>
      <c r="Y1215">
        <v>0</v>
      </c>
      <c r="Z1215">
        <v>-515</v>
      </c>
      <c r="AA1215" t="s">
        <v>3470</v>
      </c>
      <c r="AD1215" t="s">
        <v>3460</v>
      </c>
      <c r="AE1215" t="s">
        <v>3461</v>
      </c>
      <c r="AF1215" t="s">
        <v>3460</v>
      </c>
      <c r="AG1215">
        <v>23439441003539</v>
      </c>
      <c r="AH1215" t="s">
        <v>3443</v>
      </c>
    </row>
    <row r="1216" spans="1:34" x14ac:dyDescent="0.3">
      <c r="A1216">
        <v>104</v>
      </c>
      <c r="B1216" t="s">
        <v>34</v>
      </c>
      <c r="C1216">
        <v>4</v>
      </c>
      <c r="D1216" s="1" t="s">
        <v>3471</v>
      </c>
      <c r="E1216" s="1" t="s">
        <v>36</v>
      </c>
      <c r="G1216">
        <v>446523</v>
      </c>
      <c r="H1216" t="s">
        <v>3456</v>
      </c>
      <c r="I1216" t="s">
        <v>3457</v>
      </c>
      <c r="J1216">
        <v>15</v>
      </c>
      <c r="K1216">
        <v>4875</v>
      </c>
      <c r="L1216">
        <v>95000</v>
      </c>
      <c r="M1216" t="s">
        <v>69</v>
      </c>
      <c r="N1216">
        <v>184</v>
      </c>
      <c r="O1216" s="2">
        <v>46234</v>
      </c>
      <c r="P1216" s="2">
        <v>46294</v>
      </c>
      <c r="R1216" t="s">
        <v>3472</v>
      </c>
      <c r="S1216" t="str">
        <f>""</f>
        <v/>
      </c>
      <c r="T1216" t="s">
        <v>41</v>
      </c>
      <c r="U1216">
        <v>155258.48000000001</v>
      </c>
      <c r="V1216">
        <v>144390.39000000001</v>
      </c>
      <c r="W1216">
        <v>144390.39000000001</v>
      </c>
      <c r="X1216">
        <v>0</v>
      </c>
      <c r="Y1216">
        <v>0</v>
      </c>
      <c r="Z1216">
        <v>-519</v>
      </c>
      <c r="AA1216" t="s">
        <v>3473</v>
      </c>
      <c r="AD1216" t="s">
        <v>3460</v>
      </c>
      <c r="AE1216" t="s">
        <v>3461</v>
      </c>
      <c r="AF1216" t="s">
        <v>3460</v>
      </c>
      <c r="AG1216">
        <v>23439441003539</v>
      </c>
      <c r="AH1216" t="s">
        <v>3443</v>
      </c>
    </row>
    <row r="1217" spans="1:34" x14ac:dyDescent="0.3">
      <c r="A1217">
        <v>104</v>
      </c>
      <c r="B1217" t="s">
        <v>34</v>
      </c>
      <c r="C1217">
        <v>4</v>
      </c>
      <c r="D1217" s="1" t="s">
        <v>3474</v>
      </c>
      <c r="E1217" s="1" t="s">
        <v>36</v>
      </c>
      <c r="G1217">
        <v>446523</v>
      </c>
      <c r="H1217" t="s">
        <v>3456</v>
      </c>
      <c r="I1217" t="s">
        <v>3457</v>
      </c>
      <c r="J1217">
        <v>15</v>
      </c>
      <c r="K1217">
        <v>4875</v>
      </c>
      <c r="L1217">
        <v>95000</v>
      </c>
      <c r="M1217" t="s">
        <v>69</v>
      </c>
      <c r="N1217">
        <v>184</v>
      </c>
      <c r="O1217" s="2">
        <v>46171</v>
      </c>
      <c r="P1217" s="2">
        <v>46259</v>
      </c>
      <c r="R1217" t="s">
        <v>3475</v>
      </c>
      <c r="S1217" t="str">
        <f>""</f>
        <v/>
      </c>
      <c r="T1217" t="s">
        <v>41</v>
      </c>
      <c r="U1217">
        <v>407966.63</v>
      </c>
      <c r="V1217">
        <v>348343.63</v>
      </c>
      <c r="W1217">
        <v>348343.63</v>
      </c>
      <c r="X1217">
        <v>0</v>
      </c>
      <c r="Y1217">
        <v>0</v>
      </c>
      <c r="Z1217">
        <v>-484</v>
      </c>
      <c r="AA1217" t="s">
        <v>3476</v>
      </c>
      <c r="AD1217" t="s">
        <v>3460</v>
      </c>
      <c r="AE1217" t="s">
        <v>3461</v>
      </c>
      <c r="AF1217" t="s">
        <v>3460</v>
      </c>
      <c r="AG1217">
        <v>23439441003539</v>
      </c>
      <c r="AH1217" t="s">
        <v>3443</v>
      </c>
    </row>
    <row r="1218" spans="1:34" x14ac:dyDescent="0.3">
      <c r="A1218">
        <v>104</v>
      </c>
      <c r="B1218" t="s">
        <v>34</v>
      </c>
      <c r="C1218">
        <v>4</v>
      </c>
      <c r="D1218" s="1" t="s">
        <v>3477</v>
      </c>
      <c r="E1218" s="1" t="s">
        <v>36</v>
      </c>
      <c r="G1218">
        <v>446523</v>
      </c>
      <c r="H1218" t="s">
        <v>3456</v>
      </c>
      <c r="I1218" t="s">
        <v>3457</v>
      </c>
      <c r="J1218">
        <v>15</v>
      </c>
      <c r="K1218">
        <v>4875</v>
      </c>
      <c r="L1218">
        <v>95000</v>
      </c>
      <c r="M1218" t="s">
        <v>69</v>
      </c>
      <c r="N1218">
        <v>184</v>
      </c>
      <c r="O1218" s="2">
        <v>46200</v>
      </c>
      <c r="P1218" s="2">
        <v>46290</v>
      </c>
      <c r="R1218" t="s">
        <v>3478</v>
      </c>
      <c r="S1218" t="str">
        <f>""</f>
        <v/>
      </c>
      <c r="T1218" t="s">
        <v>41</v>
      </c>
      <c r="U1218">
        <v>153660</v>
      </c>
      <c r="V1218">
        <v>142903.79999999999</v>
      </c>
      <c r="W1218">
        <v>142903.79999999999</v>
      </c>
      <c r="X1218">
        <v>0</v>
      </c>
      <c r="Y1218">
        <v>0</v>
      </c>
      <c r="Z1218">
        <v>-515</v>
      </c>
      <c r="AA1218" t="s">
        <v>3470</v>
      </c>
      <c r="AD1218" t="s">
        <v>3460</v>
      </c>
      <c r="AE1218" t="s">
        <v>3461</v>
      </c>
      <c r="AF1218" t="s">
        <v>3460</v>
      </c>
      <c r="AG1218">
        <v>23439441003539</v>
      </c>
      <c r="AH1218" t="s">
        <v>3443</v>
      </c>
    </row>
    <row r="1219" spans="1:34" x14ac:dyDescent="0.3">
      <c r="A1219">
        <v>104</v>
      </c>
      <c r="B1219" t="s">
        <v>34</v>
      </c>
      <c r="C1219">
        <v>4</v>
      </c>
      <c r="D1219" s="1" t="s">
        <v>3479</v>
      </c>
      <c r="E1219" s="1" t="s">
        <v>36</v>
      </c>
      <c r="G1219">
        <v>446523</v>
      </c>
      <c r="H1219" t="s">
        <v>3456</v>
      </c>
      <c r="I1219" t="s">
        <v>3457</v>
      </c>
      <c r="J1219">
        <v>15</v>
      </c>
      <c r="K1219">
        <v>4875</v>
      </c>
      <c r="L1219">
        <v>95000</v>
      </c>
      <c r="M1219" t="s">
        <v>69</v>
      </c>
      <c r="N1219">
        <v>184</v>
      </c>
      <c r="O1219" s="2">
        <v>46200</v>
      </c>
      <c r="P1219" s="2">
        <v>46290</v>
      </c>
      <c r="R1219" t="s">
        <v>3480</v>
      </c>
      <c r="S1219" t="str">
        <f>""</f>
        <v/>
      </c>
      <c r="T1219" t="s">
        <v>41</v>
      </c>
      <c r="U1219">
        <v>73680</v>
      </c>
      <c r="V1219">
        <v>68522.399999999994</v>
      </c>
      <c r="W1219">
        <v>68522.399999999994</v>
      </c>
      <c r="X1219">
        <v>0</v>
      </c>
      <c r="Y1219">
        <v>0</v>
      </c>
      <c r="Z1219">
        <v>-515</v>
      </c>
      <c r="AA1219" t="s">
        <v>3470</v>
      </c>
      <c r="AD1219" t="s">
        <v>3460</v>
      </c>
      <c r="AE1219" t="s">
        <v>3461</v>
      </c>
      <c r="AF1219" t="s">
        <v>3460</v>
      </c>
      <c r="AG1219">
        <v>23439441003539</v>
      </c>
      <c r="AH1219" t="s">
        <v>3443</v>
      </c>
    </row>
    <row r="1220" spans="1:34" x14ac:dyDescent="0.3">
      <c r="A1220">
        <v>104</v>
      </c>
      <c r="B1220" t="s">
        <v>34</v>
      </c>
      <c r="C1220">
        <v>4</v>
      </c>
      <c r="D1220" s="1" t="s">
        <v>3481</v>
      </c>
      <c r="E1220" s="1" t="s">
        <v>36</v>
      </c>
      <c r="G1220">
        <v>454929</v>
      </c>
      <c r="H1220" t="s">
        <v>3482</v>
      </c>
      <c r="I1220" t="s">
        <v>3483</v>
      </c>
      <c r="J1220">
        <v>15</v>
      </c>
      <c r="K1220">
        <v>4875</v>
      </c>
      <c r="L1220">
        <v>95000</v>
      </c>
      <c r="M1220" t="s">
        <v>69</v>
      </c>
      <c r="N1220">
        <v>184</v>
      </c>
      <c r="O1220" s="2">
        <v>46189</v>
      </c>
      <c r="P1220" s="2">
        <v>46280</v>
      </c>
      <c r="R1220" t="s">
        <v>3484</v>
      </c>
      <c r="S1220" t="str">
        <f>""</f>
        <v/>
      </c>
      <c r="T1220" t="s">
        <v>41</v>
      </c>
      <c r="U1220">
        <v>28358</v>
      </c>
      <c r="V1220">
        <v>26372.94</v>
      </c>
      <c r="W1220">
        <v>26372.94</v>
      </c>
      <c r="X1220">
        <v>0</v>
      </c>
      <c r="Y1220">
        <v>0</v>
      </c>
      <c r="Z1220">
        <v>-505</v>
      </c>
      <c r="AA1220" t="s">
        <v>3485</v>
      </c>
      <c r="AD1220" t="s">
        <v>3486</v>
      </c>
      <c r="AE1220">
        <v>91987197121</v>
      </c>
      <c r="AF1220" t="s">
        <v>3486</v>
      </c>
      <c r="AG1220">
        <v>23439441004268</v>
      </c>
      <c r="AH1220" t="s">
        <v>3024</v>
      </c>
    </row>
    <row r="1221" spans="1:34" x14ac:dyDescent="0.3">
      <c r="A1221">
        <v>104</v>
      </c>
      <c r="B1221" t="s">
        <v>34</v>
      </c>
      <c r="C1221">
        <v>4</v>
      </c>
      <c r="D1221" s="1" t="s">
        <v>3487</v>
      </c>
      <c r="E1221" s="1" t="s">
        <v>36</v>
      </c>
      <c r="G1221">
        <v>454929</v>
      </c>
      <c r="H1221" t="s">
        <v>3482</v>
      </c>
      <c r="I1221" t="s">
        <v>3483</v>
      </c>
      <c r="J1221">
        <v>15</v>
      </c>
      <c r="K1221">
        <v>4875</v>
      </c>
      <c r="L1221">
        <v>95000</v>
      </c>
      <c r="M1221" t="s">
        <v>69</v>
      </c>
      <c r="N1221">
        <v>184</v>
      </c>
      <c r="O1221" s="2">
        <v>46188</v>
      </c>
      <c r="P1221" s="2">
        <v>46280</v>
      </c>
      <c r="R1221" t="s">
        <v>3488</v>
      </c>
      <c r="S1221" t="str">
        <f>""</f>
        <v/>
      </c>
      <c r="T1221" t="s">
        <v>41</v>
      </c>
      <c r="U1221">
        <v>415329.56</v>
      </c>
      <c r="V1221">
        <v>386256.49</v>
      </c>
      <c r="W1221">
        <v>386256.49</v>
      </c>
      <c r="X1221">
        <v>0</v>
      </c>
      <c r="Y1221">
        <v>0</v>
      </c>
      <c r="Z1221">
        <v>-505</v>
      </c>
      <c r="AA1221" t="s">
        <v>3485</v>
      </c>
      <c r="AD1221" t="s">
        <v>3486</v>
      </c>
      <c r="AE1221">
        <v>91987197121</v>
      </c>
      <c r="AF1221" t="s">
        <v>3486</v>
      </c>
      <c r="AG1221">
        <v>23439441004268</v>
      </c>
      <c r="AH1221" t="s">
        <v>3024</v>
      </c>
    </row>
    <row r="1222" spans="1:34" x14ac:dyDescent="0.3">
      <c r="A1222">
        <v>104</v>
      </c>
      <c r="B1222" t="s">
        <v>34</v>
      </c>
      <c r="C1222">
        <v>4</v>
      </c>
      <c r="D1222" s="1" t="s">
        <v>3489</v>
      </c>
      <c r="E1222" s="1" t="s">
        <v>36</v>
      </c>
      <c r="G1222">
        <v>454929</v>
      </c>
      <c r="H1222" t="s">
        <v>3482</v>
      </c>
      <c r="I1222" t="s">
        <v>3483</v>
      </c>
      <c r="J1222">
        <v>15</v>
      </c>
      <c r="K1222">
        <v>4875</v>
      </c>
      <c r="L1222">
        <v>95000</v>
      </c>
      <c r="M1222" t="s">
        <v>69</v>
      </c>
      <c r="N1222">
        <v>184</v>
      </c>
      <c r="O1222" s="2">
        <v>46189</v>
      </c>
      <c r="P1222" s="2">
        <v>46280</v>
      </c>
      <c r="R1222" t="s">
        <v>3490</v>
      </c>
      <c r="S1222" t="str">
        <f>""</f>
        <v/>
      </c>
      <c r="T1222" t="s">
        <v>41</v>
      </c>
      <c r="U1222">
        <v>336605.59</v>
      </c>
      <c r="V1222">
        <v>313043.20000000001</v>
      </c>
      <c r="W1222">
        <v>313043.20000000001</v>
      </c>
      <c r="X1222">
        <v>0</v>
      </c>
      <c r="Y1222">
        <v>0</v>
      </c>
      <c r="Z1222">
        <v>-505</v>
      </c>
      <c r="AA1222" t="s">
        <v>3485</v>
      </c>
      <c r="AD1222" t="s">
        <v>3486</v>
      </c>
      <c r="AE1222">
        <v>91987197121</v>
      </c>
      <c r="AF1222" t="s">
        <v>3486</v>
      </c>
      <c r="AG1222">
        <v>23439441004268</v>
      </c>
      <c r="AH1222" t="s">
        <v>3024</v>
      </c>
    </row>
    <row r="1223" spans="1:34" x14ac:dyDescent="0.3">
      <c r="A1223">
        <v>104</v>
      </c>
      <c r="B1223" t="s">
        <v>34</v>
      </c>
      <c r="C1223">
        <v>4</v>
      </c>
      <c r="D1223" s="1" t="s">
        <v>3491</v>
      </c>
      <c r="E1223" s="1" t="s">
        <v>36</v>
      </c>
      <c r="G1223">
        <v>454929</v>
      </c>
      <c r="H1223" t="s">
        <v>3482</v>
      </c>
      <c r="I1223" t="s">
        <v>3483</v>
      </c>
      <c r="J1223">
        <v>15</v>
      </c>
      <c r="K1223">
        <v>4875</v>
      </c>
      <c r="L1223">
        <v>95000</v>
      </c>
      <c r="M1223" t="s">
        <v>69</v>
      </c>
      <c r="N1223">
        <v>184</v>
      </c>
      <c r="O1223" s="2">
        <v>46231</v>
      </c>
      <c r="P1223" s="2">
        <v>46293</v>
      </c>
      <c r="R1223" t="s">
        <v>3492</v>
      </c>
      <c r="S1223" t="str">
        <f>""</f>
        <v/>
      </c>
      <c r="T1223" t="s">
        <v>41</v>
      </c>
      <c r="U1223">
        <v>203128.16</v>
      </c>
      <c r="V1223">
        <v>188909.19</v>
      </c>
      <c r="W1223">
        <v>188909.19</v>
      </c>
      <c r="X1223">
        <v>0</v>
      </c>
      <c r="Y1223">
        <v>0</v>
      </c>
      <c r="Z1223">
        <v>-518</v>
      </c>
      <c r="AA1223" t="s">
        <v>3493</v>
      </c>
      <c r="AD1223" t="s">
        <v>3486</v>
      </c>
      <c r="AE1223">
        <v>91987197121</v>
      </c>
      <c r="AF1223" t="s">
        <v>3486</v>
      </c>
      <c r="AG1223">
        <v>23439441004268</v>
      </c>
      <c r="AH1223" t="s">
        <v>3024</v>
      </c>
    </row>
    <row r="1224" spans="1:34" x14ac:dyDescent="0.3">
      <c r="A1224">
        <v>106</v>
      </c>
      <c r="B1224" t="s">
        <v>34</v>
      </c>
      <c r="C1224">
        <v>2</v>
      </c>
      <c r="D1224" s="1" t="s">
        <v>3494</v>
      </c>
      <c r="E1224" s="1" t="s">
        <v>36</v>
      </c>
      <c r="G1224">
        <v>454929</v>
      </c>
      <c r="H1224" t="s">
        <v>3482</v>
      </c>
      <c r="I1224" t="s">
        <v>3483</v>
      </c>
      <c r="J1224">
        <v>15</v>
      </c>
      <c r="K1224">
        <v>4875</v>
      </c>
      <c r="L1224">
        <v>95000</v>
      </c>
      <c r="M1224" t="s">
        <v>69</v>
      </c>
      <c r="N1224">
        <v>184</v>
      </c>
      <c r="O1224" s="2">
        <v>46231</v>
      </c>
      <c r="P1224" s="2">
        <v>46291</v>
      </c>
      <c r="R1224" t="s">
        <v>3495</v>
      </c>
      <c r="S1224" t="str">
        <f>""</f>
        <v/>
      </c>
      <c r="T1224" t="s">
        <v>41</v>
      </c>
      <c r="U1224">
        <v>284858</v>
      </c>
      <c r="V1224">
        <v>264917.94</v>
      </c>
      <c r="W1224">
        <v>264917.94</v>
      </c>
      <c r="X1224">
        <v>0</v>
      </c>
      <c r="Y1224">
        <v>0</v>
      </c>
      <c r="Z1224">
        <v>-516</v>
      </c>
      <c r="AA1224" t="s">
        <v>3496</v>
      </c>
      <c r="AD1224" t="s">
        <v>3486</v>
      </c>
      <c r="AE1224">
        <v>91987197121</v>
      </c>
      <c r="AF1224" t="s">
        <v>3486</v>
      </c>
      <c r="AG1224">
        <v>23439441004268</v>
      </c>
      <c r="AH1224" t="s">
        <v>3024</v>
      </c>
    </row>
    <row r="1225" spans="1:34" x14ac:dyDescent="0.3">
      <c r="A1225">
        <v>106</v>
      </c>
      <c r="B1225" t="s">
        <v>34</v>
      </c>
      <c r="C1225">
        <v>2</v>
      </c>
      <c r="D1225" s="1" t="s">
        <v>3497</v>
      </c>
      <c r="E1225" s="1" t="s">
        <v>36</v>
      </c>
      <c r="G1225">
        <v>454929</v>
      </c>
      <c r="H1225" t="s">
        <v>3482</v>
      </c>
      <c r="I1225" t="s">
        <v>3483</v>
      </c>
      <c r="J1225">
        <v>15</v>
      </c>
      <c r="K1225">
        <v>4875</v>
      </c>
      <c r="L1225">
        <v>95000</v>
      </c>
      <c r="M1225" t="s">
        <v>69</v>
      </c>
      <c r="N1225">
        <v>184</v>
      </c>
      <c r="O1225" s="2">
        <v>46140</v>
      </c>
      <c r="P1225" s="2">
        <v>46272</v>
      </c>
      <c r="R1225" t="s">
        <v>3498</v>
      </c>
      <c r="S1225" t="str">
        <f>""</f>
        <v/>
      </c>
      <c r="T1225" t="s">
        <v>41</v>
      </c>
      <c r="U1225">
        <v>148720</v>
      </c>
      <c r="V1225">
        <v>138309.6</v>
      </c>
      <c r="W1225">
        <v>138309.6</v>
      </c>
      <c r="X1225">
        <v>0</v>
      </c>
      <c r="Y1225">
        <v>0</v>
      </c>
      <c r="Z1225">
        <v>-497</v>
      </c>
      <c r="AA1225" t="s">
        <v>3499</v>
      </c>
      <c r="AD1225" t="s">
        <v>3486</v>
      </c>
      <c r="AE1225">
        <v>91987197121</v>
      </c>
      <c r="AF1225" t="s">
        <v>3486</v>
      </c>
      <c r="AG1225">
        <v>23439441004268</v>
      </c>
      <c r="AH1225" t="s">
        <v>3024</v>
      </c>
    </row>
    <row r="1226" spans="1:34" x14ac:dyDescent="0.3">
      <c r="A1226">
        <v>106</v>
      </c>
      <c r="B1226" t="s">
        <v>34</v>
      </c>
      <c r="C1226">
        <v>2</v>
      </c>
      <c r="D1226" s="1" t="s">
        <v>3500</v>
      </c>
      <c r="E1226" s="1" t="s">
        <v>36</v>
      </c>
      <c r="G1226">
        <v>454929</v>
      </c>
      <c r="H1226" t="s">
        <v>3482</v>
      </c>
      <c r="I1226" t="s">
        <v>3483</v>
      </c>
      <c r="J1226">
        <v>15</v>
      </c>
      <c r="K1226">
        <v>4875</v>
      </c>
      <c r="L1226">
        <v>95000</v>
      </c>
      <c r="M1226" t="s">
        <v>69</v>
      </c>
      <c r="N1226">
        <v>184</v>
      </c>
      <c r="O1226" s="2">
        <v>46188</v>
      </c>
      <c r="P1226" s="2">
        <v>46280</v>
      </c>
      <c r="R1226" t="s">
        <v>3501</v>
      </c>
      <c r="S1226" t="str">
        <f>""</f>
        <v/>
      </c>
      <c r="T1226" t="s">
        <v>41</v>
      </c>
      <c r="U1226">
        <v>257742.29</v>
      </c>
      <c r="V1226">
        <v>215384.03</v>
      </c>
      <c r="W1226">
        <v>215384.03</v>
      </c>
      <c r="X1226">
        <v>0</v>
      </c>
      <c r="Y1226">
        <v>0</v>
      </c>
      <c r="Z1226">
        <v>-505</v>
      </c>
      <c r="AA1226" t="s">
        <v>3502</v>
      </c>
      <c r="AD1226" t="s">
        <v>3486</v>
      </c>
      <c r="AE1226">
        <v>91987197121</v>
      </c>
      <c r="AF1226" t="s">
        <v>3486</v>
      </c>
      <c r="AG1226">
        <v>23439441004268</v>
      </c>
      <c r="AH1226" t="s">
        <v>3024</v>
      </c>
    </row>
    <row r="1227" spans="1:34" x14ac:dyDescent="0.3">
      <c r="A1227">
        <v>106</v>
      </c>
      <c r="B1227" t="s">
        <v>34</v>
      </c>
      <c r="C1227">
        <v>2</v>
      </c>
      <c r="D1227" s="1" t="s">
        <v>3503</v>
      </c>
      <c r="E1227" s="1" t="s">
        <v>36</v>
      </c>
      <c r="G1227">
        <v>464355</v>
      </c>
      <c r="H1227" t="s">
        <v>3504</v>
      </c>
      <c r="I1227" t="s">
        <v>3505</v>
      </c>
      <c r="J1227">
        <v>15</v>
      </c>
      <c r="K1227">
        <v>4875</v>
      </c>
      <c r="L1227">
        <v>95000</v>
      </c>
      <c r="M1227" t="s">
        <v>69</v>
      </c>
      <c r="N1227">
        <v>184</v>
      </c>
      <c r="O1227" s="2">
        <v>46149</v>
      </c>
      <c r="P1227" s="2">
        <v>46300</v>
      </c>
      <c r="R1227" t="s">
        <v>3506</v>
      </c>
      <c r="S1227" t="str">
        <f>""</f>
        <v/>
      </c>
      <c r="T1227" t="s">
        <v>41</v>
      </c>
      <c r="U1227">
        <v>1041.97</v>
      </c>
      <c r="V1227">
        <v>1000.29</v>
      </c>
      <c r="W1227">
        <v>1000.29</v>
      </c>
      <c r="X1227">
        <v>0</v>
      </c>
      <c r="Y1227">
        <v>0</v>
      </c>
      <c r="Z1227">
        <v>-525</v>
      </c>
      <c r="AA1227" t="s">
        <v>3507</v>
      </c>
      <c r="AD1227" t="s">
        <v>3508</v>
      </c>
      <c r="AE1227" t="s">
        <v>3509</v>
      </c>
      <c r="AF1227" t="s">
        <v>3508</v>
      </c>
      <c r="AG1227" s="1" t="s">
        <v>3510</v>
      </c>
      <c r="AH1227" t="s">
        <v>87</v>
      </c>
    </row>
    <row r="1228" spans="1:34" x14ac:dyDescent="0.3">
      <c r="A1228">
        <v>104</v>
      </c>
      <c r="B1228" t="s">
        <v>34</v>
      </c>
      <c r="C1228">
        <v>4</v>
      </c>
      <c r="D1228" s="1" t="s">
        <v>3511</v>
      </c>
      <c r="E1228" s="1" t="s">
        <v>36</v>
      </c>
      <c r="G1228">
        <v>464355</v>
      </c>
      <c r="H1228" t="s">
        <v>3504</v>
      </c>
      <c r="I1228" t="s">
        <v>3505</v>
      </c>
      <c r="J1228">
        <v>15</v>
      </c>
      <c r="K1228">
        <v>4875</v>
      </c>
      <c r="L1228">
        <v>95000</v>
      </c>
      <c r="M1228" t="s">
        <v>69</v>
      </c>
      <c r="N1228">
        <v>184</v>
      </c>
      <c r="O1228" s="2">
        <v>46149</v>
      </c>
      <c r="P1228" s="2">
        <v>46300</v>
      </c>
      <c r="R1228" t="s">
        <v>3512</v>
      </c>
      <c r="S1228" t="str">
        <f>""</f>
        <v/>
      </c>
      <c r="T1228" t="s">
        <v>41</v>
      </c>
      <c r="U1228">
        <v>3827.41</v>
      </c>
      <c r="V1228">
        <v>3573.8</v>
      </c>
      <c r="W1228">
        <v>3573.8</v>
      </c>
      <c r="X1228">
        <v>0</v>
      </c>
      <c r="Y1228">
        <v>0</v>
      </c>
      <c r="Z1228">
        <v>-525</v>
      </c>
      <c r="AA1228" t="s">
        <v>3513</v>
      </c>
      <c r="AD1228" t="s">
        <v>3508</v>
      </c>
      <c r="AE1228" t="s">
        <v>3509</v>
      </c>
      <c r="AF1228" t="s">
        <v>3508</v>
      </c>
      <c r="AG1228" s="1" t="s">
        <v>3510</v>
      </c>
      <c r="AH1228" t="s">
        <v>87</v>
      </c>
    </row>
    <row r="1229" spans="1:34" x14ac:dyDescent="0.3">
      <c r="A1229">
        <v>104</v>
      </c>
      <c r="B1229" t="s">
        <v>34</v>
      </c>
      <c r="C1229">
        <v>4</v>
      </c>
      <c r="D1229" s="1" t="s">
        <v>3514</v>
      </c>
      <c r="E1229" s="1" t="s">
        <v>36</v>
      </c>
      <c r="G1229">
        <v>464844</v>
      </c>
      <c r="H1229" t="s">
        <v>3515</v>
      </c>
      <c r="I1229" t="s">
        <v>3457</v>
      </c>
      <c r="J1229">
        <v>24</v>
      </c>
      <c r="K1229">
        <v>4875</v>
      </c>
      <c r="L1229">
        <v>95000</v>
      </c>
      <c r="M1229" t="s">
        <v>69</v>
      </c>
      <c r="N1229">
        <v>184</v>
      </c>
      <c r="O1229" s="2">
        <v>46203</v>
      </c>
      <c r="P1229" s="2">
        <v>46290</v>
      </c>
      <c r="R1229" t="s">
        <v>3516</v>
      </c>
      <c r="S1229" t="str">
        <f>""</f>
        <v/>
      </c>
      <c r="T1229" t="s">
        <v>41</v>
      </c>
      <c r="U1229">
        <v>154564.96</v>
      </c>
      <c r="V1229">
        <v>143745.41</v>
      </c>
      <c r="W1229">
        <v>143745.41</v>
      </c>
      <c r="X1229">
        <v>0</v>
      </c>
      <c r="Y1229">
        <v>0</v>
      </c>
      <c r="Z1229">
        <v>-515</v>
      </c>
      <c r="AA1229" t="s">
        <v>3517</v>
      </c>
      <c r="AD1229" t="s">
        <v>3518</v>
      </c>
      <c r="AE1229" t="s">
        <v>3519</v>
      </c>
      <c r="AF1229" t="s">
        <v>3518</v>
      </c>
      <c r="AG1229">
        <v>23439441005582</v>
      </c>
      <c r="AH1229" t="s">
        <v>3520</v>
      </c>
    </row>
    <row r="1230" spans="1:34" x14ac:dyDescent="0.3">
      <c r="A1230">
        <v>106</v>
      </c>
      <c r="B1230" t="s">
        <v>34</v>
      </c>
      <c r="C1230">
        <v>2</v>
      </c>
      <c r="D1230" s="1" t="s">
        <v>3521</v>
      </c>
      <c r="E1230" s="1" t="s">
        <v>36</v>
      </c>
      <c r="G1230">
        <v>464844</v>
      </c>
      <c r="H1230" t="s">
        <v>3515</v>
      </c>
      <c r="I1230" t="s">
        <v>3457</v>
      </c>
      <c r="J1230">
        <v>24</v>
      </c>
      <c r="K1230">
        <v>4875</v>
      </c>
      <c r="L1230">
        <v>95000</v>
      </c>
      <c r="M1230" t="s">
        <v>69</v>
      </c>
      <c r="N1230">
        <v>184</v>
      </c>
      <c r="O1230" s="2">
        <v>46203</v>
      </c>
      <c r="P1230" s="2">
        <v>46290</v>
      </c>
      <c r="R1230" t="s">
        <v>3522</v>
      </c>
      <c r="S1230" t="str">
        <f>""</f>
        <v/>
      </c>
      <c r="T1230" t="s">
        <v>41</v>
      </c>
      <c r="U1230">
        <v>19552.8</v>
      </c>
      <c r="V1230">
        <v>18184.099999999999</v>
      </c>
      <c r="W1230">
        <v>18184.099999999999</v>
      </c>
      <c r="X1230">
        <v>0</v>
      </c>
      <c r="Y1230">
        <v>0</v>
      </c>
      <c r="Z1230">
        <v>-515</v>
      </c>
      <c r="AA1230" t="s">
        <v>3523</v>
      </c>
      <c r="AD1230" t="s">
        <v>3518</v>
      </c>
      <c r="AE1230" t="s">
        <v>3519</v>
      </c>
      <c r="AF1230" t="s">
        <v>3518</v>
      </c>
      <c r="AG1230">
        <v>23439441005582</v>
      </c>
      <c r="AH1230" t="s">
        <v>3520</v>
      </c>
    </row>
    <row r="1231" spans="1:34" x14ac:dyDescent="0.3">
      <c r="A1231">
        <v>106</v>
      </c>
      <c r="B1231" t="s">
        <v>34</v>
      </c>
      <c r="C1231">
        <v>2</v>
      </c>
      <c r="D1231" s="1" t="s">
        <v>3524</v>
      </c>
      <c r="E1231" s="1" t="s">
        <v>36</v>
      </c>
      <c r="G1231">
        <v>465184</v>
      </c>
      <c r="H1231" t="s">
        <v>3525</v>
      </c>
      <c r="I1231" t="s">
        <v>3457</v>
      </c>
      <c r="J1231">
        <v>15</v>
      </c>
      <c r="K1231">
        <v>4875</v>
      </c>
      <c r="L1231">
        <v>95000</v>
      </c>
      <c r="M1231" t="s">
        <v>69</v>
      </c>
      <c r="N1231">
        <v>184</v>
      </c>
      <c r="O1231" s="2">
        <v>46234</v>
      </c>
      <c r="P1231" s="2">
        <v>46294</v>
      </c>
      <c r="R1231" t="s">
        <v>3526</v>
      </c>
      <c r="S1231" t="str">
        <f>""</f>
        <v/>
      </c>
      <c r="T1231" t="s">
        <v>41</v>
      </c>
      <c r="U1231">
        <v>27789.49</v>
      </c>
      <c r="V1231">
        <v>25844.23</v>
      </c>
      <c r="W1231">
        <v>25844.23</v>
      </c>
      <c r="X1231">
        <v>0</v>
      </c>
      <c r="Y1231">
        <v>0</v>
      </c>
      <c r="Z1231">
        <v>-519</v>
      </c>
      <c r="AA1231" t="s">
        <v>3527</v>
      </c>
      <c r="AD1231" t="s">
        <v>3528</v>
      </c>
      <c r="AE1231" t="s">
        <v>3529</v>
      </c>
      <c r="AF1231" t="s">
        <v>3528</v>
      </c>
      <c r="AG1231">
        <v>23439441005078</v>
      </c>
      <c r="AH1231" t="s">
        <v>3530</v>
      </c>
    </row>
    <row r="1232" spans="1:34" x14ac:dyDescent="0.3">
      <c r="A1232">
        <v>106</v>
      </c>
      <c r="B1232" t="s">
        <v>34</v>
      </c>
      <c r="C1232">
        <v>2</v>
      </c>
      <c r="D1232" s="1" t="s">
        <v>3531</v>
      </c>
      <c r="E1232" s="1" t="s">
        <v>36</v>
      </c>
      <c r="G1232">
        <v>465184</v>
      </c>
      <c r="H1232" t="s">
        <v>3525</v>
      </c>
      <c r="I1232" t="s">
        <v>3457</v>
      </c>
      <c r="J1232">
        <v>15</v>
      </c>
      <c r="K1232">
        <v>4875</v>
      </c>
      <c r="L1232">
        <v>95000</v>
      </c>
      <c r="M1232" t="s">
        <v>69</v>
      </c>
      <c r="N1232">
        <v>184</v>
      </c>
      <c r="O1232" s="2">
        <v>46203</v>
      </c>
      <c r="P1232" s="2">
        <v>46290</v>
      </c>
      <c r="R1232" t="s">
        <v>3532</v>
      </c>
      <c r="S1232" t="str">
        <f>""</f>
        <v/>
      </c>
      <c r="T1232" t="s">
        <v>41</v>
      </c>
      <c r="U1232">
        <v>18604.8</v>
      </c>
      <c r="V1232">
        <v>17302.46</v>
      </c>
      <c r="W1232">
        <v>17302.46</v>
      </c>
      <c r="X1232">
        <v>0</v>
      </c>
      <c r="Y1232">
        <v>0</v>
      </c>
      <c r="Z1232">
        <v>-515</v>
      </c>
      <c r="AA1232" t="s">
        <v>3533</v>
      </c>
      <c r="AD1232" t="s">
        <v>3528</v>
      </c>
      <c r="AE1232" t="s">
        <v>3529</v>
      </c>
      <c r="AF1232" t="s">
        <v>3528</v>
      </c>
      <c r="AG1232">
        <v>23439441005078</v>
      </c>
      <c r="AH1232" t="s">
        <v>3530</v>
      </c>
    </row>
    <row r="1233" spans="1:34" x14ac:dyDescent="0.3">
      <c r="A1233">
        <v>106</v>
      </c>
      <c r="B1233" t="s">
        <v>34</v>
      </c>
      <c r="C1233">
        <v>2</v>
      </c>
      <c r="D1233" s="1" t="s">
        <v>3534</v>
      </c>
      <c r="E1233" s="1" t="s">
        <v>36</v>
      </c>
      <c r="G1233">
        <v>465184</v>
      </c>
      <c r="H1233" t="s">
        <v>3525</v>
      </c>
      <c r="I1233" t="s">
        <v>3457</v>
      </c>
      <c r="J1233">
        <v>15</v>
      </c>
      <c r="K1233">
        <v>4875</v>
      </c>
      <c r="L1233">
        <v>95000</v>
      </c>
      <c r="M1233" t="s">
        <v>69</v>
      </c>
      <c r="N1233">
        <v>184</v>
      </c>
      <c r="O1233" s="2">
        <v>46203</v>
      </c>
      <c r="P1233" s="2">
        <v>46290</v>
      </c>
      <c r="R1233" t="s">
        <v>3535</v>
      </c>
      <c r="S1233" t="str">
        <f>""</f>
        <v/>
      </c>
      <c r="T1233" t="s">
        <v>41</v>
      </c>
      <c r="U1233">
        <v>104904.27</v>
      </c>
      <c r="V1233">
        <v>97560.97</v>
      </c>
      <c r="W1233">
        <v>97560.97</v>
      </c>
      <c r="X1233">
        <v>0</v>
      </c>
      <c r="Y1233">
        <v>0</v>
      </c>
      <c r="Z1233">
        <v>-515</v>
      </c>
      <c r="AA1233" t="s">
        <v>3533</v>
      </c>
      <c r="AD1233" t="s">
        <v>3528</v>
      </c>
      <c r="AE1233" t="s">
        <v>3529</v>
      </c>
      <c r="AF1233" t="s">
        <v>3528</v>
      </c>
      <c r="AG1233">
        <v>23439441005078</v>
      </c>
      <c r="AH1233" t="s">
        <v>3530</v>
      </c>
    </row>
    <row r="1234" spans="1:34" x14ac:dyDescent="0.3">
      <c r="A1234">
        <v>104</v>
      </c>
      <c r="B1234" t="s">
        <v>34</v>
      </c>
      <c r="C1234">
        <v>4</v>
      </c>
      <c r="D1234" s="1" t="s">
        <v>3536</v>
      </c>
      <c r="E1234" s="1" t="s">
        <v>36</v>
      </c>
      <c r="G1234">
        <v>465184</v>
      </c>
      <c r="H1234" t="s">
        <v>3525</v>
      </c>
      <c r="I1234" t="s">
        <v>3457</v>
      </c>
      <c r="J1234">
        <v>15</v>
      </c>
      <c r="K1234">
        <v>4875</v>
      </c>
      <c r="L1234">
        <v>95000</v>
      </c>
      <c r="M1234" t="s">
        <v>69</v>
      </c>
      <c r="N1234">
        <v>184</v>
      </c>
      <c r="O1234" s="2">
        <v>46203</v>
      </c>
      <c r="P1234" s="2">
        <v>46290</v>
      </c>
      <c r="R1234" t="s">
        <v>3537</v>
      </c>
      <c r="S1234" t="str">
        <f>""</f>
        <v/>
      </c>
      <c r="T1234" t="s">
        <v>41</v>
      </c>
      <c r="U1234">
        <v>199525.14</v>
      </c>
      <c r="V1234">
        <v>185558.38</v>
      </c>
      <c r="W1234">
        <v>185558.38</v>
      </c>
      <c r="X1234">
        <v>0</v>
      </c>
      <c r="Y1234">
        <v>0</v>
      </c>
      <c r="Z1234">
        <v>-515</v>
      </c>
      <c r="AA1234" t="s">
        <v>3538</v>
      </c>
      <c r="AD1234" t="s">
        <v>3528</v>
      </c>
      <c r="AE1234" t="s">
        <v>3529</v>
      </c>
      <c r="AF1234" t="s">
        <v>3528</v>
      </c>
      <c r="AG1234">
        <v>23439441005078</v>
      </c>
      <c r="AH1234" t="s">
        <v>3530</v>
      </c>
    </row>
    <row r="1235" spans="1:34" x14ac:dyDescent="0.3">
      <c r="A1235">
        <v>104</v>
      </c>
      <c r="B1235" t="s">
        <v>34</v>
      </c>
      <c r="C1235">
        <v>4</v>
      </c>
      <c r="D1235" s="1" t="s">
        <v>3539</v>
      </c>
      <c r="E1235" s="1" t="s">
        <v>36</v>
      </c>
      <c r="G1235">
        <v>465184</v>
      </c>
      <c r="H1235" t="s">
        <v>3525</v>
      </c>
      <c r="I1235" t="s">
        <v>3457</v>
      </c>
      <c r="J1235">
        <v>15</v>
      </c>
      <c r="K1235">
        <v>4875</v>
      </c>
      <c r="L1235">
        <v>95000</v>
      </c>
      <c r="M1235" t="s">
        <v>69</v>
      </c>
      <c r="N1235">
        <v>184</v>
      </c>
      <c r="O1235" s="2">
        <v>46234</v>
      </c>
      <c r="P1235" s="2">
        <v>46294</v>
      </c>
      <c r="R1235" t="s">
        <v>3540</v>
      </c>
      <c r="S1235" t="str">
        <f>""</f>
        <v/>
      </c>
      <c r="T1235" t="s">
        <v>41</v>
      </c>
      <c r="U1235">
        <v>69197.81</v>
      </c>
      <c r="V1235">
        <v>64353.96</v>
      </c>
      <c r="W1235">
        <v>64353.96</v>
      </c>
      <c r="X1235">
        <v>0</v>
      </c>
      <c r="Y1235">
        <v>0</v>
      </c>
      <c r="Z1235">
        <v>-519</v>
      </c>
      <c r="AA1235" t="s">
        <v>3541</v>
      </c>
      <c r="AD1235" t="s">
        <v>3528</v>
      </c>
      <c r="AE1235" t="s">
        <v>3529</v>
      </c>
      <c r="AF1235" t="s">
        <v>3528</v>
      </c>
      <c r="AG1235">
        <v>23439441005078</v>
      </c>
      <c r="AH1235" t="s">
        <v>3530</v>
      </c>
    </row>
    <row r="1236" spans="1:34" x14ac:dyDescent="0.3">
      <c r="A1236">
        <v>104</v>
      </c>
      <c r="B1236" t="s">
        <v>34</v>
      </c>
      <c r="C1236">
        <v>4</v>
      </c>
      <c r="D1236" s="1" t="s">
        <v>3542</v>
      </c>
      <c r="E1236" s="1" t="s">
        <v>36</v>
      </c>
      <c r="G1236">
        <v>468505</v>
      </c>
      <c r="H1236" t="s">
        <v>3543</v>
      </c>
      <c r="I1236" t="s">
        <v>3505</v>
      </c>
      <c r="J1236">
        <v>15</v>
      </c>
      <c r="K1236">
        <v>4875</v>
      </c>
      <c r="L1236">
        <v>95080</v>
      </c>
      <c r="M1236" t="s">
        <v>83</v>
      </c>
      <c r="N1236">
        <v>184</v>
      </c>
      <c r="O1236" s="2">
        <v>46149</v>
      </c>
      <c r="P1236" s="2">
        <v>46273</v>
      </c>
      <c r="R1236" t="s">
        <v>3544</v>
      </c>
      <c r="S1236" t="str">
        <f>""</f>
        <v/>
      </c>
      <c r="T1236" t="s">
        <v>41</v>
      </c>
      <c r="U1236">
        <v>1955.77</v>
      </c>
      <c r="V1236">
        <v>1877.54</v>
      </c>
      <c r="W1236">
        <v>1877.54</v>
      </c>
      <c r="X1236">
        <v>0</v>
      </c>
      <c r="Y1236">
        <v>0</v>
      </c>
      <c r="Z1236">
        <v>-498</v>
      </c>
      <c r="AA1236" t="s">
        <v>3545</v>
      </c>
      <c r="AD1236" t="s">
        <v>3546</v>
      </c>
      <c r="AE1236" t="s">
        <v>3547</v>
      </c>
      <c r="AF1236" t="s">
        <v>3546</v>
      </c>
      <c r="AG1236" s="1" t="s">
        <v>3548</v>
      </c>
      <c r="AH1236" t="s">
        <v>2154</v>
      </c>
    </row>
    <row r="1237" spans="1:34" x14ac:dyDescent="0.3">
      <c r="A1237">
        <v>106</v>
      </c>
      <c r="B1237" t="s">
        <v>34</v>
      </c>
      <c r="C1237">
        <v>2</v>
      </c>
      <c r="D1237" s="1" t="s">
        <v>3549</v>
      </c>
      <c r="E1237" s="1" t="s">
        <v>36</v>
      </c>
      <c r="G1237">
        <v>468505</v>
      </c>
      <c r="H1237" t="s">
        <v>3543</v>
      </c>
      <c r="I1237" t="s">
        <v>3505</v>
      </c>
      <c r="J1237">
        <v>15</v>
      </c>
      <c r="K1237">
        <v>4875</v>
      </c>
      <c r="L1237">
        <v>95080</v>
      </c>
      <c r="M1237" t="s">
        <v>83</v>
      </c>
      <c r="N1237">
        <v>184</v>
      </c>
      <c r="O1237" s="2">
        <v>46149</v>
      </c>
      <c r="P1237" s="2">
        <v>46273</v>
      </c>
      <c r="R1237" t="s">
        <v>3550</v>
      </c>
      <c r="S1237" t="str">
        <f>""</f>
        <v/>
      </c>
      <c r="T1237" t="s">
        <v>41</v>
      </c>
      <c r="U1237">
        <v>492.28</v>
      </c>
      <c r="V1237">
        <v>472.59</v>
      </c>
      <c r="W1237">
        <v>472.59</v>
      </c>
      <c r="X1237">
        <v>0</v>
      </c>
      <c r="Y1237">
        <v>0</v>
      </c>
      <c r="Z1237">
        <v>-498</v>
      </c>
      <c r="AA1237" t="s">
        <v>3551</v>
      </c>
      <c r="AD1237" t="s">
        <v>3546</v>
      </c>
      <c r="AE1237" t="s">
        <v>3547</v>
      </c>
      <c r="AF1237" t="s">
        <v>3546</v>
      </c>
      <c r="AG1237" s="1" t="s">
        <v>3548</v>
      </c>
      <c r="AH1237" t="s">
        <v>2154</v>
      </c>
    </row>
    <row r="1238" spans="1:34" x14ac:dyDescent="0.3">
      <c r="A1238">
        <v>106</v>
      </c>
      <c r="B1238" t="s">
        <v>34</v>
      </c>
      <c r="C1238">
        <v>2</v>
      </c>
      <c r="D1238" s="1" t="s">
        <v>3552</v>
      </c>
      <c r="E1238" s="1" t="s">
        <v>36</v>
      </c>
      <c r="G1238">
        <v>468680</v>
      </c>
      <c r="H1238" t="s">
        <v>3553</v>
      </c>
      <c r="I1238" t="s">
        <v>3505</v>
      </c>
      <c r="J1238">
        <v>15</v>
      </c>
      <c r="K1238">
        <v>4875</v>
      </c>
      <c r="L1238">
        <v>95000</v>
      </c>
      <c r="M1238" t="s">
        <v>69</v>
      </c>
      <c r="N1238">
        <v>184</v>
      </c>
      <c r="O1238" s="2">
        <v>46149</v>
      </c>
      <c r="P1238" s="2">
        <v>46259</v>
      </c>
      <c r="R1238" t="s">
        <v>3554</v>
      </c>
      <c r="S1238" t="str">
        <f>""</f>
        <v/>
      </c>
      <c r="T1238" t="s">
        <v>41</v>
      </c>
      <c r="U1238">
        <v>738.42</v>
      </c>
      <c r="V1238">
        <v>708.88</v>
      </c>
      <c r="W1238">
        <v>708.88</v>
      </c>
      <c r="X1238">
        <v>0</v>
      </c>
      <c r="Y1238">
        <v>0</v>
      </c>
      <c r="Z1238">
        <v>-484</v>
      </c>
      <c r="AA1238" t="s">
        <v>3555</v>
      </c>
      <c r="AD1238" t="s">
        <v>3556</v>
      </c>
      <c r="AE1238" t="s">
        <v>3547</v>
      </c>
      <c r="AF1238" t="s">
        <v>3556</v>
      </c>
      <c r="AG1238" s="1" t="s">
        <v>3557</v>
      </c>
      <c r="AH1238" t="s">
        <v>87</v>
      </c>
    </row>
    <row r="1239" spans="1:34" x14ac:dyDescent="0.3">
      <c r="A1239">
        <v>104</v>
      </c>
      <c r="B1239" t="s">
        <v>34</v>
      </c>
      <c r="C1239">
        <v>4</v>
      </c>
      <c r="D1239" s="1" t="s">
        <v>3558</v>
      </c>
      <c r="E1239" s="1" t="s">
        <v>36</v>
      </c>
      <c r="G1239">
        <v>468680</v>
      </c>
      <c r="H1239" t="s">
        <v>3553</v>
      </c>
      <c r="I1239" t="s">
        <v>3505</v>
      </c>
      <c r="J1239">
        <v>15</v>
      </c>
      <c r="K1239">
        <v>4875</v>
      </c>
      <c r="L1239">
        <v>95000</v>
      </c>
      <c r="M1239" t="s">
        <v>69</v>
      </c>
      <c r="N1239">
        <v>184</v>
      </c>
      <c r="O1239" s="2">
        <v>46149</v>
      </c>
      <c r="P1239" s="2">
        <v>46259</v>
      </c>
      <c r="R1239" t="s">
        <v>3559</v>
      </c>
      <c r="S1239" t="str">
        <f>""</f>
        <v/>
      </c>
      <c r="T1239" t="s">
        <v>41</v>
      </c>
      <c r="U1239">
        <v>4409.33</v>
      </c>
      <c r="V1239">
        <v>4232.96</v>
      </c>
      <c r="W1239">
        <v>4232.96</v>
      </c>
      <c r="X1239">
        <v>0</v>
      </c>
      <c r="Y1239">
        <v>0</v>
      </c>
      <c r="Z1239">
        <v>-484</v>
      </c>
      <c r="AA1239" t="s">
        <v>3560</v>
      </c>
      <c r="AD1239" t="s">
        <v>3556</v>
      </c>
      <c r="AE1239" t="s">
        <v>3547</v>
      </c>
      <c r="AF1239" t="s">
        <v>3556</v>
      </c>
      <c r="AG1239" s="1" t="s">
        <v>3557</v>
      </c>
      <c r="AH1239" t="s">
        <v>87</v>
      </c>
    </row>
    <row r="1240" spans="1:34" x14ac:dyDescent="0.3">
      <c r="A1240">
        <v>104</v>
      </c>
      <c r="B1240" t="s">
        <v>34</v>
      </c>
      <c r="C1240">
        <v>4</v>
      </c>
      <c r="D1240" s="1" t="s">
        <v>3561</v>
      </c>
      <c r="E1240" s="1" t="s">
        <v>36</v>
      </c>
      <c r="G1240">
        <v>468681</v>
      </c>
      <c r="H1240" t="s">
        <v>3562</v>
      </c>
      <c r="I1240" t="s">
        <v>3505</v>
      </c>
      <c r="J1240">
        <v>15</v>
      </c>
      <c r="K1240">
        <v>4875</v>
      </c>
      <c r="L1240">
        <v>95000</v>
      </c>
      <c r="M1240" t="s">
        <v>69</v>
      </c>
      <c r="N1240">
        <v>184</v>
      </c>
      <c r="O1240" s="2">
        <v>46149</v>
      </c>
      <c r="P1240" s="2">
        <v>46310</v>
      </c>
      <c r="R1240" t="s">
        <v>3563</v>
      </c>
      <c r="S1240" t="str">
        <f>""</f>
        <v/>
      </c>
      <c r="T1240" t="s">
        <v>41</v>
      </c>
      <c r="U1240">
        <v>4461.99</v>
      </c>
      <c r="V1240">
        <v>4141.68</v>
      </c>
      <c r="W1240">
        <v>4141.68</v>
      </c>
      <c r="X1240">
        <v>0</v>
      </c>
      <c r="Y1240">
        <v>0</v>
      </c>
      <c r="Z1240">
        <v>-535</v>
      </c>
      <c r="AA1240" t="s">
        <v>3564</v>
      </c>
      <c r="AD1240" t="s">
        <v>3565</v>
      </c>
      <c r="AE1240" t="s">
        <v>3547</v>
      </c>
      <c r="AF1240" t="s">
        <v>3565</v>
      </c>
      <c r="AG1240" s="1" t="s">
        <v>3566</v>
      </c>
      <c r="AH1240" t="s">
        <v>87</v>
      </c>
    </row>
    <row r="1241" spans="1:34" x14ac:dyDescent="0.3">
      <c r="A1241">
        <v>106</v>
      </c>
      <c r="B1241" t="s">
        <v>34</v>
      </c>
      <c r="C1241">
        <v>2</v>
      </c>
      <c r="D1241" s="1" t="s">
        <v>3567</v>
      </c>
      <c r="E1241" s="1" t="s">
        <v>36</v>
      </c>
      <c r="G1241">
        <v>468681</v>
      </c>
      <c r="H1241" t="s">
        <v>3562</v>
      </c>
      <c r="I1241" t="s">
        <v>3505</v>
      </c>
      <c r="J1241">
        <v>15</v>
      </c>
      <c r="K1241">
        <v>4875</v>
      </c>
      <c r="L1241">
        <v>95000</v>
      </c>
      <c r="M1241" t="s">
        <v>69</v>
      </c>
      <c r="N1241">
        <v>184</v>
      </c>
      <c r="O1241" s="2">
        <v>46149</v>
      </c>
      <c r="P1241" s="2">
        <v>46310</v>
      </c>
      <c r="R1241" t="s">
        <v>3568</v>
      </c>
      <c r="S1241" t="str">
        <f>""</f>
        <v/>
      </c>
      <c r="T1241" t="s">
        <v>41</v>
      </c>
      <c r="U1241">
        <v>1408.43</v>
      </c>
      <c r="V1241">
        <v>1352.09</v>
      </c>
      <c r="W1241">
        <v>1352.09</v>
      </c>
      <c r="X1241">
        <v>0</v>
      </c>
      <c r="Y1241">
        <v>0</v>
      </c>
      <c r="Z1241">
        <v>-535</v>
      </c>
      <c r="AA1241" t="s">
        <v>3569</v>
      </c>
      <c r="AD1241" t="s">
        <v>3565</v>
      </c>
      <c r="AE1241" t="s">
        <v>3547</v>
      </c>
      <c r="AF1241" t="s">
        <v>3565</v>
      </c>
      <c r="AG1241" s="1" t="s">
        <v>3566</v>
      </c>
      <c r="AH1241" t="s">
        <v>87</v>
      </c>
    </row>
    <row r="1242" spans="1:34" x14ac:dyDescent="0.3">
      <c r="A1242">
        <v>106</v>
      </c>
      <c r="B1242" t="s">
        <v>34</v>
      </c>
      <c r="C1242">
        <v>2</v>
      </c>
      <c r="D1242" s="1" t="s">
        <v>3570</v>
      </c>
      <c r="E1242" s="1" t="s">
        <v>36</v>
      </c>
      <c r="G1242">
        <v>468951</v>
      </c>
      <c r="H1242" t="s">
        <v>3571</v>
      </c>
      <c r="I1242" t="s">
        <v>3505</v>
      </c>
      <c r="J1242">
        <v>15</v>
      </c>
      <c r="K1242">
        <v>4875</v>
      </c>
      <c r="L1242">
        <v>95000</v>
      </c>
      <c r="M1242" t="s">
        <v>69</v>
      </c>
      <c r="N1242">
        <v>184</v>
      </c>
      <c r="O1242" s="2">
        <v>46149</v>
      </c>
      <c r="P1242" s="2">
        <v>46290</v>
      </c>
      <c r="R1242" t="s">
        <v>3572</v>
      </c>
      <c r="S1242" t="str">
        <f>""</f>
        <v/>
      </c>
      <c r="T1242" t="s">
        <v>41</v>
      </c>
      <c r="U1242">
        <v>429.37</v>
      </c>
      <c r="V1242">
        <v>412.2</v>
      </c>
      <c r="W1242">
        <v>412.2</v>
      </c>
      <c r="X1242">
        <v>0</v>
      </c>
      <c r="Y1242">
        <v>0</v>
      </c>
      <c r="Z1242">
        <v>-515</v>
      </c>
      <c r="AA1242" t="s">
        <v>3573</v>
      </c>
      <c r="AD1242" t="s">
        <v>85</v>
      </c>
      <c r="AE1242" t="s">
        <v>3547</v>
      </c>
      <c r="AF1242" t="s">
        <v>85</v>
      </c>
      <c r="AG1242" s="1" t="s">
        <v>3574</v>
      </c>
      <c r="AH1242" t="s">
        <v>87</v>
      </c>
    </row>
    <row r="1243" spans="1:34" x14ac:dyDescent="0.3">
      <c r="A1243">
        <v>104</v>
      </c>
      <c r="B1243" t="s">
        <v>34</v>
      </c>
      <c r="C1243">
        <v>4</v>
      </c>
      <c r="D1243" s="1" t="s">
        <v>3575</v>
      </c>
      <c r="E1243" s="1" t="s">
        <v>36</v>
      </c>
      <c r="G1243">
        <v>468951</v>
      </c>
      <c r="H1243" t="s">
        <v>3571</v>
      </c>
      <c r="I1243" t="s">
        <v>3505</v>
      </c>
      <c r="J1243">
        <v>15</v>
      </c>
      <c r="K1243">
        <v>4875</v>
      </c>
      <c r="L1243">
        <v>95000</v>
      </c>
      <c r="M1243" t="s">
        <v>69</v>
      </c>
      <c r="N1243">
        <v>184</v>
      </c>
      <c r="O1243" s="2">
        <v>46149</v>
      </c>
      <c r="P1243" s="2">
        <v>46290</v>
      </c>
      <c r="R1243" t="s">
        <v>3576</v>
      </c>
      <c r="S1243" t="str">
        <f>""</f>
        <v/>
      </c>
      <c r="T1243" t="s">
        <v>41</v>
      </c>
      <c r="U1243">
        <v>4513.8500000000004</v>
      </c>
      <c r="V1243">
        <v>4333.3</v>
      </c>
      <c r="W1243">
        <v>4333.3</v>
      </c>
      <c r="X1243">
        <v>0</v>
      </c>
      <c r="Y1243">
        <v>0</v>
      </c>
      <c r="Z1243">
        <v>-515</v>
      </c>
      <c r="AA1243" t="s">
        <v>3577</v>
      </c>
      <c r="AD1243" t="s">
        <v>85</v>
      </c>
      <c r="AE1243" t="s">
        <v>3547</v>
      </c>
      <c r="AF1243" t="s">
        <v>85</v>
      </c>
      <c r="AG1243" s="1" t="s">
        <v>3574</v>
      </c>
      <c r="AH1243" t="s">
        <v>87</v>
      </c>
    </row>
    <row r="1244" spans="1:34" x14ac:dyDescent="0.3">
      <c r="A1244">
        <v>104</v>
      </c>
      <c r="B1244" t="s">
        <v>34</v>
      </c>
      <c r="C1244">
        <v>4</v>
      </c>
      <c r="D1244" s="1" t="s">
        <v>3578</v>
      </c>
      <c r="E1244" s="1" t="s">
        <v>36</v>
      </c>
      <c r="G1244">
        <v>470048</v>
      </c>
      <c r="H1244" t="s">
        <v>3579</v>
      </c>
      <c r="I1244" t="s">
        <v>3505</v>
      </c>
      <c r="J1244">
        <v>15</v>
      </c>
      <c r="K1244">
        <v>4875</v>
      </c>
      <c r="L1244">
        <v>95000</v>
      </c>
      <c r="M1244" t="s">
        <v>69</v>
      </c>
      <c r="N1244">
        <v>184</v>
      </c>
      <c r="O1244" s="2">
        <v>46149</v>
      </c>
      <c r="P1244" s="2">
        <v>46300</v>
      </c>
      <c r="R1244" t="s">
        <v>3580</v>
      </c>
      <c r="S1244" t="str">
        <f>""</f>
        <v/>
      </c>
      <c r="T1244" t="s">
        <v>41</v>
      </c>
      <c r="U1244">
        <v>8408.31</v>
      </c>
      <c r="V1244">
        <v>8071.98</v>
      </c>
      <c r="W1244">
        <v>8071.98</v>
      </c>
      <c r="X1244">
        <v>0</v>
      </c>
      <c r="Y1244">
        <v>0</v>
      </c>
      <c r="Z1244">
        <v>-525</v>
      </c>
      <c r="AA1244" t="s">
        <v>3581</v>
      </c>
      <c r="AD1244" t="s">
        <v>3233</v>
      </c>
      <c r="AE1244" t="s">
        <v>3547</v>
      </c>
      <c r="AF1244" t="s">
        <v>3233</v>
      </c>
      <c r="AG1244" s="1" t="s">
        <v>3582</v>
      </c>
      <c r="AH1244" t="s">
        <v>87</v>
      </c>
    </row>
    <row r="1245" spans="1:34" x14ac:dyDescent="0.3">
      <c r="A1245">
        <v>106</v>
      </c>
      <c r="B1245" t="s">
        <v>34</v>
      </c>
      <c r="C1245">
        <v>2</v>
      </c>
      <c r="D1245" s="1" t="s">
        <v>3583</v>
      </c>
      <c r="E1245" s="1" t="s">
        <v>36</v>
      </c>
      <c r="G1245">
        <v>470048</v>
      </c>
      <c r="H1245" t="s">
        <v>3579</v>
      </c>
      <c r="I1245" t="s">
        <v>3505</v>
      </c>
      <c r="J1245">
        <v>15</v>
      </c>
      <c r="K1245">
        <v>4875</v>
      </c>
      <c r="L1245">
        <v>95080</v>
      </c>
      <c r="M1245" t="s">
        <v>83</v>
      </c>
      <c r="N1245">
        <v>184</v>
      </c>
      <c r="O1245" s="2">
        <v>46149</v>
      </c>
      <c r="P1245" s="2">
        <v>46273</v>
      </c>
      <c r="R1245" t="s">
        <v>3584</v>
      </c>
      <c r="S1245" t="str">
        <f>""</f>
        <v/>
      </c>
      <c r="T1245" t="s">
        <v>41</v>
      </c>
      <c r="U1245">
        <v>858.74</v>
      </c>
      <c r="V1245">
        <v>824.39</v>
      </c>
      <c r="W1245">
        <v>824.39</v>
      </c>
      <c r="X1245">
        <v>0</v>
      </c>
      <c r="Y1245">
        <v>0</v>
      </c>
      <c r="Z1245">
        <v>-498</v>
      </c>
      <c r="AA1245" t="s">
        <v>3585</v>
      </c>
      <c r="AD1245" t="s">
        <v>3233</v>
      </c>
      <c r="AE1245" t="s">
        <v>3547</v>
      </c>
      <c r="AF1245" t="s">
        <v>3233</v>
      </c>
      <c r="AG1245" s="1" t="s">
        <v>3582</v>
      </c>
      <c r="AH1245" t="s">
        <v>87</v>
      </c>
    </row>
    <row r="1246" spans="1:34" x14ac:dyDescent="0.3">
      <c r="A1246">
        <v>101</v>
      </c>
      <c r="B1246" t="s">
        <v>34</v>
      </c>
      <c r="C1246">
        <v>2</v>
      </c>
      <c r="D1246" s="1" t="s">
        <v>3586</v>
      </c>
      <c r="E1246" s="1" t="s">
        <v>36</v>
      </c>
      <c r="G1246">
        <v>3164</v>
      </c>
      <c r="H1246" t="s">
        <v>3587</v>
      </c>
      <c r="I1246" t="s">
        <v>3588</v>
      </c>
      <c r="J1246">
        <v>12</v>
      </c>
      <c r="K1246">
        <v>3164</v>
      </c>
      <c r="L1246">
        <v>50001</v>
      </c>
      <c r="M1246" t="s">
        <v>39</v>
      </c>
      <c r="N1246">
        <v>190</v>
      </c>
      <c r="O1246" s="2">
        <v>46246</v>
      </c>
      <c r="P1246" s="2">
        <v>46301</v>
      </c>
      <c r="R1246" t="s">
        <v>3589</v>
      </c>
      <c r="S1246" t="str">
        <f>"25666160000051877"</f>
        <v>25666160000051877</v>
      </c>
      <c r="T1246" t="s">
        <v>41</v>
      </c>
      <c r="U1246">
        <v>2707.56</v>
      </c>
      <c r="V1246">
        <v>2707.56</v>
      </c>
      <c r="W1246">
        <v>2707.56</v>
      </c>
      <c r="X1246">
        <v>0</v>
      </c>
      <c r="Y1246">
        <v>0</v>
      </c>
      <c r="Z1246">
        <v>-526</v>
      </c>
      <c r="AA1246" t="s">
        <v>3590</v>
      </c>
      <c r="AD1246" t="s">
        <v>3591</v>
      </c>
      <c r="AE1246" t="s">
        <v>3592</v>
      </c>
      <c r="AF1246" t="s">
        <v>3591</v>
      </c>
      <c r="AG1246">
        <v>53512117000110</v>
      </c>
      <c r="AH1246" t="s">
        <v>44</v>
      </c>
    </row>
    <row r="1247" spans="1:34" x14ac:dyDescent="0.3">
      <c r="A1247">
        <v>101</v>
      </c>
      <c r="B1247" t="s">
        <v>34</v>
      </c>
      <c r="C1247">
        <v>2</v>
      </c>
      <c r="D1247" s="1" t="s">
        <v>3593</v>
      </c>
      <c r="E1247" s="1" t="s">
        <v>36</v>
      </c>
      <c r="G1247">
        <v>3754</v>
      </c>
      <c r="H1247" t="s">
        <v>3594</v>
      </c>
      <c r="I1247" t="s">
        <v>3595</v>
      </c>
      <c r="J1247">
        <v>12</v>
      </c>
      <c r="K1247">
        <v>3754</v>
      </c>
      <c r="L1247">
        <v>50001</v>
      </c>
      <c r="M1247" t="s">
        <v>39</v>
      </c>
      <c r="N1247">
        <v>190</v>
      </c>
      <c r="O1247" s="2">
        <v>46235</v>
      </c>
      <c r="P1247" s="2">
        <v>46270</v>
      </c>
      <c r="R1247" t="s">
        <v>3596</v>
      </c>
      <c r="S1247" t="str">
        <f>"25666160000051712"</f>
        <v>25666160000051712</v>
      </c>
      <c r="T1247" t="s">
        <v>41</v>
      </c>
      <c r="U1247">
        <v>1305.21</v>
      </c>
      <c r="V1247">
        <v>1305.21</v>
      </c>
      <c r="W1247">
        <v>1305.21</v>
      </c>
      <c r="X1247">
        <v>0</v>
      </c>
      <c r="Y1247">
        <v>0</v>
      </c>
      <c r="Z1247">
        <v>-495</v>
      </c>
      <c r="AA1247">
        <v>1851</v>
      </c>
      <c r="AD1247" t="s">
        <v>3597</v>
      </c>
      <c r="AE1247" t="s">
        <v>3598</v>
      </c>
      <c r="AF1247" t="s">
        <v>3597</v>
      </c>
      <c r="AG1247" s="1" t="s">
        <v>3599</v>
      </c>
      <c r="AH1247" t="s">
        <v>44</v>
      </c>
    </row>
    <row r="1248" spans="1:34" x14ac:dyDescent="0.3">
      <c r="A1248">
        <v>101</v>
      </c>
      <c r="B1248" t="s">
        <v>34</v>
      </c>
      <c r="C1248">
        <v>2</v>
      </c>
      <c r="D1248" s="1" t="s">
        <v>3593</v>
      </c>
      <c r="E1248" s="1" t="s">
        <v>122</v>
      </c>
      <c r="G1248">
        <v>3754</v>
      </c>
      <c r="H1248" t="s">
        <v>3594</v>
      </c>
      <c r="I1248" t="s">
        <v>3595</v>
      </c>
      <c r="J1248">
        <v>12</v>
      </c>
      <c r="K1248">
        <v>3754</v>
      </c>
      <c r="L1248">
        <v>50001</v>
      </c>
      <c r="M1248" t="s">
        <v>39</v>
      </c>
      <c r="N1248">
        <v>190</v>
      </c>
      <c r="O1248" s="2">
        <v>46235</v>
      </c>
      <c r="P1248" s="2">
        <v>46280</v>
      </c>
      <c r="R1248" t="s">
        <v>3596</v>
      </c>
      <c r="S1248" t="str">
        <f>"25666160000051713"</f>
        <v>25666160000051713</v>
      </c>
      <c r="T1248" t="s">
        <v>41</v>
      </c>
      <c r="U1248">
        <v>1281.06</v>
      </c>
      <c r="V1248">
        <v>1281.06</v>
      </c>
      <c r="W1248">
        <v>1281.06</v>
      </c>
      <c r="X1248">
        <v>0</v>
      </c>
      <c r="Y1248">
        <v>0</v>
      </c>
      <c r="Z1248">
        <v>-505</v>
      </c>
      <c r="AA1248">
        <v>1851</v>
      </c>
      <c r="AD1248" t="s">
        <v>3597</v>
      </c>
      <c r="AE1248" t="s">
        <v>3598</v>
      </c>
      <c r="AF1248" t="s">
        <v>3597</v>
      </c>
      <c r="AG1248" s="1" t="s">
        <v>3599</v>
      </c>
      <c r="AH1248" t="s">
        <v>44</v>
      </c>
    </row>
    <row r="1249" spans="1:34" x14ac:dyDescent="0.3">
      <c r="A1249">
        <v>101</v>
      </c>
      <c r="B1249" t="s">
        <v>34</v>
      </c>
      <c r="C1249">
        <v>2</v>
      </c>
      <c r="D1249" s="1" t="s">
        <v>3593</v>
      </c>
      <c r="E1249" s="1" t="s">
        <v>116</v>
      </c>
      <c r="G1249">
        <v>3754</v>
      </c>
      <c r="H1249" t="s">
        <v>3594</v>
      </c>
      <c r="I1249" t="s">
        <v>3595</v>
      </c>
      <c r="J1249">
        <v>12</v>
      </c>
      <c r="K1249">
        <v>3754</v>
      </c>
      <c r="L1249">
        <v>50001</v>
      </c>
      <c r="M1249" t="s">
        <v>39</v>
      </c>
      <c r="N1249">
        <v>190</v>
      </c>
      <c r="O1249" s="2">
        <v>46235</v>
      </c>
      <c r="P1249" s="2">
        <v>46290</v>
      </c>
      <c r="R1249" t="s">
        <v>3596</v>
      </c>
      <c r="S1249" t="str">
        <f>"25666160000051714"</f>
        <v>25666160000051714</v>
      </c>
      <c r="T1249" t="s">
        <v>41</v>
      </c>
      <c r="U1249">
        <v>1281.43</v>
      </c>
      <c r="V1249">
        <v>1281.43</v>
      </c>
      <c r="W1249">
        <v>1281.43</v>
      </c>
      <c r="X1249">
        <v>0</v>
      </c>
      <c r="Y1249">
        <v>0</v>
      </c>
      <c r="Z1249">
        <v>-515</v>
      </c>
      <c r="AA1249">
        <v>1851</v>
      </c>
      <c r="AD1249" t="s">
        <v>3597</v>
      </c>
      <c r="AE1249" t="s">
        <v>3598</v>
      </c>
      <c r="AF1249" t="s">
        <v>3597</v>
      </c>
      <c r="AG1249" s="1" t="s">
        <v>3599</v>
      </c>
      <c r="AH1249" t="s">
        <v>44</v>
      </c>
    </row>
    <row r="1250" spans="1:34" x14ac:dyDescent="0.3">
      <c r="A1250">
        <v>101</v>
      </c>
      <c r="B1250" t="s">
        <v>34</v>
      </c>
      <c r="C1250">
        <v>2</v>
      </c>
      <c r="D1250" s="1" t="s">
        <v>3600</v>
      </c>
      <c r="E1250" s="1" t="s">
        <v>36</v>
      </c>
      <c r="G1250">
        <v>3773</v>
      </c>
      <c r="H1250" t="s">
        <v>3601</v>
      </c>
      <c r="I1250" t="s">
        <v>3602</v>
      </c>
      <c r="J1250">
        <v>12</v>
      </c>
      <c r="K1250">
        <v>3773</v>
      </c>
      <c r="L1250">
        <v>50033</v>
      </c>
      <c r="M1250" t="s">
        <v>39</v>
      </c>
      <c r="N1250">
        <v>190</v>
      </c>
      <c r="O1250" s="2">
        <v>46216</v>
      </c>
      <c r="P1250" s="2">
        <v>46261</v>
      </c>
      <c r="R1250" t="s">
        <v>3603</v>
      </c>
      <c r="S1250" t="str">
        <f>"0000050409697"</f>
        <v>0000050409697</v>
      </c>
      <c r="T1250" t="s">
        <v>41</v>
      </c>
      <c r="U1250">
        <v>2602.9899999999998</v>
      </c>
      <c r="V1250">
        <v>2602.9899999999998</v>
      </c>
      <c r="W1250">
        <v>2602.9899999999998</v>
      </c>
      <c r="X1250">
        <v>0</v>
      </c>
      <c r="Y1250">
        <v>0</v>
      </c>
      <c r="Z1250">
        <v>-486</v>
      </c>
      <c r="AA1250">
        <v>1052</v>
      </c>
      <c r="AD1250" t="s">
        <v>3604</v>
      </c>
      <c r="AE1250" t="s">
        <v>3605</v>
      </c>
      <c r="AF1250" t="s">
        <v>3604</v>
      </c>
      <c r="AG1250" s="1" t="s">
        <v>3606</v>
      </c>
      <c r="AH1250" t="s">
        <v>44</v>
      </c>
    </row>
    <row r="1251" spans="1:34" x14ac:dyDescent="0.3">
      <c r="A1251">
        <v>101</v>
      </c>
      <c r="B1251" t="s">
        <v>34</v>
      </c>
      <c r="C1251">
        <v>2</v>
      </c>
      <c r="D1251" s="1" t="s">
        <v>3607</v>
      </c>
      <c r="E1251" s="1" t="s">
        <v>36</v>
      </c>
      <c r="G1251">
        <v>4103</v>
      </c>
      <c r="H1251" t="s">
        <v>3608</v>
      </c>
      <c r="I1251" t="s">
        <v>3609</v>
      </c>
      <c r="J1251">
        <v>12</v>
      </c>
      <c r="K1251">
        <v>4103</v>
      </c>
      <c r="L1251">
        <v>50033</v>
      </c>
      <c r="M1251" t="s">
        <v>39</v>
      </c>
      <c r="N1251">
        <v>190</v>
      </c>
      <c r="O1251" s="2">
        <v>46246</v>
      </c>
      <c r="P1251" s="2">
        <v>46291</v>
      </c>
      <c r="R1251" t="s">
        <v>3610</v>
      </c>
      <c r="S1251" t="str">
        <f>"0000050413406"</f>
        <v>0000050413406</v>
      </c>
      <c r="T1251" t="s">
        <v>41</v>
      </c>
      <c r="U1251">
        <v>5320.99</v>
      </c>
      <c r="V1251">
        <v>5320.99</v>
      </c>
      <c r="W1251">
        <v>5320.99</v>
      </c>
      <c r="X1251">
        <v>0</v>
      </c>
      <c r="Y1251">
        <v>0</v>
      </c>
      <c r="Z1251">
        <v>-516</v>
      </c>
      <c r="AA1251" t="s">
        <v>3611</v>
      </c>
      <c r="AD1251" t="s">
        <v>3612</v>
      </c>
      <c r="AE1251" t="s">
        <v>3613</v>
      </c>
      <c r="AF1251" t="s">
        <v>3612</v>
      </c>
      <c r="AG1251">
        <v>55643274000190</v>
      </c>
      <c r="AH1251" t="s">
        <v>44</v>
      </c>
    </row>
    <row r="1252" spans="1:34" x14ac:dyDescent="0.3">
      <c r="A1252">
        <v>101</v>
      </c>
      <c r="B1252" t="s">
        <v>34</v>
      </c>
      <c r="C1252">
        <v>2</v>
      </c>
      <c r="D1252" s="1" t="s">
        <v>3614</v>
      </c>
      <c r="E1252" s="1" t="s">
        <v>36</v>
      </c>
      <c r="G1252">
        <v>4166</v>
      </c>
      <c r="H1252" t="s">
        <v>3615</v>
      </c>
      <c r="I1252" t="s">
        <v>3616</v>
      </c>
      <c r="J1252">
        <v>12</v>
      </c>
      <c r="K1252">
        <v>4166</v>
      </c>
      <c r="L1252">
        <v>50001</v>
      </c>
      <c r="M1252" t="s">
        <v>39</v>
      </c>
      <c r="N1252">
        <v>190</v>
      </c>
      <c r="O1252" s="2">
        <v>46246</v>
      </c>
      <c r="P1252" s="2">
        <v>46286</v>
      </c>
      <c r="R1252" t="s">
        <v>3617</v>
      </c>
      <c r="S1252" t="str">
        <f>"25666160000051878"</f>
        <v>25666160000051878</v>
      </c>
      <c r="T1252" t="s">
        <v>41</v>
      </c>
      <c r="U1252">
        <v>4772.72</v>
      </c>
      <c r="V1252">
        <v>4772.72</v>
      </c>
      <c r="W1252">
        <v>4772.72</v>
      </c>
      <c r="X1252">
        <v>0</v>
      </c>
      <c r="Y1252">
        <v>0</v>
      </c>
      <c r="Z1252">
        <v>-511</v>
      </c>
      <c r="AA1252" t="s">
        <v>3618</v>
      </c>
      <c r="AD1252" t="s">
        <v>3619</v>
      </c>
      <c r="AE1252" t="s">
        <v>3620</v>
      </c>
      <c r="AF1252" t="s">
        <v>3619</v>
      </c>
      <c r="AG1252">
        <v>55237473000107</v>
      </c>
      <c r="AH1252" t="s">
        <v>44</v>
      </c>
    </row>
    <row r="1253" spans="1:34" x14ac:dyDescent="0.3">
      <c r="A1253">
        <v>101</v>
      </c>
      <c r="B1253" t="s">
        <v>34</v>
      </c>
      <c r="C1253">
        <v>2</v>
      </c>
      <c r="D1253" s="1" t="s">
        <v>3621</v>
      </c>
      <c r="E1253" s="1" t="s">
        <v>36</v>
      </c>
      <c r="G1253">
        <v>7240</v>
      </c>
      <c r="H1253" t="s">
        <v>3622</v>
      </c>
      <c r="I1253" t="s">
        <v>3623</v>
      </c>
      <c r="J1253">
        <v>12</v>
      </c>
      <c r="K1253">
        <v>7240</v>
      </c>
      <c r="L1253">
        <v>50033</v>
      </c>
      <c r="M1253" t="s">
        <v>39</v>
      </c>
      <c r="N1253">
        <v>190</v>
      </c>
      <c r="O1253" s="2">
        <v>46246</v>
      </c>
      <c r="P1253" s="2">
        <v>46291</v>
      </c>
      <c r="R1253" t="s">
        <v>3624</v>
      </c>
      <c r="S1253" t="str">
        <f>"0000050413414"</f>
        <v>0000050413414</v>
      </c>
      <c r="T1253" t="s">
        <v>41</v>
      </c>
      <c r="U1253">
        <v>17623.830000000002</v>
      </c>
      <c r="V1253">
        <v>17623.830000000002</v>
      </c>
      <c r="W1253">
        <v>17623.830000000002</v>
      </c>
      <c r="X1253">
        <v>0</v>
      </c>
      <c r="Y1253">
        <v>0</v>
      </c>
      <c r="Z1253">
        <v>-516</v>
      </c>
      <c r="AA1253" t="s">
        <v>3625</v>
      </c>
      <c r="AD1253" t="s">
        <v>3626</v>
      </c>
      <c r="AE1253" t="s">
        <v>3627</v>
      </c>
      <c r="AF1253" t="s">
        <v>3626</v>
      </c>
      <c r="AG1253">
        <v>62878046000165</v>
      </c>
      <c r="AH1253" t="s">
        <v>44</v>
      </c>
    </row>
    <row r="1254" spans="1:34" x14ac:dyDescent="0.3">
      <c r="A1254">
        <v>101</v>
      </c>
      <c r="B1254" t="s">
        <v>34</v>
      </c>
      <c r="C1254">
        <v>2</v>
      </c>
      <c r="D1254" s="1" t="s">
        <v>3628</v>
      </c>
      <c r="E1254" s="1" t="s">
        <v>122</v>
      </c>
      <c r="G1254">
        <v>435147</v>
      </c>
      <c r="H1254" t="s">
        <v>3629</v>
      </c>
      <c r="I1254" t="s">
        <v>3602</v>
      </c>
      <c r="J1254">
        <v>12</v>
      </c>
      <c r="K1254">
        <v>3773</v>
      </c>
      <c r="L1254">
        <v>50033</v>
      </c>
      <c r="M1254" t="s">
        <v>39</v>
      </c>
      <c r="N1254">
        <v>190</v>
      </c>
      <c r="O1254" s="2">
        <v>46216</v>
      </c>
      <c r="P1254" s="2">
        <v>46276</v>
      </c>
      <c r="R1254" t="s">
        <v>3630</v>
      </c>
      <c r="S1254" t="str">
        <f>"0000050409832"</f>
        <v>0000050409832</v>
      </c>
      <c r="T1254" t="s">
        <v>41</v>
      </c>
      <c r="U1254">
        <v>936.61</v>
      </c>
      <c r="V1254">
        <v>936.61</v>
      </c>
      <c r="W1254">
        <v>936.61</v>
      </c>
      <c r="X1254">
        <v>0</v>
      </c>
      <c r="Y1254">
        <v>0</v>
      </c>
      <c r="Z1254">
        <v>-501</v>
      </c>
      <c r="AA1254">
        <v>1053</v>
      </c>
      <c r="AD1254" t="s">
        <v>3604</v>
      </c>
      <c r="AE1254" t="s">
        <v>3631</v>
      </c>
      <c r="AF1254" t="s">
        <v>3604</v>
      </c>
      <c r="AG1254" s="1" t="s">
        <v>3632</v>
      </c>
      <c r="AH1254" t="s">
        <v>44</v>
      </c>
    </row>
    <row r="1255" spans="1:34" x14ac:dyDescent="0.3">
      <c r="A1255">
        <v>101</v>
      </c>
      <c r="B1255" t="s">
        <v>34</v>
      </c>
      <c r="C1255">
        <v>2</v>
      </c>
      <c r="D1255" s="1" t="s">
        <v>3628</v>
      </c>
      <c r="E1255" s="1" t="s">
        <v>36</v>
      </c>
      <c r="G1255">
        <v>435147</v>
      </c>
      <c r="H1255" t="s">
        <v>3629</v>
      </c>
      <c r="I1255" t="s">
        <v>3602</v>
      </c>
      <c r="J1255">
        <v>12</v>
      </c>
      <c r="K1255">
        <v>3773</v>
      </c>
      <c r="L1255">
        <v>50033</v>
      </c>
      <c r="M1255" t="s">
        <v>39</v>
      </c>
      <c r="N1255">
        <v>190</v>
      </c>
      <c r="O1255" s="2">
        <v>46216</v>
      </c>
      <c r="P1255" s="2">
        <v>46266</v>
      </c>
      <c r="R1255" t="s">
        <v>3630</v>
      </c>
      <c r="S1255" t="str">
        <f>"0000050409824"</f>
        <v>0000050409824</v>
      </c>
      <c r="T1255" t="s">
        <v>41</v>
      </c>
      <c r="U1255">
        <v>1051.3599999999999</v>
      </c>
      <c r="V1255">
        <v>1051.3599999999999</v>
      </c>
      <c r="W1255">
        <v>1051.3599999999999</v>
      </c>
      <c r="X1255">
        <v>0</v>
      </c>
      <c r="Y1255">
        <v>0</v>
      </c>
      <c r="Z1255">
        <v>-491</v>
      </c>
      <c r="AA1255">
        <v>1053</v>
      </c>
      <c r="AD1255" t="s">
        <v>3604</v>
      </c>
      <c r="AE1255" t="s">
        <v>3631</v>
      </c>
      <c r="AF1255" t="s">
        <v>3604</v>
      </c>
      <c r="AG1255" s="1" t="s">
        <v>3632</v>
      </c>
      <c r="AH1255" t="s">
        <v>44</v>
      </c>
    </row>
    <row r="1256" spans="1:34" x14ac:dyDescent="0.3">
      <c r="A1256">
        <v>101</v>
      </c>
      <c r="B1256" t="s">
        <v>34</v>
      </c>
      <c r="C1256">
        <v>2</v>
      </c>
      <c r="D1256" s="1" t="s">
        <v>3633</v>
      </c>
      <c r="E1256" s="1" t="s">
        <v>122</v>
      </c>
      <c r="G1256">
        <v>438828</v>
      </c>
      <c r="H1256" t="s">
        <v>3634</v>
      </c>
      <c r="I1256" t="s">
        <v>3635</v>
      </c>
      <c r="J1256">
        <v>12</v>
      </c>
      <c r="K1256">
        <v>438828</v>
      </c>
      <c r="L1256">
        <v>50001</v>
      </c>
      <c r="M1256" t="s">
        <v>39</v>
      </c>
      <c r="N1256">
        <v>190</v>
      </c>
      <c r="O1256" s="2">
        <v>46254</v>
      </c>
      <c r="P1256" s="2">
        <v>46304</v>
      </c>
      <c r="R1256" t="s">
        <v>3636</v>
      </c>
      <c r="S1256" t="str">
        <f>"25666160000051964"</f>
        <v>25666160000051964</v>
      </c>
      <c r="T1256" t="s">
        <v>41</v>
      </c>
      <c r="U1256">
        <v>68.23</v>
      </c>
      <c r="V1256">
        <v>68.23</v>
      </c>
      <c r="W1256">
        <v>68.23</v>
      </c>
      <c r="X1256">
        <v>0</v>
      </c>
      <c r="Y1256">
        <v>0</v>
      </c>
      <c r="Z1256">
        <v>-529</v>
      </c>
      <c r="AA1256">
        <v>4582</v>
      </c>
      <c r="AD1256" t="s">
        <v>3637</v>
      </c>
      <c r="AE1256">
        <v>1932247692</v>
      </c>
      <c r="AF1256" t="s">
        <v>3637</v>
      </c>
      <c r="AG1256">
        <v>11191654000751</v>
      </c>
      <c r="AH1256" t="s">
        <v>44</v>
      </c>
    </row>
    <row r="1257" spans="1:34" x14ac:dyDescent="0.3">
      <c r="A1257">
        <v>101</v>
      </c>
      <c r="B1257" t="s">
        <v>34</v>
      </c>
      <c r="C1257">
        <v>2</v>
      </c>
      <c r="D1257" s="1" t="s">
        <v>3633</v>
      </c>
      <c r="E1257" s="1" t="s">
        <v>36</v>
      </c>
      <c r="G1257">
        <v>438828</v>
      </c>
      <c r="H1257" t="s">
        <v>3634</v>
      </c>
      <c r="I1257" t="s">
        <v>3635</v>
      </c>
      <c r="J1257">
        <v>12</v>
      </c>
      <c r="K1257">
        <v>438828</v>
      </c>
      <c r="L1257">
        <v>50001</v>
      </c>
      <c r="M1257" t="s">
        <v>39</v>
      </c>
      <c r="N1257">
        <v>190</v>
      </c>
      <c r="O1257" s="2">
        <v>46254</v>
      </c>
      <c r="P1257" s="2">
        <v>46299</v>
      </c>
      <c r="R1257" t="s">
        <v>3636</v>
      </c>
      <c r="S1257" t="str">
        <f>"25666160000051963"</f>
        <v>25666160000051963</v>
      </c>
      <c r="T1257" t="s">
        <v>41</v>
      </c>
      <c r="U1257">
        <v>88.19</v>
      </c>
      <c r="V1257">
        <v>88.19</v>
      </c>
      <c r="W1257">
        <v>88.19</v>
      </c>
      <c r="X1257">
        <v>0</v>
      </c>
      <c r="Y1257">
        <v>0</v>
      </c>
      <c r="Z1257">
        <v>-524</v>
      </c>
      <c r="AA1257">
        <v>4582</v>
      </c>
      <c r="AD1257" t="s">
        <v>3637</v>
      </c>
      <c r="AE1257">
        <v>1932247692</v>
      </c>
      <c r="AF1257" t="s">
        <v>3637</v>
      </c>
      <c r="AG1257">
        <v>11191654000751</v>
      </c>
      <c r="AH1257" t="s">
        <v>44</v>
      </c>
    </row>
    <row r="1258" spans="1:34" x14ac:dyDescent="0.3">
      <c r="A1258">
        <v>101</v>
      </c>
      <c r="B1258" t="s">
        <v>34</v>
      </c>
      <c r="C1258">
        <v>2</v>
      </c>
      <c r="D1258" s="1" t="s">
        <v>3633</v>
      </c>
      <c r="E1258" s="1" t="s">
        <v>116</v>
      </c>
      <c r="G1258">
        <v>438828</v>
      </c>
      <c r="H1258" t="s">
        <v>3634</v>
      </c>
      <c r="I1258" t="s">
        <v>3635</v>
      </c>
      <c r="J1258">
        <v>12</v>
      </c>
      <c r="K1258">
        <v>438828</v>
      </c>
      <c r="L1258">
        <v>50001</v>
      </c>
      <c r="M1258" t="s">
        <v>39</v>
      </c>
      <c r="N1258">
        <v>190</v>
      </c>
      <c r="O1258" s="2">
        <v>46254</v>
      </c>
      <c r="P1258" s="2">
        <v>46314</v>
      </c>
      <c r="R1258" t="s">
        <v>3636</v>
      </c>
      <c r="S1258" t="str">
        <f>"25666160000051965"</f>
        <v>25666160000051965</v>
      </c>
      <c r="T1258" t="s">
        <v>41</v>
      </c>
      <c r="U1258">
        <v>68.239999999999995</v>
      </c>
      <c r="V1258">
        <v>68.239999999999995</v>
      </c>
      <c r="W1258">
        <v>68.239999999999995</v>
      </c>
      <c r="X1258">
        <v>0</v>
      </c>
      <c r="Y1258">
        <v>0</v>
      </c>
      <c r="Z1258">
        <v>-539</v>
      </c>
      <c r="AA1258">
        <v>4582</v>
      </c>
      <c r="AD1258" t="s">
        <v>3637</v>
      </c>
      <c r="AE1258">
        <v>1932247692</v>
      </c>
      <c r="AF1258" t="s">
        <v>3637</v>
      </c>
      <c r="AG1258">
        <v>11191654000751</v>
      </c>
      <c r="AH1258" t="s">
        <v>44</v>
      </c>
    </row>
    <row r="1259" spans="1:34" x14ac:dyDescent="0.3">
      <c r="A1259">
        <v>101</v>
      </c>
      <c r="B1259" t="s">
        <v>34</v>
      </c>
      <c r="C1259">
        <v>2</v>
      </c>
      <c r="D1259" s="1" t="s">
        <v>3638</v>
      </c>
      <c r="E1259" s="1" t="s">
        <v>36</v>
      </c>
      <c r="G1259">
        <v>438828</v>
      </c>
      <c r="H1259" t="s">
        <v>3634</v>
      </c>
      <c r="I1259" t="s">
        <v>3635</v>
      </c>
      <c r="J1259">
        <v>12</v>
      </c>
      <c r="K1259">
        <v>438828</v>
      </c>
      <c r="L1259">
        <v>50001</v>
      </c>
      <c r="M1259" t="s">
        <v>39</v>
      </c>
      <c r="N1259">
        <v>190</v>
      </c>
      <c r="O1259" s="2">
        <v>46254</v>
      </c>
      <c r="P1259" s="2">
        <v>46299</v>
      </c>
      <c r="R1259" t="s">
        <v>3639</v>
      </c>
      <c r="S1259" t="str">
        <f>"25666160000051966"</f>
        <v>25666160000051966</v>
      </c>
      <c r="T1259" t="s">
        <v>41</v>
      </c>
      <c r="U1259">
        <v>1083.5899999999999</v>
      </c>
      <c r="V1259">
        <v>1083.5899999999999</v>
      </c>
      <c r="W1259">
        <v>1083.5899999999999</v>
      </c>
      <c r="X1259">
        <v>0</v>
      </c>
      <c r="Y1259">
        <v>0</v>
      </c>
      <c r="Z1259">
        <v>-524</v>
      </c>
      <c r="AA1259">
        <v>4582</v>
      </c>
      <c r="AD1259" t="s">
        <v>3637</v>
      </c>
      <c r="AE1259">
        <v>1932247692</v>
      </c>
      <c r="AF1259" t="s">
        <v>3637</v>
      </c>
      <c r="AG1259">
        <v>11191654000751</v>
      </c>
      <c r="AH1259" t="s">
        <v>44</v>
      </c>
    </row>
    <row r="1260" spans="1:34" x14ac:dyDescent="0.3">
      <c r="A1260">
        <v>101</v>
      </c>
      <c r="B1260" t="s">
        <v>34</v>
      </c>
      <c r="C1260">
        <v>2</v>
      </c>
      <c r="D1260" s="1" t="s">
        <v>3638</v>
      </c>
      <c r="E1260" s="1" t="s">
        <v>122</v>
      </c>
      <c r="G1260">
        <v>438828</v>
      </c>
      <c r="H1260" t="s">
        <v>3634</v>
      </c>
      <c r="I1260" t="s">
        <v>3635</v>
      </c>
      <c r="J1260">
        <v>12</v>
      </c>
      <c r="K1260">
        <v>438828</v>
      </c>
      <c r="L1260">
        <v>50001</v>
      </c>
      <c r="M1260" t="s">
        <v>39</v>
      </c>
      <c r="N1260">
        <v>190</v>
      </c>
      <c r="O1260" s="2">
        <v>46254</v>
      </c>
      <c r="P1260" s="2">
        <v>46304</v>
      </c>
      <c r="R1260" t="s">
        <v>3639</v>
      </c>
      <c r="S1260" t="str">
        <f>"25666160000051967"</f>
        <v>25666160000051967</v>
      </c>
      <c r="T1260" t="s">
        <v>41</v>
      </c>
      <c r="U1260">
        <v>1019.22</v>
      </c>
      <c r="V1260">
        <v>1019.22</v>
      </c>
      <c r="W1260">
        <v>1019.22</v>
      </c>
      <c r="X1260">
        <v>0</v>
      </c>
      <c r="Y1260">
        <v>0</v>
      </c>
      <c r="Z1260">
        <v>-529</v>
      </c>
      <c r="AA1260">
        <v>4582</v>
      </c>
      <c r="AD1260" t="s">
        <v>3637</v>
      </c>
      <c r="AE1260">
        <v>1932247692</v>
      </c>
      <c r="AF1260" t="s">
        <v>3637</v>
      </c>
      <c r="AG1260">
        <v>11191654000751</v>
      </c>
      <c r="AH1260" t="s">
        <v>44</v>
      </c>
    </row>
    <row r="1261" spans="1:34" x14ac:dyDescent="0.3">
      <c r="A1261">
        <v>101</v>
      </c>
      <c r="B1261" t="s">
        <v>34</v>
      </c>
      <c r="C1261">
        <v>2</v>
      </c>
      <c r="D1261" s="1" t="s">
        <v>3638</v>
      </c>
      <c r="E1261" s="1" t="s">
        <v>116</v>
      </c>
      <c r="G1261">
        <v>438828</v>
      </c>
      <c r="H1261" t="s">
        <v>3634</v>
      </c>
      <c r="I1261" t="s">
        <v>3635</v>
      </c>
      <c r="J1261">
        <v>12</v>
      </c>
      <c r="K1261">
        <v>438828</v>
      </c>
      <c r="L1261">
        <v>50001</v>
      </c>
      <c r="M1261" t="s">
        <v>39</v>
      </c>
      <c r="N1261">
        <v>190</v>
      </c>
      <c r="O1261" s="2">
        <v>46254</v>
      </c>
      <c r="P1261" s="2">
        <v>46314</v>
      </c>
      <c r="R1261" t="s">
        <v>3639</v>
      </c>
      <c r="S1261" t="str">
        <f>"25666160000051968"</f>
        <v>25666160000051968</v>
      </c>
      <c r="T1261" t="s">
        <v>41</v>
      </c>
      <c r="U1261">
        <v>1019.52</v>
      </c>
      <c r="V1261">
        <v>1019.52</v>
      </c>
      <c r="W1261">
        <v>1019.52</v>
      </c>
      <c r="X1261">
        <v>0</v>
      </c>
      <c r="Y1261">
        <v>0</v>
      </c>
      <c r="Z1261">
        <v>-539</v>
      </c>
      <c r="AA1261">
        <v>4582</v>
      </c>
      <c r="AD1261" t="s">
        <v>3637</v>
      </c>
      <c r="AE1261">
        <v>1932247692</v>
      </c>
      <c r="AF1261" t="s">
        <v>3637</v>
      </c>
      <c r="AG1261">
        <v>11191654000751</v>
      </c>
      <c r="AH1261" t="s">
        <v>44</v>
      </c>
    </row>
    <row r="1262" spans="1:34" x14ac:dyDescent="0.3">
      <c r="A1262">
        <v>101</v>
      </c>
      <c r="B1262" t="s">
        <v>34</v>
      </c>
      <c r="C1262">
        <v>2</v>
      </c>
      <c r="D1262" s="1" t="s">
        <v>3640</v>
      </c>
      <c r="E1262" s="1" t="s">
        <v>122</v>
      </c>
      <c r="G1262">
        <v>467959</v>
      </c>
      <c r="H1262" t="s">
        <v>3641</v>
      </c>
      <c r="I1262" t="s">
        <v>3642</v>
      </c>
      <c r="J1262">
        <v>12</v>
      </c>
      <c r="K1262">
        <v>467959</v>
      </c>
      <c r="L1262">
        <v>50237</v>
      </c>
      <c r="M1262" t="s">
        <v>39</v>
      </c>
      <c r="N1262">
        <v>190</v>
      </c>
      <c r="O1262" s="2">
        <v>46233</v>
      </c>
      <c r="P1262" s="2">
        <v>46273</v>
      </c>
      <c r="R1262" t="s">
        <v>3643</v>
      </c>
      <c r="S1262" t="str">
        <f>"330000051740"</f>
        <v>330000051740</v>
      </c>
      <c r="T1262" t="s">
        <v>41</v>
      </c>
      <c r="U1262">
        <v>1317.46</v>
      </c>
      <c r="V1262">
        <v>1317.46</v>
      </c>
      <c r="W1262">
        <v>1317.46</v>
      </c>
      <c r="X1262">
        <v>0</v>
      </c>
      <c r="Y1262">
        <v>0</v>
      </c>
      <c r="Z1262">
        <v>-498</v>
      </c>
      <c r="AA1262">
        <v>1850</v>
      </c>
      <c r="AD1262" t="s">
        <v>3644</v>
      </c>
      <c r="AE1262" t="s">
        <v>3645</v>
      </c>
      <c r="AF1262" t="s">
        <v>3644</v>
      </c>
      <c r="AG1262">
        <v>14993677000182</v>
      </c>
      <c r="AH1262" t="s">
        <v>44</v>
      </c>
    </row>
    <row r="1263" spans="1:34" x14ac:dyDescent="0.3">
      <c r="A1263">
        <v>101</v>
      </c>
      <c r="B1263" t="s">
        <v>34</v>
      </c>
      <c r="C1263">
        <v>2</v>
      </c>
      <c r="D1263" s="1" t="s">
        <v>3640</v>
      </c>
      <c r="E1263" s="1" t="s">
        <v>36</v>
      </c>
      <c r="G1263">
        <v>467959</v>
      </c>
      <c r="H1263" t="s">
        <v>3641</v>
      </c>
      <c r="I1263" t="s">
        <v>3642</v>
      </c>
      <c r="J1263">
        <v>12</v>
      </c>
      <c r="K1263">
        <v>467959</v>
      </c>
      <c r="L1263">
        <v>50237</v>
      </c>
      <c r="M1263" t="s">
        <v>39</v>
      </c>
      <c r="N1263">
        <v>190</v>
      </c>
      <c r="O1263" s="2">
        <v>46233</v>
      </c>
      <c r="P1263" s="2">
        <v>46263</v>
      </c>
      <c r="R1263" t="s">
        <v>3643</v>
      </c>
      <c r="S1263" t="str">
        <f>"330000051732"</f>
        <v>330000051732</v>
      </c>
      <c r="T1263" t="s">
        <v>41</v>
      </c>
      <c r="U1263">
        <v>1317.46</v>
      </c>
      <c r="V1263">
        <v>1317.46</v>
      </c>
      <c r="W1263">
        <v>1317.46</v>
      </c>
      <c r="X1263">
        <v>0</v>
      </c>
      <c r="Y1263">
        <v>0</v>
      </c>
      <c r="Z1263">
        <v>-488</v>
      </c>
      <c r="AA1263">
        <v>1850</v>
      </c>
      <c r="AD1263" t="s">
        <v>3644</v>
      </c>
      <c r="AE1263" t="s">
        <v>3645</v>
      </c>
      <c r="AF1263" t="s">
        <v>3644</v>
      </c>
      <c r="AG1263">
        <v>14993677000182</v>
      </c>
      <c r="AH1263" t="s">
        <v>44</v>
      </c>
    </row>
    <row r="1264" spans="1:34" x14ac:dyDescent="0.3">
      <c r="A1264">
        <v>101</v>
      </c>
      <c r="B1264" t="s">
        <v>34</v>
      </c>
      <c r="C1264">
        <v>2</v>
      </c>
      <c r="D1264" s="1" t="s">
        <v>3646</v>
      </c>
      <c r="E1264" s="1" t="s">
        <v>122</v>
      </c>
      <c r="G1264">
        <v>469510</v>
      </c>
      <c r="H1264" t="s">
        <v>3647</v>
      </c>
      <c r="I1264" t="s">
        <v>3648</v>
      </c>
      <c r="J1264">
        <v>12</v>
      </c>
      <c r="K1264">
        <v>469510</v>
      </c>
      <c r="L1264">
        <v>50237</v>
      </c>
      <c r="M1264" t="s">
        <v>39</v>
      </c>
      <c r="N1264">
        <v>190</v>
      </c>
      <c r="O1264" s="2">
        <v>46226</v>
      </c>
      <c r="P1264" s="2">
        <v>46266</v>
      </c>
      <c r="R1264" t="s">
        <v>3649</v>
      </c>
      <c r="S1264" t="str">
        <f>"33000005166P"</f>
        <v>33000005166P</v>
      </c>
      <c r="T1264" t="s">
        <v>41</v>
      </c>
      <c r="U1264">
        <v>3151.88</v>
      </c>
      <c r="V1264">
        <v>3151.88</v>
      </c>
      <c r="W1264">
        <v>3151.88</v>
      </c>
      <c r="X1264">
        <v>0</v>
      </c>
      <c r="Y1264">
        <v>0</v>
      </c>
      <c r="Z1264">
        <v>-491</v>
      </c>
      <c r="AA1264">
        <v>1632</v>
      </c>
      <c r="AD1264" t="s">
        <v>3604</v>
      </c>
      <c r="AE1264" t="s">
        <v>3650</v>
      </c>
      <c r="AF1264" t="s">
        <v>3604</v>
      </c>
      <c r="AG1264">
        <v>47523531000122</v>
      </c>
      <c r="AH1264" t="s">
        <v>44</v>
      </c>
    </row>
    <row r="1265" spans="1:34" x14ac:dyDescent="0.3">
      <c r="A1265">
        <v>101</v>
      </c>
      <c r="B1265" t="s">
        <v>34</v>
      </c>
      <c r="C1265">
        <v>2</v>
      </c>
      <c r="D1265" s="1" t="s">
        <v>3651</v>
      </c>
      <c r="E1265" s="1" t="s">
        <v>36</v>
      </c>
      <c r="G1265">
        <v>999000187</v>
      </c>
      <c r="H1265" t="s">
        <v>3652</v>
      </c>
      <c r="I1265" t="s">
        <v>3588</v>
      </c>
      <c r="J1265">
        <v>12</v>
      </c>
      <c r="K1265">
        <v>3164</v>
      </c>
      <c r="L1265">
        <v>50001</v>
      </c>
      <c r="M1265" t="s">
        <v>39</v>
      </c>
      <c r="N1265">
        <v>190</v>
      </c>
      <c r="O1265" s="2">
        <v>46246</v>
      </c>
      <c r="P1265" s="2">
        <v>46301</v>
      </c>
      <c r="R1265" t="s">
        <v>3653</v>
      </c>
      <c r="S1265" t="str">
        <f>"25666160000051879"</f>
        <v>25666160000051879</v>
      </c>
      <c r="T1265" t="s">
        <v>41</v>
      </c>
      <c r="U1265">
        <v>1864.54</v>
      </c>
      <c r="V1265">
        <v>1864.54</v>
      </c>
      <c r="W1265">
        <v>1864.54</v>
      </c>
      <c r="X1265">
        <v>0</v>
      </c>
      <c r="Y1265">
        <v>0</v>
      </c>
      <c r="Z1265">
        <v>-526</v>
      </c>
      <c r="AA1265" t="s">
        <v>3654</v>
      </c>
      <c r="AD1265" t="s">
        <v>3591</v>
      </c>
      <c r="AE1265" t="s">
        <v>3655</v>
      </c>
      <c r="AF1265" t="s">
        <v>3591</v>
      </c>
      <c r="AG1265">
        <v>53512117000200</v>
      </c>
      <c r="AH1265" t="s">
        <v>44</v>
      </c>
    </row>
    <row r="1266" spans="1:34" x14ac:dyDescent="0.3">
      <c r="A1266">
        <v>101</v>
      </c>
      <c r="B1266" t="s">
        <v>34</v>
      </c>
      <c r="C1266">
        <v>2</v>
      </c>
      <c r="D1266" s="1" t="s">
        <v>3656</v>
      </c>
      <c r="E1266" s="1" t="s">
        <v>36</v>
      </c>
      <c r="G1266">
        <v>999000253</v>
      </c>
      <c r="H1266" t="s">
        <v>3657</v>
      </c>
      <c r="I1266" t="s">
        <v>3658</v>
      </c>
      <c r="J1266">
        <v>12</v>
      </c>
      <c r="K1266">
        <v>999000253</v>
      </c>
      <c r="L1266">
        <v>50001</v>
      </c>
      <c r="M1266" t="s">
        <v>39</v>
      </c>
      <c r="N1266">
        <v>190</v>
      </c>
      <c r="O1266" s="2">
        <v>46254</v>
      </c>
      <c r="P1266" s="2">
        <v>46282</v>
      </c>
      <c r="R1266" t="s">
        <v>3659</v>
      </c>
      <c r="S1266" t="str">
        <f>"25666160000051980"</f>
        <v>25666160000051980</v>
      </c>
      <c r="T1266" t="s">
        <v>41</v>
      </c>
      <c r="U1266">
        <v>1826.95</v>
      </c>
      <c r="V1266">
        <v>1826.95</v>
      </c>
      <c r="W1266">
        <v>1826.95</v>
      </c>
      <c r="X1266">
        <v>0</v>
      </c>
      <c r="Y1266">
        <v>0</v>
      </c>
      <c r="Z1266">
        <v>-507</v>
      </c>
      <c r="AA1266">
        <v>4638</v>
      </c>
      <c r="AD1266" t="s">
        <v>3660</v>
      </c>
      <c r="AE1266">
        <v>1835291133</v>
      </c>
      <c r="AF1266" t="s">
        <v>3660</v>
      </c>
      <c r="AG1266" s="1" t="s">
        <v>3661</v>
      </c>
      <c r="AH1266" t="s">
        <v>44</v>
      </c>
    </row>
    <row r="1267" spans="1:34" x14ac:dyDescent="0.3">
      <c r="A1267">
        <v>101</v>
      </c>
      <c r="B1267" t="s">
        <v>34</v>
      </c>
      <c r="C1267">
        <v>2</v>
      </c>
      <c r="D1267" s="1" t="s">
        <v>3662</v>
      </c>
      <c r="E1267" s="1" t="s">
        <v>36</v>
      </c>
      <c r="G1267">
        <v>999000310</v>
      </c>
      <c r="H1267" t="s">
        <v>3663</v>
      </c>
      <c r="I1267" t="s">
        <v>3664</v>
      </c>
      <c r="J1267">
        <v>10</v>
      </c>
      <c r="K1267">
        <v>999000310</v>
      </c>
      <c r="L1267">
        <v>50001</v>
      </c>
      <c r="M1267" t="s">
        <v>39</v>
      </c>
      <c r="N1267">
        <v>190</v>
      </c>
      <c r="O1267" s="2">
        <v>46246</v>
      </c>
      <c r="P1267" s="2">
        <v>46301</v>
      </c>
      <c r="R1267" t="s">
        <v>3665</v>
      </c>
      <c r="S1267" t="str">
        <f>"25666160000051880"</f>
        <v>25666160000051880</v>
      </c>
      <c r="T1267" t="s">
        <v>41</v>
      </c>
      <c r="U1267">
        <v>4287.38</v>
      </c>
      <c r="V1267">
        <v>4287.38</v>
      </c>
      <c r="W1267">
        <v>4287.38</v>
      </c>
      <c r="X1267">
        <v>0</v>
      </c>
      <c r="Y1267">
        <v>0</v>
      </c>
      <c r="Z1267">
        <v>-526</v>
      </c>
      <c r="AA1267" t="s">
        <v>3666</v>
      </c>
      <c r="AD1267" t="s">
        <v>3667</v>
      </c>
      <c r="AE1267" t="s">
        <v>3668</v>
      </c>
      <c r="AF1267" t="s">
        <v>3667</v>
      </c>
      <c r="AG1267" s="1" t="s">
        <v>3669</v>
      </c>
      <c r="AH1267" t="s">
        <v>44</v>
      </c>
    </row>
    <row r="1268" spans="1:34" x14ac:dyDescent="0.3">
      <c r="A1268">
        <v>101</v>
      </c>
      <c r="B1268" t="s">
        <v>34</v>
      </c>
      <c r="C1268">
        <v>2</v>
      </c>
      <c r="D1268" s="1" t="s">
        <v>3670</v>
      </c>
      <c r="E1268" s="1" t="s">
        <v>116</v>
      </c>
      <c r="G1268">
        <v>999000475</v>
      </c>
      <c r="H1268" t="s">
        <v>3671</v>
      </c>
      <c r="I1268" t="s">
        <v>3672</v>
      </c>
      <c r="J1268">
        <v>12</v>
      </c>
      <c r="K1268">
        <v>999000475</v>
      </c>
      <c r="L1268">
        <v>50001</v>
      </c>
      <c r="M1268" t="s">
        <v>39</v>
      </c>
      <c r="N1268">
        <v>190</v>
      </c>
      <c r="O1268" s="2">
        <v>46223</v>
      </c>
      <c r="P1268" s="2">
        <v>46258</v>
      </c>
      <c r="R1268" t="s">
        <v>3673</v>
      </c>
      <c r="S1268" t="str">
        <f>"25666160000051657"</f>
        <v>25666160000051657</v>
      </c>
      <c r="T1268" t="s">
        <v>41</v>
      </c>
      <c r="U1268">
        <v>1942.33</v>
      </c>
      <c r="V1268">
        <v>1942.33</v>
      </c>
      <c r="W1268">
        <v>1942.33</v>
      </c>
      <c r="X1268">
        <v>0</v>
      </c>
      <c r="Y1268">
        <v>0</v>
      </c>
      <c r="Z1268">
        <v>-483</v>
      </c>
      <c r="AA1268">
        <v>1289</v>
      </c>
      <c r="AD1268" t="s">
        <v>3604</v>
      </c>
      <c r="AE1268" t="s">
        <v>3674</v>
      </c>
      <c r="AF1268" t="s">
        <v>3604</v>
      </c>
      <c r="AG1268" s="1" t="s">
        <v>3675</v>
      </c>
      <c r="AH1268" t="s">
        <v>44</v>
      </c>
    </row>
    <row r="1269" spans="1:34" x14ac:dyDescent="0.3">
      <c r="A1269">
        <v>101</v>
      </c>
      <c r="B1269" t="s">
        <v>34</v>
      </c>
      <c r="C1269">
        <v>2</v>
      </c>
      <c r="D1269" s="1" t="s">
        <v>3676</v>
      </c>
      <c r="E1269" s="1" t="s">
        <v>36</v>
      </c>
      <c r="G1269">
        <v>999002163</v>
      </c>
      <c r="H1269" t="s">
        <v>3677</v>
      </c>
      <c r="I1269" t="s">
        <v>3678</v>
      </c>
      <c r="J1269">
        <v>12</v>
      </c>
      <c r="K1269">
        <v>3013</v>
      </c>
      <c r="L1269">
        <v>50001</v>
      </c>
      <c r="M1269" t="s">
        <v>39</v>
      </c>
      <c r="N1269">
        <v>190</v>
      </c>
      <c r="O1269" s="2">
        <v>46240</v>
      </c>
      <c r="P1269" s="2">
        <v>46295</v>
      </c>
      <c r="R1269" t="s">
        <v>3679</v>
      </c>
      <c r="S1269" t="str">
        <f>"25666160000051820"</f>
        <v>25666160000051820</v>
      </c>
      <c r="T1269" t="s">
        <v>41</v>
      </c>
      <c r="U1269">
        <v>5150.08</v>
      </c>
      <c r="V1269">
        <v>5150.08</v>
      </c>
      <c r="W1269">
        <v>5150.08</v>
      </c>
      <c r="X1269">
        <v>0</v>
      </c>
      <c r="Y1269">
        <v>0</v>
      </c>
      <c r="Z1269">
        <v>-520</v>
      </c>
      <c r="AA1269" t="s">
        <v>3680</v>
      </c>
      <c r="AD1269" t="s">
        <v>3681</v>
      </c>
      <c r="AE1269" t="s">
        <v>3682</v>
      </c>
      <c r="AF1269" t="s">
        <v>3681</v>
      </c>
      <c r="AG1269" s="1" t="s">
        <v>3683</v>
      </c>
      <c r="AH1269" t="s">
        <v>44</v>
      </c>
    </row>
    <row r="1270" spans="1:34" x14ac:dyDescent="0.3">
      <c r="A1270">
        <v>101</v>
      </c>
      <c r="B1270" t="s">
        <v>34</v>
      </c>
      <c r="C1270">
        <v>2</v>
      </c>
      <c r="D1270" s="1" t="s">
        <v>3684</v>
      </c>
      <c r="E1270" s="1" t="s">
        <v>36</v>
      </c>
      <c r="G1270">
        <v>999002555</v>
      </c>
      <c r="H1270" t="s">
        <v>3685</v>
      </c>
      <c r="I1270" t="s">
        <v>3686</v>
      </c>
      <c r="J1270">
        <v>12</v>
      </c>
      <c r="K1270">
        <v>999002555</v>
      </c>
      <c r="L1270">
        <v>50001</v>
      </c>
      <c r="M1270" t="s">
        <v>39</v>
      </c>
      <c r="N1270">
        <v>190</v>
      </c>
      <c r="O1270" s="2">
        <v>46246</v>
      </c>
      <c r="P1270" s="2">
        <v>46291</v>
      </c>
      <c r="R1270" t="s">
        <v>3687</v>
      </c>
      <c r="S1270" t="str">
        <f>"25666160000051881"</f>
        <v>25666160000051881</v>
      </c>
      <c r="T1270" t="s">
        <v>41</v>
      </c>
      <c r="U1270">
        <v>3521.45</v>
      </c>
      <c r="V1270">
        <v>3521.45</v>
      </c>
      <c r="W1270">
        <v>3521.45</v>
      </c>
      <c r="X1270">
        <v>0</v>
      </c>
      <c r="Y1270">
        <v>0</v>
      </c>
      <c r="Z1270">
        <v>-516</v>
      </c>
      <c r="AA1270" t="s">
        <v>3688</v>
      </c>
      <c r="AD1270" t="s">
        <v>3689</v>
      </c>
      <c r="AE1270" t="s">
        <v>3690</v>
      </c>
      <c r="AF1270" t="s">
        <v>3689</v>
      </c>
      <c r="AG1270" s="1" t="s">
        <v>3691</v>
      </c>
      <c r="AH1270" t="s">
        <v>44</v>
      </c>
    </row>
    <row r="1271" spans="1:34" x14ac:dyDescent="0.3">
      <c r="A1271">
        <v>101</v>
      </c>
      <c r="B1271" t="s">
        <v>34</v>
      </c>
      <c r="C1271">
        <v>2</v>
      </c>
      <c r="D1271" s="1" t="s">
        <v>3692</v>
      </c>
      <c r="E1271" s="1" t="s">
        <v>122</v>
      </c>
      <c r="G1271">
        <v>2722</v>
      </c>
      <c r="H1271" t="s">
        <v>3693</v>
      </c>
      <c r="I1271" t="s">
        <v>3694</v>
      </c>
      <c r="J1271">
        <v>12</v>
      </c>
      <c r="K1271">
        <v>2722</v>
      </c>
      <c r="L1271">
        <v>50001</v>
      </c>
      <c r="M1271" t="s">
        <v>39</v>
      </c>
      <c r="N1271">
        <v>236</v>
      </c>
      <c r="O1271" s="2">
        <v>46235</v>
      </c>
      <c r="P1271" s="2">
        <v>46282</v>
      </c>
      <c r="R1271" t="s">
        <v>3695</v>
      </c>
      <c r="S1271" t="str">
        <f>"25666160000051711"</f>
        <v>25666160000051711</v>
      </c>
      <c r="T1271" t="s">
        <v>41</v>
      </c>
      <c r="U1271">
        <v>1762.61</v>
      </c>
      <c r="V1271">
        <v>1762.61</v>
      </c>
      <c r="W1271">
        <v>1762.61</v>
      </c>
      <c r="X1271">
        <v>0</v>
      </c>
      <c r="Y1271">
        <v>0</v>
      </c>
      <c r="Z1271">
        <v>-507</v>
      </c>
      <c r="AA1271">
        <v>1908</v>
      </c>
      <c r="AD1271" t="s">
        <v>3696</v>
      </c>
      <c r="AE1271" t="s">
        <v>3697</v>
      </c>
      <c r="AF1271" t="s">
        <v>3696</v>
      </c>
      <c r="AG1271">
        <v>11015015000140</v>
      </c>
      <c r="AH1271" t="s">
        <v>3698</v>
      </c>
    </row>
    <row r="1272" spans="1:34" x14ac:dyDescent="0.3">
      <c r="A1272">
        <v>101</v>
      </c>
      <c r="B1272" t="s">
        <v>34</v>
      </c>
      <c r="C1272">
        <v>2</v>
      </c>
      <c r="D1272" s="1" t="s">
        <v>3692</v>
      </c>
      <c r="E1272" s="1" t="s">
        <v>36</v>
      </c>
      <c r="G1272">
        <v>2722</v>
      </c>
      <c r="H1272" t="s">
        <v>3693</v>
      </c>
      <c r="I1272" t="s">
        <v>3694</v>
      </c>
      <c r="J1272">
        <v>12</v>
      </c>
      <c r="K1272">
        <v>2722</v>
      </c>
      <c r="L1272">
        <v>50001</v>
      </c>
      <c r="M1272" t="s">
        <v>39</v>
      </c>
      <c r="N1272">
        <v>236</v>
      </c>
      <c r="O1272" s="2">
        <v>46235</v>
      </c>
      <c r="P1272" s="2">
        <v>46267</v>
      </c>
      <c r="R1272" t="s">
        <v>3695</v>
      </c>
      <c r="S1272" t="str">
        <f>"25666160000051710"</f>
        <v>25666160000051710</v>
      </c>
      <c r="T1272" t="s">
        <v>41</v>
      </c>
      <c r="U1272">
        <v>1801.47</v>
      </c>
      <c r="V1272">
        <v>1801.47</v>
      </c>
      <c r="W1272">
        <v>1801.47</v>
      </c>
      <c r="X1272">
        <v>0</v>
      </c>
      <c r="Y1272">
        <v>0</v>
      </c>
      <c r="Z1272">
        <v>-492</v>
      </c>
      <c r="AA1272">
        <v>1908</v>
      </c>
      <c r="AD1272" t="s">
        <v>3696</v>
      </c>
      <c r="AE1272" t="s">
        <v>3697</v>
      </c>
      <c r="AF1272" t="s">
        <v>3696</v>
      </c>
      <c r="AG1272">
        <v>11015015000140</v>
      </c>
      <c r="AH1272" t="s">
        <v>3698</v>
      </c>
    </row>
    <row r="1273" spans="1:34" x14ac:dyDescent="0.3">
      <c r="A1273">
        <v>101</v>
      </c>
      <c r="B1273" t="s">
        <v>34</v>
      </c>
      <c r="C1273">
        <v>2</v>
      </c>
      <c r="D1273" s="1" t="s">
        <v>3699</v>
      </c>
      <c r="E1273" s="1" t="s">
        <v>122</v>
      </c>
      <c r="G1273">
        <v>3609</v>
      </c>
      <c r="H1273" t="s">
        <v>3700</v>
      </c>
      <c r="I1273" t="s">
        <v>3701</v>
      </c>
      <c r="J1273">
        <v>12</v>
      </c>
      <c r="K1273">
        <v>3609</v>
      </c>
      <c r="L1273">
        <v>50001</v>
      </c>
      <c r="M1273" t="s">
        <v>39</v>
      </c>
      <c r="N1273">
        <v>236</v>
      </c>
      <c r="O1273" s="2">
        <v>46226</v>
      </c>
      <c r="P1273" s="2">
        <v>46268</v>
      </c>
      <c r="R1273" t="s">
        <v>3702</v>
      </c>
      <c r="S1273" t="str">
        <f>"25666160000051561"</f>
        <v>25666160000051561</v>
      </c>
      <c r="T1273" t="s">
        <v>41</v>
      </c>
      <c r="U1273">
        <v>3384.58</v>
      </c>
      <c r="V1273">
        <v>3384.58</v>
      </c>
      <c r="W1273">
        <v>3384.58</v>
      </c>
      <c r="X1273">
        <v>0</v>
      </c>
      <c r="Y1273">
        <v>0</v>
      </c>
      <c r="Z1273">
        <v>-493</v>
      </c>
      <c r="AA1273">
        <v>1671</v>
      </c>
      <c r="AD1273" t="s">
        <v>3703</v>
      </c>
      <c r="AE1273" t="s">
        <v>3704</v>
      </c>
      <c r="AF1273" t="s">
        <v>3703</v>
      </c>
      <c r="AG1273">
        <v>10734089000173</v>
      </c>
      <c r="AH1273" t="s">
        <v>3698</v>
      </c>
    </row>
    <row r="1274" spans="1:34" x14ac:dyDescent="0.3">
      <c r="A1274">
        <v>101</v>
      </c>
      <c r="B1274" t="s">
        <v>34</v>
      </c>
      <c r="C1274">
        <v>2</v>
      </c>
      <c r="D1274" s="1" t="s">
        <v>3699</v>
      </c>
      <c r="E1274" s="1" t="s">
        <v>36</v>
      </c>
      <c r="G1274">
        <v>3609</v>
      </c>
      <c r="H1274" t="s">
        <v>3700</v>
      </c>
      <c r="I1274" t="s">
        <v>3701</v>
      </c>
      <c r="J1274">
        <v>12</v>
      </c>
      <c r="K1274">
        <v>3609</v>
      </c>
      <c r="L1274">
        <v>50001</v>
      </c>
      <c r="M1274" t="s">
        <v>39</v>
      </c>
      <c r="N1274">
        <v>236</v>
      </c>
      <c r="O1274" s="2">
        <v>46226</v>
      </c>
      <c r="P1274" s="2">
        <v>46261</v>
      </c>
      <c r="R1274" t="s">
        <v>3702</v>
      </c>
      <c r="S1274" t="str">
        <f>"25666160000051560"</f>
        <v>25666160000051560</v>
      </c>
      <c r="T1274" t="s">
        <v>41</v>
      </c>
      <c r="U1274">
        <v>4064.1</v>
      </c>
      <c r="V1274">
        <v>4064.1</v>
      </c>
      <c r="W1274">
        <v>4064.1</v>
      </c>
      <c r="X1274">
        <v>0</v>
      </c>
      <c r="Y1274">
        <v>0</v>
      </c>
      <c r="Z1274">
        <v>-486</v>
      </c>
      <c r="AA1274">
        <v>1671</v>
      </c>
      <c r="AD1274" t="s">
        <v>3703</v>
      </c>
      <c r="AE1274" t="s">
        <v>3704</v>
      </c>
      <c r="AF1274" t="s">
        <v>3703</v>
      </c>
      <c r="AG1274">
        <v>10734089000173</v>
      </c>
      <c r="AH1274" t="s">
        <v>3698</v>
      </c>
    </row>
    <row r="1275" spans="1:34" x14ac:dyDescent="0.3">
      <c r="A1275">
        <v>101</v>
      </c>
      <c r="B1275" t="s">
        <v>34</v>
      </c>
      <c r="C1275">
        <v>2</v>
      </c>
      <c r="D1275" s="1" t="s">
        <v>3705</v>
      </c>
      <c r="E1275" s="1" t="s">
        <v>36</v>
      </c>
      <c r="G1275">
        <v>6173</v>
      </c>
      <c r="H1275" t="s">
        <v>3706</v>
      </c>
      <c r="I1275" t="s">
        <v>3707</v>
      </c>
      <c r="J1275">
        <v>12</v>
      </c>
      <c r="K1275">
        <v>739</v>
      </c>
      <c r="L1275">
        <v>50033</v>
      </c>
      <c r="M1275" t="s">
        <v>39</v>
      </c>
      <c r="N1275">
        <v>236</v>
      </c>
      <c r="O1275" s="2">
        <v>46227</v>
      </c>
      <c r="P1275" s="2">
        <v>46276</v>
      </c>
      <c r="R1275" t="s">
        <v>3708</v>
      </c>
      <c r="S1275" t="str">
        <f>"0000050410784"</f>
        <v>0000050410784</v>
      </c>
      <c r="T1275" t="s">
        <v>41</v>
      </c>
      <c r="U1275">
        <v>5274.1</v>
      </c>
      <c r="V1275">
        <v>5274.1</v>
      </c>
      <c r="W1275">
        <v>5274.1</v>
      </c>
      <c r="X1275">
        <v>0</v>
      </c>
      <c r="Y1275">
        <v>0</v>
      </c>
      <c r="Z1275">
        <v>-501</v>
      </c>
      <c r="AA1275">
        <v>1678</v>
      </c>
      <c r="AD1275" t="s">
        <v>3696</v>
      </c>
      <c r="AE1275" t="s">
        <v>3709</v>
      </c>
      <c r="AF1275" t="s">
        <v>3696</v>
      </c>
      <c r="AG1275" s="1" t="s">
        <v>3710</v>
      </c>
      <c r="AH1275" t="s">
        <v>3698</v>
      </c>
    </row>
    <row r="1276" spans="1:34" x14ac:dyDescent="0.3">
      <c r="A1276">
        <v>101</v>
      </c>
      <c r="B1276" t="s">
        <v>34</v>
      </c>
      <c r="C1276">
        <v>2</v>
      </c>
      <c r="D1276" s="1" t="s">
        <v>3711</v>
      </c>
      <c r="E1276" s="1" t="s">
        <v>122</v>
      </c>
      <c r="G1276">
        <v>8452</v>
      </c>
      <c r="H1276" t="s">
        <v>3712</v>
      </c>
      <c r="I1276" t="s">
        <v>3713</v>
      </c>
      <c r="J1276">
        <v>12</v>
      </c>
      <c r="K1276">
        <v>8452</v>
      </c>
      <c r="L1276">
        <v>50033</v>
      </c>
      <c r="M1276" t="s">
        <v>39</v>
      </c>
      <c r="N1276">
        <v>236</v>
      </c>
      <c r="O1276" s="2">
        <v>46252</v>
      </c>
      <c r="P1276" s="2">
        <v>46297</v>
      </c>
      <c r="R1276" t="s">
        <v>3714</v>
      </c>
      <c r="S1276" t="str">
        <f>"0000050413813"</f>
        <v>0000050413813</v>
      </c>
      <c r="T1276" t="s">
        <v>41</v>
      </c>
      <c r="U1276">
        <v>2021.43</v>
      </c>
      <c r="V1276">
        <v>2021.43</v>
      </c>
      <c r="W1276">
        <v>2021.43</v>
      </c>
      <c r="X1276">
        <v>0</v>
      </c>
      <c r="Y1276">
        <v>0</v>
      </c>
      <c r="Z1276">
        <v>-522</v>
      </c>
      <c r="AA1276">
        <v>4763</v>
      </c>
      <c r="AD1276" t="s">
        <v>3715</v>
      </c>
      <c r="AE1276" t="s">
        <v>3716</v>
      </c>
      <c r="AF1276" t="s">
        <v>3715</v>
      </c>
      <c r="AG1276" s="1" t="s">
        <v>3717</v>
      </c>
      <c r="AH1276" t="s">
        <v>3698</v>
      </c>
    </row>
    <row r="1277" spans="1:34" x14ac:dyDescent="0.3">
      <c r="A1277">
        <v>101</v>
      </c>
      <c r="B1277" t="s">
        <v>34</v>
      </c>
      <c r="C1277">
        <v>2</v>
      </c>
      <c r="D1277" s="1" t="s">
        <v>3711</v>
      </c>
      <c r="E1277" s="1" t="s">
        <v>36</v>
      </c>
      <c r="G1277">
        <v>8452</v>
      </c>
      <c r="H1277" t="s">
        <v>3712</v>
      </c>
      <c r="I1277" t="s">
        <v>3713</v>
      </c>
      <c r="J1277">
        <v>12</v>
      </c>
      <c r="K1277">
        <v>8452</v>
      </c>
      <c r="L1277">
        <v>50033</v>
      </c>
      <c r="M1277" t="s">
        <v>39</v>
      </c>
      <c r="N1277">
        <v>236</v>
      </c>
      <c r="O1277" s="2">
        <v>46252</v>
      </c>
      <c r="P1277" s="2">
        <v>46282</v>
      </c>
      <c r="R1277" t="s">
        <v>3714</v>
      </c>
      <c r="S1277" t="str">
        <f>"0000050413805"</f>
        <v>0000050413805</v>
      </c>
      <c r="T1277" t="s">
        <v>41</v>
      </c>
      <c r="U1277">
        <v>2053.4899999999998</v>
      </c>
      <c r="V1277">
        <v>2053.4899999999998</v>
      </c>
      <c r="W1277">
        <v>2053.4899999999998</v>
      </c>
      <c r="X1277">
        <v>0</v>
      </c>
      <c r="Y1277">
        <v>0</v>
      </c>
      <c r="Z1277">
        <v>-507</v>
      </c>
      <c r="AA1277">
        <v>4763</v>
      </c>
      <c r="AD1277" t="s">
        <v>3715</v>
      </c>
      <c r="AE1277" t="s">
        <v>3716</v>
      </c>
      <c r="AF1277" t="s">
        <v>3715</v>
      </c>
      <c r="AG1277" s="1" t="s">
        <v>3717</v>
      </c>
      <c r="AH1277" t="s">
        <v>3698</v>
      </c>
    </row>
    <row r="1278" spans="1:34" x14ac:dyDescent="0.3">
      <c r="A1278">
        <v>101</v>
      </c>
      <c r="B1278" t="s">
        <v>34</v>
      </c>
      <c r="C1278">
        <v>2</v>
      </c>
      <c r="D1278" s="1" t="s">
        <v>3718</v>
      </c>
      <c r="E1278" s="1" t="s">
        <v>122</v>
      </c>
      <c r="G1278">
        <v>12057</v>
      </c>
      <c r="H1278" t="s">
        <v>3719</v>
      </c>
      <c r="I1278" t="s">
        <v>3720</v>
      </c>
      <c r="J1278">
        <v>12</v>
      </c>
      <c r="K1278">
        <v>12057</v>
      </c>
      <c r="L1278">
        <v>50033</v>
      </c>
      <c r="M1278" t="s">
        <v>39</v>
      </c>
      <c r="N1278">
        <v>236</v>
      </c>
      <c r="O1278" s="2">
        <v>46252</v>
      </c>
      <c r="P1278" s="2">
        <v>46297</v>
      </c>
      <c r="R1278" t="s">
        <v>3721</v>
      </c>
      <c r="S1278" t="str">
        <f>"0000050413848"</f>
        <v>0000050413848</v>
      </c>
      <c r="T1278" t="s">
        <v>41</v>
      </c>
      <c r="U1278">
        <v>1628.73</v>
      </c>
      <c r="V1278">
        <v>1628.73</v>
      </c>
      <c r="W1278">
        <v>1628.73</v>
      </c>
      <c r="X1278">
        <v>0</v>
      </c>
      <c r="Y1278">
        <v>0</v>
      </c>
      <c r="Z1278">
        <v>-522</v>
      </c>
      <c r="AA1278">
        <v>4767</v>
      </c>
      <c r="AD1278" t="s">
        <v>3722</v>
      </c>
      <c r="AE1278" t="s">
        <v>3723</v>
      </c>
      <c r="AF1278" t="s">
        <v>3722</v>
      </c>
      <c r="AG1278">
        <v>10774640000102</v>
      </c>
      <c r="AH1278" t="s">
        <v>3698</v>
      </c>
    </row>
    <row r="1279" spans="1:34" x14ac:dyDescent="0.3">
      <c r="A1279">
        <v>101</v>
      </c>
      <c r="B1279" t="s">
        <v>34</v>
      </c>
      <c r="C1279">
        <v>2</v>
      </c>
      <c r="D1279" s="1" t="s">
        <v>3718</v>
      </c>
      <c r="E1279" s="1" t="s">
        <v>36</v>
      </c>
      <c r="G1279">
        <v>12057</v>
      </c>
      <c r="H1279" t="s">
        <v>3719</v>
      </c>
      <c r="I1279" t="s">
        <v>3720</v>
      </c>
      <c r="J1279">
        <v>12</v>
      </c>
      <c r="K1279">
        <v>12057</v>
      </c>
      <c r="L1279">
        <v>50033</v>
      </c>
      <c r="M1279" t="s">
        <v>39</v>
      </c>
      <c r="N1279">
        <v>236</v>
      </c>
      <c r="O1279" s="2">
        <v>46252</v>
      </c>
      <c r="P1279" s="2">
        <v>46287</v>
      </c>
      <c r="R1279" t="s">
        <v>3721</v>
      </c>
      <c r="S1279" t="str">
        <f>"0000050413830"</f>
        <v>0000050413830</v>
      </c>
      <c r="T1279" t="s">
        <v>41</v>
      </c>
      <c r="U1279">
        <v>1664.74</v>
      </c>
      <c r="V1279">
        <v>1664.74</v>
      </c>
      <c r="W1279">
        <v>1664.74</v>
      </c>
      <c r="X1279">
        <v>0</v>
      </c>
      <c r="Y1279">
        <v>0</v>
      </c>
      <c r="Z1279">
        <v>-512</v>
      </c>
      <c r="AA1279">
        <v>4767</v>
      </c>
      <c r="AD1279" t="s">
        <v>3722</v>
      </c>
      <c r="AE1279" t="s">
        <v>3723</v>
      </c>
      <c r="AF1279" t="s">
        <v>3722</v>
      </c>
      <c r="AG1279">
        <v>10774640000102</v>
      </c>
      <c r="AH1279" t="s">
        <v>3698</v>
      </c>
    </row>
    <row r="1280" spans="1:34" x14ac:dyDescent="0.3">
      <c r="A1280">
        <v>101</v>
      </c>
      <c r="B1280" t="s">
        <v>34</v>
      </c>
      <c r="C1280">
        <v>2</v>
      </c>
      <c r="D1280" s="1" t="s">
        <v>3724</v>
      </c>
      <c r="E1280" s="1" t="s">
        <v>36</v>
      </c>
      <c r="G1280">
        <v>12657</v>
      </c>
      <c r="H1280" t="s">
        <v>3725</v>
      </c>
      <c r="I1280" t="s">
        <v>3726</v>
      </c>
      <c r="J1280">
        <v>12</v>
      </c>
      <c r="K1280">
        <v>50076</v>
      </c>
      <c r="L1280">
        <v>50033</v>
      </c>
      <c r="M1280" t="s">
        <v>39</v>
      </c>
      <c r="N1280">
        <v>236</v>
      </c>
      <c r="O1280" s="2">
        <v>46226</v>
      </c>
      <c r="P1280" s="2">
        <v>46256</v>
      </c>
      <c r="R1280" t="s">
        <v>3727</v>
      </c>
      <c r="S1280" t="str">
        <f>"0000050410601"</f>
        <v>0000050410601</v>
      </c>
      <c r="T1280" t="s">
        <v>41</v>
      </c>
      <c r="U1280">
        <v>4442.6000000000004</v>
      </c>
      <c r="V1280">
        <v>4442.6000000000004</v>
      </c>
      <c r="W1280">
        <v>4442.6000000000004</v>
      </c>
      <c r="X1280">
        <v>0</v>
      </c>
      <c r="Y1280">
        <v>0</v>
      </c>
      <c r="Z1280">
        <v>-481</v>
      </c>
      <c r="AA1280">
        <v>1670</v>
      </c>
      <c r="AD1280" t="s">
        <v>3703</v>
      </c>
      <c r="AE1280" t="s">
        <v>3728</v>
      </c>
      <c r="AF1280" t="s">
        <v>3703</v>
      </c>
      <c r="AG1280">
        <v>12759046000178</v>
      </c>
      <c r="AH1280" t="s">
        <v>3698</v>
      </c>
    </row>
    <row r="1281" spans="1:34" x14ac:dyDescent="0.3">
      <c r="A1281">
        <v>101</v>
      </c>
      <c r="B1281" t="s">
        <v>34</v>
      </c>
      <c r="C1281">
        <v>2</v>
      </c>
      <c r="D1281" s="1" t="s">
        <v>3729</v>
      </c>
      <c r="E1281" s="1" t="s">
        <v>36</v>
      </c>
      <c r="G1281">
        <v>434415</v>
      </c>
      <c r="H1281" t="s">
        <v>3730</v>
      </c>
      <c r="I1281" t="s">
        <v>3731</v>
      </c>
      <c r="J1281">
        <v>12</v>
      </c>
      <c r="K1281">
        <v>434415</v>
      </c>
      <c r="L1281">
        <v>50033</v>
      </c>
      <c r="M1281" t="s">
        <v>39</v>
      </c>
      <c r="N1281">
        <v>236</v>
      </c>
      <c r="O1281" s="2">
        <v>46227</v>
      </c>
      <c r="P1281" s="2">
        <v>46267</v>
      </c>
      <c r="R1281" t="s">
        <v>3732</v>
      </c>
      <c r="S1281" t="str">
        <f>"0000050410822"</f>
        <v>0000050410822</v>
      </c>
      <c r="T1281" t="s">
        <v>41</v>
      </c>
      <c r="U1281">
        <v>2164.5300000000002</v>
      </c>
      <c r="V1281">
        <v>2164.5300000000002</v>
      </c>
      <c r="W1281">
        <v>2164.5300000000002</v>
      </c>
      <c r="X1281">
        <v>0</v>
      </c>
      <c r="Y1281">
        <v>0</v>
      </c>
      <c r="Z1281">
        <v>-492</v>
      </c>
      <c r="AA1281">
        <v>1724</v>
      </c>
      <c r="AD1281" t="s">
        <v>3733</v>
      </c>
      <c r="AE1281">
        <v>2424556688</v>
      </c>
      <c r="AF1281" t="s">
        <v>3733</v>
      </c>
      <c r="AG1281">
        <v>19406654000300</v>
      </c>
      <c r="AH1281" t="s">
        <v>3698</v>
      </c>
    </row>
    <row r="1282" spans="1:34" x14ac:dyDescent="0.3">
      <c r="A1282">
        <v>101</v>
      </c>
      <c r="B1282" t="s">
        <v>34</v>
      </c>
      <c r="C1282">
        <v>2</v>
      </c>
      <c r="D1282" s="1" t="s">
        <v>3734</v>
      </c>
      <c r="E1282" s="1" t="s">
        <v>122</v>
      </c>
      <c r="G1282">
        <v>436777</v>
      </c>
      <c r="H1282" t="s">
        <v>3735</v>
      </c>
      <c r="I1282" t="s">
        <v>3736</v>
      </c>
      <c r="J1282">
        <v>12</v>
      </c>
      <c r="K1282">
        <v>436777</v>
      </c>
      <c r="L1282">
        <v>50001</v>
      </c>
      <c r="M1282" t="s">
        <v>39</v>
      </c>
      <c r="N1282">
        <v>236</v>
      </c>
      <c r="O1282" s="2">
        <v>46224</v>
      </c>
      <c r="P1282" s="2">
        <v>46269</v>
      </c>
      <c r="R1282" t="s">
        <v>3737</v>
      </c>
      <c r="S1282" t="str">
        <f>"25666160000051503"</f>
        <v>25666160000051503</v>
      </c>
      <c r="T1282" t="s">
        <v>41</v>
      </c>
      <c r="U1282">
        <v>3477.18</v>
      </c>
      <c r="V1282">
        <v>3477.18</v>
      </c>
      <c r="W1282">
        <v>3477.18</v>
      </c>
      <c r="X1282">
        <v>0</v>
      </c>
      <c r="Y1282">
        <v>0</v>
      </c>
      <c r="Z1282">
        <v>-494</v>
      </c>
      <c r="AA1282">
        <v>694286</v>
      </c>
      <c r="AD1282" t="s">
        <v>3735</v>
      </c>
      <c r="AE1282" t="s">
        <v>3738</v>
      </c>
      <c r="AF1282" t="s">
        <v>3735</v>
      </c>
      <c r="AG1282">
        <v>29602356000420</v>
      </c>
      <c r="AH1282" t="s">
        <v>3698</v>
      </c>
    </row>
    <row r="1283" spans="1:34" x14ac:dyDescent="0.3">
      <c r="A1283">
        <v>101</v>
      </c>
      <c r="B1283" t="s">
        <v>34</v>
      </c>
      <c r="C1283">
        <v>2</v>
      </c>
      <c r="D1283" s="1" t="s">
        <v>3734</v>
      </c>
      <c r="E1283" s="1" t="s">
        <v>116</v>
      </c>
      <c r="G1283">
        <v>436777</v>
      </c>
      <c r="H1283" t="s">
        <v>3735</v>
      </c>
      <c r="I1283" t="s">
        <v>3736</v>
      </c>
      <c r="J1283">
        <v>12</v>
      </c>
      <c r="K1283">
        <v>436777</v>
      </c>
      <c r="L1283">
        <v>50001</v>
      </c>
      <c r="M1283" t="s">
        <v>39</v>
      </c>
      <c r="N1283">
        <v>236</v>
      </c>
      <c r="O1283" s="2">
        <v>46224</v>
      </c>
      <c r="P1283" s="2">
        <v>46279</v>
      </c>
      <c r="R1283" t="s">
        <v>3737</v>
      </c>
      <c r="S1283" t="str">
        <f>"25666160000051504"</f>
        <v>25666160000051504</v>
      </c>
      <c r="T1283" t="s">
        <v>41</v>
      </c>
      <c r="U1283">
        <v>3478.23</v>
      </c>
      <c r="V1283">
        <v>3478.23</v>
      </c>
      <c r="W1283">
        <v>3478.23</v>
      </c>
      <c r="X1283">
        <v>0</v>
      </c>
      <c r="Y1283">
        <v>0</v>
      </c>
      <c r="Z1283">
        <v>-504</v>
      </c>
      <c r="AA1283">
        <v>694286</v>
      </c>
      <c r="AD1283" t="s">
        <v>3735</v>
      </c>
      <c r="AE1283" t="s">
        <v>3738</v>
      </c>
      <c r="AF1283" t="s">
        <v>3735</v>
      </c>
      <c r="AG1283">
        <v>29602356000420</v>
      </c>
      <c r="AH1283" t="s">
        <v>3698</v>
      </c>
    </row>
    <row r="1284" spans="1:34" x14ac:dyDescent="0.3">
      <c r="A1284">
        <v>101</v>
      </c>
      <c r="B1284" t="s">
        <v>34</v>
      </c>
      <c r="C1284">
        <v>2</v>
      </c>
      <c r="D1284" s="1" t="s">
        <v>3739</v>
      </c>
      <c r="E1284" s="1" t="s">
        <v>36</v>
      </c>
      <c r="G1284">
        <v>442221</v>
      </c>
      <c r="H1284" t="s">
        <v>3740</v>
      </c>
      <c r="I1284" t="s">
        <v>3741</v>
      </c>
      <c r="J1284">
        <v>12</v>
      </c>
      <c r="K1284">
        <v>999000022</v>
      </c>
      <c r="L1284">
        <v>50001</v>
      </c>
      <c r="M1284" t="s">
        <v>39</v>
      </c>
      <c r="N1284">
        <v>236</v>
      </c>
      <c r="O1284" s="2">
        <v>46233</v>
      </c>
      <c r="P1284" s="2">
        <v>46265</v>
      </c>
      <c r="R1284" t="s">
        <v>3742</v>
      </c>
      <c r="S1284" t="str">
        <f>"25666160000051691"</f>
        <v>25666160000051691</v>
      </c>
      <c r="T1284" t="s">
        <v>41</v>
      </c>
      <c r="U1284">
        <v>1770.63</v>
      </c>
      <c r="V1284">
        <v>1770.63</v>
      </c>
      <c r="W1284">
        <v>1770.63</v>
      </c>
      <c r="X1284">
        <v>0</v>
      </c>
      <c r="Y1284">
        <v>0</v>
      </c>
      <c r="Z1284">
        <v>-490</v>
      </c>
      <c r="AA1284">
        <v>1824</v>
      </c>
      <c r="AD1284" t="s">
        <v>3743</v>
      </c>
      <c r="AE1284" t="s">
        <v>3744</v>
      </c>
      <c r="AF1284" t="s">
        <v>3743</v>
      </c>
      <c r="AG1284">
        <v>15275798000151</v>
      </c>
      <c r="AH1284" t="s">
        <v>3698</v>
      </c>
    </row>
    <row r="1285" spans="1:34" x14ac:dyDescent="0.3">
      <c r="A1285">
        <v>101</v>
      </c>
      <c r="B1285" t="s">
        <v>34</v>
      </c>
      <c r="C1285">
        <v>2</v>
      </c>
      <c r="D1285" s="1" t="s">
        <v>3739</v>
      </c>
      <c r="E1285" s="1" t="s">
        <v>122</v>
      </c>
      <c r="G1285">
        <v>442221</v>
      </c>
      <c r="H1285" t="s">
        <v>3740</v>
      </c>
      <c r="I1285" t="s">
        <v>3741</v>
      </c>
      <c r="J1285">
        <v>12</v>
      </c>
      <c r="K1285">
        <v>999000022</v>
      </c>
      <c r="L1285">
        <v>50001</v>
      </c>
      <c r="M1285" t="s">
        <v>39</v>
      </c>
      <c r="N1285">
        <v>236</v>
      </c>
      <c r="O1285" s="2">
        <v>46233</v>
      </c>
      <c r="P1285" s="2">
        <v>46272</v>
      </c>
      <c r="R1285" t="s">
        <v>3742</v>
      </c>
      <c r="S1285" t="str">
        <f>"25666160000051692"</f>
        <v>25666160000051692</v>
      </c>
      <c r="T1285" t="s">
        <v>41</v>
      </c>
      <c r="U1285">
        <v>1000.02</v>
      </c>
      <c r="V1285">
        <v>1000.02</v>
      </c>
      <c r="W1285">
        <v>1000.02</v>
      </c>
      <c r="X1285">
        <v>0</v>
      </c>
      <c r="Y1285">
        <v>0</v>
      </c>
      <c r="Z1285">
        <v>-497</v>
      </c>
      <c r="AA1285">
        <v>1824</v>
      </c>
      <c r="AD1285" t="s">
        <v>3743</v>
      </c>
      <c r="AE1285" t="s">
        <v>3744</v>
      </c>
      <c r="AF1285" t="s">
        <v>3743</v>
      </c>
      <c r="AG1285">
        <v>15275798000151</v>
      </c>
      <c r="AH1285" t="s">
        <v>3698</v>
      </c>
    </row>
    <row r="1286" spans="1:34" x14ac:dyDescent="0.3">
      <c r="A1286">
        <v>101</v>
      </c>
      <c r="B1286" t="s">
        <v>34</v>
      </c>
      <c r="C1286">
        <v>2</v>
      </c>
      <c r="D1286" s="1" t="s">
        <v>3739</v>
      </c>
      <c r="E1286" s="1" t="s">
        <v>116</v>
      </c>
      <c r="G1286">
        <v>442221</v>
      </c>
      <c r="H1286" t="s">
        <v>3740</v>
      </c>
      <c r="I1286" t="s">
        <v>3741</v>
      </c>
      <c r="J1286">
        <v>12</v>
      </c>
      <c r="K1286">
        <v>999000022</v>
      </c>
      <c r="L1286">
        <v>50001</v>
      </c>
      <c r="M1286" t="s">
        <v>39</v>
      </c>
      <c r="N1286">
        <v>236</v>
      </c>
      <c r="O1286" s="2">
        <v>46233</v>
      </c>
      <c r="P1286" s="2">
        <v>46282</v>
      </c>
      <c r="R1286" t="s">
        <v>3742</v>
      </c>
      <c r="S1286" t="str">
        <f>"25666160000051693"</f>
        <v>25666160000051693</v>
      </c>
      <c r="T1286" t="s">
        <v>41</v>
      </c>
      <c r="U1286">
        <v>1000.33</v>
      </c>
      <c r="V1286">
        <v>1000.33</v>
      </c>
      <c r="W1286">
        <v>1000.33</v>
      </c>
      <c r="X1286">
        <v>0</v>
      </c>
      <c r="Y1286">
        <v>0</v>
      </c>
      <c r="Z1286">
        <v>-507</v>
      </c>
      <c r="AA1286">
        <v>1824</v>
      </c>
      <c r="AD1286" t="s">
        <v>3743</v>
      </c>
      <c r="AE1286" t="s">
        <v>3744</v>
      </c>
      <c r="AF1286" t="s">
        <v>3743</v>
      </c>
      <c r="AG1286">
        <v>15275798000151</v>
      </c>
      <c r="AH1286" t="s">
        <v>3698</v>
      </c>
    </row>
    <row r="1287" spans="1:34" x14ac:dyDescent="0.3">
      <c r="A1287">
        <v>101</v>
      </c>
      <c r="B1287" t="s">
        <v>34</v>
      </c>
      <c r="C1287">
        <v>2</v>
      </c>
      <c r="D1287" s="1" t="s">
        <v>3745</v>
      </c>
      <c r="E1287" s="1" t="s">
        <v>122</v>
      </c>
      <c r="G1287">
        <v>446748</v>
      </c>
      <c r="H1287" t="s">
        <v>3746</v>
      </c>
      <c r="I1287" t="s">
        <v>3747</v>
      </c>
      <c r="J1287">
        <v>12</v>
      </c>
      <c r="K1287">
        <v>739</v>
      </c>
      <c r="L1287">
        <v>50033</v>
      </c>
      <c r="M1287" t="s">
        <v>39</v>
      </c>
      <c r="N1287">
        <v>236</v>
      </c>
      <c r="O1287" s="2">
        <v>46227</v>
      </c>
      <c r="P1287" s="2">
        <v>46281</v>
      </c>
      <c r="R1287" t="s">
        <v>3748</v>
      </c>
      <c r="S1287" t="str">
        <f>"0000050410849"</f>
        <v>0000050410849</v>
      </c>
      <c r="T1287" t="s">
        <v>41</v>
      </c>
      <c r="U1287">
        <v>3087.85</v>
      </c>
      <c r="V1287">
        <v>3087.85</v>
      </c>
      <c r="W1287">
        <v>3087.85</v>
      </c>
      <c r="X1287">
        <v>0</v>
      </c>
      <c r="Y1287">
        <v>0</v>
      </c>
      <c r="Z1287">
        <v>-506</v>
      </c>
      <c r="AA1287">
        <v>1675</v>
      </c>
      <c r="AD1287" t="s">
        <v>3696</v>
      </c>
      <c r="AE1287" t="s">
        <v>3749</v>
      </c>
      <c r="AF1287" t="s">
        <v>3696</v>
      </c>
      <c r="AG1287" s="1" t="s">
        <v>3750</v>
      </c>
      <c r="AH1287" t="s">
        <v>3698</v>
      </c>
    </row>
    <row r="1288" spans="1:34" x14ac:dyDescent="0.3">
      <c r="A1288">
        <v>101</v>
      </c>
      <c r="B1288" t="s">
        <v>34</v>
      </c>
      <c r="C1288">
        <v>2</v>
      </c>
      <c r="D1288" s="1" t="s">
        <v>3745</v>
      </c>
      <c r="E1288" s="1" t="s">
        <v>36</v>
      </c>
      <c r="G1288">
        <v>446748</v>
      </c>
      <c r="H1288" t="s">
        <v>3746</v>
      </c>
      <c r="I1288" t="s">
        <v>3747</v>
      </c>
      <c r="J1288">
        <v>12</v>
      </c>
      <c r="K1288">
        <v>739</v>
      </c>
      <c r="L1288">
        <v>50033</v>
      </c>
      <c r="M1288" t="s">
        <v>39</v>
      </c>
      <c r="N1288">
        <v>236</v>
      </c>
      <c r="O1288" s="2">
        <v>46227</v>
      </c>
      <c r="P1288" s="2">
        <v>46266</v>
      </c>
      <c r="R1288" t="s">
        <v>3748</v>
      </c>
      <c r="S1288" t="str">
        <f>"0000050410830"</f>
        <v>0000050410830</v>
      </c>
      <c r="T1288" t="s">
        <v>41</v>
      </c>
      <c r="U1288">
        <v>3481.72</v>
      </c>
      <c r="V1288">
        <v>3481.72</v>
      </c>
      <c r="W1288">
        <v>3481.72</v>
      </c>
      <c r="X1288">
        <v>0</v>
      </c>
      <c r="Y1288">
        <v>0</v>
      </c>
      <c r="Z1288">
        <v>-491</v>
      </c>
      <c r="AA1288">
        <v>1675</v>
      </c>
      <c r="AD1288" t="s">
        <v>3696</v>
      </c>
      <c r="AE1288" t="s">
        <v>3749</v>
      </c>
      <c r="AF1288" t="s">
        <v>3696</v>
      </c>
      <c r="AG1288" s="1" t="s">
        <v>3750</v>
      </c>
      <c r="AH1288" t="s">
        <v>3698</v>
      </c>
    </row>
    <row r="1289" spans="1:34" x14ac:dyDescent="0.3">
      <c r="A1289">
        <v>101</v>
      </c>
      <c r="B1289" t="s">
        <v>34</v>
      </c>
      <c r="C1289">
        <v>2</v>
      </c>
      <c r="D1289" s="1" t="s">
        <v>3751</v>
      </c>
      <c r="E1289" s="1" t="s">
        <v>116</v>
      </c>
      <c r="G1289">
        <v>450859</v>
      </c>
      <c r="H1289" t="s">
        <v>3752</v>
      </c>
      <c r="I1289" t="s">
        <v>3753</v>
      </c>
      <c r="J1289">
        <v>12</v>
      </c>
      <c r="K1289">
        <v>450859</v>
      </c>
      <c r="L1289">
        <v>50001</v>
      </c>
      <c r="M1289" t="s">
        <v>39</v>
      </c>
      <c r="N1289">
        <v>236</v>
      </c>
      <c r="O1289" s="2">
        <v>46233</v>
      </c>
      <c r="P1289" s="2">
        <v>46293</v>
      </c>
      <c r="R1289" t="s">
        <v>3754</v>
      </c>
      <c r="S1289" t="str">
        <f>"25666160000051698"</f>
        <v>25666160000051698</v>
      </c>
      <c r="T1289" t="s">
        <v>41</v>
      </c>
      <c r="U1289">
        <v>864.2</v>
      </c>
      <c r="V1289">
        <v>864.2</v>
      </c>
      <c r="W1289">
        <v>864.2</v>
      </c>
      <c r="X1289">
        <v>0</v>
      </c>
      <c r="Y1289">
        <v>0</v>
      </c>
      <c r="Z1289">
        <v>-518</v>
      </c>
      <c r="AA1289">
        <v>1910</v>
      </c>
      <c r="AD1289" t="s">
        <v>3715</v>
      </c>
      <c r="AE1289" t="s">
        <v>3755</v>
      </c>
      <c r="AF1289" t="s">
        <v>3715</v>
      </c>
      <c r="AG1289">
        <v>20052166000169</v>
      </c>
      <c r="AH1289" t="s">
        <v>3698</v>
      </c>
    </row>
    <row r="1290" spans="1:34" x14ac:dyDescent="0.3">
      <c r="A1290">
        <v>101</v>
      </c>
      <c r="B1290" t="s">
        <v>34</v>
      </c>
      <c r="C1290">
        <v>2</v>
      </c>
      <c r="D1290" s="1" t="s">
        <v>3751</v>
      </c>
      <c r="E1290" s="1" t="s">
        <v>122</v>
      </c>
      <c r="G1290">
        <v>450859</v>
      </c>
      <c r="H1290" t="s">
        <v>3752</v>
      </c>
      <c r="I1290" t="s">
        <v>3753</v>
      </c>
      <c r="J1290">
        <v>12</v>
      </c>
      <c r="K1290">
        <v>450859</v>
      </c>
      <c r="L1290">
        <v>50001</v>
      </c>
      <c r="M1290" t="s">
        <v>39</v>
      </c>
      <c r="N1290">
        <v>236</v>
      </c>
      <c r="O1290" s="2">
        <v>46233</v>
      </c>
      <c r="P1290" s="2">
        <v>46283</v>
      </c>
      <c r="R1290" t="s">
        <v>3754</v>
      </c>
      <c r="S1290" t="str">
        <f>"25666160000051697"</f>
        <v>25666160000051697</v>
      </c>
      <c r="T1290" t="s">
        <v>41</v>
      </c>
      <c r="U1290">
        <v>863.93</v>
      </c>
      <c r="V1290">
        <v>863.93</v>
      </c>
      <c r="W1290">
        <v>863.93</v>
      </c>
      <c r="X1290">
        <v>0</v>
      </c>
      <c r="Y1290">
        <v>0</v>
      </c>
      <c r="Z1290">
        <v>-508</v>
      </c>
      <c r="AA1290">
        <v>1910</v>
      </c>
      <c r="AD1290" t="s">
        <v>3715</v>
      </c>
      <c r="AE1290" t="s">
        <v>3755</v>
      </c>
      <c r="AF1290" t="s">
        <v>3715</v>
      </c>
      <c r="AG1290">
        <v>20052166000169</v>
      </c>
      <c r="AH1290" t="s">
        <v>3698</v>
      </c>
    </row>
    <row r="1291" spans="1:34" x14ac:dyDescent="0.3">
      <c r="A1291">
        <v>101</v>
      </c>
      <c r="B1291" t="s">
        <v>34</v>
      </c>
      <c r="C1291">
        <v>2</v>
      </c>
      <c r="D1291" s="1" t="s">
        <v>3751</v>
      </c>
      <c r="E1291" s="1" t="s">
        <v>36</v>
      </c>
      <c r="G1291">
        <v>450859</v>
      </c>
      <c r="H1291" t="s">
        <v>3752</v>
      </c>
      <c r="I1291" t="s">
        <v>3753</v>
      </c>
      <c r="J1291">
        <v>12</v>
      </c>
      <c r="K1291">
        <v>450859</v>
      </c>
      <c r="L1291">
        <v>50001</v>
      </c>
      <c r="M1291" t="s">
        <v>39</v>
      </c>
      <c r="N1291">
        <v>236</v>
      </c>
      <c r="O1291" s="2">
        <v>46233</v>
      </c>
      <c r="P1291" s="2">
        <v>46268</v>
      </c>
      <c r="R1291" t="s">
        <v>3754</v>
      </c>
      <c r="S1291" t="str">
        <f>"25666160000051696"</f>
        <v>25666160000051696</v>
      </c>
      <c r="T1291" t="s">
        <v>41</v>
      </c>
      <c r="U1291">
        <v>1131.78</v>
      </c>
      <c r="V1291">
        <v>1131.78</v>
      </c>
      <c r="W1291">
        <v>1131.78</v>
      </c>
      <c r="X1291">
        <v>0</v>
      </c>
      <c r="Y1291">
        <v>0</v>
      </c>
      <c r="Z1291">
        <v>-493</v>
      </c>
      <c r="AA1291">
        <v>1910</v>
      </c>
      <c r="AD1291" t="s">
        <v>3715</v>
      </c>
      <c r="AE1291" t="s">
        <v>3755</v>
      </c>
      <c r="AF1291" t="s">
        <v>3715</v>
      </c>
      <c r="AG1291">
        <v>20052166000169</v>
      </c>
      <c r="AH1291" t="s">
        <v>3698</v>
      </c>
    </row>
    <row r="1292" spans="1:34" x14ac:dyDescent="0.3">
      <c r="A1292">
        <v>101</v>
      </c>
      <c r="B1292" t="s">
        <v>34</v>
      </c>
      <c r="C1292">
        <v>2</v>
      </c>
      <c r="D1292" s="1" t="s">
        <v>3756</v>
      </c>
      <c r="E1292" s="1" t="s">
        <v>36</v>
      </c>
      <c r="G1292">
        <v>451080</v>
      </c>
      <c r="H1292" t="s">
        <v>3757</v>
      </c>
      <c r="I1292" t="s">
        <v>3758</v>
      </c>
      <c r="J1292">
        <v>12</v>
      </c>
      <c r="K1292">
        <v>434415</v>
      </c>
      <c r="L1292">
        <v>50033</v>
      </c>
      <c r="M1292" t="s">
        <v>39</v>
      </c>
      <c r="N1292">
        <v>236</v>
      </c>
      <c r="O1292" s="2">
        <v>46227</v>
      </c>
      <c r="P1292" s="2">
        <v>46267</v>
      </c>
      <c r="R1292" t="s">
        <v>3759</v>
      </c>
      <c r="S1292" t="str">
        <f>"0000050410857"</f>
        <v>0000050410857</v>
      </c>
      <c r="T1292" t="s">
        <v>41</v>
      </c>
      <c r="U1292">
        <v>2065.13</v>
      </c>
      <c r="V1292">
        <v>2065.13</v>
      </c>
      <c r="W1292">
        <v>2065.13</v>
      </c>
      <c r="X1292">
        <v>0</v>
      </c>
      <c r="Y1292">
        <v>0</v>
      </c>
      <c r="Z1292">
        <v>-492</v>
      </c>
      <c r="AA1292">
        <v>1723</v>
      </c>
      <c r="AD1292" t="s">
        <v>3733</v>
      </c>
      <c r="AE1292" t="s">
        <v>3760</v>
      </c>
      <c r="AF1292" t="s">
        <v>3733</v>
      </c>
      <c r="AG1292">
        <v>19406654000148</v>
      </c>
      <c r="AH1292" t="s">
        <v>3698</v>
      </c>
    </row>
    <row r="1293" spans="1:34" x14ac:dyDescent="0.3">
      <c r="A1293">
        <v>101</v>
      </c>
      <c r="B1293" t="s">
        <v>34</v>
      </c>
      <c r="C1293">
        <v>2</v>
      </c>
      <c r="D1293" s="1" t="s">
        <v>3761</v>
      </c>
      <c r="E1293" s="1" t="s">
        <v>122</v>
      </c>
      <c r="G1293">
        <v>459175</v>
      </c>
      <c r="H1293" t="s">
        <v>3762</v>
      </c>
      <c r="I1293" t="s">
        <v>3707</v>
      </c>
      <c r="J1293">
        <v>12</v>
      </c>
      <c r="K1293">
        <v>739</v>
      </c>
      <c r="L1293">
        <v>50033</v>
      </c>
      <c r="M1293" t="s">
        <v>39</v>
      </c>
      <c r="N1293">
        <v>236</v>
      </c>
      <c r="O1293" s="2">
        <v>46227</v>
      </c>
      <c r="P1293" s="2">
        <v>46272</v>
      </c>
      <c r="R1293" t="s">
        <v>3763</v>
      </c>
      <c r="S1293" t="str">
        <f>"0000050410873"</f>
        <v>0000050410873</v>
      </c>
      <c r="T1293" t="s">
        <v>41</v>
      </c>
      <c r="U1293">
        <v>1024.72</v>
      </c>
      <c r="V1293">
        <v>1024.72</v>
      </c>
      <c r="W1293">
        <v>1024.72</v>
      </c>
      <c r="X1293">
        <v>0</v>
      </c>
      <c r="Y1293">
        <v>0</v>
      </c>
      <c r="Z1293">
        <v>-497</v>
      </c>
      <c r="AA1293">
        <v>1677</v>
      </c>
      <c r="AD1293" t="s">
        <v>3764</v>
      </c>
      <c r="AE1293">
        <v>2430200508</v>
      </c>
      <c r="AF1293" t="s">
        <v>3764</v>
      </c>
      <c r="AG1293" s="1" t="s">
        <v>3765</v>
      </c>
      <c r="AH1293" t="s">
        <v>3698</v>
      </c>
    </row>
    <row r="1294" spans="1:34" x14ac:dyDescent="0.3">
      <c r="A1294">
        <v>101</v>
      </c>
      <c r="B1294" t="s">
        <v>34</v>
      </c>
      <c r="C1294">
        <v>2</v>
      </c>
      <c r="D1294" s="1" t="s">
        <v>3761</v>
      </c>
      <c r="E1294" s="1" t="s">
        <v>36</v>
      </c>
      <c r="G1294">
        <v>459175</v>
      </c>
      <c r="H1294" t="s">
        <v>3762</v>
      </c>
      <c r="I1294" t="s">
        <v>3707</v>
      </c>
      <c r="J1294">
        <v>12</v>
      </c>
      <c r="K1294">
        <v>739</v>
      </c>
      <c r="L1294">
        <v>50033</v>
      </c>
      <c r="M1294" t="s">
        <v>39</v>
      </c>
      <c r="N1294">
        <v>236</v>
      </c>
      <c r="O1294" s="2">
        <v>46227</v>
      </c>
      <c r="P1294" s="2">
        <v>46257</v>
      </c>
      <c r="R1294" t="s">
        <v>3763</v>
      </c>
      <c r="S1294" t="str">
        <f>"0000050410865"</f>
        <v>0000050410865</v>
      </c>
      <c r="T1294" t="s">
        <v>41</v>
      </c>
      <c r="U1294">
        <v>1024.73</v>
      </c>
      <c r="V1294">
        <v>1024.73</v>
      </c>
      <c r="W1294">
        <v>1024.73</v>
      </c>
      <c r="X1294">
        <v>0</v>
      </c>
      <c r="Y1294">
        <v>0</v>
      </c>
      <c r="Z1294">
        <v>-482</v>
      </c>
      <c r="AA1294">
        <v>1677</v>
      </c>
      <c r="AD1294" t="s">
        <v>3764</v>
      </c>
      <c r="AE1294">
        <v>2430200508</v>
      </c>
      <c r="AF1294" t="s">
        <v>3764</v>
      </c>
      <c r="AG1294" s="1" t="s">
        <v>3765</v>
      </c>
      <c r="AH1294" t="s">
        <v>3698</v>
      </c>
    </row>
    <row r="1295" spans="1:34" x14ac:dyDescent="0.3">
      <c r="A1295">
        <v>101</v>
      </c>
      <c r="B1295" t="s">
        <v>34</v>
      </c>
      <c r="C1295">
        <v>2</v>
      </c>
      <c r="D1295" s="1" t="s">
        <v>3766</v>
      </c>
      <c r="E1295" s="1" t="s">
        <v>122</v>
      </c>
      <c r="G1295">
        <v>471133</v>
      </c>
      <c r="H1295" t="s">
        <v>3767</v>
      </c>
      <c r="I1295" t="s">
        <v>3768</v>
      </c>
      <c r="J1295">
        <v>12</v>
      </c>
      <c r="K1295">
        <v>999000022</v>
      </c>
      <c r="L1295">
        <v>50001</v>
      </c>
      <c r="M1295" t="s">
        <v>39</v>
      </c>
      <c r="N1295">
        <v>236</v>
      </c>
      <c r="O1295" s="2">
        <v>46235</v>
      </c>
      <c r="P1295" s="2">
        <v>46280</v>
      </c>
      <c r="R1295" t="s">
        <v>3769</v>
      </c>
      <c r="S1295" t="str">
        <f>"25666160000051768"</f>
        <v>25666160000051768</v>
      </c>
      <c r="T1295" t="s">
        <v>41</v>
      </c>
      <c r="U1295">
        <v>1499.64</v>
      </c>
      <c r="V1295">
        <v>1499.64</v>
      </c>
      <c r="W1295">
        <v>1499.64</v>
      </c>
      <c r="X1295">
        <v>0</v>
      </c>
      <c r="Y1295">
        <v>0</v>
      </c>
      <c r="Z1295">
        <v>-505</v>
      </c>
      <c r="AA1295">
        <v>4112</v>
      </c>
      <c r="AD1295" t="s">
        <v>3743</v>
      </c>
      <c r="AE1295" t="s">
        <v>3770</v>
      </c>
      <c r="AF1295" t="s">
        <v>3743</v>
      </c>
      <c r="AG1295">
        <v>15275798000232</v>
      </c>
      <c r="AH1295" t="s">
        <v>3698</v>
      </c>
    </row>
    <row r="1296" spans="1:34" x14ac:dyDescent="0.3">
      <c r="A1296">
        <v>101</v>
      </c>
      <c r="B1296" t="s">
        <v>34</v>
      </c>
      <c r="C1296">
        <v>2</v>
      </c>
      <c r="D1296" s="1" t="s">
        <v>3766</v>
      </c>
      <c r="E1296" s="1" t="s">
        <v>36</v>
      </c>
      <c r="G1296">
        <v>471133</v>
      </c>
      <c r="H1296" t="s">
        <v>3767</v>
      </c>
      <c r="I1296" t="s">
        <v>3768</v>
      </c>
      <c r="J1296">
        <v>12</v>
      </c>
      <c r="K1296">
        <v>999000022</v>
      </c>
      <c r="L1296">
        <v>50001</v>
      </c>
      <c r="M1296" t="s">
        <v>39</v>
      </c>
      <c r="N1296">
        <v>236</v>
      </c>
      <c r="O1296" s="2">
        <v>46235</v>
      </c>
      <c r="P1296" s="2">
        <v>46265</v>
      </c>
      <c r="R1296" t="s">
        <v>3769</v>
      </c>
      <c r="S1296" t="str">
        <f>"25666160000051767"</f>
        <v>25666160000051767</v>
      </c>
      <c r="T1296" t="s">
        <v>41</v>
      </c>
      <c r="U1296">
        <v>1499.64</v>
      </c>
      <c r="V1296">
        <v>1499.64</v>
      </c>
      <c r="W1296">
        <v>1499.64</v>
      </c>
      <c r="X1296">
        <v>0</v>
      </c>
      <c r="Y1296">
        <v>0</v>
      </c>
      <c r="Z1296">
        <v>-490</v>
      </c>
      <c r="AA1296">
        <v>4112</v>
      </c>
      <c r="AD1296" t="s">
        <v>3743</v>
      </c>
      <c r="AE1296" t="s">
        <v>3770</v>
      </c>
      <c r="AF1296" t="s">
        <v>3743</v>
      </c>
      <c r="AG1296">
        <v>15275798000232</v>
      </c>
      <c r="AH1296" t="s">
        <v>3698</v>
      </c>
    </row>
    <row r="1297" spans="1:34" x14ac:dyDescent="0.3">
      <c r="A1297">
        <v>101</v>
      </c>
      <c r="B1297" t="s">
        <v>34</v>
      </c>
      <c r="C1297">
        <v>2</v>
      </c>
      <c r="D1297" s="1" t="s">
        <v>3771</v>
      </c>
      <c r="E1297" s="1" t="s">
        <v>122</v>
      </c>
      <c r="G1297">
        <v>999000015</v>
      </c>
      <c r="H1297" t="s">
        <v>3772</v>
      </c>
      <c r="I1297" t="s">
        <v>3773</v>
      </c>
      <c r="J1297">
        <v>12</v>
      </c>
      <c r="K1297">
        <v>999000015</v>
      </c>
      <c r="L1297">
        <v>50237</v>
      </c>
      <c r="M1297" t="s">
        <v>39</v>
      </c>
      <c r="N1297">
        <v>236</v>
      </c>
      <c r="O1297" s="2">
        <v>46217</v>
      </c>
      <c r="P1297" s="2">
        <v>46262</v>
      </c>
      <c r="R1297" t="s">
        <v>3774</v>
      </c>
      <c r="S1297" t="str">
        <f>"330000051546"</f>
        <v>330000051546</v>
      </c>
      <c r="T1297" t="s">
        <v>41</v>
      </c>
      <c r="U1297">
        <v>1589.64</v>
      </c>
      <c r="V1297">
        <v>1589.64</v>
      </c>
      <c r="W1297">
        <v>1589.64</v>
      </c>
      <c r="X1297">
        <v>0</v>
      </c>
      <c r="Y1297">
        <v>0</v>
      </c>
      <c r="Z1297">
        <v>-487</v>
      </c>
      <c r="AA1297">
        <v>694087</v>
      </c>
      <c r="AD1297" t="s">
        <v>3775</v>
      </c>
      <c r="AE1297">
        <v>2126832543</v>
      </c>
      <c r="AF1297" t="s">
        <v>3775</v>
      </c>
      <c r="AG1297">
        <v>32028466000191</v>
      </c>
      <c r="AH1297" t="s">
        <v>3698</v>
      </c>
    </row>
    <row r="1298" spans="1:34" x14ac:dyDescent="0.3">
      <c r="A1298">
        <v>101</v>
      </c>
      <c r="B1298" t="s">
        <v>34</v>
      </c>
      <c r="C1298">
        <v>2</v>
      </c>
      <c r="D1298" s="1" t="s">
        <v>3776</v>
      </c>
      <c r="E1298" s="1" t="s">
        <v>122</v>
      </c>
      <c r="G1298">
        <v>999000490</v>
      </c>
      <c r="H1298" t="s">
        <v>3777</v>
      </c>
      <c r="I1298" t="s">
        <v>3778</v>
      </c>
      <c r="J1298">
        <v>12</v>
      </c>
      <c r="K1298">
        <v>999000490</v>
      </c>
      <c r="L1298">
        <v>50001</v>
      </c>
      <c r="M1298" t="s">
        <v>39</v>
      </c>
      <c r="N1298">
        <v>236</v>
      </c>
      <c r="O1298" s="2">
        <v>46217</v>
      </c>
      <c r="P1298" s="2">
        <v>46262</v>
      </c>
      <c r="R1298" t="s">
        <v>3779</v>
      </c>
      <c r="S1298" t="str">
        <f>"25666160000051468"</f>
        <v>25666160000051468</v>
      </c>
      <c r="T1298" t="s">
        <v>41</v>
      </c>
      <c r="U1298">
        <v>5253.33</v>
      </c>
      <c r="V1298">
        <v>5253.33</v>
      </c>
      <c r="W1298">
        <v>5253.33</v>
      </c>
      <c r="X1298">
        <v>0</v>
      </c>
      <c r="Y1298">
        <v>0</v>
      </c>
      <c r="Z1298">
        <v>-487</v>
      </c>
      <c r="AA1298">
        <v>694086</v>
      </c>
      <c r="AD1298" t="s">
        <v>3780</v>
      </c>
      <c r="AE1298" t="s">
        <v>3781</v>
      </c>
      <c r="AF1298" t="s">
        <v>3780</v>
      </c>
      <c r="AG1298" s="1" t="s">
        <v>3782</v>
      </c>
      <c r="AH1298" t="s">
        <v>3698</v>
      </c>
    </row>
    <row r="1299" spans="1:34" x14ac:dyDescent="0.3">
      <c r="A1299">
        <v>101</v>
      </c>
      <c r="B1299" t="s">
        <v>34</v>
      </c>
      <c r="C1299">
        <v>2</v>
      </c>
      <c r="D1299" s="1" t="s">
        <v>3783</v>
      </c>
      <c r="E1299" s="1" t="s">
        <v>36</v>
      </c>
      <c r="G1299">
        <v>194</v>
      </c>
      <c r="H1299" t="s">
        <v>3784</v>
      </c>
      <c r="I1299" t="s">
        <v>3785</v>
      </c>
      <c r="J1299">
        <v>12</v>
      </c>
      <c r="K1299">
        <v>6136</v>
      </c>
      <c r="L1299">
        <v>50001</v>
      </c>
      <c r="M1299" t="s">
        <v>39</v>
      </c>
      <c r="N1299">
        <v>243</v>
      </c>
      <c r="O1299" s="2">
        <v>46254</v>
      </c>
      <c r="P1299" s="2">
        <v>46314</v>
      </c>
      <c r="R1299" t="s">
        <v>3786</v>
      </c>
      <c r="S1299" t="str">
        <f>"25666160000051982"</f>
        <v>25666160000051982</v>
      </c>
      <c r="T1299" t="s">
        <v>41</v>
      </c>
      <c r="U1299">
        <v>1644.19</v>
      </c>
      <c r="V1299">
        <v>1561.98</v>
      </c>
      <c r="W1299">
        <v>1561.98</v>
      </c>
      <c r="X1299">
        <v>0</v>
      </c>
      <c r="Y1299">
        <v>0</v>
      </c>
      <c r="Z1299">
        <v>-539</v>
      </c>
      <c r="AA1299">
        <v>4848</v>
      </c>
      <c r="AD1299" t="s">
        <v>3787</v>
      </c>
      <c r="AE1299" t="s">
        <v>3788</v>
      </c>
      <c r="AF1299" t="s">
        <v>3789</v>
      </c>
      <c r="AG1299" s="1" t="s">
        <v>3790</v>
      </c>
      <c r="AH1299" t="s">
        <v>44</v>
      </c>
    </row>
    <row r="1300" spans="1:34" x14ac:dyDescent="0.3">
      <c r="A1300">
        <v>101</v>
      </c>
      <c r="B1300" t="s">
        <v>34</v>
      </c>
      <c r="C1300">
        <v>2</v>
      </c>
      <c r="D1300" s="1" t="s">
        <v>3791</v>
      </c>
      <c r="E1300" s="1" t="s">
        <v>36</v>
      </c>
      <c r="G1300">
        <v>255</v>
      </c>
      <c r="H1300" t="s">
        <v>3792</v>
      </c>
      <c r="I1300" t="s">
        <v>3793</v>
      </c>
      <c r="J1300">
        <v>15</v>
      </c>
      <c r="K1300">
        <v>3168</v>
      </c>
      <c r="L1300">
        <v>50001</v>
      </c>
      <c r="M1300" t="s">
        <v>39</v>
      </c>
      <c r="N1300">
        <v>243</v>
      </c>
      <c r="O1300" s="2">
        <v>46218</v>
      </c>
      <c r="P1300" s="2">
        <v>46263</v>
      </c>
      <c r="R1300" t="s">
        <v>3794</v>
      </c>
      <c r="S1300" t="str">
        <f>"25666160000051471"</f>
        <v>25666160000051471</v>
      </c>
      <c r="T1300" t="s">
        <v>41</v>
      </c>
      <c r="U1300">
        <v>8716.1200000000008</v>
      </c>
      <c r="V1300">
        <v>8356.1200000000008</v>
      </c>
      <c r="W1300">
        <v>8356.1200000000008</v>
      </c>
      <c r="X1300">
        <v>0</v>
      </c>
      <c r="Y1300">
        <v>0</v>
      </c>
      <c r="Z1300">
        <v>-488</v>
      </c>
      <c r="AA1300">
        <v>1136</v>
      </c>
      <c r="AD1300" t="s">
        <v>3795</v>
      </c>
      <c r="AE1300" t="s">
        <v>3796</v>
      </c>
      <c r="AF1300" t="s">
        <v>3795</v>
      </c>
      <c r="AG1300" s="1" t="s">
        <v>3797</v>
      </c>
      <c r="AH1300" t="s">
        <v>44</v>
      </c>
    </row>
    <row r="1301" spans="1:34" x14ac:dyDescent="0.3">
      <c r="A1301">
        <v>101</v>
      </c>
      <c r="B1301" t="s">
        <v>34</v>
      </c>
      <c r="C1301">
        <v>2</v>
      </c>
      <c r="D1301" s="1" t="s">
        <v>3798</v>
      </c>
      <c r="E1301" s="1" t="s">
        <v>36</v>
      </c>
      <c r="G1301">
        <v>255</v>
      </c>
      <c r="H1301" t="s">
        <v>3792</v>
      </c>
      <c r="I1301" t="s">
        <v>3793</v>
      </c>
      <c r="J1301">
        <v>15</v>
      </c>
      <c r="K1301">
        <v>3168</v>
      </c>
      <c r="L1301">
        <v>50001</v>
      </c>
      <c r="M1301" t="s">
        <v>39</v>
      </c>
      <c r="N1301">
        <v>243</v>
      </c>
      <c r="O1301" s="2">
        <v>46239</v>
      </c>
      <c r="P1301" s="2">
        <v>46284</v>
      </c>
      <c r="R1301" t="s">
        <v>3799</v>
      </c>
      <c r="S1301" t="str">
        <f>"25666160000051812"</f>
        <v>25666160000051812</v>
      </c>
      <c r="T1301" t="s">
        <v>41</v>
      </c>
      <c r="U1301">
        <v>8713.26</v>
      </c>
      <c r="V1301">
        <v>8313.26</v>
      </c>
      <c r="W1301">
        <v>8313.26</v>
      </c>
      <c r="X1301">
        <v>0</v>
      </c>
      <c r="Y1301">
        <v>0</v>
      </c>
      <c r="Z1301">
        <v>-509</v>
      </c>
      <c r="AA1301" t="s">
        <v>3800</v>
      </c>
      <c r="AD1301" t="s">
        <v>3795</v>
      </c>
      <c r="AE1301" t="s">
        <v>3796</v>
      </c>
      <c r="AF1301" t="s">
        <v>3795</v>
      </c>
      <c r="AG1301" s="1" t="s">
        <v>3797</v>
      </c>
      <c r="AH1301" t="s">
        <v>44</v>
      </c>
    </row>
    <row r="1302" spans="1:34" x14ac:dyDescent="0.3">
      <c r="A1302">
        <v>101</v>
      </c>
      <c r="B1302" t="s">
        <v>34</v>
      </c>
      <c r="C1302">
        <v>2</v>
      </c>
      <c r="D1302" s="1" t="s">
        <v>3801</v>
      </c>
      <c r="E1302" s="1" t="s">
        <v>122</v>
      </c>
      <c r="G1302">
        <v>662</v>
      </c>
      <c r="H1302" t="s">
        <v>3802</v>
      </c>
      <c r="I1302" t="s">
        <v>3803</v>
      </c>
      <c r="J1302">
        <v>12</v>
      </c>
      <c r="K1302">
        <v>662</v>
      </c>
      <c r="L1302">
        <v>50341</v>
      </c>
      <c r="M1302" t="s">
        <v>146</v>
      </c>
      <c r="N1302">
        <v>243</v>
      </c>
      <c r="O1302" s="2">
        <v>46224</v>
      </c>
      <c r="P1302" s="2">
        <v>46264</v>
      </c>
      <c r="R1302" t="s">
        <v>3804</v>
      </c>
      <c r="S1302" t="str">
        <f>"00013161"</f>
        <v>00013161</v>
      </c>
      <c r="T1302" t="s">
        <v>41</v>
      </c>
      <c r="U1302">
        <v>3734.78</v>
      </c>
      <c r="V1302">
        <v>3585.39</v>
      </c>
      <c r="W1302">
        <v>3585.39</v>
      </c>
      <c r="X1302">
        <v>0</v>
      </c>
      <c r="Y1302">
        <v>0</v>
      </c>
      <c r="Z1302">
        <v>-489</v>
      </c>
      <c r="AA1302">
        <v>1366</v>
      </c>
      <c r="AD1302" t="s">
        <v>3345</v>
      </c>
      <c r="AE1302" t="s">
        <v>3805</v>
      </c>
      <c r="AF1302" t="s">
        <v>3345</v>
      </c>
      <c r="AG1302" s="1" t="s">
        <v>3806</v>
      </c>
      <c r="AH1302" t="s">
        <v>44</v>
      </c>
    </row>
    <row r="1303" spans="1:34" x14ac:dyDescent="0.3">
      <c r="A1303">
        <v>101</v>
      </c>
      <c r="B1303" t="s">
        <v>34</v>
      </c>
      <c r="C1303">
        <v>2</v>
      </c>
      <c r="D1303" s="1" t="s">
        <v>3807</v>
      </c>
      <c r="E1303" s="1" t="s">
        <v>36</v>
      </c>
      <c r="G1303">
        <v>1029</v>
      </c>
      <c r="H1303" t="s">
        <v>3808</v>
      </c>
      <c r="I1303" t="s">
        <v>3809</v>
      </c>
      <c r="J1303">
        <v>15</v>
      </c>
      <c r="K1303">
        <v>3168</v>
      </c>
      <c r="L1303">
        <v>50001</v>
      </c>
      <c r="M1303" t="s">
        <v>39</v>
      </c>
      <c r="N1303">
        <v>243</v>
      </c>
      <c r="O1303" s="2">
        <v>46226</v>
      </c>
      <c r="P1303" s="2">
        <v>46271</v>
      </c>
      <c r="R1303" t="s">
        <v>3810</v>
      </c>
      <c r="S1303" t="str">
        <f>"25666160000051557"</f>
        <v>25666160000051557</v>
      </c>
      <c r="T1303" t="s">
        <v>41</v>
      </c>
      <c r="U1303">
        <v>4590.6400000000003</v>
      </c>
      <c r="V1303">
        <v>4590.6400000000003</v>
      </c>
      <c r="W1303">
        <v>4590.6400000000003</v>
      </c>
      <c r="X1303">
        <v>0</v>
      </c>
      <c r="Y1303">
        <v>0</v>
      </c>
      <c r="Z1303">
        <v>-496</v>
      </c>
      <c r="AA1303">
        <v>1682</v>
      </c>
      <c r="AD1303" t="s">
        <v>3811</v>
      </c>
      <c r="AE1303" t="s">
        <v>3812</v>
      </c>
      <c r="AF1303" t="s">
        <v>3811</v>
      </c>
      <c r="AG1303">
        <v>55424428000153</v>
      </c>
      <c r="AH1303" t="s">
        <v>44</v>
      </c>
    </row>
    <row r="1304" spans="1:34" x14ac:dyDescent="0.3">
      <c r="A1304">
        <v>101</v>
      </c>
      <c r="B1304" t="s">
        <v>34</v>
      </c>
      <c r="C1304">
        <v>2</v>
      </c>
      <c r="D1304" s="1" t="s">
        <v>3813</v>
      </c>
      <c r="E1304" s="1" t="s">
        <v>36</v>
      </c>
      <c r="G1304">
        <v>1787</v>
      </c>
      <c r="H1304" t="s">
        <v>3814</v>
      </c>
      <c r="I1304" t="s">
        <v>3815</v>
      </c>
      <c r="J1304">
        <v>15</v>
      </c>
      <c r="K1304">
        <v>9047</v>
      </c>
      <c r="L1304">
        <v>50033</v>
      </c>
      <c r="M1304" t="s">
        <v>39</v>
      </c>
      <c r="N1304">
        <v>243</v>
      </c>
      <c r="O1304" s="2">
        <v>46203</v>
      </c>
      <c r="P1304" s="2">
        <v>46256</v>
      </c>
      <c r="R1304" t="s">
        <v>3816</v>
      </c>
      <c r="S1304" t="str">
        <f>"0000050407813"</f>
        <v>0000050407813</v>
      </c>
      <c r="T1304" t="s">
        <v>41</v>
      </c>
      <c r="U1304">
        <v>5930.92</v>
      </c>
      <c r="V1304">
        <v>5634.37</v>
      </c>
      <c r="W1304">
        <v>5634.37</v>
      </c>
      <c r="X1304">
        <v>0</v>
      </c>
      <c r="Y1304">
        <v>0</v>
      </c>
      <c r="Z1304">
        <v>-481</v>
      </c>
      <c r="AA1304">
        <v>693158</v>
      </c>
      <c r="AD1304" t="s">
        <v>3817</v>
      </c>
      <c r="AE1304" t="s">
        <v>3818</v>
      </c>
      <c r="AF1304" t="s">
        <v>3819</v>
      </c>
      <c r="AG1304">
        <v>53963443000900</v>
      </c>
      <c r="AH1304" t="s">
        <v>44</v>
      </c>
    </row>
    <row r="1305" spans="1:34" x14ac:dyDescent="0.3">
      <c r="A1305">
        <v>101</v>
      </c>
      <c r="B1305" t="s">
        <v>34</v>
      </c>
      <c r="C1305">
        <v>2</v>
      </c>
      <c r="D1305" s="1" t="s">
        <v>3820</v>
      </c>
      <c r="E1305" s="1" t="s">
        <v>36</v>
      </c>
      <c r="G1305">
        <v>1787</v>
      </c>
      <c r="H1305" t="s">
        <v>3814</v>
      </c>
      <c r="I1305" t="s">
        <v>3815</v>
      </c>
      <c r="J1305">
        <v>15</v>
      </c>
      <c r="K1305">
        <v>9047</v>
      </c>
      <c r="L1305">
        <v>50033</v>
      </c>
      <c r="M1305" t="s">
        <v>39</v>
      </c>
      <c r="N1305">
        <v>243</v>
      </c>
      <c r="O1305" s="2">
        <v>46246</v>
      </c>
      <c r="P1305" s="2">
        <v>46291</v>
      </c>
      <c r="R1305" t="s">
        <v>3821</v>
      </c>
      <c r="S1305" t="str">
        <f>"0000050413295"</f>
        <v>0000050413295</v>
      </c>
      <c r="T1305" t="s">
        <v>41</v>
      </c>
      <c r="U1305">
        <v>17131.830000000002</v>
      </c>
      <c r="V1305">
        <v>10837.74</v>
      </c>
      <c r="W1305">
        <v>10837.74</v>
      </c>
      <c r="X1305">
        <v>0</v>
      </c>
      <c r="Y1305">
        <v>0</v>
      </c>
      <c r="Z1305">
        <v>-516</v>
      </c>
      <c r="AA1305">
        <v>4507</v>
      </c>
      <c r="AD1305" t="s">
        <v>3817</v>
      </c>
      <c r="AE1305" t="s">
        <v>3818</v>
      </c>
      <c r="AF1305" t="s">
        <v>3819</v>
      </c>
      <c r="AG1305">
        <v>53963443000900</v>
      </c>
      <c r="AH1305" t="s">
        <v>44</v>
      </c>
    </row>
    <row r="1306" spans="1:34" x14ac:dyDescent="0.3">
      <c r="A1306">
        <v>101</v>
      </c>
      <c r="B1306" t="s">
        <v>34</v>
      </c>
      <c r="C1306">
        <v>2</v>
      </c>
      <c r="D1306" s="1" t="s">
        <v>3822</v>
      </c>
      <c r="E1306" s="1" t="s">
        <v>36</v>
      </c>
      <c r="G1306">
        <v>1787</v>
      </c>
      <c r="H1306" t="s">
        <v>3814</v>
      </c>
      <c r="I1306" t="s">
        <v>3815</v>
      </c>
      <c r="J1306">
        <v>15</v>
      </c>
      <c r="K1306">
        <v>9047</v>
      </c>
      <c r="L1306">
        <v>50033</v>
      </c>
      <c r="M1306" t="s">
        <v>39</v>
      </c>
      <c r="N1306">
        <v>243</v>
      </c>
      <c r="O1306" s="2">
        <v>46254</v>
      </c>
      <c r="P1306" s="2">
        <v>46299</v>
      </c>
      <c r="R1306" t="s">
        <v>3823</v>
      </c>
      <c r="S1306" t="str">
        <f>"0000050414615"</f>
        <v>0000050414615</v>
      </c>
      <c r="T1306" t="s">
        <v>41</v>
      </c>
      <c r="U1306">
        <v>303.39</v>
      </c>
      <c r="V1306">
        <v>288.22000000000003</v>
      </c>
      <c r="W1306">
        <v>288.22000000000003</v>
      </c>
      <c r="X1306">
        <v>0</v>
      </c>
      <c r="Y1306">
        <v>0</v>
      </c>
      <c r="Z1306">
        <v>-524</v>
      </c>
      <c r="AA1306">
        <v>4507</v>
      </c>
      <c r="AD1306" t="s">
        <v>3817</v>
      </c>
      <c r="AE1306" t="s">
        <v>3818</v>
      </c>
      <c r="AF1306" t="s">
        <v>3819</v>
      </c>
      <c r="AG1306">
        <v>53963443000900</v>
      </c>
      <c r="AH1306" t="s">
        <v>44</v>
      </c>
    </row>
    <row r="1307" spans="1:34" x14ac:dyDescent="0.3">
      <c r="A1307">
        <v>101</v>
      </c>
      <c r="B1307" t="s">
        <v>34</v>
      </c>
      <c r="C1307">
        <v>2</v>
      </c>
      <c r="D1307" s="1" t="s">
        <v>3824</v>
      </c>
      <c r="E1307" s="1" t="s">
        <v>36</v>
      </c>
      <c r="G1307">
        <v>1787</v>
      </c>
      <c r="H1307" t="s">
        <v>3814</v>
      </c>
      <c r="I1307" t="s">
        <v>3815</v>
      </c>
      <c r="J1307">
        <v>15</v>
      </c>
      <c r="K1307">
        <v>9047</v>
      </c>
      <c r="L1307">
        <v>50033</v>
      </c>
      <c r="M1307" t="s">
        <v>39</v>
      </c>
      <c r="N1307">
        <v>243</v>
      </c>
      <c r="O1307" s="2">
        <v>46254</v>
      </c>
      <c r="P1307" s="2">
        <v>46299</v>
      </c>
      <c r="R1307" t="s">
        <v>3825</v>
      </c>
      <c r="S1307" t="str">
        <f>"0000050414607"</f>
        <v>0000050414607</v>
      </c>
      <c r="T1307" t="s">
        <v>41</v>
      </c>
      <c r="U1307">
        <v>2808.23</v>
      </c>
      <c r="V1307">
        <v>2667.82</v>
      </c>
      <c r="W1307">
        <v>2667.82</v>
      </c>
      <c r="X1307">
        <v>0</v>
      </c>
      <c r="Y1307">
        <v>0</v>
      </c>
      <c r="Z1307">
        <v>-524</v>
      </c>
      <c r="AA1307">
        <v>4507</v>
      </c>
      <c r="AD1307" t="s">
        <v>3817</v>
      </c>
      <c r="AE1307" t="s">
        <v>3818</v>
      </c>
      <c r="AF1307" t="s">
        <v>3819</v>
      </c>
      <c r="AG1307">
        <v>53963443000900</v>
      </c>
      <c r="AH1307" t="s">
        <v>44</v>
      </c>
    </row>
    <row r="1308" spans="1:34" x14ac:dyDescent="0.3">
      <c r="A1308">
        <v>101</v>
      </c>
      <c r="B1308" t="s">
        <v>34</v>
      </c>
      <c r="C1308">
        <v>2</v>
      </c>
      <c r="D1308" s="1" t="s">
        <v>3826</v>
      </c>
      <c r="E1308" s="1" t="s">
        <v>36</v>
      </c>
      <c r="G1308">
        <v>2425</v>
      </c>
      <c r="H1308" t="s">
        <v>3827</v>
      </c>
      <c r="I1308" t="s">
        <v>3828</v>
      </c>
      <c r="J1308">
        <v>15</v>
      </c>
      <c r="K1308">
        <v>3168</v>
      </c>
      <c r="L1308">
        <v>50001</v>
      </c>
      <c r="M1308" t="s">
        <v>39</v>
      </c>
      <c r="N1308">
        <v>243</v>
      </c>
      <c r="O1308" s="2">
        <v>46235</v>
      </c>
      <c r="P1308" s="2">
        <v>46280</v>
      </c>
      <c r="R1308" t="s">
        <v>3829</v>
      </c>
      <c r="S1308" t="str">
        <f>"25666160000051709"</f>
        <v>25666160000051709</v>
      </c>
      <c r="T1308" t="s">
        <v>41</v>
      </c>
      <c r="U1308">
        <v>10218.76</v>
      </c>
      <c r="V1308">
        <v>8718.76</v>
      </c>
      <c r="W1308">
        <v>8718.76</v>
      </c>
      <c r="X1308">
        <v>0</v>
      </c>
      <c r="Y1308">
        <v>0</v>
      </c>
      <c r="Z1308">
        <v>-505</v>
      </c>
      <c r="AA1308">
        <v>1966</v>
      </c>
      <c r="AD1308" t="s">
        <v>3830</v>
      </c>
      <c r="AE1308" t="s">
        <v>3831</v>
      </c>
      <c r="AF1308" t="s">
        <v>3830</v>
      </c>
      <c r="AG1308">
        <v>52437126000121</v>
      </c>
      <c r="AH1308" t="s">
        <v>44</v>
      </c>
    </row>
    <row r="1309" spans="1:34" x14ac:dyDescent="0.3">
      <c r="A1309">
        <v>101</v>
      </c>
      <c r="B1309" t="s">
        <v>34</v>
      </c>
      <c r="C1309">
        <v>2</v>
      </c>
      <c r="D1309" s="1" t="s">
        <v>3832</v>
      </c>
      <c r="E1309" s="1" t="s">
        <v>36</v>
      </c>
      <c r="G1309">
        <v>2425</v>
      </c>
      <c r="H1309" t="s">
        <v>3827</v>
      </c>
      <c r="I1309" t="s">
        <v>3828</v>
      </c>
      <c r="J1309">
        <v>15</v>
      </c>
      <c r="K1309">
        <v>3168</v>
      </c>
      <c r="L1309">
        <v>50001</v>
      </c>
      <c r="M1309" t="s">
        <v>39</v>
      </c>
      <c r="N1309">
        <v>243</v>
      </c>
      <c r="O1309" s="2">
        <v>46223</v>
      </c>
      <c r="P1309" s="2">
        <v>46268</v>
      </c>
      <c r="R1309" t="s">
        <v>3833</v>
      </c>
      <c r="S1309" t="str">
        <f>"25666160000051591"</f>
        <v>25666160000051591</v>
      </c>
      <c r="T1309" t="s">
        <v>41</v>
      </c>
      <c r="U1309">
        <v>6468.04</v>
      </c>
      <c r="V1309">
        <v>6018.04</v>
      </c>
      <c r="W1309">
        <v>6018.04</v>
      </c>
      <c r="X1309">
        <v>0</v>
      </c>
      <c r="Y1309">
        <v>0</v>
      </c>
      <c r="Z1309">
        <v>-493</v>
      </c>
      <c r="AA1309">
        <v>1288</v>
      </c>
      <c r="AD1309" t="s">
        <v>3830</v>
      </c>
      <c r="AE1309" t="s">
        <v>3831</v>
      </c>
      <c r="AF1309" t="s">
        <v>3830</v>
      </c>
      <c r="AG1309">
        <v>52437126000121</v>
      </c>
      <c r="AH1309" t="s">
        <v>44</v>
      </c>
    </row>
    <row r="1310" spans="1:34" x14ac:dyDescent="0.3">
      <c r="A1310">
        <v>101</v>
      </c>
      <c r="B1310" t="s">
        <v>34</v>
      </c>
      <c r="C1310">
        <v>2</v>
      </c>
      <c r="D1310" s="1" t="s">
        <v>3834</v>
      </c>
      <c r="E1310" s="1" t="s">
        <v>116</v>
      </c>
      <c r="G1310">
        <v>2938</v>
      </c>
      <c r="H1310" t="s">
        <v>3835</v>
      </c>
      <c r="I1310" t="s">
        <v>3836</v>
      </c>
      <c r="J1310">
        <v>15</v>
      </c>
      <c r="K1310">
        <v>3168</v>
      </c>
      <c r="L1310">
        <v>50001</v>
      </c>
      <c r="M1310" t="s">
        <v>39</v>
      </c>
      <c r="N1310">
        <v>243</v>
      </c>
      <c r="O1310" s="2">
        <v>46246</v>
      </c>
      <c r="P1310" s="2">
        <v>46301</v>
      </c>
      <c r="R1310" t="s">
        <v>3837</v>
      </c>
      <c r="S1310" t="str">
        <f>"25666160000051888"</f>
        <v>25666160000051888</v>
      </c>
      <c r="T1310" t="s">
        <v>41</v>
      </c>
      <c r="U1310">
        <v>1600.16</v>
      </c>
      <c r="V1310">
        <v>1600.16</v>
      </c>
      <c r="W1310">
        <v>1600.16</v>
      </c>
      <c r="X1310">
        <v>0</v>
      </c>
      <c r="Y1310">
        <v>0</v>
      </c>
      <c r="Z1310">
        <v>-526</v>
      </c>
      <c r="AA1310">
        <v>4413</v>
      </c>
      <c r="AD1310" t="s">
        <v>3838</v>
      </c>
      <c r="AE1310" t="s">
        <v>3839</v>
      </c>
      <c r="AF1310" t="s">
        <v>3838</v>
      </c>
      <c r="AG1310">
        <v>49238009000124</v>
      </c>
      <c r="AH1310" t="s">
        <v>44</v>
      </c>
    </row>
    <row r="1311" spans="1:34" x14ac:dyDescent="0.3">
      <c r="A1311">
        <v>101</v>
      </c>
      <c r="B1311" t="s">
        <v>34</v>
      </c>
      <c r="C1311">
        <v>2</v>
      </c>
      <c r="D1311" s="1" t="s">
        <v>3834</v>
      </c>
      <c r="E1311" s="1" t="s">
        <v>36</v>
      </c>
      <c r="G1311">
        <v>2938</v>
      </c>
      <c r="H1311" t="s">
        <v>3835</v>
      </c>
      <c r="I1311" t="s">
        <v>3836</v>
      </c>
      <c r="J1311">
        <v>15</v>
      </c>
      <c r="K1311">
        <v>3168</v>
      </c>
      <c r="L1311">
        <v>50001</v>
      </c>
      <c r="M1311" t="s">
        <v>39</v>
      </c>
      <c r="N1311">
        <v>243</v>
      </c>
      <c r="O1311" s="2">
        <v>46246</v>
      </c>
      <c r="P1311" s="2">
        <v>46281</v>
      </c>
      <c r="R1311" t="s">
        <v>3837</v>
      </c>
      <c r="S1311" t="str">
        <f>"25666160000051886"</f>
        <v>25666160000051886</v>
      </c>
      <c r="T1311" t="s">
        <v>41</v>
      </c>
      <c r="U1311">
        <v>1701.06</v>
      </c>
      <c r="V1311">
        <v>1701.06</v>
      </c>
      <c r="W1311">
        <v>1701.06</v>
      </c>
      <c r="X1311">
        <v>0</v>
      </c>
      <c r="Y1311">
        <v>0</v>
      </c>
      <c r="Z1311">
        <v>-506</v>
      </c>
      <c r="AA1311">
        <v>4413</v>
      </c>
      <c r="AD1311" t="s">
        <v>3838</v>
      </c>
      <c r="AE1311" t="s">
        <v>3839</v>
      </c>
      <c r="AF1311" t="s">
        <v>3838</v>
      </c>
      <c r="AG1311">
        <v>49238009000124</v>
      </c>
      <c r="AH1311" t="s">
        <v>44</v>
      </c>
    </row>
    <row r="1312" spans="1:34" x14ac:dyDescent="0.3">
      <c r="A1312">
        <v>101</v>
      </c>
      <c r="B1312" t="s">
        <v>34</v>
      </c>
      <c r="C1312">
        <v>2</v>
      </c>
      <c r="D1312" s="1" t="s">
        <v>3834</v>
      </c>
      <c r="E1312" s="1" t="s">
        <v>122</v>
      </c>
      <c r="G1312">
        <v>2938</v>
      </c>
      <c r="H1312" t="s">
        <v>3835</v>
      </c>
      <c r="I1312" t="s">
        <v>3836</v>
      </c>
      <c r="J1312">
        <v>15</v>
      </c>
      <c r="K1312">
        <v>3168</v>
      </c>
      <c r="L1312">
        <v>50001</v>
      </c>
      <c r="M1312" t="s">
        <v>39</v>
      </c>
      <c r="N1312">
        <v>243</v>
      </c>
      <c r="O1312" s="2">
        <v>46246</v>
      </c>
      <c r="P1312" s="2">
        <v>46291</v>
      </c>
      <c r="R1312" t="s">
        <v>3837</v>
      </c>
      <c r="S1312" t="str">
        <f>"25666160000051887"</f>
        <v>25666160000051887</v>
      </c>
      <c r="T1312" t="s">
        <v>41</v>
      </c>
      <c r="U1312">
        <v>1599.68</v>
      </c>
      <c r="V1312">
        <v>1599.68</v>
      </c>
      <c r="W1312">
        <v>1599.68</v>
      </c>
      <c r="X1312">
        <v>0</v>
      </c>
      <c r="Y1312">
        <v>0</v>
      </c>
      <c r="Z1312">
        <v>-516</v>
      </c>
      <c r="AA1312">
        <v>4413</v>
      </c>
      <c r="AD1312" t="s">
        <v>3838</v>
      </c>
      <c r="AE1312" t="s">
        <v>3839</v>
      </c>
      <c r="AF1312" t="s">
        <v>3838</v>
      </c>
      <c r="AG1312">
        <v>49238009000124</v>
      </c>
      <c r="AH1312" t="s">
        <v>44</v>
      </c>
    </row>
    <row r="1313" spans="1:34" x14ac:dyDescent="0.3">
      <c r="A1313">
        <v>101</v>
      </c>
      <c r="B1313" t="s">
        <v>34</v>
      </c>
      <c r="C1313">
        <v>2</v>
      </c>
      <c r="D1313" s="1" t="s">
        <v>3840</v>
      </c>
      <c r="E1313" s="1" t="s">
        <v>116</v>
      </c>
      <c r="G1313">
        <v>2938</v>
      </c>
      <c r="H1313" t="s">
        <v>3835</v>
      </c>
      <c r="I1313" t="s">
        <v>3836</v>
      </c>
      <c r="J1313">
        <v>15</v>
      </c>
      <c r="K1313">
        <v>3168</v>
      </c>
      <c r="L1313">
        <v>50001</v>
      </c>
      <c r="M1313" t="s">
        <v>39</v>
      </c>
      <c r="N1313">
        <v>243</v>
      </c>
      <c r="O1313" s="2">
        <v>46211</v>
      </c>
      <c r="P1313" s="2">
        <v>46266</v>
      </c>
      <c r="R1313" t="s">
        <v>3841</v>
      </c>
      <c r="S1313" t="str">
        <f>"25666160000051392"</f>
        <v>25666160000051392</v>
      </c>
      <c r="T1313" t="s">
        <v>41</v>
      </c>
      <c r="U1313">
        <v>1951.43</v>
      </c>
      <c r="V1313">
        <v>1951.43</v>
      </c>
      <c r="W1313">
        <v>1951.43</v>
      </c>
      <c r="X1313">
        <v>0</v>
      </c>
      <c r="Y1313">
        <v>0</v>
      </c>
      <c r="Z1313">
        <v>-491</v>
      </c>
      <c r="AA1313">
        <v>693798</v>
      </c>
      <c r="AD1313" t="s">
        <v>3838</v>
      </c>
      <c r="AE1313" t="s">
        <v>3839</v>
      </c>
      <c r="AF1313" t="s">
        <v>3838</v>
      </c>
      <c r="AG1313">
        <v>49238009000124</v>
      </c>
      <c r="AH1313" t="s">
        <v>44</v>
      </c>
    </row>
    <row r="1314" spans="1:34" x14ac:dyDescent="0.3">
      <c r="A1314">
        <v>101</v>
      </c>
      <c r="B1314" t="s">
        <v>34</v>
      </c>
      <c r="C1314">
        <v>2</v>
      </c>
      <c r="D1314" s="1" t="s">
        <v>3840</v>
      </c>
      <c r="E1314" s="1" t="s">
        <v>122</v>
      </c>
      <c r="G1314">
        <v>2938</v>
      </c>
      <c r="H1314" t="s">
        <v>3835</v>
      </c>
      <c r="I1314" t="s">
        <v>3836</v>
      </c>
      <c r="J1314">
        <v>15</v>
      </c>
      <c r="K1314">
        <v>3168</v>
      </c>
      <c r="L1314">
        <v>50001</v>
      </c>
      <c r="M1314" t="s">
        <v>39</v>
      </c>
      <c r="N1314">
        <v>243</v>
      </c>
      <c r="O1314" s="2">
        <v>46211</v>
      </c>
      <c r="P1314" s="2">
        <v>46256</v>
      </c>
      <c r="R1314" t="s">
        <v>3841</v>
      </c>
      <c r="S1314" t="str">
        <f>"25666160000051391"</f>
        <v>25666160000051391</v>
      </c>
      <c r="T1314" t="s">
        <v>41</v>
      </c>
      <c r="U1314">
        <v>1950.83</v>
      </c>
      <c r="V1314">
        <v>1950.83</v>
      </c>
      <c r="W1314">
        <v>1950.83</v>
      </c>
      <c r="X1314">
        <v>0</v>
      </c>
      <c r="Y1314">
        <v>0</v>
      </c>
      <c r="Z1314">
        <v>-481</v>
      </c>
      <c r="AA1314">
        <v>693798</v>
      </c>
      <c r="AD1314" t="s">
        <v>3838</v>
      </c>
      <c r="AE1314" t="s">
        <v>3839</v>
      </c>
      <c r="AF1314" t="s">
        <v>3838</v>
      </c>
      <c r="AG1314">
        <v>49238009000124</v>
      </c>
      <c r="AH1314" t="s">
        <v>44</v>
      </c>
    </row>
    <row r="1315" spans="1:34" x14ac:dyDescent="0.3">
      <c r="A1315">
        <v>101</v>
      </c>
      <c r="B1315" t="s">
        <v>34</v>
      </c>
      <c r="C1315">
        <v>2</v>
      </c>
      <c r="D1315" s="1" t="s">
        <v>3842</v>
      </c>
      <c r="E1315" s="1" t="s">
        <v>36</v>
      </c>
      <c r="G1315">
        <v>2939</v>
      </c>
      <c r="H1315" t="s">
        <v>3843</v>
      </c>
      <c r="I1315" t="s">
        <v>3844</v>
      </c>
      <c r="J1315">
        <v>15</v>
      </c>
      <c r="K1315">
        <v>3168</v>
      </c>
      <c r="L1315">
        <v>50001</v>
      </c>
      <c r="M1315" t="s">
        <v>39</v>
      </c>
      <c r="N1315">
        <v>243</v>
      </c>
      <c r="O1315" s="2">
        <v>46255</v>
      </c>
      <c r="P1315" s="2">
        <v>46285</v>
      </c>
      <c r="R1315" t="s">
        <v>3845</v>
      </c>
      <c r="S1315" t="str">
        <f>"25666160000051997"</f>
        <v>25666160000051997</v>
      </c>
      <c r="T1315" t="s">
        <v>41</v>
      </c>
      <c r="U1315">
        <v>1980.32</v>
      </c>
      <c r="V1315">
        <v>1980.32</v>
      </c>
      <c r="W1315">
        <v>1980.32</v>
      </c>
      <c r="X1315">
        <v>0</v>
      </c>
      <c r="Y1315">
        <v>0</v>
      </c>
      <c r="Z1315">
        <v>-510</v>
      </c>
      <c r="AA1315">
        <v>4583</v>
      </c>
      <c r="AD1315" t="s">
        <v>3846</v>
      </c>
      <c r="AE1315" t="s">
        <v>3847</v>
      </c>
      <c r="AF1315" t="s">
        <v>3846</v>
      </c>
      <c r="AG1315">
        <v>45093754000171</v>
      </c>
      <c r="AH1315" t="s">
        <v>44</v>
      </c>
    </row>
    <row r="1316" spans="1:34" x14ac:dyDescent="0.3">
      <c r="A1316">
        <v>101</v>
      </c>
      <c r="B1316" t="s">
        <v>34</v>
      </c>
      <c r="C1316">
        <v>2</v>
      </c>
      <c r="D1316" s="1" t="s">
        <v>3842</v>
      </c>
      <c r="E1316" s="1" t="s">
        <v>122</v>
      </c>
      <c r="G1316">
        <v>2939</v>
      </c>
      <c r="H1316" t="s">
        <v>3843</v>
      </c>
      <c r="I1316" t="s">
        <v>3844</v>
      </c>
      <c r="J1316">
        <v>15</v>
      </c>
      <c r="K1316">
        <v>3168</v>
      </c>
      <c r="L1316">
        <v>50001</v>
      </c>
      <c r="M1316" t="s">
        <v>39</v>
      </c>
      <c r="N1316">
        <v>243</v>
      </c>
      <c r="O1316" s="2">
        <v>46255</v>
      </c>
      <c r="P1316" s="2">
        <v>46300</v>
      </c>
      <c r="R1316" t="s">
        <v>3845</v>
      </c>
      <c r="S1316" t="str">
        <f>"25666160000051998"</f>
        <v>25666160000051998</v>
      </c>
      <c r="T1316" t="s">
        <v>41</v>
      </c>
      <c r="U1316">
        <v>1865.22</v>
      </c>
      <c r="V1316">
        <v>1865.22</v>
      </c>
      <c r="W1316">
        <v>1865.22</v>
      </c>
      <c r="X1316">
        <v>0</v>
      </c>
      <c r="Y1316">
        <v>0</v>
      </c>
      <c r="Z1316">
        <v>-525</v>
      </c>
      <c r="AA1316">
        <v>4583</v>
      </c>
      <c r="AD1316" t="s">
        <v>3846</v>
      </c>
      <c r="AE1316" t="s">
        <v>3847</v>
      </c>
      <c r="AF1316" t="s">
        <v>3846</v>
      </c>
      <c r="AG1316">
        <v>45093754000171</v>
      </c>
      <c r="AH1316" t="s">
        <v>44</v>
      </c>
    </row>
    <row r="1317" spans="1:34" x14ac:dyDescent="0.3">
      <c r="A1317">
        <v>101</v>
      </c>
      <c r="B1317" t="s">
        <v>34</v>
      </c>
      <c r="C1317">
        <v>2</v>
      </c>
      <c r="D1317" s="1" t="s">
        <v>3842</v>
      </c>
      <c r="E1317" s="1" t="s">
        <v>116</v>
      </c>
      <c r="G1317">
        <v>2939</v>
      </c>
      <c r="H1317" t="s">
        <v>3843</v>
      </c>
      <c r="I1317" t="s">
        <v>3844</v>
      </c>
      <c r="J1317">
        <v>15</v>
      </c>
      <c r="K1317">
        <v>3168</v>
      </c>
      <c r="L1317">
        <v>50001</v>
      </c>
      <c r="M1317" t="s">
        <v>39</v>
      </c>
      <c r="N1317">
        <v>243</v>
      </c>
      <c r="O1317" s="2">
        <v>46255</v>
      </c>
      <c r="P1317" s="2">
        <v>46315</v>
      </c>
      <c r="R1317" t="s">
        <v>3845</v>
      </c>
      <c r="S1317" t="str">
        <f>"25666160000051999"</f>
        <v>25666160000051999</v>
      </c>
      <c r="T1317" t="s">
        <v>41</v>
      </c>
      <c r="U1317">
        <v>1865.79</v>
      </c>
      <c r="V1317">
        <v>1865.79</v>
      </c>
      <c r="W1317">
        <v>1865.79</v>
      </c>
      <c r="X1317">
        <v>0</v>
      </c>
      <c r="Y1317">
        <v>0</v>
      </c>
      <c r="Z1317">
        <v>-540</v>
      </c>
      <c r="AA1317">
        <v>4583</v>
      </c>
      <c r="AD1317" t="s">
        <v>3846</v>
      </c>
      <c r="AE1317" t="s">
        <v>3847</v>
      </c>
      <c r="AF1317" t="s">
        <v>3846</v>
      </c>
      <c r="AG1317">
        <v>45093754000171</v>
      </c>
      <c r="AH1317" t="s">
        <v>44</v>
      </c>
    </row>
    <row r="1318" spans="1:34" x14ac:dyDescent="0.3">
      <c r="A1318">
        <v>101</v>
      </c>
      <c r="B1318" t="s">
        <v>34</v>
      </c>
      <c r="C1318">
        <v>2</v>
      </c>
      <c r="D1318" s="1" t="s">
        <v>3848</v>
      </c>
      <c r="E1318" s="1" t="s">
        <v>116</v>
      </c>
      <c r="G1318">
        <v>2939</v>
      </c>
      <c r="H1318" t="s">
        <v>3843</v>
      </c>
      <c r="I1318" t="s">
        <v>3844</v>
      </c>
      <c r="J1318">
        <v>15</v>
      </c>
      <c r="K1318">
        <v>3168</v>
      </c>
      <c r="L1318">
        <v>50001</v>
      </c>
      <c r="M1318" t="s">
        <v>39</v>
      </c>
      <c r="N1318">
        <v>243</v>
      </c>
      <c r="O1318" s="2">
        <v>46202</v>
      </c>
      <c r="P1318" s="2">
        <v>46257</v>
      </c>
      <c r="R1318" t="s">
        <v>3849</v>
      </c>
      <c r="S1318" t="str">
        <f>"25666160000051265"</f>
        <v>25666160000051265</v>
      </c>
      <c r="T1318" t="s">
        <v>41</v>
      </c>
      <c r="U1318">
        <v>708.32</v>
      </c>
      <c r="V1318">
        <v>708.32</v>
      </c>
      <c r="W1318">
        <v>708.32</v>
      </c>
      <c r="X1318">
        <v>0</v>
      </c>
      <c r="Y1318">
        <v>0</v>
      </c>
      <c r="Z1318">
        <v>-482</v>
      </c>
      <c r="AA1318">
        <v>693032</v>
      </c>
      <c r="AD1318" t="s">
        <v>3846</v>
      </c>
      <c r="AE1318" t="s">
        <v>3847</v>
      </c>
      <c r="AF1318" t="s">
        <v>3846</v>
      </c>
      <c r="AG1318">
        <v>45093754000171</v>
      </c>
      <c r="AH1318" t="s">
        <v>44</v>
      </c>
    </row>
    <row r="1319" spans="1:34" x14ac:dyDescent="0.3">
      <c r="A1319">
        <v>101</v>
      </c>
      <c r="B1319" t="s">
        <v>34</v>
      </c>
      <c r="C1319">
        <v>2</v>
      </c>
      <c r="D1319" s="1" t="s">
        <v>3850</v>
      </c>
      <c r="E1319" s="1" t="s">
        <v>36</v>
      </c>
      <c r="G1319">
        <v>2954</v>
      </c>
      <c r="H1319" t="s">
        <v>3851</v>
      </c>
      <c r="I1319" t="s">
        <v>3852</v>
      </c>
      <c r="J1319">
        <v>15</v>
      </c>
      <c r="K1319">
        <v>3168</v>
      </c>
      <c r="L1319">
        <v>50001</v>
      </c>
      <c r="M1319" t="s">
        <v>39</v>
      </c>
      <c r="N1319">
        <v>243</v>
      </c>
      <c r="O1319" s="2">
        <v>46226</v>
      </c>
      <c r="P1319" s="2">
        <v>46271</v>
      </c>
      <c r="R1319" t="s">
        <v>3853</v>
      </c>
      <c r="S1319" t="str">
        <f>"25666160000051558"</f>
        <v>25666160000051558</v>
      </c>
      <c r="T1319" t="s">
        <v>41</v>
      </c>
      <c r="U1319">
        <v>1866.76</v>
      </c>
      <c r="V1319">
        <v>1866.76</v>
      </c>
      <c r="W1319">
        <v>1866.76</v>
      </c>
      <c r="X1319">
        <v>0</v>
      </c>
      <c r="Y1319">
        <v>0</v>
      </c>
      <c r="Z1319">
        <v>-496</v>
      </c>
      <c r="AA1319">
        <v>1683</v>
      </c>
      <c r="AD1319" t="s">
        <v>3854</v>
      </c>
      <c r="AE1319" t="s">
        <v>3855</v>
      </c>
      <c r="AF1319" t="s">
        <v>3854</v>
      </c>
      <c r="AG1319" s="1" t="s">
        <v>3856</v>
      </c>
      <c r="AH1319" t="s">
        <v>44</v>
      </c>
    </row>
    <row r="1320" spans="1:34" x14ac:dyDescent="0.3">
      <c r="A1320">
        <v>101</v>
      </c>
      <c r="B1320" t="s">
        <v>34</v>
      </c>
      <c r="C1320">
        <v>2</v>
      </c>
      <c r="D1320" s="1" t="s">
        <v>3857</v>
      </c>
      <c r="E1320" s="1" t="s">
        <v>36</v>
      </c>
      <c r="G1320">
        <v>2997</v>
      </c>
      <c r="H1320" t="s">
        <v>3858</v>
      </c>
      <c r="I1320" t="s">
        <v>3859</v>
      </c>
      <c r="J1320">
        <v>15</v>
      </c>
      <c r="K1320">
        <v>9047</v>
      </c>
      <c r="L1320">
        <v>50001</v>
      </c>
      <c r="M1320" t="s">
        <v>39</v>
      </c>
      <c r="N1320">
        <v>243</v>
      </c>
      <c r="O1320" s="2">
        <v>46246</v>
      </c>
      <c r="P1320" s="2">
        <v>46291</v>
      </c>
      <c r="R1320" t="s">
        <v>3860</v>
      </c>
      <c r="S1320" t="str">
        <f>"25666160000051853"</f>
        <v>25666160000051853</v>
      </c>
      <c r="T1320" t="s">
        <v>41</v>
      </c>
      <c r="U1320">
        <v>3868.27</v>
      </c>
      <c r="V1320">
        <v>3674.86</v>
      </c>
      <c r="W1320">
        <v>3674.86</v>
      </c>
      <c r="X1320">
        <v>0</v>
      </c>
      <c r="Y1320">
        <v>0</v>
      </c>
      <c r="Z1320">
        <v>-516</v>
      </c>
      <c r="AA1320">
        <v>4501</v>
      </c>
      <c r="AD1320" t="s">
        <v>3861</v>
      </c>
      <c r="AE1320" t="s">
        <v>3862</v>
      </c>
      <c r="AF1320" t="s">
        <v>3819</v>
      </c>
      <c r="AG1320">
        <v>53963443000730</v>
      </c>
      <c r="AH1320" t="s">
        <v>44</v>
      </c>
    </row>
    <row r="1321" spans="1:34" x14ac:dyDescent="0.3">
      <c r="A1321">
        <v>101</v>
      </c>
      <c r="B1321" t="s">
        <v>34</v>
      </c>
      <c r="C1321">
        <v>2</v>
      </c>
      <c r="D1321" s="1" t="s">
        <v>3863</v>
      </c>
      <c r="E1321" s="1" t="s">
        <v>36</v>
      </c>
      <c r="G1321">
        <v>2998</v>
      </c>
      <c r="H1321" t="s">
        <v>3864</v>
      </c>
      <c r="I1321" t="s">
        <v>3865</v>
      </c>
      <c r="J1321">
        <v>15</v>
      </c>
      <c r="K1321">
        <v>9047</v>
      </c>
      <c r="L1321">
        <v>50001</v>
      </c>
      <c r="M1321" t="s">
        <v>39</v>
      </c>
      <c r="N1321">
        <v>243</v>
      </c>
      <c r="O1321" s="2">
        <v>46246</v>
      </c>
      <c r="P1321" s="2">
        <v>46291</v>
      </c>
      <c r="R1321" t="s">
        <v>3866</v>
      </c>
      <c r="S1321" t="str">
        <f>"25666160000051854"</f>
        <v>25666160000051854</v>
      </c>
      <c r="T1321" t="s">
        <v>41</v>
      </c>
      <c r="U1321">
        <v>5090.26</v>
      </c>
      <c r="V1321">
        <v>4835.75</v>
      </c>
      <c r="W1321">
        <v>4835.75</v>
      </c>
      <c r="X1321">
        <v>0</v>
      </c>
      <c r="Y1321">
        <v>0</v>
      </c>
      <c r="Z1321">
        <v>-516</v>
      </c>
      <c r="AA1321">
        <v>4496</v>
      </c>
      <c r="AD1321" t="s">
        <v>3867</v>
      </c>
      <c r="AE1321" t="s">
        <v>3868</v>
      </c>
      <c r="AF1321" t="s">
        <v>3819</v>
      </c>
      <c r="AG1321">
        <v>53963443000225</v>
      </c>
      <c r="AH1321" t="s">
        <v>44</v>
      </c>
    </row>
    <row r="1322" spans="1:34" x14ac:dyDescent="0.3">
      <c r="A1322">
        <v>101</v>
      </c>
      <c r="B1322" t="s">
        <v>34</v>
      </c>
      <c r="C1322">
        <v>2</v>
      </c>
      <c r="D1322" s="1" t="s">
        <v>3869</v>
      </c>
      <c r="E1322" s="1" t="s">
        <v>36</v>
      </c>
      <c r="G1322">
        <v>2999</v>
      </c>
      <c r="H1322" t="s">
        <v>3870</v>
      </c>
      <c r="I1322" t="s">
        <v>3871</v>
      </c>
      <c r="J1322">
        <v>15</v>
      </c>
      <c r="K1322">
        <v>9047</v>
      </c>
      <c r="L1322">
        <v>50001</v>
      </c>
      <c r="M1322" t="s">
        <v>39</v>
      </c>
      <c r="N1322">
        <v>243</v>
      </c>
      <c r="O1322" s="2">
        <v>46246</v>
      </c>
      <c r="P1322" s="2">
        <v>46291</v>
      </c>
      <c r="R1322" t="s">
        <v>3872</v>
      </c>
      <c r="S1322" t="str">
        <f>"25666160000051855"</f>
        <v>25666160000051855</v>
      </c>
      <c r="T1322" t="s">
        <v>41</v>
      </c>
      <c r="U1322">
        <v>4431.2299999999996</v>
      </c>
      <c r="V1322">
        <v>4209.67</v>
      </c>
      <c r="W1322">
        <v>4209.67</v>
      </c>
      <c r="X1322">
        <v>0</v>
      </c>
      <c r="Y1322">
        <v>0</v>
      </c>
      <c r="Z1322">
        <v>-516</v>
      </c>
      <c r="AA1322">
        <v>4499</v>
      </c>
      <c r="AD1322" t="s">
        <v>3819</v>
      </c>
      <c r="AE1322" t="s">
        <v>3873</v>
      </c>
      <c r="AF1322" t="s">
        <v>3819</v>
      </c>
      <c r="AG1322">
        <v>53963443000659</v>
      </c>
      <c r="AH1322" t="s">
        <v>44</v>
      </c>
    </row>
    <row r="1323" spans="1:34" x14ac:dyDescent="0.3">
      <c r="A1323">
        <v>101</v>
      </c>
      <c r="B1323" t="s">
        <v>34</v>
      </c>
      <c r="C1323">
        <v>2</v>
      </c>
      <c r="D1323" s="1" t="s">
        <v>3874</v>
      </c>
      <c r="E1323" s="1" t="s">
        <v>36</v>
      </c>
      <c r="G1323">
        <v>3145</v>
      </c>
      <c r="H1323" t="s">
        <v>3875</v>
      </c>
      <c r="I1323" t="s">
        <v>3876</v>
      </c>
      <c r="J1323">
        <v>15</v>
      </c>
      <c r="K1323">
        <v>3168</v>
      </c>
      <c r="L1323">
        <v>50001</v>
      </c>
      <c r="M1323" t="s">
        <v>39</v>
      </c>
      <c r="N1323">
        <v>243</v>
      </c>
      <c r="O1323" s="2">
        <v>46219</v>
      </c>
      <c r="P1323" s="2">
        <v>46264</v>
      </c>
      <c r="R1323" t="s">
        <v>3877</v>
      </c>
      <c r="S1323" t="str">
        <f>"25666160000051493"</f>
        <v>25666160000051493</v>
      </c>
      <c r="T1323" t="s">
        <v>41</v>
      </c>
      <c r="U1323">
        <v>3783.09</v>
      </c>
      <c r="V1323">
        <v>3783.09</v>
      </c>
      <c r="W1323">
        <v>3783.09</v>
      </c>
      <c r="X1323">
        <v>0</v>
      </c>
      <c r="Y1323">
        <v>0</v>
      </c>
      <c r="Z1323">
        <v>-489</v>
      </c>
      <c r="AA1323">
        <v>1185</v>
      </c>
      <c r="AD1323" t="s">
        <v>3838</v>
      </c>
      <c r="AE1323" t="s">
        <v>3878</v>
      </c>
      <c r="AF1323" t="s">
        <v>3838</v>
      </c>
      <c r="AG1323">
        <v>60979317000143</v>
      </c>
      <c r="AH1323" t="s">
        <v>44</v>
      </c>
    </row>
    <row r="1324" spans="1:34" x14ac:dyDescent="0.3">
      <c r="A1324">
        <v>101</v>
      </c>
      <c r="B1324" t="s">
        <v>34</v>
      </c>
      <c r="C1324">
        <v>2</v>
      </c>
      <c r="D1324" s="1" t="s">
        <v>3879</v>
      </c>
      <c r="E1324" s="1" t="s">
        <v>36</v>
      </c>
      <c r="G1324">
        <v>3209</v>
      </c>
      <c r="H1324" t="s">
        <v>3880</v>
      </c>
      <c r="I1324" t="s">
        <v>3881</v>
      </c>
      <c r="J1324">
        <v>12</v>
      </c>
      <c r="K1324">
        <v>3209</v>
      </c>
      <c r="L1324">
        <v>50033</v>
      </c>
      <c r="M1324" t="s">
        <v>39</v>
      </c>
      <c r="N1324">
        <v>243</v>
      </c>
      <c r="O1324" s="2">
        <v>46226</v>
      </c>
      <c r="P1324" s="2">
        <v>46261</v>
      </c>
      <c r="R1324" t="s">
        <v>3882</v>
      </c>
      <c r="S1324" t="str">
        <f>"0000050410555"</f>
        <v>0000050410555</v>
      </c>
      <c r="T1324" t="s">
        <v>41</v>
      </c>
      <c r="U1324">
        <v>10170.780000000001</v>
      </c>
      <c r="V1324">
        <v>10170.780000000001</v>
      </c>
      <c r="W1324">
        <v>10170.780000000001</v>
      </c>
      <c r="X1324">
        <v>0</v>
      </c>
      <c r="Y1324">
        <v>0</v>
      </c>
      <c r="Z1324">
        <v>-486</v>
      </c>
      <c r="AA1324">
        <v>1293</v>
      </c>
      <c r="AD1324" t="s">
        <v>3275</v>
      </c>
      <c r="AE1324" t="s">
        <v>3883</v>
      </c>
      <c r="AF1324" t="s">
        <v>3275</v>
      </c>
      <c r="AG1324" s="1" t="s">
        <v>3884</v>
      </c>
      <c r="AH1324" t="s">
        <v>44</v>
      </c>
    </row>
    <row r="1325" spans="1:34" x14ac:dyDescent="0.3">
      <c r="A1325">
        <v>101</v>
      </c>
      <c r="B1325" t="s">
        <v>34</v>
      </c>
      <c r="C1325">
        <v>2</v>
      </c>
      <c r="D1325" s="1" t="s">
        <v>3885</v>
      </c>
      <c r="E1325" s="1" t="s">
        <v>36</v>
      </c>
      <c r="G1325">
        <v>3465</v>
      </c>
      <c r="H1325" t="s">
        <v>3886</v>
      </c>
      <c r="I1325" t="s">
        <v>3887</v>
      </c>
      <c r="J1325">
        <v>12</v>
      </c>
      <c r="K1325">
        <v>3465</v>
      </c>
      <c r="L1325">
        <v>50033</v>
      </c>
      <c r="M1325" t="s">
        <v>39</v>
      </c>
      <c r="N1325">
        <v>243</v>
      </c>
      <c r="O1325" s="2">
        <v>46240</v>
      </c>
      <c r="P1325" s="2">
        <v>46270</v>
      </c>
      <c r="R1325" t="s">
        <v>3888</v>
      </c>
      <c r="S1325" t="str">
        <f>"0000050412701"</f>
        <v>0000050412701</v>
      </c>
      <c r="T1325" t="s">
        <v>41</v>
      </c>
      <c r="U1325">
        <v>1790.71</v>
      </c>
      <c r="V1325">
        <v>1736.99</v>
      </c>
      <c r="W1325">
        <v>1736.99</v>
      </c>
      <c r="X1325">
        <v>0</v>
      </c>
      <c r="Y1325">
        <v>0</v>
      </c>
      <c r="Z1325">
        <v>-495</v>
      </c>
      <c r="AA1325" t="s">
        <v>3889</v>
      </c>
      <c r="AD1325" t="s">
        <v>3890</v>
      </c>
      <c r="AE1325" t="s">
        <v>3891</v>
      </c>
      <c r="AF1325" t="s">
        <v>3890</v>
      </c>
      <c r="AG1325">
        <v>66965518000178</v>
      </c>
      <c r="AH1325" t="s">
        <v>44</v>
      </c>
    </row>
    <row r="1326" spans="1:34" x14ac:dyDescent="0.3">
      <c r="A1326">
        <v>101</v>
      </c>
      <c r="B1326" t="s">
        <v>34</v>
      </c>
      <c r="C1326">
        <v>2</v>
      </c>
      <c r="D1326" s="1" t="s">
        <v>3892</v>
      </c>
      <c r="E1326" s="1" t="s">
        <v>36</v>
      </c>
      <c r="G1326">
        <v>3957</v>
      </c>
      <c r="H1326" t="s">
        <v>3893</v>
      </c>
      <c r="I1326" t="s">
        <v>3894</v>
      </c>
      <c r="J1326">
        <v>12</v>
      </c>
      <c r="K1326">
        <v>8218</v>
      </c>
      <c r="L1326">
        <v>50237</v>
      </c>
      <c r="M1326" t="s">
        <v>39</v>
      </c>
      <c r="N1326">
        <v>243</v>
      </c>
      <c r="O1326" s="2">
        <v>46246</v>
      </c>
      <c r="P1326" s="2">
        <v>46291</v>
      </c>
      <c r="R1326" t="s">
        <v>3895</v>
      </c>
      <c r="S1326" t="str">
        <f>"330000052186"</f>
        <v>330000052186</v>
      </c>
      <c r="T1326" t="s">
        <v>41</v>
      </c>
      <c r="U1326">
        <v>2155.1999999999998</v>
      </c>
      <c r="V1326">
        <v>2155.1999999999998</v>
      </c>
      <c r="W1326">
        <v>2155.1999999999998</v>
      </c>
      <c r="X1326">
        <v>0</v>
      </c>
      <c r="Y1326">
        <v>0</v>
      </c>
      <c r="Z1326">
        <v>-516</v>
      </c>
      <c r="AA1326">
        <v>4469</v>
      </c>
      <c r="AD1326" t="s">
        <v>3896</v>
      </c>
      <c r="AE1326" t="s">
        <v>3897</v>
      </c>
      <c r="AF1326" t="s">
        <v>3896</v>
      </c>
      <c r="AG1326">
        <v>72954308000268</v>
      </c>
      <c r="AH1326" t="s">
        <v>44</v>
      </c>
    </row>
    <row r="1327" spans="1:34" x14ac:dyDescent="0.3">
      <c r="A1327">
        <v>101</v>
      </c>
      <c r="B1327" t="s">
        <v>34</v>
      </c>
      <c r="C1327">
        <v>2</v>
      </c>
      <c r="D1327" s="1" t="s">
        <v>3898</v>
      </c>
      <c r="E1327" s="1" t="s">
        <v>36</v>
      </c>
      <c r="G1327">
        <v>4614</v>
      </c>
      <c r="H1327" t="s">
        <v>3899</v>
      </c>
      <c r="I1327" t="s">
        <v>3900</v>
      </c>
      <c r="J1327">
        <v>15</v>
      </c>
      <c r="K1327">
        <v>9047</v>
      </c>
      <c r="L1327">
        <v>50033</v>
      </c>
      <c r="M1327" t="s">
        <v>39</v>
      </c>
      <c r="N1327">
        <v>243</v>
      </c>
      <c r="O1327" s="2">
        <v>46252</v>
      </c>
      <c r="P1327" s="2">
        <v>46297</v>
      </c>
      <c r="R1327" t="s">
        <v>3901</v>
      </c>
      <c r="S1327" t="str">
        <f>"0000050413791"</f>
        <v>0000050413791</v>
      </c>
      <c r="T1327" t="s">
        <v>41</v>
      </c>
      <c r="U1327">
        <v>5528.53</v>
      </c>
      <c r="V1327">
        <v>5252.1</v>
      </c>
      <c r="W1327">
        <v>5252.1</v>
      </c>
      <c r="X1327">
        <v>0</v>
      </c>
      <c r="Y1327">
        <v>0</v>
      </c>
      <c r="Z1327">
        <v>-522</v>
      </c>
      <c r="AA1327">
        <v>4504</v>
      </c>
      <c r="AD1327" t="s">
        <v>3902</v>
      </c>
      <c r="AE1327" t="s">
        <v>3903</v>
      </c>
      <c r="AF1327" t="s">
        <v>3819</v>
      </c>
      <c r="AG1327">
        <v>53963443000810</v>
      </c>
      <c r="AH1327" t="s">
        <v>44</v>
      </c>
    </row>
    <row r="1328" spans="1:34" x14ac:dyDescent="0.3">
      <c r="A1328">
        <v>101</v>
      </c>
      <c r="B1328" t="s">
        <v>34</v>
      </c>
      <c r="C1328">
        <v>2</v>
      </c>
      <c r="D1328" s="1" t="s">
        <v>3904</v>
      </c>
      <c r="E1328" s="1" t="s">
        <v>36</v>
      </c>
      <c r="G1328">
        <v>5769</v>
      </c>
      <c r="H1328" t="s">
        <v>3905</v>
      </c>
      <c r="I1328" t="s">
        <v>3906</v>
      </c>
      <c r="J1328">
        <v>15</v>
      </c>
      <c r="K1328">
        <v>3168</v>
      </c>
      <c r="L1328">
        <v>50001</v>
      </c>
      <c r="M1328" t="s">
        <v>39</v>
      </c>
      <c r="N1328">
        <v>243</v>
      </c>
      <c r="O1328" s="2">
        <v>46239</v>
      </c>
      <c r="P1328" s="2">
        <v>46286</v>
      </c>
      <c r="R1328" t="s">
        <v>3907</v>
      </c>
      <c r="S1328" t="str">
        <f>"25666160000051815"</f>
        <v>25666160000051815</v>
      </c>
      <c r="T1328" t="s">
        <v>41</v>
      </c>
      <c r="U1328">
        <v>3381.59</v>
      </c>
      <c r="V1328">
        <v>3381.59</v>
      </c>
      <c r="W1328">
        <v>3381.59</v>
      </c>
      <c r="X1328">
        <v>0</v>
      </c>
      <c r="Y1328">
        <v>0</v>
      </c>
      <c r="Z1328">
        <v>-511</v>
      </c>
      <c r="AA1328">
        <v>4291</v>
      </c>
      <c r="AD1328" t="s">
        <v>3908</v>
      </c>
      <c r="AE1328" t="s">
        <v>3909</v>
      </c>
      <c r="AF1328" t="s">
        <v>3908</v>
      </c>
      <c r="AG1328">
        <v>69241826000149</v>
      </c>
      <c r="AH1328" t="s">
        <v>44</v>
      </c>
    </row>
    <row r="1329" spans="1:34" x14ac:dyDescent="0.3">
      <c r="A1329">
        <v>101</v>
      </c>
      <c r="B1329" t="s">
        <v>34</v>
      </c>
      <c r="C1329">
        <v>2</v>
      </c>
      <c r="D1329" s="1" t="s">
        <v>3910</v>
      </c>
      <c r="E1329" s="1" t="s">
        <v>36</v>
      </c>
      <c r="G1329">
        <v>6136</v>
      </c>
      <c r="H1329" t="s">
        <v>3911</v>
      </c>
      <c r="I1329" t="s">
        <v>3785</v>
      </c>
      <c r="J1329">
        <v>12</v>
      </c>
      <c r="K1329">
        <v>6136</v>
      </c>
      <c r="L1329">
        <v>50033</v>
      </c>
      <c r="M1329" t="s">
        <v>39</v>
      </c>
      <c r="N1329">
        <v>243</v>
      </c>
      <c r="O1329" s="2">
        <v>46254</v>
      </c>
      <c r="P1329" s="2">
        <v>46314</v>
      </c>
      <c r="R1329" t="s">
        <v>3912</v>
      </c>
      <c r="S1329" t="str">
        <f>"0000050414682"</f>
        <v>0000050414682</v>
      </c>
      <c r="T1329" t="s">
        <v>41</v>
      </c>
      <c r="U1329">
        <v>2809.62</v>
      </c>
      <c r="V1329">
        <v>2669.14</v>
      </c>
      <c r="W1329">
        <v>2669.14</v>
      </c>
      <c r="X1329">
        <v>0</v>
      </c>
      <c r="Y1329">
        <v>0</v>
      </c>
      <c r="Z1329">
        <v>-539</v>
      </c>
      <c r="AA1329">
        <v>4846</v>
      </c>
      <c r="AD1329" t="s">
        <v>3789</v>
      </c>
      <c r="AE1329" t="s">
        <v>3913</v>
      </c>
      <c r="AF1329" t="s">
        <v>3789</v>
      </c>
      <c r="AG1329" s="1" t="s">
        <v>3914</v>
      </c>
      <c r="AH1329" t="s">
        <v>44</v>
      </c>
    </row>
    <row r="1330" spans="1:34" x14ac:dyDescent="0.3">
      <c r="A1330">
        <v>101</v>
      </c>
      <c r="B1330" t="s">
        <v>34</v>
      </c>
      <c r="C1330">
        <v>2</v>
      </c>
      <c r="D1330" s="1" t="s">
        <v>3915</v>
      </c>
      <c r="E1330" s="1" t="s">
        <v>36</v>
      </c>
      <c r="G1330">
        <v>6339</v>
      </c>
      <c r="H1330" t="s">
        <v>3916</v>
      </c>
      <c r="I1330" t="s">
        <v>3917</v>
      </c>
      <c r="J1330">
        <v>15</v>
      </c>
      <c r="K1330">
        <v>9047</v>
      </c>
      <c r="L1330">
        <v>50001</v>
      </c>
      <c r="M1330" t="s">
        <v>39</v>
      </c>
      <c r="N1330">
        <v>243</v>
      </c>
      <c r="O1330" s="2">
        <v>46254</v>
      </c>
      <c r="P1330" s="2">
        <v>46299</v>
      </c>
      <c r="R1330" t="s">
        <v>3918</v>
      </c>
      <c r="S1330" t="str">
        <f>"25666160000051957"</f>
        <v>25666160000051957</v>
      </c>
      <c r="T1330" t="s">
        <v>41</v>
      </c>
      <c r="U1330">
        <v>1347.95</v>
      </c>
      <c r="V1330">
        <v>1280.55</v>
      </c>
      <c r="W1330">
        <v>1280.55</v>
      </c>
      <c r="X1330">
        <v>0</v>
      </c>
      <c r="Y1330">
        <v>0</v>
      </c>
      <c r="Z1330">
        <v>-524</v>
      </c>
      <c r="AA1330">
        <v>4509</v>
      </c>
      <c r="AD1330" t="s">
        <v>3861</v>
      </c>
      <c r="AE1330" t="s">
        <v>3919</v>
      </c>
      <c r="AF1330" t="s">
        <v>3819</v>
      </c>
      <c r="AG1330">
        <v>53963443001116</v>
      </c>
      <c r="AH1330" t="s">
        <v>44</v>
      </c>
    </row>
    <row r="1331" spans="1:34" x14ac:dyDescent="0.3">
      <c r="A1331">
        <v>101</v>
      </c>
      <c r="B1331" t="s">
        <v>34</v>
      </c>
      <c r="C1331">
        <v>2</v>
      </c>
      <c r="D1331" s="1" t="s">
        <v>3920</v>
      </c>
      <c r="E1331" s="1" t="s">
        <v>36</v>
      </c>
      <c r="G1331">
        <v>6339</v>
      </c>
      <c r="H1331" t="s">
        <v>3916</v>
      </c>
      <c r="I1331" t="s">
        <v>3917</v>
      </c>
      <c r="J1331">
        <v>15</v>
      </c>
      <c r="K1331">
        <v>9047</v>
      </c>
      <c r="L1331">
        <v>50001</v>
      </c>
      <c r="M1331" t="s">
        <v>39</v>
      </c>
      <c r="N1331">
        <v>243</v>
      </c>
      <c r="O1331" s="2">
        <v>46254</v>
      </c>
      <c r="P1331" s="2">
        <v>46299</v>
      </c>
      <c r="R1331" t="s">
        <v>3921</v>
      </c>
      <c r="S1331" t="str">
        <f>"25666160000051958"</f>
        <v>25666160000051958</v>
      </c>
      <c r="T1331" t="s">
        <v>41</v>
      </c>
      <c r="U1331">
        <v>202.26</v>
      </c>
      <c r="V1331">
        <v>192.15</v>
      </c>
      <c r="W1331">
        <v>192.15</v>
      </c>
      <c r="X1331">
        <v>0</v>
      </c>
      <c r="Y1331">
        <v>0</v>
      </c>
      <c r="Z1331">
        <v>-524</v>
      </c>
      <c r="AA1331">
        <v>4509</v>
      </c>
      <c r="AD1331" t="s">
        <v>3861</v>
      </c>
      <c r="AE1331" t="s">
        <v>3919</v>
      </c>
      <c r="AF1331" t="s">
        <v>3819</v>
      </c>
      <c r="AG1331">
        <v>53963443001116</v>
      </c>
      <c r="AH1331" t="s">
        <v>44</v>
      </c>
    </row>
    <row r="1332" spans="1:34" x14ac:dyDescent="0.3">
      <c r="A1332">
        <v>101</v>
      </c>
      <c r="B1332" t="s">
        <v>34</v>
      </c>
      <c r="C1332">
        <v>2</v>
      </c>
      <c r="D1332" s="1" t="s">
        <v>3922</v>
      </c>
      <c r="E1332" s="1" t="s">
        <v>36</v>
      </c>
      <c r="G1332">
        <v>6339</v>
      </c>
      <c r="H1332" t="s">
        <v>3916</v>
      </c>
      <c r="I1332" t="s">
        <v>3917</v>
      </c>
      <c r="J1332">
        <v>15</v>
      </c>
      <c r="K1332">
        <v>9047</v>
      </c>
      <c r="L1332">
        <v>50001</v>
      </c>
      <c r="M1332" t="s">
        <v>39</v>
      </c>
      <c r="N1332">
        <v>243</v>
      </c>
      <c r="O1332" s="2">
        <v>46246</v>
      </c>
      <c r="P1332" s="2">
        <v>46291</v>
      </c>
      <c r="R1332" t="s">
        <v>3923</v>
      </c>
      <c r="S1332" t="str">
        <f>"25666160000051856"</f>
        <v>25666160000051856</v>
      </c>
      <c r="T1332" t="s">
        <v>41</v>
      </c>
      <c r="U1332">
        <v>7359.85</v>
      </c>
      <c r="V1332">
        <v>6991.86</v>
      </c>
      <c r="W1332">
        <v>6991.86</v>
      </c>
      <c r="X1332">
        <v>0</v>
      </c>
      <c r="Y1332">
        <v>0</v>
      </c>
      <c r="Z1332">
        <v>-516</v>
      </c>
      <c r="AA1332">
        <v>4509</v>
      </c>
      <c r="AD1332" t="s">
        <v>3861</v>
      </c>
      <c r="AE1332" t="s">
        <v>3919</v>
      </c>
      <c r="AF1332" t="s">
        <v>3819</v>
      </c>
      <c r="AG1332">
        <v>53963443001116</v>
      </c>
      <c r="AH1332" t="s">
        <v>44</v>
      </c>
    </row>
    <row r="1333" spans="1:34" x14ac:dyDescent="0.3">
      <c r="A1333">
        <v>101</v>
      </c>
      <c r="B1333" t="s">
        <v>34</v>
      </c>
      <c r="C1333">
        <v>2</v>
      </c>
      <c r="D1333" s="1" t="s">
        <v>3924</v>
      </c>
      <c r="E1333" s="1" t="s">
        <v>36</v>
      </c>
      <c r="G1333">
        <v>6597</v>
      </c>
      <c r="H1333" t="s">
        <v>3925</v>
      </c>
      <c r="I1333" t="s">
        <v>3926</v>
      </c>
      <c r="J1333">
        <v>12</v>
      </c>
      <c r="K1333">
        <v>6597</v>
      </c>
      <c r="L1333">
        <v>50033</v>
      </c>
      <c r="M1333" t="s">
        <v>39</v>
      </c>
      <c r="N1333">
        <v>243</v>
      </c>
      <c r="O1333" s="2">
        <v>46235</v>
      </c>
      <c r="P1333" s="2">
        <v>46265</v>
      </c>
      <c r="R1333" t="s">
        <v>3927</v>
      </c>
      <c r="S1333" t="str">
        <f>"0000050411829"</f>
        <v>0000050411829</v>
      </c>
      <c r="T1333" t="s">
        <v>41</v>
      </c>
      <c r="U1333">
        <v>1966.05</v>
      </c>
      <c r="V1333">
        <v>1966.05</v>
      </c>
      <c r="W1333">
        <v>1966.05</v>
      </c>
      <c r="X1333">
        <v>0</v>
      </c>
      <c r="Y1333">
        <v>0</v>
      </c>
      <c r="Z1333">
        <v>-490</v>
      </c>
      <c r="AA1333">
        <v>1959</v>
      </c>
      <c r="AD1333" t="s">
        <v>3928</v>
      </c>
      <c r="AE1333" t="s">
        <v>3929</v>
      </c>
      <c r="AF1333" t="s">
        <v>3928</v>
      </c>
      <c r="AG1333" s="1" t="s">
        <v>3930</v>
      </c>
      <c r="AH1333" t="s">
        <v>44</v>
      </c>
    </row>
    <row r="1334" spans="1:34" x14ac:dyDescent="0.3">
      <c r="A1334">
        <v>101</v>
      </c>
      <c r="B1334" t="s">
        <v>34</v>
      </c>
      <c r="C1334">
        <v>2</v>
      </c>
      <c r="D1334" s="1" t="s">
        <v>3931</v>
      </c>
      <c r="E1334" s="1" t="s">
        <v>36</v>
      </c>
      <c r="G1334">
        <v>7641</v>
      </c>
      <c r="H1334" t="s">
        <v>3932</v>
      </c>
      <c r="I1334" t="s">
        <v>3933</v>
      </c>
      <c r="J1334">
        <v>15</v>
      </c>
      <c r="K1334">
        <v>3168</v>
      </c>
      <c r="L1334">
        <v>50001</v>
      </c>
      <c r="M1334" t="s">
        <v>39</v>
      </c>
      <c r="N1334">
        <v>243</v>
      </c>
      <c r="O1334" s="2">
        <v>46226</v>
      </c>
      <c r="P1334" s="2">
        <v>46271</v>
      </c>
      <c r="R1334" t="s">
        <v>3934</v>
      </c>
      <c r="S1334" t="str">
        <f>"25666160000051565"</f>
        <v>25666160000051565</v>
      </c>
      <c r="T1334" t="s">
        <v>41</v>
      </c>
      <c r="U1334">
        <v>1863.01</v>
      </c>
      <c r="V1334">
        <v>1863.01</v>
      </c>
      <c r="W1334">
        <v>1863.01</v>
      </c>
      <c r="X1334">
        <v>0</v>
      </c>
      <c r="Y1334">
        <v>0</v>
      </c>
      <c r="Z1334">
        <v>-496</v>
      </c>
      <c r="AA1334">
        <v>1680</v>
      </c>
      <c r="AD1334" t="s">
        <v>3935</v>
      </c>
      <c r="AE1334" t="s">
        <v>3936</v>
      </c>
      <c r="AF1334" t="s">
        <v>3935</v>
      </c>
      <c r="AG1334" s="1" t="s">
        <v>3937</v>
      </c>
      <c r="AH1334" t="s">
        <v>44</v>
      </c>
    </row>
    <row r="1335" spans="1:34" x14ac:dyDescent="0.3">
      <c r="A1335">
        <v>101</v>
      </c>
      <c r="B1335" t="s">
        <v>34</v>
      </c>
      <c r="C1335">
        <v>2</v>
      </c>
      <c r="D1335" s="1" t="s">
        <v>3938</v>
      </c>
      <c r="E1335" s="1" t="s">
        <v>36</v>
      </c>
      <c r="G1335">
        <v>8254</v>
      </c>
      <c r="H1335" t="s">
        <v>3939</v>
      </c>
      <c r="I1335" t="s">
        <v>3940</v>
      </c>
      <c r="J1335">
        <v>12</v>
      </c>
      <c r="K1335">
        <v>3465</v>
      </c>
      <c r="L1335">
        <v>50033</v>
      </c>
      <c r="M1335" t="s">
        <v>39</v>
      </c>
      <c r="N1335">
        <v>243</v>
      </c>
      <c r="O1335" s="2">
        <v>46240</v>
      </c>
      <c r="P1335" s="2">
        <v>46270</v>
      </c>
      <c r="R1335" t="s">
        <v>3941</v>
      </c>
      <c r="S1335" t="str">
        <f>"0000050412710"</f>
        <v>0000050412710</v>
      </c>
      <c r="T1335" t="s">
        <v>41</v>
      </c>
      <c r="U1335">
        <v>3909.15</v>
      </c>
      <c r="V1335">
        <v>3791.88</v>
      </c>
      <c r="W1335">
        <v>3791.88</v>
      </c>
      <c r="X1335">
        <v>0</v>
      </c>
      <c r="Y1335">
        <v>0</v>
      </c>
      <c r="Z1335">
        <v>-495</v>
      </c>
      <c r="AA1335" t="s">
        <v>3942</v>
      </c>
      <c r="AD1335" t="s">
        <v>3943</v>
      </c>
      <c r="AE1335" t="s">
        <v>3944</v>
      </c>
      <c r="AF1335" t="s">
        <v>3943</v>
      </c>
      <c r="AG1335">
        <v>66965518000330</v>
      </c>
      <c r="AH1335" t="s">
        <v>44</v>
      </c>
    </row>
    <row r="1336" spans="1:34" x14ac:dyDescent="0.3">
      <c r="A1336">
        <v>101</v>
      </c>
      <c r="B1336" t="s">
        <v>34</v>
      </c>
      <c r="C1336">
        <v>2</v>
      </c>
      <c r="D1336" s="1" t="s">
        <v>3945</v>
      </c>
      <c r="E1336" s="1" t="s">
        <v>36</v>
      </c>
      <c r="G1336">
        <v>8316</v>
      </c>
      <c r="H1336" t="s">
        <v>3946</v>
      </c>
      <c r="I1336" t="s">
        <v>3947</v>
      </c>
      <c r="J1336">
        <v>15</v>
      </c>
      <c r="K1336">
        <v>9047</v>
      </c>
      <c r="L1336">
        <v>50033</v>
      </c>
      <c r="M1336" t="s">
        <v>39</v>
      </c>
      <c r="N1336">
        <v>243</v>
      </c>
      <c r="O1336" s="2">
        <v>46254</v>
      </c>
      <c r="P1336" s="2">
        <v>46299</v>
      </c>
      <c r="R1336" t="s">
        <v>3948</v>
      </c>
      <c r="S1336" t="str">
        <f>"0000050414623"</f>
        <v>0000050414623</v>
      </c>
      <c r="T1336" t="s">
        <v>41</v>
      </c>
      <c r="U1336">
        <v>1123.29</v>
      </c>
      <c r="V1336">
        <v>1067.1300000000001</v>
      </c>
      <c r="W1336">
        <v>1067.1300000000001</v>
      </c>
      <c r="X1336">
        <v>0</v>
      </c>
      <c r="Y1336">
        <v>0</v>
      </c>
      <c r="Z1336">
        <v>-524</v>
      </c>
      <c r="AA1336">
        <v>4512</v>
      </c>
      <c r="AD1336" t="s">
        <v>3275</v>
      </c>
      <c r="AE1336" t="s">
        <v>3949</v>
      </c>
      <c r="AF1336" t="s">
        <v>3275</v>
      </c>
      <c r="AG1336">
        <v>53963443001205</v>
      </c>
      <c r="AH1336" t="s">
        <v>44</v>
      </c>
    </row>
    <row r="1337" spans="1:34" x14ac:dyDescent="0.3">
      <c r="A1337">
        <v>101</v>
      </c>
      <c r="B1337" t="s">
        <v>34</v>
      </c>
      <c r="C1337">
        <v>2</v>
      </c>
      <c r="D1337" s="1" t="s">
        <v>3950</v>
      </c>
      <c r="E1337" s="1" t="s">
        <v>36</v>
      </c>
      <c r="G1337">
        <v>8316</v>
      </c>
      <c r="H1337" t="s">
        <v>3946</v>
      </c>
      <c r="I1337" t="s">
        <v>3947</v>
      </c>
      <c r="J1337">
        <v>15</v>
      </c>
      <c r="K1337">
        <v>9047</v>
      </c>
      <c r="L1337">
        <v>50033</v>
      </c>
      <c r="M1337" t="s">
        <v>39</v>
      </c>
      <c r="N1337">
        <v>243</v>
      </c>
      <c r="O1337" s="2">
        <v>46246</v>
      </c>
      <c r="P1337" s="2">
        <v>46291</v>
      </c>
      <c r="R1337" t="s">
        <v>3951</v>
      </c>
      <c r="S1337" t="str">
        <f>"0000050413309"</f>
        <v>0000050413309</v>
      </c>
      <c r="T1337" t="s">
        <v>41</v>
      </c>
      <c r="U1337">
        <v>5643.66</v>
      </c>
      <c r="V1337">
        <v>5361.48</v>
      </c>
      <c r="W1337">
        <v>5361.48</v>
      </c>
      <c r="X1337">
        <v>0</v>
      </c>
      <c r="Y1337">
        <v>0</v>
      </c>
      <c r="Z1337">
        <v>-516</v>
      </c>
      <c r="AA1337">
        <v>4512</v>
      </c>
      <c r="AD1337" t="s">
        <v>3275</v>
      </c>
      <c r="AE1337" t="s">
        <v>3949</v>
      </c>
      <c r="AF1337" t="s">
        <v>3275</v>
      </c>
      <c r="AG1337">
        <v>53963443001205</v>
      </c>
      <c r="AH1337" t="s">
        <v>44</v>
      </c>
    </row>
    <row r="1338" spans="1:34" x14ac:dyDescent="0.3">
      <c r="A1338">
        <v>101</v>
      </c>
      <c r="B1338" t="s">
        <v>34</v>
      </c>
      <c r="C1338">
        <v>2</v>
      </c>
      <c r="D1338" s="1" t="s">
        <v>3952</v>
      </c>
      <c r="E1338" s="1" t="s">
        <v>36</v>
      </c>
      <c r="G1338">
        <v>8316</v>
      </c>
      <c r="H1338" t="s">
        <v>3946</v>
      </c>
      <c r="I1338" t="s">
        <v>3947</v>
      </c>
      <c r="J1338">
        <v>15</v>
      </c>
      <c r="K1338">
        <v>9047</v>
      </c>
      <c r="L1338">
        <v>50033</v>
      </c>
      <c r="M1338" t="s">
        <v>39</v>
      </c>
      <c r="N1338">
        <v>243</v>
      </c>
      <c r="O1338" s="2">
        <v>46254</v>
      </c>
      <c r="P1338" s="2">
        <v>46299</v>
      </c>
      <c r="R1338" t="s">
        <v>3953</v>
      </c>
      <c r="S1338" t="str">
        <f>"0000050414631"</f>
        <v>0000050414631</v>
      </c>
      <c r="T1338" t="s">
        <v>41</v>
      </c>
      <c r="U1338">
        <v>101.13</v>
      </c>
      <c r="V1338">
        <v>96.07</v>
      </c>
      <c r="W1338">
        <v>96.07</v>
      </c>
      <c r="X1338">
        <v>0</v>
      </c>
      <c r="Y1338">
        <v>0</v>
      </c>
      <c r="Z1338">
        <v>-524</v>
      </c>
      <c r="AA1338">
        <v>4512</v>
      </c>
      <c r="AD1338" t="s">
        <v>3275</v>
      </c>
      <c r="AE1338" t="s">
        <v>3949</v>
      </c>
      <c r="AF1338" t="s">
        <v>3275</v>
      </c>
      <c r="AG1338">
        <v>53963443001205</v>
      </c>
      <c r="AH1338" t="s">
        <v>44</v>
      </c>
    </row>
    <row r="1339" spans="1:34" x14ac:dyDescent="0.3">
      <c r="A1339">
        <v>101</v>
      </c>
      <c r="B1339" t="s">
        <v>34</v>
      </c>
      <c r="C1339">
        <v>2</v>
      </c>
      <c r="D1339" s="1" t="s">
        <v>3954</v>
      </c>
      <c r="E1339" s="1" t="s">
        <v>36</v>
      </c>
      <c r="G1339">
        <v>8316</v>
      </c>
      <c r="H1339" t="s">
        <v>3946</v>
      </c>
      <c r="I1339" t="s">
        <v>3947</v>
      </c>
      <c r="J1339">
        <v>15</v>
      </c>
      <c r="K1339">
        <v>9047</v>
      </c>
      <c r="L1339">
        <v>50033</v>
      </c>
      <c r="M1339" t="s">
        <v>39</v>
      </c>
      <c r="N1339">
        <v>243</v>
      </c>
      <c r="O1339" s="2">
        <v>46203</v>
      </c>
      <c r="P1339" s="2">
        <v>46256</v>
      </c>
      <c r="R1339" t="s">
        <v>3955</v>
      </c>
      <c r="S1339" t="str">
        <f>"0000050407856"</f>
        <v>0000050407856</v>
      </c>
      <c r="T1339" t="s">
        <v>41</v>
      </c>
      <c r="U1339">
        <v>2653.64</v>
      </c>
      <c r="V1339">
        <v>2520.96</v>
      </c>
      <c r="W1339">
        <v>2520.96</v>
      </c>
      <c r="X1339">
        <v>0</v>
      </c>
      <c r="Y1339">
        <v>0</v>
      </c>
      <c r="Z1339">
        <v>-481</v>
      </c>
      <c r="AA1339">
        <v>693162</v>
      </c>
      <c r="AD1339" t="s">
        <v>3275</v>
      </c>
      <c r="AE1339" t="s">
        <v>3949</v>
      </c>
      <c r="AF1339" t="s">
        <v>3275</v>
      </c>
      <c r="AG1339">
        <v>53963443001205</v>
      </c>
      <c r="AH1339" t="s">
        <v>44</v>
      </c>
    </row>
    <row r="1340" spans="1:34" x14ac:dyDescent="0.3">
      <c r="A1340">
        <v>101</v>
      </c>
      <c r="B1340" t="s">
        <v>34</v>
      </c>
      <c r="C1340">
        <v>2</v>
      </c>
      <c r="D1340" s="1" t="s">
        <v>3956</v>
      </c>
      <c r="E1340" s="1" t="s">
        <v>36</v>
      </c>
      <c r="G1340">
        <v>8377</v>
      </c>
      <c r="H1340" t="s">
        <v>3957</v>
      </c>
      <c r="I1340" t="s">
        <v>3958</v>
      </c>
      <c r="J1340">
        <v>15</v>
      </c>
      <c r="K1340">
        <v>3168</v>
      </c>
      <c r="L1340">
        <v>50001</v>
      </c>
      <c r="M1340" t="s">
        <v>39</v>
      </c>
      <c r="N1340">
        <v>243</v>
      </c>
      <c r="O1340" s="2">
        <v>46217</v>
      </c>
      <c r="P1340" s="2">
        <v>46262</v>
      </c>
      <c r="R1340" t="s">
        <v>3959</v>
      </c>
      <c r="S1340" t="str">
        <f>"25666160000051408"</f>
        <v>25666160000051408</v>
      </c>
      <c r="T1340" t="s">
        <v>41</v>
      </c>
      <c r="U1340">
        <v>3441.02</v>
      </c>
      <c r="V1340">
        <v>3191.02</v>
      </c>
      <c r="W1340">
        <v>3191.02</v>
      </c>
      <c r="X1340">
        <v>0</v>
      </c>
      <c r="Y1340">
        <v>0</v>
      </c>
      <c r="Z1340">
        <v>-487</v>
      </c>
      <c r="AA1340">
        <v>1129</v>
      </c>
      <c r="AD1340" t="s">
        <v>3275</v>
      </c>
      <c r="AE1340" t="s">
        <v>3960</v>
      </c>
      <c r="AF1340" t="s">
        <v>3275</v>
      </c>
      <c r="AG1340" s="1" t="s">
        <v>3961</v>
      </c>
      <c r="AH1340" t="s">
        <v>44</v>
      </c>
    </row>
    <row r="1341" spans="1:34" x14ac:dyDescent="0.3">
      <c r="A1341">
        <v>101</v>
      </c>
      <c r="B1341" t="s">
        <v>34</v>
      </c>
      <c r="C1341">
        <v>2</v>
      </c>
      <c r="D1341" s="1" t="s">
        <v>3962</v>
      </c>
      <c r="E1341" s="1" t="s">
        <v>36</v>
      </c>
      <c r="G1341">
        <v>8377</v>
      </c>
      <c r="H1341" t="s">
        <v>3957</v>
      </c>
      <c r="I1341" t="s">
        <v>3958</v>
      </c>
      <c r="J1341">
        <v>15</v>
      </c>
      <c r="K1341">
        <v>3168</v>
      </c>
      <c r="L1341">
        <v>50001</v>
      </c>
      <c r="M1341" t="s">
        <v>39</v>
      </c>
      <c r="N1341">
        <v>243</v>
      </c>
      <c r="O1341" s="2">
        <v>46217</v>
      </c>
      <c r="P1341" s="2">
        <v>46262</v>
      </c>
      <c r="R1341" t="s">
        <v>3963</v>
      </c>
      <c r="S1341" t="str">
        <f>"25666160000051409"</f>
        <v>25666160000051409</v>
      </c>
      <c r="T1341" t="s">
        <v>41</v>
      </c>
      <c r="U1341">
        <v>608.05999999999995</v>
      </c>
      <c r="V1341">
        <v>608.05999999999995</v>
      </c>
      <c r="W1341">
        <v>608.05999999999995</v>
      </c>
      <c r="X1341">
        <v>0</v>
      </c>
      <c r="Y1341">
        <v>0</v>
      </c>
      <c r="Z1341">
        <v>-487</v>
      </c>
      <c r="AA1341">
        <v>691011</v>
      </c>
      <c r="AD1341" t="s">
        <v>3275</v>
      </c>
      <c r="AE1341" t="s">
        <v>3960</v>
      </c>
      <c r="AF1341" t="s">
        <v>3275</v>
      </c>
      <c r="AG1341" s="1" t="s">
        <v>3961</v>
      </c>
      <c r="AH1341" t="s">
        <v>44</v>
      </c>
    </row>
    <row r="1342" spans="1:34" x14ac:dyDescent="0.3">
      <c r="A1342">
        <v>101</v>
      </c>
      <c r="B1342" t="s">
        <v>34</v>
      </c>
      <c r="C1342">
        <v>2</v>
      </c>
      <c r="D1342" s="1" t="s">
        <v>3964</v>
      </c>
      <c r="E1342" s="1" t="s">
        <v>36</v>
      </c>
      <c r="G1342">
        <v>8377</v>
      </c>
      <c r="H1342" t="s">
        <v>3957</v>
      </c>
      <c r="I1342" t="s">
        <v>3958</v>
      </c>
      <c r="J1342">
        <v>15</v>
      </c>
      <c r="K1342">
        <v>3168</v>
      </c>
      <c r="L1342">
        <v>50001</v>
      </c>
      <c r="M1342" t="s">
        <v>39</v>
      </c>
      <c r="N1342">
        <v>243</v>
      </c>
      <c r="O1342" s="2">
        <v>46254</v>
      </c>
      <c r="P1342" s="2">
        <v>46299</v>
      </c>
      <c r="R1342" t="s">
        <v>3965</v>
      </c>
      <c r="S1342" t="str">
        <f>"25666160000051959"</f>
        <v>25666160000051959</v>
      </c>
      <c r="T1342" t="s">
        <v>41</v>
      </c>
      <c r="U1342">
        <v>2264.79</v>
      </c>
      <c r="V1342">
        <v>2064.79</v>
      </c>
      <c r="W1342">
        <v>2064.79</v>
      </c>
      <c r="X1342">
        <v>0</v>
      </c>
      <c r="Y1342">
        <v>0</v>
      </c>
      <c r="Z1342">
        <v>-524</v>
      </c>
      <c r="AA1342">
        <v>4511</v>
      </c>
      <c r="AD1342" t="s">
        <v>3275</v>
      </c>
      <c r="AE1342" t="s">
        <v>3960</v>
      </c>
      <c r="AF1342" t="s">
        <v>3275</v>
      </c>
      <c r="AG1342" s="1" t="s">
        <v>3961</v>
      </c>
      <c r="AH1342" t="s">
        <v>44</v>
      </c>
    </row>
    <row r="1343" spans="1:34" x14ac:dyDescent="0.3">
      <c r="A1343">
        <v>101</v>
      </c>
      <c r="B1343" t="s">
        <v>34</v>
      </c>
      <c r="C1343">
        <v>2</v>
      </c>
      <c r="D1343" s="1" t="s">
        <v>3966</v>
      </c>
      <c r="E1343" s="1" t="s">
        <v>116</v>
      </c>
      <c r="G1343">
        <v>8674</v>
      </c>
      <c r="H1343" t="s">
        <v>3967</v>
      </c>
      <c r="I1343" t="s">
        <v>3968</v>
      </c>
      <c r="J1343">
        <v>12</v>
      </c>
      <c r="K1343">
        <v>8674</v>
      </c>
      <c r="L1343">
        <v>50033</v>
      </c>
      <c r="M1343" t="s">
        <v>39</v>
      </c>
      <c r="N1343">
        <v>243</v>
      </c>
      <c r="O1343" s="2">
        <v>46240</v>
      </c>
      <c r="P1343" s="2">
        <v>46290</v>
      </c>
      <c r="R1343" t="s">
        <v>3969</v>
      </c>
      <c r="S1343" t="str">
        <f>"0000050412787"</f>
        <v>0000050412787</v>
      </c>
      <c r="T1343" t="s">
        <v>41</v>
      </c>
      <c r="U1343">
        <v>1572.12</v>
      </c>
      <c r="V1343">
        <v>1310.73</v>
      </c>
      <c r="W1343">
        <v>1310.73</v>
      </c>
      <c r="X1343">
        <v>0</v>
      </c>
      <c r="Y1343">
        <v>0</v>
      </c>
      <c r="Z1343">
        <v>-515</v>
      </c>
      <c r="AA1343">
        <v>4300</v>
      </c>
      <c r="AD1343" t="s">
        <v>3817</v>
      </c>
      <c r="AE1343" t="s">
        <v>3970</v>
      </c>
      <c r="AF1343" t="s">
        <v>3817</v>
      </c>
      <c r="AG1343" s="1" t="s">
        <v>3971</v>
      </c>
      <c r="AH1343" t="s">
        <v>44</v>
      </c>
    </row>
    <row r="1344" spans="1:34" x14ac:dyDescent="0.3">
      <c r="A1344">
        <v>101</v>
      </c>
      <c r="B1344" t="s">
        <v>34</v>
      </c>
      <c r="C1344">
        <v>2</v>
      </c>
      <c r="D1344" s="1" t="s">
        <v>3966</v>
      </c>
      <c r="E1344" s="1" t="s">
        <v>122</v>
      </c>
      <c r="G1344">
        <v>8674</v>
      </c>
      <c r="H1344" t="s">
        <v>3967</v>
      </c>
      <c r="I1344" t="s">
        <v>3968</v>
      </c>
      <c r="J1344">
        <v>12</v>
      </c>
      <c r="K1344">
        <v>8674</v>
      </c>
      <c r="L1344">
        <v>50033</v>
      </c>
      <c r="M1344" t="s">
        <v>39</v>
      </c>
      <c r="N1344">
        <v>243</v>
      </c>
      <c r="O1344" s="2">
        <v>46240</v>
      </c>
      <c r="P1344" s="2">
        <v>46280</v>
      </c>
      <c r="R1344" t="s">
        <v>3969</v>
      </c>
      <c r="S1344" t="str">
        <f>"0000050412779"</f>
        <v>0000050412779</v>
      </c>
      <c r="T1344" t="s">
        <v>41</v>
      </c>
      <c r="U1344">
        <v>1571.65</v>
      </c>
      <c r="V1344">
        <v>1310.27</v>
      </c>
      <c r="W1344">
        <v>1310.27</v>
      </c>
      <c r="X1344">
        <v>0</v>
      </c>
      <c r="Y1344">
        <v>0</v>
      </c>
      <c r="Z1344">
        <v>-505</v>
      </c>
      <c r="AA1344">
        <v>4300</v>
      </c>
      <c r="AD1344" t="s">
        <v>3817</v>
      </c>
      <c r="AE1344" t="s">
        <v>3970</v>
      </c>
      <c r="AF1344" t="s">
        <v>3817</v>
      </c>
      <c r="AG1344" s="1" t="s">
        <v>3971</v>
      </c>
      <c r="AH1344" t="s">
        <v>44</v>
      </c>
    </row>
    <row r="1345" spans="1:34" x14ac:dyDescent="0.3">
      <c r="A1345">
        <v>101</v>
      </c>
      <c r="B1345" t="s">
        <v>34</v>
      </c>
      <c r="C1345">
        <v>2</v>
      </c>
      <c r="D1345" s="1" t="s">
        <v>3966</v>
      </c>
      <c r="E1345" s="1" t="s">
        <v>36</v>
      </c>
      <c r="G1345">
        <v>8674</v>
      </c>
      <c r="H1345" t="s">
        <v>3967</v>
      </c>
      <c r="I1345" t="s">
        <v>3968</v>
      </c>
      <c r="J1345">
        <v>12</v>
      </c>
      <c r="K1345">
        <v>8674</v>
      </c>
      <c r="L1345">
        <v>50033</v>
      </c>
      <c r="M1345" t="s">
        <v>39</v>
      </c>
      <c r="N1345">
        <v>243</v>
      </c>
      <c r="O1345" s="2">
        <v>46240</v>
      </c>
      <c r="P1345" s="2">
        <v>46270</v>
      </c>
      <c r="R1345" t="s">
        <v>3969</v>
      </c>
      <c r="S1345" t="str">
        <f>"0000050412760"</f>
        <v>0000050412760</v>
      </c>
      <c r="T1345" t="s">
        <v>41</v>
      </c>
      <c r="U1345">
        <v>1730.24</v>
      </c>
      <c r="V1345">
        <v>1462.52</v>
      </c>
      <c r="W1345">
        <v>1462.52</v>
      </c>
      <c r="X1345">
        <v>0</v>
      </c>
      <c r="Y1345">
        <v>0</v>
      </c>
      <c r="Z1345">
        <v>-495</v>
      </c>
      <c r="AA1345">
        <v>4300</v>
      </c>
      <c r="AD1345" t="s">
        <v>3817</v>
      </c>
      <c r="AE1345" t="s">
        <v>3970</v>
      </c>
      <c r="AF1345" t="s">
        <v>3817</v>
      </c>
      <c r="AG1345" s="1" t="s">
        <v>3971</v>
      </c>
      <c r="AH1345" t="s">
        <v>44</v>
      </c>
    </row>
    <row r="1346" spans="1:34" x14ac:dyDescent="0.3">
      <c r="A1346">
        <v>101</v>
      </c>
      <c r="B1346" t="s">
        <v>34</v>
      </c>
      <c r="C1346">
        <v>2</v>
      </c>
      <c r="D1346" s="1" t="s">
        <v>3972</v>
      </c>
      <c r="E1346" s="1" t="s">
        <v>116</v>
      </c>
      <c r="G1346">
        <v>8675</v>
      </c>
      <c r="H1346" t="s">
        <v>3973</v>
      </c>
      <c r="I1346" t="s">
        <v>3974</v>
      </c>
      <c r="J1346">
        <v>12</v>
      </c>
      <c r="K1346">
        <v>8674</v>
      </c>
      <c r="L1346">
        <v>50033</v>
      </c>
      <c r="M1346" t="s">
        <v>39</v>
      </c>
      <c r="N1346">
        <v>243</v>
      </c>
      <c r="O1346" s="2">
        <v>46240</v>
      </c>
      <c r="P1346" s="2">
        <v>46290</v>
      </c>
      <c r="R1346" t="s">
        <v>3975</v>
      </c>
      <c r="S1346" t="str">
        <f>"0000050412817"</f>
        <v>0000050412817</v>
      </c>
      <c r="T1346" t="s">
        <v>41</v>
      </c>
      <c r="U1346">
        <v>824.15</v>
      </c>
      <c r="V1346">
        <v>791.18</v>
      </c>
      <c r="W1346">
        <v>791.18</v>
      </c>
      <c r="X1346">
        <v>0</v>
      </c>
      <c r="Y1346">
        <v>0</v>
      </c>
      <c r="Z1346">
        <v>-515</v>
      </c>
      <c r="AA1346">
        <v>4299</v>
      </c>
      <c r="AD1346" t="s">
        <v>3908</v>
      </c>
      <c r="AE1346" t="s">
        <v>3976</v>
      </c>
      <c r="AF1346" t="s">
        <v>3908</v>
      </c>
      <c r="AG1346" s="1" t="s">
        <v>3977</v>
      </c>
      <c r="AH1346" t="s">
        <v>44</v>
      </c>
    </row>
    <row r="1347" spans="1:34" x14ac:dyDescent="0.3">
      <c r="A1347">
        <v>101</v>
      </c>
      <c r="B1347" t="s">
        <v>34</v>
      </c>
      <c r="C1347">
        <v>2</v>
      </c>
      <c r="D1347" s="1" t="s">
        <v>3972</v>
      </c>
      <c r="E1347" s="1" t="s">
        <v>122</v>
      </c>
      <c r="G1347">
        <v>8675</v>
      </c>
      <c r="H1347" t="s">
        <v>3973</v>
      </c>
      <c r="I1347" t="s">
        <v>3974</v>
      </c>
      <c r="J1347">
        <v>12</v>
      </c>
      <c r="K1347">
        <v>8674</v>
      </c>
      <c r="L1347">
        <v>50033</v>
      </c>
      <c r="M1347" t="s">
        <v>39</v>
      </c>
      <c r="N1347">
        <v>243</v>
      </c>
      <c r="O1347" s="2">
        <v>46240</v>
      </c>
      <c r="P1347" s="2">
        <v>46280</v>
      </c>
      <c r="R1347" t="s">
        <v>3975</v>
      </c>
      <c r="S1347" t="str">
        <f>"0000050412809"</f>
        <v>0000050412809</v>
      </c>
      <c r="T1347" t="s">
        <v>41</v>
      </c>
      <c r="U1347">
        <v>823.89</v>
      </c>
      <c r="V1347">
        <v>790.93</v>
      </c>
      <c r="W1347">
        <v>790.93</v>
      </c>
      <c r="X1347">
        <v>0</v>
      </c>
      <c r="Y1347">
        <v>0</v>
      </c>
      <c r="Z1347">
        <v>-505</v>
      </c>
      <c r="AA1347">
        <v>4299</v>
      </c>
      <c r="AD1347" t="s">
        <v>3908</v>
      </c>
      <c r="AE1347" t="s">
        <v>3976</v>
      </c>
      <c r="AF1347" t="s">
        <v>3908</v>
      </c>
      <c r="AG1347" s="1" t="s">
        <v>3977</v>
      </c>
      <c r="AH1347" t="s">
        <v>44</v>
      </c>
    </row>
    <row r="1348" spans="1:34" x14ac:dyDescent="0.3">
      <c r="A1348">
        <v>101</v>
      </c>
      <c r="B1348" t="s">
        <v>34</v>
      </c>
      <c r="C1348">
        <v>2</v>
      </c>
      <c r="D1348" s="1" t="s">
        <v>3972</v>
      </c>
      <c r="E1348" s="1" t="s">
        <v>36</v>
      </c>
      <c r="G1348">
        <v>8675</v>
      </c>
      <c r="H1348" t="s">
        <v>3973</v>
      </c>
      <c r="I1348" t="s">
        <v>3974</v>
      </c>
      <c r="J1348">
        <v>12</v>
      </c>
      <c r="K1348">
        <v>8674</v>
      </c>
      <c r="L1348">
        <v>50033</v>
      </c>
      <c r="M1348" t="s">
        <v>39</v>
      </c>
      <c r="N1348">
        <v>243</v>
      </c>
      <c r="O1348" s="2">
        <v>46240</v>
      </c>
      <c r="P1348" s="2">
        <v>46270</v>
      </c>
      <c r="R1348" t="s">
        <v>3975</v>
      </c>
      <c r="S1348" t="str">
        <f>"0000050412795"</f>
        <v>0000050412795</v>
      </c>
      <c r="T1348" t="s">
        <v>41</v>
      </c>
      <c r="U1348">
        <v>928.63</v>
      </c>
      <c r="V1348">
        <v>891.48</v>
      </c>
      <c r="W1348">
        <v>891.48</v>
      </c>
      <c r="X1348">
        <v>0</v>
      </c>
      <c r="Y1348">
        <v>0</v>
      </c>
      <c r="Z1348">
        <v>-495</v>
      </c>
      <c r="AA1348">
        <v>4299</v>
      </c>
      <c r="AD1348" t="s">
        <v>3908</v>
      </c>
      <c r="AE1348" t="s">
        <v>3976</v>
      </c>
      <c r="AF1348" t="s">
        <v>3908</v>
      </c>
      <c r="AG1348" s="1" t="s">
        <v>3977</v>
      </c>
      <c r="AH1348" t="s">
        <v>44</v>
      </c>
    </row>
    <row r="1349" spans="1:34" x14ac:dyDescent="0.3">
      <c r="A1349">
        <v>101</v>
      </c>
      <c r="B1349" t="s">
        <v>34</v>
      </c>
      <c r="C1349">
        <v>2</v>
      </c>
      <c r="D1349" s="1" t="s">
        <v>3978</v>
      </c>
      <c r="E1349" s="1" t="s">
        <v>116</v>
      </c>
      <c r="G1349">
        <v>8675</v>
      </c>
      <c r="H1349" t="s">
        <v>3973</v>
      </c>
      <c r="I1349" t="s">
        <v>3974</v>
      </c>
      <c r="J1349">
        <v>12</v>
      </c>
      <c r="K1349">
        <v>8674</v>
      </c>
      <c r="L1349">
        <v>50033</v>
      </c>
      <c r="M1349" t="s">
        <v>39</v>
      </c>
      <c r="N1349">
        <v>243</v>
      </c>
      <c r="O1349" s="2">
        <v>46203</v>
      </c>
      <c r="P1349" s="2">
        <v>46263</v>
      </c>
      <c r="R1349" t="s">
        <v>3979</v>
      </c>
      <c r="S1349" t="str">
        <f>"0000050408330"</f>
        <v>0000050408330</v>
      </c>
      <c r="T1349" t="s">
        <v>41</v>
      </c>
      <c r="U1349">
        <v>571.30999999999995</v>
      </c>
      <c r="V1349">
        <v>548.46</v>
      </c>
      <c r="W1349">
        <v>548.46</v>
      </c>
      <c r="X1349">
        <v>0</v>
      </c>
      <c r="Y1349">
        <v>0</v>
      </c>
      <c r="Z1349">
        <v>-488</v>
      </c>
      <c r="AA1349">
        <v>693380</v>
      </c>
      <c r="AD1349" t="s">
        <v>3908</v>
      </c>
      <c r="AE1349" t="s">
        <v>3976</v>
      </c>
      <c r="AF1349" t="s">
        <v>3908</v>
      </c>
      <c r="AG1349" s="1" t="s">
        <v>3977</v>
      </c>
      <c r="AH1349" t="s">
        <v>44</v>
      </c>
    </row>
    <row r="1350" spans="1:34" x14ac:dyDescent="0.3">
      <c r="A1350">
        <v>101</v>
      </c>
      <c r="B1350" t="s">
        <v>34</v>
      </c>
      <c r="C1350">
        <v>2</v>
      </c>
      <c r="D1350" s="1" t="s">
        <v>3980</v>
      </c>
      <c r="E1350" s="1" t="s">
        <v>116</v>
      </c>
      <c r="G1350">
        <v>9157</v>
      </c>
      <c r="H1350" t="s">
        <v>3981</v>
      </c>
      <c r="I1350" t="s">
        <v>3982</v>
      </c>
      <c r="J1350">
        <v>12</v>
      </c>
      <c r="K1350">
        <v>8674</v>
      </c>
      <c r="L1350">
        <v>50033</v>
      </c>
      <c r="M1350" t="s">
        <v>39</v>
      </c>
      <c r="N1350">
        <v>243</v>
      </c>
      <c r="O1350" s="2">
        <v>46239</v>
      </c>
      <c r="P1350" s="2">
        <v>46289</v>
      </c>
      <c r="R1350" t="s">
        <v>3983</v>
      </c>
      <c r="S1350" t="str">
        <f>"0000050412566"</f>
        <v>0000050412566</v>
      </c>
      <c r="T1350" t="s">
        <v>41</v>
      </c>
      <c r="U1350">
        <v>1168.6400000000001</v>
      </c>
      <c r="V1350">
        <v>1121.8900000000001</v>
      </c>
      <c r="W1350">
        <v>1121.8900000000001</v>
      </c>
      <c r="X1350">
        <v>0</v>
      </c>
      <c r="Y1350">
        <v>0</v>
      </c>
      <c r="Z1350">
        <v>-514</v>
      </c>
      <c r="AA1350">
        <v>4293</v>
      </c>
      <c r="AD1350" t="s">
        <v>3817</v>
      </c>
      <c r="AE1350" s="3">
        <v>1736243300</v>
      </c>
      <c r="AF1350" t="s">
        <v>3817</v>
      </c>
      <c r="AG1350" s="1" t="s">
        <v>3984</v>
      </c>
      <c r="AH1350" t="s">
        <v>44</v>
      </c>
    </row>
    <row r="1351" spans="1:34" x14ac:dyDescent="0.3">
      <c r="A1351">
        <v>101</v>
      </c>
      <c r="B1351" t="s">
        <v>34</v>
      </c>
      <c r="C1351">
        <v>2</v>
      </c>
      <c r="D1351" s="1" t="s">
        <v>3980</v>
      </c>
      <c r="E1351" s="1" t="s">
        <v>36</v>
      </c>
      <c r="G1351">
        <v>9157</v>
      </c>
      <c r="H1351" t="s">
        <v>3981</v>
      </c>
      <c r="I1351" t="s">
        <v>3982</v>
      </c>
      <c r="J1351">
        <v>12</v>
      </c>
      <c r="K1351">
        <v>8674</v>
      </c>
      <c r="L1351">
        <v>50033</v>
      </c>
      <c r="M1351" t="s">
        <v>39</v>
      </c>
      <c r="N1351">
        <v>243</v>
      </c>
      <c r="O1351" s="2">
        <v>46239</v>
      </c>
      <c r="P1351" s="2">
        <v>46269</v>
      </c>
      <c r="R1351" t="s">
        <v>3983</v>
      </c>
      <c r="S1351" t="str">
        <f>"0000050412540"</f>
        <v>0000050412540</v>
      </c>
      <c r="T1351" t="s">
        <v>41</v>
      </c>
      <c r="U1351">
        <v>1259.07</v>
      </c>
      <c r="V1351">
        <v>1208.71</v>
      </c>
      <c r="W1351">
        <v>1208.71</v>
      </c>
      <c r="X1351">
        <v>0</v>
      </c>
      <c r="Y1351">
        <v>0</v>
      </c>
      <c r="Z1351">
        <v>-494</v>
      </c>
      <c r="AA1351">
        <v>4293</v>
      </c>
      <c r="AD1351" t="s">
        <v>3817</v>
      </c>
      <c r="AE1351" s="3">
        <v>1736243300</v>
      </c>
      <c r="AF1351" t="s">
        <v>3817</v>
      </c>
      <c r="AG1351" s="1" t="s">
        <v>3984</v>
      </c>
      <c r="AH1351" t="s">
        <v>44</v>
      </c>
    </row>
    <row r="1352" spans="1:34" x14ac:dyDescent="0.3">
      <c r="A1352">
        <v>101</v>
      </c>
      <c r="B1352" t="s">
        <v>34</v>
      </c>
      <c r="C1352">
        <v>2</v>
      </c>
      <c r="D1352" s="1" t="s">
        <v>3980</v>
      </c>
      <c r="E1352" s="1" t="s">
        <v>122</v>
      </c>
      <c r="G1352">
        <v>9157</v>
      </c>
      <c r="H1352" t="s">
        <v>3981</v>
      </c>
      <c r="I1352" t="s">
        <v>3982</v>
      </c>
      <c r="J1352">
        <v>12</v>
      </c>
      <c r="K1352">
        <v>8674</v>
      </c>
      <c r="L1352">
        <v>50033</v>
      </c>
      <c r="M1352" t="s">
        <v>39</v>
      </c>
      <c r="N1352">
        <v>243</v>
      </c>
      <c r="O1352" s="2">
        <v>46239</v>
      </c>
      <c r="P1352" s="2">
        <v>46279</v>
      </c>
      <c r="R1352" t="s">
        <v>3983</v>
      </c>
      <c r="S1352" t="str">
        <f>"0000050412558"</f>
        <v>0000050412558</v>
      </c>
      <c r="T1352" t="s">
        <v>41</v>
      </c>
      <c r="U1352">
        <v>1168.3</v>
      </c>
      <c r="V1352">
        <v>1121.57</v>
      </c>
      <c r="W1352">
        <v>1121.57</v>
      </c>
      <c r="X1352">
        <v>0</v>
      </c>
      <c r="Y1352">
        <v>0</v>
      </c>
      <c r="Z1352">
        <v>-504</v>
      </c>
      <c r="AA1352">
        <v>4293</v>
      </c>
      <c r="AD1352" t="s">
        <v>3817</v>
      </c>
      <c r="AE1352" s="3">
        <v>1736243300</v>
      </c>
      <c r="AF1352" t="s">
        <v>3817</v>
      </c>
      <c r="AG1352" s="1" t="s">
        <v>3984</v>
      </c>
      <c r="AH1352" t="s">
        <v>44</v>
      </c>
    </row>
    <row r="1353" spans="1:34" x14ac:dyDescent="0.3">
      <c r="A1353">
        <v>101</v>
      </c>
      <c r="B1353" t="s">
        <v>34</v>
      </c>
      <c r="C1353">
        <v>2</v>
      </c>
      <c r="D1353" s="1" t="s">
        <v>3985</v>
      </c>
      <c r="E1353" s="1" t="s">
        <v>36</v>
      </c>
      <c r="G1353">
        <v>9803</v>
      </c>
      <c r="H1353" t="s">
        <v>3986</v>
      </c>
      <c r="I1353" t="s">
        <v>3987</v>
      </c>
      <c r="J1353">
        <v>15</v>
      </c>
      <c r="K1353">
        <v>3168</v>
      </c>
      <c r="L1353">
        <v>50001</v>
      </c>
      <c r="M1353" t="s">
        <v>39</v>
      </c>
      <c r="N1353">
        <v>243</v>
      </c>
      <c r="O1353" s="2">
        <v>46235</v>
      </c>
      <c r="P1353" s="2">
        <v>46280</v>
      </c>
      <c r="R1353" t="s">
        <v>3988</v>
      </c>
      <c r="S1353" t="str">
        <f>"25666160000051718"</f>
        <v>25666160000051718</v>
      </c>
      <c r="T1353" t="s">
        <v>41</v>
      </c>
      <c r="U1353">
        <v>8050.18</v>
      </c>
      <c r="V1353">
        <v>8050.18</v>
      </c>
      <c r="W1353">
        <v>8050.18</v>
      </c>
      <c r="X1353">
        <v>0</v>
      </c>
      <c r="Y1353">
        <v>0</v>
      </c>
      <c r="Z1353">
        <v>-505</v>
      </c>
      <c r="AA1353">
        <v>1973</v>
      </c>
      <c r="AD1353" t="s">
        <v>3830</v>
      </c>
      <c r="AE1353" t="s">
        <v>3989</v>
      </c>
      <c r="AF1353" t="s">
        <v>3830</v>
      </c>
      <c r="AG1353">
        <v>52437126000202</v>
      </c>
      <c r="AH1353" t="s">
        <v>44</v>
      </c>
    </row>
    <row r="1354" spans="1:34" x14ac:dyDescent="0.3">
      <c r="A1354">
        <v>101</v>
      </c>
      <c r="B1354" t="s">
        <v>34</v>
      </c>
      <c r="C1354">
        <v>2</v>
      </c>
      <c r="D1354" s="1" t="s">
        <v>3990</v>
      </c>
      <c r="E1354" s="1" t="s">
        <v>36</v>
      </c>
      <c r="G1354">
        <v>9803</v>
      </c>
      <c r="H1354" t="s">
        <v>3986</v>
      </c>
      <c r="I1354" t="s">
        <v>3987</v>
      </c>
      <c r="J1354">
        <v>15</v>
      </c>
      <c r="K1354">
        <v>3168</v>
      </c>
      <c r="L1354">
        <v>50001</v>
      </c>
      <c r="M1354" t="s">
        <v>39</v>
      </c>
      <c r="N1354">
        <v>243</v>
      </c>
      <c r="O1354" s="2">
        <v>46223</v>
      </c>
      <c r="P1354" s="2">
        <v>46268</v>
      </c>
      <c r="R1354" t="s">
        <v>3991</v>
      </c>
      <c r="S1354" t="str">
        <f>"25666160000051594"</f>
        <v>25666160000051594</v>
      </c>
      <c r="T1354" t="s">
        <v>41</v>
      </c>
      <c r="U1354">
        <v>1896.37</v>
      </c>
      <c r="V1354">
        <v>1896.37</v>
      </c>
      <c r="W1354">
        <v>1896.37</v>
      </c>
      <c r="X1354">
        <v>0</v>
      </c>
      <c r="Y1354">
        <v>0</v>
      </c>
      <c r="Z1354">
        <v>-493</v>
      </c>
      <c r="AA1354">
        <v>1290</v>
      </c>
      <c r="AD1354" t="s">
        <v>3830</v>
      </c>
      <c r="AE1354" t="s">
        <v>3989</v>
      </c>
      <c r="AF1354" t="s">
        <v>3830</v>
      </c>
      <c r="AG1354">
        <v>52437126000202</v>
      </c>
      <c r="AH1354" t="s">
        <v>44</v>
      </c>
    </row>
    <row r="1355" spans="1:34" x14ac:dyDescent="0.3">
      <c r="A1355">
        <v>101</v>
      </c>
      <c r="B1355" t="s">
        <v>34</v>
      </c>
      <c r="C1355">
        <v>2</v>
      </c>
      <c r="D1355" s="1" t="s">
        <v>3992</v>
      </c>
      <c r="E1355" s="1" t="s">
        <v>122</v>
      </c>
      <c r="G1355">
        <v>9810</v>
      </c>
      <c r="H1355" t="s">
        <v>3993</v>
      </c>
      <c r="I1355" t="s">
        <v>3994</v>
      </c>
      <c r="J1355">
        <v>15</v>
      </c>
      <c r="K1355">
        <v>3168</v>
      </c>
      <c r="L1355">
        <v>50001</v>
      </c>
      <c r="M1355" t="s">
        <v>39</v>
      </c>
      <c r="N1355">
        <v>243</v>
      </c>
      <c r="O1355" s="2">
        <v>46239</v>
      </c>
      <c r="P1355" s="2">
        <v>46299</v>
      </c>
      <c r="R1355" t="s">
        <v>3995</v>
      </c>
      <c r="S1355" t="str">
        <f>"25666160000051814"</f>
        <v>25666160000051814</v>
      </c>
      <c r="T1355" t="s">
        <v>41</v>
      </c>
      <c r="U1355">
        <v>30418.93</v>
      </c>
      <c r="V1355">
        <v>30418.93</v>
      </c>
      <c r="W1355">
        <v>30418.93</v>
      </c>
      <c r="X1355">
        <v>0</v>
      </c>
      <c r="Y1355">
        <v>0</v>
      </c>
      <c r="Z1355">
        <v>-524</v>
      </c>
      <c r="AA1355" t="s">
        <v>3996</v>
      </c>
      <c r="AD1355" t="s">
        <v>3830</v>
      </c>
      <c r="AE1355" t="s">
        <v>3997</v>
      </c>
      <c r="AF1355" t="s">
        <v>3830</v>
      </c>
      <c r="AG1355" s="1" t="s">
        <v>3998</v>
      </c>
      <c r="AH1355" t="s">
        <v>44</v>
      </c>
    </row>
    <row r="1356" spans="1:34" x14ac:dyDescent="0.3">
      <c r="A1356">
        <v>101</v>
      </c>
      <c r="B1356" t="s">
        <v>34</v>
      </c>
      <c r="C1356">
        <v>2</v>
      </c>
      <c r="D1356" s="1" t="s">
        <v>3992</v>
      </c>
      <c r="E1356" s="1" t="s">
        <v>36</v>
      </c>
      <c r="G1356">
        <v>9810</v>
      </c>
      <c r="H1356" t="s">
        <v>3993</v>
      </c>
      <c r="I1356" t="s">
        <v>3994</v>
      </c>
      <c r="J1356">
        <v>15</v>
      </c>
      <c r="K1356">
        <v>3168</v>
      </c>
      <c r="L1356">
        <v>50001</v>
      </c>
      <c r="M1356" t="s">
        <v>39</v>
      </c>
      <c r="N1356">
        <v>243</v>
      </c>
      <c r="O1356" s="2">
        <v>46239</v>
      </c>
      <c r="P1356" s="2">
        <v>46284</v>
      </c>
      <c r="R1356" t="s">
        <v>3995</v>
      </c>
      <c r="S1356" t="str">
        <f>"25666160000051813"</f>
        <v>25666160000051813</v>
      </c>
      <c r="T1356" t="s">
        <v>41</v>
      </c>
      <c r="U1356">
        <v>32457.5</v>
      </c>
      <c r="V1356">
        <v>32457.5</v>
      </c>
      <c r="W1356">
        <v>32457.5</v>
      </c>
      <c r="X1356">
        <v>0</v>
      </c>
      <c r="Y1356">
        <v>0</v>
      </c>
      <c r="Z1356">
        <v>-509</v>
      </c>
      <c r="AA1356" t="s">
        <v>3996</v>
      </c>
      <c r="AD1356" t="s">
        <v>3830</v>
      </c>
      <c r="AE1356" t="s">
        <v>3997</v>
      </c>
      <c r="AF1356" t="s">
        <v>3830</v>
      </c>
      <c r="AG1356" s="1" t="s">
        <v>3998</v>
      </c>
      <c r="AH1356" t="s">
        <v>44</v>
      </c>
    </row>
    <row r="1357" spans="1:34" x14ac:dyDescent="0.3">
      <c r="A1357">
        <v>101</v>
      </c>
      <c r="B1357" t="s">
        <v>34</v>
      </c>
      <c r="C1357">
        <v>2</v>
      </c>
      <c r="D1357" s="1" t="s">
        <v>3999</v>
      </c>
      <c r="E1357" s="1" t="s">
        <v>36</v>
      </c>
      <c r="G1357">
        <v>9810</v>
      </c>
      <c r="H1357" t="s">
        <v>3993</v>
      </c>
      <c r="I1357" t="s">
        <v>3994</v>
      </c>
      <c r="J1357">
        <v>15</v>
      </c>
      <c r="K1357">
        <v>3168</v>
      </c>
      <c r="L1357">
        <v>50001</v>
      </c>
      <c r="M1357" t="s">
        <v>39</v>
      </c>
      <c r="N1357">
        <v>243</v>
      </c>
      <c r="O1357" s="2">
        <v>46247</v>
      </c>
      <c r="P1357" s="2">
        <v>46292</v>
      </c>
      <c r="R1357" t="s">
        <v>4000</v>
      </c>
      <c r="S1357" t="str">
        <f>"25666160000051893"</f>
        <v>25666160000051893</v>
      </c>
      <c r="T1357" t="s">
        <v>41</v>
      </c>
      <c r="U1357">
        <v>12508.39</v>
      </c>
      <c r="V1357">
        <v>12508.39</v>
      </c>
      <c r="W1357">
        <v>12508.39</v>
      </c>
      <c r="X1357">
        <v>0</v>
      </c>
      <c r="Y1357">
        <v>0</v>
      </c>
      <c r="Z1357">
        <v>-517</v>
      </c>
      <c r="AA1357">
        <v>1953</v>
      </c>
      <c r="AD1357" t="s">
        <v>3830</v>
      </c>
      <c r="AE1357" t="s">
        <v>3997</v>
      </c>
      <c r="AF1357" t="s">
        <v>3830</v>
      </c>
      <c r="AG1357" s="1" t="s">
        <v>3998</v>
      </c>
      <c r="AH1357" t="s">
        <v>44</v>
      </c>
    </row>
    <row r="1358" spans="1:34" x14ac:dyDescent="0.3">
      <c r="A1358">
        <v>101</v>
      </c>
      <c r="B1358" t="s">
        <v>34</v>
      </c>
      <c r="C1358">
        <v>2</v>
      </c>
      <c r="D1358" s="1" t="s">
        <v>3999</v>
      </c>
      <c r="E1358" s="1" t="s">
        <v>122</v>
      </c>
      <c r="G1358">
        <v>9810</v>
      </c>
      <c r="H1358" t="s">
        <v>3993</v>
      </c>
      <c r="I1358" t="s">
        <v>3994</v>
      </c>
      <c r="J1358">
        <v>15</v>
      </c>
      <c r="K1358">
        <v>3168</v>
      </c>
      <c r="L1358">
        <v>50001</v>
      </c>
      <c r="M1358" t="s">
        <v>39</v>
      </c>
      <c r="N1358">
        <v>243</v>
      </c>
      <c r="O1358" s="2">
        <v>46247</v>
      </c>
      <c r="P1358" s="2">
        <v>46307</v>
      </c>
      <c r="R1358" t="s">
        <v>4000</v>
      </c>
      <c r="S1358" t="str">
        <f>"25666160000051894"</f>
        <v>25666160000051894</v>
      </c>
      <c r="T1358" t="s">
        <v>41</v>
      </c>
      <c r="U1358">
        <v>10467.27</v>
      </c>
      <c r="V1358">
        <v>10467.27</v>
      </c>
      <c r="W1358">
        <v>10467.27</v>
      </c>
      <c r="X1358">
        <v>0</v>
      </c>
      <c r="Y1358">
        <v>0</v>
      </c>
      <c r="Z1358">
        <v>-532</v>
      </c>
      <c r="AA1358">
        <v>1953</v>
      </c>
      <c r="AD1358" t="s">
        <v>3830</v>
      </c>
      <c r="AE1358" t="s">
        <v>3997</v>
      </c>
      <c r="AF1358" t="s">
        <v>3830</v>
      </c>
      <c r="AG1358" s="1" t="s">
        <v>3998</v>
      </c>
      <c r="AH1358" t="s">
        <v>44</v>
      </c>
    </row>
    <row r="1359" spans="1:34" x14ac:dyDescent="0.3">
      <c r="A1359">
        <v>101</v>
      </c>
      <c r="B1359" t="s">
        <v>34</v>
      </c>
      <c r="C1359">
        <v>2</v>
      </c>
      <c r="D1359" s="1" t="s">
        <v>4001</v>
      </c>
      <c r="E1359" s="1" t="s">
        <v>36</v>
      </c>
      <c r="G1359">
        <v>9911</v>
      </c>
      <c r="H1359" t="s">
        <v>4002</v>
      </c>
      <c r="I1359" t="s">
        <v>4003</v>
      </c>
      <c r="J1359">
        <v>12</v>
      </c>
      <c r="K1359">
        <v>3465</v>
      </c>
      <c r="L1359">
        <v>50033</v>
      </c>
      <c r="M1359" t="s">
        <v>39</v>
      </c>
      <c r="N1359">
        <v>243</v>
      </c>
      <c r="O1359" s="2">
        <v>46240</v>
      </c>
      <c r="P1359" s="2">
        <v>46270</v>
      </c>
      <c r="R1359" t="s">
        <v>4004</v>
      </c>
      <c r="S1359" t="str">
        <f>"0000050412728"</f>
        <v>0000050412728</v>
      </c>
      <c r="T1359" t="s">
        <v>41</v>
      </c>
      <c r="U1359">
        <v>1956.11</v>
      </c>
      <c r="V1359">
        <v>1897.43</v>
      </c>
      <c r="W1359">
        <v>1897.43</v>
      </c>
      <c r="X1359">
        <v>0</v>
      </c>
      <c r="Y1359">
        <v>0</v>
      </c>
      <c r="Z1359">
        <v>-495</v>
      </c>
      <c r="AA1359" t="s">
        <v>4005</v>
      </c>
      <c r="AD1359" t="s">
        <v>3890</v>
      </c>
      <c r="AE1359" t="s">
        <v>4006</v>
      </c>
      <c r="AF1359" t="s">
        <v>3890</v>
      </c>
      <c r="AG1359">
        <v>66965518000410</v>
      </c>
      <c r="AH1359" t="s">
        <v>44</v>
      </c>
    </row>
    <row r="1360" spans="1:34" x14ac:dyDescent="0.3">
      <c r="A1360">
        <v>101</v>
      </c>
      <c r="B1360" t="s">
        <v>34</v>
      </c>
      <c r="C1360">
        <v>2</v>
      </c>
      <c r="D1360" s="1" t="s">
        <v>4007</v>
      </c>
      <c r="E1360" s="1" t="s">
        <v>116</v>
      </c>
      <c r="G1360">
        <v>11309</v>
      </c>
      <c r="H1360" t="s">
        <v>4008</v>
      </c>
      <c r="I1360" t="s">
        <v>4009</v>
      </c>
      <c r="J1360">
        <v>12</v>
      </c>
      <c r="K1360">
        <v>8674</v>
      </c>
      <c r="L1360">
        <v>50033</v>
      </c>
      <c r="M1360" t="s">
        <v>39</v>
      </c>
      <c r="N1360">
        <v>243</v>
      </c>
      <c r="O1360" s="2">
        <v>46203</v>
      </c>
      <c r="P1360" s="2">
        <v>46262</v>
      </c>
      <c r="R1360" t="s">
        <v>4010</v>
      </c>
      <c r="S1360" t="str">
        <f>"0000050408399"</f>
        <v>0000050408399</v>
      </c>
      <c r="T1360" t="s">
        <v>41</v>
      </c>
      <c r="U1360">
        <v>2035.4</v>
      </c>
      <c r="V1360">
        <v>1953.98</v>
      </c>
      <c r="W1360">
        <v>1953.98</v>
      </c>
      <c r="X1360">
        <v>0</v>
      </c>
      <c r="Y1360">
        <v>0</v>
      </c>
      <c r="Z1360">
        <v>-487</v>
      </c>
      <c r="AA1360">
        <v>693376</v>
      </c>
      <c r="AD1360" t="s">
        <v>4011</v>
      </c>
      <c r="AE1360" t="s">
        <v>4012</v>
      </c>
      <c r="AF1360" t="s">
        <v>4011</v>
      </c>
      <c r="AG1360" s="1" t="s">
        <v>4013</v>
      </c>
      <c r="AH1360" t="s">
        <v>44</v>
      </c>
    </row>
    <row r="1361" spans="1:34" x14ac:dyDescent="0.3">
      <c r="A1361">
        <v>101</v>
      </c>
      <c r="B1361" t="s">
        <v>34</v>
      </c>
      <c r="C1361">
        <v>2</v>
      </c>
      <c r="D1361" s="1" t="s">
        <v>4014</v>
      </c>
      <c r="E1361" s="1" t="s">
        <v>122</v>
      </c>
      <c r="G1361">
        <v>11309</v>
      </c>
      <c r="H1361" t="s">
        <v>4008</v>
      </c>
      <c r="I1361" t="s">
        <v>4009</v>
      </c>
      <c r="J1361">
        <v>12</v>
      </c>
      <c r="K1361">
        <v>8674</v>
      </c>
      <c r="L1361">
        <v>50033</v>
      </c>
      <c r="M1361" t="s">
        <v>39</v>
      </c>
      <c r="N1361">
        <v>243</v>
      </c>
      <c r="O1361" s="2">
        <v>46245</v>
      </c>
      <c r="P1361" s="2">
        <v>46285</v>
      </c>
      <c r="R1361" t="s">
        <v>4015</v>
      </c>
      <c r="S1361" t="str">
        <f>"0000050413236"</f>
        <v>0000050413236</v>
      </c>
      <c r="T1361" t="s">
        <v>41</v>
      </c>
      <c r="U1361">
        <v>1218.8900000000001</v>
      </c>
      <c r="V1361">
        <v>1170.1300000000001</v>
      </c>
      <c r="W1361">
        <v>1170.1300000000001</v>
      </c>
      <c r="X1361">
        <v>0</v>
      </c>
      <c r="Y1361">
        <v>0</v>
      </c>
      <c r="Z1361">
        <v>-510</v>
      </c>
      <c r="AA1361">
        <v>4297</v>
      </c>
      <c r="AD1361" t="s">
        <v>4011</v>
      </c>
      <c r="AE1361" t="s">
        <v>4012</v>
      </c>
      <c r="AF1361" t="s">
        <v>4011</v>
      </c>
      <c r="AG1361" s="1" t="s">
        <v>4013</v>
      </c>
      <c r="AH1361" t="s">
        <v>44</v>
      </c>
    </row>
    <row r="1362" spans="1:34" x14ac:dyDescent="0.3">
      <c r="A1362">
        <v>101</v>
      </c>
      <c r="B1362" t="s">
        <v>34</v>
      </c>
      <c r="C1362">
        <v>2</v>
      </c>
      <c r="D1362" s="1" t="s">
        <v>4014</v>
      </c>
      <c r="E1362" s="1" t="s">
        <v>116</v>
      </c>
      <c r="G1362">
        <v>11309</v>
      </c>
      <c r="H1362" t="s">
        <v>4008</v>
      </c>
      <c r="I1362" t="s">
        <v>4009</v>
      </c>
      <c r="J1362">
        <v>12</v>
      </c>
      <c r="K1362">
        <v>8674</v>
      </c>
      <c r="L1362">
        <v>50033</v>
      </c>
      <c r="M1362" t="s">
        <v>39</v>
      </c>
      <c r="N1362">
        <v>243</v>
      </c>
      <c r="O1362" s="2">
        <v>46245</v>
      </c>
      <c r="P1362" s="2">
        <v>46295</v>
      </c>
      <c r="R1362" t="s">
        <v>4015</v>
      </c>
      <c r="S1362" t="str">
        <f>"0000050413244"</f>
        <v>0000050413244</v>
      </c>
      <c r="T1362" t="s">
        <v>41</v>
      </c>
      <c r="U1362">
        <v>1219.26</v>
      </c>
      <c r="V1362">
        <v>1170.49</v>
      </c>
      <c r="W1362">
        <v>1170.49</v>
      </c>
      <c r="X1362">
        <v>0</v>
      </c>
      <c r="Y1362">
        <v>0</v>
      </c>
      <c r="Z1362">
        <v>-520</v>
      </c>
      <c r="AA1362">
        <v>4297</v>
      </c>
      <c r="AD1362" t="s">
        <v>4011</v>
      </c>
      <c r="AE1362" t="s">
        <v>4012</v>
      </c>
      <c r="AF1362" t="s">
        <v>4011</v>
      </c>
      <c r="AG1362" s="1" t="s">
        <v>4013</v>
      </c>
      <c r="AH1362" t="s">
        <v>44</v>
      </c>
    </row>
    <row r="1363" spans="1:34" x14ac:dyDescent="0.3">
      <c r="A1363">
        <v>101</v>
      </c>
      <c r="B1363" t="s">
        <v>34</v>
      </c>
      <c r="C1363">
        <v>2</v>
      </c>
      <c r="D1363" s="1" t="s">
        <v>4014</v>
      </c>
      <c r="E1363" s="1" t="s">
        <v>36</v>
      </c>
      <c r="G1363">
        <v>11309</v>
      </c>
      <c r="H1363" t="s">
        <v>4008</v>
      </c>
      <c r="I1363" t="s">
        <v>4009</v>
      </c>
      <c r="J1363">
        <v>12</v>
      </c>
      <c r="K1363">
        <v>8674</v>
      </c>
      <c r="L1363">
        <v>50033</v>
      </c>
      <c r="M1363" t="s">
        <v>39</v>
      </c>
      <c r="N1363">
        <v>243</v>
      </c>
      <c r="O1363" s="2">
        <v>46245</v>
      </c>
      <c r="P1363" s="2">
        <v>46275</v>
      </c>
      <c r="R1363" t="s">
        <v>4015</v>
      </c>
      <c r="S1363" t="str">
        <f>"0000050413228"</f>
        <v>0000050413228</v>
      </c>
      <c r="T1363" t="s">
        <v>41</v>
      </c>
      <c r="U1363">
        <v>1348.76</v>
      </c>
      <c r="V1363">
        <v>1294.81</v>
      </c>
      <c r="W1363">
        <v>1294.81</v>
      </c>
      <c r="X1363">
        <v>0</v>
      </c>
      <c r="Y1363">
        <v>0</v>
      </c>
      <c r="Z1363">
        <v>-500</v>
      </c>
      <c r="AA1363">
        <v>4297</v>
      </c>
      <c r="AD1363" t="s">
        <v>4011</v>
      </c>
      <c r="AE1363" t="s">
        <v>4012</v>
      </c>
      <c r="AF1363" t="s">
        <v>4011</v>
      </c>
      <c r="AG1363" s="1" t="s">
        <v>4013</v>
      </c>
      <c r="AH1363" t="s">
        <v>44</v>
      </c>
    </row>
    <row r="1364" spans="1:34" x14ac:dyDescent="0.3">
      <c r="A1364">
        <v>101</v>
      </c>
      <c r="B1364" t="s">
        <v>4016</v>
      </c>
      <c r="C1364">
        <v>2</v>
      </c>
      <c r="D1364" s="1" t="s">
        <v>4014</v>
      </c>
      <c r="E1364" s="1" t="s">
        <v>36</v>
      </c>
      <c r="G1364">
        <v>11309</v>
      </c>
      <c r="H1364" t="s">
        <v>4008</v>
      </c>
      <c r="I1364" t="s">
        <v>4009</v>
      </c>
      <c r="J1364">
        <v>12</v>
      </c>
      <c r="K1364">
        <v>8674</v>
      </c>
      <c r="N1364">
        <v>243</v>
      </c>
      <c r="O1364" s="2">
        <v>46255</v>
      </c>
      <c r="P1364" s="2">
        <v>46255</v>
      </c>
      <c r="R1364" t="s">
        <v>4017</v>
      </c>
      <c r="S1364" t="str">
        <f>""</f>
        <v/>
      </c>
      <c r="T1364" t="s">
        <v>41</v>
      </c>
      <c r="U1364">
        <v>-455.82</v>
      </c>
      <c r="V1364">
        <v>-455.82</v>
      </c>
      <c r="W1364">
        <v>-455.82</v>
      </c>
      <c r="X1364">
        <v>0</v>
      </c>
      <c r="Y1364">
        <v>0</v>
      </c>
      <c r="Z1364">
        <v>-480</v>
      </c>
      <c r="AD1364" t="s">
        <v>4011</v>
      </c>
      <c r="AE1364" t="s">
        <v>4012</v>
      </c>
      <c r="AF1364" t="s">
        <v>4011</v>
      </c>
      <c r="AG1364" s="1" t="s">
        <v>4013</v>
      </c>
      <c r="AH1364" t="s">
        <v>44</v>
      </c>
    </row>
    <row r="1365" spans="1:34" x14ac:dyDescent="0.3">
      <c r="A1365">
        <v>101</v>
      </c>
      <c r="B1365" t="s">
        <v>34</v>
      </c>
      <c r="C1365">
        <v>2</v>
      </c>
      <c r="D1365" s="1" t="s">
        <v>4018</v>
      </c>
      <c r="E1365" s="1" t="s">
        <v>116</v>
      </c>
      <c r="G1365">
        <v>11834</v>
      </c>
      <c r="H1365" t="s">
        <v>4019</v>
      </c>
      <c r="I1365" t="s">
        <v>4020</v>
      </c>
      <c r="J1365">
        <v>12</v>
      </c>
      <c r="K1365">
        <v>8674</v>
      </c>
      <c r="L1365">
        <v>50033</v>
      </c>
      <c r="M1365" t="s">
        <v>39</v>
      </c>
      <c r="N1365">
        <v>243</v>
      </c>
      <c r="O1365" s="2">
        <v>46240</v>
      </c>
      <c r="P1365" s="2">
        <v>46290</v>
      </c>
      <c r="R1365" t="s">
        <v>4021</v>
      </c>
      <c r="S1365" t="str">
        <f>"0000050412841"</f>
        <v>0000050412841</v>
      </c>
      <c r="T1365" t="s">
        <v>41</v>
      </c>
      <c r="U1365">
        <v>833.9</v>
      </c>
      <c r="V1365">
        <v>800.54</v>
      </c>
      <c r="W1365">
        <v>800.54</v>
      </c>
      <c r="X1365">
        <v>0</v>
      </c>
      <c r="Y1365">
        <v>0</v>
      </c>
      <c r="Z1365">
        <v>-515</v>
      </c>
      <c r="AA1365">
        <v>4305</v>
      </c>
      <c r="AD1365" t="s">
        <v>4022</v>
      </c>
      <c r="AE1365" t="s">
        <v>4023</v>
      </c>
      <c r="AF1365" t="s">
        <v>4022</v>
      </c>
      <c r="AG1365">
        <v>58554387000108</v>
      </c>
      <c r="AH1365" t="s">
        <v>44</v>
      </c>
    </row>
    <row r="1366" spans="1:34" x14ac:dyDescent="0.3">
      <c r="A1366">
        <v>101</v>
      </c>
      <c r="B1366" t="s">
        <v>34</v>
      </c>
      <c r="C1366">
        <v>2</v>
      </c>
      <c r="D1366" s="1" t="s">
        <v>4018</v>
      </c>
      <c r="E1366" s="1" t="s">
        <v>122</v>
      </c>
      <c r="G1366">
        <v>11834</v>
      </c>
      <c r="H1366" t="s">
        <v>4019</v>
      </c>
      <c r="I1366" t="s">
        <v>4020</v>
      </c>
      <c r="J1366">
        <v>12</v>
      </c>
      <c r="K1366">
        <v>8674</v>
      </c>
      <c r="L1366">
        <v>50033</v>
      </c>
      <c r="M1366" t="s">
        <v>39</v>
      </c>
      <c r="N1366">
        <v>243</v>
      </c>
      <c r="O1366" s="2">
        <v>46240</v>
      </c>
      <c r="P1366" s="2">
        <v>46280</v>
      </c>
      <c r="R1366" t="s">
        <v>4021</v>
      </c>
      <c r="S1366" t="str">
        <f>"0000050412833"</f>
        <v>0000050412833</v>
      </c>
      <c r="T1366" t="s">
        <v>41</v>
      </c>
      <c r="U1366">
        <v>833.64</v>
      </c>
      <c r="V1366">
        <v>800.29</v>
      </c>
      <c r="W1366">
        <v>800.29</v>
      </c>
      <c r="X1366">
        <v>0</v>
      </c>
      <c r="Y1366">
        <v>0</v>
      </c>
      <c r="Z1366">
        <v>-505</v>
      </c>
      <c r="AA1366">
        <v>4305</v>
      </c>
      <c r="AD1366" t="s">
        <v>4022</v>
      </c>
      <c r="AE1366" t="s">
        <v>4023</v>
      </c>
      <c r="AF1366" t="s">
        <v>4022</v>
      </c>
      <c r="AG1366">
        <v>58554387000108</v>
      </c>
      <c r="AH1366" t="s">
        <v>44</v>
      </c>
    </row>
    <row r="1367" spans="1:34" x14ac:dyDescent="0.3">
      <c r="A1367">
        <v>101</v>
      </c>
      <c r="B1367" t="s">
        <v>34</v>
      </c>
      <c r="C1367">
        <v>2</v>
      </c>
      <c r="D1367" s="1" t="s">
        <v>4018</v>
      </c>
      <c r="E1367" s="1" t="s">
        <v>36</v>
      </c>
      <c r="G1367">
        <v>11834</v>
      </c>
      <c r="H1367" t="s">
        <v>4019</v>
      </c>
      <c r="I1367" t="s">
        <v>4020</v>
      </c>
      <c r="J1367">
        <v>12</v>
      </c>
      <c r="K1367">
        <v>8674</v>
      </c>
      <c r="L1367">
        <v>50033</v>
      </c>
      <c r="M1367" t="s">
        <v>39</v>
      </c>
      <c r="N1367">
        <v>243</v>
      </c>
      <c r="O1367" s="2">
        <v>46240</v>
      </c>
      <c r="P1367" s="2">
        <v>46270</v>
      </c>
      <c r="R1367" t="s">
        <v>4021</v>
      </c>
      <c r="S1367" t="str">
        <f>"0000050412825"</f>
        <v>0000050412825</v>
      </c>
      <c r="T1367" t="s">
        <v>41</v>
      </c>
      <c r="U1367">
        <v>890.31</v>
      </c>
      <c r="V1367">
        <v>854.7</v>
      </c>
      <c r="W1367">
        <v>854.7</v>
      </c>
      <c r="X1367">
        <v>0</v>
      </c>
      <c r="Y1367">
        <v>0</v>
      </c>
      <c r="Z1367">
        <v>-495</v>
      </c>
      <c r="AA1367">
        <v>4305</v>
      </c>
      <c r="AD1367" t="s">
        <v>4022</v>
      </c>
      <c r="AE1367" t="s">
        <v>4023</v>
      </c>
      <c r="AF1367" t="s">
        <v>4022</v>
      </c>
      <c r="AG1367">
        <v>58554387000108</v>
      </c>
      <c r="AH1367" t="s">
        <v>44</v>
      </c>
    </row>
    <row r="1368" spans="1:34" x14ac:dyDescent="0.3">
      <c r="A1368">
        <v>101</v>
      </c>
      <c r="B1368" t="s">
        <v>34</v>
      </c>
      <c r="C1368">
        <v>2</v>
      </c>
      <c r="D1368" s="1" t="s">
        <v>4024</v>
      </c>
      <c r="E1368" s="1" t="s">
        <v>116</v>
      </c>
      <c r="G1368">
        <v>11835</v>
      </c>
      <c r="H1368" t="s">
        <v>4025</v>
      </c>
      <c r="I1368" t="s">
        <v>4020</v>
      </c>
      <c r="J1368">
        <v>12</v>
      </c>
      <c r="K1368">
        <v>8674</v>
      </c>
      <c r="L1368">
        <v>50033</v>
      </c>
      <c r="M1368" t="s">
        <v>39</v>
      </c>
      <c r="N1368">
        <v>243</v>
      </c>
      <c r="O1368" s="2">
        <v>46240</v>
      </c>
      <c r="P1368" s="2">
        <v>46290</v>
      </c>
      <c r="R1368" t="s">
        <v>4026</v>
      </c>
      <c r="S1368" t="str">
        <f>"0000050412876"</f>
        <v>0000050412876</v>
      </c>
      <c r="T1368" t="s">
        <v>41</v>
      </c>
      <c r="U1368">
        <v>1443.79</v>
      </c>
      <c r="V1368">
        <v>1386.04</v>
      </c>
      <c r="W1368">
        <v>1386.04</v>
      </c>
      <c r="X1368">
        <v>0</v>
      </c>
      <c r="Y1368">
        <v>0</v>
      </c>
      <c r="Z1368">
        <v>-515</v>
      </c>
      <c r="AA1368">
        <v>4308</v>
      </c>
      <c r="AD1368" t="s">
        <v>4022</v>
      </c>
      <c r="AE1368" t="s">
        <v>4027</v>
      </c>
      <c r="AF1368" t="s">
        <v>4022</v>
      </c>
      <c r="AG1368">
        <v>58554387000370</v>
      </c>
      <c r="AH1368" t="s">
        <v>44</v>
      </c>
    </row>
    <row r="1369" spans="1:34" x14ac:dyDescent="0.3">
      <c r="A1369">
        <v>101</v>
      </c>
      <c r="B1369" t="s">
        <v>34</v>
      </c>
      <c r="C1369">
        <v>2</v>
      </c>
      <c r="D1369" s="1" t="s">
        <v>4024</v>
      </c>
      <c r="E1369" s="1" t="s">
        <v>122</v>
      </c>
      <c r="G1369">
        <v>11835</v>
      </c>
      <c r="H1369" t="s">
        <v>4025</v>
      </c>
      <c r="I1369" t="s">
        <v>4020</v>
      </c>
      <c r="J1369">
        <v>12</v>
      </c>
      <c r="K1369">
        <v>8674</v>
      </c>
      <c r="L1369">
        <v>50033</v>
      </c>
      <c r="M1369" t="s">
        <v>39</v>
      </c>
      <c r="N1369">
        <v>243</v>
      </c>
      <c r="O1369" s="2">
        <v>46240</v>
      </c>
      <c r="P1369" s="2">
        <v>46280</v>
      </c>
      <c r="R1369" t="s">
        <v>4026</v>
      </c>
      <c r="S1369" t="str">
        <f>"0000050412868"</f>
        <v>0000050412868</v>
      </c>
      <c r="T1369" t="s">
        <v>41</v>
      </c>
      <c r="U1369">
        <v>1443.35</v>
      </c>
      <c r="V1369">
        <v>1385.62</v>
      </c>
      <c r="W1369">
        <v>1385.62</v>
      </c>
      <c r="X1369">
        <v>0</v>
      </c>
      <c r="Y1369">
        <v>0</v>
      </c>
      <c r="Z1369">
        <v>-505</v>
      </c>
      <c r="AA1369">
        <v>4308</v>
      </c>
      <c r="AD1369" t="s">
        <v>4022</v>
      </c>
      <c r="AE1369" t="s">
        <v>4027</v>
      </c>
      <c r="AF1369" t="s">
        <v>4022</v>
      </c>
      <c r="AG1369">
        <v>58554387000370</v>
      </c>
      <c r="AH1369" t="s">
        <v>44</v>
      </c>
    </row>
    <row r="1370" spans="1:34" x14ac:dyDescent="0.3">
      <c r="A1370">
        <v>101</v>
      </c>
      <c r="B1370" t="s">
        <v>34</v>
      </c>
      <c r="C1370">
        <v>2</v>
      </c>
      <c r="D1370" s="1" t="s">
        <v>4024</v>
      </c>
      <c r="E1370" s="1" t="s">
        <v>36</v>
      </c>
      <c r="G1370">
        <v>11835</v>
      </c>
      <c r="H1370" t="s">
        <v>4025</v>
      </c>
      <c r="I1370" t="s">
        <v>4020</v>
      </c>
      <c r="J1370">
        <v>12</v>
      </c>
      <c r="K1370">
        <v>8674</v>
      </c>
      <c r="L1370">
        <v>50033</v>
      </c>
      <c r="M1370" t="s">
        <v>39</v>
      </c>
      <c r="N1370">
        <v>243</v>
      </c>
      <c r="O1370" s="2">
        <v>46240</v>
      </c>
      <c r="P1370" s="2">
        <v>46270</v>
      </c>
      <c r="R1370" t="s">
        <v>4026</v>
      </c>
      <c r="S1370" t="str">
        <f>"0000050412850"</f>
        <v>0000050412850</v>
      </c>
      <c r="T1370" t="s">
        <v>41</v>
      </c>
      <c r="U1370">
        <v>1581.36</v>
      </c>
      <c r="V1370">
        <v>1518.11</v>
      </c>
      <c r="W1370">
        <v>1518.11</v>
      </c>
      <c r="X1370">
        <v>0</v>
      </c>
      <c r="Y1370">
        <v>0</v>
      </c>
      <c r="Z1370">
        <v>-495</v>
      </c>
      <c r="AA1370">
        <v>4308</v>
      </c>
      <c r="AD1370" t="s">
        <v>4022</v>
      </c>
      <c r="AE1370" t="s">
        <v>4027</v>
      </c>
      <c r="AF1370" t="s">
        <v>4022</v>
      </c>
      <c r="AG1370">
        <v>58554387000370</v>
      </c>
      <c r="AH1370" t="s">
        <v>44</v>
      </c>
    </row>
    <row r="1371" spans="1:34" x14ac:dyDescent="0.3">
      <c r="A1371">
        <v>101</v>
      </c>
      <c r="B1371" t="s">
        <v>34</v>
      </c>
      <c r="C1371">
        <v>2</v>
      </c>
      <c r="D1371" s="1" t="s">
        <v>4028</v>
      </c>
      <c r="E1371" s="1" t="s">
        <v>122</v>
      </c>
      <c r="G1371">
        <v>11836</v>
      </c>
      <c r="H1371" t="s">
        <v>4029</v>
      </c>
      <c r="I1371" t="s">
        <v>4020</v>
      </c>
      <c r="J1371">
        <v>12</v>
      </c>
      <c r="K1371">
        <v>8674</v>
      </c>
      <c r="L1371">
        <v>50033</v>
      </c>
      <c r="M1371" t="s">
        <v>39</v>
      </c>
      <c r="N1371">
        <v>243</v>
      </c>
      <c r="O1371" s="2">
        <v>46239</v>
      </c>
      <c r="P1371" s="2">
        <v>46279</v>
      </c>
      <c r="R1371" t="s">
        <v>4030</v>
      </c>
      <c r="S1371" t="str">
        <f>"0000050412582"</f>
        <v>0000050412582</v>
      </c>
      <c r="T1371" t="s">
        <v>41</v>
      </c>
      <c r="U1371">
        <v>1442.54</v>
      </c>
      <c r="V1371">
        <v>1384.84</v>
      </c>
      <c r="W1371">
        <v>1384.84</v>
      </c>
      <c r="X1371">
        <v>0</v>
      </c>
      <c r="Y1371">
        <v>0</v>
      </c>
      <c r="Z1371">
        <v>-504</v>
      </c>
      <c r="AA1371">
        <v>4309</v>
      </c>
      <c r="AD1371" t="s">
        <v>4031</v>
      </c>
      <c r="AE1371" t="s">
        <v>4032</v>
      </c>
      <c r="AF1371" t="s">
        <v>4031</v>
      </c>
      <c r="AG1371">
        <v>58554387000612</v>
      </c>
      <c r="AH1371" t="s">
        <v>44</v>
      </c>
    </row>
    <row r="1372" spans="1:34" x14ac:dyDescent="0.3">
      <c r="A1372">
        <v>101</v>
      </c>
      <c r="B1372" t="s">
        <v>34</v>
      </c>
      <c r="C1372">
        <v>2</v>
      </c>
      <c r="D1372" s="1" t="s">
        <v>4028</v>
      </c>
      <c r="E1372" s="1" t="s">
        <v>116</v>
      </c>
      <c r="G1372">
        <v>11836</v>
      </c>
      <c r="H1372" t="s">
        <v>4029</v>
      </c>
      <c r="I1372" t="s">
        <v>4020</v>
      </c>
      <c r="J1372">
        <v>12</v>
      </c>
      <c r="K1372">
        <v>8674</v>
      </c>
      <c r="L1372">
        <v>50033</v>
      </c>
      <c r="M1372" t="s">
        <v>39</v>
      </c>
      <c r="N1372">
        <v>243</v>
      </c>
      <c r="O1372" s="2">
        <v>46239</v>
      </c>
      <c r="P1372" s="2">
        <v>46289</v>
      </c>
      <c r="R1372" t="s">
        <v>4030</v>
      </c>
      <c r="S1372" t="str">
        <f>"0000050412590"</f>
        <v>0000050412590</v>
      </c>
      <c r="T1372" t="s">
        <v>41</v>
      </c>
      <c r="U1372">
        <v>1442.96</v>
      </c>
      <c r="V1372">
        <v>1385.24</v>
      </c>
      <c r="W1372">
        <v>1385.24</v>
      </c>
      <c r="X1372">
        <v>0</v>
      </c>
      <c r="Y1372">
        <v>0</v>
      </c>
      <c r="Z1372">
        <v>-514</v>
      </c>
      <c r="AA1372">
        <v>4309</v>
      </c>
      <c r="AD1372" t="s">
        <v>4031</v>
      </c>
      <c r="AE1372" t="s">
        <v>4032</v>
      </c>
      <c r="AF1372" t="s">
        <v>4031</v>
      </c>
      <c r="AG1372">
        <v>58554387000612</v>
      </c>
      <c r="AH1372" t="s">
        <v>44</v>
      </c>
    </row>
    <row r="1373" spans="1:34" x14ac:dyDescent="0.3">
      <c r="A1373">
        <v>101</v>
      </c>
      <c r="B1373" t="s">
        <v>34</v>
      </c>
      <c r="C1373">
        <v>2</v>
      </c>
      <c r="D1373" s="1" t="s">
        <v>4028</v>
      </c>
      <c r="E1373" s="1" t="s">
        <v>36</v>
      </c>
      <c r="G1373">
        <v>11836</v>
      </c>
      <c r="H1373" t="s">
        <v>4029</v>
      </c>
      <c r="I1373" t="s">
        <v>4020</v>
      </c>
      <c r="J1373">
        <v>12</v>
      </c>
      <c r="K1373">
        <v>8674</v>
      </c>
      <c r="L1373">
        <v>50033</v>
      </c>
      <c r="M1373" t="s">
        <v>39</v>
      </c>
      <c r="N1373">
        <v>243</v>
      </c>
      <c r="O1373" s="2">
        <v>46239</v>
      </c>
      <c r="P1373" s="2">
        <v>46269</v>
      </c>
      <c r="R1373" t="s">
        <v>4030</v>
      </c>
      <c r="S1373" t="str">
        <f>"0000050412574"</f>
        <v>0000050412574</v>
      </c>
      <c r="T1373" t="s">
        <v>41</v>
      </c>
      <c r="U1373">
        <v>1463.77</v>
      </c>
      <c r="V1373">
        <v>1405.22</v>
      </c>
      <c r="W1373">
        <v>1405.22</v>
      </c>
      <c r="X1373">
        <v>0</v>
      </c>
      <c r="Y1373">
        <v>0</v>
      </c>
      <c r="Z1373">
        <v>-494</v>
      </c>
      <c r="AA1373">
        <v>4309</v>
      </c>
      <c r="AD1373" t="s">
        <v>4031</v>
      </c>
      <c r="AE1373" t="s">
        <v>4032</v>
      </c>
      <c r="AF1373" t="s">
        <v>4031</v>
      </c>
      <c r="AG1373">
        <v>58554387000612</v>
      </c>
      <c r="AH1373" t="s">
        <v>44</v>
      </c>
    </row>
    <row r="1374" spans="1:34" x14ac:dyDescent="0.3">
      <c r="A1374">
        <v>101</v>
      </c>
      <c r="B1374" t="s">
        <v>34</v>
      </c>
      <c r="C1374">
        <v>2</v>
      </c>
      <c r="D1374" s="1" t="s">
        <v>4033</v>
      </c>
      <c r="E1374" s="1" t="s">
        <v>116</v>
      </c>
      <c r="G1374">
        <v>12676</v>
      </c>
      <c r="H1374" t="s">
        <v>4034</v>
      </c>
      <c r="I1374" t="s">
        <v>4009</v>
      </c>
      <c r="J1374">
        <v>12</v>
      </c>
      <c r="K1374">
        <v>8674</v>
      </c>
      <c r="L1374">
        <v>50033</v>
      </c>
      <c r="M1374" t="s">
        <v>39</v>
      </c>
      <c r="N1374">
        <v>243</v>
      </c>
      <c r="O1374" s="2">
        <v>46239</v>
      </c>
      <c r="P1374" s="2">
        <v>46289</v>
      </c>
      <c r="R1374" t="s">
        <v>4035</v>
      </c>
      <c r="S1374" t="str">
        <f>"0000050412620"</f>
        <v>0000050412620</v>
      </c>
      <c r="T1374" t="s">
        <v>41</v>
      </c>
      <c r="U1374">
        <v>1061.04</v>
      </c>
      <c r="V1374">
        <v>1018.6</v>
      </c>
      <c r="W1374">
        <v>1018.6</v>
      </c>
      <c r="X1374">
        <v>0</v>
      </c>
      <c r="Y1374">
        <v>0</v>
      </c>
      <c r="Z1374">
        <v>-514</v>
      </c>
      <c r="AA1374">
        <v>4295</v>
      </c>
      <c r="AD1374" t="s">
        <v>3908</v>
      </c>
      <c r="AE1374" t="s">
        <v>4036</v>
      </c>
      <c r="AF1374" t="s">
        <v>3908</v>
      </c>
      <c r="AG1374" s="1" t="s">
        <v>4037</v>
      </c>
      <c r="AH1374" t="s">
        <v>44</v>
      </c>
    </row>
    <row r="1375" spans="1:34" x14ac:dyDescent="0.3">
      <c r="A1375">
        <v>101</v>
      </c>
      <c r="B1375" t="s">
        <v>34</v>
      </c>
      <c r="C1375">
        <v>2</v>
      </c>
      <c r="D1375" s="1" t="s">
        <v>4033</v>
      </c>
      <c r="E1375" s="1" t="s">
        <v>36</v>
      </c>
      <c r="G1375">
        <v>12676</v>
      </c>
      <c r="H1375" t="s">
        <v>4034</v>
      </c>
      <c r="I1375" t="s">
        <v>4009</v>
      </c>
      <c r="J1375">
        <v>12</v>
      </c>
      <c r="K1375">
        <v>8674</v>
      </c>
      <c r="L1375">
        <v>50033</v>
      </c>
      <c r="M1375" t="s">
        <v>39</v>
      </c>
      <c r="N1375">
        <v>243</v>
      </c>
      <c r="O1375" s="2">
        <v>46239</v>
      </c>
      <c r="P1375" s="2">
        <v>46269</v>
      </c>
      <c r="R1375" t="s">
        <v>4035</v>
      </c>
      <c r="S1375" t="str">
        <f>"0000050412604"</f>
        <v>0000050412604</v>
      </c>
      <c r="T1375" t="s">
        <v>41</v>
      </c>
      <c r="U1375">
        <v>1124.73</v>
      </c>
      <c r="V1375">
        <v>1079.74</v>
      </c>
      <c r="W1375">
        <v>1079.74</v>
      </c>
      <c r="X1375">
        <v>0</v>
      </c>
      <c r="Y1375">
        <v>0</v>
      </c>
      <c r="Z1375">
        <v>-494</v>
      </c>
      <c r="AA1375">
        <v>4295</v>
      </c>
      <c r="AD1375" t="s">
        <v>3908</v>
      </c>
      <c r="AE1375" t="s">
        <v>4036</v>
      </c>
      <c r="AF1375" t="s">
        <v>3908</v>
      </c>
      <c r="AG1375" s="1" t="s">
        <v>4037</v>
      </c>
      <c r="AH1375" t="s">
        <v>44</v>
      </c>
    </row>
    <row r="1376" spans="1:34" x14ac:dyDescent="0.3">
      <c r="A1376">
        <v>101</v>
      </c>
      <c r="B1376" t="s">
        <v>34</v>
      </c>
      <c r="C1376">
        <v>2</v>
      </c>
      <c r="D1376" s="1" t="s">
        <v>4033</v>
      </c>
      <c r="E1376" s="1" t="s">
        <v>122</v>
      </c>
      <c r="G1376">
        <v>12676</v>
      </c>
      <c r="H1376" t="s">
        <v>4034</v>
      </c>
      <c r="I1376" t="s">
        <v>4009</v>
      </c>
      <c r="J1376">
        <v>12</v>
      </c>
      <c r="K1376">
        <v>8674</v>
      </c>
      <c r="L1376">
        <v>50033</v>
      </c>
      <c r="M1376" t="s">
        <v>39</v>
      </c>
      <c r="N1376">
        <v>243</v>
      </c>
      <c r="O1376" s="2">
        <v>46239</v>
      </c>
      <c r="P1376" s="2">
        <v>46279</v>
      </c>
      <c r="R1376" t="s">
        <v>4035</v>
      </c>
      <c r="S1376" t="str">
        <f>"0000050412612"</f>
        <v>0000050412612</v>
      </c>
      <c r="T1376" t="s">
        <v>41</v>
      </c>
      <c r="U1376">
        <v>1060.72</v>
      </c>
      <c r="V1376">
        <v>1018.29</v>
      </c>
      <c r="W1376">
        <v>1018.29</v>
      </c>
      <c r="X1376">
        <v>0</v>
      </c>
      <c r="Y1376">
        <v>0</v>
      </c>
      <c r="Z1376">
        <v>-504</v>
      </c>
      <c r="AA1376">
        <v>4295</v>
      </c>
      <c r="AD1376" t="s">
        <v>3908</v>
      </c>
      <c r="AE1376" t="s">
        <v>4036</v>
      </c>
      <c r="AF1376" t="s">
        <v>3908</v>
      </c>
      <c r="AG1376" s="1" t="s">
        <v>4037</v>
      </c>
      <c r="AH1376" t="s">
        <v>44</v>
      </c>
    </row>
    <row r="1377" spans="1:34" x14ac:dyDescent="0.3">
      <c r="A1377">
        <v>101</v>
      </c>
      <c r="B1377" t="s">
        <v>34</v>
      </c>
      <c r="C1377">
        <v>2</v>
      </c>
      <c r="D1377" s="1" t="s">
        <v>4038</v>
      </c>
      <c r="E1377" s="1" t="s">
        <v>116</v>
      </c>
      <c r="G1377">
        <v>12676</v>
      </c>
      <c r="H1377" t="s">
        <v>4034</v>
      </c>
      <c r="I1377" t="s">
        <v>4009</v>
      </c>
      <c r="J1377">
        <v>12</v>
      </c>
      <c r="K1377">
        <v>8674</v>
      </c>
      <c r="L1377">
        <v>50033</v>
      </c>
      <c r="M1377" t="s">
        <v>39</v>
      </c>
      <c r="N1377">
        <v>243</v>
      </c>
      <c r="O1377" s="2">
        <v>46203</v>
      </c>
      <c r="P1377" s="2">
        <v>46262</v>
      </c>
      <c r="R1377" t="s">
        <v>4039</v>
      </c>
      <c r="S1377" t="str">
        <f>"0000050408518"</f>
        <v>0000050408518</v>
      </c>
      <c r="T1377" t="s">
        <v>41</v>
      </c>
      <c r="U1377">
        <v>800.04</v>
      </c>
      <c r="V1377">
        <v>768.04</v>
      </c>
      <c r="W1377">
        <v>768.04</v>
      </c>
      <c r="X1377">
        <v>0</v>
      </c>
      <c r="Y1377">
        <v>0</v>
      </c>
      <c r="Z1377">
        <v>-487</v>
      </c>
      <c r="AA1377">
        <v>693251</v>
      </c>
      <c r="AD1377" t="s">
        <v>3908</v>
      </c>
      <c r="AE1377" t="s">
        <v>4036</v>
      </c>
      <c r="AF1377" t="s">
        <v>3908</v>
      </c>
      <c r="AG1377" s="1" t="s">
        <v>4037</v>
      </c>
      <c r="AH1377" t="s">
        <v>44</v>
      </c>
    </row>
    <row r="1378" spans="1:34" x14ac:dyDescent="0.3">
      <c r="A1378">
        <v>101</v>
      </c>
      <c r="B1378" t="s">
        <v>34</v>
      </c>
      <c r="C1378">
        <v>2</v>
      </c>
      <c r="D1378" s="1" t="s">
        <v>4040</v>
      </c>
      <c r="E1378" s="1" t="s">
        <v>36</v>
      </c>
      <c r="G1378">
        <v>405561</v>
      </c>
      <c r="H1378" t="s">
        <v>4041</v>
      </c>
      <c r="I1378" t="s">
        <v>4042</v>
      </c>
      <c r="J1378">
        <v>12</v>
      </c>
      <c r="K1378">
        <v>646</v>
      </c>
      <c r="L1378">
        <v>50237</v>
      </c>
      <c r="M1378" t="s">
        <v>39</v>
      </c>
      <c r="N1378">
        <v>243</v>
      </c>
      <c r="O1378" s="2">
        <v>46254</v>
      </c>
      <c r="P1378" s="2">
        <v>46259</v>
      </c>
      <c r="R1378" t="s">
        <v>4043</v>
      </c>
      <c r="S1378" t="str">
        <f>"330000052321"</f>
        <v>330000052321</v>
      </c>
      <c r="T1378" t="s">
        <v>41</v>
      </c>
      <c r="U1378">
        <v>4870.74</v>
      </c>
      <c r="V1378">
        <v>4578.5</v>
      </c>
      <c r="W1378">
        <v>4578.5</v>
      </c>
      <c r="X1378">
        <v>0</v>
      </c>
      <c r="Y1378">
        <v>0</v>
      </c>
      <c r="Z1378">
        <v>-484</v>
      </c>
      <c r="AA1378">
        <v>4548</v>
      </c>
      <c r="AD1378" t="s">
        <v>3345</v>
      </c>
      <c r="AE1378" t="s">
        <v>4044</v>
      </c>
      <c r="AF1378" t="s">
        <v>3345</v>
      </c>
      <c r="AG1378">
        <v>45291341001416</v>
      </c>
      <c r="AH1378" t="s">
        <v>44</v>
      </c>
    </row>
    <row r="1379" spans="1:34" x14ac:dyDescent="0.3">
      <c r="A1379">
        <v>101</v>
      </c>
      <c r="B1379" t="s">
        <v>34</v>
      </c>
      <c r="C1379">
        <v>2</v>
      </c>
      <c r="D1379" s="1" t="s">
        <v>4045</v>
      </c>
      <c r="E1379" s="1" t="s">
        <v>36</v>
      </c>
      <c r="G1379">
        <v>434410</v>
      </c>
      <c r="H1379" t="s">
        <v>4046</v>
      </c>
      <c r="I1379" t="s">
        <v>4047</v>
      </c>
      <c r="J1379">
        <v>15</v>
      </c>
      <c r="K1379">
        <v>9047</v>
      </c>
      <c r="L1379">
        <v>50033</v>
      </c>
      <c r="M1379" t="s">
        <v>39</v>
      </c>
      <c r="N1379">
        <v>243</v>
      </c>
      <c r="O1379" s="2">
        <v>46246</v>
      </c>
      <c r="P1379" s="2">
        <v>46291</v>
      </c>
      <c r="R1379" t="s">
        <v>4048</v>
      </c>
      <c r="S1379" t="str">
        <f>"0000050413317"</f>
        <v>0000050413317</v>
      </c>
      <c r="T1379" t="s">
        <v>41</v>
      </c>
      <c r="U1379">
        <v>8409.48</v>
      </c>
      <c r="V1379">
        <v>7989.01</v>
      </c>
      <c r="W1379">
        <v>7989.01</v>
      </c>
      <c r="X1379">
        <v>0</v>
      </c>
      <c r="Y1379">
        <v>0</v>
      </c>
      <c r="Z1379">
        <v>-516</v>
      </c>
      <c r="AA1379">
        <v>4516</v>
      </c>
      <c r="AD1379" t="s">
        <v>4049</v>
      </c>
      <c r="AE1379" t="s">
        <v>4050</v>
      </c>
      <c r="AF1379" t="s">
        <v>4049</v>
      </c>
      <c r="AG1379">
        <v>53963443001701</v>
      </c>
      <c r="AH1379" t="s">
        <v>44</v>
      </c>
    </row>
    <row r="1380" spans="1:34" x14ac:dyDescent="0.3">
      <c r="A1380">
        <v>101</v>
      </c>
      <c r="B1380" t="s">
        <v>34</v>
      </c>
      <c r="C1380">
        <v>2</v>
      </c>
      <c r="D1380" s="1" t="s">
        <v>4051</v>
      </c>
      <c r="E1380" s="1" t="s">
        <v>36</v>
      </c>
      <c r="G1380">
        <v>434810</v>
      </c>
      <c r="H1380" t="s">
        <v>4052</v>
      </c>
      <c r="I1380" t="s">
        <v>4053</v>
      </c>
      <c r="J1380">
        <v>12</v>
      </c>
      <c r="K1380">
        <v>3465</v>
      </c>
      <c r="L1380">
        <v>50033</v>
      </c>
      <c r="M1380" t="s">
        <v>39</v>
      </c>
      <c r="N1380">
        <v>243</v>
      </c>
      <c r="O1380" s="2">
        <v>46240</v>
      </c>
      <c r="P1380" s="2">
        <v>46270</v>
      </c>
      <c r="R1380" t="s">
        <v>4054</v>
      </c>
      <c r="S1380" t="str">
        <f>"0000050412736"</f>
        <v>0000050412736</v>
      </c>
      <c r="T1380" t="s">
        <v>41</v>
      </c>
      <c r="U1380">
        <v>3105.42</v>
      </c>
      <c r="V1380">
        <v>3012.26</v>
      </c>
      <c r="W1380">
        <v>3012.26</v>
      </c>
      <c r="X1380">
        <v>0</v>
      </c>
      <c r="Y1380">
        <v>0</v>
      </c>
      <c r="Z1380">
        <v>-495</v>
      </c>
      <c r="AA1380" t="s">
        <v>4055</v>
      </c>
      <c r="AD1380" t="s">
        <v>4056</v>
      </c>
      <c r="AE1380">
        <v>1735462696</v>
      </c>
      <c r="AF1380" t="s">
        <v>4056</v>
      </c>
      <c r="AG1380">
        <v>66965518000500</v>
      </c>
      <c r="AH1380" t="s">
        <v>44</v>
      </c>
    </row>
    <row r="1381" spans="1:34" x14ac:dyDescent="0.3">
      <c r="A1381">
        <v>101</v>
      </c>
      <c r="B1381" t="s">
        <v>34</v>
      </c>
      <c r="C1381">
        <v>2</v>
      </c>
      <c r="D1381" s="1" t="s">
        <v>4057</v>
      </c>
      <c r="E1381" s="1" t="s">
        <v>36</v>
      </c>
      <c r="G1381">
        <v>436064</v>
      </c>
      <c r="H1381" t="s">
        <v>4058</v>
      </c>
      <c r="I1381" t="s">
        <v>4059</v>
      </c>
      <c r="J1381">
        <v>10</v>
      </c>
      <c r="K1381">
        <v>6136</v>
      </c>
      <c r="L1381">
        <v>50033</v>
      </c>
      <c r="M1381" t="s">
        <v>39</v>
      </c>
      <c r="N1381">
        <v>243</v>
      </c>
      <c r="O1381" s="2">
        <v>46254</v>
      </c>
      <c r="P1381" s="2">
        <v>46314</v>
      </c>
      <c r="R1381" t="s">
        <v>4060</v>
      </c>
      <c r="S1381" t="str">
        <f>"0000050414690"</f>
        <v>0000050414690</v>
      </c>
      <c r="T1381" t="s">
        <v>41</v>
      </c>
      <c r="U1381">
        <v>2070.4699999999998</v>
      </c>
      <c r="V1381">
        <v>1966.95</v>
      </c>
      <c r="W1381">
        <v>1966.95</v>
      </c>
      <c r="X1381">
        <v>0</v>
      </c>
      <c r="Y1381">
        <v>0</v>
      </c>
      <c r="Z1381">
        <v>-539</v>
      </c>
      <c r="AA1381">
        <v>4858</v>
      </c>
      <c r="AD1381" t="s">
        <v>4061</v>
      </c>
      <c r="AE1381">
        <v>1733441700</v>
      </c>
      <c r="AF1381" t="s">
        <v>4061</v>
      </c>
      <c r="AG1381" s="1" t="s">
        <v>4062</v>
      </c>
      <c r="AH1381" t="s">
        <v>44</v>
      </c>
    </row>
    <row r="1382" spans="1:34" x14ac:dyDescent="0.3">
      <c r="A1382">
        <v>101</v>
      </c>
      <c r="B1382" t="s">
        <v>34</v>
      </c>
      <c r="C1382">
        <v>2</v>
      </c>
      <c r="D1382" s="1" t="s">
        <v>4063</v>
      </c>
      <c r="E1382" s="1" t="s">
        <v>36</v>
      </c>
      <c r="G1382">
        <v>437045</v>
      </c>
      <c r="H1382" t="s">
        <v>4064</v>
      </c>
      <c r="I1382" t="s">
        <v>4047</v>
      </c>
      <c r="J1382">
        <v>15</v>
      </c>
      <c r="K1382">
        <v>9047</v>
      </c>
      <c r="L1382">
        <v>50001</v>
      </c>
      <c r="M1382" t="s">
        <v>39</v>
      </c>
      <c r="N1382">
        <v>243</v>
      </c>
      <c r="O1382" s="2">
        <v>46246</v>
      </c>
      <c r="P1382" s="2">
        <v>46291</v>
      </c>
      <c r="R1382" t="s">
        <v>4065</v>
      </c>
      <c r="S1382" t="str">
        <f>"25666160000051862"</f>
        <v>25666160000051862</v>
      </c>
      <c r="T1382" t="s">
        <v>41</v>
      </c>
      <c r="U1382">
        <v>14667.16</v>
      </c>
      <c r="V1382">
        <v>13933.8</v>
      </c>
      <c r="W1382">
        <v>13933.8</v>
      </c>
      <c r="X1382">
        <v>0</v>
      </c>
      <c r="Y1382">
        <v>0</v>
      </c>
      <c r="Z1382">
        <v>-516</v>
      </c>
      <c r="AA1382">
        <v>4520</v>
      </c>
      <c r="AD1382" t="s">
        <v>4011</v>
      </c>
      <c r="AE1382" t="s">
        <v>4066</v>
      </c>
      <c r="AF1382" t="s">
        <v>4011</v>
      </c>
      <c r="AG1382">
        <v>53963443001892</v>
      </c>
      <c r="AH1382" t="s">
        <v>44</v>
      </c>
    </row>
    <row r="1383" spans="1:34" x14ac:dyDescent="0.3">
      <c r="A1383">
        <v>101</v>
      </c>
      <c r="B1383" t="s">
        <v>34</v>
      </c>
      <c r="C1383">
        <v>2</v>
      </c>
      <c r="D1383" s="1" t="s">
        <v>4067</v>
      </c>
      <c r="E1383" s="1" t="s">
        <v>36</v>
      </c>
      <c r="G1383">
        <v>444160</v>
      </c>
      <c r="H1383" t="s">
        <v>4068</v>
      </c>
      <c r="I1383" t="s">
        <v>4059</v>
      </c>
      <c r="J1383">
        <v>12</v>
      </c>
      <c r="K1383">
        <v>6136</v>
      </c>
      <c r="L1383">
        <v>50001</v>
      </c>
      <c r="M1383" t="s">
        <v>39</v>
      </c>
      <c r="N1383">
        <v>243</v>
      </c>
      <c r="O1383" s="2">
        <v>46254</v>
      </c>
      <c r="P1383" s="2">
        <v>46314</v>
      </c>
      <c r="R1383" t="s">
        <v>4069</v>
      </c>
      <c r="S1383" t="str">
        <f>"25666160000051983"</f>
        <v>25666160000051983</v>
      </c>
      <c r="T1383" t="s">
        <v>41</v>
      </c>
      <c r="U1383">
        <v>3072.8</v>
      </c>
      <c r="V1383">
        <v>2919.16</v>
      </c>
      <c r="W1383">
        <v>2919.16</v>
      </c>
      <c r="X1383">
        <v>0</v>
      </c>
      <c r="Y1383">
        <v>0</v>
      </c>
      <c r="Z1383">
        <v>-539</v>
      </c>
      <c r="AA1383">
        <v>4860</v>
      </c>
      <c r="AD1383" t="s">
        <v>4070</v>
      </c>
      <c r="AE1383" t="s">
        <v>3913</v>
      </c>
      <c r="AF1383" t="s">
        <v>4070</v>
      </c>
      <c r="AG1383" s="1" t="s">
        <v>4071</v>
      </c>
      <c r="AH1383" t="s">
        <v>44</v>
      </c>
    </row>
    <row r="1384" spans="1:34" x14ac:dyDescent="0.3">
      <c r="A1384">
        <v>101</v>
      </c>
      <c r="B1384" t="s">
        <v>34</v>
      </c>
      <c r="C1384">
        <v>2</v>
      </c>
      <c r="D1384" s="1" t="s">
        <v>4072</v>
      </c>
      <c r="E1384" s="1" t="s">
        <v>36</v>
      </c>
      <c r="G1384">
        <v>444161</v>
      </c>
      <c r="H1384" t="s">
        <v>4073</v>
      </c>
      <c r="I1384" t="s">
        <v>4059</v>
      </c>
      <c r="J1384">
        <v>12</v>
      </c>
      <c r="K1384">
        <v>6136</v>
      </c>
      <c r="L1384">
        <v>50001</v>
      </c>
      <c r="M1384" t="s">
        <v>39</v>
      </c>
      <c r="N1384">
        <v>243</v>
      </c>
      <c r="O1384" s="2">
        <v>46254</v>
      </c>
      <c r="P1384" s="2">
        <v>46314</v>
      </c>
      <c r="R1384" t="s">
        <v>4074</v>
      </c>
      <c r="S1384" t="str">
        <f>"25666160000051984"</f>
        <v>25666160000051984</v>
      </c>
      <c r="T1384" t="s">
        <v>41</v>
      </c>
      <c r="U1384">
        <v>2017.24</v>
      </c>
      <c r="V1384">
        <v>1916.38</v>
      </c>
      <c r="W1384">
        <v>1916.38</v>
      </c>
      <c r="X1384">
        <v>0</v>
      </c>
      <c r="Y1384">
        <v>0</v>
      </c>
      <c r="Z1384">
        <v>-539</v>
      </c>
      <c r="AA1384">
        <v>4861</v>
      </c>
      <c r="AD1384" t="s">
        <v>4075</v>
      </c>
      <c r="AE1384" t="s">
        <v>4076</v>
      </c>
      <c r="AF1384" t="s">
        <v>4075</v>
      </c>
      <c r="AG1384" s="1" t="s">
        <v>4077</v>
      </c>
      <c r="AH1384" t="s">
        <v>44</v>
      </c>
    </row>
    <row r="1385" spans="1:34" x14ac:dyDescent="0.3">
      <c r="A1385">
        <v>101</v>
      </c>
      <c r="B1385" t="s">
        <v>34</v>
      </c>
      <c r="C1385">
        <v>2</v>
      </c>
      <c r="D1385" s="1" t="s">
        <v>4078</v>
      </c>
      <c r="E1385" s="1" t="s">
        <v>36</v>
      </c>
      <c r="G1385">
        <v>448153</v>
      </c>
      <c r="H1385" t="s">
        <v>4079</v>
      </c>
      <c r="I1385" t="s">
        <v>4047</v>
      </c>
      <c r="J1385">
        <v>15</v>
      </c>
      <c r="K1385">
        <v>9047</v>
      </c>
      <c r="L1385">
        <v>50033</v>
      </c>
      <c r="M1385" t="s">
        <v>39</v>
      </c>
      <c r="N1385">
        <v>243</v>
      </c>
      <c r="O1385" s="2">
        <v>46246</v>
      </c>
      <c r="P1385" s="2">
        <v>46291</v>
      </c>
      <c r="R1385" t="s">
        <v>4080</v>
      </c>
      <c r="S1385" t="str">
        <f>"0000050413333"</f>
        <v>0000050413333</v>
      </c>
      <c r="T1385" t="s">
        <v>41</v>
      </c>
      <c r="U1385">
        <v>5941.07</v>
      </c>
      <c r="V1385">
        <v>5644.02</v>
      </c>
      <c r="W1385">
        <v>5644.02</v>
      </c>
      <c r="X1385">
        <v>0</v>
      </c>
      <c r="Y1385">
        <v>0</v>
      </c>
      <c r="Z1385">
        <v>-516</v>
      </c>
      <c r="AA1385">
        <v>4521</v>
      </c>
      <c r="AD1385" t="s">
        <v>3275</v>
      </c>
      <c r="AE1385" t="s">
        <v>3873</v>
      </c>
      <c r="AF1385" t="s">
        <v>3275</v>
      </c>
      <c r="AG1385">
        <v>53963443001973</v>
      </c>
      <c r="AH1385" t="s">
        <v>44</v>
      </c>
    </row>
    <row r="1386" spans="1:34" x14ac:dyDescent="0.3">
      <c r="A1386">
        <v>101</v>
      </c>
      <c r="B1386" t="s">
        <v>34</v>
      </c>
      <c r="C1386">
        <v>2</v>
      </c>
      <c r="D1386" s="1" t="s">
        <v>4081</v>
      </c>
      <c r="E1386" s="1" t="s">
        <v>36</v>
      </c>
      <c r="G1386">
        <v>450531</v>
      </c>
      <c r="H1386" t="s">
        <v>4082</v>
      </c>
      <c r="I1386" t="s">
        <v>4083</v>
      </c>
      <c r="J1386">
        <v>12</v>
      </c>
      <c r="K1386">
        <v>8218</v>
      </c>
      <c r="L1386">
        <v>50001</v>
      </c>
      <c r="M1386" t="s">
        <v>39</v>
      </c>
      <c r="N1386">
        <v>243</v>
      </c>
      <c r="O1386" s="2">
        <v>46245</v>
      </c>
      <c r="P1386" s="2">
        <v>46290</v>
      </c>
      <c r="R1386" t="s">
        <v>4084</v>
      </c>
      <c r="S1386" t="str">
        <f>"25666160000051842"</f>
        <v>25666160000051842</v>
      </c>
      <c r="T1386" t="s">
        <v>41</v>
      </c>
      <c r="U1386">
        <v>1886.18</v>
      </c>
      <c r="V1386">
        <v>1886.18</v>
      </c>
      <c r="W1386">
        <v>1886.18</v>
      </c>
      <c r="X1386">
        <v>0</v>
      </c>
      <c r="Y1386">
        <v>0</v>
      </c>
      <c r="Z1386">
        <v>-515</v>
      </c>
      <c r="AA1386">
        <v>4477</v>
      </c>
      <c r="AD1386" t="s">
        <v>3275</v>
      </c>
      <c r="AE1386" t="s">
        <v>4085</v>
      </c>
      <c r="AF1386" t="s">
        <v>3275</v>
      </c>
      <c r="AG1386">
        <v>72954308001230</v>
      </c>
      <c r="AH1386" t="s">
        <v>44</v>
      </c>
    </row>
    <row r="1387" spans="1:34" x14ac:dyDescent="0.3">
      <c r="A1387">
        <v>101</v>
      </c>
      <c r="B1387" t="s">
        <v>34</v>
      </c>
      <c r="C1387">
        <v>2</v>
      </c>
      <c r="D1387" s="1" t="s">
        <v>4086</v>
      </c>
      <c r="E1387" s="1" t="s">
        <v>36</v>
      </c>
      <c r="G1387">
        <v>450949</v>
      </c>
      <c r="H1387" t="s">
        <v>4087</v>
      </c>
      <c r="I1387" t="s">
        <v>4047</v>
      </c>
      <c r="J1387">
        <v>15</v>
      </c>
      <c r="K1387">
        <v>9047</v>
      </c>
      <c r="L1387">
        <v>50001</v>
      </c>
      <c r="M1387" t="s">
        <v>39</v>
      </c>
      <c r="N1387">
        <v>243</v>
      </c>
      <c r="O1387" s="2">
        <v>46246</v>
      </c>
      <c r="P1387" s="2">
        <v>46291</v>
      </c>
      <c r="R1387" t="s">
        <v>4088</v>
      </c>
      <c r="S1387" t="str">
        <f>"25666160000051863"</f>
        <v>25666160000051863</v>
      </c>
      <c r="T1387" t="s">
        <v>41</v>
      </c>
      <c r="U1387">
        <v>8887.92</v>
      </c>
      <c r="V1387">
        <v>8443.52</v>
      </c>
      <c r="W1387">
        <v>8443.52</v>
      </c>
      <c r="X1387">
        <v>0</v>
      </c>
      <c r="Y1387">
        <v>0</v>
      </c>
      <c r="Z1387">
        <v>-516</v>
      </c>
      <c r="AA1387">
        <v>4524</v>
      </c>
      <c r="AD1387" t="s">
        <v>4075</v>
      </c>
      <c r="AE1387" t="s">
        <v>4089</v>
      </c>
      <c r="AF1387" t="s">
        <v>4075</v>
      </c>
      <c r="AG1387">
        <v>53963443002007</v>
      </c>
      <c r="AH1387" t="s">
        <v>44</v>
      </c>
    </row>
    <row r="1388" spans="1:34" x14ac:dyDescent="0.3">
      <c r="A1388">
        <v>101</v>
      </c>
      <c r="B1388" t="s">
        <v>34</v>
      </c>
      <c r="C1388">
        <v>2</v>
      </c>
      <c r="D1388" s="1" t="s">
        <v>4090</v>
      </c>
      <c r="E1388" s="1" t="s">
        <v>36</v>
      </c>
      <c r="G1388">
        <v>450949</v>
      </c>
      <c r="H1388" t="s">
        <v>4087</v>
      </c>
      <c r="I1388" t="s">
        <v>4047</v>
      </c>
      <c r="J1388">
        <v>15</v>
      </c>
      <c r="K1388">
        <v>9047</v>
      </c>
      <c r="L1388">
        <v>50001</v>
      </c>
      <c r="M1388" t="s">
        <v>39</v>
      </c>
      <c r="N1388">
        <v>243</v>
      </c>
      <c r="O1388" s="2">
        <v>46254</v>
      </c>
      <c r="P1388" s="2">
        <v>46299</v>
      </c>
      <c r="R1388" t="s">
        <v>4091</v>
      </c>
      <c r="S1388" t="str">
        <f>"25666160000051969"</f>
        <v>25666160000051969</v>
      </c>
      <c r="T1388" t="s">
        <v>41</v>
      </c>
      <c r="U1388">
        <v>1123.29</v>
      </c>
      <c r="V1388">
        <v>1067.1300000000001</v>
      </c>
      <c r="W1388">
        <v>1067.1300000000001</v>
      </c>
      <c r="X1388">
        <v>0</v>
      </c>
      <c r="Y1388">
        <v>0</v>
      </c>
      <c r="Z1388">
        <v>-524</v>
      </c>
      <c r="AA1388">
        <v>4524</v>
      </c>
      <c r="AD1388" t="s">
        <v>4075</v>
      </c>
      <c r="AE1388" t="s">
        <v>4089</v>
      </c>
      <c r="AF1388" t="s">
        <v>4075</v>
      </c>
      <c r="AG1388">
        <v>53963443002007</v>
      </c>
      <c r="AH1388" t="s">
        <v>44</v>
      </c>
    </row>
    <row r="1389" spans="1:34" x14ac:dyDescent="0.3">
      <c r="A1389">
        <v>101</v>
      </c>
      <c r="B1389" t="s">
        <v>34</v>
      </c>
      <c r="C1389">
        <v>2</v>
      </c>
      <c r="D1389" s="1" t="s">
        <v>4092</v>
      </c>
      <c r="E1389" s="1" t="s">
        <v>36</v>
      </c>
      <c r="G1389">
        <v>451085</v>
      </c>
      <c r="H1389" t="s">
        <v>4093</v>
      </c>
      <c r="I1389" t="s">
        <v>4059</v>
      </c>
      <c r="J1389">
        <v>12</v>
      </c>
      <c r="K1389">
        <v>6136</v>
      </c>
      <c r="L1389">
        <v>50001</v>
      </c>
      <c r="M1389" t="s">
        <v>39</v>
      </c>
      <c r="N1389">
        <v>243</v>
      </c>
      <c r="O1389" s="2">
        <v>46254</v>
      </c>
      <c r="P1389" s="2">
        <v>46314</v>
      </c>
      <c r="R1389" t="s">
        <v>4094</v>
      </c>
      <c r="S1389" t="str">
        <f>"25666160000051985"</f>
        <v>25666160000051985</v>
      </c>
      <c r="T1389" t="s">
        <v>41</v>
      </c>
      <c r="U1389">
        <v>2719.37</v>
      </c>
      <c r="V1389">
        <v>2583.4</v>
      </c>
      <c r="W1389">
        <v>2583.4</v>
      </c>
      <c r="X1389">
        <v>0</v>
      </c>
      <c r="Y1389">
        <v>0</v>
      </c>
      <c r="Z1389">
        <v>-539</v>
      </c>
      <c r="AA1389">
        <v>4863</v>
      </c>
      <c r="AD1389" t="s">
        <v>4095</v>
      </c>
      <c r="AE1389" t="s">
        <v>4096</v>
      </c>
      <c r="AF1389" t="s">
        <v>4095</v>
      </c>
      <c r="AG1389" s="1" t="s">
        <v>4097</v>
      </c>
      <c r="AH1389" t="s">
        <v>44</v>
      </c>
    </row>
    <row r="1390" spans="1:34" x14ac:dyDescent="0.3">
      <c r="A1390">
        <v>101</v>
      </c>
      <c r="B1390" t="s">
        <v>34</v>
      </c>
      <c r="C1390">
        <v>2</v>
      </c>
      <c r="D1390" s="1" t="s">
        <v>4098</v>
      </c>
      <c r="E1390" s="1" t="s">
        <v>122</v>
      </c>
      <c r="G1390">
        <v>451337</v>
      </c>
      <c r="H1390" t="s">
        <v>4099</v>
      </c>
      <c r="I1390" t="s">
        <v>4100</v>
      </c>
      <c r="J1390">
        <v>12</v>
      </c>
      <c r="K1390">
        <v>662</v>
      </c>
      <c r="L1390">
        <v>50001</v>
      </c>
      <c r="M1390" t="s">
        <v>39</v>
      </c>
      <c r="N1390">
        <v>243</v>
      </c>
      <c r="O1390" s="2">
        <v>46224</v>
      </c>
      <c r="P1390" s="2">
        <v>46264</v>
      </c>
      <c r="R1390" t="s">
        <v>4101</v>
      </c>
      <c r="S1390" t="str">
        <f>"25666160000051510"</f>
        <v>25666160000051510</v>
      </c>
      <c r="T1390" t="s">
        <v>41</v>
      </c>
      <c r="U1390">
        <v>1205.54</v>
      </c>
      <c r="V1390">
        <v>1157.32</v>
      </c>
      <c r="W1390">
        <v>1157.32</v>
      </c>
      <c r="X1390">
        <v>0</v>
      </c>
      <c r="Y1390">
        <v>0</v>
      </c>
      <c r="Z1390">
        <v>-489</v>
      </c>
      <c r="AA1390">
        <v>1367</v>
      </c>
      <c r="AD1390" t="s">
        <v>3345</v>
      </c>
      <c r="AE1390" t="s">
        <v>4102</v>
      </c>
      <c r="AF1390" t="s">
        <v>3345</v>
      </c>
      <c r="AG1390" s="1" t="s">
        <v>4103</v>
      </c>
      <c r="AH1390" t="s">
        <v>44</v>
      </c>
    </row>
    <row r="1391" spans="1:34" x14ac:dyDescent="0.3">
      <c r="A1391">
        <v>101</v>
      </c>
      <c r="B1391" t="s">
        <v>34</v>
      </c>
      <c r="C1391">
        <v>2</v>
      </c>
      <c r="D1391" s="1" t="s">
        <v>4104</v>
      </c>
      <c r="E1391" s="1" t="s">
        <v>36</v>
      </c>
      <c r="G1391">
        <v>451538</v>
      </c>
      <c r="H1391" t="s">
        <v>4105</v>
      </c>
      <c r="I1391" t="s">
        <v>4059</v>
      </c>
      <c r="J1391">
        <v>12</v>
      </c>
      <c r="K1391">
        <v>6136</v>
      </c>
      <c r="L1391">
        <v>50001</v>
      </c>
      <c r="M1391" t="s">
        <v>39</v>
      </c>
      <c r="N1391">
        <v>243</v>
      </c>
      <c r="O1391" s="2">
        <v>46254</v>
      </c>
      <c r="P1391" s="2">
        <v>46314</v>
      </c>
      <c r="R1391" t="s">
        <v>4106</v>
      </c>
      <c r="S1391" t="str">
        <f>"25666160000051986"</f>
        <v>25666160000051986</v>
      </c>
      <c r="T1391" t="s">
        <v>41</v>
      </c>
      <c r="U1391">
        <v>1987.67</v>
      </c>
      <c r="V1391">
        <v>1888.29</v>
      </c>
      <c r="W1391">
        <v>1888.29</v>
      </c>
      <c r="X1391">
        <v>0</v>
      </c>
      <c r="Y1391">
        <v>0</v>
      </c>
      <c r="Z1391">
        <v>-539</v>
      </c>
      <c r="AA1391">
        <v>4864</v>
      </c>
      <c r="AD1391" t="s">
        <v>4075</v>
      </c>
      <c r="AE1391" t="s">
        <v>3913</v>
      </c>
      <c r="AF1391" t="s">
        <v>4075</v>
      </c>
      <c r="AG1391" s="1" t="s">
        <v>4107</v>
      </c>
      <c r="AH1391" t="s">
        <v>44</v>
      </c>
    </row>
    <row r="1392" spans="1:34" x14ac:dyDescent="0.3">
      <c r="A1392">
        <v>101</v>
      </c>
      <c r="B1392" t="s">
        <v>34</v>
      </c>
      <c r="C1392">
        <v>2</v>
      </c>
      <c r="D1392" s="1" t="s">
        <v>4108</v>
      </c>
      <c r="E1392" s="1" t="s">
        <v>36</v>
      </c>
      <c r="G1392">
        <v>452382</v>
      </c>
      <c r="H1392" t="s">
        <v>4109</v>
      </c>
      <c r="I1392" t="s">
        <v>4047</v>
      </c>
      <c r="J1392">
        <v>15</v>
      </c>
      <c r="K1392">
        <v>9047</v>
      </c>
      <c r="L1392">
        <v>50001</v>
      </c>
      <c r="M1392" t="s">
        <v>39</v>
      </c>
      <c r="N1392">
        <v>243</v>
      </c>
      <c r="O1392" s="2">
        <v>46254</v>
      </c>
      <c r="P1392" s="2">
        <v>46299</v>
      </c>
      <c r="R1392" t="s">
        <v>4110</v>
      </c>
      <c r="S1392" t="str">
        <f>"25666160000051972"</f>
        <v>25666160000051972</v>
      </c>
      <c r="T1392" t="s">
        <v>41</v>
      </c>
      <c r="U1392">
        <v>1347.95</v>
      </c>
      <c r="V1392">
        <v>1280.55</v>
      </c>
      <c r="W1392">
        <v>1280.55</v>
      </c>
      <c r="X1392">
        <v>0</v>
      </c>
      <c r="Y1392">
        <v>0</v>
      </c>
      <c r="Z1392">
        <v>-524</v>
      </c>
      <c r="AA1392">
        <v>4527</v>
      </c>
      <c r="AD1392" t="s">
        <v>3795</v>
      </c>
      <c r="AE1392" t="s">
        <v>3873</v>
      </c>
      <c r="AF1392" t="s">
        <v>3795</v>
      </c>
      <c r="AG1392">
        <v>53963443002279</v>
      </c>
      <c r="AH1392" t="s">
        <v>44</v>
      </c>
    </row>
    <row r="1393" spans="1:34" x14ac:dyDescent="0.3">
      <c r="A1393">
        <v>101</v>
      </c>
      <c r="B1393" t="s">
        <v>34</v>
      </c>
      <c r="C1393">
        <v>2</v>
      </c>
      <c r="D1393" s="1" t="s">
        <v>4111</v>
      </c>
      <c r="E1393" s="1" t="s">
        <v>36</v>
      </c>
      <c r="G1393">
        <v>452382</v>
      </c>
      <c r="H1393" t="s">
        <v>4109</v>
      </c>
      <c r="I1393" t="s">
        <v>4047</v>
      </c>
      <c r="J1393">
        <v>15</v>
      </c>
      <c r="K1393">
        <v>9047</v>
      </c>
      <c r="L1393">
        <v>50001</v>
      </c>
      <c r="M1393" t="s">
        <v>39</v>
      </c>
      <c r="N1393">
        <v>243</v>
      </c>
      <c r="O1393" s="2">
        <v>46246</v>
      </c>
      <c r="P1393" s="2">
        <v>46291</v>
      </c>
      <c r="R1393" t="s">
        <v>4112</v>
      </c>
      <c r="S1393" t="str">
        <f>"25666160000051864"</f>
        <v>25666160000051864</v>
      </c>
      <c r="T1393" t="s">
        <v>41</v>
      </c>
      <c r="U1393">
        <v>9200.3799999999992</v>
      </c>
      <c r="V1393">
        <v>8740.36</v>
      </c>
      <c r="W1393">
        <v>8740.36</v>
      </c>
      <c r="X1393">
        <v>0</v>
      </c>
      <c r="Y1393">
        <v>0</v>
      </c>
      <c r="Z1393">
        <v>-516</v>
      </c>
      <c r="AA1393">
        <v>4527</v>
      </c>
      <c r="AD1393" t="s">
        <v>3795</v>
      </c>
      <c r="AE1393" t="s">
        <v>3873</v>
      </c>
      <c r="AF1393" t="s">
        <v>3795</v>
      </c>
      <c r="AG1393">
        <v>53963443002279</v>
      </c>
      <c r="AH1393" t="s">
        <v>44</v>
      </c>
    </row>
    <row r="1394" spans="1:34" x14ac:dyDescent="0.3">
      <c r="A1394">
        <v>101</v>
      </c>
      <c r="B1394" t="s">
        <v>34</v>
      </c>
      <c r="C1394">
        <v>2</v>
      </c>
      <c r="D1394" s="1" t="s">
        <v>4113</v>
      </c>
      <c r="E1394" s="1" t="s">
        <v>36</v>
      </c>
      <c r="G1394">
        <v>452592</v>
      </c>
      <c r="H1394" t="s">
        <v>4114</v>
      </c>
      <c r="I1394" t="s">
        <v>4059</v>
      </c>
      <c r="J1394">
        <v>12</v>
      </c>
      <c r="K1394">
        <v>6136</v>
      </c>
      <c r="L1394">
        <v>50001</v>
      </c>
      <c r="M1394" t="s">
        <v>39</v>
      </c>
      <c r="N1394">
        <v>243</v>
      </c>
      <c r="O1394" s="2">
        <v>46254</v>
      </c>
      <c r="P1394" s="2">
        <v>46314</v>
      </c>
      <c r="R1394" t="s">
        <v>4115</v>
      </c>
      <c r="S1394" t="str">
        <f>"25666160000051987"</f>
        <v>25666160000051987</v>
      </c>
      <c r="T1394" t="s">
        <v>41</v>
      </c>
      <c r="U1394">
        <v>2237.0100000000002</v>
      </c>
      <c r="V1394">
        <v>2125.16</v>
      </c>
      <c r="W1394">
        <v>2125.16</v>
      </c>
      <c r="X1394">
        <v>0</v>
      </c>
      <c r="Y1394">
        <v>0</v>
      </c>
      <c r="Z1394">
        <v>-539</v>
      </c>
      <c r="AA1394">
        <v>4865</v>
      </c>
      <c r="AD1394" t="s">
        <v>4116</v>
      </c>
      <c r="AE1394" t="s">
        <v>3913</v>
      </c>
      <c r="AF1394" t="s">
        <v>4116</v>
      </c>
      <c r="AG1394" s="1" t="s">
        <v>4117</v>
      </c>
      <c r="AH1394" t="s">
        <v>44</v>
      </c>
    </row>
    <row r="1395" spans="1:34" x14ac:dyDescent="0.3">
      <c r="A1395">
        <v>101</v>
      </c>
      <c r="B1395" t="s">
        <v>34</v>
      </c>
      <c r="C1395">
        <v>2</v>
      </c>
      <c r="D1395" s="1" t="s">
        <v>4118</v>
      </c>
      <c r="E1395" s="1" t="s">
        <v>36</v>
      </c>
      <c r="G1395">
        <v>453212</v>
      </c>
      <c r="H1395" t="s">
        <v>4119</v>
      </c>
      <c r="I1395" t="s">
        <v>4047</v>
      </c>
      <c r="J1395">
        <v>15</v>
      </c>
      <c r="K1395">
        <v>9047</v>
      </c>
      <c r="L1395">
        <v>50033</v>
      </c>
      <c r="M1395" t="s">
        <v>39</v>
      </c>
      <c r="N1395">
        <v>243</v>
      </c>
      <c r="O1395" s="2">
        <v>46246</v>
      </c>
      <c r="P1395" s="2">
        <v>46291</v>
      </c>
      <c r="R1395" t="s">
        <v>4120</v>
      </c>
      <c r="S1395" t="str">
        <f>"0000050413376"</f>
        <v>0000050413376</v>
      </c>
      <c r="T1395" t="s">
        <v>41</v>
      </c>
      <c r="U1395">
        <v>3395.1</v>
      </c>
      <c r="V1395">
        <v>3225.35</v>
      </c>
      <c r="W1395">
        <v>3225.35</v>
      </c>
      <c r="X1395">
        <v>0</v>
      </c>
      <c r="Y1395">
        <v>0</v>
      </c>
      <c r="Z1395">
        <v>-516</v>
      </c>
      <c r="AA1395">
        <v>4531</v>
      </c>
      <c r="AD1395" t="s">
        <v>3275</v>
      </c>
      <c r="AE1395" t="s">
        <v>3873</v>
      </c>
      <c r="AF1395" t="s">
        <v>3275</v>
      </c>
      <c r="AG1395">
        <v>53963443002430</v>
      </c>
      <c r="AH1395" t="s">
        <v>44</v>
      </c>
    </row>
    <row r="1396" spans="1:34" x14ac:dyDescent="0.3">
      <c r="A1396">
        <v>101</v>
      </c>
      <c r="B1396" t="s">
        <v>34</v>
      </c>
      <c r="C1396">
        <v>2</v>
      </c>
      <c r="D1396" s="1" t="s">
        <v>4121</v>
      </c>
      <c r="E1396" s="1" t="s">
        <v>36</v>
      </c>
      <c r="G1396">
        <v>453572</v>
      </c>
      <c r="H1396" t="s">
        <v>4122</v>
      </c>
      <c r="I1396" t="s">
        <v>4059</v>
      </c>
      <c r="J1396">
        <v>12</v>
      </c>
      <c r="K1396">
        <v>6136</v>
      </c>
      <c r="L1396">
        <v>50001</v>
      </c>
      <c r="M1396" t="s">
        <v>39</v>
      </c>
      <c r="N1396">
        <v>243</v>
      </c>
      <c r="O1396" s="2">
        <v>46254</v>
      </c>
      <c r="P1396" s="2">
        <v>46314</v>
      </c>
      <c r="R1396" t="s">
        <v>4123</v>
      </c>
      <c r="S1396" t="str">
        <f>"25666160000051988"</f>
        <v>25666160000051988</v>
      </c>
      <c r="T1396" t="s">
        <v>41</v>
      </c>
      <c r="U1396">
        <v>2307.2399999999998</v>
      </c>
      <c r="V1396">
        <v>2191.88</v>
      </c>
      <c r="W1396">
        <v>2191.88</v>
      </c>
      <c r="X1396">
        <v>0</v>
      </c>
      <c r="Y1396">
        <v>0</v>
      </c>
      <c r="Z1396">
        <v>-539</v>
      </c>
      <c r="AA1396">
        <v>4866</v>
      </c>
      <c r="AD1396" t="s">
        <v>3789</v>
      </c>
      <c r="AE1396" t="s">
        <v>3913</v>
      </c>
      <c r="AF1396" t="s">
        <v>3789</v>
      </c>
      <c r="AG1396" s="1" t="s">
        <v>4124</v>
      </c>
      <c r="AH1396" t="s">
        <v>44</v>
      </c>
    </row>
    <row r="1397" spans="1:34" x14ac:dyDescent="0.3">
      <c r="A1397">
        <v>101</v>
      </c>
      <c r="B1397" t="s">
        <v>34</v>
      </c>
      <c r="C1397">
        <v>2</v>
      </c>
      <c r="D1397" s="1" t="s">
        <v>4125</v>
      </c>
      <c r="E1397" s="1" t="s">
        <v>36</v>
      </c>
      <c r="G1397">
        <v>453724</v>
      </c>
      <c r="H1397" t="s">
        <v>4126</v>
      </c>
      <c r="I1397" t="s">
        <v>4047</v>
      </c>
      <c r="J1397">
        <v>15</v>
      </c>
      <c r="K1397">
        <v>9047</v>
      </c>
      <c r="L1397">
        <v>50001</v>
      </c>
      <c r="M1397" t="s">
        <v>39</v>
      </c>
      <c r="N1397">
        <v>243</v>
      </c>
      <c r="O1397" s="2">
        <v>46254</v>
      </c>
      <c r="P1397" s="2">
        <v>46299</v>
      </c>
      <c r="R1397" t="s">
        <v>4127</v>
      </c>
      <c r="S1397" t="str">
        <f>"25666160000051974"</f>
        <v>25666160000051974</v>
      </c>
      <c r="T1397" t="s">
        <v>41</v>
      </c>
      <c r="U1397">
        <v>101.13</v>
      </c>
      <c r="V1397">
        <v>96.07</v>
      </c>
      <c r="W1397">
        <v>96.07</v>
      </c>
      <c r="X1397">
        <v>0</v>
      </c>
      <c r="Y1397">
        <v>0</v>
      </c>
      <c r="Z1397">
        <v>-524</v>
      </c>
      <c r="AA1397">
        <v>4525</v>
      </c>
      <c r="AD1397" t="s">
        <v>3908</v>
      </c>
      <c r="AE1397" t="s">
        <v>3873</v>
      </c>
      <c r="AF1397" t="s">
        <v>3908</v>
      </c>
      <c r="AG1397">
        <v>53963443002198</v>
      </c>
      <c r="AH1397" t="s">
        <v>44</v>
      </c>
    </row>
    <row r="1398" spans="1:34" x14ac:dyDescent="0.3">
      <c r="A1398">
        <v>101</v>
      </c>
      <c r="B1398" t="s">
        <v>34</v>
      </c>
      <c r="C1398">
        <v>2</v>
      </c>
      <c r="D1398" s="1" t="s">
        <v>4128</v>
      </c>
      <c r="E1398" s="1" t="s">
        <v>36</v>
      </c>
      <c r="G1398">
        <v>453724</v>
      </c>
      <c r="H1398" t="s">
        <v>4126</v>
      </c>
      <c r="I1398" t="s">
        <v>4047</v>
      </c>
      <c r="J1398">
        <v>15</v>
      </c>
      <c r="K1398">
        <v>9047</v>
      </c>
      <c r="L1398">
        <v>50001</v>
      </c>
      <c r="M1398" t="s">
        <v>39</v>
      </c>
      <c r="N1398">
        <v>243</v>
      </c>
      <c r="O1398" s="2">
        <v>46254</v>
      </c>
      <c r="P1398" s="2">
        <v>46299</v>
      </c>
      <c r="R1398" t="s">
        <v>4129</v>
      </c>
      <c r="S1398" t="str">
        <f>"25666160000051973"</f>
        <v>25666160000051973</v>
      </c>
      <c r="T1398" t="s">
        <v>41</v>
      </c>
      <c r="U1398">
        <v>1347.95</v>
      </c>
      <c r="V1398">
        <v>1280.55</v>
      </c>
      <c r="W1398">
        <v>1280.55</v>
      </c>
      <c r="X1398">
        <v>0</v>
      </c>
      <c r="Y1398">
        <v>0</v>
      </c>
      <c r="Z1398">
        <v>-524</v>
      </c>
      <c r="AA1398">
        <v>4525</v>
      </c>
      <c r="AD1398" t="s">
        <v>3908</v>
      </c>
      <c r="AE1398" t="s">
        <v>3873</v>
      </c>
      <c r="AF1398" t="s">
        <v>3908</v>
      </c>
      <c r="AG1398">
        <v>53963443002198</v>
      </c>
      <c r="AH1398" t="s">
        <v>44</v>
      </c>
    </row>
    <row r="1399" spans="1:34" x14ac:dyDescent="0.3">
      <c r="A1399">
        <v>101</v>
      </c>
      <c r="B1399" t="s">
        <v>34</v>
      </c>
      <c r="C1399">
        <v>2</v>
      </c>
      <c r="D1399" s="1" t="s">
        <v>4130</v>
      </c>
      <c r="E1399" s="1" t="s">
        <v>36</v>
      </c>
      <c r="G1399">
        <v>453724</v>
      </c>
      <c r="H1399" t="s">
        <v>4126</v>
      </c>
      <c r="I1399" t="s">
        <v>4047</v>
      </c>
      <c r="J1399">
        <v>15</v>
      </c>
      <c r="K1399">
        <v>9047</v>
      </c>
      <c r="L1399">
        <v>50001</v>
      </c>
      <c r="M1399" t="s">
        <v>39</v>
      </c>
      <c r="N1399">
        <v>243</v>
      </c>
      <c r="O1399" s="2">
        <v>46246</v>
      </c>
      <c r="P1399" s="2">
        <v>46291</v>
      </c>
      <c r="R1399" t="s">
        <v>4131</v>
      </c>
      <c r="S1399" t="str">
        <f>"25666160000051867"</f>
        <v>25666160000051867</v>
      </c>
      <c r="T1399" t="s">
        <v>41</v>
      </c>
      <c r="U1399">
        <v>5974.92</v>
      </c>
      <c r="V1399">
        <v>5676.17</v>
      </c>
      <c r="W1399">
        <v>5676.17</v>
      </c>
      <c r="X1399">
        <v>0</v>
      </c>
      <c r="Y1399">
        <v>0</v>
      </c>
      <c r="Z1399">
        <v>-516</v>
      </c>
      <c r="AA1399">
        <v>4525</v>
      </c>
      <c r="AD1399" t="s">
        <v>3908</v>
      </c>
      <c r="AE1399" t="s">
        <v>3873</v>
      </c>
      <c r="AF1399" t="s">
        <v>3908</v>
      </c>
      <c r="AG1399">
        <v>53963443002198</v>
      </c>
      <c r="AH1399" t="s">
        <v>44</v>
      </c>
    </row>
    <row r="1400" spans="1:34" x14ac:dyDescent="0.3">
      <c r="A1400">
        <v>101</v>
      </c>
      <c r="B1400" t="s">
        <v>34</v>
      </c>
      <c r="C1400">
        <v>2</v>
      </c>
      <c r="D1400" s="1" t="s">
        <v>4132</v>
      </c>
      <c r="E1400" s="1" t="s">
        <v>36</v>
      </c>
      <c r="G1400">
        <v>453898</v>
      </c>
      <c r="H1400" t="s">
        <v>4133</v>
      </c>
      <c r="I1400" t="s">
        <v>4059</v>
      </c>
      <c r="J1400">
        <v>12</v>
      </c>
      <c r="K1400">
        <v>6136</v>
      </c>
      <c r="L1400">
        <v>50033</v>
      </c>
      <c r="M1400" t="s">
        <v>39</v>
      </c>
      <c r="N1400">
        <v>243</v>
      </c>
      <c r="O1400" s="2">
        <v>46254</v>
      </c>
      <c r="P1400" s="2">
        <v>46314</v>
      </c>
      <c r="R1400" t="s">
        <v>4134</v>
      </c>
      <c r="S1400" t="str">
        <f>"0000050414704"</f>
        <v>0000050414704</v>
      </c>
      <c r="T1400" t="s">
        <v>41</v>
      </c>
      <c r="U1400">
        <v>2600.89</v>
      </c>
      <c r="V1400">
        <v>2470.85</v>
      </c>
      <c r="W1400">
        <v>2470.85</v>
      </c>
      <c r="X1400">
        <v>0</v>
      </c>
      <c r="Y1400">
        <v>0</v>
      </c>
      <c r="Z1400">
        <v>-539</v>
      </c>
      <c r="AA1400">
        <v>4867</v>
      </c>
      <c r="AD1400" t="s">
        <v>4061</v>
      </c>
      <c r="AE1400" t="s">
        <v>3913</v>
      </c>
      <c r="AF1400" t="s">
        <v>4061</v>
      </c>
      <c r="AG1400" s="1" t="s">
        <v>4135</v>
      </c>
      <c r="AH1400" t="s">
        <v>44</v>
      </c>
    </row>
    <row r="1401" spans="1:34" x14ac:dyDescent="0.3">
      <c r="A1401">
        <v>101</v>
      </c>
      <c r="B1401" t="s">
        <v>34</v>
      </c>
      <c r="C1401">
        <v>2</v>
      </c>
      <c r="D1401" s="1" t="s">
        <v>4136</v>
      </c>
      <c r="E1401" s="1" t="s">
        <v>36</v>
      </c>
      <c r="G1401">
        <v>454505</v>
      </c>
      <c r="H1401" t="s">
        <v>4137</v>
      </c>
      <c r="I1401" t="s">
        <v>4047</v>
      </c>
      <c r="J1401">
        <v>15</v>
      </c>
      <c r="K1401">
        <v>9047</v>
      </c>
      <c r="L1401">
        <v>50033</v>
      </c>
      <c r="M1401" t="s">
        <v>39</v>
      </c>
      <c r="N1401">
        <v>243</v>
      </c>
      <c r="O1401" s="2">
        <v>46254</v>
      </c>
      <c r="P1401" s="2">
        <v>46299</v>
      </c>
      <c r="R1401" t="s">
        <v>4138</v>
      </c>
      <c r="S1401" t="str">
        <f>"0000050414658"</f>
        <v>0000050414658</v>
      </c>
      <c r="T1401" t="s">
        <v>41</v>
      </c>
      <c r="U1401">
        <v>1100.8900000000001</v>
      </c>
      <c r="V1401">
        <v>1045.8499999999999</v>
      </c>
      <c r="W1401">
        <v>1045.8499999999999</v>
      </c>
      <c r="X1401">
        <v>0</v>
      </c>
      <c r="Y1401">
        <v>0</v>
      </c>
      <c r="Z1401">
        <v>-524</v>
      </c>
      <c r="AA1401">
        <v>4534</v>
      </c>
      <c r="AD1401" t="s">
        <v>3819</v>
      </c>
      <c r="AE1401">
        <v>1897448400</v>
      </c>
      <c r="AF1401" t="s">
        <v>3819</v>
      </c>
      <c r="AG1401">
        <v>53963443002350</v>
      </c>
      <c r="AH1401" t="s">
        <v>44</v>
      </c>
    </row>
    <row r="1402" spans="1:34" x14ac:dyDescent="0.3">
      <c r="A1402">
        <v>101</v>
      </c>
      <c r="B1402" t="s">
        <v>34</v>
      </c>
      <c r="C1402">
        <v>2</v>
      </c>
      <c r="D1402" s="1" t="s">
        <v>4139</v>
      </c>
      <c r="E1402" s="1" t="s">
        <v>36</v>
      </c>
      <c r="G1402">
        <v>454505</v>
      </c>
      <c r="H1402" t="s">
        <v>4137</v>
      </c>
      <c r="I1402" t="s">
        <v>4047</v>
      </c>
      <c r="J1402">
        <v>15</v>
      </c>
      <c r="K1402">
        <v>9047</v>
      </c>
      <c r="L1402">
        <v>50033</v>
      </c>
      <c r="M1402" t="s">
        <v>39</v>
      </c>
      <c r="N1402">
        <v>243</v>
      </c>
      <c r="O1402" s="2">
        <v>46246</v>
      </c>
      <c r="P1402" s="2">
        <v>46291</v>
      </c>
      <c r="R1402" t="s">
        <v>4140</v>
      </c>
      <c r="S1402" t="str">
        <f>"0000050413384"</f>
        <v>0000050413384</v>
      </c>
      <c r="T1402" t="s">
        <v>41</v>
      </c>
      <c r="U1402">
        <v>7670.9</v>
      </c>
      <c r="V1402">
        <v>7287.36</v>
      </c>
      <c r="W1402">
        <v>7287.36</v>
      </c>
      <c r="X1402">
        <v>0</v>
      </c>
      <c r="Y1402">
        <v>0</v>
      </c>
      <c r="Z1402">
        <v>-516</v>
      </c>
      <c r="AA1402">
        <v>4534</v>
      </c>
      <c r="AD1402" t="s">
        <v>3819</v>
      </c>
      <c r="AE1402">
        <v>1897448400</v>
      </c>
      <c r="AF1402" t="s">
        <v>3819</v>
      </c>
      <c r="AG1402">
        <v>53963443002350</v>
      </c>
      <c r="AH1402" t="s">
        <v>44</v>
      </c>
    </row>
    <row r="1403" spans="1:34" x14ac:dyDescent="0.3">
      <c r="A1403">
        <v>101</v>
      </c>
      <c r="B1403" t="s">
        <v>34</v>
      </c>
      <c r="C1403">
        <v>2</v>
      </c>
      <c r="D1403" s="1" t="s">
        <v>4141</v>
      </c>
      <c r="E1403" s="1" t="s">
        <v>36</v>
      </c>
      <c r="G1403">
        <v>455911</v>
      </c>
      <c r="H1403" t="s">
        <v>4142</v>
      </c>
      <c r="I1403" t="s">
        <v>3828</v>
      </c>
      <c r="J1403">
        <v>15</v>
      </c>
      <c r="K1403">
        <v>3168</v>
      </c>
      <c r="L1403">
        <v>50001</v>
      </c>
      <c r="M1403" t="s">
        <v>39</v>
      </c>
      <c r="N1403">
        <v>243</v>
      </c>
      <c r="O1403" s="2">
        <v>46223</v>
      </c>
      <c r="P1403" s="2">
        <v>46268</v>
      </c>
      <c r="R1403" t="s">
        <v>4143</v>
      </c>
      <c r="S1403" t="str">
        <f>"25666160000051593"</f>
        <v>25666160000051593</v>
      </c>
      <c r="T1403" t="s">
        <v>41</v>
      </c>
      <c r="U1403">
        <v>1760.37</v>
      </c>
      <c r="V1403">
        <v>1760.37</v>
      </c>
      <c r="W1403">
        <v>1760.37</v>
      </c>
      <c r="X1403">
        <v>0</v>
      </c>
      <c r="Y1403">
        <v>0</v>
      </c>
      <c r="Z1403">
        <v>-493</v>
      </c>
      <c r="AA1403">
        <v>1292</v>
      </c>
      <c r="AD1403" t="s">
        <v>3830</v>
      </c>
      <c r="AE1403">
        <v>1732547979</v>
      </c>
      <c r="AF1403" t="s">
        <v>3830</v>
      </c>
      <c r="AG1403">
        <v>52437126000474</v>
      </c>
      <c r="AH1403" t="s">
        <v>44</v>
      </c>
    </row>
    <row r="1404" spans="1:34" x14ac:dyDescent="0.3">
      <c r="A1404">
        <v>101</v>
      </c>
      <c r="B1404" t="s">
        <v>34</v>
      </c>
      <c r="C1404">
        <v>2</v>
      </c>
      <c r="D1404" s="1" t="s">
        <v>4144</v>
      </c>
      <c r="E1404" s="1" t="s">
        <v>36</v>
      </c>
      <c r="G1404">
        <v>455911</v>
      </c>
      <c r="H1404" t="s">
        <v>4142</v>
      </c>
      <c r="I1404" t="s">
        <v>3828</v>
      </c>
      <c r="J1404">
        <v>15</v>
      </c>
      <c r="K1404">
        <v>3168</v>
      </c>
      <c r="L1404">
        <v>50001</v>
      </c>
      <c r="M1404" t="s">
        <v>39</v>
      </c>
      <c r="N1404">
        <v>243</v>
      </c>
      <c r="O1404" s="2">
        <v>46235</v>
      </c>
      <c r="P1404" s="2">
        <v>46280</v>
      </c>
      <c r="R1404" t="s">
        <v>4145</v>
      </c>
      <c r="S1404" t="str">
        <f>"25666160000051743"</f>
        <v>25666160000051743</v>
      </c>
      <c r="T1404" t="s">
        <v>41</v>
      </c>
      <c r="U1404">
        <v>6611.7</v>
      </c>
      <c r="V1404">
        <v>6611.7</v>
      </c>
      <c r="W1404">
        <v>6611.7</v>
      </c>
      <c r="X1404">
        <v>0</v>
      </c>
      <c r="Y1404">
        <v>0</v>
      </c>
      <c r="Z1404">
        <v>-505</v>
      </c>
      <c r="AA1404">
        <v>1979</v>
      </c>
      <c r="AD1404" t="s">
        <v>3830</v>
      </c>
      <c r="AE1404">
        <v>1732547979</v>
      </c>
      <c r="AF1404" t="s">
        <v>3830</v>
      </c>
      <c r="AG1404">
        <v>52437126000474</v>
      </c>
      <c r="AH1404" t="s">
        <v>44</v>
      </c>
    </row>
    <row r="1405" spans="1:34" x14ac:dyDescent="0.3">
      <c r="A1405">
        <v>101</v>
      </c>
      <c r="B1405" t="s">
        <v>34</v>
      </c>
      <c r="C1405">
        <v>2</v>
      </c>
      <c r="D1405" s="1" t="s">
        <v>4146</v>
      </c>
      <c r="E1405" s="1" t="s">
        <v>36</v>
      </c>
      <c r="G1405">
        <v>456904</v>
      </c>
      <c r="H1405" t="s">
        <v>4147</v>
      </c>
      <c r="I1405" t="s">
        <v>4047</v>
      </c>
      <c r="J1405">
        <v>15</v>
      </c>
      <c r="K1405">
        <v>9047</v>
      </c>
      <c r="L1405">
        <v>50001</v>
      </c>
      <c r="M1405" t="s">
        <v>39</v>
      </c>
      <c r="N1405">
        <v>243</v>
      </c>
      <c r="O1405" s="2">
        <v>46246</v>
      </c>
      <c r="P1405" s="2">
        <v>46291</v>
      </c>
      <c r="R1405" t="s">
        <v>4148</v>
      </c>
      <c r="S1405" t="str">
        <f>"25666160000051869"</f>
        <v>25666160000051869</v>
      </c>
      <c r="T1405" t="s">
        <v>41</v>
      </c>
      <c r="U1405">
        <v>7124.68</v>
      </c>
      <c r="V1405">
        <v>6768.45</v>
      </c>
      <c r="W1405">
        <v>6768.45</v>
      </c>
      <c r="X1405">
        <v>0</v>
      </c>
      <c r="Y1405">
        <v>0</v>
      </c>
      <c r="Z1405">
        <v>-516</v>
      </c>
      <c r="AA1405">
        <v>4536</v>
      </c>
      <c r="AD1405" t="s">
        <v>4061</v>
      </c>
      <c r="AE1405">
        <v>1837048400</v>
      </c>
      <c r="AF1405" t="s">
        <v>4061</v>
      </c>
      <c r="AG1405">
        <v>53963443002511</v>
      </c>
      <c r="AH1405" t="s">
        <v>44</v>
      </c>
    </row>
    <row r="1406" spans="1:34" x14ac:dyDescent="0.3">
      <c r="A1406">
        <v>101</v>
      </c>
      <c r="B1406" t="s">
        <v>34</v>
      </c>
      <c r="C1406">
        <v>2</v>
      </c>
      <c r="D1406" s="1" t="s">
        <v>4149</v>
      </c>
      <c r="E1406" s="1" t="s">
        <v>36</v>
      </c>
      <c r="G1406">
        <v>456904</v>
      </c>
      <c r="H1406" t="s">
        <v>4147</v>
      </c>
      <c r="I1406" t="s">
        <v>4047</v>
      </c>
      <c r="J1406">
        <v>15</v>
      </c>
      <c r="K1406">
        <v>9047</v>
      </c>
      <c r="L1406">
        <v>50001</v>
      </c>
      <c r="M1406" t="s">
        <v>39</v>
      </c>
      <c r="N1406">
        <v>243</v>
      </c>
      <c r="O1406" s="2">
        <v>46254</v>
      </c>
      <c r="P1406" s="2">
        <v>46299</v>
      </c>
      <c r="R1406" t="s">
        <v>4150</v>
      </c>
      <c r="S1406" t="str">
        <f>"25666160000051977"</f>
        <v>25666160000051977</v>
      </c>
      <c r="T1406" t="s">
        <v>41</v>
      </c>
      <c r="U1406">
        <v>101.13</v>
      </c>
      <c r="V1406">
        <v>96.07</v>
      </c>
      <c r="W1406">
        <v>96.07</v>
      </c>
      <c r="X1406">
        <v>0</v>
      </c>
      <c r="Y1406">
        <v>0</v>
      </c>
      <c r="Z1406">
        <v>-524</v>
      </c>
      <c r="AA1406">
        <v>4536</v>
      </c>
      <c r="AD1406" t="s">
        <v>4061</v>
      </c>
      <c r="AE1406">
        <v>1837048400</v>
      </c>
      <c r="AF1406" t="s">
        <v>4061</v>
      </c>
      <c r="AG1406">
        <v>53963443002511</v>
      </c>
      <c r="AH1406" t="s">
        <v>44</v>
      </c>
    </row>
    <row r="1407" spans="1:34" x14ac:dyDescent="0.3">
      <c r="A1407">
        <v>101</v>
      </c>
      <c r="B1407" t="s">
        <v>34</v>
      </c>
      <c r="C1407">
        <v>2</v>
      </c>
      <c r="D1407" s="1" t="s">
        <v>4151</v>
      </c>
      <c r="E1407" s="1" t="s">
        <v>36</v>
      </c>
      <c r="G1407">
        <v>456904</v>
      </c>
      <c r="H1407" t="s">
        <v>4147</v>
      </c>
      <c r="I1407" t="s">
        <v>4047</v>
      </c>
      <c r="J1407">
        <v>15</v>
      </c>
      <c r="K1407">
        <v>9047</v>
      </c>
      <c r="L1407">
        <v>50001</v>
      </c>
      <c r="M1407" t="s">
        <v>39</v>
      </c>
      <c r="N1407">
        <v>243</v>
      </c>
      <c r="O1407" s="2">
        <v>46254</v>
      </c>
      <c r="P1407" s="2">
        <v>46299</v>
      </c>
      <c r="R1407" t="s">
        <v>4152</v>
      </c>
      <c r="S1407" t="str">
        <f>"25666160000051976"</f>
        <v>25666160000051976</v>
      </c>
      <c r="T1407" t="s">
        <v>41</v>
      </c>
      <c r="U1407">
        <v>1123.29</v>
      </c>
      <c r="V1407">
        <v>1067.1300000000001</v>
      </c>
      <c r="W1407">
        <v>1067.1300000000001</v>
      </c>
      <c r="X1407">
        <v>0</v>
      </c>
      <c r="Y1407">
        <v>0</v>
      </c>
      <c r="Z1407">
        <v>-524</v>
      </c>
      <c r="AA1407">
        <v>4536</v>
      </c>
      <c r="AD1407" t="s">
        <v>4061</v>
      </c>
      <c r="AE1407">
        <v>1837048400</v>
      </c>
      <c r="AF1407" t="s">
        <v>4061</v>
      </c>
      <c r="AG1407">
        <v>53963443002511</v>
      </c>
      <c r="AH1407" t="s">
        <v>44</v>
      </c>
    </row>
    <row r="1408" spans="1:34" x14ac:dyDescent="0.3">
      <c r="A1408">
        <v>101</v>
      </c>
      <c r="B1408" t="s">
        <v>34</v>
      </c>
      <c r="C1408">
        <v>2</v>
      </c>
      <c r="D1408" s="1" t="s">
        <v>4153</v>
      </c>
      <c r="E1408" s="1" t="s">
        <v>36</v>
      </c>
      <c r="G1408">
        <v>461080</v>
      </c>
      <c r="H1408" t="s">
        <v>4154</v>
      </c>
      <c r="I1408" t="s">
        <v>4155</v>
      </c>
      <c r="J1408">
        <v>15</v>
      </c>
      <c r="K1408">
        <v>3168</v>
      </c>
      <c r="L1408">
        <v>50001</v>
      </c>
      <c r="M1408" t="s">
        <v>39</v>
      </c>
      <c r="N1408">
        <v>243</v>
      </c>
      <c r="O1408" s="2">
        <v>46246</v>
      </c>
      <c r="P1408" s="2">
        <v>46291</v>
      </c>
      <c r="R1408" t="s">
        <v>4156</v>
      </c>
      <c r="S1408" t="str">
        <f>"25666160000051889"</f>
        <v>25666160000051889</v>
      </c>
      <c r="T1408" t="s">
        <v>41</v>
      </c>
      <c r="U1408">
        <v>1876.29</v>
      </c>
      <c r="V1408">
        <v>1876.29</v>
      </c>
      <c r="W1408">
        <v>1876.29</v>
      </c>
      <c r="X1408">
        <v>0</v>
      </c>
      <c r="Y1408">
        <v>0</v>
      </c>
      <c r="Z1408">
        <v>-516</v>
      </c>
      <c r="AA1408">
        <v>4468</v>
      </c>
      <c r="AD1408" t="s">
        <v>4157</v>
      </c>
      <c r="AE1408">
        <v>17991421558</v>
      </c>
      <c r="AF1408" t="s">
        <v>4157</v>
      </c>
      <c r="AG1408" s="1" t="s">
        <v>4158</v>
      </c>
      <c r="AH1408" t="s">
        <v>44</v>
      </c>
    </row>
    <row r="1409" spans="1:34" x14ac:dyDescent="0.3">
      <c r="A1409">
        <v>101</v>
      </c>
      <c r="B1409" t="s">
        <v>34</v>
      </c>
      <c r="C1409">
        <v>2</v>
      </c>
      <c r="D1409" s="1" t="s">
        <v>4159</v>
      </c>
      <c r="E1409" s="1" t="s">
        <v>36</v>
      </c>
      <c r="G1409">
        <v>461080</v>
      </c>
      <c r="H1409" t="s">
        <v>4154</v>
      </c>
      <c r="I1409" t="s">
        <v>4155</v>
      </c>
      <c r="J1409">
        <v>15</v>
      </c>
      <c r="K1409">
        <v>3168</v>
      </c>
      <c r="L1409">
        <v>50001</v>
      </c>
      <c r="M1409" t="s">
        <v>39</v>
      </c>
      <c r="N1409">
        <v>243</v>
      </c>
      <c r="O1409" s="2">
        <v>46217</v>
      </c>
      <c r="P1409" s="2">
        <v>46262</v>
      </c>
      <c r="R1409" t="s">
        <v>4160</v>
      </c>
      <c r="S1409" t="str">
        <f>"25666160000051440"</f>
        <v>25666160000051440</v>
      </c>
      <c r="T1409" t="s">
        <v>41</v>
      </c>
      <c r="U1409">
        <v>324.3</v>
      </c>
      <c r="V1409">
        <v>324.3</v>
      </c>
      <c r="W1409">
        <v>324.3</v>
      </c>
      <c r="X1409">
        <v>0</v>
      </c>
      <c r="Y1409">
        <v>0</v>
      </c>
      <c r="Z1409">
        <v>-487</v>
      </c>
      <c r="AA1409">
        <v>691016</v>
      </c>
      <c r="AD1409" t="s">
        <v>4157</v>
      </c>
      <c r="AE1409">
        <v>17991421558</v>
      </c>
      <c r="AF1409" t="s">
        <v>4157</v>
      </c>
      <c r="AG1409" s="1" t="s">
        <v>4158</v>
      </c>
      <c r="AH1409" t="s">
        <v>44</v>
      </c>
    </row>
    <row r="1410" spans="1:34" x14ac:dyDescent="0.3">
      <c r="A1410">
        <v>101</v>
      </c>
      <c r="B1410" t="s">
        <v>34</v>
      </c>
      <c r="C1410">
        <v>2</v>
      </c>
      <c r="D1410" s="1" t="s">
        <v>4161</v>
      </c>
      <c r="E1410" s="1" t="s">
        <v>36</v>
      </c>
      <c r="G1410">
        <v>461080</v>
      </c>
      <c r="H1410" t="s">
        <v>4154</v>
      </c>
      <c r="I1410" t="s">
        <v>4155</v>
      </c>
      <c r="J1410">
        <v>15</v>
      </c>
      <c r="K1410">
        <v>3168</v>
      </c>
      <c r="L1410">
        <v>50001</v>
      </c>
      <c r="M1410" t="s">
        <v>39</v>
      </c>
      <c r="N1410">
        <v>243</v>
      </c>
      <c r="O1410" s="2">
        <v>46217</v>
      </c>
      <c r="P1410" s="2">
        <v>46262</v>
      </c>
      <c r="R1410" t="s">
        <v>4162</v>
      </c>
      <c r="S1410" t="str">
        <f>"25666160000051439"</f>
        <v>25666160000051439</v>
      </c>
      <c r="T1410" t="s">
        <v>41</v>
      </c>
      <c r="U1410">
        <v>3705.03</v>
      </c>
      <c r="V1410">
        <v>3705.03</v>
      </c>
      <c r="W1410">
        <v>3705.03</v>
      </c>
      <c r="X1410">
        <v>0</v>
      </c>
      <c r="Y1410">
        <v>0</v>
      </c>
      <c r="Z1410">
        <v>-487</v>
      </c>
      <c r="AA1410">
        <v>1130</v>
      </c>
      <c r="AD1410" t="s">
        <v>4157</v>
      </c>
      <c r="AE1410">
        <v>17991421558</v>
      </c>
      <c r="AF1410" t="s">
        <v>4157</v>
      </c>
      <c r="AG1410" s="1" t="s">
        <v>4158</v>
      </c>
      <c r="AH1410" t="s">
        <v>44</v>
      </c>
    </row>
    <row r="1411" spans="1:34" x14ac:dyDescent="0.3">
      <c r="A1411">
        <v>101</v>
      </c>
      <c r="B1411" t="s">
        <v>34</v>
      </c>
      <c r="C1411">
        <v>2</v>
      </c>
      <c r="D1411" s="1" t="s">
        <v>4163</v>
      </c>
      <c r="E1411" s="1" t="s">
        <v>116</v>
      </c>
      <c r="G1411">
        <v>462667</v>
      </c>
      <c r="H1411" t="s">
        <v>4164</v>
      </c>
      <c r="I1411" t="s">
        <v>4165</v>
      </c>
      <c r="J1411">
        <v>15</v>
      </c>
      <c r="K1411">
        <v>3168</v>
      </c>
      <c r="L1411">
        <v>50001</v>
      </c>
      <c r="M1411" t="s">
        <v>39</v>
      </c>
      <c r="N1411">
        <v>243</v>
      </c>
      <c r="O1411" s="2">
        <v>46211</v>
      </c>
      <c r="P1411" s="2">
        <v>46266</v>
      </c>
      <c r="R1411" t="s">
        <v>4166</v>
      </c>
      <c r="S1411" t="str">
        <f>"25666160000051395"</f>
        <v>25666160000051395</v>
      </c>
      <c r="T1411" t="s">
        <v>41</v>
      </c>
      <c r="U1411">
        <v>1269.4100000000001</v>
      </c>
      <c r="V1411">
        <v>1269.4100000000001</v>
      </c>
      <c r="W1411">
        <v>1269.4100000000001</v>
      </c>
      <c r="X1411">
        <v>0</v>
      </c>
      <c r="Y1411">
        <v>0</v>
      </c>
      <c r="Z1411">
        <v>-491</v>
      </c>
      <c r="AA1411">
        <v>693797</v>
      </c>
      <c r="AD1411" t="s">
        <v>4167</v>
      </c>
      <c r="AE1411" t="s">
        <v>3839</v>
      </c>
      <c r="AF1411" t="s">
        <v>4167</v>
      </c>
      <c r="AG1411">
        <v>49238009000477</v>
      </c>
      <c r="AH1411" t="s">
        <v>44</v>
      </c>
    </row>
    <row r="1412" spans="1:34" x14ac:dyDescent="0.3">
      <c r="A1412">
        <v>101</v>
      </c>
      <c r="B1412" t="s">
        <v>34</v>
      </c>
      <c r="C1412">
        <v>2</v>
      </c>
      <c r="D1412" s="1" t="s">
        <v>4163</v>
      </c>
      <c r="E1412" s="1" t="s">
        <v>122</v>
      </c>
      <c r="G1412">
        <v>462667</v>
      </c>
      <c r="H1412" t="s">
        <v>4164</v>
      </c>
      <c r="I1412" t="s">
        <v>4165</v>
      </c>
      <c r="J1412">
        <v>15</v>
      </c>
      <c r="K1412">
        <v>3168</v>
      </c>
      <c r="L1412">
        <v>50001</v>
      </c>
      <c r="M1412" t="s">
        <v>39</v>
      </c>
      <c r="N1412">
        <v>243</v>
      </c>
      <c r="O1412" s="2">
        <v>46211</v>
      </c>
      <c r="P1412" s="2">
        <v>46256</v>
      </c>
      <c r="R1412" t="s">
        <v>4166</v>
      </c>
      <c r="S1412" t="str">
        <f>"25666160000051394"</f>
        <v>25666160000051394</v>
      </c>
      <c r="T1412" t="s">
        <v>41</v>
      </c>
      <c r="U1412">
        <v>1269.03</v>
      </c>
      <c r="V1412">
        <v>1269.03</v>
      </c>
      <c r="W1412">
        <v>1269.03</v>
      </c>
      <c r="X1412">
        <v>0</v>
      </c>
      <c r="Y1412">
        <v>0</v>
      </c>
      <c r="Z1412">
        <v>-481</v>
      </c>
      <c r="AA1412">
        <v>693797</v>
      </c>
      <c r="AD1412" t="s">
        <v>4167</v>
      </c>
      <c r="AE1412" t="s">
        <v>3839</v>
      </c>
      <c r="AF1412" t="s">
        <v>4167</v>
      </c>
      <c r="AG1412">
        <v>49238009000477</v>
      </c>
      <c r="AH1412" t="s">
        <v>44</v>
      </c>
    </row>
    <row r="1413" spans="1:34" x14ac:dyDescent="0.3">
      <c r="A1413">
        <v>101</v>
      </c>
      <c r="B1413" t="s">
        <v>34</v>
      </c>
      <c r="C1413">
        <v>2</v>
      </c>
      <c r="D1413" s="1" t="s">
        <v>4168</v>
      </c>
      <c r="E1413" s="1" t="s">
        <v>116</v>
      </c>
      <c r="G1413">
        <v>462667</v>
      </c>
      <c r="H1413" t="s">
        <v>4164</v>
      </c>
      <c r="I1413" t="s">
        <v>4165</v>
      </c>
      <c r="J1413">
        <v>15</v>
      </c>
      <c r="K1413">
        <v>3168</v>
      </c>
      <c r="L1413">
        <v>50001</v>
      </c>
      <c r="M1413" t="s">
        <v>39</v>
      </c>
      <c r="N1413">
        <v>243</v>
      </c>
      <c r="O1413" s="2">
        <v>46245</v>
      </c>
      <c r="P1413" s="2">
        <v>46300</v>
      </c>
      <c r="R1413" t="s">
        <v>4169</v>
      </c>
      <c r="S1413" t="str">
        <f>"25666160000051845"</f>
        <v>25666160000051845</v>
      </c>
      <c r="T1413" t="s">
        <v>41</v>
      </c>
      <c r="U1413">
        <v>617.65</v>
      </c>
      <c r="V1413">
        <v>617.65</v>
      </c>
      <c r="W1413">
        <v>617.65</v>
      </c>
      <c r="X1413">
        <v>0</v>
      </c>
      <c r="Y1413">
        <v>0</v>
      </c>
      <c r="Z1413">
        <v>-525</v>
      </c>
      <c r="AA1413">
        <v>4412</v>
      </c>
      <c r="AD1413" t="s">
        <v>4167</v>
      </c>
      <c r="AE1413" t="s">
        <v>3839</v>
      </c>
      <c r="AF1413" t="s">
        <v>4167</v>
      </c>
      <c r="AG1413">
        <v>49238009000477</v>
      </c>
      <c r="AH1413" t="s">
        <v>44</v>
      </c>
    </row>
    <row r="1414" spans="1:34" x14ac:dyDescent="0.3">
      <c r="A1414">
        <v>101</v>
      </c>
      <c r="B1414" t="s">
        <v>34</v>
      </c>
      <c r="C1414">
        <v>2</v>
      </c>
      <c r="D1414" s="1" t="s">
        <v>4168</v>
      </c>
      <c r="E1414" s="1" t="s">
        <v>36</v>
      </c>
      <c r="G1414">
        <v>462667</v>
      </c>
      <c r="H1414" t="s">
        <v>4164</v>
      </c>
      <c r="I1414" t="s">
        <v>4165</v>
      </c>
      <c r="J1414">
        <v>15</v>
      </c>
      <c r="K1414">
        <v>3168</v>
      </c>
      <c r="L1414">
        <v>50001</v>
      </c>
      <c r="M1414" t="s">
        <v>39</v>
      </c>
      <c r="N1414">
        <v>243</v>
      </c>
      <c r="O1414" s="2">
        <v>46245</v>
      </c>
      <c r="P1414" s="2">
        <v>46280</v>
      </c>
      <c r="R1414" t="s">
        <v>4169</v>
      </c>
      <c r="S1414" t="str">
        <f>"25666160000051843"</f>
        <v>25666160000051843</v>
      </c>
      <c r="T1414" t="s">
        <v>41</v>
      </c>
      <c r="U1414">
        <v>660.02</v>
      </c>
      <c r="V1414">
        <v>660.02</v>
      </c>
      <c r="W1414">
        <v>660.02</v>
      </c>
      <c r="X1414">
        <v>0</v>
      </c>
      <c r="Y1414">
        <v>0</v>
      </c>
      <c r="Z1414">
        <v>-505</v>
      </c>
      <c r="AA1414">
        <v>4412</v>
      </c>
      <c r="AD1414" t="s">
        <v>4167</v>
      </c>
      <c r="AE1414" t="s">
        <v>3839</v>
      </c>
      <c r="AF1414" t="s">
        <v>4167</v>
      </c>
      <c r="AG1414">
        <v>49238009000477</v>
      </c>
      <c r="AH1414" t="s">
        <v>44</v>
      </c>
    </row>
    <row r="1415" spans="1:34" x14ac:dyDescent="0.3">
      <c r="A1415">
        <v>101</v>
      </c>
      <c r="B1415" t="s">
        <v>34</v>
      </c>
      <c r="C1415">
        <v>2</v>
      </c>
      <c r="D1415" s="1" t="s">
        <v>4168</v>
      </c>
      <c r="E1415" s="1" t="s">
        <v>122</v>
      </c>
      <c r="G1415">
        <v>462667</v>
      </c>
      <c r="H1415" t="s">
        <v>4164</v>
      </c>
      <c r="I1415" t="s">
        <v>4165</v>
      </c>
      <c r="J1415">
        <v>15</v>
      </c>
      <c r="K1415">
        <v>3168</v>
      </c>
      <c r="L1415">
        <v>50001</v>
      </c>
      <c r="M1415" t="s">
        <v>39</v>
      </c>
      <c r="N1415">
        <v>243</v>
      </c>
      <c r="O1415" s="2">
        <v>46245</v>
      </c>
      <c r="P1415" s="2">
        <v>46290</v>
      </c>
      <c r="R1415" t="s">
        <v>4169</v>
      </c>
      <c r="S1415" t="str">
        <f>"25666160000051844"</f>
        <v>25666160000051844</v>
      </c>
      <c r="T1415" t="s">
        <v>41</v>
      </c>
      <c r="U1415">
        <v>617.45000000000005</v>
      </c>
      <c r="V1415">
        <v>617.45000000000005</v>
      </c>
      <c r="W1415">
        <v>617.45000000000005</v>
      </c>
      <c r="X1415">
        <v>0</v>
      </c>
      <c r="Y1415">
        <v>0</v>
      </c>
      <c r="Z1415">
        <v>-515</v>
      </c>
      <c r="AA1415">
        <v>4412</v>
      </c>
      <c r="AD1415" t="s">
        <v>4167</v>
      </c>
      <c r="AE1415" t="s">
        <v>3839</v>
      </c>
      <c r="AF1415" t="s">
        <v>4167</v>
      </c>
      <c r="AG1415">
        <v>49238009000477</v>
      </c>
      <c r="AH1415" t="s">
        <v>44</v>
      </c>
    </row>
    <row r="1416" spans="1:34" x14ac:dyDescent="0.3">
      <c r="A1416">
        <v>101</v>
      </c>
      <c r="B1416" t="s">
        <v>34</v>
      </c>
      <c r="C1416">
        <v>2</v>
      </c>
      <c r="D1416" s="1" t="s">
        <v>4170</v>
      </c>
      <c r="E1416" s="1" t="s">
        <v>122</v>
      </c>
      <c r="G1416">
        <v>462740</v>
      </c>
      <c r="H1416" t="s">
        <v>4171</v>
      </c>
      <c r="I1416" t="s">
        <v>4172</v>
      </c>
      <c r="J1416">
        <v>15</v>
      </c>
      <c r="K1416">
        <v>3168</v>
      </c>
      <c r="L1416">
        <v>50001</v>
      </c>
      <c r="M1416" t="s">
        <v>39</v>
      </c>
      <c r="N1416">
        <v>243</v>
      </c>
      <c r="O1416" s="2">
        <v>46211</v>
      </c>
      <c r="P1416" s="2">
        <v>46256</v>
      </c>
      <c r="R1416" t="s">
        <v>4173</v>
      </c>
      <c r="S1416" t="str">
        <f>"25666160000051397"</f>
        <v>25666160000051397</v>
      </c>
      <c r="T1416" t="s">
        <v>41</v>
      </c>
      <c r="U1416">
        <v>1348.49</v>
      </c>
      <c r="V1416">
        <v>1348.49</v>
      </c>
      <c r="W1416">
        <v>1348.49</v>
      </c>
      <c r="X1416">
        <v>0</v>
      </c>
      <c r="Y1416">
        <v>0</v>
      </c>
      <c r="Z1416">
        <v>-481</v>
      </c>
      <c r="AA1416">
        <v>693795</v>
      </c>
      <c r="AD1416" t="s">
        <v>4174</v>
      </c>
      <c r="AE1416" t="s">
        <v>4175</v>
      </c>
      <c r="AF1416" t="s">
        <v>4174</v>
      </c>
      <c r="AG1416">
        <v>49238009000396</v>
      </c>
      <c r="AH1416" t="s">
        <v>44</v>
      </c>
    </row>
    <row r="1417" spans="1:34" x14ac:dyDescent="0.3">
      <c r="A1417">
        <v>101</v>
      </c>
      <c r="B1417" t="s">
        <v>34</v>
      </c>
      <c r="C1417">
        <v>2</v>
      </c>
      <c r="D1417" s="1" t="s">
        <v>4176</v>
      </c>
      <c r="E1417" s="1" t="s">
        <v>36</v>
      </c>
      <c r="G1417">
        <v>462740</v>
      </c>
      <c r="H1417" t="s">
        <v>4171</v>
      </c>
      <c r="I1417" t="s">
        <v>4172</v>
      </c>
      <c r="J1417">
        <v>15</v>
      </c>
      <c r="K1417">
        <v>3168</v>
      </c>
      <c r="L1417">
        <v>50001</v>
      </c>
      <c r="M1417" t="s">
        <v>39</v>
      </c>
      <c r="N1417">
        <v>243</v>
      </c>
      <c r="O1417" s="2">
        <v>46245</v>
      </c>
      <c r="P1417" s="2">
        <v>46280</v>
      </c>
      <c r="R1417" t="s">
        <v>4177</v>
      </c>
      <c r="S1417" t="str">
        <f>"25666160000051846"</f>
        <v>25666160000051846</v>
      </c>
      <c r="T1417" t="s">
        <v>41</v>
      </c>
      <c r="U1417">
        <v>720.74</v>
      </c>
      <c r="V1417">
        <v>720.74</v>
      </c>
      <c r="W1417">
        <v>720.74</v>
      </c>
      <c r="X1417">
        <v>0</v>
      </c>
      <c r="Y1417">
        <v>0</v>
      </c>
      <c r="Z1417">
        <v>-505</v>
      </c>
      <c r="AA1417">
        <v>4411</v>
      </c>
      <c r="AD1417" t="s">
        <v>4174</v>
      </c>
      <c r="AE1417" t="s">
        <v>4175</v>
      </c>
      <c r="AF1417" t="s">
        <v>4174</v>
      </c>
      <c r="AG1417">
        <v>49238009000396</v>
      </c>
      <c r="AH1417" t="s">
        <v>44</v>
      </c>
    </row>
    <row r="1418" spans="1:34" x14ac:dyDescent="0.3">
      <c r="A1418">
        <v>101</v>
      </c>
      <c r="B1418" t="s">
        <v>34</v>
      </c>
      <c r="C1418">
        <v>2</v>
      </c>
      <c r="D1418" s="1" t="s">
        <v>4170</v>
      </c>
      <c r="E1418" s="1" t="s">
        <v>116</v>
      </c>
      <c r="G1418">
        <v>462740</v>
      </c>
      <c r="H1418" t="s">
        <v>4171</v>
      </c>
      <c r="I1418" t="s">
        <v>4172</v>
      </c>
      <c r="J1418">
        <v>15</v>
      </c>
      <c r="K1418">
        <v>3168</v>
      </c>
      <c r="L1418">
        <v>50001</v>
      </c>
      <c r="M1418" t="s">
        <v>39</v>
      </c>
      <c r="N1418">
        <v>243</v>
      </c>
      <c r="O1418" s="2">
        <v>46211</v>
      </c>
      <c r="P1418" s="2">
        <v>46266</v>
      </c>
      <c r="R1418" t="s">
        <v>4173</v>
      </c>
      <c r="S1418" t="str">
        <f>"25666160000051398"</f>
        <v>25666160000051398</v>
      </c>
      <c r="T1418" t="s">
        <v>41</v>
      </c>
      <c r="U1418">
        <v>1348.88</v>
      </c>
      <c r="V1418">
        <v>1348.88</v>
      </c>
      <c r="W1418">
        <v>1348.88</v>
      </c>
      <c r="X1418">
        <v>0</v>
      </c>
      <c r="Y1418">
        <v>0</v>
      </c>
      <c r="Z1418">
        <v>-491</v>
      </c>
      <c r="AA1418">
        <v>693795</v>
      </c>
      <c r="AD1418" t="s">
        <v>4174</v>
      </c>
      <c r="AE1418" t="s">
        <v>4175</v>
      </c>
      <c r="AF1418" t="s">
        <v>4174</v>
      </c>
      <c r="AG1418">
        <v>49238009000396</v>
      </c>
      <c r="AH1418" t="s">
        <v>44</v>
      </c>
    </row>
    <row r="1419" spans="1:34" x14ac:dyDescent="0.3">
      <c r="A1419">
        <v>101</v>
      </c>
      <c r="B1419" t="s">
        <v>34</v>
      </c>
      <c r="C1419">
        <v>2</v>
      </c>
      <c r="D1419" s="1" t="s">
        <v>4176</v>
      </c>
      <c r="E1419" s="1" t="s">
        <v>116</v>
      </c>
      <c r="G1419">
        <v>462740</v>
      </c>
      <c r="H1419" t="s">
        <v>4171</v>
      </c>
      <c r="I1419" t="s">
        <v>4172</v>
      </c>
      <c r="J1419">
        <v>15</v>
      </c>
      <c r="K1419">
        <v>3168</v>
      </c>
      <c r="L1419">
        <v>50001</v>
      </c>
      <c r="M1419" t="s">
        <v>39</v>
      </c>
      <c r="N1419">
        <v>243</v>
      </c>
      <c r="O1419" s="2">
        <v>46245</v>
      </c>
      <c r="P1419" s="2">
        <v>46300</v>
      </c>
      <c r="R1419" t="s">
        <v>4177</v>
      </c>
      <c r="S1419" t="str">
        <f>"25666160000051848"</f>
        <v>25666160000051848</v>
      </c>
      <c r="T1419" t="s">
        <v>41</v>
      </c>
      <c r="U1419">
        <v>664.14</v>
      </c>
      <c r="V1419">
        <v>664.14</v>
      </c>
      <c r="W1419">
        <v>664.14</v>
      </c>
      <c r="X1419">
        <v>0</v>
      </c>
      <c r="Y1419">
        <v>0</v>
      </c>
      <c r="Z1419">
        <v>-525</v>
      </c>
      <c r="AA1419">
        <v>4411</v>
      </c>
      <c r="AD1419" t="s">
        <v>4174</v>
      </c>
      <c r="AE1419" t="s">
        <v>4175</v>
      </c>
      <c r="AF1419" t="s">
        <v>4174</v>
      </c>
      <c r="AG1419">
        <v>49238009000396</v>
      </c>
      <c r="AH1419" t="s">
        <v>44</v>
      </c>
    </row>
    <row r="1420" spans="1:34" x14ac:dyDescent="0.3">
      <c r="A1420">
        <v>101</v>
      </c>
      <c r="B1420" t="s">
        <v>34</v>
      </c>
      <c r="C1420">
        <v>2</v>
      </c>
      <c r="D1420" s="1" t="s">
        <v>4176</v>
      </c>
      <c r="E1420" s="1" t="s">
        <v>122</v>
      </c>
      <c r="G1420">
        <v>462740</v>
      </c>
      <c r="H1420" t="s">
        <v>4171</v>
      </c>
      <c r="I1420" t="s">
        <v>4172</v>
      </c>
      <c r="J1420">
        <v>15</v>
      </c>
      <c r="K1420">
        <v>3168</v>
      </c>
      <c r="L1420">
        <v>50001</v>
      </c>
      <c r="M1420" t="s">
        <v>39</v>
      </c>
      <c r="N1420">
        <v>243</v>
      </c>
      <c r="O1420" s="2">
        <v>46245</v>
      </c>
      <c r="P1420" s="2">
        <v>46290</v>
      </c>
      <c r="R1420" t="s">
        <v>4177</v>
      </c>
      <c r="S1420" t="str">
        <f>"25666160000051847"</f>
        <v>25666160000051847</v>
      </c>
      <c r="T1420" t="s">
        <v>41</v>
      </c>
      <c r="U1420">
        <v>663.95</v>
      </c>
      <c r="V1420">
        <v>663.95</v>
      </c>
      <c r="W1420">
        <v>663.95</v>
      </c>
      <c r="X1420">
        <v>0</v>
      </c>
      <c r="Y1420">
        <v>0</v>
      </c>
      <c r="Z1420">
        <v>-515</v>
      </c>
      <c r="AA1420">
        <v>4411</v>
      </c>
      <c r="AD1420" t="s">
        <v>4174</v>
      </c>
      <c r="AE1420" t="s">
        <v>4175</v>
      </c>
      <c r="AF1420" t="s">
        <v>4174</v>
      </c>
      <c r="AG1420">
        <v>49238009000396</v>
      </c>
      <c r="AH1420" t="s">
        <v>44</v>
      </c>
    </row>
    <row r="1421" spans="1:34" x14ac:dyDescent="0.3">
      <c r="A1421">
        <v>101</v>
      </c>
      <c r="B1421" t="s">
        <v>34</v>
      </c>
      <c r="C1421">
        <v>2</v>
      </c>
      <c r="D1421" s="1" t="s">
        <v>4178</v>
      </c>
      <c r="E1421" s="1" t="s">
        <v>36</v>
      </c>
      <c r="G1421">
        <v>462740</v>
      </c>
      <c r="H1421" t="s">
        <v>4171</v>
      </c>
      <c r="I1421" t="s">
        <v>4172</v>
      </c>
      <c r="J1421">
        <v>15</v>
      </c>
      <c r="K1421">
        <v>3168</v>
      </c>
      <c r="L1421">
        <v>50001</v>
      </c>
      <c r="M1421" t="s">
        <v>39</v>
      </c>
      <c r="N1421">
        <v>243</v>
      </c>
      <c r="O1421" s="2">
        <v>46255</v>
      </c>
      <c r="P1421" s="2">
        <v>46290</v>
      </c>
      <c r="R1421" t="s">
        <v>4179</v>
      </c>
      <c r="S1421" t="str">
        <f>"25666160000052000"</f>
        <v>25666160000052000</v>
      </c>
      <c r="T1421" t="s">
        <v>41</v>
      </c>
      <c r="U1421">
        <v>2918.22</v>
      </c>
      <c r="V1421">
        <v>2918.22</v>
      </c>
      <c r="W1421">
        <v>2918.22</v>
      </c>
      <c r="X1421">
        <v>0</v>
      </c>
      <c r="Y1421">
        <v>0</v>
      </c>
      <c r="Z1421">
        <v>-515</v>
      </c>
      <c r="AA1421">
        <v>4943</v>
      </c>
      <c r="AD1421" t="s">
        <v>4174</v>
      </c>
      <c r="AE1421" t="s">
        <v>4175</v>
      </c>
      <c r="AF1421" t="s">
        <v>4174</v>
      </c>
      <c r="AG1421">
        <v>49238009000396</v>
      </c>
      <c r="AH1421" t="s">
        <v>44</v>
      </c>
    </row>
    <row r="1422" spans="1:34" x14ac:dyDescent="0.3">
      <c r="A1422">
        <v>101</v>
      </c>
      <c r="B1422" t="s">
        <v>34</v>
      </c>
      <c r="C1422">
        <v>2</v>
      </c>
      <c r="D1422" s="1" t="s">
        <v>4178</v>
      </c>
      <c r="E1422" s="1" t="s">
        <v>122</v>
      </c>
      <c r="G1422">
        <v>462740</v>
      </c>
      <c r="H1422" t="s">
        <v>4171</v>
      </c>
      <c r="I1422" t="s">
        <v>4172</v>
      </c>
      <c r="J1422">
        <v>15</v>
      </c>
      <c r="K1422">
        <v>3168</v>
      </c>
      <c r="L1422">
        <v>50001</v>
      </c>
      <c r="M1422" t="s">
        <v>39</v>
      </c>
      <c r="N1422">
        <v>243</v>
      </c>
      <c r="O1422" s="2">
        <v>46255</v>
      </c>
      <c r="P1422" s="2">
        <v>46300</v>
      </c>
      <c r="R1422" t="s">
        <v>4179</v>
      </c>
      <c r="S1422" t="str">
        <f>"25666160000052001"</f>
        <v>25666160000052001</v>
      </c>
      <c r="T1422" t="s">
        <v>41</v>
      </c>
      <c r="U1422">
        <v>2635.79</v>
      </c>
      <c r="V1422">
        <v>2635.79</v>
      </c>
      <c r="W1422">
        <v>2635.79</v>
      </c>
      <c r="X1422">
        <v>0</v>
      </c>
      <c r="Y1422">
        <v>0</v>
      </c>
      <c r="Z1422">
        <v>-525</v>
      </c>
      <c r="AA1422">
        <v>4943</v>
      </c>
      <c r="AD1422" t="s">
        <v>4174</v>
      </c>
      <c r="AE1422" t="s">
        <v>4175</v>
      </c>
      <c r="AF1422" t="s">
        <v>4174</v>
      </c>
      <c r="AG1422">
        <v>49238009000396</v>
      </c>
      <c r="AH1422" t="s">
        <v>44</v>
      </c>
    </row>
    <row r="1423" spans="1:34" x14ac:dyDescent="0.3">
      <c r="A1423">
        <v>101</v>
      </c>
      <c r="B1423" t="s">
        <v>34</v>
      </c>
      <c r="C1423">
        <v>2</v>
      </c>
      <c r="D1423" s="1" t="s">
        <v>4178</v>
      </c>
      <c r="E1423" s="1" t="s">
        <v>116</v>
      </c>
      <c r="G1423">
        <v>462740</v>
      </c>
      <c r="H1423" t="s">
        <v>4171</v>
      </c>
      <c r="I1423" t="s">
        <v>4172</v>
      </c>
      <c r="J1423">
        <v>15</v>
      </c>
      <c r="K1423">
        <v>3168</v>
      </c>
      <c r="L1423">
        <v>50001</v>
      </c>
      <c r="M1423" t="s">
        <v>39</v>
      </c>
      <c r="N1423">
        <v>243</v>
      </c>
      <c r="O1423" s="2">
        <v>46255</v>
      </c>
      <c r="P1423" s="2">
        <v>46310</v>
      </c>
      <c r="R1423" t="s">
        <v>4179</v>
      </c>
      <c r="S1423" t="str">
        <f>"25666160000052002"</f>
        <v>25666160000052002</v>
      </c>
      <c r="T1423" t="s">
        <v>41</v>
      </c>
      <c r="U1423">
        <v>2636.58</v>
      </c>
      <c r="V1423">
        <v>2636.58</v>
      </c>
      <c r="W1423">
        <v>2636.58</v>
      </c>
      <c r="X1423">
        <v>0</v>
      </c>
      <c r="Y1423">
        <v>0</v>
      </c>
      <c r="Z1423">
        <v>-535</v>
      </c>
      <c r="AA1423">
        <v>4943</v>
      </c>
      <c r="AD1423" t="s">
        <v>4174</v>
      </c>
      <c r="AE1423" t="s">
        <v>4175</v>
      </c>
      <c r="AF1423" t="s">
        <v>4174</v>
      </c>
      <c r="AG1423">
        <v>49238009000396</v>
      </c>
      <c r="AH1423" t="s">
        <v>44</v>
      </c>
    </row>
    <row r="1424" spans="1:34" x14ac:dyDescent="0.3">
      <c r="A1424">
        <v>101</v>
      </c>
      <c r="B1424" t="s">
        <v>34</v>
      </c>
      <c r="C1424">
        <v>2</v>
      </c>
      <c r="D1424" s="1" t="s">
        <v>4180</v>
      </c>
      <c r="E1424" s="1" t="s">
        <v>36</v>
      </c>
      <c r="G1424">
        <v>462745</v>
      </c>
      <c r="H1424" t="s">
        <v>4181</v>
      </c>
      <c r="I1424" t="s">
        <v>4172</v>
      </c>
      <c r="J1424">
        <v>15</v>
      </c>
      <c r="K1424">
        <v>3168</v>
      </c>
      <c r="L1424">
        <v>50001</v>
      </c>
      <c r="M1424" t="s">
        <v>39</v>
      </c>
      <c r="N1424">
        <v>243</v>
      </c>
      <c r="O1424" s="2">
        <v>46245</v>
      </c>
      <c r="P1424" s="2">
        <v>46280</v>
      </c>
      <c r="R1424" t="s">
        <v>4182</v>
      </c>
      <c r="S1424" t="str">
        <f>"25666160000051849"</f>
        <v>25666160000051849</v>
      </c>
      <c r="T1424" t="s">
        <v>41</v>
      </c>
      <c r="U1424">
        <v>856.6</v>
      </c>
      <c r="V1424">
        <v>856.6</v>
      </c>
      <c r="W1424">
        <v>856.6</v>
      </c>
      <c r="X1424">
        <v>0</v>
      </c>
      <c r="Y1424">
        <v>0</v>
      </c>
      <c r="Z1424">
        <v>-505</v>
      </c>
      <c r="AA1424">
        <v>4410</v>
      </c>
      <c r="AD1424" t="s">
        <v>4183</v>
      </c>
      <c r="AE1424" t="s">
        <v>4184</v>
      </c>
      <c r="AF1424" t="s">
        <v>4183</v>
      </c>
      <c r="AG1424">
        <v>49238009000205</v>
      </c>
      <c r="AH1424" t="s">
        <v>44</v>
      </c>
    </row>
    <row r="1425" spans="1:34" x14ac:dyDescent="0.3">
      <c r="A1425">
        <v>101</v>
      </c>
      <c r="B1425" t="s">
        <v>34</v>
      </c>
      <c r="C1425">
        <v>2</v>
      </c>
      <c r="D1425" s="1" t="s">
        <v>4180</v>
      </c>
      <c r="E1425" s="1" t="s">
        <v>122</v>
      </c>
      <c r="G1425">
        <v>462745</v>
      </c>
      <c r="H1425" t="s">
        <v>4181</v>
      </c>
      <c r="I1425" t="s">
        <v>4172</v>
      </c>
      <c r="J1425">
        <v>15</v>
      </c>
      <c r="K1425">
        <v>3168</v>
      </c>
      <c r="L1425">
        <v>50001</v>
      </c>
      <c r="M1425" t="s">
        <v>39</v>
      </c>
      <c r="N1425">
        <v>243</v>
      </c>
      <c r="O1425" s="2">
        <v>46245</v>
      </c>
      <c r="P1425" s="2">
        <v>46290</v>
      </c>
      <c r="R1425" t="s">
        <v>4182</v>
      </c>
      <c r="S1425" t="str">
        <f>"25666160000051850"</f>
        <v>25666160000051850</v>
      </c>
      <c r="T1425" t="s">
        <v>41</v>
      </c>
      <c r="U1425">
        <v>784.8</v>
      </c>
      <c r="V1425">
        <v>784.8</v>
      </c>
      <c r="W1425">
        <v>784.8</v>
      </c>
      <c r="X1425">
        <v>0</v>
      </c>
      <c r="Y1425">
        <v>0</v>
      </c>
      <c r="Z1425">
        <v>-515</v>
      </c>
      <c r="AA1425">
        <v>4410</v>
      </c>
      <c r="AD1425" t="s">
        <v>4183</v>
      </c>
      <c r="AE1425" t="s">
        <v>4184</v>
      </c>
      <c r="AF1425" t="s">
        <v>4183</v>
      </c>
      <c r="AG1425">
        <v>49238009000205</v>
      </c>
      <c r="AH1425" t="s">
        <v>44</v>
      </c>
    </row>
    <row r="1426" spans="1:34" x14ac:dyDescent="0.3">
      <c r="A1426">
        <v>101</v>
      </c>
      <c r="B1426" t="s">
        <v>34</v>
      </c>
      <c r="C1426">
        <v>2</v>
      </c>
      <c r="D1426" s="1" t="s">
        <v>4180</v>
      </c>
      <c r="E1426" s="1" t="s">
        <v>116</v>
      </c>
      <c r="G1426">
        <v>462745</v>
      </c>
      <c r="H1426" t="s">
        <v>4181</v>
      </c>
      <c r="I1426" t="s">
        <v>4172</v>
      </c>
      <c r="J1426">
        <v>15</v>
      </c>
      <c r="K1426">
        <v>3168</v>
      </c>
      <c r="L1426">
        <v>50001</v>
      </c>
      <c r="M1426" t="s">
        <v>39</v>
      </c>
      <c r="N1426">
        <v>243</v>
      </c>
      <c r="O1426" s="2">
        <v>46245</v>
      </c>
      <c r="P1426" s="2">
        <v>46300</v>
      </c>
      <c r="R1426" t="s">
        <v>4182</v>
      </c>
      <c r="S1426" t="str">
        <f>"25666160000051851"</f>
        <v>25666160000051851</v>
      </c>
      <c r="T1426" t="s">
        <v>41</v>
      </c>
      <c r="U1426">
        <v>785.05</v>
      </c>
      <c r="V1426">
        <v>785.05</v>
      </c>
      <c r="W1426">
        <v>785.05</v>
      </c>
      <c r="X1426">
        <v>0</v>
      </c>
      <c r="Y1426">
        <v>0</v>
      </c>
      <c r="Z1426">
        <v>-525</v>
      </c>
      <c r="AA1426">
        <v>4410</v>
      </c>
      <c r="AD1426" t="s">
        <v>4183</v>
      </c>
      <c r="AE1426" t="s">
        <v>4184</v>
      </c>
      <c r="AF1426" t="s">
        <v>4183</v>
      </c>
      <c r="AG1426">
        <v>49238009000205</v>
      </c>
      <c r="AH1426" t="s">
        <v>44</v>
      </c>
    </row>
    <row r="1427" spans="1:34" x14ac:dyDescent="0.3">
      <c r="A1427">
        <v>101</v>
      </c>
      <c r="B1427" t="s">
        <v>34</v>
      </c>
      <c r="C1427">
        <v>2</v>
      </c>
      <c r="D1427" s="1" t="s">
        <v>4185</v>
      </c>
      <c r="E1427" s="1" t="s">
        <v>116</v>
      </c>
      <c r="G1427">
        <v>462745</v>
      </c>
      <c r="H1427" t="s">
        <v>4181</v>
      </c>
      <c r="I1427" t="s">
        <v>4172</v>
      </c>
      <c r="J1427">
        <v>15</v>
      </c>
      <c r="K1427">
        <v>3168</v>
      </c>
      <c r="L1427">
        <v>50001</v>
      </c>
      <c r="M1427" t="s">
        <v>39</v>
      </c>
      <c r="N1427">
        <v>243</v>
      </c>
      <c r="O1427" s="2">
        <v>46211</v>
      </c>
      <c r="P1427" s="2">
        <v>46266</v>
      </c>
      <c r="R1427" t="s">
        <v>4186</v>
      </c>
      <c r="S1427" t="str">
        <f>"25666160000051401"</f>
        <v>25666160000051401</v>
      </c>
      <c r="T1427" t="s">
        <v>41</v>
      </c>
      <c r="U1427">
        <v>1899.97</v>
      </c>
      <c r="V1427">
        <v>1899.97</v>
      </c>
      <c r="W1427">
        <v>1899.97</v>
      </c>
      <c r="X1427">
        <v>0</v>
      </c>
      <c r="Y1427">
        <v>0</v>
      </c>
      <c r="Z1427">
        <v>-491</v>
      </c>
      <c r="AA1427">
        <v>693796</v>
      </c>
      <c r="AD1427" t="s">
        <v>4183</v>
      </c>
      <c r="AE1427" t="s">
        <v>4184</v>
      </c>
      <c r="AF1427" t="s">
        <v>4183</v>
      </c>
      <c r="AG1427">
        <v>49238009000205</v>
      </c>
      <c r="AH1427" t="s">
        <v>44</v>
      </c>
    </row>
    <row r="1428" spans="1:34" x14ac:dyDescent="0.3">
      <c r="A1428">
        <v>101</v>
      </c>
      <c r="B1428" t="s">
        <v>34</v>
      </c>
      <c r="C1428">
        <v>2</v>
      </c>
      <c r="D1428" s="1" t="s">
        <v>4185</v>
      </c>
      <c r="E1428" s="1" t="s">
        <v>122</v>
      </c>
      <c r="G1428">
        <v>462745</v>
      </c>
      <c r="H1428" t="s">
        <v>4181</v>
      </c>
      <c r="I1428" t="s">
        <v>4172</v>
      </c>
      <c r="J1428">
        <v>15</v>
      </c>
      <c r="K1428">
        <v>3168</v>
      </c>
      <c r="L1428">
        <v>50001</v>
      </c>
      <c r="M1428" t="s">
        <v>39</v>
      </c>
      <c r="N1428">
        <v>243</v>
      </c>
      <c r="O1428" s="2">
        <v>46211</v>
      </c>
      <c r="P1428" s="2">
        <v>46256</v>
      </c>
      <c r="R1428" t="s">
        <v>4186</v>
      </c>
      <c r="S1428" t="str">
        <f>"25666160000051400"</f>
        <v>25666160000051400</v>
      </c>
      <c r="T1428" t="s">
        <v>41</v>
      </c>
      <c r="U1428">
        <v>1899.41</v>
      </c>
      <c r="V1428">
        <v>1899.41</v>
      </c>
      <c r="W1428">
        <v>1899.41</v>
      </c>
      <c r="X1428">
        <v>0</v>
      </c>
      <c r="Y1428">
        <v>0</v>
      </c>
      <c r="Z1428">
        <v>-481</v>
      </c>
      <c r="AA1428">
        <v>693796</v>
      </c>
      <c r="AD1428" t="s">
        <v>4183</v>
      </c>
      <c r="AE1428" t="s">
        <v>4184</v>
      </c>
      <c r="AF1428" t="s">
        <v>4183</v>
      </c>
      <c r="AG1428">
        <v>49238009000205</v>
      </c>
      <c r="AH1428" t="s">
        <v>44</v>
      </c>
    </row>
    <row r="1429" spans="1:34" x14ac:dyDescent="0.3">
      <c r="A1429">
        <v>101</v>
      </c>
      <c r="B1429" t="s">
        <v>34</v>
      </c>
      <c r="C1429">
        <v>2</v>
      </c>
      <c r="D1429" s="1" t="s">
        <v>4187</v>
      </c>
      <c r="E1429" s="1" t="s">
        <v>36</v>
      </c>
      <c r="G1429">
        <v>463327</v>
      </c>
      <c r="H1429" t="s">
        <v>4188</v>
      </c>
      <c r="I1429" t="s">
        <v>4059</v>
      </c>
      <c r="J1429">
        <v>12</v>
      </c>
      <c r="K1429">
        <v>6136</v>
      </c>
      <c r="L1429">
        <v>50001</v>
      </c>
      <c r="M1429" t="s">
        <v>39</v>
      </c>
      <c r="N1429">
        <v>243</v>
      </c>
      <c r="O1429" s="2">
        <v>46254</v>
      </c>
      <c r="P1429" s="2">
        <v>46314</v>
      </c>
      <c r="R1429" t="s">
        <v>4189</v>
      </c>
      <c r="S1429" t="str">
        <f>"25666160000051990"</f>
        <v>25666160000051990</v>
      </c>
      <c r="T1429" t="s">
        <v>41</v>
      </c>
      <c r="U1429">
        <v>2362.6</v>
      </c>
      <c r="V1429">
        <v>2244.4699999999998</v>
      </c>
      <c r="W1429">
        <v>2244.4699999999998</v>
      </c>
      <c r="X1429">
        <v>0</v>
      </c>
      <c r="Y1429">
        <v>0</v>
      </c>
      <c r="Z1429">
        <v>-539</v>
      </c>
      <c r="AA1429">
        <v>4868</v>
      </c>
      <c r="AD1429" t="s">
        <v>4190</v>
      </c>
      <c r="AE1429" t="s">
        <v>4191</v>
      </c>
      <c r="AF1429" t="s">
        <v>4190</v>
      </c>
      <c r="AG1429" s="1" t="s">
        <v>4192</v>
      </c>
      <c r="AH1429" t="s">
        <v>44</v>
      </c>
    </row>
    <row r="1430" spans="1:34" x14ac:dyDescent="0.3">
      <c r="A1430">
        <v>101</v>
      </c>
      <c r="B1430" t="s">
        <v>34</v>
      </c>
      <c r="C1430">
        <v>2</v>
      </c>
      <c r="D1430" s="1" t="s">
        <v>4193</v>
      </c>
      <c r="E1430" s="1" t="s">
        <v>36</v>
      </c>
      <c r="G1430">
        <v>466042</v>
      </c>
      <c r="H1430" t="s">
        <v>4194</v>
      </c>
      <c r="I1430" t="s">
        <v>4047</v>
      </c>
      <c r="J1430">
        <v>12</v>
      </c>
      <c r="K1430">
        <v>9047</v>
      </c>
      <c r="L1430">
        <v>50237</v>
      </c>
      <c r="M1430" t="s">
        <v>39</v>
      </c>
      <c r="N1430">
        <v>243</v>
      </c>
      <c r="O1430" s="2">
        <v>46254</v>
      </c>
      <c r="P1430" s="2">
        <v>46299</v>
      </c>
      <c r="R1430" t="s">
        <v>4195</v>
      </c>
      <c r="S1430" t="str">
        <f>"33000005233P"</f>
        <v>33000005233P</v>
      </c>
      <c r="T1430" t="s">
        <v>41</v>
      </c>
      <c r="U1430">
        <v>1123.29</v>
      </c>
      <c r="V1430">
        <v>1067.1300000000001</v>
      </c>
      <c r="W1430">
        <v>1067.1300000000001</v>
      </c>
      <c r="X1430">
        <v>0</v>
      </c>
      <c r="Y1430">
        <v>0</v>
      </c>
      <c r="Z1430">
        <v>-524</v>
      </c>
      <c r="AA1430">
        <v>4537</v>
      </c>
      <c r="AD1430" t="s">
        <v>3830</v>
      </c>
      <c r="AE1430" t="s">
        <v>4196</v>
      </c>
      <c r="AF1430" t="s">
        <v>3830</v>
      </c>
      <c r="AG1430">
        <v>53963443002783</v>
      </c>
      <c r="AH1430" t="s">
        <v>44</v>
      </c>
    </row>
    <row r="1431" spans="1:34" x14ac:dyDescent="0.3">
      <c r="A1431">
        <v>101</v>
      </c>
      <c r="B1431" t="s">
        <v>34</v>
      </c>
      <c r="C1431">
        <v>2</v>
      </c>
      <c r="D1431" s="1" t="s">
        <v>4197</v>
      </c>
      <c r="E1431" s="1" t="s">
        <v>36</v>
      </c>
      <c r="G1431">
        <v>466042</v>
      </c>
      <c r="H1431" t="s">
        <v>4194</v>
      </c>
      <c r="I1431" t="s">
        <v>4047</v>
      </c>
      <c r="J1431">
        <v>12</v>
      </c>
      <c r="K1431">
        <v>9047</v>
      </c>
      <c r="L1431">
        <v>50237</v>
      </c>
      <c r="M1431" t="s">
        <v>39</v>
      </c>
      <c r="N1431">
        <v>243</v>
      </c>
      <c r="O1431" s="2">
        <v>46246</v>
      </c>
      <c r="P1431" s="2">
        <v>46291</v>
      </c>
      <c r="R1431" t="s">
        <v>4198</v>
      </c>
      <c r="S1431" t="str">
        <f>"330000052100"</f>
        <v>330000052100</v>
      </c>
      <c r="T1431" t="s">
        <v>41</v>
      </c>
      <c r="U1431">
        <v>5591.65</v>
      </c>
      <c r="V1431">
        <v>5312.07</v>
      </c>
      <c r="W1431">
        <v>5312.07</v>
      </c>
      <c r="X1431">
        <v>0</v>
      </c>
      <c r="Y1431">
        <v>0</v>
      </c>
      <c r="Z1431">
        <v>-516</v>
      </c>
      <c r="AA1431">
        <v>4537</v>
      </c>
      <c r="AD1431" t="s">
        <v>3830</v>
      </c>
      <c r="AE1431" t="s">
        <v>4196</v>
      </c>
      <c r="AF1431" t="s">
        <v>3830</v>
      </c>
      <c r="AG1431">
        <v>53963443002783</v>
      </c>
      <c r="AH1431" t="s">
        <v>44</v>
      </c>
    </row>
    <row r="1432" spans="1:34" x14ac:dyDescent="0.3">
      <c r="A1432">
        <v>101</v>
      </c>
      <c r="B1432" t="s">
        <v>34</v>
      </c>
      <c r="C1432">
        <v>2</v>
      </c>
      <c r="D1432" s="1" t="s">
        <v>4199</v>
      </c>
      <c r="E1432" s="1" t="s">
        <v>36</v>
      </c>
      <c r="G1432">
        <v>467550</v>
      </c>
      <c r="H1432" t="s">
        <v>4200</v>
      </c>
      <c r="I1432" t="s">
        <v>4047</v>
      </c>
      <c r="J1432">
        <v>12</v>
      </c>
      <c r="K1432">
        <v>9047</v>
      </c>
      <c r="L1432">
        <v>50237</v>
      </c>
      <c r="M1432" t="s">
        <v>39</v>
      </c>
      <c r="N1432">
        <v>243</v>
      </c>
      <c r="O1432" s="2">
        <v>46254</v>
      </c>
      <c r="P1432" s="2">
        <v>46299</v>
      </c>
      <c r="R1432" t="s">
        <v>4201</v>
      </c>
      <c r="S1432" t="str">
        <f>"330000052348"</f>
        <v>330000052348</v>
      </c>
      <c r="T1432" t="s">
        <v>41</v>
      </c>
      <c r="U1432">
        <v>1123.29</v>
      </c>
      <c r="V1432">
        <v>1067.1300000000001</v>
      </c>
      <c r="W1432">
        <v>1067.1300000000001</v>
      </c>
      <c r="X1432">
        <v>0</v>
      </c>
      <c r="Y1432">
        <v>0</v>
      </c>
      <c r="Z1432">
        <v>-524</v>
      </c>
      <c r="AA1432">
        <v>4539</v>
      </c>
      <c r="AD1432" t="s">
        <v>4202</v>
      </c>
      <c r="AE1432" s="1" t="s">
        <v>4203</v>
      </c>
      <c r="AF1432" t="s">
        <v>4202</v>
      </c>
      <c r="AG1432">
        <v>53963443002864</v>
      </c>
      <c r="AH1432" t="s">
        <v>44</v>
      </c>
    </row>
    <row r="1433" spans="1:34" x14ac:dyDescent="0.3">
      <c r="A1433">
        <v>101</v>
      </c>
      <c r="B1433" t="s">
        <v>34</v>
      </c>
      <c r="C1433">
        <v>2</v>
      </c>
      <c r="D1433" s="1" t="s">
        <v>4204</v>
      </c>
      <c r="E1433" s="1" t="s">
        <v>36</v>
      </c>
      <c r="G1433">
        <v>467550</v>
      </c>
      <c r="H1433" t="s">
        <v>4200</v>
      </c>
      <c r="I1433" t="s">
        <v>4047</v>
      </c>
      <c r="J1433">
        <v>12</v>
      </c>
      <c r="K1433">
        <v>9047</v>
      </c>
      <c r="L1433">
        <v>50237</v>
      </c>
      <c r="M1433" t="s">
        <v>39</v>
      </c>
      <c r="N1433">
        <v>243</v>
      </c>
      <c r="O1433" s="2">
        <v>46254</v>
      </c>
      <c r="P1433" s="2">
        <v>46299</v>
      </c>
      <c r="R1433" t="s">
        <v>4205</v>
      </c>
      <c r="S1433" t="str">
        <f>"330000052356"</f>
        <v>330000052356</v>
      </c>
      <c r="T1433" t="s">
        <v>41</v>
      </c>
      <c r="U1433">
        <v>8947.31</v>
      </c>
      <c r="V1433">
        <v>8499.94</v>
      </c>
      <c r="W1433">
        <v>8499.94</v>
      </c>
      <c r="X1433">
        <v>0</v>
      </c>
      <c r="Y1433">
        <v>0</v>
      </c>
      <c r="Z1433">
        <v>-524</v>
      </c>
      <c r="AA1433">
        <v>4539</v>
      </c>
      <c r="AD1433" t="s">
        <v>4202</v>
      </c>
      <c r="AE1433" s="1" t="s">
        <v>4203</v>
      </c>
      <c r="AF1433" t="s">
        <v>4202</v>
      </c>
      <c r="AG1433">
        <v>53963443002864</v>
      </c>
      <c r="AH1433" t="s">
        <v>44</v>
      </c>
    </row>
    <row r="1434" spans="1:34" x14ac:dyDescent="0.3">
      <c r="A1434">
        <v>101</v>
      </c>
      <c r="B1434" t="s">
        <v>34</v>
      </c>
      <c r="C1434">
        <v>2</v>
      </c>
      <c r="D1434" s="1" t="s">
        <v>4206</v>
      </c>
      <c r="E1434" s="1" t="s">
        <v>36</v>
      </c>
      <c r="G1434">
        <v>467550</v>
      </c>
      <c r="H1434" t="s">
        <v>4200</v>
      </c>
      <c r="I1434" t="s">
        <v>4047</v>
      </c>
      <c r="J1434">
        <v>12</v>
      </c>
      <c r="K1434">
        <v>9047</v>
      </c>
      <c r="L1434">
        <v>50237</v>
      </c>
      <c r="M1434" t="s">
        <v>39</v>
      </c>
      <c r="N1434">
        <v>243</v>
      </c>
      <c r="O1434" s="2">
        <v>46203</v>
      </c>
      <c r="P1434" s="2">
        <v>46261</v>
      </c>
      <c r="R1434" t="s">
        <v>4207</v>
      </c>
      <c r="S1434" t="str">
        <f>"330000051015"</f>
        <v>330000051015</v>
      </c>
      <c r="T1434" t="s">
        <v>41</v>
      </c>
      <c r="U1434">
        <v>2674.03</v>
      </c>
      <c r="V1434">
        <v>2540.33</v>
      </c>
      <c r="W1434">
        <v>2540.33</v>
      </c>
      <c r="X1434">
        <v>0</v>
      </c>
      <c r="Y1434">
        <v>0</v>
      </c>
      <c r="Z1434">
        <v>-486</v>
      </c>
      <c r="AA1434">
        <v>693170</v>
      </c>
      <c r="AD1434" t="s">
        <v>4202</v>
      </c>
      <c r="AE1434" s="1" t="s">
        <v>4203</v>
      </c>
      <c r="AF1434" t="s">
        <v>4202</v>
      </c>
      <c r="AG1434">
        <v>53963443002864</v>
      </c>
      <c r="AH1434" t="s">
        <v>44</v>
      </c>
    </row>
    <row r="1435" spans="1:34" x14ac:dyDescent="0.3">
      <c r="A1435">
        <v>101</v>
      </c>
      <c r="B1435" t="s">
        <v>34</v>
      </c>
      <c r="C1435">
        <v>2</v>
      </c>
      <c r="D1435" s="1" t="s">
        <v>4208</v>
      </c>
      <c r="E1435" s="1" t="s">
        <v>116</v>
      </c>
      <c r="G1435">
        <v>468019</v>
      </c>
      <c r="H1435" t="s">
        <v>4209</v>
      </c>
      <c r="I1435" t="s">
        <v>4009</v>
      </c>
      <c r="J1435">
        <v>12</v>
      </c>
      <c r="K1435">
        <v>8674</v>
      </c>
      <c r="L1435">
        <v>50033</v>
      </c>
      <c r="M1435" t="s">
        <v>39</v>
      </c>
      <c r="N1435">
        <v>243</v>
      </c>
      <c r="O1435" s="2">
        <v>46245</v>
      </c>
      <c r="P1435" s="2">
        <v>46295</v>
      </c>
      <c r="R1435" t="s">
        <v>4210</v>
      </c>
      <c r="S1435" t="str">
        <f>"0000050413279"</f>
        <v>0000050413279</v>
      </c>
      <c r="T1435" t="s">
        <v>41</v>
      </c>
      <c r="U1435">
        <v>1419.13</v>
      </c>
      <c r="V1435">
        <v>1362.36</v>
      </c>
      <c r="W1435">
        <v>1362.36</v>
      </c>
      <c r="X1435">
        <v>0</v>
      </c>
      <c r="Y1435">
        <v>0</v>
      </c>
      <c r="Z1435">
        <v>-520</v>
      </c>
      <c r="AA1435">
        <v>4298</v>
      </c>
      <c r="AD1435" t="s">
        <v>4211</v>
      </c>
      <c r="AE1435" t="s">
        <v>4212</v>
      </c>
      <c r="AF1435" t="s">
        <v>4211</v>
      </c>
      <c r="AG1435" s="1" t="s">
        <v>4213</v>
      </c>
      <c r="AH1435" t="s">
        <v>44</v>
      </c>
    </row>
    <row r="1436" spans="1:34" x14ac:dyDescent="0.3">
      <c r="A1436">
        <v>101</v>
      </c>
      <c r="B1436" t="s">
        <v>34</v>
      </c>
      <c r="C1436">
        <v>2</v>
      </c>
      <c r="D1436" s="1" t="s">
        <v>4208</v>
      </c>
      <c r="E1436" s="1" t="s">
        <v>122</v>
      </c>
      <c r="G1436">
        <v>468019</v>
      </c>
      <c r="H1436" t="s">
        <v>4209</v>
      </c>
      <c r="I1436" t="s">
        <v>4009</v>
      </c>
      <c r="J1436">
        <v>12</v>
      </c>
      <c r="K1436">
        <v>8674</v>
      </c>
      <c r="L1436">
        <v>50033</v>
      </c>
      <c r="M1436" t="s">
        <v>39</v>
      </c>
      <c r="N1436">
        <v>243</v>
      </c>
      <c r="O1436" s="2">
        <v>46245</v>
      </c>
      <c r="P1436" s="2">
        <v>46285</v>
      </c>
      <c r="R1436" t="s">
        <v>4210</v>
      </c>
      <c r="S1436" t="str">
        <f>"0000050413260"</f>
        <v>0000050413260</v>
      </c>
      <c r="T1436" t="s">
        <v>41</v>
      </c>
      <c r="U1436">
        <v>1418.69</v>
      </c>
      <c r="V1436">
        <v>1361.94</v>
      </c>
      <c r="W1436">
        <v>1361.94</v>
      </c>
      <c r="X1436">
        <v>0</v>
      </c>
      <c r="Y1436">
        <v>0</v>
      </c>
      <c r="Z1436">
        <v>-510</v>
      </c>
      <c r="AA1436">
        <v>4298</v>
      </c>
      <c r="AD1436" t="s">
        <v>4211</v>
      </c>
      <c r="AE1436" t="s">
        <v>4212</v>
      </c>
      <c r="AF1436" t="s">
        <v>4211</v>
      </c>
      <c r="AG1436" s="1" t="s">
        <v>4213</v>
      </c>
      <c r="AH1436" t="s">
        <v>44</v>
      </c>
    </row>
    <row r="1437" spans="1:34" x14ac:dyDescent="0.3">
      <c r="A1437">
        <v>101</v>
      </c>
      <c r="B1437" t="s">
        <v>34</v>
      </c>
      <c r="C1437">
        <v>2</v>
      </c>
      <c r="D1437" s="1" t="s">
        <v>4208</v>
      </c>
      <c r="E1437" s="1" t="s">
        <v>36</v>
      </c>
      <c r="G1437">
        <v>468019</v>
      </c>
      <c r="H1437" t="s">
        <v>4209</v>
      </c>
      <c r="I1437" t="s">
        <v>4009</v>
      </c>
      <c r="J1437">
        <v>12</v>
      </c>
      <c r="K1437">
        <v>8674</v>
      </c>
      <c r="L1437">
        <v>50033</v>
      </c>
      <c r="M1437" t="s">
        <v>39</v>
      </c>
      <c r="N1437">
        <v>243</v>
      </c>
      <c r="O1437" s="2">
        <v>46245</v>
      </c>
      <c r="P1437" s="2">
        <v>46275</v>
      </c>
      <c r="R1437" t="s">
        <v>4210</v>
      </c>
      <c r="S1437" t="str">
        <f>"0000050413252"</f>
        <v>0000050413252</v>
      </c>
      <c r="T1437" t="s">
        <v>41</v>
      </c>
      <c r="U1437">
        <v>1521.28</v>
      </c>
      <c r="V1437">
        <v>1460.43</v>
      </c>
      <c r="W1437">
        <v>1460.43</v>
      </c>
      <c r="X1437">
        <v>0</v>
      </c>
      <c r="Y1437">
        <v>0</v>
      </c>
      <c r="Z1437">
        <v>-500</v>
      </c>
      <c r="AA1437">
        <v>4298</v>
      </c>
      <c r="AD1437" t="s">
        <v>4211</v>
      </c>
      <c r="AE1437" t="s">
        <v>4212</v>
      </c>
      <c r="AF1437" t="s">
        <v>4211</v>
      </c>
      <c r="AG1437" s="1" t="s">
        <v>4213</v>
      </c>
      <c r="AH1437" t="s">
        <v>44</v>
      </c>
    </row>
    <row r="1438" spans="1:34" x14ac:dyDescent="0.3">
      <c r="A1438">
        <v>101</v>
      </c>
      <c r="B1438" t="s">
        <v>34</v>
      </c>
      <c r="C1438">
        <v>2</v>
      </c>
      <c r="D1438" s="1" t="s">
        <v>4214</v>
      </c>
      <c r="E1438" s="1" t="s">
        <v>36</v>
      </c>
      <c r="G1438">
        <v>468069</v>
      </c>
      <c r="H1438" t="s">
        <v>4215</v>
      </c>
      <c r="I1438" t="s">
        <v>4083</v>
      </c>
      <c r="J1438">
        <v>12</v>
      </c>
      <c r="K1438">
        <v>8218</v>
      </c>
      <c r="L1438">
        <v>50237</v>
      </c>
      <c r="M1438" t="s">
        <v>39</v>
      </c>
      <c r="N1438">
        <v>243</v>
      </c>
      <c r="O1438" s="2">
        <v>46245</v>
      </c>
      <c r="P1438" s="2">
        <v>46290</v>
      </c>
      <c r="R1438" t="s">
        <v>4216</v>
      </c>
      <c r="S1438" t="str">
        <f>"330000052089"</f>
        <v>330000052089</v>
      </c>
      <c r="T1438" t="s">
        <v>41</v>
      </c>
      <c r="U1438">
        <v>1886.18</v>
      </c>
      <c r="V1438">
        <v>1886.18</v>
      </c>
      <c r="W1438">
        <v>1886.18</v>
      </c>
      <c r="X1438">
        <v>0</v>
      </c>
      <c r="Y1438">
        <v>0</v>
      </c>
      <c r="Z1438">
        <v>-515</v>
      </c>
      <c r="AA1438">
        <v>4479</v>
      </c>
      <c r="AD1438" t="s">
        <v>4217</v>
      </c>
      <c r="AE1438" t="s">
        <v>4218</v>
      </c>
      <c r="AF1438" t="s">
        <v>4217</v>
      </c>
      <c r="AG1438">
        <v>72954308001400</v>
      </c>
      <c r="AH1438" t="s">
        <v>44</v>
      </c>
    </row>
    <row r="1439" spans="1:34" x14ac:dyDescent="0.3">
      <c r="A1439">
        <v>101</v>
      </c>
      <c r="B1439" t="s">
        <v>34</v>
      </c>
      <c r="C1439">
        <v>2</v>
      </c>
      <c r="D1439" s="1" t="s">
        <v>4219</v>
      </c>
      <c r="E1439" s="1" t="s">
        <v>36</v>
      </c>
      <c r="G1439">
        <v>468818</v>
      </c>
      <c r="H1439" t="s">
        <v>4220</v>
      </c>
      <c r="I1439" t="s">
        <v>4059</v>
      </c>
      <c r="J1439">
        <v>12</v>
      </c>
      <c r="K1439">
        <v>6136</v>
      </c>
      <c r="L1439">
        <v>50237</v>
      </c>
      <c r="M1439" t="s">
        <v>39</v>
      </c>
      <c r="N1439">
        <v>243</v>
      </c>
      <c r="O1439" s="2">
        <v>46254</v>
      </c>
      <c r="P1439" s="2">
        <v>46314</v>
      </c>
      <c r="R1439" t="s">
        <v>4221</v>
      </c>
      <c r="S1439" t="str">
        <f>"330000052399"</f>
        <v>330000052399</v>
      </c>
      <c r="T1439" t="s">
        <v>41</v>
      </c>
      <c r="U1439">
        <v>1947.54</v>
      </c>
      <c r="V1439">
        <v>1850.16</v>
      </c>
      <c r="W1439">
        <v>1850.16</v>
      </c>
      <c r="X1439">
        <v>0</v>
      </c>
      <c r="Y1439">
        <v>0</v>
      </c>
      <c r="Z1439">
        <v>-539</v>
      </c>
      <c r="AA1439">
        <v>4869</v>
      </c>
      <c r="AD1439" t="s">
        <v>3789</v>
      </c>
      <c r="AE1439" t="s">
        <v>4222</v>
      </c>
      <c r="AF1439" t="s">
        <v>3789</v>
      </c>
      <c r="AG1439" s="1" t="s">
        <v>4223</v>
      </c>
      <c r="AH1439" t="s">
        <v>44</v>
      </c>
    </row>
    <row r="1440" spans="1:34" x14ac:dyDescent="0.3">
      <c r="A1440">
        <v>101</v>
      </c>
      <c r="B1440" t="s">
        <v>34</v>
      </c>
      <c r="C1440">
        <v>2</v>
      </c>
      <c r="D1440" s="1" t="s">
        <v>4224</v>
      </c>
      <c r="E1440" s="1" t="s">
        <v>36</v>
      </c>
      <c r="G1440">
        <v>468818</v>
      </c>
      <c r="H1440" t="s">
        <v>4220</v>
      </c>
      <c r="I1440" t="s">
        <v>4059</v>
      </c>
      <c r="J1440">
        <v>12</v>
      </c>
      <c r="K1440">
        <v>6136</v>
      </c>
      <c r="L1440">
        <v>50237</v>
      </c>
      <c r="M1440" t="s">
        <v>39</v>
      </c>
      <c r="N1440">
        <v>243</v>
      </c>
      <c r="O1440" s="2">
        <v>46196</v>
      </c>
      <c r="P1440" s="2">
        <v>46256</v>
      </c>
      <c r="R1440" t="s">
        <v>4225</v>
      </c>
      <c r="S1440" t="str">
        <f>"330000050558"</f>
        <v>330000050558</v>
      </c>
      <c r="T1440" t="s">
        <v>41</v>
      </c>
      <c r="U1440">
        <v>7495.17</v>
      </c>
      <c r="V1440">
        <v>7120.41</v>
      </c>
      <c r="W1440">
        <v>7120.41</v>
      </c>
      <c r="X1440">
        <v>0</v>
      </c>
      <c r="Y1440">
        <v>0</v>
      </c>
      <c r="Z1440">
        <v>-481</v>
      </c>
      <c r="AA1440">
        <v>691847</v>
      </c>
      <c r="AD1440" t="s">
        <v>3789</v>
      </c>
      <c r="AE1440" t="s">
        <v>4222</v>
      </c>
      <c r="AF1440" t="s">
        <v>3789</v>
      </c>
      <c r="AG1440" s="1" t="s">
        <v>4223</v>
      </c>
      <c r="AH1440" t="s">
        <v>44</v>
      </c>
    </row>
    <row r="1441" spans="1:34" x14ac:dyDescent="0.3">
      <c r="A1441">
        <v>101</v>
      </c>
      <c r="B1441" t="s">
        <v>34</v>
      </c>
      <c r="C1441">
        <v>2</v>
      </c>
      <c r="D1441" s="1" t="s">
        <v>4226</v>
      </c>
      <c r="E1441" s="1" t="s">
        <v>36</v>
      </c>
      <c r="G1441">
        <v>469867</v>
      </c>
      <c r="H1441" t="s">
        <v>4227</v>
      </c>
      <c r="I1441" t="s">
        <v>4047</v>
      </c>
      <c r="J1441">
        <v>12</v>
      </c>
      <c r="K1441">
        <v>9047</v>
      </c>
      <c r="L1441">
        <v>50033</v>
      </c>
      <c r="M1441" t="s">
        <v>39</v>
      </c>
      <c r="N1441">
        <v>243</v>
      </c>
      <c r="O1441" s="2">
        <v>46254</v>
      </c>
      <c r="P1441" s="2">
        <v>46299</v>
      </c>
      <c r="R1441" t="s">
        <v>4228</v>
      </c>
      <c r="S1441" t="str">
        <f>"0000050414666"</f>
        <v>0000050414666</v>
      </c>
      <c r="T1441" t="s">
        <v>41</v>
      </c>
      <c r="U1441">
        <v>1292.73</v>
      </c>
      <c r="V1441">
        <v>1228.0899999999999</v>
      </c>
      <c r="W1441">
        <v>1228.0899999999999</v>
      </c>
      <c r="X1441">
        <v>0</v>
      </c>
      <c r="Y1441">
        <v>0</v>
      </c>
      <c r="Z1441">
        <v>-524</v>
      </c>
      <c r="AA1441">
        <v>4541</v>
      </c>
      <c r="AD1441" t="s">
        <v>4229</v>
      </c>
      <c r="AE1441" t="s">
        <v>4230</v>
      </c>
      <c r="AF1441" t="s">
        <v>4229</v>
      </c>
      <c r="AG1441">
        <v>53963443002945</v>
      </c>
      <c r="AH1441" t="s">
        <v>44</v>
      </c>
    </row>
    <row r="1442" spans="1:34" x14ac:dyDescent="0.3">
      <c r="A1442">
        <v>101</v>
      </c>
      <c r="B1442" t="s">
        <v>34</v>
      </c>
      <c r="C1442">
        <v>2</v>
      </c>
      <c r="D1442" s="1" t="s">
        <v>4231</v>
      </c>
      <c r="E1442" s="1" t="s">
        <v>36</v>
      </c>
      <c r="G1442">
        <v>469867</v>
      </c>
      <c r="H1442" t="s">
        <v>4227</v>
      </c>
      <c r="I1442" t="s">
        <v>4047</v>
      </c>
      <c r="J1442">
        <v>12</v>
      </c>
      <c r="K1442">
        <v>9047</v>
      </c>
      <c r="L1442">
        <v>50033</v>
      </c>
      <c r="M1442" t="s">
        <v>39</v>
      </c>
      <c r="N1442">
        <v>243</v>
      </c>
      <c r="O1442" s="2">
        <v>46254</v>
      </c>
      <c r="P1442" s="2">
        <v>46299</v>
      </c>
      <c r="R1442" t="s">
        <v>4232</v>
      </c>
      <c r="S1442" t="str">
        <f>"0000050414674"</f>
        <v>0000050414674</v>
      </c>
      <c r="T1442" t="s">
        <v>41</v>
      </c>
      <c r="U1442">
        <v>21100.85</v>
      </c>
      <c r="V1442">
        <v>20045.810000000001</v>
      </c>
      <c r="W1442">
        <v>20045.810000000001</v>
      </c>
      <c r="X1442">
        <v>0</v>
      </c>
      <c r="Y1442">
        <v>0</v>
      </c>
      <c r="Z1442">
        <v>-524</v>
      </c>
      <c r="AA1442">
        <v>4541</v>
      </c>
      <c r="AD1442" t="s">
        <v>4229</v>
      </c>
      <c r="AE1442" t="s">
        <v>4230</v>
      </c>
      <c r="AF1442" t="s">
        <v>4229</v>
      </c>
      <c r="AG1442">
        <v>53963443002945</v>
      </c>
      <c r="AH1442" t="s">
        <v>44</v>
      </c>
    </row>
    <row r="1443" spans="1:34" x14ac:dyDescent="0.3">
      <c r="A1443">
        <v>101</v>
      </c>
      <c r="B1443" t="s">
        <v>34</v>
      </c>
      <c r="C1443">
        <v>2</v>
      </c>
      <c r="D1443" s="1" t="s">
        <v>4233</v>
      </c>
      <c r="E1443" s="1" t="s">
        <v>36</v>
      </c>
      <c r="G1443">
        <v>470899</v>
      </c>
      <c r="H1443" t="s">
        <v>4234</v>
      </c>
      <c r="I1443" t="s">
        <v>4059</v>
      </c>
      <c r="J1443">
        <v>12</v>
      </c>
      <c r="K1443">
        <v>6136</v>
      </c>
      <c r="L1443">
        <v>50001</v>
      </c>
      <c r="M1443" t="s">
        <v>39</v>
      </c>
      <c r="N1443">
        <v>243</v>
      </c>
      <c r="O1443" s="2">
        <v>46196</v>
      </c>
      <c r="P1443" s="2">
        <v>46256</v>
      </c>
      <c r="R1443" t="s">
        <v>4235</v>
      </c>
      <c r="S1443" t="str">
        <f>"25666160000051203"</f>
        <v>25666160000051203</v>
      </c>
      <c r="T1443" t="s">
        <v>41</v>
      </c>
      <c r="U1443">
        <v>7860.65</v>
      </c>
      <c r="V1443">
        <v>7074.59</v>
      </c>
      <c r="W1443">
        <v>7074.59</v>
      </c>
      <c r="X1443">
        <v>0</v>
      </c>
      <c r="Y1443">
        <v>0</v>
      </c>
      <c r="Z1443">
        <v>-481</v>
      </c>
      <c r="AA1443">
        <v>691950</v>
      </c>
      <c r="AD1443" t="s">
        <v>4236</v>
      </c>
      <c r="AE1443" t="s">
        <v>4191</v>
      </c>
      <c r="AF1443" t="s">
        <v>4236</v>
      </c>
      <c r="AG1443" s="1" t="s">
        <v>4237</v>
      </c>
      <c r="AH1443" t="s">
        <v>44</v>
      </c>
    </row>
    <row r="1444" spans="1:34" x14ac:dyDescent="0.3">
      <c r="A1444">
        <v>101</v>
      </c>
      <c r="B1444" t="s">
        <v>34</v>
      </c>
      <c r="C1444">
        <v>2</v>
      </c>
      <c r="D1444" s="1" t="s">
        <v>4238</v>
      </c>
      <c r="E1444" s="1" t="s">
        <v>36</v>
      </c>
      <c r="G1444">
        <v>999000189</v>
      </c>
      <c r="H1444" t="s">
        <v>4239</v>
      </c>
      <c r="I1444" t="s">
        <v>4240</v>
      </c>
      <c r="J1444">
        <v>12</v>
      </c>
      <c r="K1444">
        <v>8218</v>
      </c>
      <c r="L1444">
        <v>50237</v>
      </c>
      <c r="M1444" t="s">
        <v>39</v>
      </c>
      <c r="N1444">
        <v>243</v>
      </c>
      <c r="O1444" s="2">
        <v>46246</v>
      </c>
      <c r="P1444" s="2">
        <v>46291</v>
      </c>
      <c r="R1444" t="s">
        <v>4241</v>
      </c>
      <c r="S1444" t="str">
        <f>"330000052194"</f>
        <v>330000052194</v>
      </c>
      <c r="T1444" t="s">
        <v>41</v>
      </c>
      <c r="U1444">
        <v>3008.75</v>
      </c>
      <c r="V1444">
        <v>2408.75</v>
      </c>
      <c r="W1444">
        <v>2408.75</v>
      </c>
      <c r="X1444">
        <v>0</v>
      </c>
      <c r="Y1444">
        <v>0</v>
      </c>
      <c r="Z1444">
        <v>-516</v>
      </c>
      <c r="AA1444">
        <v>4471</v>
      </c>
      <c r="AD1444" t="s">
        <v>3896</v>
      </c>
      <c r="AE1444" t="s">
        <v>4242</v>
      </c>
      <c r="AF1444" t="s">
        <v>3896</v>
      </c>
      <c r="AG1444">
        <v>72954308000500</v>
      </c>
      <c r="AH1444" t="s">
        <v>44</v>
      </c>
    </row>
    <row r="1445" spans="1:34" x14ac:dyDescent="0.3">
      <c r="A1445">
        <v>101</v>
      </c>
      <c r="B1445" t="s">
        <v>34</v>
      </c>
      <c r="C1445">
        <v>2</v>
      </c>
      <c r="D1445" s="1" t="s">
        <v>4243</v>
      </c>
      <c r="E1445" s="1" t="s">
        <v>36</v>
      </c>
      <c r="G1445">
        <v>999000464</v>
      </c>
      <c r="H1445" t="s">
        <v>4244</v>
      </c>
      <c r="I1445" t="s">
        <v>4245</v>
      </c>
      <c r="J1445">
        <v>15</v>
      </c>
      <c r="K1445">
        <v>3168</v>
      </c>
      <c r="L1445">
        <v>50001</v>
      </c>
      <c r="M1445" t="s">
        <v>39</v>
      </c>
      <c r="N1445">
        <v>243</v>
      </c>
      <c r="O1445" s="2">
        <v>46235</v>
      </c>
      <c r="P1445" s="2">
        <v>46280</v>
      </c>
      <c r="R1445" t="s">
        <v>4246</v>
      </c>
      <c r="S1445" t="str">
        <f>"25666160000051773"</f>
        <v>25666160000051773</v>
      </c>
      <c r="T1445" t="s">
        <v>41</v>
      </c>
      <c r="U1445">
        <v>7758.62</v>
      </c>
      <c r="V1445">
        <v>7758.62</v>
      </c>
      <c r="W1445">
        <v>7758.62</v>
      </c>
      <c r="X1445">
        <v>0</v>
      </c>
      <c r="Y1445">
        <v>0</v>
      </c>
      <c r="Z1445">
        <v>-505</v>
      </c>
      <c r="AA1445">
        <v>1976</v>
      </c>
      <c r="AD1445" t="s">
        <v>3830</v>
      </c>
      <c r="AE1445" t="s">
        <v>4247</v>
      </c>
      <c r="AF1445" t="s">
        <v>3830</v>
      </c>
      <c r="AG1445">
        <v>52437126000393</v>
      </c>
      <c r="AH1445" t="s">
        <v>44</v>
      </c>
    </row>
    <row r="1446" spans="1:34" x14ac:dyDescent="0.3">
      <c r="A1446">
        <v>101</v>
      </c>
      <c r="B1446" t="s">
        <v>34</v>
      </c>
      <c r="C1446">
        <v>2</v>
      </c>
      <c r="D1446" s="1" t="s">
        <v>4248</v>
      </c>
      <c r="E1446" s="1" t="s">
        <v>36</v>
      </c>
      <c r="G1446">
        <v>999000464</v>
      </c>
      <c r="H1446" t="s">
        <v>4244</v>
      </c>
      <c r="I1446" t="s">
        <v>4245</v>
      </c>
      <c r="J1446">
        <v>15</v>
      </c>
      <c r="K1446">
        <v>3168</v>
      </c>
      <c r="L1446">
        <v>50001</v>
      </c>
      <c r="M1446" t="s">
        <v>39</v>
      </c>
      <c r="N1446">
        <v>243</v>
      </c>
      <c r="O1446" s="2">
        <v>46223</v>
      </c>
      <c r="P1446" s="2">
        <v>46268</v>
      </c>
      <c r="R1446" t="s">
        <v>4249</v>
      </c>
      <c r="S1446" t="str">
        <f>"25666160000051592"</f>
        <v>25666160000051592</v>
      </c>
      <c r="T1446" t="s">
        <v>41</v>
      </c>
      <c r="U1446">
        <v>1667.64</v>
      </c>
      <c r="V1446">
        <v>1667.64</v>
      </c>
      <c r="W1446">
        <v>1667.64</v>
      </c>
      <c r="X1446">
        <v>0</v>
      </c>
      <c r="Y1446">
        <v>0</v>
      </c>
      <c r="Z1446">
        <v>-493</v>
      </c>
      <c r="AA1446">
        <v>1291</v>
      </c>
      <c r="AD1446" t="s">
        <v>3830</v>
      </c>
      <c r="AE1446" t="s">
        <v>4247</v>
      </c>
      <c r="AF1446" t="s">
        <v>3830</v>
      </c>
      <c r="AG1446">
        <v>52437126000393</v>
      </c>
      <c r="AH1446" t="s">
        <v>44</v>
      </c>
    </row>
    <row r="1447" spans="1:34" x14ac:dyDescent="0.3">
      <c r="A1447">
        <v>101</v>
      </c>
      <c r="B1447" t="s">
        <v>34</v>
      </c>
      <c r="C1447">
        <v>2</v>
      </c>
      <c r="D1447" s="1" t="s">
        <v>4250</v>
      </c>
      <c r="E1447" s="1" t="s">
        <v>36</v>
      </c>
      <c r="G1447">
        <v>999000464</v>
      </c>
      <c r="H1447" t="s">
        <v>4244</v>
      </c>
      <c r="I1447" t="s">
        <v>4245</v>
      </c>
      <c r="J1447">
        <v>15</v>
      </c>
      <c r="K1447">
        <v>3168</v>
      </c>
      <c r="L1447">
        <v>50001</v>
      </c>
      <c r="M1447" t="s">
        <v>39</v>
      </c>
      <c r="N1447">
        <v>243</v>
      </c>
      <c r="O1447" s="2">
        <v>46235</v>
      </c>
      <c r="P1447" s="2">
        <v>46280</v>
      </c>
      <c r="R1447" t="s">
        <v>4251</v>
      </c>
      <c r="S1447" t="str">
        <f>"25666160000051772"</f>
        <v>25666160000051772</v>
      </c>
      <c r="T1447" t="s">
        <v>41</v>
      </c>
      <c r="U1447">
        <v>178.16</v>
      </c>
      <c r="V1447">
        <v>178.16</v>
      </c>
      <c r="W1447">
        <v>178.16</v>
      </c>
      <c r="X1447">
        <v>0</v>
      </c>
      <c r="Y1447">
        <v>0</v>
      </c>
      <c r="Z1447">
        <v>-505</v>
      </c>
      <c r="AA1447">
        <v>1291</v>
      </c>
      <c r="AD1447" t="s">
        <v>3830</v>
      </c>
      <c r="AE1447" t="s">
        <v>4247</v>
      </c>
      <c r="AF1447" t="s">
        <v>3830</v>
      </c>
      <c r="AG1447">
        <v>52437126000393</v>
      </c>
      <c r="AH1447" t="s">
        <v>44</v>
      </c>
    </row>
    <row r="1448" spans="1:34" x14ac:dyDescent="0.3">
      <c r="A1448">
        <v>101</v>
      </c>
      <c r="B1448" t="s">
        <v>34</v>
      </c>
      <c r="C1448">
        <v>2</v>
      </c>
      <c r="D1448" s="1" t="s">
        <v>4252</v>
      </c>
      <c r="E1448" s="1" t="s">
        <v>36</v>
      </c>
      <c r="G1448">
        <v>999000822</v>
      </c>
      <c r="H1448" t="s">
        <v>4253</v>
      </c>
      <c r="I1448" t="s">
        <v>4059</v>
      </c>
      <c r="J1448">
        <v>12</v>
      </c>
      <c r="K1448">
        <v>6136</v>
      </c>
      <c r="L1448">
        <v>50001</v>
      </c>
      <c r="M1448" t="s">
        <v>39</v>
      </c>
      <c r="N1448">
        <v>243</v>
      </c>
      <c r="O1448" s="2">
        <v>46254</v>
      </c>
      <c r="P1448" s="2">
        <v>46314</v>
      </c>
      <c r="R1448" t="s">
        <v>4254</v>
      </c>
      <c r="S1448" t="str">
        <f>"25666160000051991"</f>
        <v>25666160000051991</v>
      </c>
      <c r="T1448" t="s">
        <v>41</v>
      </c>
      <c r="U1448">
        <v>3334.92</v>
      </c>
      <c r="V1448">
        <v>3168.17</v>
      </c>
      <c r="W1448">
        <v>3168.17</v>
      </c>
      <c r="X1448">
        <v>0</v>
      </c>
      <c r="Y1448">
        <v>0</v>
      </c>
      <c r="Z1448">
        <v>-539</v>
      </c>
      <c r="AA1448">
        <v>4854</v>
      </c>
      <c r="AD1448" t="s">
        <v>4070</v>
      </c>
      <c r="AE1448" t="s">
        <v>3913</v>
      </c>
      <c r="AF1448" t="s">
        <v>3789</v>
      </c>
      <c r="AG1448" s="1" t="s">
        <v>4255</v>
      </c>
      <c r="AH1448" t="s">
        <v>44</v>
      </c>
    </row>
    <row r="1449" spans="1:34" x14ac:dyDescent="0.3">
      <c r="A1449">
        <v>101</v>
      </c>
      <c r="B1449" t="s">
        <v>34</v>
      </c>
      <c r="C1449">
        <v>2</v>
      </c>
      <c r="D1449" s="1" t="s">
        <v>4256</v>
      </c>
      <c r="E1449" s="1" t="s">
        <v>36</v>
      </c>
      <c r="G1449">
        <v>999001114</v>
      </c>
      <c r="H1449" t="s">
        <v>4257</v>
      </c>
      <c r="I1449" t="s">
        <v>4047</v>
      </c>
      <c r="J1449">
        <v>15</v>
      </c>
      <c r="K1449">
        <v>9047</v>
      </c>
      <c r="L1449">
        <v>50001</v>
      </c>
      <c r="M1449" t="s">
        <v>39</v>
      </c>
      <c r="N1449">
        <v>243</v>
      </c>
      <c r="O1449" s="2">
        <v>46246</v>
      </c>
      <c r="P1449" s="2">
        <v>46291</v>
      </c>
      <c r="R1449" t="s">
        <v>4258</v>
      </c>
      <c r="S1449" t="str">
        <f>"25666160000051871"</f>
        <v>25666160000051871</v>
      </c>
      <c r="T1449" t="s">
        <v>41</v>
      </c>
      <c r="U1449">
        <v>4908.92</v>
      </c>
      <c r="V1449">
        <v>4663.47</v>
      </c>
      <c r="W1449">
        <v>4663.47</v>
      </c>
      <c r="X1449">
        <v>0</v>
      </c>
      <c r="Y1449">
        <v>0</v>
      </c>
      <c r="Z1449">
        <v>-516</v>
      </c>
      <c r="AA1449">
        <v>4513</v>
      </c>
      <c r="AD1449" t="s">
        <v>3275</v>
      </c>
      <c r="AE1449" t="s">
        <v>4259</v>
      </c>
      <c r="AF1449" t="s">
        <v>3275</v>
      </c>
      <c r="AG1449">
        <v>53963443001540</v>
      </c>
      <c r="AH1449" t="s">
        <v>44</v>
      </c>
    </row>
    <row r="1450" spans="1:34" x14ac:dyDescent="0.3">
      <c r="A1450">
        <v>101</v>
      </c>
      <c r="B1450" t="s">
        <v>34</v>
      </c>
      <c r="C1450">
        <v>2</v>
      </c>
      <c r="D1450" s="1" t="s">
        <v>4260</v>
      </c>
      <c r="E1450" s="1" t="s">
        <v>36</v>
      </c>
      <c r="G1450">
        <v>999001350</v>
      </c>
      <c r="H1450" t="s">
        <v>4261</v>
      </c>
      <c r="I1450" t="s">
        <v>4083</v>
      </c>
      <c r="J1450">
        <v>12</v>
      </c>
      <c r="K1450">
        <v>8218</v>
      </c>
      <c r="L1450">
        <v>50237</v>
      </c>
      <c r="M1450" t="s">
        <v>39</v>
      </c>
      <c r="N1450">
        <v>243</v>
      </c>
      <c r="O1450" s="2">
        <v>46245</v>
      </c>
      <c r="P1450" s="2">
        <v>46290</v>
      </c>
      <c r="R1450" t="s">
        <v>4262</v>
      </c>
      <c r="S1450" t="str">
        <f>"330000052097"</f>
        <v>330000052097</v>
      </c>
      <c r="T1450" t="s">
        <v>41</v>
      </c>
      <c r="U1450">
        <v>1753.74</v>
      </c>
      <c r="V1450">
        <v>1753.74</v>
      </c>
      <c r="W1450">
        <v>1753.74</v>
      </c>
      <c r="X1450">
        <v>0</v>
      </c>
      <c r="Y1450">
        <v>0</v>
      </c>
      <c r="Z1450">
        <v>-515</v>
      </c>
      <c r="AA1450">
        <v>4475</v>
      </c>
      <c r="AD1450" t="s">
        <v>3275</v>
      </c>
      <c r="AE1450" t="s">
        <v>4263</v>
      </c>
      <c r="AF1450" t="s">
        <v>3896</v>
      </c>
      <c r="AG1450">
        <v>72954308000691</v>
      </c>
      <c r="AH1450" t="s">
        <v>44</v>
      </c>
    </row>
    <row r="1451" spans="1:34" x14ac:dyDescent="0.3">
      <c r="A1451">
        <v>101</v>
      </c>
      <c r="B1451" t="s">
        <v>34</v>
      </c>
      <c r="C1451">
        <v>2</v>
      </c>
      <c r="D1451" s="1" t="s">
        <v>4264</v>
      </c>
      <c r="E1451" s="1" t="s">
        <v>36</v>
      </c>
      <c r="G1451">
        <v>999002140</v>
      </c>
      <c r="H1451" t="s">
        <v>4265</v>
      </c>
      <c r="I1451" t="s">
        <v>4059</v>
      </c>
      <c r="J1451">
        <v>12</v>
      </c>
      <c r="K1451">
        <v>6136</v>
      </c>
      <c r="L1451">
        <v>50001</v>
      </c>
      <c r="M1451" t="s">
        <v>39</v>
      </c>
      <c r="N1451">
        <v>243</v>
      </c>
      <c r="O1451" s="2">
        <v>46254</v>
      </c>
      <c r="P1451" s="2">
        <v>46314</v>
      </c>
      <c r="R1451" t="s">
        <v>4266</v>
      </c>
      <c r="S1451" t="str">
        <f>"25666160000051992"</f>
        <v>25666160000051992</v>
      </c>
      <c r="T1451" t="s">
        <v>41</v>
      </c>
      <c r="U1451">
        <v>2986.13</v>
      </c>
      <c r="V1451">
        <v>2836.82</v>
      </c>
      <c r="W1451">
        <v>2836.82</v>
      </c>
      <c r="X1451">
        <v>0</v>
      </c>
      <c r="Y1451">
        <v>0</v>
      </c>
      <c r="Z1451">
        <v>-539</v>
      </c>
      <c r="AA1451">
        <v>4849</v>
      </c>
      <c r="AD1451" t="s">
        <v>4061</v>
      </c>
      <c r="AE1451" t="s">
        <v>4267</v>
      </c>
      <c r="AF1451" t="s">
        <v>3789</v>
      </c>
      <c r="AG1451" s="1" t="s">
        <v>4268</v>
      </c>
      <c r="AH1451" t="s">
        <v>44</v>
      </c>
    </row>
    <row r="1452" spans="1:34" x14ac:dyDescent="0.3">
      <c r="A1452">
        <v>101</v>
      </c>
      <c r="B1452" t="s">
        <v>34</v>
      </c>
      <c r="C1452">
        <v>2</v>
      </c>
      <c r="D1452" s="1" t="s">
        <v>4269</v>
      </c>
      <c r="E1452" s="1" t="s">
        <v>36</v>
      </c>
      <c r="G1452">
        <v>999002218</v>
      </c>
      <c r="H1452" t="s">
        <v>4270</v>
      </c>
      <c r="I1452" t="s">
        <v>4059</v>
      </c>
      <c r="J1452">
        <v>12</v>
      </c>
      <c r="K1452">
        <v>6136</v>
      </c>
      <c r="L1452">
        <v>50001</v>
      </c>
      <c r="M1452" t="s">
        <v>39</v>
      </c>
      <c r="N1452">
        <v>243</v>
      </c>
      <c r="O1452" s="2">
        <v>46254</v>
      </c>
      <c r="P1452" s="2">
        <v>46314</v>
      </c>
      <c r="R1452" t="s">
        <v>4271</v>
      </c>
      <c r="S1452" t="str">
        <f>"25666160000051993"</f>
        <v>25666160000051993</v>
      </c>
      <c r="T1452" t="s">
        <v>41</v>
      </c>
      <c r="U1452">
        <v>4489.3100000000004</v>
      </c>
      <c r="V1452">
        <v>2264.84</v>
      </c>
      <c r="W1452">
        <v>2264.84</v>
      </c>
      <c r="X1452">
        <v>0</v>
      </c>
      <c r="Y1452">
        <v>0</v>
      </c>
      <c r="Z1452">
        <v>-539</v>
      </c>
      <c r="AA1452">
        <v>4851</v>
      </c>
      <c r="AD1452" t="s">
        <v>4061</v>
      </c>
      <c r="AE1452" t="s">
        <v>4096</v>
      </c>
      <c r="AF1452" t="s">
        <v>3789</v>
      </c>
      <c r="AG1452" s="1" t="s">
        <v>4272</v>
      </c>
      <c r="AH1452" t="s">
        <v>44</v>
      </c>
    </row>
    <row r="1453" spans="1:34" x14ac:dyDescent="0.3">
      <c r="A1453">
        <v>101</v>
      </c>
      <c r="B1453" t="s">
        <v>34</v>
      </c>
      <c r="C1453">
        <v>2</v>
      </c>
      <c r="D1453" s="1" t="s">
        <v>4273</v>
      </c>
      <c r="E1453" s="1" t="s">
        <v>36</v>
      </c>
      <c r="G1453">
        <v>999002219</v>
      </c>
      <c r="H1453" t="s">
        <v>4274</v>
      </c>
      <c r="I1453" t="s">
        <v>4059</v>
      </c>
      <c r="J1453">
        <v>12</v>
      </c>
      <c r="K1453">
        <v>6136</v>
      </c>
      <c r="L1453">
        <v>50001</v>
      </c>
      <c r="M1453" t="s">
        <v>39</v>
      </c>
      <c r="N1453">
        <v>243</v>
      </c>
      <c r="O1453" s="2">
        <v>46254</v>
      </c>
      <c r="P1453" s="2">
        <v>46314</v>
      </c>
      <c r="R1453" t="s">
        <v>4275</v>
      </c>
      <c r="S1453" t="str">
        <f>"25666160000051981"</f>
        <v>25666160000051981</v>
      </c>
      <c r="T1453" t="s">
        <v>41</v>
      </c>
      <c r="U1453">
        <v>2431.9699999999998</v>
      </c>
      <c r="V1453">
        <v>2310.37</v>
      </c>
      <c r="W1453">
        <v>2310.37</v>
      </c>
      <c r="X1453">
        <v>0</v>
      </c>
      <c r="Y1453">
        <v>0</v>
      </c>
      <c r="Z1453">
        <v>-539</v>
      </c>
      <c r="AA1453">
        <v>4856</v>
      </c>
      <c r="AD1453" t="s">
        <v>4276</v>
      </c>
      <c r="AE1453" t="s">
        <v>4277</v>
      </c>
      <c r="AF1453" t="s">
        <v>3789</v>
      </c>
      <c r="AG1453" s="1" t="s">
        <v>4278</v>
      </c>
      <c r="AH1453" t="s">
        <v>44</v>
      </c>
    </row>
    <row r="1454" spans="1:34" x14ac:dyDescent="0.3">
      <c r="A1454">
        <v>101</v>
      </c>
      <c r="B1454" t="s">
        <v>34</v>
      </c>
      <c r="C1454">
        <v>2</v>
      </c>
      <c r="D1454" s="1" t="s">
        <v>4279</v>
      </c>
      <c r="E1454" s="1" t="s">
        <v>36</v>
      </c>
      <c r="G1454">
        <v>999002275</v>
      </c>
      <c r="H1454" t="s">
        <v>4280</v>
      </c>
      <c r="I1454" t="s">
        <v>4047</v>
      </c>
      <c r="J1454">
        <v>15</v>
      </c>
      <c r="K1454">
        <v>9047</v>
      </c>
      <c r="L1454">
        <v>50033</v>
      </c>
      <c r="M1454" t="s">
        <v>39</v>
      </c>
      <c r="N1454">
        <v>243</v>
      </c>
      <c r="O1454" s="2">
        <v>46246</v>
      </c>
      <c r="P1454" s="2">
        <v>46291</v>
      </c>
      <c r="R1454" t="s">
        <v>4281</v>
      </c>
      <c r="S1454" t="str">
        <f>"0000050413392"</f>
        <v>0000050413392</v>
      </c>
      <c r="T1454" t="s">
        <v>41</v>
      </c>
      <c r="U1454">
        <v>12301.94</v>
      </c>
      <c r="V1454">
        <v>11686.84</v>
      </c>
      <c r="W1454">
        <v>11686.84</v>
      </c>
      <c r="X1454">
        <v>0</v>
      </c>
      <c r="Y1454">
        <v>0</v>
      </c>
      <c r="Z1454">
        <v>-516</v>
      </c>
      <c r="AA1454">
        <v>4515</v>
      </c>
      <c r="AD1454" t="s">
        <v>3896</v>
      </c>
      <c r="AE1454" t="s">
        <v>4282</v>
      </c>
      <c r="AF1454" t="s">
        <v>3896</v>
      </c>
      <c r="AG1454">
        <v>53963443001620</v>
      </c>
      <c r="AH1454" t="s">
        <v>44</v>
      </c>
    </row>
    <row r="1455" spans="1:34" x14ac:dyDescent="0.3">
      <c r="A1455">
        <v>101</v>
      </c>
      <c r="B1455" t="s">
        <v>34</v>
      </c>
      <c r="C1455">
        <v>2</v>
      </c>
      <c r="D1455" s="1" t="s">
        <v>4283</v>
      </c>
      <c r="E1455" s="1" t="s">
        <v>36</v>
      </c>
      <c r="G1455">
        <v>999002275</v>
      </c>
      <c r="H1455" t="s">
        <v>4280</v>
      </c>
      <c r="I1455" t="s">
        <v>4047</v>
      </c>
      <c r="J1455">
        <v>15</v>
      </c>
      <c r="K1455">
        <v>9047</v>
      </c>
      <c r="L1455">
        <v>50033</v>
      </c>
      <c r="M1455" t="s">
        <v>39</v>
      </c>
      <c r="N1455">
        <v>243</v>
      </c>
      <c r="O1455" s="2">
        <v>46203</v>
      </c>
      <c r="P1455" s="2">
        <v>46256</v>
      </c>
      <c r="R1455" t="s">
        <v>4284</v>
      </c>
      <c r="S1455" t="str">
        <f>"0000050407937"</f>
        <v>0000050407937</v>
      </c>
      <c r="T1455" t="s">
        <v>41</v>
      </c>
      <c r="U1455">
        <v>4744.04</v>
      </c>
      <c r="V1455">
        <v>4506.84</v>
      </c>
      <c r="W1455">
        <v>4506.84</v>
      </c>
      <c r="X1455">
        <v>0</v>
      </c>
      <c r="Y1455">
        <v>0</v>
      </c>
      <c r="Z1455">
        <v>-481</v>
      </c>
      <c r="AA1455">
        <v>693163</v>
      </c>
      <c r="AD1455" t="s">
        <v>3896</v>
      </c>
      <c r="AE1455" t="s">
        <v>4282</v>
      </c>
      <c r="AF1455" t="s">
        <v>3896</v>
      </c>
      <c r="AG1455">
        <v>53963443001620</v>
      </c>
      <c r="AH1455" t="s">
        <v>44</v>
      </c>
    </row>
    <row r="1456" spans="1:34" x14ac:dyDescent="0.3">
      <c r="A1456">
        <v>101</v>
      </c>
      <c r="B1456" t="s">
        <v>34</v>
      </c>
      <c r="C1456">
        <v>2</v>
      </c>
      <c r="D1456" s="1" t="s">
        <v>4285</v>
      </c>
      <c r="E1456" s="1" t="s">
        <v>36</v>
      </c>
      <c r="G1456">
        <v>999002347</v>
      </c>
      <c r="H1456" t="s">
        <v>4286</v>
      </c>
      <c r="I1456" t="s">
        <v>4083</v>
      </c>
      <c r="J1456">
        <v>12</v>
      </c>
      <c r="K1456">
        <v>8218</v>
      </c>
      <c r="L1456">
        <v>50237</v>
      </c>
      <c r="M1456" t="s">
        <v>39</v>
      </c>
      <c r="N1456">
        <v>243</v>
      </c>
      <c r="O1456" s="2">
        <v>46246</v>
      </c>
      <c r="P1456" s="2">
        <v>46291</v>
      </c>
      <c r="R1456" t="s">
        <v>4287</v>
      </c>
      <c r="S1456" t="str">
        <f>"330000052208"</f>
        <v>330000052208</v>
      </c>
      <c r="T1456" t="s">
        <v>41</v>
      </c>
      <c r="U1456">
        <v>2025.31</v>
      </c>
      <c r="V1456">
        <v>2025.31</v>
      </c>
      <c r="W1456">
        <v>2025.31</v>
      </c>
      <c r="X1456">
        <v>0</v>
      </c>
      <c r="Y1456">
        <v>0</v>
      </c>
      <c r="Z1456">
        <v>-516</v>
      </c>
      <c r="AA1456">
        <v>4476</v>
      </c>
      <c r="AD1456" t="s">
        <v>3275</v>
      </c>
      <c r="AE1456" t="s">
        <v>4288</v>
      </c>
      <c r="AF1456" t="s">
        <v>3896</v>
      </c>
      <c r="AG1456">
        <v>72954308000853</v>
      </c>
      <c r="AH1456" t="s">
        <v>44</v>
      </c>
    </row>
    <row r="1457" spans="1:34" x14ac:dyDescent="0.3">
      <c r="A1457">
        <v>104</v>
      </c>
      <c r="B1457" t="s">
        <v>34</v>
      </c>
      <c r="C1457">
        <v>4</v>
      </c>
      <c r="D1457" s="1" t="s">
        <v>4289</v>
      </c>
      <c r="E1457" s="1" t="s">
        <v>36</v>
      </c>
      <c r="G1457">
        <v>438440</v>
      </c>
      <c r="H1457" t="s">
        <v>4290</v>
      </c>
      <c r="I1457" t="s">
        <v>4291</v>
      </c>
      <c r="J1457">
        <v>15</v>
      </c>
      <c r="K1457">
        <v>999002492</v>
      </c>
      <c r="L1457">
        <v>50033</v>
      </c>
      <c r="M1457" t="s">
        <v>39</v>
      </c>
      <c r="N1457">
        <v>249</v>
      </c>
      <c r="O1457" s="2">
        <v>46234</v>
      </c>
      <c r="P1457" s="2">
        <v>46294</v>
      </c>
      <c r="R1457" t="s">
        <v>4292</v>
      </c>
      <c r="S1457" t="str">
        <f>"0000050412248"</f>
        <v>0000050412248</v>
      </c>
      <c r="T1457" t="s">
        <v>41</v>
      </c>
      <c r="U1457">
        <v>76272.88</v>
      </c>
      <c r="V1457">
        <v>68645.59</v>
      </c>
      <c r="W1457">
        <v>68645.59</v>
      </c>
      <c r="X1457">
        <v>0</v>
      </c>
      <c r="Y1457">
        <v>0</v>
      </c>
      <c r="Z1457">
        <v>-519</v>
      </c>
      <c r="AA1457" t="s">
        <v>4293</v>
      </c>
      <c r="AD1457" t="s">
        <v>3518</v>
      </c>
      <c r="AE1457" t="s">
        <v>4294</v>
      </c>
      <c r="AF1457" t="s">
        <v>3518</v>
      </c>
      <c r="AG1457" s="1" t="s">
        <v>4295</v>
      </c>
      <c r="AH1457" t="s">
        <v>3520</v>
      </c>
    </row>
    <row r="1458" spans="1:34" x14ac:dyDescent="0.3">
      <c r="A1458">
        <v>106</v>
      </c>
      <c r="B1458" t="s">
        <v>34</v>
      </c>
      <c r="C1458">
        <v>2</v>
      </c>
      <c r="D1458" s="1" t="s">
        <v>4296</v>
      </c>
      <c r="E1458" s="1" t="s">
        <v>36</v>
      </c>
      <c r="G1458">
        <v>438440</v>
      </c>
      <c r="H1458" t="s">
        <v>4290</v>
      </c>
      <c r="I1458" t="s">
        <v>4291</v>
      </c>
      <c r="J1458">
        <v>15</v>
      </c>
      <c r="K1458">
        <v>999002492</v>
      </c>
      <c r="L1458">
        <v>50033</v>
      </c>
      <c r="M1458" t="s">
        <v>39</v>
      </c>
      <c r="N1458">
        <v>249</v>
      </c>
      <c r="O1458" s="2">
        <v>46234</v>
      </c>
      <c r="P1458" s="2">
        <v>46294</v>
      </c>
      <c r="R1458" t="s">
        <v>4297</v>
      </c>
      <c r="S1458" t="str">
        <f>"0000050412299"</f>
        <v>0000050412299</v>
      </c>
      <c r="T1458" t="s">
        <v>41</v>
      </c>
      <c r="U1458">
        <v>23407.84</v>
      </c>
      <c r="V1458">
        <v>21067.06</v>
      </c>
      <c r="W1458">
        <v>21067.06</v>
      </c>
      <c r="X1458">
        <v>0</v>
      </c>
      <c r="Y1458">
        <v>0</v>
      </c>
      <c r="Z1458">
        <v>-519</v>
      </c>
      <c r="AA1458" t="s">
        <v>4298</v>
      </c>
      <c r="AD1458" t="s">
        <v>3518</v>
      </c>
      <c r="AE1458" t="s">
        <v>4294</v>
      </c>
      <c r="AF1458" t="s">
        <v>3518</v>
      </c>
      <c r="AG1458" s="1" t="s">
        <v>4295</v>
      </c>
      <c r="AH1458" t="s">
        <v>3520</v>
      </c>
    </row>
    <row r="1459" spans="1:34" x14ac:dyDescent="0.3">
      <c r="A1459">
        <v>104</v>
      </c>
      <c r="B1459" t="s">
        <v>34</v>
      </c>
      <c r="C1459">
        <v>4</v>
      </c>
      <c r="D1459" s="1" t="s">
        <v>4299</v>
      </c>
      <c r="E1459" s="1" t="s">
        <v>36</v>
      </c>
      <c r="G1459">
        <v>465644</v>
      </c>
      <c r="H1459" t="s">
        <v>4300</v>
      </c>
      <c r="I1459" t="s">
        <v>4301</v>
      </c>
      <c r="J1459">
        <v>22</v>
      </c>
      <c r="K1459">
        <v>465644</v>
      </c>
      <c r="L1459">
        <v>50001</v>
      </c>
      <c r="M1459" t="s">
        <v>39</v>
      </c>
      <c r="N1459">
        <v>249</v>
      </c>
      <c r="O1459" s="2">
        <v>46234</v>
      </c>
      <c r="P1459" s="2">
        <v>46294</v>
      </c>
      <c r="R1459" t="s">
        <v>4302</v>
      </c>
      <c r="S1459" t="str">
        <f>"25666160000051792"</f>
        <v>25666160000051792</v>
      </c>
      <c r="T1459" t="s">
        <v>41</v>
      </c>
      <c r="U1459">
        <v>44177.06</v>
      </c>
      <c r="V1459">
        <v>41968.21</v>
      </c>
      <c r="W1459">
        <v>41968.21</v>
      </c>
      <c r="X1459">
        <v>0</v>
      </c>
      <c r="Y1459">
        <v>0</v>
      </c>
      <c r="Z1459">
        <v>-519</v>
      </c>
      <c r="AA1459">
        <v>4169</v>
      </c>
      <c r="AD1459" t="s">
        <v>3518</v>
      </c>
      <c r="AE1459" t="s">
        <v>4303</v>
      </c>
      <c r="AF1459" t="s">
        <v>3518</v>
      </c>
      <c r="AG1459" s="1" t="s">
        <v>4304</v>
      </c>
      <c r="AH1459" t="s">
        <v>3520</v>
      </c>
    </row>
    <row r="1460" spans="1:34" x14ac:dyDescent="0.3">
      <c r="A1460">
        <v>104</v>
      </c>
      <c r="B1460" t="s">
        <v>34</v>
      </c>
      <c r="C1460">
        <v>4</v>
      </c>
      <c r="D1460" s="1" t="s">
        <v>4305</v>
      </c>
      <c r="E1460" s="1" t="s">
        <v>36</v>
      </c>
      <c r="G1460">
        <v>467570</v>
      </c>
      <c r="H1460" t="s">
        <v>4306</v>
      </c>
      <c r="I1460" t="s">
        <v>4307</v>
      </c>
      <c r="J1460">
        <v>15</v>
      </c>
      <c r="K1460">
        <v>467570</v>
      </c>
      <c r="L1460">
        <v>50341</v>
      </c>
      <c r="M1460" t="s">
        <v>146</v>
      </c>
      <c r="N1460">
        <v>249</v>
      </c>
      <c r="O1460" s="2">
        <v>46196</v>
      </c>
      <c r="P1460" s="2">
        <v>46258</v>
      </c>
      <c r="R1460" t="s">
        <v>4308</v>
      </c>
      <c r="S1460" t="str">
        <f>"00012775"</f>
        <v>00012775</v>
      </c>
      <c r="T1460" t="s">
        <v>41</v>
      </c>
      <c r="U1460">
        <v>240409.18</v>
      </c>
      <c r="V1460">
        <v>240409.18</v>
      </c>
      <c r="W1460">
        <v>240409.18</v>
      </c>
      <c r="X1460">
        <v>0</v>
      </c>
      <c r="Y1460">
        <v>0</v>
      </c>
      <c r="Z1460">
        <v>-483</v>
      </c>
      <c r="AA1460" t="s">
        <v>4309</v>
      </c>
      <c r="AD1460" t="s">
        <v>4310</v>
      </c>
      <c r="AE1460" t="s">
        <v>4311</v>
      </c>
      <c r="AF1460" t="s">
        <v>4310</v>
      </c>
      <c r="AG1460" s="1" t="s">
        <v>4312</v>
      </c>
      <c r="AH1460" t="s">
        <v>3520</v>
      </c>
    </row>
    <row r="1461" spans="1:34" x14ac:dyDescent="0.3">
      <c r="A1461">
        <v>104</v>
      </c>
      <c r="B1461" t="s">
        <v>34</v>
      </c>
      <c r="C1461">
        <v>4</v>
      </c>
      <c r="D1461" s="1" t="s">
        <v>4313</v>
      </c>
      <c r="E1461" s="1" t="s">
        <v>36</v>
      </c>
      <c r="G1461">
        <v>467570</v>
      </c>
      <c r="H1461" t="s">
        <v>4306</v>
      </c>
      <c r="I1461" t="s">
        <v>4307</v>
      </c>
      <c r="J1461">
        <v>15</v>
      </c>
      <c r="K1461">
        <v>467570</v>
      </c>
      <c r="L1461">
        <v>50341</v>
      </c>
      <c r="M1461" t="s">
        <v>146</v>
      </c>
      <c r="N1461">
        <v>249</v>
      </c>
      <c r="O1461" s="2">
        <v>46233</v>
      </c>
      <c r="P1461" s="2">
        <v>46293</v>
      </c>
      <c r="R1461" t="s">
        <v>4314</v>
      </c>
      <c r="S1461" t="str">
        <f>"00013383"</f>
        <v>00013383</v>
      </c>
      <c r="T1461" t="s">
        <v>41</v>
      </c>
      <c r="U1461">
        <v>187678.7</v>
      </c>
      <c r="V1461">
        <v>187678.7</v>
      </c>
      <c r="W1461">
        <v>187678.7</v>
      </c>
      <c r="X1461">
        <v>0</v>
      </c>
      <c r="Y1461">
        <v>0</v>
      </c>
      <c r="Z1461">
        <v>-518</v>
      </c>
      <c r="AA1461" t="s">
        <v>4315</v>
      </c>
      <c r="AD1461" t="s">
        <v>4310</v>
      </c>
      <c r="AE1461" t="s">
        <v>4311</v>
      </c>
      <c r="AF1461" t="s">
        <v>4310</v>
      </c>
      <c r="AG1461" s="1" t="s">
        <v>4312</v>
      </c>
      <c r="AH1461" t="s">
        <v>3520</v>
      </c>
    </row>
    <row r="1462" spans="1:34" x14ac:dyDescent="0.3">
      <c r="A1462">
        <v>106</v>
      </c>
      <c r="B1462" t="s">
        <v>34</v>
      </c>
      <c r="C1462">
        <v>2</v>
      </c>
      <c r="D1462" s="1" t="s">
        <v>4316</v>
      </c>
      <c r="E1462" s="1" t="s">
        <v>36</v>
      </c>
      <c r="G1462">
        <v>467570</v>
      </c>
      <c r="H1462" t="s">
        <v>4306</v>
      </c>
      <c r="I1462" t="s">
        <v>4307</v>
      </c>
      <c r="J1462">
        <v>15</v>
      </c>
      <c r="K1462">
        <v>467570</v>
      </c>
      <c r="L1462">
        <v>50341</v>
      </c>
      <c r="M1462" t="s">
        <v>146</v>
      </c>
      <c r="N1462">
        <v>249</v>
      </c>
      <c r="O1462" s="2">
        <v>46196</v>
      </c>
      <c r="P1462" s="2">
        <v>46256</v>
      </c>
      <c r="R1462" t="s">
        <v>4317</v>
      </c>
      <c r="S1462" t="str">
        <f>"00012776"</f>
        <v>00012776</v>
      </c>
      <c r="T1462" t="s">
        <v>41</v>
      </c>
      <c r="U1462">
        <v>81129.58</v>
      </c>
      <c r="V1462">
        <v>78965.63</v>
      </c>
      <c r="W1462">
        <v>78965.63</v>
      </c>
      <c r="X1462">
        <v>0</v>
      </c>
      <c r="Y1462">
        <v>0</v>
      </c>
      <c r="Z1462">
        <v>-481</v>
      </c>
      <c r="AA1462" t="s">
        <v>4318</v>
      </c>
      <c r="AD1462" t="s">
        <v>4310</v>
      </c>
      <c r="AE1462" t="s">
        <v>4311</v>
      </c>
      <c r="AF1462" t="s">
        <v>4310</v>
      </c>
      <c r="AG1462" s="1" t="s">
        <v>4312</v>
      </c>
      <c r="AH1462" t="s">
        <v>3520</v>
      </c>
    </row>
    <row r="1463" spans="1:34" x14ac:dyDescent="0.3">
      <c r="A1463">
        <v>106</v>
      </c>
      <c r="B1463" t="s">
        <v>34</v>
      </c>
      <c r="C1463">
        <v>2</v>
      </c>
      <c r="D1463" s="1" t="s">
        <v>4319</v>
      </c>
      <c r="E1463" s="1" t="s">
        <v>36</v>
      </c>
      <c r="G1463">
        <v>467570</v>
      </c>
      <c r="H1463" t="s">
        <v>4306</v>
      </c>
      <c r="I1463" t="s">
        <v>4307</v>
      </c>
      <c r="J1463">
        <v>15</v>
      </c>
      <c r="K1463">
        <v>467570</v>
      </c>
      <c r="L1463">
        <v>50341</v>
      </c>
      <c r="M1463" t="s">
        <v>146</v>
      </c>
      <c r="N1463">
        <v>249</v>
      </c>
      <c r="O1463" s="2">
        <v>46233</v>
      </c>
      <c r="P1463" s="2">
        <v>46293</v>
      </c>
      <c r="R1463" t="s">
        <v>4320</v>
      </c>
      <c r="S1463" t="str">
        <f>"00013393"</f>
        <v>00013393</v>
      </c>
      <c r="T1463" t="s">
        <v>41</v>
      </c>
      <c r="U1463">
        <v>125691.01</v>
      </c>
      <c r="V1463">
        <v>125691.01</v>
      </c>
      <c r="W1463">
        <v>125691.01</v>
      </c>
      <c r="X1463">
        <v>0</v>
      </c>
      <c r="Y1463">
        <v>0</v>
      </c>
      <c r="Z1463">
        <v>-518</v>
      </c>
      <c r="AA1463" t="s">
        <v>4321</v>
      </c>
      <c r="AD1463" t="s">
        <v>4310</v>
      </c>
      <c r="AE1463" t="s">
        <v>4311</v>
      </c>
      <c r="AF1463" t="s">
        <v>4310</v>
      </c>
      <c r="AG1463" s="1" t="s">
        <v>4312</v>
      </c>
      <c r="AH1463" t="s">
        <v>3520</v>
      </c>
    </row>
    <row r="1464" spans="1:34" x14ac:dyDescent="0.3">
      <c r="A1464">
        <v>106</v>
      </c>
      <c r="B1464" t="s">
        <v>34</v>
      </c>
      <c r="C1464">
        <v>2</v>
      </c>
      <c r="D1464" s="1" t="s">
        <v>4322</v>
      </c>
      <c r="E1464" s="1" t="s">
        <v>36</v>
      </c>
      <c r="G1464">
        <v>467570</v>
      </c>
      <c r="H1464" t="s">
        <v>4306</v>
      </c>
      <c r="I1464" t="s">
        <v>4307</v>
      </c>
      <c r="J1464">
        <v>15</v>
      </c>
      <c r="K1464">
        <v>467570</v>
      </c>
      <c r="L1464">
        <v>50341</v>
      </c>
      <c r="M1464" t="s">
        <v>146</v>
      </c>
      <c r="N1464">
        <v>249</v>
      </c>
      <c r="O1464" s="2">
        <v>46203</v>
      </c>
      <c r="P1464" s="2">
        <v>46263</v>
      </c>
      <c r="R1464" t="s">
        <v>4323</v>
      </c>
      <c r="S1464" t="str">
        <f>"00013048"</f>
        <v>00013048</v>
      </c>
      <c r="T1464" t="s">
        <v>41</v>
      </c>
      <c r="U1464">
        <v>39517.61</v>
      </c>
      <c r="V1464">
        <v>39517.61</v>
      </c>
      <c r="W1464">
        <v>39517.61</v>
      </c>
      <c r="X1464">
        <v>0</v>
      </c>
      <c r="Y1464">
        <v>0</v>
      </c>
      <c r="Z1464">
        <v>-488</v>
      </c>
      <c r="AA1464" t="s">
        <v>4318</v>
      </c>
      <c r="AD1464" t="s">
        <v>4310</v>
      </c>
      <c r="AE1464" t="s">
        <v>4311</v>
      </c>
      <c r="AF1464" t="s">
        <v>4310</v>
      </c>
      <c r="AG1464" s="1" t="s">
        <v>4312</v>
      </c>
      <c r="AH1464" t="s">
        <v>3520</v>
      </c>
    </row>
    <row r="1465" spans="1:34" x14ac:dyDescent="0.3">
      <c r="A1465">
        <v>104</v>
      </c>
      <c r="B1465" t="s">
        <v>34</v>
      </c>
      <c r="C1465">
        <v>4</v>
      </c>
      <c r="D1465" s="1" t="s">
        <v>4324</v>
      </c>
      <c r="E1465" s="1" t="s">
        <v>36</v>
      </c>
      <c r="G1465">
        <v>467665</v>
      </c>
      <c r="H1465" t="s">
        <v>4325</v>
      </c>
      <c r="I1465" t="s">
        <v>4326</v>
      </c>
      <c r="J1465">
        <v>22</v>
      </c>
      <c r="K1465">
        <v>451559</v>
      </c>
      <c r="L1465">
        <v>50001</v>
      </c>
      <c r="M1465" t="s">
        <v>39</v>
      </c>
      <c r="N1465">
        <v>249</v>
      </c>
      <c r="O1465" s="2">
        <v>46203</v>
      </c>
      <c r="P1465" s="2">
        <v>46300</v>
      </c>
      <c r="R1465" t="s">
        <v>4327</v>
      </c>
      <c r="S1465" t="str">
        <f>"25666160000051368"</f>
        <v>25666160000051368</v>
      </c>
      <c r="T1465" t="s">
        <v>41</v>
      </c>
      <c r="U1465">
        <v>3505.35</v>
      </c>
      <c r="V1465">
        <v>3259.98</v>
      </c>
      <c r="W1465">
        <v>3259.98</v>
      </c>
      <c r="X1465">
        <v>0</v>
      </c>
      <c r="Y1465">
        <v>0</v>
      </c>
      <c r="Z1465">
        <v>-525</v>
      </c>
      <c r="AA1465">
        <v>692975</v>
      </c>
      <c r="AD1465" t="s">
        <v>4328</v>
      </c>
      <c r="AE1465" t="s">
        <v>4329</v>
      </c>
      <c r="AF1465" t="s">
        <v>4328</v>
      </c>
      <c r="AG1465">
        <v>18231089000243</v>
      </c>
      <c r="AH1465" t="s">
        <v>3520</v>
      </c>
    </row>
    <row r="1466" spans="1:34" x14ac:dyDescent="0.3">
      <c r="A1466">
        <v>104</v>
      </c>
      <c r="B1466" t="s">
        <v>34</v>
      </c>
      <c r="C1466">
        <v>4</v>
      </c>
      <c r="D1466" s="1" t="s">
        <v>4330</v>
      </c>
      <c r="E1466" s="1" t="s">
        <v>36</v>
      </c>
      <c r="G1466">
        <v>467665</v>
      </c>
      <c r="H1466" t="s">
        <v>4325</v>
      </c>
      <c r="I1466" t="s">
        <v>4326</v>
      </c>
      <c r="J1466">
        <v>22</v>
      </c>
      <c r="K1466">
        <v>451559</v>
      </c>
      <c r="L1466">
        <v>50001</v>
      </c>
      <c r="M1466" t="s">
        <v>39</v>
      </c>
      <c r="N1466">
        <v>249</v>
      </c>
      <c r="O1466" s="2">
        <v>46203</v>
      </c>
      <c r="P1466" s="2">
        <v>46300</v>
      </c>
      <c r="R1466" t="s">
        <v>4331</v>
      </c>
      <c r="S1466" t="str">
        <f>"25666160000051369"</f>
        <v>25666160000051369</v>
      </c>
      <c r="T1466" t="s">
        <v>41</v>
      </c>
      <c r="U1466">
        <v>110876.42</v>
      </c>
      <c r="V1466">
        <v>103115.07</v>
      </c>
      <c r="W1466">
        <v>103115.07</v>
      </c>
      <c r="X1466">
        <v>0</v>
      </c>
      <c r="Y1466">
        <v>0</v>
      </c>
      <c r="Z1466">
        <v>-525</v>
      </c>
      <c r="AA1466">
        <v>693130</v>
      </c>
      <c r="AD1466" t="s">
        <v>4328</v>
      </c>
      <c r="AE1466" t="s">
        <v>4329</v>
      </c>
      <c r="AF1466" t="s">
        <v>4328</v>
      </c>
      <c r="AG1466">
        <v>18231089000243</v>
      </c>
      <c r="AH1466" t="s">
        <v>3520</v>
      </c>
    </row>
    <row r="1467" spans="1:34" x14ac:dyDescent="0.3">
      <c r="A1467">
        <v>101</v>
      </c>
      <c r="B1467" t="s">
        <v>73</v>
      </c>
      <c r="C1467">
        <v>2</v>
      </c>
      <c r="D1467">
        <v>220825</v>
      </c>
      <c r="G1467">
        <v>446499</v>
      </c>
      <c r="H1467" t="s">
        <v>4332</v>
      </c>
      <c r="I1467" t="s">
        <v>4333</v>
      </c>
      <c r="J1467">
        <v>15</v>
      </c>
      <c r="K1467">
        <v>446499</v>
      </c>
      <c r="L1467">
        <v>50001</v>
      </c>
      <c r="M1467" t="s">
        <v>39</v>
      </c>
      <c r="N1467">
        <v>255</v>
      </c>
      <c r="O1467" s="2">
        <v>45891</v>
      </c>
      <c r="P1467" s="2">
        <v>45891</v>
      </c>
      <c r="R1467" t="s">
        <v>4334</v>
      </c>
      <c r="S1467" t="str">
        <f>""</f>
        <v/>
      </c>
      <c r="T1467" t="s">
        <v>41</v>
      </c>
      <c r="U1467">
        <v>-12485.05</v>
      </c>
      <c r="V1467">
        <v>-12485.05</v>
      </c>
      <c r="W1467">
        <v>-12485.05</v>
      </c>
      <c r="X1467">
        <v>0</v>
      </c>
      <c r="Y1467">
        <v>0</v>
      </c>
      <c r="Z1467">
        <v>-116</v>
      </c>
      <c r="AD1467" t="s">
        <v>1571</v>
      </c>
      <c r="AE1467" t="s">
        <v>4335</v>
      </c>
      <c r="AF1467" t="s">
        <v>1571</v>
      </c>
      <c r="AG1467">
        <v>52612033000277</v>
      </c>
      <c r="AH1467" t="s">
        <v>1462</v>
      </c>
    </row>
    <row r="1468" spans="1:34" x14ac:dyDescent="0.3">
      <c r="A1468">
        <v>101</v>
      </c>
      <c r="B1468" t="s">
        <v>34</v>
      </c>
      <c r="C1468">
        <v>2</v>
      </c>
      <c r="D1468" s="1" t="s">
        <v>4336</v>
      </c>
      <c r="E1468" s="1" t="s">
        <v>122</v>
      </c>
      <c r="G1468">
        <v>4226</v>
      </c>
      <c r="H1468" t="s">
        <v>4337</v>
      </c>
      <c r="I1468" t="s">
        <v>4338</v>
      </c>
      <c r="J1468">
        <v>22</v>
      </c>
      <c r="K1468">
        <v>4226</v>
      </c>
      <c r="L1468">
        <v>50001</v>
      </c>
      <c r="M1468" t="s">
        <v>39</v>
      </c>
      <c r="N1468">
        <v>269</v>
      </c>
      <c r="O1468" s="2">
        <v>46210</v>
      </c>
      <c r="P1468" s="2">
        <v>46270</v>
      </c>
      <c r="R1468" t="s">
        <v>4339</v>
      </c>
      <c r="S1468" t="str">
        <f>"25666160000051473"</f>
        <v>25666160000051473</v>
      </c>
      <c r="T1468" t="s">
        <v>41</v>
      </c>
      <c r="U1468">
        <v>9921.7800000000007</v>
      </c>
      <c r="V1468">
        <v>9624.1299999999992</v>
      </c>
      <c r="W1468">
        <v>9624.1299999999992</v>
      </c>
      <c r="X1468">
        <v>0</v>
      </c>
      <c r="Y1468">
        <v>0</v>
      </c>
      <c r="Z1468">
        <v>-495</v>
      </c>
      <c r="AA1468">
        <v>693697</v>
      </c>
      <c r="AD1468" t="s">
        <v>4340</v>
      </c>
      <c r="AE1468" t="s">
        <v>4341</v>
      </c>
      <c r="AF1468" t="s">
        <v>4340</v>
      </c>
      <c r="AG1468">
        <v>83240333000115</v>
      </c>
      <c r="AH1468" t="s">
        <v>4342</v>
      </c>
    </row>
    <row r="1469" spans="1:34" x14ac:dyDescent="0.3">
      <c r="A1469">
        <v>101</v>
      </c>
      <c r="B1469" t="s">
        <v>34</v>
      </c>
      <c r="C1469">
        <v>2</v>
      </c>
      <c r="D1469" s="1" t="s">
        <v>4343</v>
      </c>
      <c r="E1469" s="1" t="s">
        <v>36</v>
      </c>
      <c r="G1469">
        <v>4226</v>
      </c>
      <c r="H1469" t="s">
        <v>4337</v>
      </c>
      <c r="I1469" t="s">
        <v>4338</v>
      </c>
      <c r="J1469">
        <v>22</v>
      </c>
      <c r="K1469">
        <v>4226</v>
      </c>
      <c r="L1469">
        <v>50001</v>
      </c>
      <c r="M1469" t="s">
        <v>39</v>
      </c>
      <c r="N1469">
        <v>269</v>
      </c>
      <c r="O1469" s="2">
        <v>46230</v>
      </c>
      <c r="P1469" s="2">
        <v>46275</v>
      </c>
      <c r="R1469" t="s">
        <v>4344</v>
      </c>
      <c r="S1469" t="str">
        <f>"25666160000051630"</f>
        <v>25666160000051630</v>
      </c>
      <c r="T1469" t="s">
        <v>41</v>
      </c>
      <c r="U1469">
        <v>10650.69</v>
      </c>
      <c r="V1469">
        <v>10331.17</v>
      </c>
      <c r="W1469">
        <v>10331.17</v>
      </c>
      <c r="X1469">
        <v>0</v>
      </c>
      <c r="Y1469">
        <v>0</v>
      </c>
      <c r="Z1469">
        <v>-500</v>
      </c>
      <c r="AA1469">
        <v>695250</v>
      </c>
      <c r="AD1469" t="s">
        <v>4340</v>
      </c>
      <c r="AE1469" t="s">
        <v>4341</v>
      </c>
      <c r="AF1469" t="s">
        <v>4340</v>
      </c>
      <c r="AG1469">
        <v>83240333000115</v>
      </c>
      <c r="AH1469" t="s">
        <v>4342</v>
      </c>
    </row>
    <row r="1470" spans="1:34" x14ac:dyDescent="0.3">
      <c r="A1470">
        <v>101</v>
      </c>
      <c r="B1470" t="s">
        <v>34</v>
      </c>
      <c r="C1470">
        <v>2</v>
      </c>
      <c r="D1470" s="1" t="s">
        <v>4345</v>
      </c>
      <c r="E1470" s="1" t="s">
        <v>36</v>
      </c>
      <c r="G1470">
        <v>4226</v>
      </c>
      <c r="H1470" t="s">
        <v>4337</v>
      </c>
      <c r="I1470" t="s">
        <v>4338</v>
      </c>
      <c r="J1470">
        <v>22</v>
      </c>
      <c r="K1470">
        <v>4226</v>
      </c>
      <c r="L1470">
        <v>50001</v>
      </c>
      <c r="M1470" t="s">
        <v>39</v>
      </c>
      <c r="N1470">
        <v>269</v>
      </c>
      <c r="O1470" s="2">
        <v>46226</v>
      </c>
      <c r="P1470" s="2">
        <v>46271</v>
      </c>
      <c r="R1470" t="s">
        <v>4346</v>
      </c>
      <c r="S1470" t="str">
        <f>"25666160000051563"</f>
        <v>25666160000051563</v>
      </c>
      <c r="T1470" t="s">
        <v>41</v>
      </c>
      <c r="U1470">
        <v>4224.3500000000004</v>
      </c>
      <c r="V1470">
        <v>4097.62</v>
      </c>
      <c r="W1470">
        <v>4097.62</v>
      </c>
      <c r="X1470">
        <v>0</v>
      </c>
      <c r="Y1470">
        <v>0</v>
      </c>
      <c r="Z1470">
        <v>-496</v>
      </c>
      <c r="AA1470">
        <v>694062</v>
      </c>
      <c r="AD1470" t="s">
        <v>4340</v>
      </c>
      <c r="AE1470" t="s">
        <v>4341</v>
      </c>
      <c r="AF1470" t="s">
        <v>4340</v>
      </c>
      <c r="AG1470">
        <v>83240333000115</v>
      </c>
      <c r="AH1470" t="s">
        <v>4342</v>
      </c>
    </row>
    <row r="1471" spans="1:34" x14ac:dyDescent="0.3">
      <c r="A1471">
        <v>101</v>
      </c>
      <c r="B1471" t="s">
        <v>34</v>
      </c>
      <c r="C1471">
        <v>2</v>
      </c>
      <c r="D1471" s="1" t="s">
        <v>4343</v>
      </c>
      <c r="E1471" s="1" t="s">
        <v>122</v>
      </c>
      <c r="G1471">
        <v>4226</v>
      </c>
      <c r="H1471" t="s">
        <v>4337</v>
      </c>
      <c r="I1471" t="s">
        <v>4338</v>
      </c>
      <c r="J1471">
        <v>22</v>
      </c>
      <c r="K1471">
        <v>4226</v>
      </c>
      <c r="L1471">
        <v>50001</v>
      </c>
      <c r="M1471" t="s">
        <v>39</v>
      </c>
      <c r="N1471">
        <v>269</v>
      </c>
      <c r="O1471" s="2">
        <v>46230</v>
      </c>
      <c r="P1471" s="2">
        <v>46290</v>
      </c>
      <c r="R1471" t="s">
        <v>4344</v>
      </c>
      <c r="S1471" t="str">
        <f>"25666160000051631"</f>
        <v>25666160000051631</v>
      </c>
      <c r="T1471" t="s">
        <v>41</v>
      </c>
      <c r="U1471">
        <v>10650.68</v>
      </c>
      <c r="V1471">
        <v>10331.16</v>
      </c>
      <c r="W1471">
        <v>10331.16</v>
      </c>
      <c r="X1471">
        <v>0</v>
      </c>
      <c r="Y1471">
        <v>0</v>
      </c>
      <c r="Z1471">
        <v>-515</v>
      </c>
      <c r="AA1471">
        <v>695250</v>
      </c>
      <c r="AD1471" t="s">
        <v>4340</v>
      </c>
      <c r="AE1471" t="s">
        <v>4341</v>
      </c>
      <c r="AF1471" t="s">
        <v>4340</v>
      </c>
      <c r="AG1471">
        <v>83240333000115</v>
      </c>
      <c r="AH1471" t="s">
        <v>4342</v>
      </c>
    </row>
    <row r="1472" spans="1:34" x14ac:dyDescent="0.3">
      <c r="A1472">
        <v>101</v>
      </c>
      <c r="B1472" t="s">
        <v>34</v>
      </c>
      <c r="C1472">
        <v>2</v>
      </c>
      <c r="D1472" s="1" t="s">
        <v>4345</v>
      </c>
      <c r="E1472" s="1" t="s">
        <v>122</v>
      </c>
      <c r="G1472">
        <v>4226</v>
      </c>
      <c r="H1472" t="s">
        <v>4337</v>
      </c>
      <c r="I1472" t="s">
        <v>4338</v>
      </c>
      <c r="J1472">
        <v>22</v>
      </c>
      <c r="K1472">
        <v>4226</v>
      </c>
      <c r="L1472">
        <v>50001</v>
      </c>
      <c r="M1472" t="s">
        <v>39</v>
      </c>
      <c r="N1472">
        <v>269</v>
      </c>
      <c r="O1472" s="2">
        <v>46226</v>
      </c>
      <c r="P1472" s="2">
        <v>46286</v>
      </c>
      <c r="R1472" t="s">
        <v>4346</v>
      </c>
      <c r="S1472" t="str">
        <f>"25666160000051564"</f>
        <v>25666160000051564</v>
      </c>
      <c r="T1472" t="s">
        <v>41</v>
      </c>
      <c r="U1472">
        <v>4224.34</v>
      </c>
      <c r="V1472">
        <v>4097.6099999999997</v>
      </c>
      <c r="W1472">
        <v>4097.6099999999997</v>
      </c>
      <c r="X1472">
        <v>0</v>
      </c>
      <c r="Y1472">
        <v>0</v>
      </c>
      <c r="Z1472">
        <v>-511</v>
      </c>
      <c r="AA1472">
        <v>694062</v>
      </c>
      <c r="AD1472" t="s">
        <v>4340</v>
      </c>
      <c r="AE1472" t="s">
        <v>4341</v>
      </c>
      <c r="AF1472" t="s">
        <v>4340</v>
      </c>
      <c r="AG1472">
        <v>83240333000115</v>
      </c>
      <c r="AH1472" t="s">
        <v>4342</v>
      </c>
    </row>
    <row r="1473" spans="1:34" x14ac:dyDescent="0.3">
      <c r="A1473">
        <v>101</v>
      </c>
      <c r="B1473" t="s">
        <v>34</v>
      </c>
      <c r="C1473">
        <v>2</v>
      </c>
      <c r="D1473" s="1" t="s">
        <v>4347</v>
      </c>
      <c r="E1473" s="1" t="s">
        <v>36</v>
      </c>
      <c r="G1473">
        <v>4415</v>
      </c>
      <c r="H1473" t="s">
        <v>4348</v>
      </c>
      <c r="I1473" t="s">
        <v>4349</v>
      </c>
      <c r="J1473">
        <v>22</v>
      </c>
      <c r="K1473">
        <v>4415</v>
      </c>
      <c r="L1473">
        <v>50033</v>
      </c>
      <c r="M1473" t="s">
        <v>39</v>
      </c>
      <c r="N1473">
        <v>269</v>
      </c>
      <c r="O1473" s="2">
        <v>46216</v>
      </c>
      <c r="P1473" s="2">
        <v>46261</v>
      </c>
      <c r="R1473" t="s">
        <v>4350</v>
      </c>
      <c r="S1473" t="str">
        <f>"0000050409719"</f>
        <v>0000050409719</v>
      </c>
      <c r="T1473" t="s">
        <v>41</v>
      </c>
      <c r="U1473">
        <v>3529.47</v>
      </c>
      <c r="V1473">
        <v>3529.47</v>
      </c>
      <c r="W1473">
        <v>3529.47</v>
      </c>
      <c r="X1473">
        <v>0</v>
      </c>
      <c r="Y1473">
        <v>0</v>
      </c>
      <c r="Z1473">
        <v>-486</v>
      </c>
      <c r="AA1473">
        <v>694063</v>
      </c>
      <c r="AD1473" t="s">
        <v>4351</v>
      </c>
      <c r="AE1473" t="s">
        <v>4352</v>
      </c>
      <c r="AF1473" t="s">
        <v>4351</v>
      </c>
      <c r="AG1473" s="1" t="s">
        <v>4353</v>
      </c>
      <c r="AH1473" t="s">
        <v>4342</v>
      </c>
    </row>
    <row r="1474" spans="1:34" x14ac:dyDescent="0.3">
      <c r="A1474">
        <v>101</v>
      </c>
      <c r="B1474" t="s">
        <v>34</v>
      </c>
      <c r="C1474">
        <v>2</v>
      </c>
      <c r="D1474" s="1" t="s">
        <v>4354</v>
      </c>
      <c r="E1474" s="1" t="s">
        <v>36</v>
      </c>
      <c r="G1474">
        <v>9941</v>
      </c>
      <c r="H1474" t="s">
        <v>4355</v>
      </c>
      <c r="I1474" t="s">
        <v>4356</v>
      </c>
      <c r="J1474">
        <v>22</v>
      </c>
      <c r="K1474">
        <v>10060</v>
      </c>
      <c r="L1474">
        <v>50033</v>
      </c>
      <c r="M1474" t="s">
        <v>39</v>
      </c>
      <c r="N1474">
        <v>269</v>
      </c>
      <c r="O1474" s="2">
        <v>46216</v>
      </c>
      <c r="P1474" s="2">
        <v>46276</v>
      </c>
      <c r="R1474" t="s">
        <v>4357</v>
      </c>
      <c r="S1474" t="str">
        <f>"0000050409778"</f>
        <v>0000050409778</v>
      </c>
      <c r="T1474" t="s">
        <v>41</v>
      </c>
      <c r="U1474">
        <v>6199.16</v>
      </c>
      <c r="V1474">
        <v>5889.2</v>
      </c>
      <c r="W1474">
        <v>5889.2</v>
      </c>
      <c r="X1474">
        <v>0</v>
      </c>
      <c r="Y1474">
        <v>0</v>
      </c>
      <c r="Z1474">
        <v>-501</v>
      </c>
      <c r="AA1474">
        <v>693867</v>
      </c>
      <c r="AD1474" t="s">
        <v>4358</v>
      </c>
      <c r="AE1474" t="s">
        <v>4359</v>
      </c>
      <c r="AF1474" t="s">
        <v>4358</v>
      </c>
      <c r="AG1474">
        <v>85789782000142</v>
      </c>
      <c r="AH1474" t="s">
        <v>4342</v>
      </c>
    </row>
    <row r="1475" spans="1:34" x14ac:dyDescent="0.3">
      <c r="A1475">
        <v>101</v>
      </c>
      <c r="B1475" t="s">
        <v>34</v>
      </c>
      <c r="C1475">
        <v>2</v>
      </c>
      <c r="D1475" s="1" t="s">
        <v>4360</v>
      </c>
      <c r="E1475" s="1" t="s">
        <v>36</v>
      </c>
      <c r="G1475">
        <v>9941</v>
      </c>
      <c r="H1475" t="s">
        <v>4355</v>
      </c>
      <c r="I1475" t="s">
        <v>4356</v>
      </c>
      <c r="J1475">
        <v>22</v>
      </c>
      <c r="K1475">
        <v>10060</v>
      </c>
      <c r="L1475">
        <v>50033</v>
      </c>
      <c r="M1475" t="s">
        <v>39</v>
      </c>
      <c r="N1475">
        <v>269</v>
      </c>
      <c r="O1475" s="2">
        <v>46251</v>
      </c>
      <c r="P1475" s="2">
        <v>46311</v>
      </c>
      <c r="R1475" t="s">
        <v>4361</v>
      </c>
      <c r="S1475" t="str">
        <f>"0000050413520"</f>
        <v>0000050413520</v>
      </c>
      <c r="T1475" t="s">
        <v>41</v>
      </c>
      <c r="U1475">
        <v>12874.4</v>
      </c>
      <c r="V1475">
        <v>12230.68</v>
      </c>
      <c r="W1475">
        <v>12230.68</v>
      </c>
      <c r="X1475">
        <v>0</v>
      </c>
      <c r="Y1475">
        <v>0</v>
      </c>
      <c r="Z1475">
        <v>-536</v>
      </c>
      <c r="AA1475">
        <v>4602</v>
      </c>
      <c r="AD1475" t="s">
        <v>4358</v>
      </c>
      <c r="AE1475" t="s">
        <v>4359</v>
      </c>
      <c r="AF1475" t="s">
        <v>4358</v>
      </c>
      <c r="AG1475">
        <v>85789782000142</v>
      </c>
      <c r="AH1475" t="s">
        <v>4342</v>
      </c>
    </row>
    <row r="1476" spans="1:34" x14ac:dyDescent="0.3">
      <c r="A1476">
        <v>101</v>
      </c>
      <c r="B1476" t="s">
        <v>34</v>
      </c>
      <c r="C1476">
        <v>2</v>
      </c>
      <c r="D1476" s="1" t="s">
        <v>4362</v>
      </c>
      <c r="E1476" s="1" t="s">
        <v>36</v>
      </c>
      <c r="G1476">
        <v>433473</v>
      </c>
      <c r="H1476" t="s">
        <v>4363</v>
      </c>
      <c r="I1476" t="s">
        <v>4364</v>
      </c>
      <c r="J1476">
        <v>22</v>
      </c>
      <c r="K1476">
        <v>433473</v>
      </c>
      <c r="L1476">
        <v>50001</v>
      </c>
      <c r="M1476" t="s">
        <v>39</v>
      </c>
      <c r="N1476">
        <v>269</v>
      </c>
      <c r="O1476" s="2">
        <v>46230</v>
      </c>
      <c r="P1476" s="2">
        <v>46275</v>
      </c>
      <c r="R1476" t="s">
        <v>4365</v>
      </c>
      <c r="S1476" t="str">
        <f>"25666160000051639"</f>
        <v>25666160000051639</v>
      </c>
      <c r="T1476" t="s">
        <v>41</v>
      </c>
      <c r="U1476">
        <v>5403</v>
      </c>
      <c r="V1476">
        <v>5403</v>
      </c>
      <c r="W1476">
        <v>5403</v>
      </c>
      <c r="X1476">
        <v>0</v>
      </c>
      <c r="Y1476">
        <v>0</v>
      </c>
      <c r="Z1476">
        <v>-500</v>
      </c>
      <c r="AA1476">
        <v>694446</v>
      </c>
      <c r="AD1476" t="s">
        <v>4366</v>
      </c>
      <c r="AE1476" t="s">
        <v>4367</v>
      </c>
      <c r="AF1476" t="s">
        <v>4366</v>
      </c>
      <c r="AG1476" s="1" t="s">
        <v>4368</v>
      </c>
      <c r="AH1476" t="s">
        <v>4342</v>
      </c>
    </row>
    <row r="1477" spans="1:34" x14ac:dyDescent="0.3">
      <c r="A1477">
        <v>101</v>
      </c>
      <c r="B1477" t="s">
        <v>34</v>
      </c>
      <c r="C1477">
        <v>2</v>
      </c>
      <c r="D1477" s="1" t="s">
        <v>4369</v>
      </c>
      <c r="E1477" s="1" t="s">
        <v>122</v>
      </c>
      <c r="G1477">
        <v>447347</v>
      </c>
      <c r="H1477" t="s">
        <v>4370</v>
      </c>
      <c r="I1477" t="s">
        <v>4371</v>
      </c>
      <c r="J1477">
        <v>22</v>
      </c>
      <c r="K1477">
        <v>447347</v>
      </c>
      <c r="L1477">
        <v>50033</v>
      </c>
      <c r="M1477" t="s">
        <v>39</v>
      </c>
      <c r="N1477">
        <v>269</v>
      </c>
      <c r="O1477" s="2">
        <v>46239</v>
      </c>
      <c r="P1477" s="2">
        <v>46281</v>
      </c>
      <c r="R1477" t="s">
        <v>4372</v>
      </c>
      <c r="S1477" t="str">
        <f>"0000050412647"</f>
        <v>0000050412647</v>
      </c>
      <c r="T1477" t="s">
        <v>41</v>
      </c>
      <c r="U1477">
        <v>590.36</v>
      </c>
      <c r="V1477">
        <v>590.36</v>
      </c>
      <c r="W1477">
        <v>590.36</v>
      </c>
      <c r="X1477">
        <v>0</v>
      </c>
      <c r="Y1477">
        <v>0</v>
      </c>
      <c r="Z1477">
        <v>-506</v>
      </c>
      <c r="AA1477">
        <v>695613</v>
      </c>
      <c r="AD1477" t="s">
        <v>4340</v>
      </c>
      <c r="AE1477" t="s">
        <v>4373</v>
      </c>
      <c r="AF1477" t="s">
        <v>4340</v>
      </c>
      <c r="AG1477" s="1" t="s">
        <v>4374</v>
      </c>
      <c r="AH1477" t="s">
        <v>4342</v>
      </c>
    </row>
    <row r="1478" spans="1:34" x14ac:dyDescent="0.3">
      <c r="A1478">
        <v>101</v>
      </c>
      <c r="B1478" t="s">
        <v>34</v>
      </c>
      <c r="C1478">
        <v>2</v>
      </c>
      <c r="D1478" s="1" t="s">
        <v>4369</v>
      </c>
      <c r="E1478" s="1" t="s">
        <v>4375</v>
      </c>
      <c r="G1478">
        <v>447347</v>
      </c>
      <c r="H1478" t="s">
        <v>4370</v>
      </c>
      <c r="I1478" t="s">
        <v>4371</v>
      </c>
      <c r="J1478">
        <v>22</v>
      </c>
      <c r="K1478">
        <v>447347</v>
      </c>
      <c r="L1478">
        <v>50033</v>
      </c>
      <c r="M1478" t="s">
        <v>39</v>
      </c>
      <c r="N1478">
        <v>269</v>
      </c>
      <c r="O1478" s="2">
        <v>46239</v>
      </c>
      <c r="P1478" s="2">
        <v>46309</v>
      </c>
      <c r="R1478" t="s">
        <v>4372</v>
      </c>
      <c r="S1478" t="str">
        <f>"0000050412663"</f>
        <v>0000050412663</v>
      </c>
      <c r="T1478" t="s">
        <v>41</v>
      </c>
      <c r="U1478">
        <v>590.34</v>
      </c>
      <c r="V1478">
        <v>590.34</v>
      </c>
      <c r="W1478">
        <v>590.34</v>
      </c>
      <c r="X1478">
        <v>0</v>
      </c>
      <c r="Y1478">
        <v>0</v>
      </c>
      <c r="Z1478">
        <v>-534</v>
      </c>
      <c r="AA1478">
        <v>695613</v>
      </c>
      <c r="AD1478" t="s">
        <v>4340</v>
      </c>
      <c r="AE1478" t="s">
        <v>4373</v>
      </c>
      <c r="AF1478" t="s">
        <v>4340</v>
      </c>
      <c r="AG1478" s="1" t="s">
        <v>4374</v>
      </c>
      <c r="AH1478" t="s">
        <v>4342</v>
      </c>
    </row>
    <row r="1479" spans="1:34" x14ac:dyDescent="0.3">
      <c r="A1479">
        <v>101</v>
      </c>
      <c r="B1479" t="s">
        <v>34</v>
      </c>
      <c r="C1479">
        <v>2</v>
      </c>
      <c r="D1479" s="1" t="s">
        <v>4369</v>
      </c>
      <c r="E1479" s="1" t="s">
        <v>116</v>
      </c>
      <c r="G1479">
        <v>447347</v>
      </c>
      <c r="H1479" t="s">
        <v>4370</v>
      </c>
      <c r="I1479" t="s">
        <v>4371</v>
      </c>
      <c r="J1479">
        <v>22</v>
      </c>
      <c r="K1479">
        <v>447347</v>
      </c>
      <c r="L1479">
        <v>50033</v>
      </c>
      <c r="M1479" t="s">
        <v>39</v>
      </c>
      <c r="N1479">
        <v>269</v>
      </c>
      <c r="O1479" s="2">
        <v>46239</v>
      </c>
      <c r="P1479" s="2">
        <v>46295</v>
      </c>
      <c r="R1479" t="s">
        <v>4372</v>
      </c>
      <c r="S1479" t="str">
        <f>"0000050412655"</f>
        <v>0000050412655</v>
      </c>
      <c r="T1479" t="s">
        <v>41</v>
      </c>
      <c r="U1479">
        <v>590.36</v>
      </c>
      <c r="V1479">
        <v>590.36</v>
      </c>
      <c r="W1479">
        <v>590.36</v>
      </c>
      <c r="X1479">
        <v>0</v>
      </c>
      <c r="Y1479">
        <v>0</v>
      </c>
      <c r="Z1479">
        <v>-520</v>
      </c>
      <c r="AA1479">
        <v>695613</v>
      </c>
      <c r="AD1479" t="s">
        <v>4340</v>
      </c>
      <c r="AE1479" t="s">
        <v>4373</v>
      </c>
      <c r="AF1479" t="s">
        <v>4340</v>
      </c>
      <c r="AG1479" s="1" t="s">
        <v>4374</v>
      </c>
      <c r="AH1479" t="s">
        <v>4342</v>
      </c>
    </row>
    <row r="1480" spans="1:34" x14ac:dyDescent="0.3">
      <c r="A1480">
        <v>101</v>
      </c>
      <c r="B1480" t="s">
        <v>34</v>
      </c>
      <c r="C1480">
        <v>2</v>
      </c>
      <c r="D1480" s="1" t="s">
        <v>4369</v>
      </c>
      <c r="E1480" s="1" t="s">
        <v>36</v>
      </c>
      <c r="G1480">
        <v>447347</v>
      </c>
      <c r="H1480" t="s">
        <v>4370</v>
      </c>
      <c r="I1480" t="s">
        <v>4371</v>
      </c>
      <c r="J1480">
        <v>22</v>
      </c>
      <c r="K1480">
        <v>447347</v>
      </c>
      <c r="L1480">
        <v>50033</v>
      </c>
      <c r="M1480" t="s">
        <v>39</v>
      </c>
      <c r="N1480">
        <v>269</v>
      </c>
      <c r="O1480" s="2">
        <v>46239</v>
      </c>
      <c r="P1480" s="2">
        <v>46267</v>
      </c>
      <c r="R1480" t="s">
        <v>4372</v>
      </c>
      <c r="S1480" t="str">
        <f>"0000050412639"</f>
        <v>0000050412639</v>
      </c>
      <c r="T1480" t="s">
        <v>41</v>
      </c>
      <c r="U1480">
        <v>590.36</v>
      </c>
      <c r="V1480">
        <v>590.36</v>
      </c>
      <c r="W1480">
        <v>590.36</v>
      </c>
      <c r="X1480">
        <v>0</v>
      </c>
      <c r="Y1480">
        <v>0</v>
      </c>
      <c r="Z1480">
        <v>-492</v>
      </c>
      <c r="AA1480">
        <v>695613</v>
      </c>
      <c r="AD1480" t="s">
        <v>4340</v>
      </c>
      <c r="AE1480" t="s">
        <v>4373</v>
      </c>
      <c r="AF1480" t="s">
        <v>4340</v>
      </c>
      <c r="AG1480" s="1" t="s">
        <v>4374</v>
      </c>
      <c r="AH1480" t="s">
        <v>4342</v>
      </c>
    </row>
    <row r="1481" spans="1:34" x14ac:dyDescent="0.3">
      <c r="A1481">
        <v>101</v>
      </c>
      <c r="B1481" t="s">
        <v>34</v>
      </c>
      <c r="C1481">
        <v>2</v>
      </c>
      <c r="D1481" s="1" t="s">
        <v>4376</v>
      </c>
      <c r="E1481" s="1" t="s">
        <v>122</v>
      </c>
      <c r="G1481">
        <v>454259</v>
      </c>
      <c r="H1481" t="s">
        <v>4377</v>
      </c>
      <c r="I1481" t="s">
        <v>4378</v>
      </c>
      <c r="J1481">
        <v>22</v>
      </c>
      <c r="K1481">
        <v>999001876</v>
      </c>
      <c r="L1481">
        <v>50001</v>
      </c>
      <c r="M1481" t="s">
        <v>39</v>
      </c>
      <c r="N1481">
        <v>269</v>
      </c>
      <c r="O1481" s="2">
        <v>46216</v>
      </c>
      <c r="P1481" s="2">
        <v>46274</v>
      </c>
      <c r="R1481" t="s">
        <v>4379</v>
      </c>
      <c r="S1481" t="str">
        <f>"25666160000051432"</f>
        <v>25666160000051432</v>
      </c>
      <c r="T1481" t="s">
        <v>41</v>
      </c>
      <c r="U1481">
        <v>6393.71</v>
      </c>
      <c r="V1481">
        <v>6393.71</v>
      </c>
      <c r="W1481">
        <v>6393.71</v>
      </c>
      <c r="X1481">
        <v>0</v>
      </c>
      <c r="Y1481">
        <v>0</v>
      </c>
      <c r="Z1481">
        <v>-499</v>
      </c>
      <c r="AA1481">
        <v>692772</v>
      </c>
      <c r="AD1481" t="s">
        <v>4380</v>
      </c>
      <c r="AE1481">
        <v>94992854408</v>
      </c>
      <c r="AF1481" t="s">
        <v>4380</v>
      </c>
      <c r="AG1481">
        <v>36410528000186</v>
      </c>
      <c r="AH1481" t="s">
        <v>3024</v>
      </c>
    </row>
    <row r="1482" spans="1:34" x14ac:dyDescent="0.3">
      <c r="A1482">
        <v>101</v>
      </c>
      <c r="B1482" t="s">
        <v>34</v>
      </c>
      <c r="C1482">
        <v>2</v>
      </c>
      <c r="D1482" s="1" t="s">
        <v>4376</v>
      </c>
      <c r="E1482" s="1" t="s">
        <v>36</v>
      </c>
      <c r="G1482">
        <v>454259</v>
      </c>
      <c r="H1482" t="s">
        <v>4377</v>
      </c>
      <c r="I1482" t="s">
        <v>4378</v>
      </c>
      <c r="J1482">
        <v>22</v>
      </c>
      <c r="K1482">
        <v>999001876</v>
      </c>
      <c r="L1482">
        <v>50001</v>
      </c>
      <c r="M1482" t="s">
        <v>39</v>
      </c>
      <c r="N1482">
        <v>269</v>
      </c>
      <c r="O1482" s="2">
        <v>46216</v>
      </c>
      <c r="P1482" s="2">
        <v>46264</v>
      </c>
      <c r="R1482" t="s">
        <v>4379</v>
      </c>
      <c r="S1482" t="str">
        <f>"25666160000051431"</f>
        <v>25666160000051431</v>
      </c>
      <c r="T1482" t="s">
        <v>41</v>
      </c>
      <c r="U1482">
        <v>6393.72</v>
      </c>
      <c r="V1482">
        <v>6393.72</v>
      </c>
      <c r="W1482">
        <v>6393.72</v>
      </c>
      <c r="X1482">
        <v>0</v>
      </c>
      <c r="Y1482">
        <v>0</v>
      </c>
      <c r="Z1482">
        <v>-489</v>
      </c>
      <c r="AA1482">
        <v>692772</v>
      </c>
      <c r="AD1482" t="s">
        <v>4380</v>
      </c>
      <c r="AE1482">
        <v>94992854408</v>
      </c>
      <c r="AF1482" t="s">
        <v>4380</v>
      </c>
      <c r="AG1482">
        <v>36410528000186</v>
      </c>
      <c r="AH1482" t="s">
        <v>3024</v>
      </c>
    </row>
    <row r="1483" spans="1:34" x14ac:dyDescent="0.3">
      <c r="A1483">
        <v>101</v>
      </c>
      <c r="B1483" t="s">
        <v>34</v>
      </c>
      <c r="C1483">
        <v>2</v>
      </c>
      <c r="D1483" s="1" t="s">
        <v>4381</v>
      </c>
      <c r="E1483" s="1" t="s">
        <v>36</v>
      </c>
      <c r="G1483">
        <v>454837</v>
      </c>
      <c r="H1483" t="s">
        <v>4382</v>
      </c>
      <c r="I1483" t="s">
        <v>4383</v>
      </c>
      <c r="J1483">
        <v>15</v>
      </c>
      <c r="K1483">
        <v>9813</v>
      </c>
      <c r="L1483">
        <v>50341</v>
      </c>
      <c r="M1483" t="s">
        <v>146</v>
      </c>
      <c r="N1483">
        <v>269</v>
      </c>
      <c r="O1483" s="2">
        <v>46246</v>
      </c>
      <c r="P1483" s="2">
        <v>46291</v>
      </c>
      <c r="R1483" t="s">
        <v>4384</v>
      </c>
      <c r="S1483" t="str">
        <f>"00013663"</f>
        <v>00013663</v>
      </c>
      <c r="T1483" t="s">
        <v>41</v>
      </c>
      <c r="U1483">
        <v>3616.58</v>
      </c>
      <c r="V1483">
        <v>3616.58</v>
      </c>
      <c r="W1483">
        <v>3616.58</v>
      </c>
      <c r="X1483">
        <v>0</v>
      </c>
      <c r="Y1483">
        <v>0</v>
      </c>
      <c r="Z1483">
        <v>-516</v>
      </c>
      <c r="AA1483">
        <v>4482</v>
      </c>
      <c r="AD1483" t="s">
        <v>4385</v>
      </c>
      <c r="AE1483">
        <v>4733770097</v>
      </c>
      <c r="AF1483" t="s">
        <v>4385</v>
      </c>
      <c r="AG1483">
        <v>38903479000149</v>
      </c>
      <c r="AH1483" t="s">
        <v>4342</v>
      </c>
    </row>
    <row r="1484" spans="1:34" x14ac:dyDescent="0.3">
      <c r="A1484">
        <v>101</v>
      </c>
      <c r="B1484" t="s">
        <v>34</v>
      </c>
      <c r="C1484">
        <v>2</v>
      </c>
      <c r="D1484" s="1" t="s">
        <v>4386</v>
      </c>
      <c r="E1484" s="1" t="s">
        <v>122</v>
      </c>
      <c r="G1484">
        <v>999002313</v>
      </c>
      <c r="H1484" t="s">
        <v>4387</v>
      </c>
      <c r="I1484" t="s">
        <v>4388</v>
      </c>
      <c r="J1484">
        <v>22</v>
      </c>
      <c r="K1484">
        <v>999001876</v>
      </c>
      <c r="L1484">
        <v>50001</v>
      </c>
      <c r="M1484" t="s">
        <v>39</v>
      </c>
      <c r="N1484">
        <v>269</v>
      </c>
      <c r="O1484" s="2">
        <v>46230</v>
      </c>
      <c r="P1484" s="2">
        <v>46258</v>
      </c>
      <c r="R1484" t="s">
        <v>4389</v>
      </c>
      <c r="S1484" t="str">
        <f>"25666160000051659"</f>
        <v>25666160000051659</v>
      </c>
      <c r="T1484" t="s">
        <v>41</v>
      </c>
      <c r="U1484">
        <v>1284.6600000000001</v>
      </c>
      <c r="V1484">
        <v>1284.6600000000001</v>
      </c>
      <c r="W1484">
        <v>1284.6600000000001</v>
      </c>
      <c r="X1484">
        <v>0</v>
      </c>
      <c r="Y1484">
        <v>0</v>
      </c>
      <c r="Z1484">
        <v>-483</v>
      </c>
      <c r="AA1484">
        <v>694454</v>
      </c>
      <c r="AD1484" t="s">
        <v>4390</v>
      </c>
      <c r="AE1484" t="s">
        <v>4391</v>
      </c>
      <c r="AF1484" t="s">
        <v>4390</v>
      </c>
      <c r="AG1484" s="1" t="s">
        <v>4392</v>
      </c>
      <c r="AH1484" t="s">
        <v>4342</v>
      </c>
    </row>
    <row r="1485" spans="1:34" x14ac:dyDescent="0.3">
      <c r="A1485">
        <v>101</v>
      </c>
      <c r="B1485" t="s">
        <v>34</v>
      </c>
      <c r="C1485">
        <v>2</v>
      </c>
      <c r="D1485" s="1" t="s">
        <v>4393</v>
      </c>
      <c r="E1485" s="1" t="s">
        <v>36</v>
      </c>
      <c r="G1485">
        <v>11737</v>
      </c>
      <c r="H1485" t="s">
        <v>4394</v>
      </c>
      <c r="I1485" t="s">
        <v>4395</v>
      </c>
      <c r="J1485">
        <v>12</v>
      </c>
      <c r="K1485">
        <v>11737</v>
      </c>
      <c r="L1485">
        <v>50341</v>
      </c>
      <c r="M1485" t="s">
        <v>146</v>
      </c>
      <c r="N1485">
        <v>273</v>
      </c>
      <c r="O1485" s="2">
        <v>46226</v>
      </c>
      <c r="P1485" s="2">
        <v>46256</v>
      </c>
      <c r="R1485" t="s">
        <v>4396</v>
      </c>
      <c r="S1485" t="str">
        <f>"00013271"</f>
        <v>00013271</v>
      </c>
      <c r="T1485" t="s">
        <v>41</v>
      </c>
      <c r="U1485">
        <v>4086.85</v>
      </c>
      <c r="V1485">
        <v>4086.85</v>
      </c>
      <c r="W1485">
        <v>4086.85</v>
      </c>
      <c r="X1485">
        <v>0</v>
      </c>
      <c r="Y1485">
        <v>0</v>
      </c>
      <c r="Z1485">
        <v>-481</v>
      </c>
      <c r="AA1485">
        <v>1582</v>
      </c>
      <c r="AD1485" t="s">
        <v>64</v>
      </c>
      <c r="AE1485" t="s">
        <v>4397</v>
      </c>
      <c r="AF1485" t="s">
        <v>64</v>
      </c>
      <c r="AG1485" s="1" t="s">
        <v>4398</v>
      </c>
      <c r="AH1485" t="s">
        <v>44</v>
      </c>
    </row>
    <row r="1486" spans="1:34" x14ac:dyDescent="0.3">
      <c r="A1486">
        <v>101</v>
      </c>
      <c r="B1486" t="s">
        <v>34</v>
      </c>
      <c r="C1486">
        <v>2</v>
      </c>
      <c r="D1486" s="1" t="s">
        <v>4399</v>
      </c>
      <c r="E1486" s="1" t="s">
        <v>36</v>
      </c>
      <c r="G1486">
        <v>452376</v>
      </c>
      <c r="H1486" t="s">
        <v>4400</v>
      </c>
      <c r="I1486" t="s">
        <v>4395</v>
      </c>
      <c r="J1486">
        <v>12</v>
      </c>
      <c r="K1486">
        <v>11737</v>
      </c>
      <c r="L1486">
        <v>50341</v>
      </c>
      <c r="M1486" t="s">
        <v>146</v>
      </c>
      <c r="N1486">
        <v>273</v>
      </c>
      <c r="O1486" s="2">
        <v>46226</v>
      </c>
      <c r="P1486" s="2">
        <v>46256</v>
      </c>
      <c r="R1486" t="s">
        <v>4401</v>
      </c>
      <c r="S1486" t="str">
        <f>"00013276"</f>
        <v>00013276</v>
      </c>
      <c r="T1486" t="s">
        <v>41</v>
      </c>
      <c r="U1486">
        <v>3680.73</v>
      </c>
      <c r="V1486">
        <v>3680.73</v>
      </c>
      <c r="W1486">
        <v>3680.73</v>
      </c>
      <c r="X1486">
        <v>0</v>
      </c>
      <c r="Y1486">
        <v>0</v>
      </c>
      <c r="Z1486">
        <v>-481</v>
      </c>
      <c r="AA1486">
        <v>1592</v>
      </c>
      <c r="AD1486" t="s">
        <v>4402</v>
      </c>
      <c r="AE1486" t="s">
        <v>4403</v>
      </c>
      <c r="AF1486" t="s">
        <v>4402</v>
      </c>
      <c r="AG1486" s="1" t="s">
        <v>4404</v>
      </c>
      <c r="AH1486" t="s">
        <v>44</v>
      </c>
    </row>
    <row r="1487" spans="1:34" x14ac:dyDescent="0.3">
      <c r="A1487">
        <v>101</v>
      </c>
      <c r="B1487" t="s">
        <v>34</v>
      </c>
      <c r="C1487">
        <v>2</v>
      </c>
      <c r="D1487" s="1" t="s">
        <v>4405</v>
      </c>
      <c r="E1487" s="1" t="s">
        <v>36</v>
      </c>
      <c r="G1487">
        <v>452378</v>
      </c>
      <c r="H1487" t="s">
        <v>4406</v>
      </c>
      <c r="I1487" t="s">
        <v>4395</v>
      </c>
      <c r="J1487">
        <v>12</v>
      </c>
      <c r="K1487">
        <v>11737</v>
      </c>
      <c r="L1487">
        <v>50341</v>
      </c>
      <c r="M1487" t="s">
        <v>146</v>
      </c>
      <c r="N1487">
        <v>273</v>
      </c>
      <c r="O1487" s="2">
        <v>46226</v>
      </c>
      <c r="P1487" s="2">
        <v>46256</v>
      </c>
      <c r="R1487" t="s">
        <v>4407</v>
      </c>
      <c r="S1487" t="str">
        <f>"00013277"</f>
        <v>00013277</v>
      </c>
      <c r="T1487" t="s">
        <v>41</v>
      </c>
      <c r="U1487">
        <v>7566.62</v>
      </c>
      <c r="V1487">
        <v>7566.62</v>
      </c>
      <c r="W1487">
        <v>7566.62</v>
      </c>
      <c r="X1487">
        <v>0</v>
      </c>
      <c r="Y1487">
        <v>0</v>
      </c>
      <c r="Z1487">
        <v>-481</v>
      </c>
      <c r="AA1487">
        <v>1595</v>
      </c>
      <c r="AD1487" t="s">
        <v>3349</v>
      </c>
      <c r="AE1487" t="s">
        <v>4408</v>
      </c>
      <c r="AF1487" t="s">
        <v>3349</v>
      </c>
      <c r="AG1487" s="1" t="s">
        <v>4409</v>
      </c>
      <c r="AH1487" t="s">
        <v>44</v>
      </c>
    </row>
    <row r="1488" spans="1:34" x14ac:dyDescent="0.3">
      <c r="A1488">
        <v>101</v>
      </c>
      <c r="B1488" t="s">
        <v>34</v>
      </c>
      <c r="C1488">
        <v>2</v>
      </c>
      <c r="D1488" s="1" t="s">
        <v>4410</v>
      </c>
      <c r="E1488" s="1" t="s">
        <v>36</v>
      </c>
      <c r="G1488">
        <v>452379</v>
      </c>
      <c r="H1488" t="s">
        <v>4411</v>
      </c>
      <c r="I1488" t="s">
        <v>4395</v>
      </c>
      <c r="J1488">
        <v>12</v>
      </c>
      <c r="K1488">
        <v>11737</v>
      </c>
      <c r="L1488">
        <v>50341</v>
      </c>
      <c r="M1488" t="s">
        <v>146</v>
      </c>
      <c r="N1488">
        <v>273</v>
      </c>
      <c r="O1488" s="2">
        <v>46226</v>
      </c>
      <c r="P1488" s="2">
        <v>46256</v>
      </c>
      <c r="R1488" t="s">
        <v>4412</v>
      </c>
      <c r="S1488" t="str">
        <f>"00013278"</f>
        <v>00013278</v>
      </c>
      <c r="T1488" t="s">
        <v>41</v>
      </c>
      <c r="U1488">
        <v>3655.06</v>
      </c>
      <c r="V1488">
        <v>3655.06</v>
      </c>
      <c r="W1488">
        <v>3655.06</v>
      </c>
      <c r="X1488">
        <v>0</v>
      </c>
      <c r="Y1488">
        <v>0</v>
      </c>
      <c r="Z1488">
        <v>-481</v>
      </c>
      <c r="AA1488">
        <v>1597</v>
      </c>
      <c r="AD1488" t="s">
        <v>3349</v>
      </c>
      <c r="AE1488" t="s">
        <v>4408</v>
      </c>
      <c r="AF1488" t="s">
        <v>3349</v>
      </c>
      <c r="AG1488" s="1" t="s">
        <v>4413</v>
      </c>
      <c r="AH1488" t="s">
        <v>44</v>
      </c>
    </row>
    <row r="1489" spans="1:34" x14ac:dyDescent="0.3">
      <c r="A1489">
        <v>101</v>
      </c>
      <c r="B1489" t="s">
        <v>34</v>
      </c>
      <c r="C1489">
        <v>2</v>
      </c>
      <c r="D1489" s="1" t="s">
        <v>4414</v>
      </c>
      <c r="E1489" s="1" t="s">
        <v>36</v>
      </c>
      <c r="G1489">
        <v>452380</v>
      </c>
      <c r="H1489" t="s">
        <v>4415</v>
      </c>
      <c r="I1489" t="s">
        <v>4395</v>
      </c>
      <c r="J1489">
        <v>12</v>
      </c>
      <c r="K1489">
        <v>11737</v>
      </c>
      <c r="L1489">
        <v>50341</v>
      </c>
      <c r="M1489" t="s">
        <v>146</v>
      </c>
      <c r="N1489">
        <v>273</v>
      </c>
      <c r="O1489" s="2">
        <v>46226</v>
      </c>
      <c r="P1489" s="2">
        <v>46256</v>
      </c>
      <c r="R1489" t="s">
        <v>4416</v>
      </c>
      <c r="S1489" t="str">
        <f>"00013279"</f>
        <v>00013279</v>
      </c>
      <c r="T1489" t="s">
        <v>41</v>
      </c>
      <c r="U1489">
        <v>3501.02</v>
      </c>
      <c r="V1489">
        <v>3501.02</v>
      </c>
      <c r="W1489">
        <v>3501.02</v>
      </c>
      <c r="X1489">
        <v>0</v>
      </c>
      <c r="Y1489">
        <v>0</v>
      </c>
      <c r="Z1489">
        <v>-481</v>
      </c>
      <c r="AA1489">
        <v>1594</v>
      </c>
      <c r="AD1489" t="s">
        <v>64</v>
      </c>
      <c r="AE1489" t="s">
        <v>4408</v>
      </c>
      <c r="AF1489" t="s">
        <v>64</v>
      </c>
      <c r="AG1489" s="1" t="s">
        <v>4417</v>
      </c>
      <c r="AH1489" t="s">
        <v>44</v>
      </c>
    </row>
    <row r="1490" spans="1:34" x14ac:dyDescent="0.3">
      <c r="A1490">
        <v>101</v>
      </c>
      <c r="B1490" t="s">
        <v>34</v>
      </c>
      <c r="C1490">
        <v>2</v>
      </c>
      <c r="D1490" s="1" t="s">
        <v>4418</v>
      </c>
      <c r="E1490" s="1" t="s">
        <v>36</v>
      </c>
      <c r="G1490">
        <v>452545</v>
      </c>
      <c r="H1490" t="s">
        <v>4419</v>
      </c>
      <c r="I1490" t="s">
        <v>4395</v>
      </c>
      <c r="J1490">
        <v>10</v>
      </c>
      <c r="K1490">
        <v>11737</v>
      </c>
      <c r="L1490">
        <v>50341</v>
      </c>
      <c r="M1490" t="s">
        <v>146</v>
      </c>
      <c r="N1490">
        <v>273</v>
      </c>
      <c r="O1490" s="2">
        <v>46226</v>
      </c>
      <c r="P1490" s="2">
        <v>46256</v>
      </c>
      <c r="R1490" t="s">
        <v>4420</v>
      </c>
      <c r="S1490" t="str">
        <f>"00013281"</f>
        <v>00013281</v>
      </c>
      <c r="T1490" t="s">
        <v>41</v>
      </c>
      <c r="U1490">
        <v>12502.84</v>
      </c>
      <c r="V1490">
        <v>12502.84</v>
      </c>
      <c r="W1490">
        <v>12502.84</v>
      </c>
      <c r="X1490">
        <v>0</v>
      </c>
      <c r="Y1490">
        <v>0</v>
      </c>
      <c r="Z1490">
        <v>-481</v>
      </c>
      <c r="AA1490">
        <v>1598</v>
      </c>
      <c r="AD1490" t="s">
        <v>4421</v>
      </c>
      <c r="AE1490" t="s">
        <v>4422</v>
      </c>
      <c r="AF1490" t="s">
        <v>4421</v>
      </c>
      <c r="AG1490" s="1" t="s">
        <v>4423</v>
      </c>
      <c r="AH1490" t="s">
        <v>44</v>
      </c>
    </row>
    <row r="1491" spans="1:34" x14ac:dyDescent="0.3">
      <c r="A1491">
        <v>101</v>
      </c>
      <c r="B1491" t="s">
        <v>34</v>
      </c>
      <c r="C1491">
        <v>2</v>
      </c>
      <c r="D1491" s="1" t="s">
        <v>4424</v>
      </c>
      <c r="E1491" s="1" t="s">
        <v>36</v>
      </c>
      <c r="G1491">
        <v>455336</v>
      </c>
      <c r="H1491" t="s">
        <v>4425</v>
      </c>
      <c r="I1491" t="s">
        <v>4395</v>
      </c>
      <c r="J1491">
        <v>12</v>
      </c>
      <c r="K1491">
        <v>11737</v>
      </c>
      <c r="L1491">
        <v>50341</v>
      </c>
      <c r="M1491" t="s">
        <v>146</v>
      </c>
      <c r="N1491">
        <v>273</v>
      </c>
      <c r="O1491" s="2">
        <v>46226</v>
      </c>
      <c r="P1491" s="2">
        <v>46256</v>
      </c>
      <c r="R1491" t="s">
        <v>4426</v>
      </c>
      <c r="S1491" t="str">
        <f>"00013285"</f>
        <v>00013285</v>
      </c>
      <c r="T1491" t="s">
        <v>41</v>
      </c>
      <c r="U1491">
        <v>4061.18</v>
      </c>
      <c r="V1491">
        <v>4061.18</v>
      </c>
      <c r="W1491">
        <v>4061.18</v>
      </c>
      <c r="X1491">
        <v>0</v>
      </c>
      <c r="Y1491">
        <v>0</v>
      </c>
      <c r="Z1491">
        <v>-481</v>
      </c>
      <c r="AA1491">
        <v>1601</v>
      </c>
      <c r="AD1491" t="s">
        <v>3349</v>
      </c>
      <c r="AE1491">
        <v>1130193200</v>
      </c>
      <c r="AF1491" t="s">
        <v>3349</v>
      </c>
      <c r="AG1491" s="1" t="s">
        <v>4427</v>
      </c>
      <c r="AH1491" t="s">
        <v>44</v>
      </c>
    </row>
    <row r="1492" spans="1:34" x14ac:dyDescent="0.3">
      <c r="A1492">
        <v>101</v>
      </c>
      <c r="B1492" t="s">
        <v>34</v>
      </c>
      <c r="C1492">
        <v>2</v>
      </c>
      <c r="D1492" s="1" t="s">
        <v>4428</v>
      </c>
      <c r="E1492" s="1" t="s">
        <v>36</v>
      </c>
      <c r="G1492">
        <v>459757</v>
      </c>
      <c r="H1492" t="s">
        <v>4429</v>
      </c>
      <c r="I1492" t="s">
        <v>4395</v>
      </c>
      <c r="J1492">
        <v>10</v>
      </c>
      <c r="K1492">
        <v>11737</v>
      </c>
      <c r="L1492">
        <v>50341</v>
      </c>
      <c r="M1492" t="s">
        <v>146</v>
      </c>
      <c r="N1492">
        <v>273</v>
      </c>
      <c r="O1492" s="2">
        <v>46226</v>
      </c>
      <c r="P1492" s="2">
        <v>46256</v>
      </c>
      <c r="R1492" t="s">
        <v>4430</v>
      </c>
      <c r="S1492" t="str">
        <f>"00013287"</f>
        <v>00013287</v>
      </c>
      <c r="T1492" t="s">
        <v>41</v>
      </c>
      <c r="U1492">
        <v>4636.6499999999996</v>
      </c>
      <c r="V1492">
        <v>4636.6499999999996</v>
      </c>
      <c r="W1492">
        <v>4636.6499999999996</v>
      </c>
      <c r="X1492">
        <v>0</v>
      </c>
      <c r="Y1492">
        <v>0</v>
      </c>
      <c r="Z1492">
        <v>-481</v>
      </c>
      <c r="AA1492">
        <v>1602</v>
      </c>
      <c r="AD1492" t="s">
        <v>64</v>
      </c>
      <c r="AE1492" t="s">
        <v>4408</v>
      </c>
      <c r="AF1492" t="s">
        <v>64</v>
      </c>
      <c r="AG1492" s="1" t="s">
        <v>4431</v>
      </c>
      <c r="AH1492" t="s">
        <v>44</v>
      </c>
    </row>
    <row r="1493" spans="1:34" x14ac:dyDescent="0.3">
      <c r="A1493">
        <v>101</v>
      </c>
      <c r="B1493" t="s">
        <v>34</v>
      </c>
      <c r="C1493">
        <v>2</v>
      </c>
      <c r="D1493" s="1" t="s">
        <v>4432</v>
      </c>
      <c r="E1493" s="1" t="s">
        <v>36</v>
      </c>
      <c r="G1493">
        <v>463692</v>
      </c>
      <c r="H1493" t="s">
        <v>4433</v>
      </c>
      <c r="I1493" t="s">
        <v>4395</v>
      </c>
      <c r="J1493">
        <v>12</v>
      </c>
      <c r="K1493">
        <v>11737</v>
      </c>
      <c r="L1493">
        <v>50033</v>
      </c>
      <c r="M1493" t="s">
        <v>39</v>
      </c>
      <c r="N1493">
        <v>273</v>
      </c>
      <c r="O1493" s="2">
        <v>46226</v>
      </c>
      <c r="P1493" s="2">
        <v>46256</v>
      </c>
      <c r="R1493" t="s">
        <v>4434</v>
      </c>
      <c r="S1493" t="str">
        <f>"0000050410660"</f>
        <v>0000050410660</v>
      </c>
      <c r="T1493" t="s">
        <v>41</v>
      </c>
      <c r="U1493">
        <v>5151.17</v>
      </c>
      <c r="V1493">
        <v>5151.17</v>
      </c>
      <c r="W1493">
        <v>5151.17</v>
      </c>
      <c r="X1493">
        <v>0</v>
      </c>
      <c r="Y1493">
        <v>0</v>
      </c>
      <c r="Z1493">
        <v>-481</v>
      </c>
      <c r="AA1493">
        <v>1606</v>
      </c>
      <c r="AD1493" t="s">
        <v>64</v>
      </c>
      <c r="AE1493">
        <v>1125751800</v>
      </c>
      <c r="AF1493" t="s">
        <v>64</v>
      </c>
      <c r="AG1493" s="1" t="s">
        <v>4435</v>
      </c>
      <c r="AH1493" t="s">
        <v>44</v>
      </c>
    </row>
    <row r="1494" spans="1:34" x14ac:dyDescent="0.3">
      <c r="A1494">
        <v>101</v>
      </c>
      <c r="B1494" t="s">
        <v>34</v>
      </c>
      <c r="C1494">
        <v>2</v>
      </c>
      <c r="D1494" s="1" t="s">
        <v>4436</v>
      </c>
      <c r="E1494" s="1" t="s">
        <v>36</v>
      </c>
      <c r="G1494">
        <v>999000866</v>
      </c>
      <c r="H1494" t="s">
        <v>4437</v>
      </c>
      <c r="I1494" t="s">
        <v>4395</v>
      </c>
      <c r="J1494">
        <v>12</v>
      </c>
      <c r="K1494">
        <v>11737</v>
      </c>
      <c r="L1494">
        <v>50341</v>
      </c>
      <c r="M1494" t="s">
        <v>146</v>
      </c>
      <c r="N1494">
        <v>273</v>
      </c>
      <c r="O1494" s="2">
        <v>46226</v>
      </c>
      <c r="P1494" s="2">
        <v>46256</v>
      </c>
      <c r="R1494" t="s">
        <v>4438</v>
      </c>
      <c r="S1494" t="str">
        <f>"00013304"</f>
        <v>00013304</v>
      </c>
      <c r="T1494" t="s">
        <v>41</v>
      </c>
      <c r="U1494">
        <v>2091.92</v>
      </c>
      <c r="V1494">
        <v>2091.92</v>
      </c>
      <c r="W1494">
        <v>2091.92</v>
      </c>
      <c r="X1494">
        <v>0</v>
      </c>
      <c r="Y1494">
        <v>0</v>
      </c>
      <c r="Z1494">
        <v>-481</v>
      </c>
      <c r="AA1494">
        <v>1584</v>
      </c>
      <c r="AD1494" t="s">
        <v>64</v>
      </c>
      <c r="AE1494" t="s">
        <v>4439</v>
      </c>
      <c r="AF1494" t="s">
        <v>64</v>
      </c>
      <c r="AG1494" s="1" t="s">
        <v>4440</v>
      </c>
      <c r="AH1494" t="s">
        <v>44</v>
      </c>
    </row>
    <row r="1495" spans="1:34" x14ac:dyDescent="0.3">
      <c r="A1495">
        <v>101</v>
      </c>
      <c r="B1495" t="s">
        <v>34</v>
      </c>
      <c r="C1495">
        <v>2</v>
      </c>
      <c r="D1495" s="1" t="s">
        <v>4441</v>
      </c>
      <c r="E1495" s="1" t="s">
        <v>36</v>
      </c>
      <c r="G1495">
        <v>999001112</v>
      </c>
      <c r="H1495" t="s">
        <v>4442</v>
      </c>
      <c r="I1495" t="s">
        <v>4395</v>
      </c>
      <c r="J1495">
        <v>12</v>
      </c>
      <c r="K1495">
        <v>11737</v>
      </c>
      <c r="L1495">
        <v>50341</v>
      </c>
      <c r="M1495" t="s">
        <v>146</v>
      </c>
      <c r="N1495">
        <v>273</v>
      </c>
      <c r="O1495" s="2">
        <v>46226</v>
      </c>
      <c r="P1495" s="2">
        <v>46256</v>
      </c>
      <c r="R1495" t="s">
        <v>4443</v>
      </c>
      <c r="S1495" t="str">
        <f>"00013305"</f>
        <v>00013305</v>
      </c>
      <c r="T1495" t="s">
        <v>41</v>
      </c>
      <c r="U1495">
        <v>3336.67</v>
      </c>
      <c r="V1495">
        <v>3336.67</v>
      </c>
      <c r="W1495">
        <v>3336.67</v>
      </c>
      <c r="X1495">
        <v>0</v>
      </c>
      <c r="Y1495">
        <v>0</v>
      </c>
      <c r="Z1495">
        <v>-481</v>
      </c>
      <c r="AA1495">
        <v>1586</v>
      </c>
      <c r="AD1495" t="s">
        <v>64</v>
      </c>
      <c r="AE1495" t="s">
        <v>4444</v>
      </c>
      <c r="AF1495" t="s">
        <v>64</v>
      </c>
      <c r="AG1495" s="1" t="s">
        <v>4445</v>
      </c>
      <c r="AH1495" t="s">
        <v>44</v>
      </c>
    </row>
    <row r="1496" spans="1:34" x14ac:dyDescent="0.3">
      <c r="A1496">
        <v>101</v>
      </c>
      <c r="B1496" t="s">
        <v>34</v>
      </c>
      <c r="C1496">
        <v>2</v>
      </c>
      <c r="D1496" s="1" t="s">
        <v>4446</v>
      </c>
      <c r="E1496" s="1" t="s">
        <v>36</v>
      </c>
      <c r="G1496">
        <v>999002168</v>
      </c>
      <c r="H1496" t="s">
        <v>4447</v>
      </c>
      <c r="I1496" t="s">
        <v>4395</v>
      </c>
      <c r="J1496">
        <v>12</v>
      </c>
      <c r="K1496">
        <v>11737</v>
      </c>
      <c r="L1496">
        <v>50341</v>
      </c>
      <c r="M1496" t="s">
        <v>146</v>
      </c>
      <c r="N1496">
        <v>273</v>
      </c>
      <c r="O1496" s="2">
        <v>46226</v>
      </c>
      <c r="P1496" s="2">
        <v>46256</v>
      </c>
      <c r="R1496" t="s">
        <v>4448</v>
      </c>
      <c r="S1496" t="str">
        <f>"00013306"</f>
        <v>00013306</v>
      </c>
      <c r="T1496" t="s">
        <v>41</v>
      </c>
      <c r="U1496">
        <v>4020.41</v>
      </c>
      <c r="V1496">
        <v>4020.41</v>
      </c>
      <c r="W1496">
        <v>4020.41</v>
      </c>
      <c r="X1496">
        <v>0</v>
      </c>
      <c r="Y1496">
        <v>0</v>
      </c>
      <c r="Z1496">
        <v>-481</v>
      </c>
      <c r="AA1496">
        <v>1589</v>
      </c>
      <c r="AD1496" t="s">
        <v>64</v>
      </c>
      <c r="AE1496" t="s">
        <v>4449</v>
      </c>
      <c r="AF1496" t="s">
        <v>64</v>
      </c>
      <c r="AG1496" s="1" t="s">
        <v>4450</v>
      </c>
      <c r="AH1496" t="s">
        <v>44</v>
      </c>
    </row>
    <row r="1497" spans="1:34" x14ac:dyDescent="0.3">
      <c r="A1497">
        <v>101</v>
      </c>
      <c r="B1497" t="s">
        <v>34</v>
      </c>
      <c r="C1497">
        <v>2</v>
      </c>
      <c r="D1497" s="1" t="s">
        <v>4451</v>
      </c>
      <c r="E1497" s="1" t="s">
        <v>36</v>
      </c>
      <c r="G1497">
        <v>523</v>
      </c>
      <c r="H1497" t="s">
        <v>4452</v>
      </c>
      <c r="I1497" t="s">
        <v>4453</v>
      </c>
      <c r="J1497">
        <v>35</v>
      </c>
      <c r="K1497">
        <v>523</v>
      </c>
      <c r="L1497">
        <v>95000</v>
      </c>
      <c r="M1497" t="s">
        <v>69</v>
      </c>
      <c r="N1497">
        <v>351</v>
      </c>
      <c r="O1497" s="2">
        <v>46232</v>
      </c>
      <c r="P1497" s="2">
        <v>46264</v>
      </c>
      <c r="R1497" t="s">
        <v>4454</v>
      </c>
      <c r="S1497" t="str">
        <f>""</f>
        <v/>
      </c>
      <c r="T1497" t="s">
        <v>41</v>
      </c>
      <c r="U1497">
        <v>9.85</v>
      </c>
      <c r="V1497">
        <v>9.85</v>
      </c>
      <c r="W1497">
        <v>9.85</v>
      </c>
      <c r="X1497">
        <v>0</v>
      </c>
      <c r="Y1497">
        <v>0</v>
      </c>
      <c r="Z1497">
        <v>-489</v>
      </c>
      <c r="AA1497">
        <v>695269</v>
      </c>
      <c r="AD1497" t="s">
        <v>4455</v>
      </c>
      <c r="AE1497">
        <v>5516991271765</v>
      </c>
      <c r="AG1497">
        <v>39587065840</v>
      </c>
      <c r="AH1497" t="s">
        <v>44</v>
      </c>
    </row>
    <row r="1498" spans="1:34" x14ac:dyDescent="0.3">
      <c r="A1498">
        <v>101</v>
      </c>
      <c r="B1498" t="s">
        <v>34</v>
      </c>
      <c r="C1498">
        <v>2</v>
      </c>
      <c r="D1498" s="1" t="s">
        <v>4456</v>
      </c>
      <c r="E1498" s="1" t="s">
        <v>36</v>
      </c>
      <c r="G1498">
        <v>523</v>
      </c>
      <c r="H1498" t="s">
        <v>4452</v>
      </c>
      <c r="I1498" t="s">
        <v>4453</v>
      </c>
      <c r="J1498">
        <v>35</v>
      </c>
      <c r="K1498">
        <v>523</v>
      </c>
      <c r="L1498">
        <v>95000</v>
      </c>
      <c r="M1498" t="s">
        <v>69</v>
      </c>
      <c r="N1498">
        <v>351</v>
      </c>
      <c r="O1498" s="2">
        <v>46233</v>
      </c>
      <c r="P1498" s="2">
        <v>46265</v>
      </c>
      <c r="R1498" t="s">
        <v>4457</v>
      </c>
      <c r="S1498" t="str">
        <f>""</f>
        <v/>
      </c>
      <c r="T1498" t="s">
        <v>41</v>
      </c>
      <c r="U1498">
        <v>50.18</v>
      </c>
      <c r="V1498">
        <v>50.18</v>
      </c>
      <c r="W1498">
        <v>50.18</v>
      </c>
      <c r="X1498">
        <v>0</v>
      </c>
      <c r="Y1498">
        <v>0</v>
      </c>
      <c r="Z1498">
        <v>-490</v>
      </c>
      <c r="AA1498">
        <v>695269</v>
      </c>
      <c r="AD1498" t="s">
        <v>4455</v>
      </c>
      <c r="AE1498">
        <v>5516991271765</v>
      </c>
      <c r="AG1498">
        <v>39587065840</v>
      </c>
      <c r="AH1498" t="s">
        <v>44</v>
      </c>
    </row>
    <row r="1499" spans="1:34" x14ac:dyDescent="0.3">
      <c r="A1499">
        <v>101</v>
      </c>
      <c r="B1499" t="s">
        <v>34</v>
      </c>
      <c r="C1499">
        <v>2</v>
      </c>
      <c r="D1499" s="1" t="s">
        <v>4458</v>
      </c>
      <c r="E1499" s="1" t="s">
        <v>36</v>
      </c>
      <c r="G1499">
        <v>6650</v>
      </c>
      <c r="H1499" t="s">
        <v>4459</v>
      </c>
      <c r="I1499" t="s">
        <v>4460</v>
      </c>
      <c r="J1499">
        <v>15</v>
      </c>
      <c r="K1499">
        <v>6650</v>
      </c>
      <c r="L1499">
        <v>50033</v>
      </c>
      <c r="M1499" t="s">
        <v>39</v>
      </c>
      <c r="N1499">
        <v>351</v>
      </c>
      <c r="O1499" s="2">
        <v>46245</v>
      </c>
      <c r="P1499" s="2">
        <v>46275</v>
      </c>
      <c r="R1499" t="s">
        <v>4461</v>
      </c>
      <c r="S1499" t="str">
        <f>"0000050413074"</f>
        <v>0000050413074</v>
      </c>
      <c r="T1499" t="s">
        <v>41</v>
      </c>
      <c r="U1499">
        <v>1865.4</v>
      </c>
      <c r="V1499">
        <v>1865.4</v>
      </c>
      <c r="W1499">
        <v>1865.4</v>
      </c>
      <c r="X1499">
        <v>0</v>
      </c>
      <c r="Y1499">
        <v>0</v>
      </c>
      <c r="Z1499">
        <v>-500</v>
      </c>
      <c r="AA1499">
        <v>696452</v>
      </c>
      <c r="AD1499" t="s">
        <v>3228</v>
      </c>
      <c r="AE1499">
        <v>5511998209094</v>
      </c>
      <c r="AF1499" t="s">
        <v>3228</v>
      </c>
      <c r="AG1499" s="1" t="s">
        <v>4462</v>
      </c>
      <c r="AH1499" t="s">
        <v>44</v>
      </c>
    </row>
    <row r="1500" spans="1:34" x14ac:dyDescent="0.3">
      <c r="A1500">
        <v>101</v>
      </c>
      <c r="B1500" t="s">
        <v>34</v>
      </c>
      <c r="C1500">
        <v>2</v>
      </c>
      <c r="D1500" s="1" t="s">
        <v>4463</v>
      </c>
      <c r="E1500" s="1" t="s">
        <v>36</v>
      </c>
      <c r="G1500">
        <v>6650</v>
      </c>
      <c r="H1500" t="s">
        <v>4459</v>
      </c>
      <c r="I1500" t="s">
        <v>4460</v>
      </c>
      <c r="J1500">
        <v>15</v>
      </c>
      <c r="K1500">
        <v>6650</v>
      </c>
      <c r="L1500">
        <v>50033</v>
      </c>
      <c r="M1500" t="s">
        <v>39</v>
      </c>
      <c r="N1500">
        <v>351</v>
      </c>
      <c r="O1500" s="2">
        <v>46239</v>
      </c>
      <c r="P1500" s="2">
        <v>46269</v>
      </c>
      <c r="R1500" t="s">
        <v>4464</v>
      </c>
      <c r="S1500" t="str">
        <f>"0000050412531"</f>
        <v>0000050412531</v>
      </c>
      <c r="T1500" t="s">
        <v>41</v>
      </c>
      <c r="U1500">
        <v>3275.09</v>
      </c>
      <c r="V1500">
        <v>3275.09</v>
      </c>
      <c r="W1500">
        <v>3275.09</v>
      </c>
      <c r="X1500">
        <v>0</v>
      </c>
      <c r="Y1500">
        <v>0</v>
      </c>
      <c r="Z1500">
        <v>-494</v>
      </c>
      <c r="AA1500">
        <v>696321</v>
      </c>
      <c r="AD1500" t="s">
        <v>3228</v>
      </c>
      <c r="AE1500">
        <v>5511998209094</v>
      </c>
      <c r="AF1500" t="s">
        <v>3228</v>
      </c>
      <c r="AG1500" s="1" t="s">
        <v>4462</v>
      </c>
      <c r="AH1500" t="s">
        <v>44</v>
      </c>
    </row>
    <row r="1501" spans="1:34" x14ac:dyDescent="0.3">
      <c r="A1501">
        <v>101</v>
      </c>
      <c r="B1501" t="s">
        <v>34</v>
      </c>
      <c r="C1501">
        <v>2</v>
      </c>
      <c r="D1501" s="1" t="s">
        <v>4465</v>
      </c>
      <c r="E1501" s="1" t="s">
        <v>36</v>
      </c>
      <c r="G1501">
        <v>6650</v>
      </c>
      <c r="H1501" t="s">
        <v>4459</v>
      </c>
      <c r="I1501" t="s">
        <v>4460</v>
      </c>
      <c r="J1501">
        <v>15</v>
      </c>
      <c r="K1501">
        <v>6650</v>
      </c>
      <c r="L1501">
        <v>50033</v>
      </c>
      <c r="M1501" t="s">
        <v>39</v>
      </c>
      <c r="N1501">
        <v>351</v>
      </c>
      <c r="O1501" s="2">
        <v>46238</v>
      </c>
      <c r="P1501" s="2">
        <v>46268</v>
      </c>
      <c r="R1501" t="s">
        <v>4466</v>
      </c>
      <c r="S1501" t="str">
        <f>"0000050412230"</f>
        <v>0000050412230</v>
      </c>
      <c r="T1501" t="s">
        <v>41</v>
      </c>
      <c r="U1501">
        <v>2739.34</v>
      </c>
      <c r="V1501">
        <v>2739.34</v>
      </c>
      <c r="W1501">
        <v>2739.34</v>
      </c>
      <c r="X1501">
        <v>0</v>
      </c>
      <c r="Y1501">
        <v>0</v>
      </c>
      <c r="Z1501">
        <v>-493</v>
      </c>
      <c r="AA1501">
        <v>696103</v>
      </c>
      <c r="AD1501" t="s">
        <v>3228</v>
      </c>
      <c r="AE1501">
        <v>5511998209094</v>
      </c>
      <c r="AF1501" t="s">
        <v>3228</v>
      </c>
      <c r="AG1501" s="1" t="s">
        <v>4462</v>
      </c>
      <c r="AH1501" t="s">
        <v>44</v>
      </c>
    </row>
    <row r="1502" spans="1:34" x14ac:dyDescent="0.3">
      <c r="A1502">
        <v>101</v>
      </c>
      <c r="B1502" t="s">
        <v>34</v>
      </c>
      <c r="C1502">
        <v>2</v>
      </c>
      <c r="D1502" s="1" t="s">
        <v>4467</v>
      </c>
      <c r="E1502" s="1" t="s">
        <v>36</v>
      </c>
      <c r="G1502">
        <v>6650</v>
      </c>
      <c r="H1502" t="s">
        <v>4459</v>
      </c>
      <c r="I1502" t="s">
        <v>4460</v>
      </c>
      <c r="J1502">
        <v>15</v>
      </c>
      <c r="K1502">
        <v>6650</v>
      </c>
      <c r="L1502">
        <v>50033</v>
      </c>
      <c r="M1502" t="s">
        <v>39</v>
      </c>
      <c r="N1502">
        <v>351</v>
      </c>
      <c r="O1502" s="2">
        <v>46254</v>
      </c>
      <c r="P1502" s="2">
        <v>46284</v>
      </c>
      <c r="R1502" t="s">
        <v>4468</v>
      </c>
      <c r="S1502" t="str">
        <f>"0000050414330"</f>
        <v>0000050414330</v>
      </c>
      <c r="T1502" t="s">
        <v>41</v>
      </c>
      <c r="U1502">
        <v>2676.07</v>
      </c>
      <c r="V1502">
        <v>2676.07</v>
      </c>
      <c r="W1502">
        <v>2676.07</v>
      </c>
      <c r="X1502">
        <v>0</v>
      </c>
      <c r="Y1502">
        <v>0</v>
      </c>
      <c r="Z1502">
        <v>-509</v>
      </c>
      <c r="AA1502">
        <v>696772</v>
      </c>
      <c r="AD1502" t="s">
        <v>3228</v>
      </c>
      <c r="AE1502">
        <v>5511998209094</v>
      </c>
      <c r="AF1502" t="s">
        <v>3228</v>
      </c>
      <c r="AG1502" s="1" t="s">
        <v>4462</v>
      </c>
      <c r="AH1502" t="s">
        <v>44</v>
      </c>
    </row>
    <row r="1503" spans="1:34" x14ac:dyDescent="0.3">
      <c r="A1503">
        <v>101</v>
      </c>
      <c r="B1503" t="s">
        <v>34</v>
      </c>
      <c r="C1503">
        <v>2</v>
      </c>
      <c r="D1503" s="1" t="s">
        <v>4469</v>
      </c>
      <c r="E1503" s="1" t="s">
        <v>36</v>
      </c>
      <c r="G1503">
        <v>6650</v>
      </c>
      <c r="H1503" t="s">
        <v>4459</v>
      </c>
      <c r="I1503" t="s">
        <v>4460</v>
      </c>
      <c r="J1503">
        <v>15</v>
      </c>
      <c r="K1503">
        <v>6650</v>
      </c>
      <c r="L1503">
        <v>50033</v>
      </c>
      <c r="M1503" t="s">
        <v>39</v>
      </c>
      <c r="N1503">
        <v>351</v>
      </c>
      <c r="O1503" s="2">
        <v>46253</v>
      </c>
      <c r="P1503" s="2">
        <v>46283</v>
      </c>
      <c r="R1503" t="s">
        <v>4470</v>
      </c>
      <c r="S1503" t="str">
        <f>"0000050414178"</f>
        <v>0000050414178</v>
      </c>
      <c r="T1503" t="s">
        <v>41</v>
      </c>
      <c r="U1503">
        <v>2448.06</v>
      </c>
      <c r="V1503">
        <v>2448.06</v>
      </c>
      <c r="W1503">
        <v>2448.06</v>
      </c>
      <c r="X1503">
        <v>0</v>
      </c>
      <c r="Y1503">
        <v>0</v>
      </c>
      <c r="Z1503">
        <v>-508</v>
      </c>
      <c r="AA1503">
        <v>697091</v>
      </c>
      <c r="AD1503" t="s">
        <v>3228</v>
      </c>
      <c r="AE1503">
        <v>5511998209094</v>
      </c>
      <c r="AF1503" t="s">
        <v>3228</v>
      </c>
      <c r="AG1503" s="1" t="s">
        <v>4462</v>
      </c>
      <c r="AH1503" t="s">
        <v>44</v>
      </c>
    </row>
    <row r="1504" spans="1:34" x14ac:dyDescent="0.3">
      <c r="A1504">
        <v>101</v>
      </c>
      <c r="B1504" t="s">
        <v>34</v>
      </c>
      <c r="C1504">
        <v>2</v>
      </c>
      <c r="D1504" s="1" t="s">
        <v>4471</v>
      </c>
      <c r="E1504" s="1" t="s">
        <v>36</v>
      </c>
      <c r="G1504">
        <v>6650</v>
      </c>
      <c r="H1504" t="s">
        <v>4459</v>
      </c>
      <c r="I1504" t="s">
        <v>4460</v>
      </c>
      <c r="J1504">
        <v>15</v>
      </c>
      <c r="K1504">
        <v>6650</v>
      </c>
      <c r="L1504">
        <v>50033</v>
      </c>
      <c r="M1504" t="s">
        <v>39</v>
      </c>
      <c r="N1504">
        <v>351</v>
      </c>
      <c r="O1504" s="2">
        <v>46255</v>
      </c>
      <c r="P1504" s="2">
        <v>46285</v>
      </c>
      <c r="R1504" t="s">
        <v>4472</v>
      </c>
      <c r="S1504" t="str">
        <f>"0000050414739"</f>
        <v>0000050414739</v>
      </c>
      <c r="T1504" t="s">
        <v>41</v>
      </c>
      <c r="U1504">
        <v>2028.91</v>
      </c>
      <c r="V1504">
        <v>2028.91</v>
      </c>
      <c r="W1504">
        <v>2028.91</v>
      </c>
      <c r="X1504">
        <v>0</v>
      </c>
      <c r="Y1504">
        <v>0</v>
      </c>
      <c r="Z1504">
        <v>-510</v>
      </c>
      <c r="AA1504">
        <v>697091</v>
      </c>
      <c r="AD1504" t="s">
        <v>3228</v>
      </c>
      <c r="AE1504">
        <v>5511998209094</v>
      </c>
      <c r="AF1504" t="s">
        <v>3228</v>
      </c>
      <c r="AG1504" s="1" t="s">
        <v>4462</v>
      </c>
      <c r="AH1504" t="s">
        <v>44</v>
      </c>
    </row>
    <row r="1505" spans="1:34" x14ac:dyDescent="0.3">
      <c r="A1505">
        <v>101</v>
      </c>
      <c r="B1505" t="s">
        <v>34</v>
      </c>
      <c r="C1505">
        <v>2</v>
      </c>
      <c r="D1505" s="1" t="s">
        <v>4473</v>
      </c>
      <c r="E1505" s="1" t="s">
        <v>36</v>
      </c>
      <c r="G1505">
        <v>11104</v>
      </c>
      <c r="H1505" t="s">
        <v>4474</v>
      </c>
      <c r="I1505" t="s">
        <v>4475</v>
      </c>
      <c r="J1505">
        <v>35</v>
      </c>
      <c r="K1505">
        <v>11104</v>
      </c>
      <c r="L1505">
        <v>95000</v>
      </c>
      <c r="M1505" t="s">
        <v>69</v>
      </c>
      <c r="N1505">
        <v>351</v>
      </c>
      <c r="O1505" s="2">
        <v>46245</v>
      </c>
      <c r="P1505" s="2">
        <v>46280</v>
      </c>
      <c r="R1505" t="s">
        <v>4476</v>
      </c>
      <c r="S1505" t="str">
        <f>""</f>
        <v/>
      </c>
      <c r="T1505" t="s">
        <v>41</v>
      </c>
      <c r="U1505">
        <v>2014.45</v>
      </c>
      <c r="V1505">
        <v>2014.45</v>
      </c>
      <c r="W1505">
        <v>2014.45</v>
      </c>
      <c r="X1505">
        <v>0</v>
      </c>
      <c r="Y1505">
        <v>0</v>
      </c>
      <c r="Z1505">
        <v>-505</v>
      </c>
      <c r="AA1505">
        <v>696440</v>
      </c>
      <c r="AD1505" t="s">
        <v>4477</v>
      </c>
      <c r="AE1505" t="s">
        <v>4478</v>
      </c>
      <c r="AF1505" t="s">
        <v>4477</v>
      </c>
      <c r="AG1505" s="1" t="s">
        <v>4479</v>
      </c>
      <c r="AH1505" t="s">
        <v>311</v>
      </c>
    </row>
    <row r="1506" spans="1:34" x14ac:dyDescent="0.3">
      <c r="A1506">
        <v>101</v>
      </c>
      <c r="B1506" t="s">
        <v>34</v>
      </c>
      <c r="C1506">
        <v>2</v>
      </c>
      <c r="D1506" s="1" t="s">
        <v>4480</v>
      </c>
      <c r="E1506" s="1" t="s">
        <v>36</v>
      </c>
      <c r="G1506">
        <v>12557</v>
      </c>
      <c r="H1506" t="s">
        <v>4481</v>
      </c>
      <c r="I1506" t="s">
        <v>4482</v>
      </c>
      <c r="J1506">
        <v>35</v>
      </c>
      <c r="K1506">
        <v>50076</v>
      </c>
      <c r="L1506">
        <v>95000</v>
      </c>
      <c r="M1506" t="s">
        <v>69</v>
      </c>
      <c r="N1506">
        <v>351</v>
      </c>
      <c r="O1506" s="2">
        <v>46203</v>
      </c>
      <c r="P1506" s="2">
        <v>46249</v>
      </c>
      <c r="R1506" t="s">
        <v>4483</v>
      </c>
      <c r="S1506" t="str">
        <f>""</f>
        <v/>
      </c>
      <c r="T1506" t="s">
        <v>41</v>
      </c>
      <c r="U1506">
        <v>4914.55</v>
      </c>
      <c r="V1506">
        <v>505.92</v>
      </c>
      <c r="W1506">
        <v>505.92</v>
      </c>
      <c r="X1506">
        <v>0</v>
      </c>
      <c r="Y1506">
        <v>0</v>
      </c>
      <c r="Z1506">
        <v>-474</v>
      </c>
      <c r="AA1506">
        <v>693212</v>
      </c>
      <c r="AD1506" t="s">
        <v>2231</v>
      </c>
      <c r="AE1506" t="s">
        <v>4484</v>
      </c>
      <c r="AF1506" t="s">
        <v>2231</v>
      </c>
      <c r="AG1506">
        <v>10358295000126</v>
      </c>
      <c r="AH1506" t="s">
        <v>44</v>
      </c>
    </row>
    <row r="1507" spans="1:34" x14ac:dyDescent="0.3">
      <c r="A1507">
        <v>101</v>
      </c>
      <c r="B1507" t="s">
        <v>34</v>
      </c>
      <c r="C1507">
        <v>2</v>
      </c>
      <c r="D1507" s="1" t="s">
        <v>4485</v>
      </c>
      <c r="E1507" s="1" t="s">
        <v>36</v>
      </c>
      <c r="G1507">
        <v>50232</v>
      </c>
      <c r="H1507" t="s">
        <v>4486</v>
      </c>
      <c r="I1507" t="s">
        <v>4487</v>
      </c>
      <c r="J1507">
        <v>30</v>
      </c>
      <c r="K1507">
        <v>50232</v>
      </c>
      <c r="L1507">
        <v>50033</v>
      </c>
      <c r="M1507" t="s">
        <v>39</v>
      </c>
      <c r="N1507">
        <v>351</v>
      </c>
      <c r="O1507" s="2">
        <v>46240</v>
      </c>
      <c r="P1507" s="2">
        <v>46270</v>
      </c>
      <c r="R1507" t="s">
        <v>4488</v>
      </c>
      <c r="S1507" t="str">
        <f>"0000050412884"</f>
        <v>0000050412884</v>
      </c>
      <c r="T1507" t="s">
        <v>41</v>
      </c>
      <c r="U1507">
        <v>1198.77</v>
      </c>
      <c r="V1507">
        <v>1198.77</v>
      </c>
      <c r="W1507">
        <v>1198.77</v>
      </c>
      <c r="X1507">
        <v>0</v>
      </c>
      <c r="Y1507">
        <v>0</v>
      </c>
      <c r="Z1507">
        <v>-495</v>
      </c>
      <c r="AA1507">
        <v>696391</v>
      </c>
      <c r="AD1507" t="s">
        <v>42</v>
      </c>
      <c r="AE1507" t="s">
        <v>4489</v>
      </c>
      <c r="AF1507" t="s">
        <v>42</v>
      </c>
      <c r="AG1507">
        <v>50302801000180</v>
      </c>
      <c r="AH1507" t="s">
        <v>44</v>
      </c>
    </row>
    <row r="1508" spans="1:34" x14ac:dyDescent="0.3">
      <c r="A1508">
        <v>101</v>
      </c>
      <c r="B1508" t="s">
        <v>34</v>
      </c>
      <c r="C1508">
        <v>2</v>
      </c>
      <c r="D1508" s="1" t="s">
        <v>4485</v>
      </c>
      <c r="E1508" s="1" t="s">
        <v>122</v>
      </c>
      <c r="G1508">
        <v>50232</v>
      </c>
      <c r="H1508" t="s">
        <v>4486</v>
      </c>
      <c r="I1508" t="s">
        <v>4487</v>
      </c>
      <c r="J1508">
        <v>30</v>
      </c>
      <c r="K1508">
        <v>50232</v>
      </c>
      <c r="L1508">
        <v>50033</v>
      </c>
      <c r="M1508" t="s">
        <v>39</v>
      </c>
      <c r="N1508">
        <v>351</v>
      </c>
      <c r="O1508" s="2">
        <v>46240</v>
      </c>
      <c r="P1508" s="2">
        <v>46300</v>
      </c>
      <c r="R1508" t="s">
        <v>4488</v>
      </c>
      <c r="S1508" t="str">
        <f>"0000050412892"</f>
        <v>0000050412892</v>
      </c>
      <c r="T1508" t="s">
        <v>41</v>
      </c>
      <c r="U1508">
        <v>1198.77</v>
      </c>
      <c r="V1508">
        <v>1198.77</v>
      </c>
      <c r="W1508">
        <v>1198.77</v>
      </c>
      <c r="X1508">
        <v>0</v>
      </c>
      <c r="Y1508">
        <v>0</v>
      </c>
      <c r="Z1508">
        <v>-525</v>
      </c>
      <c r="AA1508">
        <v>696391</v>
      </c>
      <c r="AD1508" t="s">
        <v>42</v>
      </c>
      <c r="AE1508" t="s">
        <v>4489</v>
      </c>
      <c r="AF1508" t="s">
        <v>42</v>
      </c>
      <c r="AG1508">
        <v>50302801000180</v>
      </c>
      <c r="AH1508" t="s">
        <v>44</v>
      </c>
    </row>
    <row r="1509" spans="1:34" x14ac:dyDescent="0.3">
      <c r="A1509">
        <v>101</v>
      </c>
      <c r="B1509" t="s">
        <v>34</v>
      </c>
      <c r="C1509">
        <v>2</v>
      </c>
      <c r="D1509" s="1" t="s">
        <v>4490</v>
      </c>
      <c r="E1509" s="1" t="s">
        <v>122</v>
      </c>
      <c r="G1509">
        <v>50232</v>
      </c>
      <c r="H1509" t="s">
        <v>4486</v>
      </c>
      <c r="I1509" t="s">
        <v>4487</v>
      </c>
      <c r="J1509">
        <v>30</v>
      </c>
      <c r="K1509">
        <v>50232</v>
      </c>
      <c r="L1509">
        <v>50033</v>
      </c>
      <c r="M1509" t="s">
        <v>39</v>
      </c>
      <c r="N1509">
        <v>351</v>
      </c>
      <c r="O1509" s="2">
        <v>46199</v>
      </c>
      <c r="P1509" s="2">
        <v>46259</v>
      </c>
      <c r="R1509" t="s">
        <v>4491</v>
      </c>
      <c r="S1509" t="str">
        <f>"0000050407406"</f>
        <v>0000050407406</v>
      </c>
      <c r="T1509" t="s">
        <v>41</v>
      </c>
      <c r="U1509">
        <v>1157.1099999999999</v>
      </c>
      <c r="V1509">
        <v>1157.1099999999999</v>
      </c>
      <c r="W1509">
        <v>1157.1099999999999</v>
      </c>
      <c r="X1509">
        <v>0</v>
      </c>
      <c r="Y1509">
        <v>0</v>
      </c>
      <c r="Z1509">
        <v>-484</v>
      </c>
      <c r="AA1509">
        <v>692897</v>
      </c>
      <c r="AD1509" t="s">
        <v>42</v>
      </c>
      <c r="AE1509" t="s">
        <v>4489</v>
      </c>
      <c r="AF1509" t="s">
        <v>42</v>
      </c>
      <c r="AG1509">
        <v>50302801000180</v>
      </c>
      <c r="AH1509" t="s">
        <v>44</v>
      </c>
    </row>
    <row r="1510" spans="1:34" x14ac:dyDescent="0.3">
      <c r="A1510">
        <v>104</v>
      </c>
      <c r="B1510" t="s">
        <v>34</v>
      </c>
      <c r="C1510">
        <v>4</v>
      </c>
      <c r="D1510" s="1" t="s">
        <v>4492</v>
      </c>
      <c r="E1510" s="1" t="s">
        <v>36</v>
      </c>
      <c r="G1510">
        <v>52380</v>
      </c>
      <c r="H1510" t="s">
        <v>4493</v>
      </c>
      <c r="I1510" t="s">
        <v>4494</v>
      </c>
      <c r="J1510">
        <v>30</v>
      </c>
      <c r="K1510">
        <v>52380</v>
      </c>
      <c r="L1510">
        <v>95000</v>
      </c>
      <c r="M1510" t="s">
        <v>69</v>
      </c>
      <c r="N1510">
        <v>351</v>
      </c>
      <c r="O1510" s="2">
        <v>46224</v>
      </c>
      <c r="P1510" s="2">
        <v>46287</v>
      </c>
      <c r="R1510" t="s">
        <v>4495</v>
      </c>
      <c r="S1510" t="str">
        <f>""</f>
        <v/>
      </c>
      <c r="T1510" t="s">
        <v>41</v>
      </c>
      <c r="U1510">
        <v>21198.959999999999</v>
      </c>
      <c r="V1510">
        <v>21198.959999999999</v>
      </c>
      <c r="W1510">
        <v>21198.959999999999</v>
      </c>
      <c r="X1510">
        <v>0</v>
      </c>
      <c r="Y1510">
        <v>0</v>
      </c>
      <c r="Z1510">
        <v>-512</v>
      </c>
      <c r="AA1510">
        <v>686270</v>
      </c>
      <c r="AD1510" t="s">
        <v>1606</v>
      </c>
      <c r="AE1510" t="s">
        <v>4496</v>
      </c>
      <c r="AF1510" t="s">
        <v>1606</v>
      </c>
      <c r="AG1510">
        <v>25769266000124</v>
      </c>
      <c r="AH1510" t="s">
        <v>1462</v>
      </c>
    </row>
    <row r="1511" spans="1:34" x14ac:dyDescent="0.3">
      <c r="A1511">
        <v>101</v>
      </c>
      <c r="B1511" t="s">
        <v>34</v>
      </c>
      <c r="C1511">
        <v>2</v>
      </c>
      <c r="D1511" s="1" t="s">
        <v>4497</v>
      </c>
      <c r="E1511" s="1" t="s">
        <v>36</v>
      </c>
      <c r="G1511">
        <v>449047</v>
      </c>
      <c r="H1511" t="s">
        <v>4498</v>
      </c>
      <c r="I1511" t="s">
        <v>4499</v>
      </c>
      <c r="J1511">
        <v>12</v>
      </c>
      <c r="K1511">
        <v>50076</v>
      </c>
      <c r="L1511">
        <v>95000</v>
      </c>
      <c r="M1511" t="s">
        <v>69</v>
      </c>
      <c r="N1511">
        <v>351</v>
      </c>
      <c r="O1511" s="2">
        <v>46254</v>
      </c>
      <c r="P1511" s="2">
        <v>46255</v>
      </c>
      <c r="R1511" t="s">
        <v>4500</v>
      </c>
      <c r="S1511" t="str">
        <f>""</f>
        <v/>
      </c>
      <c r="T1511" t="s">
        <v>41</v>
      </c>
      <c r="U1511">
        <v>3645.72</v>
      </c>
      <c r="V1511">
        <v>3645.72</v>
      </c>
      <c r="W1511">
        <v>3645.72</v>
      </c>
      <c r="X1511">
        <v>0</v>
      </c>
      <c r="Y1511">
        <v>0</v>
      </c>
      <c r="Z1511">
        <v>-480</v>
      </c>
      <c r="AA1511">
        <v>696898</v>
      </c>
      <c r="AD1511" t="s">
        <v>4501</v>
      </c>
      <c r="AE1511" t="s">
        <v>4502</v>
      </c>
      <c r="AF1511" t="s">
        <v>4501</v>
      </c>
      <c r="AG1511">
        <v>18804209000173</v>
      </c>
      <c r="AH1511" t="s">
        <v>311</v>
      </c>
    </row>
    <row r="1512" spans="1:34" x14ac:dyDescent="0.3">
      <c r="A1512">
        <v>101</v>
      </c>
      <c r="B1512" t="s">
        <v>34</v>
      </c>
      <c r="C1512">
        <v>2</v>
      </c>
      <c r="D1512" s="1" t="s">
        <v>4503</v>
      </c>
      <c r="E1512" s="1" t="s">
        <v>36</v>
      </c>
      <c r="G1512">
        <v>451438</v>
      </c>
      <c r="H1512" t="s">
        <v>4504</v>
      </c>
      <c r="I1512" t="s">
        <v>4505</v>
      </c>
      <c r="J1512">
        <v>35</v>
      </c>
      <c r="K1512">
        <v>451438</v>
      </c>
      <c r="L1512">
        <v>95000</v>
      </c>
      <c r="M1512" t="s">
        <v>69</v>
      </c>
      <c r="N1512">
        <v>351</v>
      </c>
      <c r="O1512" s="2">
        <v>46223</v>
      </c>
      <c r="P1512" s="2">
        <v>46286</v>
      </c>
      <c r="R1512" t="s">
        <v>4506</v>
      </c>
      <c r="S1512" t="str">
        <f>""</f>
        <v/>
      </c>
      <c r="T1512" t="s">
        <v>41</v>
      </c>
      <c r="U1512">
        <v>171.11</v>
      </c>
      <c r="V1512">
        <v>87.69</v>
      </c>
      <c r="W1512">
        <v>87.69</v>
      </c>
      <c r="X1512">
        <v>0</v>
      </c>
      <c r="Y1512">
        <v>0</v>
      </c>
      <c r="Z1512">
        <v>-511</v>
      </c>
      <c r="AA1512">
        <v>694416</v>
      </c>
      <c r="AD1512" t="s">
        <v>42</v>
      </c>
      <c r="AE1512">
        <v>5516991212333</v>
      </c>
      <c r="AG1512">
        <v>31316745805</v>
      </c>
      <c r="AH1512" t="s">
        <v>44</v>
      </c>
    </row>
    <row r="1513" spans="1:34" x14ac:dyDescent="0.3">
      <c r="A1513">
        <v>101</v>
      </c>
      <c r="B1513" t="s">
        <v>34</v>
      </c>
      <c r="C1513">
        <v>2</v>
      </c>
      <c r="D1513" s="1" t="s">
        <v>4507</v>
      </c>
      <c r="E1513" s="1" t="s">
        <v>36</v>
      </c>
      <c r="G1513">
        <v>453096</v>
      </c>
      <c r="H1513" t="s">
        <v>4508</v>
      </c>
      <c r="I1513" t="s">
        <v>4509</v>
      </c>
      <c r="J1513">
        <v>12</v>
      </c>
      <c r="K1513">
        <v>50076</v>
      </c>
      <c r="L1513">
        <v>95000</v>
      </c>
      <c r="M1513" t="s">
        <v>69</v>
      </c>
      <c r="N1513">
        <v>351</v>
      </c>
      <c r="O1513" s="2">
        <v>46189</v>
      </c>
      <c r="P1513" s="2">
        <v>46251</v>
      </c>
      <c r="R1513" t="s">
        <v>4510</v>
      </c>
      <c r="S1513" t="str">
        <f>""</f>
        <v/>
      </c>
      <c r="T1513" t="s">
        <v>41</v>
      </c>
      <c r="U1513">
        <v>2158.3000000000002</v>
      </c>
      <c r="V1513">
        <v>315.92</v>
      </c>
      <c r="W1513">
        <v>315.92</v>
      </c>
      <c r="X1513">
        <v>0</v>
      </c>
      <c r="Y1513">
        <v>0</v>
      </c>
      <c r="Z1513">
        <v>-476</v>
      </c>
      <c r="AA1513">
        <v>691508</v>
      </c>
      <c r="AD1513" t="s">
        <v>470</v>
      </c>
      <c r="AE1513">
        <v>6436383304</v>
      </c>
      <c r="AF1513" t="s">
        <v>470</v>
      </c>
      <c r="AG1513" s="1" t="s">
        <v>4511</v>
      </c>
      <c r="AH1513" t="s">
        <v>311</v>
      </c>
    </row>
    <row r="1514" spans="1:34" x14ac:dyDescent="0.3">
      <c r="A1514">
        <v>101</v>
      </c>
      <c r="B1514" t="s">
        <v>34</v>
      </c>
      <c r="C1514">
        <v>2</v>
      </c>
      <c r="D1514" s="1" t="s">
        <v>4512</v>
      </c>
      <c r="E1514" s="1" t="s">
        <v>36</v>
      </c>
      <c r="G1514">
        <v>455501</v>
      </c>
      <c r="H1514" t="s">
        <v>4513</v>
      </c>
      <c r="I1514" t="s">
        <v>4514</v>
      </c>
      <c r="J1514">
        <v>35</v>
      </c>
      <c r="K1514">
        <v>455501</v>
      </c>
      <c r="L1514">
        <v>60237</v>
      </c>
      <c r="M1514" t="s">
        <v>39</v>
      </c>
      <c r="N1514">
        <v>351</v>
      </c>
      <c r="O1514" s="2">
        <v>46253</v>
      </c>
      <c r="P1514" s="2">
        <v>46273</v>
      </c>
      <c r="R1514" t="s">
        <v>4515</v>
      </c>
      <c r="S1514" t="str">
        <f>"390000033729"</f>
        <v>390000033729</v>
      </c>
      <c r="T1514" t="s">
        <v>41</v>
      </c>
      <c r="U1514">
        <v>1308.55</v>
      </c>
      <c r="V1514">
        <v>1308.55</v>
      </c>
      <c r="W1514">
        <v>1308.55</v>
      </c>
      <c r="X1514">
        <v>0</v>
      </c>
      <c r="Y1514">
        <v>0</v>
      </c>
      <c r="Z1514">
        <v>-498</v>
      </c>
      <c r="AA1514">
        <v>697211</v>
      </c>
      <c r="AD1514" t="s">
        <v>42</v>
      </c>
      <c r="AE1514">
        <v>16981019511</v>
      </c>
      <c r="AG1514">
        <v>27295720820</v>
      </c>
      <c r="AH1514" t="s">
        <v>44</v>
      </c>
    </row>
    <row r="1515" spans="1:34" x14ac:dyDescent="0.3">
      <c r="A1515">
        <v>101</v>
      </c>
      <c r="B1515" t="s">
        <v>34</v>
      </c>
      <c r="C1515">
        <v>2</v>
      </c>
      <c r="D1515" s="1" t="s">
        <v>4516</v>
      </c>
      <c r="E1515" s="1" t="s">
        <v>36</v>
      </c>
      <c r="G1515">
        <v>455501</v>
      </c>
      <c r="H1515" t="s">
        <v>4513</v>
      </c>
      <c r="I1515" t="s">
        <v>4514</v>
      </c>
      <c r="J1515">
        <v>35</v>
      </c>
      <c r="K1515">
        <v>455501</v>
      </c>
      <c r="L1515">
        <v>60237</v>
      </c>
      <c r="M1515" t="s">
        <v>39</v>
      </c>
      <c r="N1515">
        <v>351</v>
      </c>
      <c r="O1515" s="2">
        <v>46253</v>
      </c>
      <c r="P1515" s="2">
        <v>46273</v>
      </c>
      <c r="R1515" t="s">
        <v>4517</v>
      </c>
      <c r="S1515" t="str">
        <f>"390000033710"</f>
        <v>390000033710</v>
      </c>
      <c r="T1515" t="s">
        <v>41</v>
      </c>
      <c r="U1515">
        <v>255.15</v>
      </c>
      <c r="V1515">
        <v>255.15</v>
      </c>
      <c r="W1515">
        <v>255.15</v>
      </c>
      <c r="X1515">
        <v>0</v>
      </c>
      <c r="Y1515">
        <v>0</v>
      </c>
      <c r="Z1515">
        <v>-498</v>
      </c>
      <c r="AA1515">
        <v>697210</v>
      </c>
      <c r="AD1515" t="s">
        <v>42</v>
      </c>
      <c r="AE1515">
        <v>16981019511</v>
      </c>
      <c r="AG1515">
        <v>27295720820</v>
      </c>
      <c r="AH1515" t="s">
        <v>44</v>
      </c>
    </row>
    <row r="1516" spans="1:34" x14ac:dyDescent="0.3">
      <c r="A1516">
        <v>101</v>
      </c>
      <c r="B1516" t="s">
        <v>34</v>
      </c>
      <c r="C1516">
        <v>2</v>
      </c>
      <c r="D1516" s="1" t="s">
        <v>4518</v>
      </c>
      <c r="E1516" s="1" t="s">
        <v>36</v>
      </c>
      <c r="G1516">
        <v>455501</v>
      </c>
      <c r="H1516" t="s">
        <v>4513</v>
      </c>
      <c r="I1516" t="s">
        <v>4514</v>
      </c>
      <c r="J1516">
        <v>35</v>
      </c>
      <c r="K1516">
        <v>455501</v>
      </c>
      <c r="L1516">
        <v>60237</v>
      </c>
      <c r="M1516" t="s">
        <v>39</v>
      </c>
      <c r="N1516">
        <v>351</v>
      </c>
      <c r="O1516" s="2">
        <v>46253</v>
      </c>
      <c r="P1516" s="2">
        <v>46254</v>
      </c>
      <c r="R1516" t="s">
        <v>4519</v>
      </c>
      <c r="S1516" t="str">
        <f>"390000033702"</f>
        <v>390000033702</v>
      </c>
      <c r="T1516" t="s">
        <v>41</v>
      </c>
      <c r="U1516">
        <v>686.75</v>
      </c>
      <c r="V1516">
        <v>686.75</v>
      </c>
      <c r="W1516">
        <v>686.75</v>
      </c>
      <c r="X1516">
        <v>0</v>
      </c>
      <c r="Y1516">
        <v>0</v>
      </c>
      <c r="Z1516">
        <v>-479</v>
      </c>
      <c r="AA1516">
        <v>697209</v>
      </c>
      <c r="AD1516" t="s">
        <v>42</v>
      </c>
      <c r="AE1516">
        <v>16981019511</v>
      </c>
      <c r="AG1516">
        <v>27295720820</v>
      </c>
      <c r="AH1516" t="s">
        <v>44</v>
      </c>
    </row>
    <row r="1517" spans="1:34" x14ac:dyDescent="0.3">
      <c r="A1517">
        <v>101</v>
      </c>
      <c r="B1517" t="s">
        <v>34</v>
      </c>
      <c r="C1517">
        <v>2</v>
      </c>
      <c r="D1517" s="1" t="s">
        <v>4520</v>
      </c>
      <c r="E1517" s="1" t="s">
        <v>36</v>
      </c>
      <c r="G1517">
        <v>455501</v>
      </c>
      <c r="H1517" t="s">
        <v>4513</v>
      </c>
      <c r="I1517" t="s">
        <v>4514</v>
      </c>
      <c r="J1517">
        <v>35</v>
      </c>
      <c r="K1517">
        <v>455501</v>
      </c>
      <c r="L1517">
        <v>60237</v>
      </c>
      <c r="M1517" t="s">
        <v>39</v>
      </c>
      <c r="N1517">
        <v>351</v>
      </c>
      <c r="O1517" s="2">
        <v>46253</v>
      </c>
      <c r="P1517" s="2">
        <v>46273</v>
      </c>
      <c r="R1517" t="s">
        <v>4521</v>
      </c>
      <c r="S1517" t="str">
        <f>"390000033699"</f>
        <v>390000033699</v>
      </c>
      <c r="T1517" t="s">
        <v>41</v>
      </c>
      <c r="U1517">
        <v>817.65</v>
      </c>
      <c r="V1517">
        <v>800</v>
      </c>
      <c r="W1517">
        <v>800</v>
      </c>
      <c r="X1517">
        <v>0</v>
      </c>
      <c r="Y1517">
        <v>0</v>
      </c>
      <c r="Z1517">
        <v>-498</v>
      </c>
      <c r="AA1517">
        <v>697207</v>
      </c>
      <c r="AD1517" t="s">
        <v>42</v>
      </c>
      <c r="AE1517">
        <v>16981019511</v>
      </c>
      <c r="AG1517">
        <v>27295720820</v>
      </c>
      <c r="AH1517" t="s">
        <v>44</v>
      </c>
    </row>
    <row r="1518" spans="1:34" x14ac:dyDescent="0.3">
      <c r="A1518">
        <v>101</v>
      </c>
      <c r="B1518" t="s">
        <v>34</v>
      </c>
      <c r="C1518">
        <v>2</v>
      </c>
      <c r="D1518" s="1" t="s">
        <v>4522</v>
      </c>
      <c r="E1518" s="1" t="s">
        <v>36</v>
      </c>
      <c r="G1518">
        <v>455501</v>
      </c>
      <c r="H1518" t="s">
        <v>4513</v>
      </c>
      <c r="I1518" t="s">
        <v>4514</v>
      </c>
      <c r="J1518">
        <v>35</v>
      </c>
      <c r="K1518">
        <v>455501</v>
      </c>
      <c r="L1518">
        <v>95000</v>
      </c>
      <c r="M1518" t="s">
        <v>69</v>
      </c>
      <c r="N1518">
        <v>351</v>
      </c>
      <c r="O1518" s="2">
        <v>46237</v>
      </c>
      <c r="P1518" s="2">
        <v>46270</v>
      </c>
      <c r="R1518" t="s">
        <v>4523</v>
      </c>
      <c r="S1518" t="str">
        <f>""</f>
        <v/>
      </c>
      <c r="T1518" t="s">
        <v>41</v>
      </c>
      <c r="U1518">
        <v>4300</v>
      </c>
      <c r="V1518">
        <v>1450</v>
      </c>
      <c r="W1518">
        <v>1450</v>
      </c>
      <c r="X1518">
        <v>0</v>
      </c>
      <c r="Y1518">
        <v>0</v>
      </c>
      <c r="Z1518">
        <v>-495</v>
      </c>
      <c r="AD1518" t="s">
        <v>42</v>
      </c>
      <c r="AE1518">
        <v>16981019511</v>
      </c>
      <c r="AG1518">
        <v>27295720820</v>
      </c>
      <c r="AH1518" t="s">
        <v>44</v>
      </c>
    </row>
    <row r="1519" spans="1:34" x14ac:dyDescent="0.3">
      <c r="A1519">
        <v>101</v>
      </c>
      <c r="B1519" t="s">
        <v>34</v>
      </c>
      <c r="C1519">
        <v>2</v>
      </c>
      <c r="D1519" s="1" t="s">
        <v>4524</v>
      </c>
      <c r="E1519" s="1" t="s">
        <v>36</v>
      </c>
      <c r="G1519">
        <v>456122</v>
      </c>
      <c r="H1519" t="s">
        <v>4525</v>
      </c>
      <c r="I1519" t="s">
        <v>4526</v>
      </c>
      <c r="J1519">
        <v>30</v>
      </c>
      <c r="K1519">
        <v>453034</v>
      </c>
      <c r="L1519">
        <v>95000</v>
      </c>
      <c r="M1519" t="s">
        <v>69</v>
      </c>
      <c r="N1519">
        <v>351</v>
      </c>
      <c r="O1519" s="2">
        <v>46216</v>
      </c>
      <c r="P1519" s="2">
        <v>46302</v>
      </c>
      <c r="R1519" t="s">
        <v>4527</v>
      </c>
      <c r="S1519" t="str">
        <f>""</f>
        <v/>
      </c>
      <c r="T1519" t="s">
        <v>41</v>
      </c>
      <c r="U1519">
        <v>15249.62</v>
      </c>
      <c r="V1519">
        <v>15249.62</v>
      </c>
      <c r="W1519">
        <v>15249.62</v>
      </c>
      <c r="X1519">
        <v>0</v>
      </c>
      <c r="Y1519">
        <v>0</v>
      </c>
      <c r="Z1519">
        <v>-527</v>
      </c>
      <c r="AA1519">
        <v>694136</v>
      </c>
      <c r="AD1519" t="s">
        <v>4528</v>
      </c>
      <c r="AE1519">
        <v>1141302000</v>
      </c>
      <c r="AF1519" t="s">
        <v>4528</v>
      </c>
      <c r="AG1519">
        <v>15436940001410</v>
      </c>
      <c r="AH1519" t="s">
        <v>3698</v>
      </c>
    </row>
    <row r="1520" spans="1:34" x14ac:dyDescent="0.3">
      <c r="A1520">
        <v>101</v>
      </c>
      <c r="B1520" t="s">
        <v>34</v>
      </c>
      <c r="C1520">
        <v>2</v>
      </c>
      <c r="D1520" s="1" t="s">
        <v>4529</v>
      </c>
      <c r="E1520" s="1" t="s">
        <v>36</v>
      </c>
      <c r="G1520">
        <v>456122</v>
      </c>
      <c r="H1520" t="s">
        <v>4525</v>
      </c>
      <c r="I1520" t="s">
        <v>4526</v>
      </c>
      <c r="J1520">
        <v>30</v>
      </c>
      <c r="K1520">
        <v>453034</v>
      </c>
      <c r="L1520">
        <v>95000</v>
      </c>
      <c r="M1520" t="s">
        <v>69</v>
      </c>
      <c r="N1520">
        <v>351</v>
      </c>
      <c r="O1520" s="2">
        <v>46246</v>
      </c>
      <c r="P1520" s="2">
        <v>46321</v>
      </c>
      <c r="R1520" t="s">
        <v>4530</v>
      </c>
      <c r="S1520" t="str">
        <f>""</f>
        <v/>
      </c>
      <c r="T1520" t="s">
        <v>41</v>
      </c>
      <c r="U1520">
        <v>2009.88</v>
      </c>
      <c r="V1520">
        <v>2009.88</v>
      </c>
      <c r="W1520">
        <v>2009.88</v>
      </c>
      <c r="X1520">
        <v>0</v>
      </c>
      <c r="Y1520">
        <v>0</v>
      </c>
      <c r="Z1520">
        <v>-546</v>
      </c>
      <c r="AA1520">
        <v>696559</v>
      </c>
      <c r="AD1520" t="s">
        <v>4528</v>
      </c>
      <c r="AE1520">
        <v>1141302000</v>
      </c>
      <c r="AF1520" t="s">
        <v>4528</v>
      </c>
      <c r="AG1520">
        <v>15436940001410</v>
      </c>
      <c r="AH1520" t="s">
        <v>3698</v>
      </c>
    </row>
    <row r="1521" spans="1:34" x14ac:dyDescent="0.3">
      <c r="A1521">
        <v>101</v>
      </c>
      <c r="B1521" t="s">
        <v>34</v>
      </c>
      <c r="C1521">
        <v>2</v>
      </c>
      <c r="D1521" s="1" t="s">
        <v>4531</v>
      </c>
      <c r="E1521" s="1" t="s">
        <v>36</v>
      </c>
      <c r="G1521">
        <v>456122</v>
      </c>
      <c r="H1521" t="s">
        <v>4525</v>
      </c>
      <c r="I1521" t="s">
        <v>4526</v>
      </c>
      <c r="J1521">
        <v>30</v>
      </c>
      <c r="K1521">
        <v>453034</v>
      </c>
      <c r="L1521">
        <v>95000</v>
      </c>
      <c r="M1521" t="s">
        <v>69</v>
      </c>
      <c r="N1521">
        <v>351</v>
      </c>
      <c r="O1521" s="2">
        <v>46217</v>
      </c>
      <c r="P1521" s="2">
        <v>46308</v>
      </c>
      <c r="R1521" t="s">
        <v>4532</v>
      </c>
      <c r="S1521" t="str">
        <f>""</f>
        <v/>
      </c>
      <c r="T1521" t="s">
        <v>41</v>
      </c>
      <c r="U1521">
        <v>2779.43</v>
      </c>
      <c r="V1521">
        <v>2779.43</v>
      </c>
      <c r="W1521">
        <v>2779.43</v>
      </c>
      <c r="X1521">
        <v>0</v>
      </c>
      <c r="Y1521">
        <v>0</v>
      </c>
      <c r="Z1521">
        <v>-533</v>
      </c>
      <c r="AA1521">
        <v>694041</v>
      </c>
      <c r="AD1521" t="s">
        <v>4528</v>
      </c>
      <c r="AE1521">
        <v>1141302000</v>
      </c>
      <c r="AF1521" t="s">
        <v>4528</v>
      </c>
      <c r="AG1521">
        <v>15436940001410</v>
      </c>
      <c r="AH1521" t="s">
        <v>3698</v>
      </c>
    </row>
    <row r="1522" spans="1:34" x14ac:dyDescent="0.3">
      <c r="A1522">
        <v>101</v>
      </c>
      <c r="B1522" t="s">
        <v>34</v>
      </c>
      <c r="C1522">
        <v>2</v>
      </c>
      <c r="D1522" s="1" t="s">
        <v>4533</v>
      </c>
      <c r="E1522" s="1" t="s">
        <v>36</v>
      </c>
      <c r="G1522">
        <v>456122</v>
      </c>
      <c r="H1522" t="s">
        <v>4525</v>
      </c>
      <c r="I1522" t="s">
        <v>4526</v>
      </c>
      <c r="J1522">
        <v>30</v>
      </c>
      <c r="K1522">
        <v>453034</v>
      </c>
      <c r="L1522">
        <v>95000</v>
      </c>
      <c r="M1522" t="s">
        <v>69</v>
      </c>
      <c r="N1522">
        <v>351</v>
      </c>
      <c r="O1522" s="2">
        <v>46202</v>
      </c>
      <c r="P1522" s="2">
        <v>46293</v>
      </c>
      <c r="R1522" t="s">
        <v>4534</v>
      </c>
      <c r="S1522" t="str">
        <f>""</f>
        <v/>
      </c>
      <c r="T1522" t="s">
        <v>41</v>
      </c>
      <c r="U1522">
        <v>2332.59</v>
      </c>
      <c r="V1522">
        <v>2332.59</v>
      </c>
      <c r="W1522">
        <v>2332.59</v>
      </c>
      <c r="X1522">
        <v>0</v>
      </c>
      <c r="Y1522">
        <v>0</v>
      </c>
      <c r="Z1522">
        <v>-518</v>
      </c>
      <c r="AA1522">
        <v>693126</v>
      </c>
      <c r="AD1522" t="s">
        <v>4528</v>
      </c>
      <c r="AE1522">
        <v>1141302000</v>
      </c>
      <c r="AF1522" t="s">
        <v>4528</v>
      </c>
      <c r="AG1522">
        <v>15436940001410</v>
      </c>
      <c r="AH1522" t="s">
        <v>3698</v>
      </c>
    </row>
    <row r="1523" spans="1:34" x14ac:dyDescent="0.3">
      <c r="A1523">
        <v>101</v>
      </c>
      <c r="B1523" t="s">
        <v>34</v>
      </c>
      <c r="C1523">
        <v>2</v>
      </c>
      <c r="D1523" s="1" t="s">
        <v>4535</v>
      </c>
      <c r="E1523" s="1" t="s">
        <v>36</v>
      </c>
      <c r="G1523">
        <v>456122</v>
      </c>
      <c r="H1523" t="s">
        <v>4525</v>
      </c>
      <c r="I1523" t="s">
        <v>4526</v>
      </c>
      <c r="J1523">
        <v>30</v>
      </c>
      <c r="K1523">
        <v>453034</v>
      </c>
      <c r="L1523">
        <v>95000</v>
      </c>
      <c r="M1523" t="s">
        <v>69</v>
      </c>
      <c r="N1523">
        <v>351</v>
      </c>
      <c r="O1523" s="2">
        <v>46224</v>
      </c>
      <c r="P1523" s="2">
        <v>46309</v>
      </c>
      <c r="R1523" t="s">
        <v>4536</v>
      </c>
      <c r="S1523" t="str">
        <f>""</f>
        <v/>
      </c>
      <c r="T1523" t="s">
        <v>41</v>
      </c>
      <c r="U1523">
        <v>4984.04</v>
      </c>
      <c r="V1523">
        <v>4984.04</v>
      </c>
      <c r="W1523">
        <v>4984.04</v>
      </c>
      <c r="X1523">
        <v>0</v>
      </c>
      <c r="Y1523">
        <v>0</v>
      </c>
      <c r="Z1523">
        <v>-534</v>
      </c>
      <c r="AA1523">
        <v>694421</v>
      </c>
      <c r="AD1523" t="s">
        <v>4528</v>
      </c>
      <c r="AE1523">
        <v>1141302000</v>
      </c>
      <c r="AF1523" t="s">
        <v>4528</v>
      </c>
      <c r="AG1523">
        <v>15436940001410</v>
      </c>
      <c r="AH1523" t="s">
        <v>3698</v>
      </c>
    </row>
    <row r="1524" spans="1:34" x14ac:dyDescent="0.3">
      <c r="A1524">
        <v>101</v>
      </c>
      <c r="B1524" t="s">
        <v>34</v>
      </c>
      <c r="C1524">
        <v>2</v>
      </c>
      <c r="D1524" s="1" t="s">
        <v>4537</v>
      </c>
      <c r="E1524" s="1" t="s">
        <v>36</v>
      </c>
      <c r="G1524">
        <v>456122</v>
      </c>
      <c r="H1524" t="s">
        <v>4525</v>
      </c>
      <c r="I1524" t="s">
        <v>4526</v>
      </c>
      <c r="J1524">
        <v>30</v>
      </c>
      <c r="K1524">
        <v>453034</v>
      </c>
      <c r="L1524">
        <v>95000</v>
      </c>
      <c r="M1524" t="s">
        <v>69</v>
      </c>
      <c r="N1524">
        <v>351</v>
      </c>
      <c r="O1524" s="2">
        <v>46181</v>
      </c>
      <c r="P1524" s="2">
        <v>46273</v>
      </c>
      <c r="R1524" t="s">
        <v>4538</v>
      </c>
      <c r="S1524" t="str">
        <f>""</f>
        <v/>
      </c>
      <c r="T1524" t="s">
        <v>41</v>
      </c>
      <c r="U1524">
        <v>8602.57</v>
      </c>
      <c r="V1524">
        <v>8602.57</v>
      </c>
      <c r="W1524">
        <v>8602.57</v>
      </c>
      <c r="X1524">
        <v>0</v>
      </c>
      <c r="Y1524">
        <v>0</v>
      </c>
      <c r="Z1524">
        <v>-498</v>
      </c>
      <c r="AA1524">
        <v>690686</v>
      </c>
      <c r="AD1524" t="s">
        <v>4528</v>
      </c>
      <c r="AE1524">
        <v>1141302000</v>
      </c>
      <c r="AF1524" t="s">
        <v>4528</v>
      </c>
      <c r="AG1524">
        <v>15436940001410</v>
      </c>
      <c r="AH1524" t="s">
        <v>3698</v>
      </c>
    </row>
    <row r="1525" spans="1:34" x14ac:dyDescent="0.3">
      <c r="A1525">
        <v>101</v>
      </c>
      <c r="B1525" t="s">
        <v>34</v>
      </c>
      <c r="C1525">
        <v>2</v>
      </c>
      <c r="D1525" s="1" t="s">
        <v>4539</v>
      </c>
      <c r="E1525" s="1" t="s">
        <v>36</v>
      </c>
      <c r="G1525">
        <v>456122</v>
      </c>
      <c r="H1525" t="s">
        <v>4525</v>
      </c>
      <c r="I1525" t="s">
        <v>4526</v>
      </c>
      <c r="J1525">
        <v>30</v>
      </c>
      <c r="K1525">
        <v>453034</v>
      </c>
      <c r="L1525">
        <v>95000</v>
      </c>
      <c r="M1525" t="s">
        <v>69</v>
      </c>
      <c r="N1525">
        <v>351</v>
      </c>
      <c r="O1525" s="2">
        <v>46216</v>
      </c>
      <c r="P1525" s="2">
        <v>46302</v>
      </c>
      <c r="R1525" t="s">
        <v>4540</v>
      </c>
      <c r="S1525" t="str">
        <f>""</f>
        <v/>
      </c>
      <c r="T1525" t="s">
        <v>41</v>
      </c>
      <c r="U1525">
        <v>2396.4699999999998</v>
      </c>
      <c r="V1525">
        <v>2396.4699999999998</v>
      </c>
      <c r="W1525">
        <v>2396.4699999999998</v>
      </c>
      <c r="X1525">
        <v>0</v>
      </c>
      <c r="Y1525">
        <v>0</v>
      </c>
      <c r="Z1525">
        <v>-527</v>
      </c>
      <c r="AA1525">
        <v>694130</v>
      </c>
      <c r="AD1525" t="s">
        <v>4528</v>
      </c>
      <c r="AE1525">
        <v>1141302000</v>
      </c>
      <c r="AF1525" t="s">
        <v>4528</v>
      </c>
      <c r="AG1525">
        <v>15436940001410</v>
      </c>
      <c r="AH1525" t="s">
        <v>3698</v>
      </c>
    </row>
    <row r="1526" spans="1:34" x14ac:dyDescent="0.3">
      <c r="A1526">
        <v>101</v>
      </c>
      <c r="B1526" t="s">
        <v>34</v>
      </c>
      <c r="C1526">
        <v>2</v>
      </c>
      <c r="D1526" s="1" t="s">
        <v>4541</v>
      </c>
      <c r="E1526" s="1" t="s">
        <v>36</v>
      </c>
      <c r="G1526">
        <v>456122</v>
      </c>
      <c r="H1526" t="s">
        <v>4525</v>
      </c>
      <c r="I1526" t="s">
        <v>4526</v>
      </c>
      <c r="J1526">
        <v>30</v>
      </c>
      <c r="K1526">
        <v>453034</v>
      </c>
      <c r="L1526">
        <v>95000</v>
      </c>
      <c r="M1526" t="s">
        <v>69</v>
      </c>
      <c r="N1526">
        <v>351</v>
      </c>
      <c r="O1526" s="2">
        <v>46163</v>
      </c>
      <c r="P1526" s="2">
        <v>46250</v>
      </c>
      <c r="R1526" t="s">
        <v>4542</v>
      </c>
      <c r="S1526" t="str">
        <f>""</f>
        <v/>
      </c>
      <c r="T1526" t="s">
        <v>41</v>
      </c>
      <c r="U1526">
        <v>3010.8</v>
      </c>
      <c r="V1526">
        <v>94.56</v>
      </c>
      <c r="W1526">
        <v>94.56</v>
      </c>
      <c r="X1526">
        <v>0</v>
      </c>
      <c r="Y1526">
        <v>0</v>
      </c>
      <c r="Z1526">
        <v>-475</v>
      </c>
      <c r="AA1526">
        <v>688557</v>
      </c>
      <c r="AD1526" t="s">
        <v>4528</v>
      </c>
      <c r="AE1526">
        <v>1141302000</v>
      </c>
      <c r="AF1526" t="s">
        <v>4528</v>
      </c>
      <c r="AG1526">
        <v>15436940001410</v>
      </c>
      <c r="AH1526" t="s">
        <v>3698</v>
      </c>
    </row>
    <row r="1527" spans="1:34" x14ac:dyDescent="0.3">
      <c r="A1527">
        <v>101</v>
      </c>
      <c r="B1527" t="s">
        <v>34</v>
      </c>
      <c r="C1527">
        <v>2</v>
      </c>
      <c r="D1527" s="1" t="s">
        <v>4543</v>
      </c>
      <c r="E1527" s="1" t="s">
        <v>36</v>
      </c>
      <c r="G1527">
        <v>456122</v>
      </c>
      <c r="H1527" t="s">
        <v>4525</v>
      </c>
      <c r="I1527" t="s">
        <v>4526</v>
      </c>
      <c r="J1527">
        <v>30</v>
      </c>
      <c r="K1527">
        <v>453034</v>
      </c>
      <c r="L1527">
        <v>95000</v>
      </c>
      <c r="M1527" t="s">
        <v>69</v>
      </c>
      <c r="N1527">
        <v>351</v>
      </c>
      <c r="O1527" s="2">
        <v>46168</v>
      </c>
      <c r="P1527" s="2">
        <v>46260</v>
      </c>
      <c r="R1527" t="s">
        <v>4544</v>
      </c>
      <c r="S1527" t="str">
        <f>""</f>
        <v/>
      </c>
      <c r="T1527" t="s">
        <v>41</v>
      </c>
      <c r="U1527">
        <v>2633.4</v>
      </c>
      <c r="V1527">
        <v>2633.4</v>
      </c>
      <c r="W1527">
        <v>2633.4</v>
      </c>
      <c r="X1527">
        <v>0</v>
      </c>
      <c r="Y1527">
        <v>0</v>
      </c>
      <c r="Z1527">
        <v>-485</v>
      </c>
      <c r="AA1527">
        <v>689081</v>
      </c>
      <c r="AD1527" t="s">
        <v>4528</v>
      </c>
      <c r="AE1527">
        <v>1141302000</v>
      </c>
      <c r="AF1527" t="s">
        <v>4528</v>
      </c>
      <c r="AG1527">
        <v>15436940001410</v>
      </c>
      <c r="AH1527" t="s">
        <v>3698</v>
      </c>
    </row>
    <row r="1528" spans="1:34" x14ac:dyDescent="0.3">
      <c r="A1528">
        <v>101</v>
      </c>
      <c r="B1528" t="s">
        <v>34</v>
      </c>
      <c r="C1528">
        <v>2</v>
      </c>
      <c r="D1528" s="1" t="s">
        <v>4545</v>
      </c>
      <c r="E1528" s="1" t="s">
        <v>36</v>
      </c>
      <c r="G1528">
        <v>456122</v>
      </c>
      <c r="H1528" t="s">
        <v>4525</v>
      </c>
      <c r="I1528" t="s">
        <v>4526</v>
      </c>
      <c r="J1528">
        <v>30</v>
      </c>
      <c r="K1528">
        <v>453034</v>
      </c>
      <c r="L1528">
        <v>95000</v>
      </c>
      <c r="M1528" t="s">
        <v>69</v>
      </c>
      <c r="N1528">
        <v>351</v>
      </c>
      <c r="O1528" s="2">
        <v>46168</v>
      </c>
      <c r="P1528" s="2">
        <v>46259</v>
      </c>
      <c r="R1528" t="s">
        <v>4546</v>
      </c>
      <c r="S1528" t="str">
        <f>""</f>
        <v/>
      </c>
      <c r="T1528" t="s">
        <v>41</v>
      </c>
      <c r="U1528">
        <v>9227.0400000000009</v>
      </c>
      <c r="V1528">
        <v>9227.0400000000009</v>
      </c>
      <c r="W1528">
        <v>9227.0400000000009</v>
      </c>
      <c r="X1528">
        <v>0</v>
      </c>
      <c r="Y1528">
        <v>0</v>
      </c>
      <c r="Z1528">
        <v>-484</v>
      </c>
      <c r="AA1528">
        <v>689073</v>
      </c>
      <c r="AD1528" t="s">
        <v>4528</v>
      </c>
      <c r="AE1528">
        <v>1141302000</v>
      </c>
      <c r="AF1528" t="s">
        <v>4528</v>
      </c>
      <c r="AG1528">
        <v>15436940001410</v>
      </c>
      <c r="AH1528" t="s">
        <v>3698</v>
      </c>
    </row>
    <row r="1529" spans="1:34" x14ac:dyDescent="0.3">
      <c r="A1529">
        <v>101</v>
      </c>
      <c r="B1529" t="s">
        <v>34</v>
      </c>
      <c r="C1529">
        <v>2</v>
      </c>
      <c r="D1529" s="1" t="s">
        <v>4547</v>
      </c>
      <c r="E1529" s="1" t="s">
        <v>36</v>
      </c>
      <c r="G1529">
        <v>456122</v>
      </c>
      <c r="H1529" t="s">
        <v>4525</v>
      </c>
      <c r="I1529" t="s">
        <v>4526</v>
      </c>
      <c r="J1529">
        <v>30</v>
      </c>
      <c r="K1529">
        <v>453034</v>
      </c>
      <c r="L1529">
        <v>95000</v>
      </c>
      <c r="M1529" t="s">
        <v>69</v>
      </c>
      <c r="N1529">
        <v>351</v>
      </c>
      <c r="O1529" s="2">
        <v>46168</v>
      </c>
      <c r="P1529" s="2">
        <v>46260</v>
      </c>
      <c r="R1529" t="s">
        <v>4548</v>
      </c>
      <c r="S1529" t="str">
        <f>""</f>
        <v/>
      </c>
      <c r="T1529" t="s">
        <v>41</v>
      </c>
      <c r="U1529">
        <v>1853.04</v>
      </c>
      <c r="V1529">
        <v>1853.04</v>
      </c>
      <c r="W1529">
        <v>1853.04</v>
      </c>
      <c r="X1529">
        <v>0</v>
      </c>
      <c r="Y1529">
        <v>0</v>
      </c>
      <c r="Z1529">
        <v>-485</v>
      </c>
      <c r="AA1529">
        <v>689083</v>
      </c>
      <c r="AD1529" t="s">
        <v>4528</v>
      </c>
      <c r="AE1529">
        <v>1141302000</v>
      </c>
      <c r="AF1529" t="s">
        <v>4528</v>
      </c>
      <c r="AG1529">
        <v>15436940001410</v>
      </c>
      <c r="AH1529" t="s">
        <v>3698</v>
      </c>
    </row>
    <row r="1530" spans="1:34" x14ac:dyDescent="0.3">
      <c r="A1530">
        <v>101</v>
      </c>
      <c r="B1530" t="s">
        <v>34</v>
      </c>
      <c r="C1530">
        <v>2</v>
      </c>
      <c r="D1530" s="1" t="s">
        <v>4549</v>
      </c>
      <c r="E1530" s="1" t="s">
        <v>36</v>
      </c>
      <c r="G1530">
        <v>457271</v>
      </c>
      <c r="H1530" t="s">
        <v>4550</v>
      </c>
      <c r="I1530" t="s">
        <v>4551</v>
      </c>
      <c r="J1530">
        <v>35</v>
      </c>
      <c r="K1530">
        <v>457271</v>
      </c>
      <c r="L1530">
        <v>50001</v>
      </c>
      <c r="M1530" t="s">
        <v>39</v>
      </c>
      <c r="N1530">
        <v>351</v>
      </c>
      <c r="O1530" s="2">
        <v>46225</v>
      </c>
      <c r="P1530" s="2">
        <v>46255</v>
      </c>
      <c r="R1530" t="s">
        <v>4552</v>
      </c>
      <c r="S1530" t="str">
        <f>"25666160000051555"</f>
        <v>25666160000051555</v>
      </c>
      <c r="T1530" t="s">
        <v>41</v>
      </c>
      <c r="U1530">
        <v>80</v>
      </c>
      <c r="V1530">
        <v>80</v>
      </c>
      <c r="W1530">
        <v>80</v>
      </c>
      <c r="X1530">
        <v>0</v>
      </c>
      <c r="Y1530">
        <v>0</v>
      </c>
      <c r="Z1530">
        <v>-480</v>
      </c>
      <c r="AD1530" t="s">
        <v>42</v>
      </c>
      <c r="AE1530">
        <v>5516981440204</v>
      </c>
      <c r="AG1530">
        <v>32659416800</v>
      </c>
      <c r="AH1530" t="s">
        <v>44</v>
      </c>
    </row>
    <row r="1531" spans="1:34" x14ac:dyDescent="0.3">
      <c r="A1531">
        <v>101</v>
      </c>
      <c r="B1531" t="s">
        <v>34</v>
      </c>
      <c r="C1531">
        <v>2</v>
      </c>
      <c r="D1531" s="1" t="s">
        <v>4553</v>
      </c>
      <c r="E1531" s="1" t="s">
        <v>36</v>
      </c>
      <c r="G1531">
        <v>457899</v>
      </c>
      <c r="H1531" t="s">
        <v>4554</v>
      </c>
      <c r="I1531" t="s">
        <v>4526</v>
      </c>
      <c r="J1531">
        <v>30</v>
      </c>
      <c r="K1531">
        <v>453034</v>
      </c>
      <c r="L1531">
        <v>95000</v>
      </c>
      <c r="M1531" t="s">
        <v>69</v>
      </c>
      <c r="N1531">
        <v>351</v>
      </c>
      <c r="O1531" s="2">
        <v>46169</v>
      </c>
      <c r="P1531" s="2">
        <v>46259</v>
      </c>
      <c r="R1531" t="s">
        <v>4555</v>
      </c>
      <c r="S1531" t="str">
        <f>""</f>
        <v/>
      </c>
      <c r="T1531" t="s">
        <v>41</v>
      </c>
      <c r="U1531">
        <v>5031.1899999999996</v>
      </c>
      <c r="V1531">
        <v>5031.1899999999996</v>
      </c>
      <c r="W1531">
        <v>5031.1899999999996</v>
      </c>
      <c r="X1531">
        <v>0</v>
      </c>
      <c r="Y1531">
        <v>0</v>
      </c>
      <c r="Z1531">
        <v>-484</v>
      </c>
      <c r="AA1531" t="s">
        <v>4556</v>
      </c>
      <c r="AD1531" t="s">
        <v>4328</v>
      </c>
      <c r="AE1531" t="s">
        <v>4557</v>
      </c>
      <c r="AF1531" t="s">
        <v>4328</v>
      </c>
      <c r="AG1531">
        <v>15436940001681</v>
      </c>
      <c r="AH1531" t="s">
        <v>3520</v>
      </c>
    </row>
    <row r="1532" spans="1:34" x14ac:dyDescent="0.3">
      <c r="A1532">
        <v>101</v>
      </c>
      <c r="B1532" t="s">
        <v>34</v>
      </c>
      <c r="C1532">
        <v>2</v>
      </c>
      <c r="D1532" s="1" t="s">
        <v>4558</v>
      </c>
      <c r="E1532" s="1" t="s">
        <v>36</v>
      </c>
      <c r="G1532">
        <v>457899</v>
      </c>
      <c r="H1532" t="s">
        <v>4554</v>
      </c>
      <c r="I1532" t="s">
        <v>4526</v>
      </c>
      <c r="J1532">
        <v>30</v>
      </c>
      <c r="K1532">
        <v>453034</v>
      </c>
      <c r="L1532">
        <v>95000</v>
      </c>
      <c r="M1532" t="s">
        <v>69</v>
      </c>
      <c r="N1532">
        <v>351</v>
      </c>
      <c r="O1532" s="2">
        <v>46169</v>
      </c>
      <c r="P1532" s="2">
        <v>46258</v>
      </c>
      <c r="R1532" t="s">
        <v>4559</v>
      </c>
      <c r="S1532" t="str">
        <f>""</f>
        <v/>
      </c>
      <c r="T1532" t="s">
        <v>41</v>
      </c>
      <c r="U1532">
        <v>773.76</v>
      </c>
      <c r="V1532">
        <v>773.76</v>
      </c>
      <c r="W1532">
        <v>773.76</v>
      </c>
      <c r="X1532">
        <v>0</v>
      </c>
      <c r="Y1532">
        <v>0</v>
      </c>
      <c r="Z1532">
        <v>-483</v>
      </c>
      <c r="AA1532" t="s">
        <v>4560</v>
      </c>
      <c r="AD1532" t="s">
        <v>4328</v>
      </c>
      <c r="AE1532" t="s">
        <v>4557</v>
      </c>
      <c r="AF1532" t="s">
        <v>4328</v>
      </c>
      <c r="AG1532">
        <v>15436940001681</v>
      </c>
      <c r="AH1532" t="s">
        <v>3520</v>
      </c>
    </row>
    <row r="1533" spans="1:34" x14ac:dyDescent="0.3">
      <c r="A1533">
        <v>101</v>
      </c>
      <c r="B1533" t="s">
        <v>34</v>
      </c>
      <c r="C1533">
        <v>2</v>
      </c>
      <c r="D1533" s="1" t="s">
        <v>4561</v>
      </c>
      <c r="E1533" s="1" t="s">
        <v>36</v>
      </c>
      <c r="G1533">
        <v>457899</v>
      </c>
      <c r="H1533" t="s">
        <v>4554</v>
      </c>
      <c r="I1533" t="s">
        <v>4526</v>
      </c>
      <c r="J1533">
        <v>30</v>
      </c>
      <c r="K1533">
        <v>453034</v>
      </c>
      <c r="L1533">
        <v>95000</v>
      </c>
      <c r="M1533" t="s">
        <v>69</v>
      </c>
      <c r="N1533">
        <v>351</v>
      </c>
      <c r="O1533" s="2">
        <v>46210</v>
      </c>
      <c r="P1533" s="2">
        <v>46313</v>
      </c>
      <c r="R1533" t="s">
        <v>4562</v>
      </c>
      <c r="S1533" t="str">
        <f>""</f>
        <v/>
      </c>
      <c r="T1533" t="s">
        <v>41</v>
      </c>
      <c r="U1533">
        <v>4836.55</v>
      </c>
      <c r="V1533">
        <v>4836.55</v>
      </c>
      <c r="W1533">
        <v>4836.55</v>
      </c>
      <c r="X1533">
        <v>0</v>
      </c>
      <c r="Y1533">
        <v>0</v>
      </c>
      <c r="Z1533">
        <v>-538</v>
      </c>
      <c r="AA1533">
        <v>693124</v>
      </c>
      <c r="AD1533" t="s">
        <v>4328</v>
      </c>
      <c r="AE1533" t="s">
        <v>4557</v>
      </c>
      <c r="AF1533" t="s">
        <v>4328</v>
      </c>
      <c r="AG1533">
        <v>15436940001681</v>
      </c>
      <c r="AH1533" t="s">
        <v>3520</v>
      </c>
    </row>
    <row r="1534" spans="1:34" x14ac:dyDescent="0.3">
      <c r="A1534">
        <v>101</v>
      </c>
      <c r="B1534" t="s">
        <v>34</v>
      </c>
      <c r="C1534">
        <v>2</v>
      </c>
      <c r="D1534" s="1" t="s">
        <v>4563</v>
      </c>
      <c r="E1534" s="1" t="s">
        <v>36</v>
      </c>
      <c r="G1534">
        <v>457899</v>
      </c>
      <c r="H1534" t="s">
        <v>4554</v>
      </c>
      <c r="I1534" t="s">
        <v>4526</v>
      </c>
      <c r="J1534">
        <v>30</v>
      </c>
      <c r="K1534">
        <v>453034</v>
      </c>
      <c r="L1534">
        <v>95000</v>
      </c>
      <c r="M1534" t="s">
        <v>69</v>
      </c>
      <c r="N1534">
        <v>351</v>
      </c>
      <c r="O1534" s="2">
        <v>46216</v>
      </c>
      <c r="P1534" s="2">
        <v>46291</v>
      </c>
      <c r="R1534" t="s">
        <v>4564</v>
      </c>
      <c r="S1534" t="str">
        <f>""</f>
        <v/>
      </c>
      <c r="T1534" t="s">
        <v>41</v>
      </c>
      <c r="U1534">
        <v>4804.99</v>
      </c>
      <c r="V1534">
        <v>4804.99</v>
      </c>
      <c r="W1534">
        <v>4804.99</v>
      </c>
      <c r="X1534">
        <v>0</v>
      </c>
      <c r="Y1534">
        <v>0</v>
      </c>
      <c r="Z1534">
        <v>-516</v>
      </c>
      <c r="AA1534">
        <v>694045</v>
      </c>
      <c r="AD1534" t="s">
        <v>4328</v>
      </c>
      <c r="AE1534" t="s">
        <v>4557</v>
      </c>
      <c r="AF1534" t="s">
        <v>4328</v>
      </c>
      <c r="AG1534">
        <v>15436940001681</v>
      </c>
      <c r="AH1534" t="s">
        <v>3520</v>
      </c>
    </row>
    <row r="1535" spans="1:34" x14ac:dyDescent="0.3">
      <c r="A1535">
        <v>101</v>
      </c>
      <c r="B1535" t="s">
        <v>34</v>
      </c>
      <c r="C1535">
        <v>2</v>
      </c>
      <c r="D1535" s="1" t="s">
        <v>4565</v>
      </c>
      <c r="E1535" s="1" t="s">
        <v>36</v>
      </c>
      <c r="G1535">
        <v>457899</v>
      </c>
      <c r="H1535" t="s">
        <v>4554</v>
      </c>
      <c r="I1535" t="s">
        <v>4526</v>
      </c>
      <c r="J1535">
        <v>30</v>
      </c>
      <c r="K1535">
        <v>453034</v>
      </c>
      <c r="L1535">
        <v>95000</v>
      </c>
      <c r="M1535" t="s">
        <v>69</v>
      </c>
      <c r="N1535">
        <v>351</v>
      </c>
      <c r="O1535" s="2">
        <v>46216</v>
      </c>
      <c r="P1535" s="2">
        <v>46291</v>
      </c>
      <c r="R1535" t="s">
        <v>4566</v>
      </c>
      <c r="S1535" t="str">
        <f>""</f>
        <v/>
      </c>
      <c r="T1535" t="s">
        <v>41</v>
      </c>
      <c r="U1535">
        <v>1927.55</v>
      </c>
      <c r="V1535">
        <v>1927.55</v>
      </c>
      <c r="W1535">
        <v>1927.55</v>
      </c>
      <c r="X1535">
        <v>0</v>
      </c>
      <c r="Y1535">
        <v>0</v>
      </c>
      <c r="Z1535">
        <v>-516</v>
      </c>
      <c r="AA1535">
        <v>694128</v>
      </c>
      <c r="AD1535" t="s">
        <v>4328</v>
      </c>
      <c r="AE1535" t="s">
        <v>4557</v>
      </c>
      <c r="AF1535" t="s">
        <v>4328</v>
      </c>
      <c r="AG1535">
        <v>15436940001681</v>
      </c>
      <c r="AH1535" t="s">
        <v>3520</v>
      </c>
    </row>
    <row r="1536" spans="1:34" x14ac:dyDescent="0.3">
      <c r="A1536">
        <v>101</v>
      </c>
      <c r="B1536" t="s">
        <v>34</v>
      </c>
      <c r="C1536">
        <v>2</v>
      </c>
      <c r="D1536" s="1" t="s">
        <v>4567</v>
      </c>
      <c r="E1536" s="1" t="s">
        <v>36</v>
      </c>
      <c r="G1536">
        <v>457899</v>
      </c>
      <c r="H1536" t="s">
        <v>4554</v>
      </c>
      <c r="I1536" t="s">
        <v>4526</v>
      </c>
      <c r="J1536">
        <v>30</v>
      </c>
      <c r="K1536">
        <v>453034</v>
      </c>
      <c r="L1536">
        <v>95000</v>
      </c>
      <c r="M1536" t="s">
        <v>69</v>
      </c>
      <c r="N1536">
        <v>351</v>
      </c>
      <c r="O1536" s="2">
        <v>46216</v>
      </c>
      <c r="P1536" s="2">
        <v>46291</v>
      </c>
      <c r="R1536" t="s">
        <v>4568</v>
      </c>
      <c r="S1536" t="str">
        <f>""</f>
        <v/>
      </c>
      <c r="T1536" t="s">
        <v>41</v>
      </c>
      <c r="U1536">
        <v>4062.71</v>
      </c>
      <c r="V1536">
        <v>4062.71</v>
      </c>
      <c r="W1536">
        <v>4062.71</v>
      </c>
      <c r="X1536">
        <v>0</v>
      </c>
      <c r="Y1536">
        <v>0</v>
      </c>
      <c r="Z1536">
        <v>-516</v>
      </c>
      <c r="AA1536">
        <v>694132</v>
      </c>
      <c r="AD1536" t="s">
        <v>4328</v>
      </c>
      <c r="AE1536" t="s">
        <v>4557</v>
      </c>
      <c r="AF1536" t="s">
        <v>4328</v>
      </c>
      <c r="AG1536">
        <v>15436940001681</v>
      </c>
      <c r="AH1536" t="s">
        <v>3520</v>
      </c>
    </row>
    <row r="1537" spans="1:34" x14ac:dyDescent="0.3">
      <c r="A1537">
        <v>101</v>
      </c>
      <c r="B1537" t="s">
        <v>34</v>
      </c>
      <c r="C1537">
        <v>2</v>
      </c>
      <c r="D1537" s="1" t="s">
        <v>4569</v>
      </c>
      <c r="E1537" s="1" t="s">
        <v>36</v>
      </c>
      <c r="G1537">
        <v>460757</v>
      </c>
      <c r="H1537" t="s">
        <v>4570</v>
      </c>
      <c r="I1537" t="s">
        <v>4571</v>
      </c>
      <c r="J1537">
        <v>35</v>
      </c>
      <c r="K1537">
        <v>460757</v>
      </c>
      <c r="L1537">
        <v>95080</v>
      </c>
      <c r="M1537" t="s">
        <v>83</v>
      </c>
      <c r="N1537">
        <v>351</v>
      </c>
      <c r="O1537" s="2">
        <v>46114</v>
      </c>
      <c r="P1537" s="2">
        <v>46188</v>
      </c>
      <c r="R1537" t="s">
        <v>4572</v>
      </c>
      <c r="S1537" t="str">
        <f>""</f>
        <v/>
      </c>
      <c r="T1537" t="s">
        <v>41</v>
      </c>
      <c r="U1537">
        <v>3281.94</v>
      </c>
      <c r="V1537">
        <v>3281.94</v>
      </c>
      <c r="W1537">
        <v>3281.94</v>
      </c>
      <c r="X1537">
        <v>0</v>
      </c>
      <c r="Y1537">
        <v>0</v>
      </c>
      <c r="Z1537">
        <v>-413</v>
      </c>
      <c r="AA1537">
        <v>682727</v>
      </c>
      <c r="AD1537" t="s">
        <v>4573</v>
      </c>
      <c r="AE1537" t="s">
        <v>4574</v>
      </c>
      <c r="AF1537" t="s">
        <v>4573</v>
      </c>
      <c r="AG1537">
        <v>23062850000110</v>
      </c>
      <c r="AH1537" t="s">
        <v>3024</v>
      </c>
    </row>
    <row r="1538" spans="1:34" x14ac:dyDescent="0.3">
      <c r="A1538">
        <v>101</v>
      </c>
      <c r="B1538" t="s">
        <v>34</v>
      </c>
      <c r="C1538">
        <v>2</v>
      </c>
      <c r="D1538" s="1" t="s">
        <v>4575</v>
      </c>
      <c r="E1538" s="1" t="s">
        <v>36</v>
      </c>
      <c r="G1538">
        <v>460757</v>
      </c>
      <c r="H1538" t="s">
        <v>4570</v>
      </c>
      <c r="I1538" t="s">
        <v>4571</v>
      </c>
      <c r="J1538">
        <v>35</v>
      </c>
      <c r="K1538">
        <v>460757</v>
      </c>
      <c r="L1538">
        <v>95080</v>
      </c>
      <c r="M1538" t="s">
        <v>83</v>
      </c>
      <c r="N1538">
        <v>351</v>
      </c>
      <c r="O1538" s="2">
        <v>46188</v>
      </c>
      <c r="P1538" s="2">
        <v>46280</v>
      </c>
      <c r="R1538" t="s">
        <v>4576</v>
      </c>
      <c r="S1538" t="str">
        <f>""</f>
        <v/>
      </c>
      <c r="T1538" t="s">
        <v>41</v>
      </c>
      <c r="U1538">
        <v>3070.13</v>
      </c>
      <c r="V1538">
        <v>3070.13</v>
      </c>
      <c r="W1538">
        <v>3070.13</v>
      </c>
      <c r="X1538">
        <v>0</v>
      </c>
      <c r="Y1538">
        <v>0</v>
      </c>
      <c r="Z1538">
        <v>-505</v>
      </c>
      <c r="AA1538">
        <v>691027</v>
      </c>
      <c r="AD1538" t="s">
        <v>4573</v>
      </c>
      <c r="AE1538" t="s">
        <v>4574</v>
      </c>
      <c r="AF1538" t="s">
        <v>4573</v>
      </c>
      <c r="AG1538">
        <v>23062850000110</v>
      </c>
      <c r="AH1538" t="s">
        <v>3024</v>
      </c>
    </row>
    <row r="1539" spans="1:34" x14ac:dyDescent="0.3">
      <c r="A1539">
        <v>101</v>
      </c>
      <c r="B1539" t="s">
        <v>4016</v>
      </c>
      <c r="C1539">
        <v>2</v>
      </c>
      <c r="D1539" s="1" t="s">
        <v>4577</v>
      </c>
      <c r="E1539" s="1" t="s">
        <v>36</v>
      </c>
      <c r="G1539">
        <v>461617</v>
      </c>
      <c r="H1539" t="s">
        <v>4578</v>
      </c>
      <c r="I1539" t="s">
        <v>4579</v>
      </c>
      <c r="J1539">
        <v>35</v>
      </c>
      <c r="K1539">
        <v>50076</v>
      </c>
      <c r="N1539">
        <v>351</v>
      </c>
      <c r="O1539" s="2">
        <v>45999</v>
      </c>
      <c r="P1539" s="2">
        <v>45999</v>
      </c>
      <c r="R1539" t="s">
        <v>4580</v>
      </c>
      <c r="S1539" t="str">
        <f>""</f>
        <v/>
      </c>
      <c r="T1539" t="s">
        <v>41</v>
      </c>
      <c r="U1539">
        <v>-294.66000000000003</v>
      </c>
      <c r="V1539">
        <v>-294.66000000000003</v>
      </c>
      <c r="W1539">
        <v>-294.66000000000003</v>
      </c>
      <c r="X1539">
        <v>0</v>
      </c>
      <c r="Y1539">
        <v>0</v>
      </c>
      <c r="Z1539">
        <v>-224</v>
      </c>
      <c r="AD1539" t="s">
        <v>915</v>
      </c>
      <c r="AE1539" t="s">
        <v>4581</v>
      </c>
      <c r="AF1539" t="s">
        <v>915</v>
      </c>
      <c r="AG1539">
        <v>31398994000170</v>
      </c>
      <c r="AH1539" t="s">
        <v>714</v>
      </c>
    </row>
    <row r="1540" spans="1:34" x14ac:dyDescent="0.3">
      <c r="A1540">
        <v>101</v>
      </c>
      <c r="B1540" t="s">
        <v>34</v>
      </c>
      <c r="C1540">
        <v>2</v>
      </c>
      <c r="D1540" s="1" t="s">
        <v>4582</v>
      </c>
      <c r="E1540" s="1" t="s">
        <v>36</v>
      </c>
      <c r="G1540">
        <v>462275</v>
      </c>
      <c r="H1540" t="s">
        <v>4583</v>
      </c>
      <c r="I1540" t="s">
        <v>4584</v>
      </c>
      <c r="J1540">
        <v>35</v>
      </c>
      <c r="K1540">
        <v>462275</v>
      </c>
      <c r="L1540">
        <v>95000</v>
      </c>
      <c r="M1540" t="s">
        <v>69</v>
      </c>
      <c r="N1540">
        <v>351</v>
      </c>
      <c r="O1540" s="2">
        <v>46099</v>
      </c>
      <c r="P1540" s="2">
        <v>46131</v>
      </c>
      <c r="R1540" t="s">
        <v>4585</v>
      </c>
      <c r="S1540" t="str">
        <f>""</f>
        <v/>
      </c>
      <c r="T1540" t="s">
        <v>41</v>
      </c>
      <c r="U1540">
        <v>4568.29</v>
      </c>
      <c r="V1540">
        <v>197.25</v>
      </c>
      <c r="W1540">
        <v>197.25</v>
      </c>
      <c r="X1540">
        <v>0</v>
      </c>
      <c r="Y1540">
        <v>0</v>
      </c>
      <c r="Z1540">
        <v>-356</v>
      </c>
      <c r="AA1540">
        <v>682451</v>
      </c>
      <c r="AD1540" t="s">
        <v>4586</v>
      </c>
      <c r="AE1540" t="s">
        <v>4587</v>
      </c>
      <c r="AF1540" t="s">
        <v>4586</v>
      </c>
      <c r="AG1540">
        <v>17302726000181</v>
      </c>
      <c r="AH1540" t="s">
        <v>1462</v>
      </c>
    </row>
    <row r="1541" spans="1:34" x14ac:dyDescent="0.3">
      <c r="A1541">
        <v>101</v>
      </c>
      <c r="B1541" t="s">
        <v>34</v>
      </c>
      <c r="C1541">
        <v>2</v>
      </c>
      <c r="D1541" s="1" t="s">
        <v>4588</v>
      </c>
      <c r="E1541" s="1" t="s">
        <v>36</v>
      </c>
      <c r="G1541">
        <v>462312</v>
      </c>
      <c r="H1541" t="s">
        <v>4589</v>
      </c>
      <c r="I1541" t="s">
        <v>4590</v>
      </c>
      <c r="J1541">
        <v>35</v>
      </c>
      <c r="K1541">
        <v>462312</v>
      </c>
      <c r="L1541">
        <v>95000</v>
      </c>
      <c r="M1541" t="s">
        <v>69</v>
      </c>
      <c r="N1541">
        <v>351</v>
      </c>
      <c r="O1541" s="2">
        <v>46254</v>
      </c>
      <c r="P1541" s="2">
        <v>46255</v>
      </c>
      <c r="R1541" t="s">
        <v>4591</v>
      </c>
      <c r="S1541" t="str">
        <f>""</f>
        <v/>
      </c>
      <c r="T1541" t="s">
        <v>41</v>
      </c>
      <c r="U1541">
        <v>2157.98</v>
      </c>
      <c r="V1541">
        <v>2157.98</v>
      </c>
      <c r="W1541">
        <v>2157.98</v>
      </c>
      <c r="X1541">
        <v>0</v>
      </c>
      <c r="Y1541">
        <v>0</v>
      </c>
      <c r="Z1541">
        <v>-480</v>
      </c>
      <c r="AA1541">
        <v>696712</v>
      </c>
      <c r="AD1541" t="s">
        <v>4592</v>
      </c>
      <c r="AE1541" t="s">
        <v>4593</v>
      </c>
      <c r="AF1541" t="s">
        <v>4592</v>
      </c>
      <c r="AG1541" s="1" t="s">
        <v>4594</v>
      </c>
      <c r="AH1541" t="s">
        <v>423</v>
      </c>
    </row>
    <row r="1542" spans="1:34" x14ac:dyDescent="0.3">
      <c r="A1542">
        <v>101</v>
      </c>
      <c r="B1542" t="s">
        <v>34</v>
      </c>
      <c r="C1542">
        <v>2</v>
      </c>
      <c r="D1542" s="1" t="s">
        <v>4595</v>
      </c>
      <c r="E1542" s="1" t="s">
        <v>36</v>
      </c>
      <c r="G1542">
        <v>462638</v>
      </c>
      <c r="H1542" t="s">
        <v>4596</v>
      </c>
      <c r="I1542" t="s">
        <v>4597</v>
      </c>
      <c r="J1542">
        <v>35</v>
      </c>
      <c r="K1542">
        <v>462638</v>
      </c>
      <c r="L1542">
        <v>95000</v>
      </c>
      <c r="M1542" t="s">
        <v>69</v>
      </c>
      <c r="N1542">
        <v>351</v>
      </c>
      <c r="O1542" s="2">
        <v>46239</v>
      </c>
      <c r="P1542" s="2">
        <v>46271</v>
      </c>
      <c r="R1542" t="s">
        <v>4598</v>
      </c>
      <c r="S1542" t="str">
        <f>""</f>
        <v/>
      </c>
      <c r="T1542" t="s">
        <v>41</v>
      </c>
      <c r="U1542">
        <v>31.95</v>
      </c>
      <c r="V1542">
        <v>31.95</v>
      </c>
      <c r="W1542">
        <v>31.95</v>
      </c>
      <c r="X1542">
        <v>0</v>
      </c>
      <c r="Y1542">
        <v>0</v>
      </c>
      <c r="Z1542">
        <v>-496</v>
      </c>
      <c r="AA1542">
        <v>696092</v>
      </c>
      <c r="AD1542" t="s">
        <v>42</v>
      </c>
      <c r="AE1542">
        <v>5516991283663</v>
      </c>
      <c r="AG1542" s="1" t="s">
        <v>4599</v>
      </c>
      <c r="AH1542" t="s">
        <v>44</v>
      </c>
    </row>
    <row r="1543" spans="1:34" x14ac:dyDescent="0.3">
      <c r="A1543">
        <v>101</v>
      </c>
      <c r="B1543" t="s">
        <v>34</v>
      </c>
      <c r="C1543">
        <v>2</v>
      </c>
      <c r="D1543" s="1" t="s">
        <v>4600</v>
      </c>
      <c r="E1543" s="1" t="s">
        <v>36</v>
      </c>
      <c r="G1543">
        <v>462638</v>
      </c>
      <c r="H1543" t="s">
        <v>4596</v>
      </c>
      <c r="I1543" t="s">
        <v>4597</v>
      </c>
      <c r="J1543">
        <v>35</v>
      </c>
      <c r="K1543">
        <v>462638</v>
      </c>
      <c r="L1543">
        <v>95000</v>
      </c>
      <c r="M1543" t="s">
        <v>69</v>
      </c>
      <c r="N1543">
        <v>351</v>
      </c>
      <c r="O1543" s="2">
        <v>46239</v>
      </c>
      <c r="P1543" s="2">
        <v>46271</v>
      </c>
      <c r="R1543" t="s">
        <v>4601</v>
      </c>
      <c r="S1543" t="str">
        <f>""</f>
        <v/>
      </c>
      <c r="T1543" t="s">
        <v>41</v>
      </c>
      <c r="U1543">
        <v>31.95</v>
      </c>
      <c r="V1543">
        <v>31.95</v>
      </c>
      <c r="W1543">
        <v>31.95</v>
      </c>
      <c r="X1543">
        <v>0</v>
      </c>
      <c r="Y1543">
        <v>0</v>
      </c>
      <c r="Z1543">
        <v>-496</v>
      </c>
      <c r="AA1543">
        <v>696093</v>
      </c>
      <c r="AD1543" t="s">
        <v>42</v>
      </c>
      <c r="AE1543">
        <v>5516991283663</v>
      </c>
      <c r="AG1543" s="1" t="s">
        <v>4599</v>
      </c>
      <c r="AH1543" t="s">
        <v>44</v>
      </c>
    </row>
    <row r="1544" spans="1:34" x14ac:dyDescent="0.3">
      <c r="A1544">
        <v>101</v>
      </c>
      <c r="B1544" t="s">
        <v>34</v>
      </c>
      <c r="C1544">
        <v>2</v>
      </c>
      <c r="D1544" s="1" t="s">
        <v>4602</v>
      </c>
      <c r="E1544" s="1" t="s">
        <v>36</v>
      </c>
      <c r="G1544">
        <v>463945</v>
      </c>
      <c r="H1544" t="s">
        <v>4603</v>
      </c>
      <c r="I1544" t="s">
        <v>4604</v>
      </c>
      <c r="J1544">
        <v>30</v>
      </c>
      <c r="K1544">
        <v>8536</v>
      </c>
      <c r="L1544">
        <v>95000</v>
      </c>
      <c r="M1544" t="s">
        <v>69</v>
      </c>
      <c r="N1544">
        <v>351</v>
      </c>
      <c r="O1544" s="2">
        <v>46189</v>
      </c>
      <c r="P1544" s="2">
        <v>46259</v>
      </c>
      <c r="R1544" t="s">
        <v>4605</v>
      </c>
      <c r="S1544" t="str">
        <f>""</f>
        <v/>
      </c>
      <c r="T1544" t="s">
        <v>41</v>
      </c>
      <c r="U1544">
        <v>75099.490000000005</v>
      </c>
      <c r="V1544">
        <v>73597.5</v>
      </c>
      <c r="W1544">
        <v>73597.5</v>
      </c>
      <c r="X1544">
        <v>0</v>
      </c>
      <c r="Y1544">
        <v>0</v>
      </c>
      <c r="Z1544">
        <v>-484</v>
      </c>
      <c r="AA1544">
        <v>691431</v>
      </c>
      <c r="AD1544" t="s">
        <v>4606</v>
      </c>
      <c r="AE1544" t="s">
        <v>4607</v>
      </c>
      <c r="AF1544" t="s">
        <v>4606</v>
      </c>
      <c r="AG1544" s="1" t="s">
        <v>4608</v>
      </c>
      <c r="AH1544" t="s">
        <v>4609</v>
      </c>
    </row>
    <row r="1545" spans="1:34" x14ac:dyDescent="0.3">
      <c r="A1545">
        <v>101</v>
      </c>
      <c r="B1545" t="s">
        <v>34</v>
      </c>
      <c r="C1545">
        <v>2</v>
      </c>
      <c r="D1545" s="1" t="s">
        <v>4610</v>
      </c>
      <c r="E1545" s="1" t="s">
        <v>36</v>
      </c>
      <c r="G1545">
        <v>463945</v>
      </c>
      <c r="H1545" t="s">
        <v>4603</v>
      </c>
      <c r="I1545" t="s">
        <v>4604</v>
      </c>
      <c r="J1545">
        <v>30</v>
      </c>
      <c r="K1545">
        <v>8536</v>
      </c>
      <c r="L1545">
        <v>95000</v>
      </c>
      <c r="M1545" t="s">
        <v>69</v>
      </c>
      <c r="N1545">
        <v>351</v>
      </c>
      <c r="O1545" s="2">
        <v>46234</v>
      </c>
      <c r="P1545" s="2">
        <v>46304</v>
      </c>
      <c r="R1545" t="s">
        <v>4611</v>
      </c>
      <c r="S1545" t="str">
        <f>""</f>
        <v/>
      </c>
      <c r="T1545" t="s">
        <v>41</v>
      </c>
      <c r="U1545">
        <v>6985.3</v>
      </c>
      <c r="V1545">
        <v>6845.59</v>
      </c>
      <c r="W1545">
        <v>6845.59</v>
      </c>
      <c r="X1545">
        <v>0</v>
      </c>
      <c r="Y1545">
        <v>0</v>
      </c>
      <c r="Z1545">
        <v>-529</v>
      </c>
      <c r="AA1545">
        <v>695600</v>
      </c>
      <c r="AD1545" t="s">
        <v>4606</v>
      </c>
      <c r="AE1545" t="s">
        <v>4607</v>
      </c>
      <c r="AF1545" t="s">
        <v>4606</v>
      </c>
      <c r="AG1545" s="1" t="s">
        <v>4608</v>
      </c>
      <c r="AH1545" t="s">
        <v>4609</v>
      </c>
    </row>
    <row r="1546" spans="1:34" x14ac:dyDescent="0.3">
      <c r="A1546">
        <v>101</v>
      </c>
      <c r="B1546" t="s">
        <v>34</v>
      </c>
      <c r="C1546">
        <v>2</v>
      </c>
      <c r="D1546" s="1" t="s">
        <v>4612</v>
      </c>
      <c r="E1546" s="1" t="s">
        <v>36</v>
      </c>
      <c r="G1546">
        <v>463945</v>
      </c>
      <c r="H1546" t="s">
        <v>4603</v>
      </c>
      <c r="I1546" t="s">
        <v>4604</v>
      </c>
      <c r="J1546">
        <v>30</v>
      </c>
      <c r="K1546">
        <v>8536</v>
      </c>
      <c r="L1546">
        <v>95000</v>
      </c>
      <c r="M1546" t="s">
        <v>69</v>
      </c>
      <c r="N1546">
        <v>351</v>
      </c>
      <c r="O1546" s="2">
        <v>46230</v>
      </c>
      <c r="P1546" s="2">
        <v>46300</v>
      </c>
      <c r="R1546" t="s">
        <v>4613</v>
      </c>
      <c r="S1546" t="str">
        <f>""</f>
        <v/>
      </c>
      <c r="T1546" t="s">
        <v>41</v>
      </c>
      <c r="U1546">
        <v>50830.57</v>
      </c>
      <c r="V1546">
        <v>49813.96</v>
      </c>
      <c r="W1546">
        <v>49813.96</v>
      </c>
      <c r="X1546">
        <v>0</v>
      </c>
      <c r="Y1546">
        <v>0</v>
      </c>
      <c r="Z1546">
        <v>-525</v>
      </c>
      <c r="AA1546">
        <v>694612</v>
      </c>
      <c r="AD1546" t="s">
        <v>4606</v>
      </c>
      <c r="AE1546" t="s">
        <v>4607</v>
      </c>
      <c r="AF1546" t="s">
        <v>4606</v>
      </c>
      <c r="AG1546" s="1" t="s">
        <v>4608</v>
      </c>
      <c r="AH1546" t="s">
        <v>4609</v>
      </c>
    </row>
    <row r="1547" spans="1:34" x14ac:dyDescent="0.3">
      <c r="A1547">
        <v>101</v>
      </c>
      <c r="B1547" t="s">
        <v>34</v>
      </c>
      <c r="C1547">
        <v>2</v>
      </c>
      <c r="D1547" s="1" t="s">
        <v>4614</v>
      </c>
      <c r="E1547" s="1" t="s">
        <v>36</v>
      </c>
      <c r="G1547">
        <v>463946</v>
      </c>
      <c r="H1547" t="s">
        <v>4615</v>
      </c>
      <c r="I1547" t="s">
        <v>4616</v>
      </c>
      <c r="J1547">
        <v>30</v>
      </c>
      <c r="K1547">
        <v>8536</v>
      </c>
      <c r="L1547">
        <v>95000</v>
      </c>
      <c r="M1547" t="s">
        <v>69</v>
      </c>
      <c r="N1547">
        <v>351</v>
      </c>
      <c r="O1547" s="2">
        <v>46189</v>
      </c>
      <c r="P1547" s="2">
        <v>46275</v>
      </c>
      <c r="R1547" t="s">
        <v>4617</v>
      </c>
      <c r="S1547" t="str">
        <f>""</f>
        <v/>
      </c>
      <c r="T1547" t="s">
        <v>41</v>
      </c>
      <c r="U1547">
        <v>186763.97</v>
      </c>
      <c r="V1547">
        <v>183028.69</v>
      </c>
      <c r="W1547">
        <v>183028.69</v>
      </c>
      <c r="X1547">
        <v>0</v>
      </c>
      <c r="Y1547">
        <v>0</v>
      </c>
      <c r="Z1547">
        <v>-500</v>
      </c>
      <c r="AA1547">
        <v>691428</v>
      </c>
      <c r="AD1547" t="s">
        <v>3301</v>
      </c>
      <c r="AE1547" t="s">
        <v>4618</v>
      </c>
      <c r="AF1547" t="s">
        <v>3301</v>
      </c>
      <c r="AG1547" s="1" t="s">
        <v>4619</v>
      </c>
      <c r="AH1547" t="s">
        <v>44</v>
      </c>
    </row>
    <row r="1548" spans="1:34" x14ac:dyDescent="0.3">
      <c r="A1548">
        <v>101</v>
      </c>
      <c r="B1548" t="s">
        <v>34</v>
      </c>
      <c r="C1548">
        <v>2</v>
      </c>
      <c r="D1548" s="1" t="s">
        <v>4620</v>
      </c>
      <c r="E1548" s="1" t="s">
        <v>36</v>
      </c>
      <c r="G1548">
        <v>463946</v>
      </c>
      <c r="H1548" t="s">
        <v>4615</v>
      </c>
      <c r="I1548" t="s">
        <v>4616</v>
      </c>
      <c r="J1548">
        <v>30</v>
      </c>
      <c r="K1548">
        <v>8536</v>
      </c>
      <c r="L1548">
        <v>95000</v>
      </c>
      <c r="M1548" t="s">
        <v>69</v>
      </c>
      <c r="N1548">
        <v>351</v>
      </c>
      <c r="O1548" s="2">
        <v>46231</v>
      </c>
      <c r="P1548" s="2">
        <v>46306</v>
      </c>
      <c r="R1548" t="s">
        <v>4621</v>
      </c>
      <c r="S1548" t="str">
        <f>""</f>
        <v/>
      </c>
      <c r="T1548" t="s">
        <v>41</v>
      </c>
      <c r="U1548">
        <v>13774.44</v>
      </c>
      <c r="V1548">
        <v>13498.95</v>
      </c>
      <c r="W1548">
        <v>13498.95</v>
      </c>
      <c r="X1548">
        <v>0</v>
      </c>
      <c r="Y1548">
        <v>0</v>
      </c>
      <c r="Z1548">
        <v>-531</v>
      </c>
      <c r="AA1548">
        <v>695376</v>
      </c>
      <c r="AD1548" t="s">
        <v>3301</v>
      </c>
      <c r="AE1548" t="s">
        <v>4618</v>
      </c>
      <c r="AF1548" t="s">
        <v>3301</v>
      </c>
      <c r="AG1548" s="1" t="s">
        <v>4619</v>
      </c>
      <c r="AH1548" t="s">
        <v>44</v>
      </c>
    </row>
    <row r="1549" spans="1:34" x14ac:dyDescent="0.3">
      <c r="A1549">
        <v>101</v>
      </c>
      <c r="B1549" t="s">
        <v>34</v>
      </c>
      <c r="C1549">
        <v>2</v>
      </c>
      <c r="D1549" s="1" t="s">
        <v>4622</v>
      </c>
      <c r="E1549" s="1" t="s">
        <v>36</v>
      </c>
      <c r="G1549">
        <v>463946</v>
      </c>
      <c r="H1549" t="s">
        <v>4615</v>
      </c>
      <c r="I1549" t="s">
        <v>4616</v>
      </c>
      <c r="J1549">
        <v>30</v>
      </c>
      <c r="K1549">
        <v>8536</v>
      </c>
      <c r="L1549">
        <v>95000</v>
      </c>
      <c r="M1549" t="s">
        <v>69</v>
      </c>
      <c r="N1549">
        <v>351</v>
      </c>
      <c r="O1549" s="2">
        <v>46199</v>
      </c>
      <c r="P1549" s="2">
        <v>46274</v>
      </c>
      <c r="R1549" t="s">
        <v>4623</v>
      </c>
      <c r="S1549" t="str">
        <f>""</f>
        <v/>
      </c>
      <c r="T1549" t="s">
        <v>41</v>
      </c>
      <c r="U1549">
        <v>59826.54</v>
      </c>
      <c r="V1549">
        <v>58630.01</v>
      </c>
      <c r="W1549">
        <v>58630.01</v>
      </c>
      <c r="X1549">
        <v>0</v>
      </c>
      <c r="Y1549">
        <v>0</v>
      </c>
      <c r="Z1549">
        <v>-499</v>
      </c>
      <c r="AA1549">
        <v>692738</v>
      </c>
      <c r="AD1549" t="s">
        <v>3301</v>
      </c>
      <c r="AE1549" t="s">
        <v>4618</v>
      </c>
      <c r="AF1549" t="s">
        <v>3301</v>
      </c>
      <c r="AG1549" s="1" t="s">
        <v>4619</v>
      </c>
      <c r="AH1549" t="s">
        <v>44</v>
      </c>
    </row>
    <row r="1550" spans="1:34" x14ac:dyDescent="0.3">
      <c r="A1550">
        <v>101</v>
      </c>
      <c r="B1550" t="s">
        <v>34</v>
      </c>
      <c r="C1550">
        <v>2</v>
      </c>
      <c r="D1550" s="1" t="s">
        <v>4624</v>
      </c>
      <c r="E1550" s="1" t="s">
        <v>36</v>
      </c>
      <c r="G1550">
        <v>463946</v>
      </c>
      <c r="H1550" t="s">
        <v>4615</v>
      </c>
      <c r="I1550" t="s">
        <v>4616</v>
      </c>
      <c r="J1550">
        <v>30</v>
      </c>
      <c r="K1550">
        <v>8536</v>
      </c>
      <c r="L1550">
        <v>95080</v>
      </c>
      <c r="M1550" t="s">
        <v>83</v>
      </c>
      <c r="N1550">
        <v>351</v>
      </c>
      <c r="O1550" s="2">
        <v>46111</v>
      </c>
      <c r="P1550" s="2">
        <v>46213</v>
      </c>
      <c r="R1550" t="s">
        <v>4625</v>
      </c>
      <c r="S1550" t="str">
        <f>""</f>
        <v/>
      </c>
      <c r="T1550" t="s">
        <v>41</v>
      </c>
      <c r="U1550">
        <v>2700.63</v>
      </c>
      <c r="V1550">
        <v>2646.62</v>
      </c>
      <c r="W1550">
        <v>2646.62</v>
      </c>
      <c r="X1550">
        <v>0</v>
      </c>
      <c r="Y1550">
        <v>0</v>
      </c>
      <c r="Z1550">
        <v>-438</v>
      </c>
      <c r="AA1550">
        <v>683329</v>
      </c>
      <c r="AD1550" t="s">
        <v>3301</v>
      </c>
      <c r="AE1550" t="s">
        <v>4618</v>
      </c>
      <c r="AF1550" t="s">
        <v>3301</v>
      </c>
      <c r="AG1550" s="1" t="s">
        <v>4619</v>
      </c>
      <c r="AH1550" t="s">
        <v>44</v>
      </c>
    </row>
    <row r="1551" spans="1:34" x14ac:dyDescent="0.3">
      <c r="A1551">
        <v>101</v>
      </c>
      <c r="B1551" t="s">
        <v>34</v>
      </c>
      <c r="C1551">
        <v>2</v>
      </c>
      <c r="D1551" s="1" t="s">
        <v>4626</v>
      </c>
      <c r="E1551" s="1" t="s">
        <v>36</v>
      </c>
      <c r="G1551">
        <v>463946</v>
      </c>
      <c r="H1551" t="s">
        <v>4615</v>
      </c>
      <c r="I1551" t="s">
        <v>4616</v>
      </c>
      <c r="J1551">
        <v>30</v>
      </c>
      <c r="K1551">
        <v>8536</v>
      </c>
      <c r="L1551">
        <v>95000</v>
      </c>
      <c r="M1551" t="s">
        <v>69</v>
      </c>
      <c r="N1551">
        <v>351</v>
      </c>
      <c r="O1551" s="2">
        <v>46209</v>
      </c>
      <c r="P1551" s="2">
        <v>46284</v>
      </c>
      <c r="R1551" t="s">
        <v>4627</v>
      </c>
      <c r="S1551" t="str">
        <f>""</f>
        <v/>
      </c>
      <c r="T1551" t="s">
        <v>41</v>
      </c>
      <c r="U1551">
        <v>23595.040000000001</v>
      </c>
      <c r="V1551">
        <v>23123.14</v>
      </c>
      <c r="W1551">
        <v>23123.14</v>
      </c>
      <c r="X1551">
        <v>0</v>
      </c>
      <c r="Y1551">
        <v>0</v>
      </c>
      <c r="Z1551">
        <v>-509</v>
      </c>
      <c r="AA1551">
        <v>691428</v>
      </c>
      <c r="AD1551" t="s">
        <v>3301</v>
      </c>
      <c r="AE1551" t="s">
        <v>4618</v>
      </c>
      <c r="AF1551" t="s">
        <v>3301</v>
      </c>
      <c r="AG1551" s="1" t="s">
        <v>4619</v>
      </c>
      <c r="AH1551" t="s">
        <v>44</v>
      </c>
    </row>
    <row r="1552" spans="1:34" x14ac:dyDescent="0.3">
      <c r="A1552">
        <v>101</v>
      </c>
      <c r="B1552" t="s">
        <v>34</v>
      </c>
      <c r="C1552">
        <v>2</v>
      </c>
      <c r="D1552" s="1" t="s">
        <v>4628</v>
      </c>
      <c r="E1552" s="1" t="s">
        <v>36</v>
      </c>
      <c r="G1552">
        <v>463958</v>
      </c>
      <c r="H1552" t="s">
        <v>4629</v>
      </c>
      <c r="I1552" t="s">
        <v>4630</v>
      </c>
      <c r="J1552">
        <v>35</v>
      </c>
      <c r="K1552">
        <v>467634</v>
      </c>
      <c r="L1552">
        <v>95000</v>
      </c>
      <c r="M1552" t="s">
        <v>69</v>
      </c>
      <c r="N1552">
        <v>351</v>
      </c>
      <c r="O1552" s="2">
        <v>46224</v>
      </c>
      <c r="P1552" s="2">
        <v>46314</v>
      </c>
      <c r="R1552" t="s">
        <v>4631</v>
      </c>
      <c r="S1552" t="str">
        <f>""</f>
        <v/>
      </c>
      <c r="T1552" t="s">
        <v>41</v>
      </c>
      <c r="U1552">
        <v>196.38</v>
      </c>
      <c r="V1552">
        <v>98.16</v>
      </c>
      <c r="W1552">
        <v>98.16</v>
      </c>
      <c r="X1552">
        <v>0</v>
      </c>
      <c r="Y1552">
        <v>0</v>
      </c>
      <c r="Z1552">
        <v>-539</v>
      </c>
      <c r="AA1552">
        <v>694417</v>
      </c>
      <c r="AD1552" t="s">
        <v>4632</v>
      </c>
      <c r="AE1552">
        <v>5511932229721</v>
      </c>
      <c r="AG1552">
        <v>41589048890</v>
      </c>
      <c r="AH1552" t="s">
        <v>44</v>
      </c>
    </row>
    <row r="1553" spans="1:34" x14ac:dyDescent="0.3">
      <c r="A1553">
        <v>101</v>
      </c>
      <c r="B1553" t="s">
        <v>34</v>
      </c>
      <c r="C1553">
        <v>2</v>
      </c>
      <c r="D1553" s="1" t="s">
        <v>4633</v>
      </c>
      <c r="E1553" s="1" t="s">
        <v>36</v>
      </c>
      <c r="G1553">
        <v>463958</v>
      </c>
      <c r="H1553" t="s">
        <v>4629</v>
      </c>
      <c r="I1553" t="s">
        <v>4630</v>
      </c>
      <c r="J1553">
        <v>35</v>
      </c>
      <c r="K1553">
        <v>467634</v>
      </c>
      <c r="L1553">
        <v>95000</v>
      </c>
      <c r="M1553" t="s">
        <v>69</v>
      </c>
      <c r="N1553">
        <v>351</v>
      </c>
      <c r="O1553" s="2">
        <v>46225</v>
      </c>
      <c r="P1553" s="2">
        <v>46314</v>
      </c>
      <c r="R1553" t="s">
        <v>4634</v>
      </c>
      <c r="S1553" t="str">
        <f>""</f>
        <v/>
      </c>
      <c r="T1553" t="s">
        <v>41</v>
      </c>
      <c r="U1553">
        <v>105.84</v>
      </c>
      <c r="V1553">
        <v>105.84</v>
      </c>
      <c r="W1553">
        <v>105.84</v>
      </c>
      <c r="X1553">
        <v>0</v>
      </c>
      <c r="Y1553">
        <v>0</v>
      </c>
      <c r="Z1553">
        <v>-539</v>
      </c>
      <c r="AA1553">
        <v>694417</v>
      </c>
      <c r="AD1553" t="s">
        <v>4632</v>
      </c>
      <c r="AE1553">
        <v>5511932229721</v>
      </c>
      <c r="AG1553">
        <v>41589048890</v>
      </c>
      <c r="AH1553" t="s">
        <v>44</v>
      </c>
    </row>
    <row r="1554" spans="1:34" x14ac:dyDescent="0.3">
      <c r="A1554">
        <v>101</v>
      </c>
      <c r="B1554" t="s">
        <v>34</v>
      </c>
      <c r="C1554">
        <v>2</v>
      </c>
      <c r="D1554" s="1" t="s">
        <v>4635</v>
      </c>
      <c r="E1554" s="1" t="s">
        <v>36</v>
      </c>
      <c r="G1554">
        <v>464025</v>
      </c>
      <c r="H1554" t="s">
        <v>4636</v>
      </c>
      <c r="I1554" t="s">
        <v>4637</v>
      </c>
      <c r="J1554">
        <v>35</v>
      </c>
      <c r="K1554">
        <v>464025</v>
      </c>
      <c r="L1554">
        <v>95000</v>
      </c>
      <c r="M1554" t="s">
        <v>69</v>
      </c>
      <c r="N1554">
        <v>351</v>
      </c>
      <c r="O1554" s="2">
        <v>46224</v>
      </c>
      <c r="P1554" s="2">
        <v>46280</v>
      </c>
      <c r="R1554" t="s">
        <v>4638</v>
      </c>
      <c r="S1554" t="str">
        <f>""</f>
        <v/>
      </c>
      <c r="T1554" t="s">
        <v>41</v>
      </c>
      <c r="U1554">
        <v>3193.55</v>
      </c>
      <c r="V1554">
        <v>3193.55</v>
      </c>
      <c r="W1554">
        <v>3193.55</v>
      </c>
      <c r="X1554">
        <v>0</v>
      </c>
      <c r="Y1554">
        <v>0</v>
      </c>
      <c r="Z1554">
        <v>-505</v>
      </c>
      <c r="AA1554">
        <v>694567</v>
      </c>
      <c r="AD1554" t="s">
        <v>4639</v>
      </c>
      <c r="AE1554" t="s">
        <v>4640</v>
      </c>
      <c r="AF1554" t="s">
        <v>4639</v>
      </c>
      <c r="AG1554">
        <v>34950873000187</v>
      </c>
      <c r="AH1554" t="s">
        <v>3520</v>
      </c>
    </row>
    <row r="1555" spans="1:34" x14ac:dyDescent="0.3">
      <c r="A1555">
        <v>101</v>
      </c>
      <c r="B1555" t="s">
        <v>34</v>
      </c>
      <c r="C1555">
        <v>2</v>
      </c>
      <c r="D1555" s="1" t="s">
        <v>4641</v>
      </c>
      <c r="E1555" s="1" t="s">
        <v>36</v>
      </c>
      <c r="G1555">
        <v>464944</v>
      </c>
      <c r="H1555" t="s">
        <v>4642</v>
      </c>
      <c r="I1555" t="s">
        <v>4643</v>
      </c>
      <c r="J1555">
        <v>35</v>
      </c>
      <c r="K1555">
        <v>464944</v>
      </c>
      <c r="L1555">
        <v>95000</v>
      </c>
      <c r="M1555" t="s">
        <v>69</v>
      </c>
      <c r="N1555">
        <v>351</v>
      </c>
      <c r="O1555" s="2">
        <v>46241</v>
      </c>
      <c r="P1555" s="2">
        <v>46273</v>
      </c>
      <c r="R1555" t="s">
        <v>4644</v>
      </c>
      <c r="S1555" t="str">
        <f>""</f>
        <v/>
      </c>
      <c r="T1555" t="s">
        <v>41</v>
      </c>
      <c r="U1555">
        <v>152.91999999999999</v>
      </c>
      <c r="V1555">
        <v>152.91999999999999</v>
      </c>
      <c r="W1555">
        <v>152.91999999999999</v>
      </c>
      <c r="X1555">
        <v>0</v>
      </c>
      <c r="Y1555">
        <v>0</v>
      </c>
      <c r="Z1555">
        <v>-498</v>
      </c>
      <c r="AA1555">
        <v>696389</v>
      </c>
      <c r="AD1555" t="s">
        <v>42</v>
      </c>
      <c r="AE1555">
        <v>5516991932035</v>
      </c>
      <c r="AG1555">
        <v>39453432830</v>
      </c>
      <c r="AH1555" t="s">
        <v>44</v>
      </c>
    </row>
    <row r="1556" spans="1:34" x14ac:dyDescent="0.3">
      <c r="A1556">
        <v>101</v>
      </c>
      <c r="B1556" t="s">
        <v>34</v>
      </c>
      <c r="C1556">
        <v>2</v>
      </c>
      <c r="D1556" s="1" t="s">
        <v>4645</v>
      </c>
      <c r="E1556" s="1" t="s">
        <v>36</v>
      </c>
      <c r="G1556">
        <v>465087</v>
      </c>
      <c r="H1556" t="s">
        <v>4646</v>
      </c>
      <c r="I1556" t="s">
        <v>4647</v>
      </c>
      <c r="J1556">
        <v>35</v>
      </c>
      <c r="K1556">
        <v>50076</v>
      </c>
      <c r="L1556">
        <v>95000</v>
      </c>
      <c r="M1556" t="s">
        <v>69</v>
      </c>
      <c r="N1556">
        <v>351</v>
      </c>
      <c r="O1556" s="2">
        <v>46219</v>
      </c>
      <c r="P1556" s="2">
        <v>46280</v>
      </c>
      <c r="R1556" t="s">
        <v>4648</v>
      </c>
      <c r="S1556" t="str">
        <f>""</f>
        <v/>
      </c>
      <c r="T1556" t="s">
        <v>41</v>
      </c>
      <c r="U1556">
        <v>2373.59</v>
      </c>
      <c r="V1556">
        <v>2373.59</v>
      </c>
      <c r="W1556">
        <v>2373.59</v>
      </c>
      <c r="X1556">
        <v>0</v>
      </c>
      <c r="Y1556">
        <v>0</v>
      </c>
      <c r="Z1556">
        <v>-505</v>
      </c>
      <c r="AA1556">
        <v>694170</v>
      </c>
      <c r="AD1556" t="s">
        <v>4649</v>
      </c>
      <c r="AE1556" t="s">
        <v>4650</v>
      </c>
      <c r="AF1556" t="s">
        <v>4649</v>
      </c>
      <c r="AG1556" s="1" t="s">
        <v>4651</v>
      </c>
      <c r="AH1556" t="s">
        <v>3024</v>
      </c>
    </row>
    <row r="1557" spans="1:34" x14ac:dyDescent="0.3">
      <c r="A1557">
        <v>101</v>
      </c>
      <c r="B1557" t="s">
        <v>34</v>
      </c>
      <c r="C1557">
        <v>2</v>
      </c>
      <c r="D1557" s="1" t="s">
        <v>4652</v>
      </c>
      <c r="E1557" s="1" t="s">
        <v>36</v>
      </c>
      <c r="G1557">
        <v>465870</v>
      </c>
      <c r="H1557" t="s">
        <v>4653</v>
      </c>
      <c r="I1557" t="s">
        <v>4654</v>
      </c>
      <c r="J1557">
        <v>35</v>
      </c>
      <c r="K1557">
        <v>465870</v>
      </c>
      <c r="L1557">
        <v>95000</v>
      </c>
      <c r="M1557" t="s">
        <v>69</v>
      </c>
      <c r="N1557">
        <v>351</v>
      </c>
      <c r="O1557" s="2">
        <v>46203</v>
      </c>
      <c r="P1557" s="2">
        <v>46265</v>
      </c>
      <c r="R1557" t="s">
        <v>4655</v>
      </c>
      <c r="S1557" t="str">
        <f>""</f>
        <v/>
      </c>
      <c r="T1557" t="s">
        <v>41</v>
      </c>
      <c r="U1557">
        <v>112.63</v>
      </c>
      <c r="V1557">
        <v>55.88</v>
      </c>
      <c r="W1557">
        <v>55.88</v>
      </c>
      <c r="X1557">
        <v>0</v>
      </c>
      <c r="Y1557">
        <v>0</v>
      </c>
      <c r="Z1557">
        <v>-490</v>
      </c>
      <c r="AA1557">
        <v>692989</v>
      </c>
      <c r="AD1557" t="s">
        <v>2278</v>
      </c>
      <c r="AE1557">
        <v>5516991798844</v>
      </c>
      <c r="AG1557">
        <v>21732160821</v>
      </c>
      <c r="AH1557" t="s">
        <v>44</v>
      </c>
    </row>
    <row r="1558" spans="1:34" x14ac:dyDescent="0.3">
      <c r="A1558">
        <v>101</v>
      </c>
      <c r="B1558" t="s">
        <v>34</v>
      </c>
      <c r="C1558">
        <v>2</v>
      </c>
      <c r="D1558" s="1" t="s">
        <v>4656</v>
      </c>
      <c r="E1558" s="1" t="s">
        <v>36</v>
      </c>
      <c r="G1558">
        <v>466887</v>
      </c>
      <c r="H1558" t="s">
        <v>4657</v>
      </c>
      <c r="I1558" t="s">
        <v>4658</v>
      </c>
      <c r="J1558">
        <v>35</v>
      </c>
      <c r="K1558">
        <v>50076</v>
      </c>
      <c r="L1558">
        <v>95000</v>
      </c>
      <c r="M1558" t="s">
        <v>69</v>
      </c>
      <c r="N1558">
        <v>351</v>
      </c>
      <c r="O1558" s="2">
        <v>46217</v>
      </c>
      <c r="P1558" s="2">
        <v>46280</v>
      </c>
      <c r="R1558" t="s">
        <v>4659</v>
      </c>
      <c r="S1558" t="str">
        <f>""</f>
        <v/>
      </c>
      <c r="T1558" t="s">
        <v>41</v>
      </c>
      <c r="U1558">
        <v>2261.9499999999998</v>
      </c>
      <c r="V1558">
        <v>2261.9499999999998</v>
      </c>
      <c r="W1558">
        <v>2261.9499999999998</v>
      </c>
      <c r="X1558">
        <v>0</v>
      </c>
      <c r="Y1558">
        <v>0</v>
      </c>
      <c r="Z1558">
        <v>-505</v>
      </c>
      <c r="AA1558">
        <v>693781</v>
      </c>
      <c r="AD1558" t="s">
        <v>4660</v>
      </c>
      <c r="AE1558" t="s">
        <v>4661</v>
      </c>
      <c r="AF1558" t="s">
        <v>4660</v>
      </c>
      <c r="AG1558">
        <v>14146012000133</v>
      </c>
      <c r="AH1558" t="s">
        <v>1462</v>
      </c>
    </row>
    <row r="1559" spans="1:34" x14ac:dyDescent="0.3">
      <c r="A1559">
        <v>101</v>
      </c>
      <c r="B1559" t="s">
        <v>73</v>
      </c>
      <c r="C1559">
        <v>2</v>
      </c>
      <c r="D1559" t="s">
        <v>4662</v>
      </c>
      <c r="G1559">
        <v>467634</v>
      </c>
      <c r="H1559" t="s">
        <v>4663</v>
      </c>
      <c r="I1559" t="s">
        <v>4664</v>
      </c>
      <c r="J1559">
        <v>35</v>
      </c>
      <c r="K1559">
        <v>467634</v>
      </c>
      <c r="L1559">
        <v>10237</v>
      </c>
      <c r="M1559" t="s">
        <v>39</v>
      </c>
      <c r="N1559">
        <v>351</v>
      </c>
      <c r="O1559" s="2">
        <v>46231</v>
      </c>
      <c r="P1559" s="2">
        <v>46231</v>
      </c>
      <c r="R1559" t="s">
        <v>4665</v>
      </c>
      <c r="S1559" t="str">
        <f>""</f>
        <v/>
      </c>
      <c r="T1559" t="s">
        <v>41</v>
      </c>
      <c r="U1559">
        <v>-172.36</v>
      </c>
      <c r="V1559">
        <v>-12.78</v>
      </c>
      <c r="W1559">
        <v>-12.78</v>
      </c>
      <c r="X1559">
        <v>0</v>
      </c>
      <c r="Y1559">
        <v>0</v>
      </c>
      <c r="Z1559">
        <v>-456</v>
      </c>
      <c r="AD1559" t="s">
        <v>42</v>
      </c>
      <c r="AE1559">
        <v>16993110123</v>
      </c>
      <c r="AG1559">
        <v>32722423847</v>
      </c>
      <c r="AH1559" t="s">
        <v>44</v>
      </c>
    </row>
    <row r="1560" spans="1:34" x14ac:dyDescent="0.3">
      <c r="A1560">
        <v>101</v>
      </c>
      <c r="B1560" t="s">
        <v>34</v>
      </c>
      <c r="C1560">
        <v>2</v>
      </c>
      <c r="D1560" s="1" t="s">
        <v>4666</v>
      </c>
      <c r="E1560" s="1" t="s">
        <v>36</v>
      </c>
      <c r="G1560">
        <v>467713</v>
      </c>
      <c r="H1560" t="s">
        <v>4667</v>
      </c>
      <c r="I1560" t="s">
        <v>4668</v>
      </c>
      <c r="J1560">
        <v>35</v>
      </c>
      <c r="K1560">
        <v>467713</v>
      </c>
      <c r="L1560">
        <v>95000</v>
      </c>
      <c r="M1560" t="s">
        <v>69</v>
      </c>
      <c r="N1560">
        <v>351</v>
      </c>
      <c r="O1560" s="2">
        <v>46230</v>
      </c>
      <c r="P1560" s="2">
        <v>46280</v>
      </c>
      <c r="R1560" t="s">
        <v>4669</v>
      </c>
      <c r="S1560" t="str">
        <f>""</f>
        <v/>
      </c>
      <c r="T1560" t="s">
        <v>41</v>
      </c>
      <c r="U1560">
        <v>3284.81</v>
      </c>
      <c r="V1560">
        <v>3284.81</v>
      </c>
      <c r="W1560">
        <v>3284.81</v>
      </c>
      <c r="X1560">
        <v>0</v>
      </c>
      <c r="Y1560">
        <v>0</v>
      </c>
      <c r="Z1560">
        <v>-505</v>
      </c>
      <c r="AA1560">
        <v>695276</v>
      </c>
      <c r="AD1560" t="s">
        <v>4670</v>
      </c>
      <c r="AE1560">
        <v>999999999</v>
      </c>
      <c r="AF1560" t="s">
        <v>4670</v>
      </c>
      <c r="AG1560">
        <v>34891645000183</v>
      </c>
      <c r="AH1560" t="s">
        <v>2745</v>
      </c>
    </row>
    <row r="1561" spans="1:34" x14ac:dyDescent="0.3">
      <c r="A1561">
        <v>101</v>
      </c>
      <c r="B1561" t="s">
        <v>34</v>
      </c>
      <c r="C1561">
        <v>2</v>
      </c>
      <c r="D1561" s="1" t="s">
        <v>4671</v>
      </c>
      <c r="E1561" s="1" t="s">
        <v>36</v>
      </c>
      <c r="G1561">
        <v>468137</v>
      </c>
      <c r="H1561" t="s">
        <v>4672</v>
      </c>
      <c r="I1561" t="s">
        <v>4673</v>
      </c>
      <c r="J1561">
        <v>35</v>
      </c>
      <c r="K1561">
        <v>50076</v>
      </c>
      <c r="L1561">
        <v>95000</v>
      </c>
      <c r="M1561" t="s">
        <v>69</v>
      </c>
      <c r="N1561">
        <v>351</v>
      </c>
      <c r="O1561" s="2">
        <v>46245</v>
      </c>
      <c r="P1561" s="2">
        <v>46280</v>
      </c>
      <c r="R1561" t="s">
        <v>4674</v>
      </c>
      <c r="S1561" t="str">
        <f>""</f>
        <v/>
      </c>
      <c r="T1561" t="s">
        <v>41</v>
      </c>
      <c r="U1561">
        <v>2020.1</v>
      </c>
      <c r="V1561">
        <v>2020.1</v>
      </c>
      <c r="W1561">
        <v>2020.1</v>
      </c>
      <c r="X1561">
        <v>0</v>
      </c>
      <c r="Y1561">
        <v>0</v>
      </c>
      <c r="Z1561">
        <v>-505</v>
      </c>
      <c r="AA1561">
        <v>696442</v>
      </c>
      <c r="AD1561" t="s">
        <v>4675</v>
      </c>
      <c r="AE1561">
        <v>16999999999</v>
      </c>
      <c r="AF1561" t="s">
        <v>4675</v>
      </c>
      <c r="AG1561" s="1" t="s">
        <v>4676</v>
      </c>
      <c r="AH1561" t="s">
        <v>311</v>
      </c>
    </row>
    <row r="1562" spans="1:34" x14ac:dyDescent="0.3">
      <c r="A1562">
        <v>101</v>
      </c>
      <c r="B1562" t="s">
        <v>73</v>
      </c>
      <c r="C1562">
        <v>2</v>
      </c>
      <c r="D1562" t="s">
        <v>4677</v>
      </c>
      <c r="G1562">
        <v>469035</v>
      </c>
      <c r="H1562" t="s">
        <v>4678</v>
      </c>
      <c r="I1562" t="s">
        <v>4679</v>
      </c>
      <c r="J1562">
        <v>35</v>
      </c>
      <c r="K1562">
        <v>469035</v>
      </c>
      <c r="L1562">
        <v>10237</v>
      </c>
      <c r="M1562" t="s">
        <v>39</v>
      </c>
      <c r="N1562">
        <v>351</v>
      </c>
      <c r="O1562" s="2">
        <v>46224</v>
      </c>
      <c r="P1562" s="2">
        <v>46224</v>
      </c>
      <c r="R1562" t="s">
        <v>4680</v>
      </c>
      <c r="S1562" t="str">
        <f>""</f>
        <v/>
      </c>
      <c r="T1562" t="s">
        <v>41</v>
      </c>
      <c r="U1562">
        <v>-93.25</v>
      </c>
      <c r="V1562">
        <v>-2.19</v>
      </c>
      <c r="W1562">
        <v>-2.19</v>
      </c>
      <c r="X1562">
        <v>0</v>
      </c>
      <c r="Y1562">
        <v>0</v>
      </c>
      <c r="Z1562">
        <v>-449</v>
      </c>
      <c r="AD1562" t="s">
        <v>42</v>
      </c>
      <c r="AE1562">
        <v>16993506598</v>
      </c>
      <c r="AG1562">
        <v>40833093851</v>
      </c>
      <c r="AH1562" t="s">
        <v>44</v>
      </c>
    </row>
    <row r="1563" spans="1:34" x14ac:dyDescent="0.3">
      <c r="A1563">
        <v>101</v>
      </c>
      <c r="B1563" t="s">
        <v>34</v>
      </c>
      <c r="C1563">
        <v>2</v>
      </c>
      <c r="D1563" s="1" t="s">
        <v>4681</v>
      </c>
      <c r="E1563" s="1" t="s">
        <v>36</v>
      </c>
      <c r="G1563">
        <v>469689</v>
      </c>
      <c r="H1563" t="s">
        <v>4682</v>
      </c>
      <c r="I1563" t="s">
        <v>4683</v>
      </c>
      <c r="J1563">
        <v>35</v>
      </c>
      <c r="K1563">
        <v>469689</v>
      </c>
      <c r="L1563">
        <v>95000</v>
      </c>
      <c r="M1563" t="s">
        <v>69</v>
      </c>
      <c r="N1563">
        <v>351</v>
      </c>
      <c r="O1563" s="2">
        <v>46255</v>
      </c>
      <c r="P1563" s="2">
        <v>46256</v>
      </c>
      <c r="R1563" t="s">
        <v>4684</v>
      </c>
      <c r="S1563" t="str">
        <f>""</f>
        <v/>
      </c>
      <c r="T1563" t="s">
        <v>41</v>
      </c>
      <c r="U1563">
        <v>79.81</v>
      </c>
      <c r="V1563">
        <v>79.81</v>
      </c>
      <c r="W1563">
        <v>79.81</v>
      </c>
      <c r="X1563">
        <v>0</v>
      </c>
      <c r="Y1563">
        <v>0</v>
      </c>
      <c r="Z1563">
        <v>-481</v>
      </c>
      <c r="AA1563">
        <v>696788</v>
      </c>
      <c r="AD1563" t="s">
        <v>4685</v>
      </c>
      <c r="AE1563">
        <v>27996923314</v>
      </c>
      <c r="AG1563">
        <v>15108582706</v>
      </c>
      <c r="AH1563" t="s">
        <v>4686</v>
      </c>
    </row>
    <row r="1564" spans="1:34" x14ac:dyDescent="0.3">
      <c r="A1564">
        <v>101</v>
      </c>
      <c r="B1564" t="s">
        <v>73</v>
      </c>
      <c r="C1564">
        <v>2</v>
      </c>
      <c r="D1564" t="s">
        <v>4687</v>
      </c>
      <c r="G1564">
        <v>469689</v>
      </c>
      <c r="H1564" t="s">
        <v>4682</v>
      </c>
      <c r="I1564" t="s">
        <v>4683</v>
      </c>
      <c r="J1564">
        <v>35</v>
      </c>
      <c r="K1564">
        <v>469689</v>
      </c>
      <c r="L1564">
        <v>10237</v>
      </c>
      <c r="M1564" t="s">
        <v>39</v>
      </c>
      <c r="N1564">
        <v>351</v>
      </c>
      <c r="O1564" s="2">
        <v>46254</v>
      </c>
      <c r="P1564" s="2">
        <v>46254</v>
      </c>
      <c r="R1564" t="s">
        <v>4688</v>
      </c>
      <c r="S1564" t="str">
        <f>""</f>
        <v/>
      </c>
      <c r="T1564" t="s">
        <v>41</v>
      </c>
      <c r="U1564">
        <v>-79.040000000000006</v>
      </c>
      <c r="V1564">
        <v>-79.040000000000006</v>
      </c>
      <c r="W1564">
        <v>-79.040000000000006</v>
      </c>
      <c r="X1564">
        <v>0</v>
      </c>
      <c r="Y1564">
        <v>0</v>
      </c>
      <c r="Z1564">
        <v>-479</v>
      </c>
      <c r="AD1564" t="s">
        <v>4685</v>
      </c>
      <c r="AE1564">
        <v>27996923314</v>
      </c>
      <c r="AG1564">
        <v>15108582706</v>
      </c>
      <c r="AH1564" t="s">
        <v>4686</v>
      </c>
    </row>
    <row r="1565" spans="1:34" x14ac:dyDescent="0.3">
      <c r="A1565">
        <v>101</v>
      </c>
      <c r="B1565" t="s">
        <v>34</v>
      </c>
      <c r="C1565">
        <v>2</v>
      </c>
      <c r="D1565" s="1" t="s">
        <v>4689</v>
      </c>
      <c r="E1565" s="1" t="s">
        <v>36</v>
      </c>
      <c r="G1565">
        <v>469690</v>
      </c>
      <c r="H1565" t="s">
        <v>4690</v>
      </c>
      <c r="I1565" t="s">
        <v>4691</v>
      </c>
      <c r="J1565">
        <v>35</v>
      </c>
      <c r="K1565">
        <v>469690</v>
      </c>
      <c r="L1565">
        <v>50001</v>
      </c>
      <c r="M1565" t="s">
        <v>39</v>
      </c>
      <c r="N1565">
        <v>351</v>
      </c>
      <c r="O1565" s="2">
        <v>46226</v>
      </c>
      <c r="P1565" s="2">
        <v>46256</v>
      </c>
      <c r="R1565" t="s">
        <v>4692</v>
      </c>
      <c r="S1565" t="str">
        <f>""</f>
        <v/>
      </c>
      <c r="T1565" t="s">
        <v>41</v>
      </c>
      <c r="U1565">
        <v>80</v>
      </c>
      <c r="V1565">
        <v>80</v>
      </c>
      <c r="W1565">
        <v>80</v>
      </c>
      <c r="X1565">
        <v>0</v>
      </c>
      <c r="Y1565">
        <v>0</v>
      </c>
      <c r="Z1565">
        <v>-481</v>
      </c>
      <c r="AD1565" t="s">
        <v>4632</v>
      </c>
      <c r="AE1565">
        <v>16992732165</v>
      </c>
      <c r="AG1565">
        <v>41962962890</v>
      </c>
      <c r="AH1565" t="s">
        <v>44</v>
      </c>
    </row>
    <row r="1566" spans="1:34" x14ac:dyDescent="0.3">
      <c r="A1566">
        <v>101</v>
      </c>
      <c r="B1566" t="s">
        <v>34</v>
      </c>
      <c r="C1566">
        <v>4</v>
      </c>
      <c r="D1566" s="1" t="s">
        <v>4693</v>
      </c>
      <c r="E1566" t="s">
        <v>4694</v>
      </c>
      <c r="G1566">
        <v>469712</v>
      </c>
      <c r="H1566" t="s">
        <v>4695</v>
      </c>
      <c r="I1566" t="s">
        <v>4696</v>
      </c>
      <c r="J1566">
        <v>30</v>
      </c>
      <c r="K1566">
        <v>463872</v>
      </c>
      <c r="L1566">
        <v>10033</v>
      </c>
      <c r="M1566" t="s">
        <v>3135</v>
      </c>
      <c r="N1566">
        <v>351</v>
      </c>
      <c r="O1566" s="2">
        <v>46225</v>
      </c>
      <c r="P1566" s="2">
        <v>46278</v>
      </c>
      <c r="R1566" t="s">
        <v>4697</v>
      </c>
      <c r="S1566" t="str">
        <f t="shared" ref="S1566:S1577" si="0">"029197"</f>
        <v>029197</v>
      </c>
      <c r="T1566" t="s">
        <v>41</v>
      </c>
      <c r="U1566">
        <v>10693.06</v>
      </c>
      <c r="V1566">
        <v>10693.06</v>
      </c>
      <c r="W1566">
        <v>10693.06</v>
      </c>
      <c r="X1566">
        <v>0</v>
      </c>
      <c r="Y1566">
        <v>0</v>
      </c>
      <c r="Z1566">
        <v>-503</v>
      </c>
      <c r="AA1566">
        <v>693843</v>
      </c>
      <c r="AD1566" t="s">
        <v>3341</v>
      </c>
      <c r="AE1566" t="s">
        <v>4698</v>
      </c>
      <c r="AF1566" t="s">
        <v>3341</v>
      </c>
      <c r="AG1566">
        <v>31035833008520</v>
      </c>
      <c r="AH1566" t="s">
        <v>44</v>
      </c>
    </row>
    <row r="1567" spans="1:34" x14ac:dyDescent="0.3">
      <c r="A1567">
        <v>101</v>
      </c>
      <c r="B1567" t="s">
        <v>34</v>
      </c>
      <c r="C1567">
        <v>2</v>
      </c>
      <c r="D1567" s="1" t="s">
        <v>4699</v>
      </c>
      <c r="E1567" t="s">
        <v>4694</v>
      </c>
      <c r="G1567">
        <v>469712</v>
      </c>
      <c r="H1567" t="s">
        <v>4695</v>
      </c>
      <c r="I1567" t="s">
        <v>4696</v>
      </c>
      <c r="J1567">
        <v>30</v>
      </c>
      <c r="K1567">
        <v>463872</v>
      </c>
      <c r="L1567">
        <v>10033</v>
      </c>
      <c r="M1567" t="s">
        <v>3135</v>
      </c>
      <c r="N1567">
        <v>351</v>
      </c>
      <c r="O1567" s="2">
        <v>46225</v>
      </c>
      <c r="P1567" s="2">
        <v>46278</v>
      </c>
      <c r="R1567" t="s">
        <v>4697</v>
      </c>
      <c r="S1567" t="str">
        <f t="shared" si="0"/>
        <v>029197</v>
      </c>
      <c r="T1567" t="s">
        <v>41</v>
      </c>
      <c r="U1567">
        <v>13815.13</v>
      </c>
      <c r="V1567">
        <v>13815.13</v>
      </c>
      <c r="W1567">
        <v>13815.13</v>
      </c>
      <c r="X1567">
        <v>0</v>
      </c>
      <c r="Y1567">
        <v>0</v>
      </c>
      <c r="Z1567">
        <v>-503</v>
      </c>
      <c r="AA1567">
        <v>693828</v>
      </c>
      <c r="AD1567" t="s">
        <v>3341</v>
      </c>
      <c r="AE1567" t="s">
        <v>4698</v>
      </c>
      <c r="AF1567" t="s">
        <v>3341</v>
      </c>
      <c r="AG1567">
        <v>31035833008520</v>
      </c>
      <c r="AH1567" t="s">
        <v>44</v>
      </c>
    </row>
    <row r="1568" spans="1:34" x14ac:dyDescent="0.3">
      <c r="A1568">
        <v>101</v>
      </c>
      <c r="B1568" t="s">
        <v>34</v>
      </c>
      <c r="C1568">
        <v>2</v>
      </c>
      <c r="D1568" s="1" t="s">
        <v>4700</v>
      </c>
      <c r="E1568" t="s">
        <v>4694</v>
      </c>
      <c r="G1568">
        <v>469713</v>
      </c>
      <c r="H1568" t="s">
        <v>4701</v>
      </c>
      <c r="I1568" t="s">
        <v>4696</v>
      </c>
      <c r="J1568">
        <v>30</v>
      </c>
      <c r="K1568">
        <v>463872</v>
      </c>
      <c r="L1568">
        <v>10033</v>
      </c>
      <c r="M1568" t="s">
        <v>3135</v>
      </c>
      <c r="N1568">
        <v>351</v>
      </c>
      <c r="O1568" s="2">
        <v>46225</v>
      </c>
      <c r="P1568" s="2">
        <v>46279</v>
      </c>
      <c r="R1568" t="s">
        <v>4697</v>
      </c>
      <c r="S1568" t="str">
        <f t="shared" si="0"/>
        <v>029197</v>
      </c>
      <c r="T1568" t="s">
        <v>41</v>
      </c>
      <c r="U1568">
        <v>6164.75</v>
      </c>
      <c r="V1568">
        <v>6164.75</v>
      </c>
      <c r="W1568">
        <v>6164.75</v>
      </c>
      <c r="X1568">
        <v>0</v>
      </c>
      <c r="Y1568">
        <v>0</v>
      </c>
      <c r="Z1568">
        <v>-504</v>
      </c>
      <c r="AA1568">
        <v>693838</v>
      </c>
      <c r="AD1568" t="s">
        <v>64</v>
      </c>
      <c r="AE1568" t="s">
        <v>4702</v>
      </c>
      <c r="AF1568" t="s">
        <v>64</v>
      </c>
      <c r="AG1568">
        <v>31035833006667</v>
      </c>
      <c r="AH1568" t="s">
        <v>44</v>
      </c>
    </row>
    <row r="1569" spans="1:34" x14ac:dyDescent="0.3">
      <c r="A1569">
        <v>101</v>
      </c>
      <c r="B1569" t="s">
        <v>34</v>
      </c>
      <c r="C1569">
        <v>4</v>
      </c>
      <c r="D1569" s="1" t="s">
        <v>4703</v>
      </c>
      <c r="E1569" t="s">
        <v>4694</v>
      </c>
      <c r="G1569">
        <v>469713</v>
      </c>
      <c r="H1569" t="s">
        <v>4701</v>
      </c>
      <c r="I1569" t="s">
        <v>4696</v>
      </c>
      <c r="J1569">
        <v>30</v>
      </c>
      <c r="K1569">
        <v>463872</v>
      </c>
      <c r="L1569">
        <v>10033</v>
      </c>
      <c r="M1569" t="s">
        <v>3135</v>
      </c>
      <c r="N1569">
        <v>351</v>
      </c>
      <c r="O1569" s="2">
        <v>46225</v>
      </c>
      <c r="P1569" s="2">
        <v>46279</v>
      </c>
      <c r="R1569" t="s">
        <v>4697</v>
      </c>
      <c r="S1569" t="str">
        <f t="shared" si="0"/>
        <v>029197</v>
      </c>
      <c r="T1569" t="s">
        <v>41</v>
      </c>
      <c r="U1569">
        <v>6232.13</v>
      </c>
      <c r="V1569">
        <v>6232.13</v>
      </c>
      <c r="W1569">
        <v>6232.13</v>
      </c>
      <c r="X1569">
        <v>0</v>
      </c>
      <c r="Y1569">
        <v>0</v>
      </c>
      <c r="Z1569">
        <v>-504</v>
      </c>
      <c r="AA1569">
        <v>693831</v>
      </c>
      <c r="AD1569" t="s">
        <v>64</v>
      </c>
      <c r="AE1569" t="s">
        <v>4702</v>
      </c>
      <c r="AF1569" t="s">
        <v>64</v>
      </c>
      <c r="AG1569">
        <v>31035833006667</v>
      </c>
      <c r="AH1569" t="s">
        <v>44</v>
      </c>
    </row>
    <row r="1570" spans="1:34" x14ac:dyDescent="0.3">
      <c r="A1570">
        <v>101</v>
      </c>
      <c r="B1570" t="s">
        <v>34</v>
      </c>
      <c r="C1570">
        <v>2</v>
      </c>
      <c r="D1570" s="1" t="s">
        <v>4704</v>
      </c>
      <c r="E1570" t="s">
        <v>4694</v>
      </c>
      <c r="G1570">
        <v>469714</v>
      </c>
      <c r="H1570" t="s">
        <v>4705</v>
      </c>
      <c r="I1570" t="s">
        <v>4696</v>
      </c>
      <c r="J1570">
        <v>30</v>
      </c>
      <c r="K1570">
        <v>463872</v>
      </c>
      <c r="L1570">
        <v>10033</v>
      </c>
      <c r="M1570" t="s">
        <v>3135</v>
      </c>
      <c r="N1570">
        <v>351</v>
      </c>
      <c r="O1570" s="2">
        <v>46225</v>
      </c>
      <c r="P1570" s="2">
        <v>46278</v>
      </c>
      <c r="R1570" t="s">
        <v>4697</v>
      </c>
      <c r="S1570" t="str">
        <f t="shared" si="0"/>
        <v>029197</v>
      </c>
      <c r="T1570" t="s">
        <v>41</v>
      </c>
      <c r="U1570">
        <v>17334.73</v>
      </c>
      <c r="V1570">
        <v>17334.73</v>
      </c>
      <c r="W1570">
        <v>17334.73</v>
      </c>
      <c r="X1570">
        <v>0</v>
      </c>
      <c r="Y1570">
        <v>0</v>
      </c>
      <c r="Z1570">
        <v>-503</v>
      </c>
      <c r="AA1570">
        <v>693842</v>
      </c>
      <c r="AD1570" t="s">
        <v>3337</v>
      </c>
      <c r="AE1570" t="s">
        <v>4698</v>
      </c>
      <c r="AF1570" t="s">
        <v>3337</v>
      </c>
      <c r="AG1570">
        <v>31035833008872</v>
      </c>
      <c r="AH1570" t="s">
        <v>44</v>
      </c>
    </row>
    <row r="1571" spans="1:34" x14ac:dyDescent="0.3">
      <c r="A1571">
        <v>101</v>
      </c>
      <c r="B1571" t="s">
        <v>34</v>
      </c>
      <c r="C1571">
        <v>4</v>
      </c>
      <c r="D1571" s="1" t="s">
        <v>4706</v>
      </c>
      <c r="E1571" t="s">
        <v>4694</v>
      </c>
      <c r="G1571">
        <v>469714</v>
      </c>
      <c r="H1571" t="s">
        <v>4705</v>
      </c>
      <c r="I1571" t="s">
        <v>4696</v>
      </c>
      <c r="J1571">
        <v>30</v>
      </c>
      <c r="K1571">
        <v>463872</v>
      </c>
      <c r="L1571">
        <v>10033</v>
      </c>
      <c r="M1571" t="s">
        <v>3135</v>
      </c>
      <c r="N1571">
        <v>351</v>
      </c>
      <c r="O1571" s="2">
        <v>46225</v>
      </c>
      <c r="P1571" s="2">
        <v>46278</v>
      </c>
      <c r="R1571" t="s">
        <v>4697</v>
      </c>
      <c r="S1571" t="str">
        <f t="shared" si="0"/>
        <v>029197</v>
      </c>
      <c r="T1571" t="s">
        <v>41</v>
      </c>
      <c r="U1571">
        <v>12748.5</v>
      </c>
      <c r="V1571">
        <v>12748.5</v>
      </c>
      <c r="W1571">
        <v>12748.5</v>
      </c>
      <c r="X1571">
        <v>0</v>
      </c>
      <c r="Y1571">
        <v>0</v>
      </c>
      <c r="Z1571">
        <v>-503</v>
      </c>
      <c r="AA1571">
        <v>693827</v>
      </c>
      <c r="AD1571" t="s">
        <v>3337</v>
      </c>
      <c r="AE1571" t="s">
        <v>4698</v>
      </c>
      <c r="AF1571" t="s">
        <v>3337</v>
      </c>
      <c r="AG1571">
        <v>31035833008872</v>
      </c>
      <c r="AH1571" t="s">
        <v>44</v>
      </c>
    </row>
    <row r="1572" spans="1:34" x14ac:dyDescent="0.3">
      <c r="A1572">
        <v>101</v>
      </c>
      <c r="B1572" t="s">
        <v>34</v>
      </c>
      <c r="C1572">
        <v>4</v>
      </c>
      <c r="D1572" s="1" t="s">
        <v>4707</v>
      </c>
      <c r="E1572" t="s">
        <v>4694</v>
      </c>
      <c r="G1572">
        <v>469715</v>
      </c>
      <c r="H1572" t="s">
        <v>4708</v>
      </c>
      <c r="I1572" t="s">
        <v>4696</v>
      </c>
      <c r="J1572">
        <v>30</v>
      </c>
      <c r="K1572">
        <v>463872</v>
      </c>
      <c r="L1572">
        <v>10033</v>
      </c>
      <c r="M1572" t="s">
        <v>3135</v>
      </c>
      <c r="N1572">
        <v>351</v>
      </c>
      <c r="O1572" s="2">
        <v>46225</v>
      </c>
      <c r="P1572" s="2">
        <v>46279</v>
      </c>
      <c r="R1572" t="s">
        <v>4697</v>
      </c>
      <c r="S1572" t="str">
        <f t="shared" si="0"/>
        <v>029197</v>
      </c>
      <c r="T1572" t="s">
        <v>41</v>
      </c>
      <c r="U1572">
        <v>27522.93</v>
      </c>
      <c r="V1572">
        <v>27522.93</v>
      </c>
      <c r="W1572">
        <v>27522.93</v>
      </c>
      <c r="X1572">
        <v>0</v>
      </c>
      <c r="Y1572">
        <v>0</v>
      </c>
      <c r="Z1572">
        <v>-504</v>
      </c>
      <c r="AA1572">
        <v>693823</v>
      </c>
      <c r="AD1572" t="s">
        <v>64</v>
      </c>
      <c r="AE1572" t="s">
        <v>4702</v>
      </c>
      <c r="AF1572" t="s">
        <v>64</v>
      </c>
      <c r="AG1572">
        <v>31035833006233</v>
      </c>
      <c r="AH1572" t="s">
        <v>44</v>
      </c>
    </row>
    <row r="1573" spans="1:34" x14ac:dyDescent="0.3">
      <c r="A1573">
        <v>101</v>
      </c>
      <c r="B1573" t="s">
        <v>34</v>
      </c>
      <c r="C1573">
        <v>2</v>
      </c>
      <c r="D1573" s="1" t="s">
        <v>4709</v>
      </c>
      <c r="E1573" t="s">
        <v>4694</v>
      </c>
      <c r="G1573">
        <v>469715</v>
      </c>
      <c r="H1573" t="s">
        <v>4708</v>
      </c>
      <c r="I1573" t="s">
        <v>4696</v>
      </c>
      <c r="J1573">
        <v>30</v>
      </c>
      <c r="K1573">
        <v>463872</v>
      </c>
      <c r="L1573">
        <v>10033</v>
      </c>
      <c r="M1573" t="s">
        <v>3135</v>
      </c>
      <c r="N1573">
        <v>351</v>
      </c>
      <c r="O1573" s="2">
        <v>46225</v>
      </c>
      <c r="P1573" s="2">
        <v>46279</v>
      </c>
      <c r="R1573" t="s">
        <v>4697</v>
      </c>
      <c r="S1573" t="str">
        <f t="shared" si="0"/>
        <v>029197</v>
      </c>
      <c r="T1573" t="s">
        <v>41</v>
      </c>
      <c r="U1573">
        <v>28004.14</v>
      </c>
      <c r="V1573">
        <v>28004.14</v>
      </c>
      <c r="W1573">
        <v>28004.14</v>
      </c>
      <c r="X1573">
        <v>0</v>
      </c>
      <c r="Y1573">
        <v>0</v>
      </c>
      <c r="Z1573">
        <v>-504</v>
      </c>
      <c r="AA1573">
        <v>693849</v>
      </c>
      <c r="AD1573" t="s">
        <v>64</v>
      </c>
      <c r="AE1573" t="s">
        <v>4702</v>
      </c>
      <c r="AF1573" t="s">
        <v>64</v>
      </c>
      <c r="AG1573">
        <v>31035833006233</v>
      </c>
      <c r="AH1573" t="s">
        <v>44</v>
      </c>
    </row>
    <row r="1574" spans="1:34" x14ac:dyDescent="0.3">
      <c r="A1574">
        <v>101</v>
      </c>
      <c r="B1574" t="s">
        <v>34</v>
      </c>
      <c r="C1574">
        <v>4</v>
      </c>
      <c r="D1574" s="1" t="s">
        <v>4710</v>
      </c>
      <c r="E1574" t="s">
        <v>4694</v>
      </c>
      <c r="G1574">
        <v>469716</v>
      </c>
      <c r="H1574" t="s">
        <v>4711</v>
      </c>
      <c r="I1574" t="s">
        <v>4696</v>
      </c>
      <c r="J1574">
        <v>30</v>
      </c>
      <c r="K1574">
        <v>463872</v>
      </c>
      <c r="L1574">
        <v>10033</v>
      </c>
      <c r="M1574" t="s">
        <v>3135</v>
      </c>
      <c r="N1574">
        <v>351</v>
      </c>
      <c r="O1574" s="2">
        <v>46225</v>
      </c>
      <c r="P1574" s="2">
        <v>46278</v>
      </c>
      <c r="R1574" t="s">
        <v>4697</v>
      </c>
      <c r="S1574" t="str">
        <f t="shared" si="0"/>
        <v>029197</v>
      </c>
      <c r="T1574" t="s">
        <v>41</v>
      </c>
      <c r="U1574">
        <v>12748.5</v>
      </c>
      <c r="V1574">
        <v>12748.5</v>
      </c>
      <c r="W1574">
        <v>12748.5</v>
      </c>
      <c r="X1574">
        <v>0</v>
      </c>
      <c r="Y1574">
        <v>0</v>
      </c>
      <c r="Z1574">
        <v>-503</v>
      </c>
      <c r="AA1574">
        <v>693841</v>
      </c>
      <c r="AD1574" t="s">
        <v>2873</v>
      </c>
      <c r="AE1574" t="s">
        <v>4698</v>
      </c>
      <c r="AF1574" t="s">
        <v>2873</v>
      </c>
      <c r="AG1574">
        <v>31035833008600</v>
      </c>
      <c r="AH1574" t="s">
        <v>44</v>
      </c>
    </row>
    <row r="1575" spans="1:34" x14ac:dyDescent="0.3">
      <c r="A1575">
        <v>101</v>
      </c>
      <c r="B1575" t="s">
        <v>34</v>
      </c>
      <c r="C1575">
        <v>2</v>
      </c>
      <c r="D1575" s="1" t="s">
        <v>4712</v>
      </c>
      <c r="E1575" t="s">
        <v>4694</v>
      </c>
      <c r="G1575">
        <v>469716</v>
      </c>
      <c r="H1575" t="s">
        <v>4711</v>
      </c>
      <c r="I1575" t="s">
        <v>4696</v>
      </c>
      <c r="J1575">
        <v>30</v>
      </c>
      <c r="K1575">
        <v>463872</v>
      </c>
      <c r="L1575">
        <v>10033</v>
      </c>
      <c r="M1575" t="s">
        <v>3135</v>
      </c>
      <c r="N1575">
        <v>351</v>
      </c>
      <c r="O1575" s="2">
        <v>46225</v>
      </c>
      <c r="P1575" s="2">
        <v>46278</v>
      </c>
      <c r="R1575" t="s">
        <v>4697</v>
      </c>
      <c r="S1575" t="str">
        <f t="shared" si="0"/>
        <v>029197</v>
      </c>
      <c r="T1575" t="s">
        <v>41</v>
      </c>
      <c r="U1575">
        <v>18026.37</v>
      </c>
      <c r="V1575">
        <v>18026.37</v>
      </c>
      <c r="W1575">
        <v>18026.37</v>
      </c>
      <c r="X1575">
        <v>0</v>
      </c>
      <c r="Y1575">
        <v>0</v>
      </c>
      <c r="Z1575">
        <v>-503</v>
      </c>
      <c r="AA1575">
        <v>693825</v>
      </c>
      <c r="AD1575" t="s">
        <v>2873</v>
      </c>
      <c r="AE1575" t="s">
        <v>4698</v>
      </c>
      <c r="AF1575" t="s">
        <v>2873</v>
      </c>
      <c r="AG1575">
        <v>31035833008600</v>
      </c>
      <c r="AH1575" t="s">
        <v>44</v>
      </c>
    </row>
    <row r="1576" spans="1:34" x14ac:dyDescent="0.3">
      <c r="A1576">
        <v>101</v>
      </c>
      <c r="B1576" t="s">
        <v>34</v>
      </c>
      <c r="C1576">
        <v>2</v>
      </c>
      <c r="D1576" s="1" t="s">
        <v>4713</v>
      </c>
      <c r="E1576" t="s">
        <v>4694</v>
      </c>
      <c r="G1576">
        <v>469717</v>
      </c>
      <c r="H1576" t="s">
        <v>4714</v>
      </c>
      <c r="I1576" t="s">
        <v>4696</v>
      </c>
      <c r="J1576">
        <v>30</v>
      </c>
      <c r="K1576">
        <v>463872</v>
      </c>
      <c r="L1576">
        <v>10033</v>
      </c>
      <c r="M1576" t="s">
        <v>3135</v>
      </c>
      <c r="N1576">
        <v>351</v>
      </c>
      <c r="O1576" s="2">
        <v>46225</v>
      </c>
      <c r="P1576" s="2">
        <v>46279</v>
      </c>
      <c r="R1576" t="s">
        <v>4697</v>
      </c>
      <c r="S1576" t="str">
        <f t="shared" si="0"/>
        <v>029197</v>
      </c>
      <c r="T1576" t="s">
        <v>41</v>
      </c>
      <c r="U1576">
        <v>16972.54</v>
      </c>
      <c r="V1576">
        <v>16972.54</v>
      </c>
      <c r="W1576">
        <v>16972.54</v>
      </c>
      <c r="X1576">
        <v>0</v>
      </c>
      <c r="Y1576">
        <v>0</v>
      </c>
      <c r="Z1576">
        <v>-504</v>
      </c>
      <c r="AA1576">
        <v>693835</v>
      </c>
      <c r="AD1576" t="s">
        <v>4715</v>
      </c>
      <c r="AE1576" t="s">
        <v>4716</v>
      </c>
      <c r="AF1576" t="s">
        <v>4715</v>
      </c>
      <c r="AG1576">
        <v>31035833000979</v>
      </c>
      <c r="AH1576" t="s">
        <v>44</v>
      </c>
    </row>
    <row r="1577" spans="1:34" x14ac:dyDescent="0.3">
      <c r="A1577">
        <v>101</v>
      </c>
      <c r="B1577" t="s">
        <v>34</v>
      </c>
      <c r="C1577">
        <v>4</v>
      </c>
      <c r="D1577" s="1" t="s">
        <v>4717</v>
      </c>
      <c r="E1577" t="s">
        <v>4694</v>
      </c>
      <c r="G1577">
        <v>469717</v>
      </c>
      <c r="H1577" t="s">
        <v>4714</v>
      </c>
      <c r="I1577" t="s">
        <v>4696</v>
      </c>
      <c r="J1577">
        <v>30</v>
      </c>
      <c r="K1577">
        <v>463872</v>
      </c>
      <c r="L1577">
        <v>10033</v>
      </c>
      <c r="M1577" t="s">
        <v>3135</v>
      </c>
      <c r="N1577">
        <v>351</v>
      </c>
      <c r="O1577" s="2">
        <v>46225</v>
      </c>
      <c r="P1577" s="2">
        <v>46279</v>
      </c>
      <c r="R1577" t="s">
        <v>4697</v>
      </c>
      <c r="S1577" t="str">
        <f t="shared" si="0"/>
        <v>029197</v>
      </c>
      <c r="T1577" t="s">
        <v>41</v>
      </c>
      <c r="U1577">
        <v>12326.64</v>
      </c>
      <c r="V1577">
        <v>12326.64</v>
      </c>
      <c r="W1577">
        <v>12326.64</v>
      </c>
      <c r="X1577">
        <v>0</v>
      </c>
      <c r="Y1577">
        <v>0</v>
      </c>
      <c r="Z1577">
        <v>-504</v>
      </c>
      <c r="AA1577">
        <v>693819</v>
      </c>
      <c r="AD1577" t="s">
        <v>4715</v>
      </c>
      <c r="AE1577" t="s">
        <v>4716</v>
      </c>
      <c r="AF1577" t="s">
        <v>4715</v>
      </c>
      <c r="AG1577">
        <v>31035833000979</v>
      </c>
      <c r="AH1577" t="s">
        <v>44</v>
      </c>
    </row>
    <row r="1578" spans="1:34" x14ac:dyDescent="0.3">
      <c r="A1578">
        <v>101</v>
      </c>
      <c r="B1578" t="s">
        <v>34</v>
      </c>
      <c r="C1578">
        <v>2</v>
      </c>
      <c r="D1578" s="1" t="s">
        <v>4718</v>
      </c>
      <c r="E1578" s="1" t="s">
        <v>36</v>
      </c>
      <c r="G1578">
        <v>469878</v>
      </c>
      <c r="H1578" t="s">
        <v>4719</v>
      </c>
      <c r="I1578" t="s">
        <v>4720</v>
      </c>
      <c r="J1578">
        <v>30</v>
      </c>
      <c r="K1578">
        <v>469878</v>
      </c>
      <c r="L1578">
        <v>50001</v>
      </c>
      <c r="M1578" t="s">
        <v>39</v>
      </c>
      <c r="N1578">
        <v>351</v>
      </c>
      <c r="O1578" s="2">
        <v>46246</v>
      </c>
      <c r="P1578" s="2">
        <v>46267</v>
      </c>
      <c r="R1578" t="s">
        <v>4721</v>
      </c>
      <c r="S1578" t="str">
        <f>"25666160000051876"</f>
        <v>25666160000051876</v>
      </c>
      <c r="T1578" t="s">
        <v>41</v>
      </c>
      <c r="U1578">
        <v>5355</v>
      </c>
      <c r="V1578">
        <v>5355</v>
      </c>
      <c r="W1578">
        <v>5355</v>
      </c>
      <c r="X1578">
        <v>0</v>
      </c>
      <c r="Y1578">
        <v>0</v>
      </c>
      <c r="Z1578">
        <v>-492</v>
      </c>
      <c r="AD1578" t="s">
        <v>4722</v>
      </c>
      <c r="AG1578">
        <v>35333182817</v>
      </c>
      <c r="AH1578" t="s">
        <v>44</v>
      </c>
    </row>
    <row r="1579" spans="1:34" x14ac:dyDescent="0.3">
      <c r="A1579">
        <v>101</v>
      </c>
      <c r="B1579" t="s">
        <v>34</v>
      </c>
      <c r="C1579">
        <v>2</v>
      </c>
      <c r="D1579" s="1" t="s">
        <v>4723</v>
      </c>
      <c r="E1579" s="1" t="s">
        <v>36</v>
      </c>
      <c r="G1579">
        <v>469886</v>
      </c>
      <c r="H1579" t="s">
        <v>4724</v>
      </c>
      <c r="I1579" t="s">
        <v>4725</v>
      </c>
      <c r="J1579">
        <v>35</v>
      </c>
      <c r="K1579">
        <v>469886</v>
      </c>
      <c r="L1579">
        <v>50001</v>
      </c>
      <c r="M1579" t="s">
        <v>39</v>
      </c>
      <c r="N1579">
        <v>351</v>
      </c>
      <c r="O1579" s="2">
        <v>46225</v>
      </c>
      <c r="P1579" s="2">
        <v>46255</v>
      </c>
      <c r="R1579" t="s">
        <v>4726</v>
      </c>
      <c r="S1579" t="str">
        <f>""</f>
        <v/>
      </c>
      <c r="T1579" t="s">
        <v>41</v>
      </c>
      <c r="U1579">
        <v>80</v>
      </c>
      <c r="V1579">
        <v>80</v>
      </c>
      <c r="W1579">
        <v>80</v>
      </c>
      <c r="X1579">
        <v>0</v>
      </c>
      <c r="Y1579">
        <v>0</v>
      </c>
      <c r="Z1579">
        <v>-480</v>
      </c>
      <c r="AD1579" t="s">
        <v>42</v>
      </c>
      <c r="AE1579">
        <v>16993406952</v>
      </c>
      <c r="AG1579">
        <v>46275195835</v>
      </c>
      <c r="AH1579" t="s">
        <v>44</v>
      </c>
    </row>
    <row r="1580" spans="1:34" x14ac:dyDescent="0.3">
      <c r="A1580">
        <v>101</v>
      </c>
      <c r="B1580" t="s">
        <v>34</v>
      </c>
      <c r="C1580">
        <v>2</v>
      </c>
      <c r="D1580" s="1" t="s">
        <v>4727</v>
      </c>
      <c r="E1580" t="s">
        <v>4694</v>
      </c>
      <c r="G1580">
        <v>469910</v>
      </c>
      <c r="H1580" t="s">
        <v>4728</v>
      </c>
      <c r="I1580" t="s">
        <v>4696</v>
      </c>
      <c r="J1580">
        <v>30</v>
      </c>
      <c r="K1580">
        <v>463872</v>
      </c>
      <c r="L1580">
        <v>10033</v>
      </c>
      <c r="M1580" t="s">
        <v>3135</v>
      </c>
      <c r="N1580">
        <v>351</v>
      </c>
      <c r="O1580" s="2">
        <v>46225</v>
      </c>
      <c r="P1580" s="2">
        <v>46279</v>
      </c>
      <c r="R1580" t="s">
        <v>4697</v>
      </c>
      <c r="S1580" t="str">
        <f t="shared" ref="S1580:S1587" si="1">"029197"</f>
        <v>029197</v>
      </c>
      <c r="T1580" t="s">
        <v>41</v>
      </c>
      <c r="U1580">
        <v>14611.4</v>
      </c>
      <c r="V1580">
        <v>14611.4</v>
      </c>
      <c r="W1580">
        <v>14611.4</v>
      </c>
      <c r="X1580">
        <v>0</v>
      </c>
      <c r="Y1580">
        <v>0</v>
      </c>
      <c r="Z1580">
        <v>-504</v>
      </c>
      <c r="AA1580">
        <v>693848</v>
      </c>
      <c r="AD1580" t="s">
        <v>4729</v>
      </c>
      <c r="AE1580" t="s">
        <v>4716</v>
      </c>
      <c r="AF1580" t="s">
        <v>4729</v>
      </c>
      <c r="AG1580">
        <v>31035833005776</v>
      </c>
      <c r="AH1580" t="s">
        <v>44</v>
      </c>
    </row>
    <row r="1581" spans="1:34" x14ac:dyDescent="0.3">
      <c r="A1581">
        <v>101</v>
      </c>
      <c r="B1581" t="s">
        <v>34</v>
      </c>
      <c r="C1581">
        <v>4</v>
      </c>
      <c r="D1581" s="1" t="s">
        <v>4730</v>
      </c>
      <c r="E1581" t="s">
        <v>4694</v>
      </c>
      <c r="G1581">
        <v>469910</v>
      </c>
      <c r="H1581" t="s">
        <v>4728</v>
      </c>
      <c r="I1581" t="s">
        <v>4696</v>
      </c>
      <c r="J1581">
        <v>30</v>
      </c>
      <c r="K1581">
        <v>463872</v>
      </c>
      <c r="L1581">
        <v>10033</v>
      </c>
      <c r="M1581" t="s">
        <v>3135</v>
      </c>
      <c r="N1581">
        <v>351</v>
      </c>
      <c r="O1581" s="2">
        <v>46225</v>
      </c>
      <c r="P1581" s="2">
        <v>46279</v>
      </c>
      <c r="R1581" t="s">
        <v>4697</v>
      </c>
      <c r="S1581" t="str">
        <f t="shared" si="1"/>
        <v>029197</v>
      </c>
      <c r="T1581" t="s">
        <v>41</v>
      </c>
      <c r="U1581">
        <v>8397.08</v>
      </c>
      <c r="V1581">
        <v>8397.08</v>
      </c>
      <c r="W1581">
        <v>8397.08</v>
      </c>
      <c r="X1581">
        <v>0</v>
      </c>
      <c r="Y1581">
        <v>0</v>
      </c>
      <c r="Z1581">
        <v>-504</v>
      </c>
      <c r="AA1581">
        <v>693846</v>
      </c>
      <c r="AD1581" t="s">
        <v>4729</v>
      </c>
      <c r="AE1581" t="s">
        <v>4716</v>
      </c>
      <c r="AF1581" t="s">
        <v>4729</v>
      </c>
      <c r="AG1581">
        <v>31035833005776</v>
      </c>
      <c r="AH1581" t="s">
        <v>44</v>
      </c>
    </row>
    <row r="1582" spans="1:34" x14ac:dyDescent="0.3">
      <c r="A1582">
        <v>101</v>
      </c>
      <c r="B1582" t="s">
        <v>34</v>
      </c>
      <c r="C1582">
        <v>4</v>
      </c>
      <c r="D1582" s="1" t="s">
        <v>4731</v>
      </c>
      <c r="E1582" t="s">
        <v>4694</v>
      </c>
      <c r="G1582">
        <v>469911</v>
      </c>
      <c r="H1582" t="s">
        <v>4732</v>
      </c>
      <c r="I1582" t="s">
        <v>4696</v>
      </c>
      <c r="J1582">
        <v>30</v>
      </c>
      <c r="K1582">
        <v>463872</v>
      </c>
      <c r="L1582">
        <v>10033</v>
      </c>
      <c r="M1582" t="s">
        <v>3135</v>
      </c>
      <c r="N1582">
        <v>351</v>
      </c>
      <c r="O1582" s="2">
        <v>46225</v>
      </c>
      <c r="P1582" s="2">
        <v>46279</v>
      </c>
      <c r="R1582" t="s">
        <v>4697</v>
      </c>
      <c r="S1582" t="str">
        <f t="shared" si="1"/>
        <v>029197</v>
      </c>
      <c r="T1582" t="s">
        <v>41</v>
      </c>
      <c r="U1582">
        <v>11134.19</v>
      </c>
      <c r="V1582">
        <v>11134.19</v>
      </c>
      <c r="W1582">
        <v>11134.19</v>
      </c>
      <c r="X1582">
        <v>0</v>
      </c>
      <c r="Y1582">
        <v>0</v>
      </c>
      <c r="Z1582">
        <v>-504</v>
      </c>
      <c r="AA1582">
        <v>693844</v>
      </c>
      <c r="AD1582" t="s">
        <v>234</v>
      </c>
      <c r="AE1582" t="s">
        <v>4716</v>
      </c>
      <c r="AF1582" t="s">
        <v>234</v>
      </c>
      <c r="AG1582">
        <v>31035833005504</v>
      </c>
      <c r="AH1582" t="s">
        <v>44</v>
      </c>
    </row>
    <row r="1583" spans="1:34" x14ac:dyDescent="0.3">
      <c r="A1583">
        <v>101</v>
      </c>
      <c r="B1583" t="s">
        <v>34</v>
      </c>
      <c r="C1583">
        <v>2</v>
      </c>
      <c r="D1583" s="1" t="s">
        <v>4733</v>
      </c>
      <c r="E1583" t="s">
        <v>4694</v>
      </c>
      <c r="G1583">
        <v>469911</v>
      </c>
      <c r="H1583" t="s">
        <v>4732</v>
      </c>
      <c r="I1583" t="s">
        <v>4696</v>
      </c>
      <c r="J1583">
        <v>30</v>
      </c>
      <c r="K1583">
        <v>463872</v>
      </c>
      <c r="L1583">
        <v>10033</v>
      </c>
      <c r="M1583" t="s">
        <v>3135</v>
      </c>
      <c r="N1583">
        <v>351</v>
      </c>
      <c r="O1583" s="2">
        <v>46225</v>
      </c>
      <c r="P1583" s="2">
        <v>46279</v>
      </c>
      <c r="R1583" t="s">
        <v>4697</v>
      </c>
      <c r="S1583" t="str">
        <f t="shared" si="1"/>
        <v>029197</v>
      </c>
      <c r="T1583" t="s">
        <v>41</v>
      </c>
      <c r="U1583">
        <v>16919.740000000002</v>
      </c>
      <c r="V1583">
        <v>16919.740000000002</v>
      </c>
      <c r="W1583">
        <v>16919.740000000002</v>
      </c>
      <c r="X1583">
        <v>0</v>
      </c>
      <c r="Y1583">
        <v>0</v>
      </c>
      <c r="Z1583">
        <v>-504</v>
      </c>
      <c r="AA1583">
        <v>693829</v>
      </c>
      <c r="AD1583" t="s">
        <v>234</v>
      </c>
      <c r="AE1583" t="s">
        <v>4716</v>
      </c>
      <c r="AF1583" t="s">
        <v>234</v>
      </c>
      <c r="AG1583">
        <v>31035833005504</v>
      </c>
      <c r="AH1583" t="s">
        <v>44</v>
      </c>
    </row>
    <row r="1584" spans="1:34" x14ac:dyDescent="0.3">
      <c r="A1584">
        <v>101</v>
      </c>
      <c r="B1584" t="s">
        <v>34</v>
      </c>
      <c r="C1584">
        <v>4</v>
      </c>
      <c r="D1584" s="1" t="s">
        <v>4734</v>
      </c>
      <c r="E1584" t="s">
        <v>4694</v>
      </c>
      <c r="G1584">
        <v>469912</v>
      </c>
      <c r="H1584" t="s">
        <v>4735</v>
      </c>
      <c r="I1584" t="s">
        <v>4696</v>
      </c>
      <c r="J1584">
        <v>30</v>
      </c>
      <c r="K1584">
        <v>463872</v>
      </c>
      <c r="L1584">
        <v>10033</v>
      </c>
      <c r="M1584" t="s">
        <v>3135</v>
      </c>
      <c r="N1584">
        <v>351</v>
      </c>
      <c r="O1584" s="2">
        <v>46225</v>
      </c>
      <c r="P1584" s="2">
        <v>46278</v>
      </c>
      <c r="R1584" t="s">
        <v>4697</v>
      </c>
      <c r="S1584" t="str">
        <f t="shared" si="1"/>
        <v>029197</v>
      </c>
      <c r="T1584" t="s">
        <v>41</v>
      </c>
      <c r="U1584">
        <v>11134.19</v>
      </c>
      <c r="V1584">
        <v>11134.19</v>
      </c>
      <c r="W1584">
        <v>11134.19</v>
      </c>
      <c r="X1584">
        <v>0</v>
      </c>
      <c r="Y1584">
        <v>0</v>
      </c>
      <c r="Z1584">
        <v>-503</v>
      </c>
      <c r="AA1584">
        <v>693833</v>
      </c>
      <c r="AD1584" t="s">
        <v>4736</v>
      </c>
      <c r="AE1584" t="s">
        <v>4716</v>
      </c>
      <c r="AF1584" t="s">
        <v>4736</v>
      </c>
      <c r="AG1584">
        <v>31035833007396</v>
      </c>
      <c r="AH1584" t="s">
        <v>44</v>
      </c>
    </row>
    <row r="1585" spans="1:34" x14ac:dyDescent="0.3">
      <c r="A1585">
        <v>101</v>
      </c>
      <c r="B1585" t="s">
        <v>34</v>
      </c>
      <c r="C1585">
        <v>2</v>
      </c>
      <c r="D1585" s="1" t="s">
        <v>4737</v>
      </c>
      <c r="E1585" t="s">
        <v>4694</v>
      </c>
      <c r="G1585">
        <v>469912</v>
      </c>
      <c r="H1585" t="s">
        <v>4735</v>
      </c>
      <c r="I1585" t="s">
        <v>4696</v>
      </c>
      <c r="J1585">
        <v>30</v>
      </c>
      <c r="K1585">
        <v>463872</v>
      </c>
      <c r="L1585">
        <v>10033</v>
      </c>
      <c r="M1585" t="s">
        <v>3135</v>
      </c>
      <c r="N1585">
        <v>351</v>
      </c>
      <c r="O1585" s="2">
        <v>46225</v>
      </c>
      <c r="P1585" s="2">
        <v>46278</v>
      </c>
      <c r="R1585" t="s">
        <v>4697</v>
      </c>
      <c r="S1585" t="str">
        <f t="shared" si="1"/>
        <v>029197</v>
      </c>
      <c r="T1585" t="s">
        <v>41</v>
      </c>
      <c r="U1585">
        <v>16683.12</v>
      </c>
      <c r="V1585">
        <v>16683.12</v>
      </c>
      <c r="W1585">
        <v>16683.12</v>
      </c>
      <c r="X1585">
        <v>0</v>
      </c>
      <c r="Y1585">
        <v>0</v>
      </c>
      <c r="Z1585">
        <v>-503</v>
      </c>
      <c r="AA1585">
        <v>693845</v>
      </c>
      <c r="AD1585" t="s">
        <v>4736</v>
      </c>
      <c r="AE1585" t="s">
        <v>4716</v>
      </c>
      <c r="AF1585" t="s">
        <v>4736</v>
      </c>
      <c r="AG1585">
        <v>31035833007396</v>
      </c>
      <c r="AH1585" t="s">
        <v>44</v>
      </c>
    </row>
    <row r="1586" spans="1:34" x14ac:dyDescent="0.3">
      <c r="A1586">
        <v>101</v>
      </c>
      <c r="B1586" t="s">
        <v>34</v>
      </c>
      <c r="C1586">
        <v>4</v>
      </c>
      <c r="D1586" s="1" t="s">
        <v>4738</v>
      </c>
      <c r="E1586" t="s">
        <v>4694</v>
      </c>
      <c r="G1586">
        <v>470158</v>
      </c>
      <c r="H1586" t="s">
        <v>4739</v>
      </c>
      <c r="I1586" t="s">
        <v>4696</v>
      </c>
      <c r="J1586">
        <v>30</v>
      </c>
      <c r="K1586">
        <v>463872</v>
      </c>
      <c r="L1586">
        <v>10033</v>
      </c>
      <c r="M1586" t="s">
        <v>3135</v>
      </c>
      <c r="N1586">
        <v>351</v>
      </c>
      <c r="O1586" s="2">
        <v>46225</v>
      </c>
      <c r="P1586" s="2">
        <v>46278</v>
      </c>
      <c r="R1586" t="s">
        <v>4697</v>
      </c>
      <c r="S1586" t="str">
        <f t="shared" si="1"/>
        <v>029197</v>
      </c>
      <c r="T1586" t="s">
        <v>41</v>
      </c>
      <c r="U1586">
        <v>4918.46</v>
      </c>
      <c r="V1586">
        <v>4918.46</v>
      </c>
      <c r="W1586">
        <v>4918.46</v>
      </c>
      <c r="X1586">
        <v>0</v>
      </c>
      <c r="Y1586">
        <v>0</v>
      </c>
      <c r="Z1586">
        <v>-503</v>
      </c>
      <c r="AA1586">
        <v>693837</v>
      </c>
      <c r="AD1586" t="s">
        <v>4740</v>
      </c>
      <c r="AE1586" t="s">
        <v>4702</v>
      </c>
      <c r="AF1586" t="s">
        <v>4740</v>
      </c>
      <c r="AG1586">
        <v>31035833004702</v>
      </c>
      <c r="AH1586" t="s">
        <v>44</v>
      </c>
    </row>
    <row r="1587" spans="1:34" x14ac:dyDescent="0.3">
      <c r="A1587">
        <v>101</v>
      </c>
      <c r="B1587" t="s">
        <v>34</v>
      </c>
      <c r="C1587">
        <v>2</v>
      </c>
      <c r="D1587" s="1" t="s">
        <v>4741</v>
      </c>
      <c r="E1587" t="s">
        <v>4694</v>
      </c>
      <c r="G1587">
        <v>470158</v>
      </c>
      <c r="H1587" t="s">
        <v>4739</v>
      </c>
      <c r="I1587" t="s">
        <v>4696</v>
      </c>
      <c r="J1587">
        <v>30</v>
      </c>
      <c r="K1587">
        <v>463872</v>
      </c>
      <c r="L1587">
        <v>10033</v>
      </c>
      <c r="M1587" t="s">
        <v>3135</v>
      </c>
      <c r="N1587">
        <v>351</v>
      </c>
      <c r="O1587" s="2">
        <v>46225</v>
      </c>
      <c r="P1587" s="2">
        <v>46278</v>
      </c>
      <c r="R1587" t="s">
        <v>4697</v>
      </c>
      <c r="S1587" t="str">
        <f t="shared" si="1"/>
        <v>029197</v>
      </c>
      <c r="T1587" t="s">
        <v>41</v>
      </c>
      <c r="U1587">
        <v>6985.37</v>
      </c>
      <c r="V1587">
        <v>6985.37</v>
      </c>
      <c r="W1587">
        <v>6985.37</v>
      </c>
      <c r="X1587">
        <v>0</v>
      </c>
      <c r="Y1587">
        <v>0</v>
      </c>
      <c r="Z1587">
        <v>-503</v>
      </c>
      <c r="AA1587">
        <v>693820</v>
      </c>
      <c r="AD1587" t="s">
        <v>4740</v>
      </c>
      <c r="AE1587" t="s">
        <v>4702</v>
      </c>
      <c r="AF1587" t="s">
        <v>4740</v>
      </c>
      <c r="AG1587">
        <v>31035833004702</v>
      </c>
      <c r="AH1587" t="s">
        <v>44</v>
      </c>
    </row>
    <row r="1588" spans="1:34" x14ac:dyDescent="0.3">
      <c r="A1588">
        <v>101</v>
      </c>
      <c r="B1588" t="s">
        <v>34</v>
      </c>
      <c r="C1588">
        <v>2</v>
      </c>
      <c r="D1588" s="1" t="s">
        <v>4742</v>
      </c>
      <c r="E1588" s="1" t="s">
        <v>36</v>
      </c>
      <c r="G1588">
        <v>470226</v>
      </c>
      <c r="H1588" t="s">
        <v>4743</v>
      </c>
      <c r="I1588" t="s">
        <v>4744</v>
      </c>
      <c r="J1588">
        <v>35</v>
      </c>
      <c r="K1588">
        <v>470226</v>
      </c>
      <c r="L1588">
        <v>95000</v>
      </c>
      <c r="M1588" t="s">
        <v>69</v>
      </c>
      <c r="N1588">
        <v>351</v>
      </c>
      <c r="O1588" s="2">
        <v>46218</v>
      </c>
      <c r="P1588" s="2">
        <v>46280</v>
      </c>
      <c r="R1588" t="s">
        <v>4745</v>
      </c>
      <c r="S1588" t="str">
        <f>""</f>
        <v/>
      </c>
      <c r="T1588" t="s">
        <v>41</v>
      </c>
      <c r="U1588">
        <v>2324.64</v>
      </c>
      <c r="V1588">
        <v>2324.64</v>
      </c>
      <c r="W1588">
        <v>2324.64</v>
      </c>
      <c r="X1588">
        <v>0</v>
      </c>
      <c r="Y1588">
        <v>0</v>
      </c>
      <c r="Z1588">
        <v>-505</v>
      </c>
      <c r="AA1588">
        <v>694174</v>
      </c>
      <c r="AD1588" t="s">
        <v>1563</v>
      </c>
      <c r="AE1588" s="1" t="s">
        <v>4746</v>
      </c>
      <c r="AF1588" t="s">
        <v>1563</v>
      </c>
      <c r="AG1588">
        <v>20670048000114</v>
      </c>
      <c r="AH1588" t="s">
        <v>1462</v>
      </c>
    </row>
    <row r="1589" spans="1:34" x14ac:dyDescent="0.3">
      <c r="A1589">
        <v>101</v>
      </c>
      <c r="B1589" t="s">
        <v>34</v>
      </c>
      <c r="C1589">
        <v>2</v>
      </c>
      <c r="D1589" s="1" t="s">
        <v>4747</v>
      </c>
      <c r="E1589" s="1" t="s">
        <v>36</v>
      </c>
      <c r="G1589">
        <v>470300</v>
      </c>
      <c r="H1589" t="s">
        <v>4748</v>
      </c>
      <c r="I1589" t="s">
        <v>4749</v>
      </c>
      <c r="J1589">
        <v>35</v>
      </c>
      <c r="K1589">
        <v>470300</v>
      </c>
      <c r="L1589">
        <v>95000</v>
      </c>
      <c r="M1589" t="s">
        <v>69</v>
      </c>
      <c r="N1589">
        <v>351</v>
      </c>
      <c r="O1589" s="2">
        <v>46238</v>
      </c>
      <c r="P1589" s="2">
        <v>46280</v>
      </c>
      <c r="R1589" t="s">
        <v>4750</v>
      </c>
      <c r="S1589" t="str">
        <f>""</f>
        <v/>
      </c>
      <c r="T1589" t="s">
        <v>41</v>
      </c>
      <c r="U1589">
        <v>1598.45</v>
      </c>
      <c r="V1589">
        <v>1598.45</v>
      </c>
      <c r="W1589">
        <v>1598.45</v>
      </c>
      <c r="X1589">
        <v>0</v>
      </c>
      <c r="Y1589">
        <v>0</v>
      </c>
      <c r="Z1589">
        <v>-505</v>
      </c>
      <c r="AA1589">
        <v>696097</v>
      </c>
      <c r="AD1589" t="s">
        <v>4751</v>
      </c>
      <c r="AE1589" t="s">
        <v>4752</v>
      </c>
      <c r="AF1589" t="s">
        <v>4751</v>
      </c>
      <c r="AG1589" s="1" t="s">
        <v>4753</v>
      </c>
      <c r="AH1589" t="s">
        <v>4754</v>
      </c>
    </row>
    <row r="1590" spans="1:34" x14ac:dyDescent="0.3">
      <c r="A1590">
        <v>101</v>
      </c>
      <c r="B1590" t="s">
        <v>34</v>
      </c>
      <c r="C1590">
        <v>2</v>
      </c>
      <c r="D1590" s="1" t="s">
        <v>4755</v>
      </c>
      <c r="E1590" s="1" t="s">
        <v>36</v>
      </c>
      <c r="G1590">
        <v>470371</v>
      </c>
      <c r="H1590" t="s">
        <v>4756</v>
      </c>
      <c r="I1590" t="s">
        <v>4757</v>
      </c>
      <c r="J1590">
        <v>30</v>
      </c>
      <c r="K1590">
        <v>453034</v>
      </c>
      <c r="L1590">
        <v>95000</v>
      </c>
      <c r="M1590" t="s">
        <v>69</v>
      </c>
      <c r="N1590">
        <v>351</v>
      </c>
      <c r="O1590" s="2">
        <v>46254</v>
      </c>
      <c r="P1590" s="2">
        <v>46329</v>
      </c>
      <c r="R1590" t="s">
        <v>4758</v>
      </c>
      <c r="S1590" t="str">
        <f>""</f>
        <v/>
      </c>
      <c r="T1590" t="s">
        <v>41</v>
      </c>
      <c r="U1590">
        <v>53684.3</v>
      </c>
      <c r="V1590">
        <v>53684.3</v>
      </c>
      <c r="W1590">
        <v>53684.3</v>
      </c>
      <c r="X1590">
        <v>0</v>
      </c>
      <c r="Y1590">
        <v>0</v>
      </c>
      <c r="Z1590">
        <v>-554</v>
      </c>
      <c r="AA1590">
        <v>696833</v>
      </c>
      <c r="AD1590" t="s">
        <v>4759</v>
      </c>
      <c r="AE1590" t="s">
        <v>4557</v>
      </c>
      <c r="AF1590" t="s">
        <v>4759</v>
      </c>
      <c r="AG1590">
        <v>15436940001258</v>
      </c>
      <c r="AH1590" t="s">
        <v>44</v>
      </c>
    </row>
    <row r="1591" spans="1:34" x14ac:dyDescent="0.3">
      <c r="A1591">
        <v>101</v>
      </c>
      <c r="B1591" t="s">
        <v>34</v>
      </c>
      <c r="C1591">
        <v>2</v>
      </c>
      <c r="D1591" s="1" t="s">
        <v>4760</v>
      </c>
      <c r="E1591" s="1" t="s">
        <v>36</v>
      </c>
      <c r="G1591">
        <v>470371</v>
      </c>
      <c r="H1591" t="s">
        <v>4756</v>
      </c>
      <c r="I1591" t="s">
        <v>4757</v>
      </c>
      <c r="J1591">
        <v>30</v>
      </c>
      <c r="K1591">
        <v>453034</v>
      </c>
      <c r="L1591">
        <v>95000</v>
      </c>
      <c r="M1591" t="s">
        <v>69</v>
      </c>
      <c r="N1591">
        <v>351</v>
      </c>
      <c r="O1591" s="2">
        <v>46235</v>
      </c>
      <c r="P1591" s="2">
        <v>46310</v>
      </c>
      <c r="R1591" t="s">
        <v>4761</v>
      </c>
      <c r="S1591" t="str">
        <f>""</f>
        <v/>
      </c>
      <c r="T1591" t="s">
        <v>41</v>
      </c>
      <c r="U1591">
        <v>16606.18</v>
      </c>
      <c r="V1591">
        <v>16606.18</v>
      </c>
      <c r="W1591">
        <v>16606.18</v>
      </c>
      <c r="X1591">
        <v>0</v>
      </c>
      <c r="Y1591">
        <v>0</v>
      </c>
      <c r="Z1591">
        <v>-535</v>
      </c>
      <c r="AA1591">
        <v>695279</v>
      </c>
      <c r="AD1591" t="s">
        <v>4759</v>
      </c>
      <c r="AE1591" t="s">
        <v>4557</v>
      </c>
      <c r="AF1591" t="s">
        <v>4759</v>
      </c>
      <c r="AG1591">
        <v>15436940001258</v>
      </c>
      <c r="AH1591" t="s">
        <v>44</v>
      </c>
    </row>
    <row r="1592" spans="1:34" x14ac:dyDescent="0.3">
      <c r="A1592">
        <v>101</v>
      </c>
      <c r="B1592" t="s">
        <v>34</v>
      </c>
      <c r="C1592">
        <v>2</v>
      </c>
      <c r="D1592" s="1" t="s">
        <v>4762</v>
      </c>
      <c r="E1592" s="1" t="s">
        <v>36</v>
      </c>
      <c r="G1592">
        <v>470371</v>
      </c>
      <c r="H1592" t="s">
        <v>4756</v>
      </c>
      <c r="I1592" t="s">
        <v>4757</v>
      </c>
      <c r="J1592">
        <v>30</v>
      </c>
      <c r="K1592">
        <v>453034</v>
      </c>
      <c r="L1592">
        <v>95000</v>
      </c>
      <c r="M1592" t="s">
        <v>69</v>
      </c>
      <c r="N1592">
        <v>351</v>
      </c>
      <c r="O1592" s="2">
        <v>46216</v>
      </c>
      <c r="P1592" s="2">
        <v>46302</v>
      </c>
      <c r="R1592" t="s">
        <v>4763</v>
      </c>
      <c r="S1592" t="str">
        <f>""</f>
        <v/>
      </c>
      <c r="T1592" t="s">
        <v>41</v>
      </c>
      <c r="U1592">
        <v>9598.86</v>
      </c>
      <c r="V1592">
        <v>9598.86</v>
      </c>
      <c r="W1592">
        <v>9598.86</v>
      </c>
      <c r="X1592">
        <v>0</v>
      </c>
      <c r="Y1592">
        <v>0</v>
      </c>
      <c r="Z1592">
        <v>-527</v>
      </c>
      <c r="AA1592">
        <v>694043</v>
      </c>
      <c r="AD1592" t="s">
        <v>4759</v>
      </c>
      <c r="AE1592" t="s">
        <v>4557</v>
      </c>
      <c r="AF1592" t="s">
        <v>4759</v>
      </c>
      <c r="AG1592">
        <v>15436940001258</v>
      </c>
      <c r="AH1592" t="s">
        <v>44</v>
      </c>
    </row>
    <row r="1593" spans="1:34" x14ac:dyDescent="0.3">
      <c r="A1593">
        <v>101</v>
      </c>
      <c r="B1593" t="s">
        <v>34</v>
      </c>
      <c r="C1593">
        <v>2</v>
      </c>
      <c r="D1593" s="1" t="s">
        <v>4764</v>
      </c>
      <c r="E1593" s="1" t="s">
        <v>36</v>
      </c>
      <c r="G1593">
        <v>470371</v>
      </c>
      <c r="H1593" t="s">
        <v>4756</v>
      </c>
      <c r="I1593" t="s">
        <v>4757</v>
      </c>
      <c r="J1593">
        <v>30</v>
      </c>
      <c r="K1593">
        <v>453034</v>
      </c>
      <c r="L1593">
        <v>95000</v>
      </c>
      <c r="M1593" t="s">
        <v>69</v>
      </c>
      <c r="N1593">
        <v>351</v>
      </c>
      <c r="O1593" s="2">
        <v>46238</v>
      </c>
      <c r="P1593" s="2">
        <v>46313</v>
      </c>
      <c r="R1593" t="s">
        <v>4765</v>
      </c>
      <c r="S1593" t="str">
        <f>""</f>
        <v/>
      </c>
      <c r="T1593" t="s">
        <v>41</v>
      </c>
      <c r="U1593">
        <v>38696.11</v>
      </c>
      <c r="V1593">
        <v>38696.11</v>
      </c>
      <c r="W1593">
        <v>38696.11</v>
      </c>
      <c r="X1593">
        <v>0</v>
      </c>
      <c r="Y1593">
        <v>0</v>
      </c>
      <c r="Z1593">
        <v>-538</v>
      </c>
      <c r="AA1593">
        <v>696094</v>
      </c>
      <c r="AD1593" t="s">
        <v>4759</v>
      </c>
      <c r="AE1593" t="s">
        <v>4557</v>
      </c>
      <c r="AF1593" t="s">
        <v>4759</v>
      </c>
      <c r="AG1593">
        <v>15436940001258</v>
      </c>
      <c r="AH1593" t="s">
        <v>44</v>
      </c>
    </row>
    <row r="1594" spans="1:34" x14ac:dyDescent="0.3">
      <c r="A1594">
        <v>101</v>
      </c>
      <c r="B1594" t="s">
        <v>34</v>
      </c>
      <c r="C1594">
        <v>2</v>
      </c>
      <c r="D1594" s="1" t="s">
        <v>4766</v>
      </c>
      <c r="E1594" s="1" t="s">
        <v>36</v>
      </c>
      <c r="G1594">
        <v>470371</v>
      </c>
      <c r="H1594" t="s">
        <v>4756</v>
      </c>
      <c r="I1594" t="s">
        <v>4757</v>
      </c>
      <c r="J1594">
        <v>30</v>
      </c>
      <c r="K1594">
        <v>453034</v>
      </c>
      <c r="L1594">
        <v>95000</v>
      </c>
      <c r="M1594" t="s">
        <v>69</v>
      </c>
      <c r="N1594">
        <v>351</v>
      </c>
      <c r="O1594" s="2">
        <v>46254</v>
      </c>
      <c r="P1594" s="2">
        <v>46329</v>
      </c>
      <c r="R1594" t="s">
        <v>4767</v>
      </c>
      <c r="S1594" t="str">
        <f>""</f>
        <v/>
      </c>
      <c r="T1594" t="s">
        <v>41</v>
      </c>
      <c r="U1594">
        <v>29048.54</v>
      </c>
      <c r="V1594">
        <v>29048.54</v>
      </c>
      <c r="W1594">
        <v>29048.54</v>
      </c>
      <c r="X1594">
        <v>0</v>
      </c>
      <c r="Y1594">
        <v>0</v>
      </c>
      <c r="Z1594">
        <v>-554</v>
      </c>
      <c r="AA1594">
        <v>696561</v>
      </c>
      <c r="AD1594" t="s">
        <v>4759</v>
      </c>
      <c r="AE1594" t="s">
        <v>4557</v>
      </c>
      <c r="AF1594" t="s">
        <v>4759</v>
      </c>
      <c r="AG1594">
        <v>15436940001258</v>
      </c>
      <c r="AH1594" t="s">
        <v>44</v>
      </c>
    </row>
    <row r="1595" spans="1:34" x14ac:dyDescent="0.3">
      <c r="A1595">
        <v>101</v>
      </c>
      <c r="B1595" t="s">
        <v>34</v>
      </c>
      <c r="C1595">
        <v>2</v>
      </c>
      <c r="D1595" s="1" t="s">
        <v>4768</v>
      </c>
      <c r="E1595" s="1" t="s">
        <v>36</v>
      </c>
      <c r="G1595">
        <v>470371</v>
      </c>
      <c r="H1595" t="s">
        <v>4756</v>
      </c>
      <c r="I1595" t="s">
        <v>4757</v>
      </c>
      <c r="J1595">
        <v>30</v>
      </c>
      <c r="K1595">
        <v>453034</v>
      </c>
      <c r="L1595">
        <v>95000</v>
      </c>
      <c r="M1595" t="s">
        <v>69</v>
      </c>
      <c r="N1595">
        <v>351</v>
      </c>
      <c r="O1595" s="2">
        <v>46167</v>
      </c>
      <c r="P1595" s="2">
        <v>46248</v>
      </c>
      <c r="R1595" t="s">
        <v>4769</v>
      </c>
      <c r="S1595" t="str">
        <f>""</f>
        <v/>
      </c>
      <c r="T1595" t="s">
        <v>41</v>
      </c>
      <c r="U1595">
        <v>49527.81</v>
      </c>
      <c r="V1595">
        <v>41464.629999999997</v>
      </c>
      <c r="W1595">
        <v>41464.629999999997</v>
      </c>
      <c r="X1595">
        <v>0</v>
      </c>
      <c r="Y1595">
        <v>0</v>
      </c>
      <c r="Z1595">
        <v>-473</v>
      </c>
      <c r="AA1595" t="s">
        <v>4770</v>
      </c>
      <c r="AD1595" t="s">
        <v>4759</v>
      </c>
      <c r="AE1595" t="s">
        <v>4557</v>
      </c>
      <c r="AF1595" t="s">
        <v>4759</v>
      </c>
      <c r="AG1595">
        <v>15436940001258</v>
      </c>
      <c r="AH1595" t="s">
        <v>44</v>
      </c>
    </row>
    <row r="1596" spans="1:34" x14ac:dyDescent="0.3">
      <c r="A1596">
        <v>101</v>
      </c>
      <c r="B1596" t="s">
        <v>34</v>
      </c>
      <c r="C1596">
        <v>2</v>
      </c>
      <c r="D1596" s="1" t="s">
        <v>4771</v>
      </c>
      <c r="E1596" s="1" t="s">
        <v>36</v>
      </c>
      <c r="G1596">
        <v>470371</v>
      </c>
      <c r="H1596" t="s">
        <v>4756</v>
      </c>
      <c r="I1596" t="s">
        <v>4757</v>
      </c>
      <c r="J1596">
        <v>30</v>
      </c>
      <c r="K1596">
        <v>453034</v>
      </c>
      <c r="L1596">
        <v>95000</v>
      </c>
      <c r="M1596" t="s">
        <v>69</v>
      </c>
      <c r="N1596">
        <v>351</v>
      </c>
      <c r="O1596" s="2">
        <v>46210</v>
      </c>
      <c r="P1596" s="2">
        <v>46302</v>
      </c>
      <c r="R1596" t="s">
        <v>4772</v>
      </c>
      <c r="S1596" t="str">
        <f>""</f>
        <v/>
      </c>
      <c r="T1596" t="s">
        <v>41</v>
      </c>
      <c r="U1596">
        <v>3812.99</v>
      </c>
      <c r="V1596">
        <v>3812.99</v>
      </c>
      <c r="W1596">
        <v>3812.99</v>
      </c>
      <c r="X1596">
        <v>0</v>
      </c>
      <c r="Y1596">
        <v>0</v>
      </c>
      <c r="Z1596">
        <v>-527</v>
      </c>
      <c r="AA1596">
        <v>693783</v>
      </c>
      <c r="AD1596" t="s">
        <v>4759</v>
      </c>
      <c r="AE1596" t="s">
        <v>4557</v>
      </c>
      <c r="AF1596" t="s">
        <v>4759</v>
      </c>
      <c r="AG1596">
        <v>15436940001258</v>
      </c>
      <c r="AH1596" t="s">
        <v>44</v>
      </c>
    </row>
    <row r="1597" spans="1:34" x14ac:dyDescent="0.3">
      <c r="A1597">
        <v>101</v>
      </c>
      <c r="B1597" t="s">
        <v>34</v>
      </c>
      <c r="C1597">
        <v>2</v>
      </c>
      <c r="D1597" s="1" t="s">
        <v>4773</v>
      </c>
      <c r="E1597" s="1" t="s">
        <v>36</v>
      </c>
      <c r="G1597">
        <v>470371</v>
      </c>
      <c r="H1597" t="s">
        <v>4756</v>
      </c>
      <c r="I1597" t="s">
        <v>4757</v>
      </c>
      <c r="J1597">
        <v>30</v>
      </c>
      <c r="K1597">
        <v>453034</v>
      </c>
      <c r="L1597">
        <v>95080</v>
      </c>
      <c r="M1597" t="s">
        <v>83</v>
      </c>
      <c r="N1597">
        <v>351</v>
      </c>
      <c r="O1597" s="2">
        <v>46167</v>
      </c>
      <c r="P1597" s="2">
        <v>46242</v>
      </c>
      <c r="R1597" t="s">
        <v>4774</v>
      </c>
      <c r="S1597" t="str">
        <f>""</f>
        <v/>
      </c>
      <c r="T1597" t="s">
        <v>41</v>
      </c>
      <c r="U1597">
        <v>12596.1</v>
      </c>
      <c r="V1597">
        <v>12596.1</v>
      </c>
      <c r="W1597">
        <v>12596.1</v>
      </c>
      <c r="X1597">
        <v>0</v>
      </c>
      <c r="Y1597">
        <v>0</v>
      </c>
      <c r="Z1597">
        <v>-467</v>
      </c>
      <c r="AA1597" t="s">
        <v>4775</v>
      </c>
      <c r="AD1597" t="s">
        <v>4759</v>
      </c>
      <c r="AE1597" t="s">
        <v>4557</v>
      </c>
      <c r="AF1597" t="s">
        <v>4759</v>
      </c>
      <c r="AG1597">
        <v>15436940001258</v>
      </c>
      <c r="AH1597" t="s">
        <v>44</v>
      </c>
    </row>
    <row r="1598" spans="1:34" x14ac:dyDescent="0.3">
      <c r="A1598">
        <v>101</v>
      </c>
      <c r="B1598" t="s">
        <v>34</v>
      </c>
      <c r="C1598">
        <v>2</v>
      </c>
      <c r="D1598" s="1" t="s">
        <v>4776</v>
      </c>
      <c r="E1598" s="1" t="s">
        <v>36</v>
      </c>
      <c r="G1598">
        <v>470371</v>
      </c>
      <c r="H1598" t="s">
        <v>4756</v>
      </c>
      <c r="I1598" t="s">
        <v>4757</v>
      </c>
      <c r="J1598">
        <v>30</v>
      </c>
      <c r="K1598">
        <v>453034</v>
      </c>
      <c r="L1598">
        <v>95000</v>
      </c>
      <c r="M1598" t="s">
        <v>69</v>
      </c>
      <c r="N1598">
        <v>351</v>
      </c>
      <c r="O1598" s="2">
        <v>46216</v>
      </c>
      <c r="P1598" s="2">
        <v>46302</v>
      </c>
      <c r="R1598" t="s">
        <v>4777</v>
      </c>
      <c r="S1598" t="str">
        <f>""</f>
        <v/>
      </c>
      <c r="T1598" t="s">
        <v>41</v>
      </c>
      <c r="U1598">
        <v>75974.240000000005</v>
      </c>
      <c r="V1598">
        <v>75974.240000000005</v>
      </c>
      <c r="W1598">
        <v>75974.240000000005</v>
      </c>
      <c r="X1598">
        <v>0</v>
      </c>
      <c r="Y1598">
        <v>0</v>
      </c>
      <c r="Z1598">
        <v>-527</v>
      </c>
      <c r="AA1598">
        <v>694134</v>
      </c>
      <c r="AD1598" t="s">
        <v>4759</v>
      </c>
      <c r="AE1598" t="s">
        <v>4557</v>
      </c>
      <c r="AF1598" t="s">
        <v>4759</v>
      </c>
      <c r="AG1598">
        <v>15436940001258</v>
      </c>
      <c r="AH1598" t="s">
        <v>44</v>
      </c>
    </row>
    <row r="1599" spans="1:34" x14ac:dyDescent="0.3">
      <c r="A1599">
        <v>101</v>
      </c>
      <c r="B1599" t="s">
        <v>34</v>
      </c>
      <c r="C1599">
        <v>2</v>
      </c>
      <c r="D1599" s="1" t="s">
        <v>4778</v>
      </c>
      <c r="E1599" s="1" t="s">
        <v>36</v>
      </c>
      <c r="G1599">
        <v>470371</v>
      </c>
      <c r="H1599" t="s">
        <v>4756</v>
      </c>
      <c r="I1599" t="s">
        <v>4757</v>
      </c>
      <c r="J1599">
        <v>30</v>
      </c>
      <c r="K1599">
        <v>453034</v>
      </c>
      <c r="L1599">
        <v>95000</v>
      </c>
      <c r="M1599" t="s">
        <v>69</v>
      </c>
      <c r="N1599">
        <v>351</v>
      </c>
      <c r="O1599" s="2">
        <v>46168</v>
      </c>
      <c r="P1599" s="2">
        <v>46258</v>
      </c>
      <c r="R1599" t="s">
        <v>4779</v>
      </c>
      <c r="S1599" t="str">
        <f>""</f>
        <v/>
      </c>
      <c r="T1599" t="s">
        <v>41</v>
      </c>
      <c r="U1599">
        <v>15306.6</v>
      </c>
      <c r="V1599">
        <v>15306.6</v>
      </c>
      <c r="W1599">
        <v>15306.6</v>
      </c>
      <c r="X1599">
        <v>0</v>
      </c>
      <c r="Y1599">
        <v>0</v>
      </c>
      <c r="Z1599">
        <v>-483</v>
      </c>
      <c r="AA1599">
        <v>689075</v>
      </c>
      <c r="AD1599" t="s">
        <v>4759</v>
      </c>
      <c r="AE1599" t="s">
        <v>4557</v>
      </c>
      <c r="AF1599" t="s">
        <v>4759</v>
      </c>
      <c r="AG1599">
        <v>15436940001258</v>
      </c>
      <c r="AH1599" t="s">
        <v>44</v>
      </c>
    </row>
    <row r="1600" spans="1:34" x14ac:dyDescent="0.3">
      <c r="A1600">
        <v>101</v>
      </c>
      <c r="B1600" t="s">
        <v>34</v>
      </c>
      <c r="C1600">
        <v>2</v>
      </c>
      <c r="D1600" s="1" t="s">
        <v>4780</v>
      </c>
      <c r="E1600" s="1" t="s">
        <v>36</v>
      </c>
      <c r="G1600">
        <v>470371</v>
      </c>
      <c r="H1600" t="s">
        <v>4756</v>
      </c>
      <c r="I1600" t="s">
        <v>4757</v>
      </c>
      <c r="J1600">
        <v>30</v>
      </c>
      <c r="K1600">
        <v>453034</v>
      </c>
      <c r="L1600">
        <v>95000</v>
      </c>
      <c r="M1600" t="s">
        <v>69</v>
      </c>
      <c r="N1600">
        <v>351</v>
      </c>
      <c r="O1600" s="2">
        <v>46216</v>
      </c>
      <c r="P1600" s="2">
        <v>46302</v>
      </c>
      <c r="R1600" t="s">
        <v>4781</v>
      </c>
      <c r="S1600" t="str">
        <f>""</f>
        <v/>
      </c>
      <c r="T1600" t="s">
        <v>41</v>
      </c>
      <c r="U1600">
        <v>5846.81</v>
      </c>
      <c r="V1600">
        <v>5846.81</v>
      </c>
      <c r="W1600">
        <v>5846.81</v>
      </c>
      <c r="X1600">
        <v>0</v>
      </c>
      <c r="Y1600">
        <v>0</v>
      </c>
      <c r="Z1600">
        <v>-527</v>
      </c>
      <c r="AA1600">
        <v>694039</v>
      </c>
      <c r="AD1600" t="s">
        <v>4759</v>
      </c>
      <c r="AE1600" t="s">
        <v>4557</v>
      </c>
      <c r="AF1600" t="s">
        <v>4759</v>
      </c>
      <c r="AG1600">
        <v>15436940001258</v>
      </c>
      <c r="AH1600" t="s">
        <v>44</v>
      </c>
    </row>
    <row r="1601" spans="1:34" x14ac:dyDescent="0.3">
      <c r="A1601">
        <v>101</v>
      </c>
      <c r="B1601" t="s">
        <v>34</v>
      </c>
      <c r="C1601">
        <v>2</v>
      </c>
      <c r="D1601" s="1" t="s">
        <v>4782</v>
      </c>
      <c r="E1601" s="1" t="s">
        <v>36</v>
      </c>
      <c r="G1601">
        <v>470371</v>
      </c>
      <c r="H1601" t="s">
        <v>4756</v>
      </c>
      <c r="I1601" t="s">
        <v>4757</v>
      </c>
      <c r="J1601">
        <v>30</v>
      </c>
      <c r="K1601">
        <v>453034</v>
      </c>
      <c r="L1601">
        <v>95000</v>
      </c>
      <c r="M1601" t="s">
        <v>69</v>
      </c>
      <c r="N1601">
        <v>351</v>
      </c>
      <c r="O1601" s="2">
        <v>46168</v>
      </c>
      <c r="P1601" s="2">
        <v>46258</v>
      </c>
      <c r="R1601" t="s">
        <v>4783</v>
      </c>
      <c r="S1601" t="str">
        <f>""</f>
        <v/>
      </c>
      <c r="T1601" t="s">
        <v>41</v>
      </c>
      <c r="U1601">
        <v>4342.4399999999996</v>
      </c>
      <c r="V1601">
        <v>4342.4399999999996</v>
      </c>
      <c r="W1601">
        <v>4342.4399999999996</v>
      </c>
      <c r="X1601">
        <v>0</v>
      </c>
      <c r="Y1601">
        <v>0</v>
      </c>
      <c r="Z1601">
        <v>-483</v>
      </c>
      <c r="AA1601">
        <v>689079</v>
      </c>
      <c r="AD1601" t="s">
        <v>4759</v>
      </c>
      <c r="AE1601" t="s">
        <v>4557</v>
      </c>
      <c r="AF1601" t="s">
        <v>4759</v>
      </c>
      <c r="AG1601">
        <v>15436940001258</v>
      </c>
      <c r="AH1601" t="s">
        <v>44</v>
      </c>
    </row>
    <row r="1602" spans="1:34" x14ac:dyDescent="0.3">
      <c r="A1602">
        <v>101</v>
      </c>
      <c r="B1602" t="s">
        <v>34</v>
      </c>
      <c r="C1602">
        <v>2</v>
      </c>
      <c r="D1602" s="1" t="s">
        <v>4784</v>
      </c>
      <c r="E1602" s="1" t="s">
        <v>36</v>
      </c>
      <c r="G1602">
        <v>470371</v>
      </c>
      <c r="H1602" t="s">
        <v>4756</v>
      </c>
      <c r="I1602" t="s">
        <v>4757</v>
      </c>
      <c r="J1602">
        <v>30</v>
      </c>
      <c r="K1602">
        <v>453034</v>
      </c>
      <c r="L1602">
        <v>95000</v>
      </c>
      <c r="M1602" t="s">
        <v>69</v>
      </c>
      <c r="N1602">
        <v>351</v>
      </c>
      <c r="O1602" s="2">
        <v>46224</v>
      </c>
      <c r="P1602" s="2">
        <v>46299</v>
      </c>
      <c r="R1602" t="s">
        <v>4785</v>
      </c>
      <c r="S1602" t="str">
        <f>""</f>
        <v/>
      </c>
      <c r="T1602" t="s">
        <v>41</v>
      </c>
      <c r="U1602">
        <v>64304.75</v>
      </c>
      <c r="V1602">
        <v>64304.75</v>
      </c>
      <c r="W1602">
        <v>64304.75</v>
      </c>
      <c r="X1602">
        <v>0</v>
      </c>
      <c r="Y1602">
        <v>0</v>
      </c>
      <c r="Z1602">
        <v>-524</v>
      </c>
      <c r="AA1602">
        <v>694419</v>
      </c>
      <c r="AD1602" t="s">
        <v>4759</v>
      </c>
      <c r="AE1602" t="s">
        <v>4557</v>
      </c>
      <c r="AF1602" t="s">
        <v>4759</v>
      </c>
      <c r="AG1602">
        <v>15436940001258</v>
      </c>
      <c r="AH1602" t="s">
        <v>44</v>
      </c>
    </row>
    <row r="1603" spans="1:34" x14ac:dyDescent="0.3">
      <c r="A1603">
        <v>101</v>
      </c>
      <c r="B1603" t="s">
        <v>34</v>
      </c>
      <c r="C1603">
        <v>2</v>
      </c>
      <c r="D1603" s="1" t="s">
        <v>4786</v>
      </c>
      <c r="E1603" s="1" t="s">
        <v>36</v>
      </c>
      <c r="G1603">
        <v>470371</v>
      </c>
      <c r="H1603" t="s">
        <v>4756</v>
      </c>
      <c r="I1603" t="s">
        <v>4757</v>
      </c>
      <c r="J1603">
        <v>30</v>
      </c>
      <c r="K1603">
        <v>453034</v>
      </c>
      <c r="L1603">
        <v>95000</v>
      </c>
      <c r="M1603" t="s">
        <v>69</v>
      </c>
      <c r="N1603">
        <v>351</v>
      </c>
      <c r="O1603" s="2">
        <v>46168</v>
      </c>
      <c r="P1603" s="2">
        <v>46258</v>
      </c>
      <c r="R1603" t="s">
        <v>4787</v>
      </c>
      <c r="S1603" t="str">
        <f>""</f>
        <v/>
      </c>
      <c r="T1603" t="s">
        <v>41</v>
      </c>
      <c r="U1603">
        <v>43559.06</v>
      </c>
      <c r="V1603">
        <v>43559.06</v>
      </c>
      <c r="W1603">
        <v>43559.06</v>
      </c>
      <c r="X1603">
        <v>0</v>
      </c>
      <c r="Y1603">
        <v>0</v>
      </c>
      <c r="Z1603">
        <v>-483</v>
      </c>
      <c r="AA1603">
        <v>689085</v>
      </c>
      <c r="AD1603" t="s">
        <v>4759</v>
      </c>
      <c r="AE1603" t="s">
        <v>4557</v>
      </c>
      <c r="AF1603" t="s">
        <v>4759</v>
      </c>
      <c r="AG1603">
        <v>15436940001258</v>
      </c>
      <c r="AH1603" t="s">
        <v>44</v>
      </c>
    </row>
    <row r="1604" spans="1:34" x14ac:dyDescent="0.3">
      <c r="A1604">
        <v>101</v>
      </c>
      <c r="B1604" t="s">
        <v>34</v>
      </c>
      <c r="C1604">
        <v>2</v>
      </c>
      <c r="D1604" s="1" t="s">
        <v>4788</v>
      </c>
      <c r="E1604" s="1" t="s">
        <v>36</v>
      </c>
      <c r="G1604">
        <v>470371</v>
      </c>
      <c r="H1604" t="s">
        <v>4756</v>
      </c>
      <c r="I1604" t="s">
        <v>4757</v>
      </c>
      <c r="J1604">
        <v>30</v>
      </c>
      <c r="K1604">
        <v>453034</v>
      </c>
      <c r="L1604">
        <v>95000</v>
      </c>
      <c r="M1604" t="s">
        <v>69</v>
      </c>
      <c r="N1604">
        <v>351</v>
      </c>
      <c r="O1604" s="2">
        <v>46203</v>
      </c>
      <c r="P1604" s="2">
        <v>46297</v>
      </c>
      <c r="R1604" t="s">
        <v>4789</v>
      </c>
      <c r="S1604" t="str">
        <f>""</f>
        <v/>
      </c>
      <c r="T1604" t="s">
        <v>41</v>
      </c>
      <c r="U1604">
        <v>38641.089999999997</v>
      </c>
      <c r="V1604">
        <v>38641.089999999997</v>
      </c>
      <c r="W1604">
        <v>38641.089999999997</v>
      </c>
      <c r="X1604">
        <v>0</v>
      </c>
      <c r="Y1604">
        <v>0</v>
      </c>
      <c r="Z1604">
        <v>-522</v>
      </c>
      <c r="AA1604">
        <v>693120</v>
      </c>
      <c r="AD1604" t="s">
        <v>4759</v>
      </c>
      <c r="AE1604" t="s">
        <v>4557</v>
      </c>
      <c r="AF1604" t="s">
        <v>4759</v>
      </c>
      <c r="AG1604">
        <v>15436940001258</v>
      </c>
      <c r="AH1604" t="s">
        <v>44</v>
      </c>
    </row>
    <row r="1605" spans="1:34" x14ac:dyDescent="0.3">
      <c r="A1605">
        <v>101</v>
      </c>
      <c r="B1605" t="s">
        <v>34</v>
      </c>
      <c r="C1605">
        <v>2</v>
      </c>
      <c r="D1605" s="1" t="s">
        <v>4790</v>
      </c>
      <c r="E1605" s="1" t="s">
        <v>36</v>
      </c>
      <c r="G1605">
        <v>470371</v>
      </c>
      <c r="H1605" t="s">
        <v>4756</v>
      </c>
      <c r="I1605" t="s">
        <v>4757</v>
      </c>
      <c r="J1605">
        <v>30</v>
      </c>
      <c r="K1605">
        <v>453034</v>
      </c>
      <c r="L1605">
        <v>95000</v>
      </c>
      <c r="M1605" t="s">
        <v>69</v>
      </c>
      <c r="N1605">
        <v>351</v>
      </c>
      <c r="O1605" s="2">
        <v>46216</v>
      </c>
      <c r="P1605" s="2">
        <v>46302</v>
      </c>
      <c r="R1605" t="s">
        <v>4791</v>
      </c>
      <c r="S1605" t="str">
        <f>""</f>
        <v/>
      </c>
      <c r="T1605" t="s">
        <v>41</v>
      </c>
      <c r="U1605">
        <v>23326.33</v>
      </c>
      <c r="V1605">
        <v>23326.33</v>
      </c>
      <c r="W1605">
        <v>23326.33</v>
      </c>
      <c r="X1605">
        <v>0</v>
      </c>
      <c r="Y1605">
        <v>0</v>
      </c>
      <c r="Z1605">
        <v>-527</v>
      </c>
      <c r="AA1605">
        <v>694126</v>
      </c>
      <c r="AD1605" t="s">
        <v>4759</v>
      </c>
      <c r="AE1605" t="s">
        <v>4557</v>
      </c>
      <c r="AF1605" t="s">
        <v>4759</v>
      </c>
      <c r="AG1605">
        <v>15436940001258</v>
      </c>
      <c r="AH1605" t="s">
        <v>44</v>
      </c>
    </row>
    <row r="1606" spans="1:34" x14ac:dyDescent="0.3">
      <c r="A1606">
        <v>101</v>
      </c>
      <c r="B1606" t="s">
        <v>34</v>
      </c>
      <c r="C1606">
        <v>2</v>
      </c>
      <c r="D1606" s="1" t="s">
        <v>4792</v>
      </c>
      <c r="E1606" s="1" t="s">
        <v>36</v>
      </c>
      <c r="G1606">
        <v>470371</v>
      </c>
      <c r="H1606" t="s">
        <v>4756</v>
      </c>
      <c r="I1606" t="s">
        <v>4757</v>
      </c>
      <c r="J1606">
        <v>30</v>
      </c>
      <c r="K1606">
        <v>453034</v>
      </c>
      <c r="L1606">
        <v>95000</v>
      </c>
      <c r="M1606" t="s">
        <v>69</v>
      </c>
      <c r="N1606">
        <v>351</v>
      </c>
      <c r="O1606" s="2">
        <v>46216</v>
      </c>
      <c r="P1606" s="2">
        <v>46302</v>
      </c>
      <c r="R1606" t="s">
        <v>4793</v>
      </c>
      <c r="S1606" t="str">
        <f>""</f>
        <v/>
      </c>
      <c r="T1606" t="s">
        <v>41</v>
      </c>
      <c r="U1606">
        <v>3118.22</v>
      </c>
      <c r="V1606">
        <v>3118.22</v>
      </c>
      <c r="W1606">
        <v>3118.22</v>
      </c>
      <c r="X1606">
        <v>0</v>
      </c>
      <c r="Y1606">
        <v>0</v>
      </c>
      <c r="Z1606">
        <v>-527</v>
      </c>
      <c r="AA1606">
        <v>694142</v>
      </c>
      <c r="AD1606" t="s">
        <v>4759</v>
      </c>
      <c r="AE1606" t="s">
        <v>4557</v>
      </c>
      <c r="AF1606" t="s">
        <v>4759</v>
      </c>
      <c r="AG1606">
        <v>15436940001258</v>
      </c>
      <c r="AH1606" t="s">
        <v>44</v>
      </c>
    </row>
    <row r="1607" spans="1:34" x14ac:dyDescent="0.3">
      <c r="A1607">
        <v>101</v>
      </c>
      <c r="B1607" t="s">
        <v>34</v>
      </c>
      <c r="C1607">
        <v>2</v>
      </c>
      <c r="D1607" s="1" t="s">
        <v>4794</v>
      </c>
      <c r="E1607" s="1" t="s">
        <v>36</v>
      </c>
      <c r="G1607">
        <v>470371</v>
      </c>
      <c r="H1607" t="s">
        <v>4756</v>
      </c>
      <c r="I1607" t="s">
        <v>4757</v>
      </c>
      <c r="J1607">
        <v>30</v>
      </c>
      <c r="K1607">
        <v>453034</v>
      </c>
      <c r="L1607">
        <v>95000</v>
      </c>
      <c r="M1607" t="s">
        <v>69</v>
      </c>
      <c r="N1607">
        <v>351</v>
      </c>
      <c r="O1607" s="2">
        <v>46198</v>
      </c>
      <c r="P1607" s="2">
        <v>46312</v>
      </c>
      <c r="R1607" t="s">
        <v>4795</v>
      </c>
      <c r="S1607" t="str">
        <f>""</f>
        <v/>
      </c>
      <c r="T1607" t="s">
        <v>41</v>
      </c>
      <c r="U1607">
        <v>3259.8</v>
      </c>
      <c r="V1607">
        <v>3259.8</v>
      </c>
      <c r="W1607">
        <v>3259.8</v>
      </c>
      <c r="X1607">
        <v>0</v>
      </c>
      <c r="Y1607">
        <v>0</v>
      </c>
      <c r="Z1607">
        <v>-537</v>
      </c>
      <c r="AA1607">
        <v>692622</v>
      </c>
      <c r="AD1607" t="s">
        <v>4759</v>
      </c>
      <c r="AE1607" t="s">
        <v>4557</v>
      </c>
      <c r="AF1607" t="s">
        <v>4759</v>
      </c>
      <c r="AG1607">
        <v>15436940001258</v>
      </c>
      <c r="AH1607" t="s">
        <v>44</v>
      </c>
    </row>
    <row r="1608" spans="1:34" x14ac:dyDescent="0.3">
      <c r="A1608">
        <v>101</v>
      </c>
      <c r="B1608" t="s">
        <v>34</v>
      </c>
      <c r="C1608">
        <v>2</v>
      </c>
      <c r="D1608" s="1" t="s">
        <v>4796</v>
      </c>
      <c r="E1608" s="1" t="s">
        <v>36</v>
      </c>
      <c r="G1608">
        <v>470371</v>
      </c>
      <c r="H1608" t="s">
        <v>4756</v>
      </c>
      <c r="I1608" t="s">
        <v>4757</v>
      </c>
      <c r="J1608">
        <v>30</v>
      </c>
      <c r="K1608">
        <v>453034</v>
      </c>
      <c r="L1608">
        <v>95000</v>
      </c>
      <c r="M1608" t="s">
        <v>69</v>
      </c>
      <c r="N1608">
        <v>351</v>
      </c>
      <c r="O1608" s="2">
        <v>46181</v>
      </c>
      <c r="P1608" s="2">
        <v>46264</v>
      </c>
      <c r="R1608" s="1" t="s">
        <v>4797</v>
      </c>
      <c r="S1608" t="str">
        <f>""</f>
        <v/>
      </c>
      <c r="T1608" t="s">
        <v>41</v>
      </c>
      <c r="U1608">
        <v>19257.43</v>
      </c>
      <c r="V1608">
        <v>19257.43</v>
      </c>
      <c r="W1608">
        <v>19257.43</v>
      </c>
      <c r="X1608">
        <v>0</v>
      </c>
      <c r="Y1608">
        <v>0</v>
      </c>
      <c r="Z1608">
        <v>-489</v>
      </c>
      <c r="AA1608">
        <v>690682</v>
      </c>
      <c r="AD1608" t="s">
        <v>4759</v>
      </c>
      <c r="AE1608" t="s">
        <v>4557</v>
      </c>
      <c r="AF1608" t="s">
        <v>4759</v>
      </c>
      <c r="AG1608">
        <v>15436940001258</v>
      </c>
      <c r="AH1608" t="s">
        <v>44</v>
      </c>
    </row>
    <row r="1609" spans="1:34" x14ac:dyDescent="0.3">
      <c r="A1609">
        <v>101</v>
      </c>
      <c r="B1609" t="s">
        <v>34</v>
      </c>
      <c r="C1609">
        <v>2</v>
      </c>
      <c r="D1609" s="1" t="s">
        <v>4798</v>
      </c>
      <c r="E1609" s="1" t="s">
        <v>36</v>
      </c>
      <c r="G1609">
        <v>470371</v>
      </c>
      <c r="H1609" t="s">
        <v>4756</v>
      </c>
      <c r="I1609" t="s">
        <v>4757</v>
      </c>
      <c r="J1609">
        <v>30</v>
      </c>
      <c r="K1609">
        <v>453034</v>
      </c>
      <c r="L1609">
        <v>95000</v>
      </c>
      <c r="M1609" t="s">
        <v>69</v>
      </c>
      <c r="N1609">
        <v>351</v>
      </c>
      <c r="O1609" s="2">
        <v>46195</v>
      </c>
      <c r="P1609" s="2">
        <v>46287</v>
      </c>
      <c r="R1609" t="s">
        <v>4799</v>
      </c>
      <c r="S1609" t="str">
        <f>""</f>
        <v/>
      </c>
      <c r="T1609" t="s">
        <v>41</v>
      </c>
      <c r="U1609">
        <v>28326.67</v>
      </c>
      <c r="V1609">
        <v>28326.67</v>
      </c>
      <c r="W1609">
        <v>28326.67</v>
      </c>
      <c r="X1609">
        <v>0</v>
      </c>
      <c r="Y1609">
        <v>0</v>
      </c>
      <c r="Z1609">
        <v>-512</v>
      </c>
      <c r="AA1609">
        <v>691519</v>
      </c>
      <c r="AD1609" t="s">
        <v>4759</v>
      </c>
      <c r="AE1609" t="s">
        <v>4557</v>
      </c>
      <c r="AF1609" t="s">
        <v>4759</v>
      </c>
      <c r="AG1609">
        <v>15436940001258</v>
      </c>
      <c r="AH1609" t="s">
        <v>44</v>
      </c>
    </row>
    <row r="1610" spans="1:34" x14ac:dyDescent="0.3">
      <c r="A1610">
        <v>101</v>
      </c>
      <c r="B1610" t="s">
        <v>34</v>
      </c>
      <c r="C1610">
        <v>2</v>
      </c>
      <c r="D1610" s="1" t="s">
        <v>4800</v>
      </c>
      <c r="E1610" s="1" t="s">
        <v>36</v>
      </c>
      <c r="G1610">
        <v>470371</v>
      </c>
      <c r="H1610" t="s">
        <v>4756</v>
      </c>
      <c r="I1610" t="s">
        <v>4757</v>
      </c>
      <c r="J1610">
        <v>30</v>
      </c>
      <c r="K1610">
        <v>453034</v>
      </c>
      <c r="L1610">
        <v>95000</v>
      </c>
      <c r="M1610" t="s">
        <v>69</v>
      </c>
      <c r="N1610">
        <v>351</v>
      </c>
      <c r="O1610" s="2">
        <v>46195</v>
      </c>
      <c r="P1610" s="2">
        <v>46287</v>
      </c>
      <c r="R1610" t="s">
        <v>4801</v>
      </c>
      <c r="S1610" t="str">
        <f>""</f>
        <v/>
      </c>
      <c r="T1610" t="s">
        <v>41</v>
      </c>
      <c r="U1610">
        <v>3781.68</v>
      </c>
      <c r="V1610">
        <v>3781.68</v>
      </c>
      <c r="W1610">
        <v>3781.68</v>
      </c>
      <c r="X1610">
        <v>0</v>
      </c>
      <c r="Y1610">
        <v>0</v>
      </c>
      <c r="Z1610">
        <v>-512</v>
      </c>
      <c r="AA1610">
        <v>691513</v>
      </c>
      <c r="AD1610" t="s">
        <v>4759</v>
      </c>
      <c r="AE1610" t="s">
        <v>4557</v>
      </c>
      <c r="AF1610" t="s">
        <v>4759</v>
      </c>
      <c r="AG1610">
        <v>15436940001258</v>
      </c>
      <c r="AH1610" t="s">
        <v>44</v>
      </c>
    </row>
    <row r="1611" spans="1:34" x14ac:dyDescent="0.3">
      <c r="A1611">
        <v>101</v>
      </c>
      <c r="B1611" t="s">
        <v>34</v>
      </c>
      <c r="C1611">
        <v>2</v>
      </c>
      <c r="D1611" s="1" t="s">
        <v>4802</v>
      </c>
      <c r="E1611" s="1" t="s">
        <v>36</v>
      </c>
      <c r="G1611">
        <v>470371</v>
      </c>
      <c r="H1611" t="s">
        <v>4756</v>
      </c>
      <c r="I1611" t="s">
        <v>4757</v>
      </c>
      <c r="J1611">
        <v>30</v>
      </c>
      <c r="K1611">
        <v>453034</v>
      </c>
      <c r="L1611">
        <v>95000</v>
      </c>
      <c r="M1611" t="s">
        <v>69</v>
      </c>
      <c r="N1611">
        <v>351</v>
      </c>
      <c r="O1611" s="2">
        <v>46181</v>
      </c>
      <c r="P1611" s="2">
        <v>46264</v>
      </c>
      <c r="R1611" s="1" t="s">
        <v>4803</v>
      </c>
      <c r="S1611" t="str">
        <f>""</f>
        <v/>
      </c>
      <c r="T1611" t="s">
        <v>41</v>
      </c>
      <c r="U1611">
        <v>3411.01</v>
      </c>
      <c r="V1611">
        <v>3411.01</v>
      </c>
      <c r="W1611">
        <v>3411.01</v>
      </c>
      <c r="X1611">
        <v>0</v>
      </c>
      <c r="Y1611">
        <v>0</v>
      </c>
      <c r="Z1611">
        <v>-489</v>
      </c>
      <c r="AA1611">
        <v>690688</v>
      </c>
      <c r="AD1611" t="s">
        <v>4759</v>
      </c>
      <c r="AE1611" t="s">
        <v>4557</v>
      </c>
      <c r="AF1611" t="s">
        <v>4759</v>
      </c>
      <c r="AG1611">
        <v>15436940001258</v>
      </c>
      <c r="AH1611" t="s">
        <v>44</v>
      </c>
    </row>
    <row r="1612" spans="1:34" x14ac:dyDescent="0.3">
      <c r="A1612">
        <v>101</v>
      </c>
      <c r="B1612" t="s">
        <v>34</v>
      </c>
      <c r="C1612">
        <v>2</v>
      </c>
      <c r="D1612" s="1" t="s">
        <v>4804</v>
      </c>
      <c r="E1612" s="1" t="s">
        <v>36</v>
      </c>
      <c r="G1612">
        <v>470371</v>
      </c>
      <c r="H1612" t="s">
        <v>4756</v>
      </c>
      <c r="I1612" t="s">
        <v>4757</v>
      </c>
      <c r="J1612">
        <v>30</v>
      </c>
      <c r="K1612">
        <v>453034</v>
      </c>
      <c r="L1612">
        <v>95000</v>
      </c>
      <c r="M1612" t="s">
        <v>69</v>
      </c>
      <c r="N1612">
        <v>351</v>
      </c>
      <c r="O1612" s="2">
        <v>46185</v>
      </c>
      <c r="P1612" s="2">
        <v>46280</v>
      </c>
      <c r="R1612" t="s">
        <v>4805</v>
      </c>
      <c r="S1612" t="str">
        <f>""</f>
        <v/>
      </c>
      <c r="T1612" t="s">
        <v>41</v>
      </c>
      <c r="U1612">
        <v>5670.25</v>
      </c>
      <c r="V1612">
        <v>5670.25</v>
      </c>
      <c r="W1612">
        <v>5670.25</v>
      </c>
      <c r="X1612">
        <v>0</v>
      </c>
      <c r="Y1612">
        <v>0</v>
      </c>
      <c r="Z1612">
        <v>-505</v>
      </c>
      <c r="AA1612">
        <v>691021</v>
      </c>
      <c r="AD1612" t="s">
        <v>4759</v>
      </c>
      <c r="AE1612" t="s">
        <v>4557</v>
      </c>
      <c r="AF1612" t="s">
        <v>4759</v>
      </c>
      <c r="AG1612">
        <v>15436940001258</v>
      </c>
      <c r="AH1612" t="s">
        <v>44</v>
      </c>
    </row>
    <row r="1613" spans="1:34" x14ac:dyDescent="0.3">
      <c r="A1613">
        <v>101</v>
      </c>
      <c r="B1613" t="s">
        <v>34</v>
      </c>
      <c r="C1613">
        <v>2</v>
      </c>
      <c r="D1613" s="1" t="s">
        <v>4806</v>
      </c>
      <c r="E1613" s="1" t="s">
        <v>36</v>
      </c>
      <c r="G1613">
        <v>470371</v>
      </c>
      <c r="H1613" t="s">
        <v>4756</v>
      </c>
      <c r="I1613" t="s">
        <v>4757</v>
      </c>
      <c r="J1613">
        <v>30</v>
      </c>
      <c r="K1613">
        <v>453034</v>
      </c>
      <c r="L1613">
        <v>95000</v>
      </c>
      <c r="M1613" t="s">
        <v>69</v>
      </c>
      <c r="N1613">
        <v>351</v>
      </c>
      <c r="O1613" s="2">
        <v>46181</v>
      </c>
      <c r="P1613" s="2">
        <v>46264</v>
      </c>
      <c r="R1613" s="1" t="s">
        <v>4807</v>
      </c>
      <c r="S1613" t="str">
        <f>""</f>
        <v/>
      </c>
      <c r="T1613" t="s">
        <v>41</v>
      </c>
      <c r="U1613">
        <v>3579.84</v>
      </c>
      <c r="V1613">
        <v>3579.84</v>
      </c>
      <c r="W1613">
        <v>3579.84</v>
      </c>
      <c r="X1613">
        <v>0</v>
      </c>
      <c r="Y1613">
        <v>0</v>
      </c>
      <c r="Z1613">
        <v>-489</v>
      </c>
      <c r="AA1613">
        <v>690684</v>
      </c>
      <c r="AD1613" t="s">
        <v>4759</v>
      </c>
      <c r="AE1613" t="s">
        <v>4557</v>
      </c>
      <c r="AF1613" t="s">
        <v>4759</v>
      </c>
      <c r="AG1613">
        <v>15436940001258</v>
      </c>
      <c r="AH1613" t="s">
        <v>44</v>
      </c>
    </row>
    <row r="1614" spans="1:34" x14ac:dyDescent="0.3">
      <c r="A1614">
        <v>101</v>
      </c>
      <c r="B1614" t="s">
        <v>34</v>
      </c>
      <c r="C1614">
        <v>2</v>
      </c>
      <c r="D1614" s="1" t="s">
        <v>4808</v>
      </c>
      <c r="E1614" s="1" t="s">
        <v>36</v>
      </c>
      <c r="G1614">
        <v>470371</v>
      </c>
      <c r="H1614" t="s">
        <v>4756</v>
      </c>
      <c r="I1614" t="s">
        <v>4757</v>
      </c>
      <c r="J1614">
        <v>30</v>
      </c>
      <c r="K1614">
        <v>453034</v>
      </c>
      <c r="L1614">
        <v>95000</v>
      </c>
      <c r="M1614" t="s">
        <v>69</v>
      </c>
      <c r="N1614">
        <v>351</v>
      </c>
      <c r="O1614" s="2">
        <v>46185</v>
      </c>
      <c r="P1614" s="2">
        <v>46280</v>
      </c>
      <c r="R1614" t="s">
        <v>4809</v>
      </c>
      <c r="S1614" t="str">
        <f>""</f>
        <v/>
      </c>
      <c r="T1614" t="s">
        <v>41</v>
      </c>
      <c r="U1614">
        <v>10935.71</v>
      </c>
      <c r="V1614">
        <v>10935.71</v>
      </c>
      <c r="W1614">
        <v>10935.71</v>
      </c>
      <c r="X1614">
        <v>0</v>
      </c>
      <c r="Y1614">
        <v>0</v>
      </c>
      <c r="Z1614">
        <v>-505</v>
      </c>
      <c r="AA1614">
        <v>691025</v>
      </c>
      <c r="AD1614" t="s">
        <v>4759</v>
      </c>
      <c r="AE1614" t="s">
        <v>4557</v>
      </c>
      <c r="AF1614" t="s">
        <v>4759</v>
      </c>
      <c r="AG1614">
        <v>15436940001258</v>
      </c>
      <c r="AH1614" t="s">
        <v>44</v>
      </c>
    </row>
    <row r="1615" spans="1:34" x14ac:dyDescent="0.3">
      <c r="A1615">
        <v>101</v>
      </c>
      <c r="B1615" t="s">
        <v>34</v>
      </c>
      <c r="C1615">
        <v>2</v>
      </c>
      <c r="D1615" s="1" t="s">
        <v>4810</v>
      </c>
      <c r="E1615" s="1" t="s">
        <v>36</v>
      </c>
      <c r="G1615">
        <v>470371</v>
      </c>
      <c r="H1615" t="s">
        <v>4756</v>
      </c>
      <c r="I1615" t="s">
        <v>4757</v>
      </c>
      <c r="J1615">
        <v>30</v>
      </c>
      <c r="K1615">
        <v>453034</v>
      </c>
      <c r="L1615">
        <v>95000</v>
      </c>
      <c r="M1615" t="s">
        <v>69</v>
      </c>
      <c r="N1615">
        <v>351</v>
      </c>
      <c r="O1615" s="2">
        <v>46198</v>
      </c>
      <c r="P1615" s="2">
        <v>46273</v>
      </c>
      <c r="R1615" t="s">
        <v>4811</v>
      </c>
      <c r="S1615" t="str">
        <f>""</f>
        <v/>
      </c>
      <c r="T1615" t="s">
        <v>41</v>
      </c>
      <c r="U1615">
        <v>2746.68</v>
      </c>
      <c r="V1615">
        <v>2746.68</v>
      </c>
      <c r="W1615">
        <v>2746.68</v>
      </c>
      <c r="X1615">
        <v>0</v>
      </c>
      <c r="Y1615">
        <v>0</v>
      </c>
      <c r="Z1615">
        <v>-498</v>
      </c>
      <c r="AA1615">
        <v>692626</v>
      </c>
      <c r="AD1615" t="s">
        <v>4759</v>
      </c>
      <c r="AE1615" t="s">
        <v>4557</v>
      </c>
      <c r="AF1615" t="s">
        <v>4759</v>
      </c>
      <c r="AG1615">
        <v>15436940001258</v>
      </c>
      <c r="AH1615" t="s">
        <v>44</v>
      </c>
    </row>
    <row r="1616" spans="1:34" x14ac:dyDescent="0.3">
      <c r="A1616">
        <v>101</v>
      </c>
      <c r="B1616" t="s">
        <v>34</v>
      </c>
      <c r="C1616">
        <v>2</v>
      </c>
      <c r="D1616" s="1" t="s">
        <v>4812</v>
      </c>
      <c r="E1616" s="1" t="s">
        <v>36</v>
      </c>
      <c r="G1616">
        <v>470371</v>
      </c>
      <c r="H1616" t="s">
        <v>4756</v>
      </c>
      <c r="I1616" t="s">
        <v>4757</v>
      </c>
      <c r="J1616">
        <v>30</v>
      </c>
      <c r="K1616">
        <v>453034</v>
      </c>
      <c r="L1616">
        <v>95000</v>
      </c>
      <c r="M1616" t="s">
        <v>69</v>
      </c>
      <c r="N1616">
        <v>351</v>
      </c>
      <c r="O1616" s="2">
        <v>46195</v>
      </c>
      <c r="P1616" s="2">
        <v>46270</v>
      </c>
      <c r="R1616" t="s">
        <v>4813</v>
      </c>
      <c r="S1616" t="str">
        <f>""</f>
        <v/>
      </c>
      <c r="T1616" t="s">
        <v>41</v>
      </c>
      <c r="U1616">
        <v>3740.16</v>
      </c>
      <c r="V1616">
        <v>3740.16</v>
      </c>
      <c r="W1616">
        <v>3740.16</v>
      </c>
      <c r="X1616">
        <v>0</v>
      </c>
      <c r="Y1616">
        <v>0</v>
      </c>
      <c r="Z1616">
        <v>-495</v>
      </c>
      <c r="AA1616">
        <v>691517</v>
      </c>
      <c r="AD1616" t="s">
        <v>4759</v>
      </c>
      <c r="AE1616" t="s">
        <v>4557</v>
      </c>
      <c r="AF1616" t="s">
        <v>4759</v>
      </c>
      <c r="AG1616">
        <v>15436940001258</v>
      </c>
      <c r="AH1616" t="s">
        <v>44</v>
      </c>
    </row>
    <row r="1617" spans="1:34" x14ac:dyDescent="0.3">
      <c r="A1617">
        <v>101</v>
      </c>
      <c r="B1617" t="s">
        <v>34</v>
      </c>
      <c r="C1617">
        <v>2</v>
      </c>
      <c r="D1617" s="1" t="s">
        <v>4814</v>
      </c>
      <c r="E1617" s="1" t="s">
        <v>116</v>
      </c>
      <c r="G1617">
        <v>470375</v>
      </c>
      <c r="H1617" t="s">
        <v>4815</v>
      </c>
      <c r="I1617" t="s">
        <v>4816</v>
      </c>
      <c r="J1617">
        <v>35</v>
      </c>
      <c r="K1617">
        <v>470375</v>
      </c>
      <c r="L1617">
        <v>50001</v>
      </c>
      <c r="M1617" t="s">
        <v>39</v>
      </c>
      <c r="N1617">
        <v>351</v>
      </c>
      <c r="O1617" s="2">
        <v>46247</v>
      </c>
      <c r="P1617" s="2">
        <v>46367</v>
      </c>
      <c r="R1617" t="s">
        <v>4817</v>
      </c>
      <c r="S1617" t="str">
        <f>"25666160000051901"</f>
        <v>25666160000051901</v>
      </c>
      <c r="T1617" t="s">
        <v>41</v>
      </c>
      <c r="U1617">
        <v>40</v>
      </c>
      <c r="V1617">
        <v>40</v>
      </c>
      <c r="W1617">
        <v>40</v>
      </c>
      <c r="X1617">
        <v>0</v>
      </c>
      <c r="Y1617">
        <v>0</v>
      </c>
      <c r="Z1617">
        <v>-592</v>
      </c>
      <c r="AD1617" t="s">
        <v>3420</v>
      </c>
      <c r="AF1617" t="s">
        <v>3420</v>
      </c>
      <c r="AG1617">
        <v>65218095000160</v>
      </c>
      <c r="AH1617" t="s">
        <v>44</v>
      </c>
    </row>
    <row r="1618" spans="1:34" x14ac:dyDescent="0.3">
      <c r="A1618">
        <v>101</v>
      </c>
      <c r="B1618" t="s">
        <v>34</v>
      </c>
      <c r="C1618">
        <v>2</v>
      </c>
      <c r="D1618" s="1" t="s">
        <v>4818</v>
      </c>
      <c r="E1618" s="1" t="s">
        <v>122</v>
      </c>
      <c r="G1618">
        <v>470375</v>
      </c>
      <c r="H1618" t="s">
        <v>4815</v>
      </c>
      <c r="I1618" t="s">
        <v>4816</v>
      </c>
      <c r="J1618">
        <v>35</v>
      </c>
      <c r="K1618">
        <v>470375</v>
      </c>
      <c r="L1618">
        <v>50001</v>
      </c>
      <c r="M1618" t="s">
        <v>39</v>
      </c>
      <c r="N1618">
        <v>351</v>
      </c>
      <c r="O1618" s="2">
        <v>46167</v>
      </c>
      <c r="P1618" s="2">
        <v>46347</v>
      </c>
      <c r="R1618" t="s">
        <v>4819</v>
      </c>
      <c r="S1618" t="str">
        <f>"25666160000050701"</f>
        <v>25666160000050701</v>
      </c>
      <c r="T1618" t="s">
        <v>41</v>
      </c>
      <c r="U1618">
        <v>98.71</v>
      </c>
      <c r="V1618">
        <v>98.71</v>
      </c>
      <c r="W1618">
        <v>98.71</v>
      </c>
      <c r="X1618">
        <v>0</v>
      </c>
      <c r="Y1618">
        <v>0</v>
      </c>
      <c r="Z1618">
        <v>-572</v>
      </c>
      <c r="AA1618">
        <v>689029</v>
      </c>
      <c r="AD1618" t="s">
        <v>3420</v>
      </c>
      <c r="AF1618" t="s">
        <v>3420</v>
      </c>
      <c r="AG1618">
        <v>65218095000160</v>
      </c>
      <c r="AH1618" t="s">
        <v>44</v>
      </c>
    </row>
    <row r="1619" spans="1:34" x14ac:dyDescent="0.3">
      <c r="A1619">
        <v>101</v>
      </c>
      <c r="B1619" t="s">
        <v>34</v>
      </c>
      <c r="C1619">
        <v>2</v>
      </c>
      <c r="D1619" s="1" t="s">
        <v>4820</v>
      </c>
      <c r="E1619" s="1" t="s">
        <v>36</v>
      </c>
      <c r="G1619">
        <v>470375</v>
      </c>
      <c r="H1619" t="s">
        <v>4815</v>
      </c>
      <c r="I1619" t="s">
        <v>4816</v>
      </c>
      <c r="J1619">
        <v>35</v>
      </c>
      <c r="K1619">
        <v>470375</v>
      </c>
      <c r="L1619">
        <v>50001</v>
      </c>
      <c r="M1619" t="s">
        <v>39</v>
      </c>
      <c r="N1619">
        <v>351</v>
      </c>
      <c r="O1619" s="2">
        <v>46211</v>
      </c>
      <c r="P1619" s="2">
        <v>46271</v>
      </c>
      <c r="R1619" t="s">
        <v>4821</v>
      </c>
      <c r="S1619" t="str">
        <f>"25666160000051478"</f>
        <v>25666160000051478</v>
      </c>
      <c r="T1619" t="s">
        <v>41</v>
      </c>
      <c r="U1619">
        <v>24.99</v>
      </c>
      <c r="V1619">
        <v>24.99</v>
      </c>
      <c r="W1619">
        <v>24.99</v>
      </c>
      <c r="X1619">
        <v>0</v>
      </c>
      <c r="Y1619">
        <v>0</v>
      </c>
      <c r="Z1619">
        <v>-496</v>
      </c>
      <c r="AA1619">
        <v>694055</v>
      </c>
      <c r="AD1619" t="s">
        <v>3420</v>
      </c>
      <c r="AF1619" t="s">
        <v>3420</v>
      </c>
      <c r="AG1619">
        <v>65218095000160</v>
      </c>
      <c r="AH1619" t="s">
        <v>44</v>
      </c>
    </row>
    <row r="1620" spans="1:34" x14ac:dyDescent="0.3">
      <c r="A1620">
        <v>101</v>
      </c>
      <c r="B1620" t="s">
        <v>34</v>
      </c>
      <c r="C1620">
        <v>2</v>
      </c>
      <c r="D1620" s="1" t="s">
        <v>4822</v>
      </c>
      <c r="E1620" s="1" t="s">
        <v>122</v>
      </c>
      <c r="G1620">
        <v>470375</v>
      </c>
      <c r="H1620" t="s">
        <v>4815</v>
      </c>
      <c r="I1620" t="s">
        <v>4816</v>
      </c>
      <c r="J1620">
        <v>35</v>
      </c>
      <c r="K1620">
        <v>470375</v>
      </c>
      <c r="L1620">
        <v>50001</v>
      </c>
      <c r="M1620" t="s">
        <v>39</v>
      </c>
      <c r="N1620">
        <v>351</v>
      </c>
      <c r="O1620" s="2">
        <v>46181</v>
      </c>
      <c r="P1620" s="2">
        <v>46271</v>
      </c>
      <c r="R1620" s="1" t="s">
        <v>4823</v>
      </c>
      <c r="S1620" t="str">
        <f>"25666160000050941"</f>
        <v>25666160000050941</v>
      </c>
      <c r="T1620" t="s">
        <v>41</v>
      </c>
      <c r="U1620">
        <v>1158.3499999999999</v>
      </c>
      <c r="V1620">
        <v>1158.3499999999999</v>
      </c>
      <c r="W1620">
        <v>1158.3499999999999</v>
      </c>
      <c r="X1620">
        <v>0</v>
      </c>
      <c r="Y1620">
        <v>0</v>
      </c>
      <c r="Z1620">
        <v>-496</v>
      </c>
      <c r="AA1620">
        <v>690918</v>
      </c>
      <c r="AD1620" t="s">
        <v>3420</v>
      </c>
      <c r="AF1620" t="s">
        <v>3420</v>
      </c>
      <c r="AG1620">
        <v>65218095000160</v>
      </c>
      <c r="AH1620" t="s">
        <v>44</v>
      </c>
    </row>
    <row r="1621" spans="1:34" x14ac:dyDescent="0.3">
      <c r="A1621">
        <v>101</v>
      </c>
      <c r="B1621" t="s">
        <v>34</v>
      </c>
      <c r="C1621">
        <v>2</v>
      </c>
      <c r="D1621" s="1" t="s">
        <v>4824</v>
      </c>
      <c r="E1621" s="1" t="s">
        <v>122</v>
      </c>
      <c r="G1621">
        <v>470375</v>
      </c>
      <c r="H1621" t="s">
        <v>4815</v>
      </c>
      <c r="I1621" t="s">
        <v>4816</v>
      </c>
      <c r="J1621">
        <v>35</v>
      </c>
      <c r="K1621">
        <v>470375</v>
      </c>
      <c r="L1621">
        <v>50001</v>
      </c>
      <c r="M1621" t="s">
        <v>39</v>
      </c>
      <c r="N1621">
        <v>351</v>
      </c>
      <c r="O1621" s="2">
        <v>46238</v>
      </c>
      <c r="P1621" s="2">
        <v>46328</v>
      </c>
      <c r="R1621" t="s">
        <v>4825</v>
      </c>
      <c r="S1621" t="str">
        <f>"25666160000051789"</f>
        <v>25666160000051789</v>
      </c>
      <c r="T1621" t="s">
        <v>41</v>
      </c>
      <c r="U1621">
        <v>250.67</v>
      </c>
      <c r="V1621">
        <v>250.67</v>
      </c>
      <c r="W1621">
        <v>250.67</v>
      </c>
      <c r="X1621">
        <v>0</v>
      </c>
      <c r="Y1621">
        <v>0</v>
      </c>
      <c r="Z1621">
        <v>-553</v>
      </c>
      <c r="AD1621" t="s">
        <v>3420</v>
      </c>
      <c r="AF1621" t="s">
        <v>3420</v>
      </c>
      <c r="AG1621">
        <v>65218095000160</v>
      </c>
      <c r="AH1621" t="s">
        <v>44</v>
      </c>
    </row>
    <row r="1622" spans="1:34" x14ac:dyDescent="0.3">
      <c r="A1622">
        <v>101</v>
      </c>
      <c r="B1622" t="s">
        <v>34</v>
      </c>
      <c r="C1622">
        <v>2</v>
      </c>
      <c r="D1622" s="1" t="s">
        <v>4818</v>
      </c>
      <c r="E1622" s="1" t="s">
        <v>116</v>
      </c>
      <c r="G1622">
        <v>470375</v>
      </c>
      <c r="H1622" t="s">
        <v>4815</v>
      </c>
      <c r="I1622" t="s">
        <v>4816</v>
      </c>
      <c r="J1622">
        <v>35</v>
      </c>
      <c r="K1622">
        <v>470375</v>
      </c>
      <c r="L1622">
        <v>50001</v>
      </c>
      <c r="M1622" t="s">
        <v>39</v>
      </c>
      <c r="N1622">
        <v>351</v>
      </c>
      <c r="O1622" s="2">
        <v>46167</v>
      </c>
      <c r="P1622" s="2">
        <v>46377</v>
      </c>
      <c r="R1622" t="s">
        <v>4819</v>
      </c>
      <c r="S1622" t="str">
        <f>"25666160000050702"</f>
        <v>25666160000050702</v>
      </c>
      <c r="T1622" t="s">
        <v>41</v>
      </c>
      <c r="U1622">
        <v>98.74</v>
      </c>
      <c r="V1622">
        <v>98.74</v>
      </c>
      <c r="W1622">
        <v>98.74</v>
      </c>
      <c r="X1622">
        <v>0</v>
      </c>
      <c r="Y1622">
        <v>0</v>
      </c>
      <c r="Z1622">
        <v>-602</v>
      </c>
      <c r="AA1622">
        <v>689029</v>
      </c>
      <c r="AD1622" t="s">
        <v>3420</v>
      </c>
      <c r="AF1622" t="s">
        <v>3420</v>
      </c>
      <c r="AG1622">
        <v>65218095000160</v>
      </c>
      <c r="AH1622" t="s">
        <v>44</v>
      </c>
    </row>
    <row r="1623" spans="1:34" x14ac:dyDescent="0.3">
      <c r="A1623">
        <v>101</v>
      </c>
      <c r="B1623" t="s">
        <v>34</v>
      </c>
      <c r="C1623">
        <v>2</v>
      </c>
      <c r="D1623" s="1" t="s">
        <v>4820</v>
      </c>
      <c r="E1623" s="1" t="s">
        <v>122</v>
      </c>
      <c r="G1623">
        <v>470375</v>
      </c>
      <c r="H1623" t="s">
        <v>4815</v>
      </c>
      <c r="I1623" t="s">
        <v>4816</v>
      </c>
      <c r="J1623">
        <v>35</v>
      </c>
      <c r="K1623">
        <v>470375</v>
      </c>
      <c r="L1623">
        <v>50001</v>
      </c>
      <c r="M1623" t="s">
        <v>39</v>
      </c>
      <c r="N1623">
        <v>351</v>
      </c>
      <c r="O1623" s="2">
        <v>46211</v>
      </c>
      <c r="P1623" s="2">
        <v>46301</v>
      </c>
      <c r="R1623" t="s">
        <v>4821</v>
      </c>
      <c r="S1623" t="str">
        <f>"25666160000051479"</f>
        <v>25666160000051479</v>
      </c>
      <c r="T1623" t="s">
        <v>41</v>
      </c>
      <c r="U1623">
        <v>20.100000000000001</v>
      </c>
      <c r="V1623">
        <v>20.100000000000001</v>
      </c>
      <c r="W1623">
        <v>20.100000000000001</v>
      </c>
      <c r="X1623">
        <v>0</v>
      </c>
      <c r="Y1623">
        <v>0</v>
      </c>
      <c r="Z1623">
        <v>-526</v>
      </c>
      <c r="AA1623">
        <v>694055</v>
      </c>
      <c r="AD1623" t="s">
        <v>3420</v>
      </c>
      <c r="AF1623" t="s">
        <v>3420</v>
      </c>
      <c r="AG1623">
        <v>65218095000160</v>
      </c>
      <c r="AH1623" t="s">
        <v>44</v>
      </c>
    </row>
    <row r="1624" spans="1:34" x14ac:dyDescent="0.3">
      <c r="A1624">
        <v>101</v>
      </c>
      <c r="B1624" t="s">
        <v>34</v>
      </c>
      <c r="C1624">
        <v>2</v>
      </c>
      <c r="D1624" s="1" t="s">
        <v>4826</v>
      </c>
      <c r="E1624" s="1" t="s">
        <v>122</v>
      </c>
      <c r="G1624">
        <v>470375</v>
      </c>
      <c r="H1624" t="s">
        <v>4815</v>
      </c>
      <c r="I1624" t="s">
        <v>4816</v>
      </c>
      <c r="J1624">
        <v>35</v>
      </c>
      <c r="K1624">
        <v>470375</v>
      </c>
      <c r="L1624">
        <v>50001</v>
      </c>
      <c r="M1624" t="s">
        <v>39</v>
      </c>
      <c r="N1624">
        <v>351</v>
      </c>
      <c r="O1624" s="2">
        <v>46189</v>
      </c>
      <c r="P1624" s="2">
        <v>46279</v>
      </c>
      <c r="R1624" t="s">
        <v>4827</v>
      </c>
      <c r="S1624" t="str">
        <f>"25666160000051025"</f>
        <v>25666160000051025</v>
      </c>
      <c r="T1624" t="s">
        <v>41</v>
      </c>
      <c r="U1624">
        <v>413.62</v>
      </c>
      <c r="V1624">
        <v>413.62</v>
      </c>
      <c r="W1624">
        <v>413.62</v>
      </c>
      <c r="X1624">
        <v>0</v>
      </c>
      <c r="Y1624">
        <v>0</v>
      </c>
      <c r="Z1624">
        <v>-504</v>
      </c>
      <c r="AA1624">
        <v>691500</v>
      </c>
      <c r="AD1624" t="s">
        <v>3420</v>
      </c>
      <c r="AF1624" t="s">
        <v>3420</v>
      </c>
      <c r="AG1624">
        <v>65218095000160</v>
      </c>
      <c r="AH1624" t="s">
        <v>44</v>
      </c>
    </row>
    <row r="1625" spans="1:34" x14ac:dyDescent="0.3">
      <c r="A1625">
        <v>101</v>
      </c>
      <c r="B1625" t="s">
        <v>34</v>
      </c>
      <c r="C1625">
        <v>2</v>
      </c>
      <c r="D1625" s="1" t="s">
        <v>4814</v>
      </c>
      <c r="E1625" s="1" t="s">
        <v>122</v>
      </c>
      <c r="G1625">
        <v>470375</v>
      </c>
      <c r="H1625" t="s">
        <v>4815</v>
      </c>
      <c r="I1625" t="s">
        <v>4816</v>
      </c>
      <c r="J1625">
        <v>35</v>
      </c>
      <c r="K1625">
        <v>470375</v>
      </c>
      <c r="L1625">
        <v>50001</v>
      </c>
      <c r="M1625" t="s">
        <v>39</v>
      </c>
      <c r="N1625">
        <v>351</v>
      </c>
      <c r="O1625" s="2">
        <v>46247</v>
      </c>
      <c r="P1625" s="2">
        <v>46337</v>
      </c>
      <c r="R1625" t="s">
        <v>4817</v>
      </c>
      <c r="S1625" t="str">
        <f>"25666160000051900"</f>
        <v>25666160000051900</v>
      </c>
      <c r="T1625" t="s">
        <v>41</v>
      </c>
      <c r="U1625">
        <v>40</v>
      </c>
      <c r="V1625">
        <v>40</v>
      </c>
      <c r="W1625">
        <v>40</v>
      </c>
      <c r="X1625">
        <v>0</v>
      </c>
      <c r="Y1625">
        <v>0</v>
      </c>
      <c r="Z1625">
        <v>-562</v>
      </c>
      <c r="AD1625" t="s">
        <v>3420</v>
      </c>
      <c r="AF1625" t="s">
        <v>3420</v>
      </c>
      <c r="AG1625">
        <v>65218095000160</v>
      </c>
      <c r="AH1625" t="s">
        <v>44</v>
      </c>
    </row>
    <row r="1626" spans="1:34" x14ac:dyDescent="0.3">
      <c r="A1626">
        <v>101</v>
      </c>
      <c r="B1626" t="s">
        <v>34</v>
      </c>
      <c r="C1626">
        <v>2</v>
      </c>
      <c r="D1626" s="1" t="s">
        <v>4828</v>
      </c>
      <c r="E1626" s="1" t="s">
        <v>116</v>
      </c>
      <c r="G1626">
        <v>470375</v>
      </c>
      <c r="H1626" t="s">
        <v>4815</v>
      </c>
      <c r="I1626" t="s">
        <v>4816</v>
      </c>
      <c r="J1626">
        <v>35</v>
      </c>
      <c r="K1626">
        <v>470375</v>
      </c>
      <c r="L1626">
        <v>95100</v>
      </c>
      <c r="M1626" t="s">
        <v>69</v>
      </c>
      <c r="N1626">
        <v>351</v>
      </c>
      <c r="O1626" s="2">
        <v>46148</v>
      </c>
      <c r="P1626" s="2">
        <v>46358</v>
      </c>
      <c r="R1626" t="s">
        <v>4829</v>
      </c>
      <c r="S1626" t="str">
        <f>""</f>
        <v/>
      </c>
      <c r="T1626" t="s">
        <v>41</v>
      </c>
      <c r="U1626">
        <v>52.86</v>
      </c>
      <c r="V1626">
        <v>52.86</v>
      </c>
      <c r="W1626">
        <v>52.86</v>
      </c>
      <c r="X1626">
        <v>0</v>
      </c>
      <c r="Y1626">
        <v>0</v>
      </c>
      <c r="Z1626">
        <v>-583</v>
      </c>
      <c r="AA1626">
        <v>688045</v>
      </c>
      <c r="AD1626" t="s">
        <v>3420</v>
      </c>
      <c r="AF1626" t="s">
        <v>3420</v>
      </c>
      <c r="AG1626">
        <v>65218095000160</v>
      </c>
      <c r="AH1626" t="s">
        <v>44</v>
      </c>
    </row>
    <row r="1627" spans="1:34" x14ac:dyDescent="0.3">
      <c r="A1627">
        <v>101</v>
      </c>
      <c r="B1627" t="s">
        <v>34</v>
      </c>
      <c r="C1627">
        <v>2</v>
      </c>
      <c r="D1627" s="1" t="s">
        <v>4830</v>
      </c>
      <c r="E1627" s="1" t="s">
        <v>36</v>
      </c>
      <c r="G1627">
        <v>470375</v>
      </c>
      <c r="H1627" t="s">
        <v>4815</v>
      </c>
      <c r="I1627" t="s">
        <v>4816</v>
      </c>
      <c r="J1627">
        <v>35</v>
      </c>
      <c r="K1627">
        <v>470375</v>
      </c>
      <c r="L1627">
        <v>50001</v>
      </c>
      <c r="M1627" t="s">
        <v>39</v>
      </c>
      <c r="N1627">
        <v>351</v>
      </c>
      <c r="O1627" s="2">
        <v>46217</v>
      </c>
      <c r="P1627" s="2">
        <v>46277</v>
      </c>
      <c r="R1627" t="s">
        <v>4831</v>
      </c>
      <c r="S1627" t="str">
        <f>"25666160000051459"</f>
        <v>25666160000051459</v>
      </c>
      <c r="T1627" t="s">
        <v>41</v>
      </c>
      <c r="U1627">
        <v>65.86</v>
      </c>
      <c r="V1627">
        <v>65.86</v>
      </c>
      <c r="W1627">
        <v>65.86</v>
      </c>
      <c r="X1627">
        <v>0</v>
      </c>
      <c r="Y1627">
        <v>0</v>
      </c>
      <c r="Z1627">
        <v>-502</v>
      </c>
      <c r="AA1627">
        <v>694149</v>
      </c>
      <c r="AD1627" t="s">
        <v>3420</v>
      </c>
      <c r="AF1627" t="s">
        <v>3420</v>
      </c>
      <c r="AG1627">
        <v>65218095000160</v>
      </c>
      <c r="AH1627" t="s">
        <v>44</v>
      </c>
    </row>
    <row r="1628" spans="1:34" x14ac:dyDescent="0.3">
      <c r="A1628">
        <v>101</v>
      </c>
      <c r="B1628" t="s">
        <v>34</v>
      </c>
      <c r="C1628">
        <v>2</v>
      </c>
      <c r="D1628" s="1" t="s">
        <v>4826</v>
      </c>
      <c r="E1628" s="1" t="s">
        <v>116</v>
      </c>
      <c r="G1628">
        <v>470375</v>
      </c>
      <c r="H1628" t="s">
        <v>4815</v>
      </c>
      <c r="I1628" t="s">
        <v>4816</v>
      </c>
      <c r="J1628">
        <v>35</v>
      </c>
      <c r="K1628">
        <v>470375</v>
      </c>
      <c r="L1628">
        <v>50001</v>
      </c>
      <c r="M1628" t="s">
        <v>39</v>
      </c>
      <c r="N1628">
        <v>351</v>
      </c>
      <c r="O1628" s="2">
        <v>46189</v>
      </c>
      <c r="P1628" s="2">
        <v>46309</v>
      </c>
      <c r="R1628" t="s">
        <v>4827</v>
      </c>
      <c r="S1628" t="str">
        <f>"25666160000051026"</f>
        <v>25666160000051026</v>
      </c>
      <c r="T1628" t="s">
        <v>41</v>
      </c>
      <c r="U1628">
        <v>413.74</v>
      </c>
      <c r="V1628">
        <v>413.74</v>
      </c>
      <c r="W1628">
        <v>413.74</v>
      </c>
      <c r="X1628">
        <v>0</v>
      </c>
      <c r="Y1628">
        <v>0</v>
      </c>
      <c r="Z1628">
        <v>-534</v>
      </c>
      <c r="AA1628">
        <v>691500</v>
      </c>
      <c r="AD1628" t="s">
        <v>3420</v>
      </c>
      <c r="AF1628" t="s">
        <v>3420</v>
      </c>
      <c r="AG1628">
        <v>65218095000160</v>
      </c>
      <c r="AH1628" t="s">
        <v>44</v>
      </c>
    </row>
    <row r="1629" spans="1:34" x14ac:dyDescent="0.3">
      <c r="A1629">
        <v>101</v>
      </c>
      <c r="B1629" t="s">
        <v>34</v>
      </c>
      <c r="C1629">
        <v>2</v>
      </c>
      <c r="D1629" s="1" t="s">
        <v>4824</v>
      </c>
      <c r="E1629" s="1" t="s">
        <v>36</v>
      </c>
      <c r="G1629">
        <v>470375</v>
      </c>
      <c r="H1629" t="s">
        <v>4815</v>
      </c>
      <c r="I1629" t="s">
        <v>4816</v>
      </c>
      <c r="J1629">
        <v>35</v>
      </c>
      <c r="K1629">
        <v>470375</v>
      </c>
      <c r="L1629">
        <v>50001</v>
      </c>
      <c r="M1629" t="s">
        <v>39</v>
      </c>
      <c r="N1629">
        <v>351</v>
      </c>
      <c r="O1629" s="2">
        <v>46238</v>
      </c>
      <c r="P1629" s="2">
        <v>46298</v>
      </c>
      <c r="R1629" t="s">
        <v>4825</v>
      </c>
      <c r="S1629" t="str">
        <f>"25666160000051788"</f>
        <v>25666160000051788</v>
      </c>
      <c r="T1629" t="s">
        <v>41</v>
      </c>
      <c r="U1629">
        <v>250.67</v>
      </c>
      <c r="V1629">
        <v>250.67</v>
      </c>
      <c r="W1629">
        <v>250.67</v>
      </c>
      <c r="X1629">
        <v>0</v>
      </c>
      <c r="Y1629">
        <v>0</v>
      </c>
      <c r="Z1629">
        <v>-523</v>
      </c>
      <c r="AD1629" t="s">
        <v>3420</v>
      </c>
      <c r="AF1629" t="s">
        <v>3420</v>
      </c>
      <c r="AG1629">
        <v>65218095000160</v>
      </c>
      <c r="AH1629" t="s">
        <v>44</v>
      </c>
    </row>
    <row r="1630" spans="1:34" x14ac:dyDescent="0.3">
      <c r="A1630">
        <v>101</v>
      </c>
      <c r="B1630" t="s">
        <v>34</v>
      </c>
      <c r="C1630">
        <v>2</v>
      </c>
      <c r="D1630" s="1" t="s">
        <v>4818</v>
      </c>
      <c r="E1630" s="1" t="s">
        <v>36</v>
      </c>
      <c r="G1630">
        <v>470375</v>
      </c>
      <c r="H1630" t="s">
        <v>4815</v>
      </c>
      <c r="I1630" t="s">
        <v>4816</v>
      </c>
      <c r="J1630">
        <v>35</v>
      </c>
      <c r="K1630">
        <v>470375</v>
      </c>
      <c r="L1630">
        <v>50001</v>
      </c>
      <c r="M1630" t="s">
        <v>39</v>
      </c>
      <c r="N1630">
        <v>351</v>
      </c>
      <c r="O1630" s="2">
        <v>46167</v>
      </c>
      <c r="P1630" s="2">
        <v>46317</v>
      </c>
      <c r="R1630" t="s">
        <v>4819</v>
      </c>
      <c r="S1630" t="str">
        <f>"25666160000050700"</f>
        <v>25666160000050700</v>
      </c>
      <c r="T1630" t="s">
        <v>41</v>
      </c>
      <c r="U1630">
        <v>119.18</v>
      </c>
      <c r="V1630">
        <v>119.18</v>
      </c>
      <c r="W1630">
        <v>119.18</v>
      </c>
      <c r="X1630">
        <v>0</v>
      </c>
      <c r="Y1630">
        <v>0</v>
      </c>
      <c r="Z1630">
        <v>-542</v>
      </c>
      <c r="AA1630">
        <v>689029</v>
      </c>
      <c r="AD1630" t="s">
        <v>3420</v>
      </c>
      <c r="AF1630" t="s">
        <v>3420</v>
      </c>
      <c r="AG1630">
        <v>65218095000160</v>
      </c>
      <c r="AH1630" t="s">
        <v>44</v>
      </c>
    </row>
    <row r="1631" spans="1:34" x14ac:dyDescent="0.3">
      <c r="A1631">
        <v>101</v>
      </c>
      <c r="B1631" t="s">
        <v>34</v>
      </c>
      <c r="C1631">
        <v>2</v>
      </c>
      <c r="D1631" s="1" t="s">
        <v>4832</v>
      </c>
      <c r="E1631" s="1" t="s">
        <v>116</v>
      </c>
      <c r="G1631">
        <v>470375</v>
      </c>
      <c r="H1631" t="s">
        <v>4815</v>
      </c>
      <c r="I1631" t="s">
        <v>4816</v>
      </c>
      <c r="J1631">
        <v>35</v>
      </c>
      <c r="K1631">
        <v>470375</v>
      </c>
      <c r="L1631">
        <v>50001</v>
      </c>
      <c r="M1631" t="s">
        <v>39</v>
      </c>
      <c r="N1631">
        <v>351</v>
      </c>
      <c r="O1631" s="2">
        <v>46217</v>
      </c>
      <c r="P1631" s="2">
        <v>46337</v>
      </c>
      <c r="R1631" t="s">
        <v>4833</v>
      </c>
      <c r="S1631" t="str">
        <f>"25666160000051464"</f>
        <v>25666160000051464</v>
      </c>
      <c r="T1631" t="s">
        <v>41</v>
      </c>
      <c r="U1631">
        <v>66.69</v>
      </c>
      <c r="V1631">
        <v>66.69</v>
      </c>
      <c r="W1631">
        <v>66.69</v>
      </c>
      <c r="X1631">
        <v>0</v>
      </c>
      <c r="Y1631">
        <v>0</v>
      </c>
      <c r="Z1631">
        <v>-562</v>
      </c>
      <c r="AA1631">
        <v>694161</v>
      </c>
      <c r="AD1631" t="s">
        <v>3420</v>
      </c>
      <c r="AF1631" t="s">
        <v>3420</v>
      </c>
      <c r="AG1631">
        <v>65218095000160</v>
      </c>
      <c r="AH1631" t="s">
        <v>44</v>
      </c>
    </row>
    <row r="1632" spans="1:34" x14ac:dyDescent="0.3">
      <c r="A1632">
        <v>101</v>
      </c>
      <c r="B1632" t="s">
        <v>34</v>
      </c>
      <c r="C1632">
        <v>2</v>
      </c>
      <c r="D1632" s="1" t="s">
        <v>4822</v>
      </c>
      <c r="E1632" s="1" t="s">
        <v>116</v>
      </c>
      <c r="G1632">
        <v>470375</v>
      </c>
      <c r="H1632" t="s">
        <v>4815</v>
      </c>
      <c r="I1632" t="s">
        <v>4816</v>
      </c>
      <c r="J1632">
        <v>35</v>
      </c>
      <c r="K1632">
        <v>470375</v>
      </c>
      <c r="L1632">
        <v>50001</v>
      </c>
      <c r="M1632" t="s">
        <v>39</v>
      </c>
      <c r="N1632">
        <v>351</v>
      </c>
      <c r="O1632" s="2">
        <v>46181</v>
      </c>
      <c r="P1632" s="2">
        <v>46301</v>
      </c>
      <c r="R1632" s="1" t="s">
        <v>4823</v>
      </c>
      <c r="S1632" t="str">
        <f>"25666160000050942"</f>
        <v>25666160000050942</v>
      </c>
      <c r="T1632" t="s">
        <v>41</v>
      </c>
      <c r="U1632">
        <v>1158.71</v>
      </c>
      <c r="V1632">
        <v>1158.71</v>
      </c>
      <c r="W1632">
        <v>1158.71</v>
      </c>
      <c r="X1632">
        <v>0</v>
      </c>
      <c r="Y1632">
        <v>0</v>
      </c>
      <c r="Z1632">
        <v>-526</v>
      </c>
      <c r="AA1632">
        <v>690918</v>
      </c>
      <c r="AD1632" t="s">
        <v>3420</v>
      </c>
      <c r="AF1632" t="s">
        <v>3420</v>
      </c>
      <c r="AG1632">
        <v>65218095000160</v>
      </c>
      <c r="AH1632" t="s">
        <v>44</v>
      </c>
    </row>
    <row r="1633" spans="1:34" x14ac:dyDescent="0.3">
      <c r="A1633">
        <v>101</v>
      </c>
      <c r="B1633" t="s">
        <v>34</v>
      </c>
      <c r="C1633">
        <v>2</v>
      </c>
      <c r="D1633" s="1" t="s">
        <v>4814</v>
      </c>
      <c r="E1633" s="1" t="s">
        <v>36</v>
      </c>
      <c r="G1633">
        <v>470375</v>
      </c>
      <c r="H1633" t="s">
        <v>4815</v>
      </c>
      <c r="I1633" t="s">
        <v>4816</v>
      </c>
      <c r="J1633">
        <v>35</v>
      </c>
      <c r="K1633">
        <v>470375</v>
      </c>
      <c r="L1633">
        <v>50001</v>
      </c>
      <c r="M1633" t="s">
        <v>39</v>
      </c>
      <c r="N1633">
        <v>351</v>
      </c>
      <c r="O1633" s="2">
        <v>46247</v>
      </c>
      <c r="P1633" s="2">
        <v>46307</v>
      </c>
      <c r="R1633" t="s">
        <v>4817</v>
      </c>
      <c r="S1633" t="str">
        <f>"25666160000051899"</f>
        <v>25666160000051899</v>
      </c>
      <c r="T1633" t="s">
        <v>41</v>
      </c>
      <c r="U1633">
        <v>40</v>
      </c>
      <c r="V1633">
        <v>40</v>
      </c>
      <c r="W1633">
        <v>40</v>
      </c>
      <c r="X1633">
        <v>0</v>
      </c>
      <c r="Y1633">
        <v>0</v>
      </c>
      <c r="Z1633">
        <v>-532</v>
      </c>
      <c r="AD1633" t="s">
        <v>3420</v>
      </c>
      <c r="AF1633" t="s">
        <v>3420</v>
      </c>
      <c r="AG1633">
        <v>65218095000160</v>
      </c>
      <c r="AH1633" t="s">
        <v>44</v>
      </c>
    </row>
    <row r="1634" spans="1:34" x14ac:dyDescent="0.3">
      <c r="A1634">
        <v>101</v>
      </c>
      <c r="B1634" t="s">
        <v>34</v>
      </c>
      <c r="C1634">
        <v>2</v>
      </c>
      <c r="D1634" s="1" t="s">
        <v>4828</v>
      </c>
      <c r="E1634" s="1" t="s">
        <v>36</v>
      </c>
      <c r="G1634">
        <v>470375</v>
      </c>
      <c r="H1634" t="s">
        <v>4815</v>
      </c>
      <c r="I1634" t="s">
        <v>4816</v>
      </c>
      <c r="J1634">
        <v>35</v>
      </c>
      <c r="K1634">
        <v>470375</v>
      </c>
      <c r="L1634">
        <v>95100</v>
      </c>
      <c r="M1634" t="s">
        <v>69</v>
      </c>
      <c r="N1634">
        <v>351</v>
      </c>
      <c r="O1634" s="2">
        <v>46148</v>
      </c>
      <c r="P1634" s="2">
        <v>46298</v>
      </c>
      <c r="R1634" t="s">
        <v>4829</v>
      </c>
      <c r="S1634" t="str">
        <f>""</f>
        <v/>
      </c>
      <c r="T1634" t="s">
        <v>41</v>
      </c>
      <c r="U1634">
        <v>68.89</v>
      </c>
      <c r="V1634">
        <v>68.89</v>
      </c>
      <c r="W1634">
        <v>68.89</v>
      </c>
      <c r="X1634">
        <v>0</v>
      </c>
      <c r="Y1634">
        <v>0</v>
      </c>
      <c r="Z1634">
        <v>-523</v>
      </c>
      <c r="AA1634">
        <v>688045</v>
      </c>
      <c r="AD1634" t="s">
        <v>3420</v>
      </c>
      <c r="AF1634" t="s">
        <v>3420</v>
      </c>
      <c r="AG1634">
        <v>65218095000160</v>
      </c>
      <c r="AH1634" t="s">
        <v>44</v>
      </c>
    </row>
    <row r="1635" spans="1:34" x14ac:dyDescent="0.3">
      <c r="A1635">
        <v>101</v>
      </c>
      <c r="B1635" t="s">
        <v>34</v>
      </c>
      <c r="C1635">
        <v>2</v>
      </c>
      <c r="D1635" s="1" t="s">
        <v>4834</v>
      </c>
      <c r="E1635" s="1" t="s">
        <v>116</v>
      </c>
      <c r="G1635">
        <v>470375</v>
      </c>
      <c r="H1635" t="s">
        <v>4815</v>
      </c>
      <c r="I1635" t="s">
        <v>4816</v>
      </c>
      <c r="J1635">
        <v>35</v>
      </c>
      <c r="K1635">
        <v>470375</v>
      </c>
      <c r="L1635">
        <v>50001</v>
      </c>
      <c r="M1635" t="s">
        <v>39</v>
      </c>
      <c r="N1635">
        <v>351</v>
      </c>
      <c r="O1635" s="2">
        <v>46247</v>
      </c>
      <c r="P1635" s="2">
        <v>46367</v>
      </c>
      <c r="R1635" t="s">
        <v>4835</v>
      </c>
      <c r="S1635" t="str">
        <f>"25666160000051892"</f>
        <v>25666160000051892</v>
      </c>
      <c r="T1635" t="s">
        <v>41</v>
      </c>
      <c r="U1635">
        <v>999.73</v>
      </c>
      <c r="V1635">
        <v>999.73</v>
      </c>
      <c r="W1635">
        <v>999.73</v>
      </c>
      <c r="X1635">
        <v>0</v>
      </c>
      <c r="Y1635">
        <v>0</v>
      </c>
      <c r="Z1635">
        <v>-592</v>
      </c>
      <c r="AA1635">
        <v>696719</v>
      </c>
      <c r="AD1635" t="s">
        <v>3420</v>
      </c>
      <c r="AF1635" t="s">
        <v>3420</v>
      </c>
      <c r="AG1635">
        <v>65218095000160</v>
      </c>
      <c r="AH1635" t="s">
        <v>44</v>
      </c>
    </row>
    <row r="1636" spans="1:34" x14ac:dyDescent="0.3">
      <c r="A1636">
        <v>101</v>
      </c>
      <c r="B1636" t="s">
        <v>34</v>
      </c>
      <c r="C1636">
        <v>2</v>
      </c>
      <c r="D1636" s="1" t="s">
        <v>4836</v>
      </c>
      <c r="E1636" s="1" t="s">
        <v>36</v>
      </c>
      <c r="G1636">
        <v>470375</v>
      </c>
      <c r="H1636" t="s">
        <v>4815</v>
      </c>
      <c r="I1636" t="s">
        <v>4816</v>
      </c>
      <c r="J1636">
        <v>35</v>
      </c>
      <c r="K1636">
        <v>470375</v>
      </c>
      <c r="L1636">
        <v>95100</v>
      </c>
      <c r="M1636" t="s">
        <v>69</v>
      </c>
      <c r="N1636">
        <v>351</v>
      </c>
      <c r="O1636" s="2">
        <v>46078</v>
      </c>
      <c r="P1636" s="2">
        <v>46288</v>
      </c>
      <c r="R1636">
        <v>2602254404</v>
      </c>
      <c r="S1636" t="str">
        <f>""</f>
        <v/>
      </c>
      <c r="T1636" t="s">
        <v>41</v>
      </c>
      <c r="U1636">
        <v>13730.33</v>
      </c>
      <c r="V1636">
        <v>13730.33</v>
      </c>
      <c r="W1636">
        <v>13730.33</v>
      </c>
      <c r="X1636">
        <v>0</v>
      </c>
      <c r="Y1636">
        <v>0</v>
      </c>
      <c r="Z1636">
        <v>-513</v>
      </c>
      <c r="AA1636">
        <v>680010</v>
      </c>
      <c r="AD1636" t="s">
        <v>3420</v>
      </c>
      <c r="AF1636" t="s">
        <v>3420</v>
      </c>
      <c r="AG1636">
        <v>65218095000160</v>
      </c>
      <c r="AH1636" t="s">
        <v>44</v>
      </c>
    </row>
    <row r="1637" spans="1:34" x14ac:dyDescent="0.3">
      <c r="A1637">
        <v>101</v>
      </c>
      <c r="B1637" t="s">
        <v>34</v>
      </c>
      <c r="C1637">
        <v>2</v>
      </c>
      <c r="D1637" s="1" t="s">
        <v>4837</v>
      </c>
      <c r="E1637" s="1" t="s">
        <v>36</v>
      </c>
      <c r="G1637">
        <v>470375</v>
      </c>
      <c r="H1637" t="s">
        <v>4815</v>
      </c>
      <c r="I1637" t="s">
        <v>4816</v>
      </c>
      <c r="J1637">
        <v>35</v>
      </c>
      <c r="K1637">
        <v>470375</v>
      </c>
      <c r="L1637">
        <v>50001</v>
      </c>
      <c r="M1637" t="s">
        <v>39</v>
      </c>
      <c r="N1637">
        <v>351</v>
      </c>
      <c r="O1637" s="2">
        <v>46238</v>
      </c>
      <c r="P1637" s="2">
        <v>46298</v>
      </c>
      <c r="R1637" t="s">
        <v>4838</v>
      </c>
      <c r="S1637" t="str">
        <f>"25666160000051781"</f>
        <v>25666160000051781</v>
      </c>
      <c r="T1637" t="s">
        <v>41</v>
      </c>
      <c r="U1637">
        <v>435.31</v>
      </c>
      <c r="V1637">
        <v>435.31</v>
      </c>
      <c r="W1637">
        <v>435.31</v>
      </c>
      <c r="X1637">
        <v>0</v>
      </c>
      <c r="Y1637">
        <v>0</v>
      </c>
      <c r="Z1637">
        <v>-523</v>
      </c>
      <c r="AA1637">
        <v>696307</v>
      </c>
      <c r="AD1637" t="s">
        <v>3420</v>
      </c>
      <c r="AF1637" t="s">
        <v>3420</v>
      </c>
      <c r="AG1637">
        <v>65218095000160</v>
      </c>
      <c r="AH1637" t="s">
        <v>44</v>
      </c>
    </row>
    <row r="1638" spans="1:34" x14ac:dyDescent="0.3">
      <c r="A1638">
        <v>101</v>
      </c>
      <c r="B1638" t="s">
        <v>34</v>
      </c>
      <c r="C1638">
        <v>2</v>
      </c>
      <c r="D1638" s="1" t="s">
        <v>4839</v>
      </c>
      <c r="E1638" s="1" t="s">
        <v>122</v>
      </c>
      <c r="G1638">
        <v>470375</v>
      </c>
      <c r="H1638" t="s">
        <v>4815</v>
      </c>
      <c r="I1638" t="s">
        <v>4816</v>
      </c>
      <c r="J1638">
        <v>35</v>
      </c>
      <c r="K1638">
        <v>470375</v>
      </c>
      <c r="L1638">
        <v>95100</v>
      </c>
      <c r="M1638" t="s">
        <v>69</v>
      </c>
      <c r="N1638">
        <v>351</v>
      </c>
      <c r="O1638" s="2">
        <v>46114</v>
      </c>
      <c r="P1638" s="2">
        <v>46294</v>
      </c>
      <c r="R1638" t="s">
        <v>4840</v>
      </c>
      <c r="S1638" t="str">
        <f>""</f>
        <v/>
      </c>
      <c r="T1638" t="s">
        <v>41</v>
      </c>
      <c r="U1638">
        <v>211.79</v>
      </c>
      <c r="V1638">
        <v>211.79</v>
      </c>
      <c r="W1638">
        <v>211.79</v>
      </c>
      <c r="X1638">
        <v>0</v>
      </c>
      <c r="Y1638">
        <v>0</v>
      </c>
      <c r="Z1638">
        <v>-519</v>
      </c>
      <c r="AD1638" t="s">
        <v>3420</v>
      </c>
      <c r="AF1638" t="s">
        <v>3420</v>
      </c>
      <c r="AG1638">
        <v>65218095000160</v>
      </c>
      <c r="AH1638" t="s">
        <v>44</v>
      </c>
    </row>
    <row r="1639" spans="1:34" x14ac:dyDescent="0.3">
      <c r="A1639">
        <v>101</v>
      </c>
      <c r="B1639" t="s">
        <v>34</v>
      </c>
      <c r="C1639">
        <v>2</v>
      </c>
      <c r="D1639" s="1" t="s">
        <v>4837</v>
      </c>
      <c r="E1639" s="1" t="s">
        <v>122</v>
      </c>
      <c r="G1639">
        <v>470375</v>
      </c>
      <c r="H1639" t="s">
        <v>4815</v>
      </c>
      <c r="I1639" t="s">
        <v>4816</v>
      </c>
      <c r="J1639">
        <v>35</v>
      </c>
      <c r="K1639">
        <v>470375</v>
      </c>
      <c r="L1639">
        <v>50001</v>
      </c>
      <c r="M1639" t="s">
        <v>39</v>
      </c>
      <c r="N1639">
        <v>351</v>
      </c>
      <c r="O1639" s="2">
        <v>46238</v>
      </c>
      <c r="P1639" s="2">
        <v>46328</v>
      </c>
      <c r="R1639" t="s">
        <v>4838</v>
      </c>
      <c r="S1639" t="str">
        <f>"25666160000051782"</f>
        <v>25666160000051782</v>
      </c>
      <c r="T1639" t="s">
        <v>41</v>
      </c>
      <c r="U1639">
        <v>435.31</v>
      </c>
      <c r="V1639">
        <v>435.31</v>
      </c>
      <c r="W1639">
        <v>435.31</v>
      </c>
      <c r="X1639">
        <v>0</v>
      </c>
      <c r="Y1639">
        <v>0</v>
      </c>
      <c r="Z1639">
        <v>-553</v>
      </c>
      <c r="AA1639">
        <v>696307</v>
      </c>
      <c r="AD1639" t="s">
        <v>3420</v>
      </c>
      <c r="AF1639" t="s">
        <v>3420</v>
      </c>
      <c r="AG1639">
        <v>65218095000160</v>
      </c>
      <c r="AH1639" t="s">
        <v>44</v>
      </c>
    </row>
    <row r="1640" spans="1:34" x14ac:dyDescent="0.3">
      <c r="A1640">
        <v>101</v>
      </c>
      <c r="B1640" t="s">
        <v>34</v>
      </c>
      <c r="C1640">
        <v>2</v>
      </c>
      <c r="D1640" s="1" t="s">
        <v>4839</v>
      </c>
      <c r="E1640" s="1" t="s">
        <v>36</v>
      </c>
      <c r="G1640">
        <v>470375</v>
      </c>
      <c r="H1640" t="s">
        <v>4815</v>
      </c>
      <c r="I1640" t="s">
        <v>4816</v>
      </c>
      <c r="J1640">
        <v>35</v>
      </c>
      <c r="K1640">
        <v>470375</v>
      </c>
      <c r="L1640">
        <v>95100</v>
      </c>
      <c r="M1640" t="s">
        <v>69</v>
      </c>
      <c r="N1640">
        <v>351</v>
      </c>
      <c r="O1640" s="2">
        <v>46114</v>
      </c>
      <c r="P1640" s="2">
        <v>46264</v>
      </c>
      <c r="R1640" t="s">
        <v>4840</v>
      </c>
      <c r="S1640" t="str">
        <f>""</f>
        <v/>
      </c>
      <c r="T1640" t="s">
        <v>41</v>
      </c>
      <c r="U1640">
        <v>211.79</v>
      </c>
      <c r="V1640">
        <v>211.79</v>
      </c>
      <c r="W1640">
        <v>211.79</v>
      </c>
      <c r="X1640">
        <v>0</v>
      </c>
      <c r="Y1640">
        <v>0</v>
      </c>
      <c r="Z1640">
        <v>-489</v>
      </c>
      <c r="AD1640" t="s">
        <v>3420</v>
      </c>
      <c r="AF1640" t="s">
        <v>3420</v>
      </c>
      <c r="AG1640">
        <v>65218095000160</v>
      </c>
      <c r="AH1640" t="s">
        <v>44</v>
      </c>
    </row>
    <row r="1641" spans="1:34" x14ac:dyDescent="0.3">
      <c r="A1641">
        <v>101</v>
      </c>
      <c r="B1641" t="s">
        <v>34</v>
      </c>
      <c r="C1641">
        <v>2</v>
      </c>
      <c r="D1641" s="1" t="s">
        <v>4837</v>
      </c>
      <c r="E1641" s="1" t="s">
        <v>116</v>
      </c>
      <c r="G1641">
        <v>470375</v>
      </c>
      <c r="H1641" t="s">
        <v>4815</v>
      </c>
      <c r="I1641" t="s">
        <v>4816</v>
      </c>
      <c r="J1641">
        <v>35</v>
      </c>
      <c r="K1641">
        <v>470375</v>
      </c>
      <c r="L1641">
        <v>50001</v>
      </c>
      <c r="M1641" t="s">
        <v>39</v>
      </c>
      <c r="N1641">
        <v>351</v>
      </c>
      <c r="O1641" s="2">
        <v>46238</v>
      </c>
      <c r="P1641" s="2">
        <v>46358</v>
      </c>
      <c r="R1641" t="s">
        <v>4838</v>
      </c>
      <c r="S1641" t="str">
        <f>"25666160000051783"</f>
        <v>25666160000051783</v>
      </c>
      <c r="T1641" t="s">
        <v>41</v>
      </c>
      <c r="U1641">
        <v>435.45</v>
      </c>
      <c r="V1641">
        <v>435.45</v>
      </c>
      <c r="W1641">
        <v>435.45</v>
      </c>
      <c r="X1641">
        <v>0</v>
      </c>
      <c r="Y1641">
        <v>0</v>
      </c>
      <c r="Z1641">
        <v>-583</v>
      </c>
      <c r="AA1641">
        <v>696307</v>
      </c>
      <c r="AD1641" t="s">
        <v>3420</v>
      </c>
      <c r="AF1641" t="s">
        <v>3420</v>
      </c>
      <c r="AG1641">
        <v>65218095000160</v>
      </c>
      <c r="AH1641" t="s">
        <v>44</v>
      </c>
    </row>
    <row r="1642" spans="1:34" x14ac:dyDescent="0.3">
      <c r="A1642">
        <v>101</v>
      </c>
      <c r="B1642" t="s">
        <v>34</v>
      </c>
      <c r="C1642">
        <v>2</v>
      </c>
      <c r="D1642" s="1" t="s">
        <v>4828</v>
      </c>
      <c r="E1642" s="1" t="s">
        <v>122</v>
      </c>
      <c r="G1642">
        <v>470375</v>
      </c>
      <c r="H1642" t="s">
        <v>4815</v>
      </c>
      <c r="I1642" t="s">
        <v>4816</v>
      </c>
      <c r="J1642">
        <v>35</v>
      </c>
      <c r="K1642">
        <v>470375</v>
      </c>
      <c r="L1642">
        <v>95100</v>
      </c>
      <c r="M1642" t="s">
        <v>69</v>
      </c>
      <c r="N1642">
        <v>351</v>
      </c>
      <c r="O1642" s="2">
        <v>46148</v>
      </c>
      <c r="P1642" s="2">
        <v>46328</v>
      </c>
      <c r="R1642" t="s">
        <v>4829</v>
      </c>
      <c r="S1642" t="str">
        <f>""</f>
        <v/>
      </c>
      <c r="T1642" t="s">
        <v>41</v>
      </c>
      <c r="U1642">
        <v>52.83</v>
      </c>
      <c r="V1642">
        <v>52.83</v>
      </c>
      <c r="W1642">
        <v>52.83</v>
      </c>
      <c r="X1642">
        <v>0</v>
      </c>
      <c r="Y1642">
        <v>0</v>
      </c>
      <c r="Z1642">
        <v>-553</v>
      </c>
      <c r="AA1642">
        <v>688045</v>
      </c>
      <c r="AD1642" t="s">
        <v>3420</v>
      </c>
      <c r="AF1642" t="s">
        <v>3420</v>
      </c>
      <c r="AG1642">
        <v>65218095000160</v>
      </c>
      <c r="AH1642" t="s">
        <v>44</v>
      </c>
    </row>
    <row r="1643" spans="1:34" x14ac:dyDescent="0.3">
      <c r="A1643">
        <v>101</v>
      </c>
      <c r="B1643" t="s">
        <v>34</v>
      </c>
      <c r="C1643">
        <v>2</v>
      </c>
      <c r="D1643" s="1" t="s">
        <v>4834</v>
      </c>
      <c r="E1643" s="1" t="s">
        <v>122</v>
      </c>
      <c r="G1643">
        <v>470375</v>
      </c>
      <c r="H1643" t="s">
        <v>4815</v>
      </c>
      <c r="I1643" t="s">
        <v>4816</v>
      </c>
      <c r="J1643">
        <v>35</v>
      </c>
      <c r="K1643">
        <v>470375</v>
      </c>
      <c r="L1643">
        <v>50001</v>
      </c>
      <c r="M1643" t="s">
        <v>39</v>
      </c>
      <c r="N1643">
        <v>351</v>
      </c>
      <c r="O1643" s="2">
        <v>46247</v>
      </c>
      <c r="P1643" s="2">
        <v>46337</v>
      </c>
      <c r="R1643" t="s">
        <v>4835</v>
      </c>
      <c r="S1643" t="str">
        <f>"25666160000051891"</f>
        <v>25666160000051891</v>
      </c>
      <c r="T1643" t="s">
        <v>41</v>
      </c>
      <c r="U1643">
        <v>999.43</v>
      </c>
      <c r="V1643">
        <v>999.43</v>
      </c>
      <c r="W1643">
        <v>999.43</v>
      </c>
      <c r="X1643">
        <v>0</v>
      </c>
      <c r="Y1643">
        <v>0</v>
      </c>
      <c r="Z1643">
        <v>-562</v>
      </c>
      <c r="AA1643">
        <v>696719</v>
      </c>
      <c r="AD1643" t="s">
        <v>3420</v>
      </c>
      <c r="AF1643" t="s">
        <v>3420</v>
      </c>
      <c r="AG1643">
        <v>65218095000160</v>
      </c>
      <c r="AH1643" t="s">
        <v>44</v>
      </c>
    </row>
    <row r="1644" spans="1:34" x14ac:dyDescent="0.3">
      <c r="A1644">
        <v>101</v>
      </c>
      <c r="B1644" t="s">
        <v>34</v>
      </c>
      <c r="C1644">
        <v>2</v>
      </c>
      <c r="D1644" s="1" t="s">
        <v>4841</v>
      </c>
      <c r="E1644" s="1" t="s">
        <v>36</v>
      </c>
      <c r="G1644">
        <v>470375</v>
      </c>
      <c r="H1644" t="s">
        <v>4815</v>
      </c>
      <c r="I1644" t="s">
        <v>4816</v>
      </c>
      <c r="J1644">
        <v>35</v>
      </c>
      <c r="K1644">
        <v>470375</v>
      </c>
      <c r="L1644">
        <v>95100</v>
      </c>
      <c r="M1644" t="s">
        <v>69</v>
      </c>
      <c r="N1644">
        <v>351</v>
      </c>
      <c r="O1644" s="2">
        <v>46125</v>
      </c>
      <c r="P1644" s="2">
        <v>46275</v>
      </c>
      <c r="R1644" t="s">
        <v>4842</v>
      </c>
      <c r="S1644" t="str">
        <f>""</f>
        <v/>
      </c>
      <c r="T1644" t="s">
        <v>41</v>
      </c>
      <c r="U1644">
        <v>89.18</v>
      </c>
      <c r="V1644">
        <v>89.18</v>
      </c>
      <c r="W1644">
        <v>89.18</v>
      </c>
      <c r="X1644">
        <v>0</v>
      </c>
      <c r="Y1644">
        <v>0</v>
      </c>
      <c r="Z1644">
        <v>-500</v>
      </c>
      <c r="AD1644" t="s">
        <v>3420</v>
      </c>
      <c r="AF1644" t="s">
        <v>3420</v>
      </c>
      <c r="AG1644">
        <v>65218095000160</v>
      </c>
      <c r="AH1644" t="s">
        <v>44</v>
      </c>
    </row>
    <row r="1645" spans="1:34" x14ac:dyDescent="0.3">
      <c r="A1645">
        <v>101</v>
      </c>
      <c r="B1645" t="s">
        <v>34</v>
      </c>
      <c r="C1645">
        <v>2</v>
      </c>
      <c r="D1645" s="1" t="s">
        <v>4834</v>
      </c>
      <c r="E1645" s="1" t="s">
        <v>36</v>
      </c>
      <c r="G1645">
        <v>470375</v>
      </c>
      <c r="H1645" t="s">
        <v>4815</v>
      </c>
      <c r="I1645" t="s">
        <v>4816</v>
      </c>
      <c r="J1645">
        <v>35</v>
      </c>
      <c r="K1645">
        <v>470375</v>
      </c>
      <c r="L1645">
        <v>50001</v>
      </c>
      <c r="M1645" t="s">
        <v>39</v>
      </c>
      <c r="N1645">
        <v>351</v>
      </c>
      <c r="O1645" s="2">
        <v>46247</v>
      </c>
      <c r="P1645" s="2">
        <v>46307</v>
      </c>
      <c r="R1645" t="s">
        <v>4835</v>
      </c>
      <c r="S1645" t="str">
        <f>"25666160000051890"</f>
        <v>25666160000051890</v>
      </c>
      <c r="T1645" t="s">
        <v>41</v>
      </c>
      <c r="U1645">
        <v>1055.1600000000001</v>
      </c>
      <c r="V1645">
        <v>1055.1600000000001</v>
      </c>
      <c r="W1645">
        <v>1055.1600000000001</v>
      </c>
      <c r="X1645">
        <v>0</v>
      </c>
      <c r="Y1645">
        <v>0</v>
      </c>
      <c r="Z1645">
        <v>-532</v>
      </c>
      <c r="AA1645">
        <v>696719</v>
      </c>
      <c r="AD1645" t="s">
        <v>3420</v>
      </c>
      <c r="AF1645" t="s">
        <v>3420</v>
      </c>
      <c r="AG1645">
        <v>65218095000160</v>
      </c>
      <c r="AH1645" t="s">
        <v>44</v>
      </c>
    </row>
    <row r="1646" spans="1:34" x14ac:dyDescent="0.3">
      <c r="A1646">
        <v>101</v>
      </c>
      <c r="B1646" t="s">
        <v>34</v>
      </c>
      <c r="C1646">
        <v>2</v>
      </c>
      <c r="D1646" s="1" t="s">
        <v>4841</v>
      </c>
      <c r="E1646" s="1" t="s">
        <v>122</v>
      </c>
      <c r="G1646">
        <v>470375</v>
      </c>
      <c r="H1646" t="s">
        <v>4815</v>
      </c>
      <c r="I1646" t="s">
        <v>4816</v>
      </c>
      <c r="J1646">
        <v>35</v>
      </c>
      <c r="K1646">
        <v>470375</v>
      </c>
      <c r="L1646">
        <v>95100</v>
      </c>
      <c r="M1646" t="s">
        <v>69</v>
      </c>
      <c r="N1646">
        <v>351</v>
      </c>
      <c r="O1646" s="2">
        <v>46125</v>
      </c>
      <c r="P1646" s="2">
        <v>46305</v>
      </c>
      <c r="R1646" t="s">
        <v>4842</v>
      </c>
      <c r="S1646" t="str">
        <f>""</f>
        <v/>
      </c>
      <c r="T1646" t="s">
        <v>41</v>
      </c>
      <c r="U1646">
        <v>73.61</v>
      </c>
      <c r="V1646">
        <v>73.61</v>
      </c>
      <c r="W1646">
        <v>73.61</v>
      </c>
      <c r="X1646">
        <v>0</v>
      </c>
      <c r="Y1646">
        <v>0</v>
      </c>
      <c r="Z1646">
        <v>-530</v>
      </c>
      <c r="AD1646" t="s">
        <v>3420</v>
      </c>
      <c r="AF1646" t="s">
        <v>3420</v>
      </c>
      <c r="AG1646">
        <v>65218095000160</v>
      </c>
      <c r="AH1646" t="s">
        <v>44</v>
      </c>
    </row>
    <row r="1647" spans="1:34" x14ac:dyDescent="0.3">
      <c r="A1647">
        <v>101</v>
      </c>
      <c r="B1647" t="s">
        <v>34</v>
      </c>
      <c r="C1647">
        <v>2</v>
      </c>
      <c r="D1647" s="1" t="s">
        <v>4824</v>
      </c>
      <c r="E1647" s="1" t="s">
        <v>116</v>
      </c>
      <c r="G1647">
        <v>470375</v>
      </c>
      <c r="H1647" t="s">
        <v>4815</v>
      </c>
      <c r="I1647" t="s">
        <v>4816</v>
      </c>
      <c r="J1647">
        <v>35</v>
      </c>
      <c r="K1647">
        <v>470375</v>
      </c>
      <c r="L1647">
        <v>50001</v>
      </c>
      <c r="M1647" t="s">
        <v>39</v>
      </c>
      <c r="N1647">
        <v>351</v>
      </c>
      <c r="O1647" s="2">
        <v>46238</v>
      </c>
      <c r="P1647" s="2">
        <v>46358</v>
      </c>
      <c r="R1647" t="s">
        <v>4825</v>
      </c>
      <c r="S1647" t="str">
        <f>"25666160000051790"</f>
        <v>25666160000051790</v>
      </c>
      <c r="T1647" t="s">
        <v>41</v>
      </c>
      <c r="U1647">
        <v>250.76</v>
      </c>
      <c r="V1647">
        <v>250.76</v>
      </c>
      <c r="W1647">
        <v>250.76</v>
      </c>
      <c r="X1647">
        <v>0</v>
      </c>
      <c r="Y1647">
        <v>0</v>
      </c>
      <c r="Z1647">
        <v>-583</v>
      </c>
      <c r="AD1647" t="s">
        <v>3420</v>
      </c>
      <c r="AF1647" t="s">
        <v>3420</v>
      </c>
      <c r="AG1647">
        <v>65218095000160</v>
      </c>
      <c r="AH1647" t="s">
        <v>44</v>
      </c>
    </row>
    <row r="1648" spans="1:34" x14ac:dyDescent="0.3">
      <c r="A1648">
        <v>101</v>
      </c>
      <c r="B1648" t="s">
        <v>34</v>
      </c>
      <c r="C1648">
        <v>2</v>
      </c>
      <c r="D1648" s="1" t="s">
        <v>4841</v>
      </c>
      <c r="E1648" s="1" t="s">
        <v>116</v>
      </c>
      <c r="G1648">
        <v>470375</v>
      </c>
      <c r="H1648" t="s">
        <v>4815</v>
      </c>
      <c r="I1648" t="s">
        <v>4816</v>
      </c>
      <c r="J1648">
        <v>35</v>
      </c>
      <c r="K1648">
        <v>470375</v>
      </c>
      <c r="L1648">
        <v>95100</v>
      </c>
      <c r="M1648" t="s">
        <v>69</v>
      </c>
      <c r="N1648">
        <v>351</v>
      </c>
      <c r="O1648" s="2">
        <v>46125</v>
      </c>
      <c r="P1648" s="2">
        <v>46335</v>
      </c>
      <c r="R1648" t="s">
        <v>4842</v>
      </c>
      <c r="S1648" t="str">
        <f>""</f>
        <v/>
      </c>
      <c r="T1648" t="s">
        <v>41</v>
      </c>
      <c r="U1648">
        <v>73.63</v>
      </c>
      <c r="V1648">
        <v>73.63</v>
      </c>
      <c r="W1648">
        <v>73.63</v>
      </c>
      <c r="X1648">
        <v>0</v>
      </c>
      <c r="Y1648">
        <v>0</v>
      </c>
      <c r="Z1648">
        <v>-560</v>
      </c>
      <c r="AD1648" t="s">
        <v>3420</v>
      </c>
      <c r="AF1648" t="s">
        <v>3420</v>
      </c>
      <c r="AG1648">
        <v>65218095000160</v>
      </c>
      <c r="AH1648" t="s">
        <v>44</v>
      </c>
    </row>
    <row r="1649" spans="1:34" x14ac:dyDescent="0.3">
      <c r="A1649">
        <v>101</v>
      </c>
      <c r="B1649" t="s">
        <v>34</v>
      </c>
      <c r="C1649">
        <v>2</v>
      </c>
      <c r="D1649" s="1" t="s">
        <v>4820</v>
      </c>
      <c r="E1649" s="1" t="s">
        <v>116</v>
      </c>
      <c r="G1649">
        <v>470375</v>
      </c>
      <c r="H1649" t="s">
        <v>4815</v>
      </c>
      <c r="I1649" t="s">
        <v>4816</v>
      </c>
      <c r="J1649">
        <v>35</v>
      </c>
      <c r="K1649">
        <v>470375</v>
      </c>
      <c r="L1649">
        <v>50001</v>
      </c>
      <c r="M1649" t="s">
        <v>39</v>
      </c>
      <c r="N1649">
        <v>351</v>
      </c>
      <c r="O1649" s="2">
        <v>46211</v>
      </c>
      <c r="P1649" s="2">
        <v>46331</v>
      </c>
      <c r="R1649" t="s">
        <v>4821</v>
      </c>
      <c r="S1649" t="str">
        <f>"25666160000051480"</f>
        <v>25666160000051480</v>
      </c>
      <c r="T1649" t="s">
        <v>41</v>
      </c>
      <c r="U1649">
        <v>20.100000000000001</v>
      </c>
      <c r="V1649">
        <v>20.100000000000001</v>
      </c>
      <c r="W1649">
        <v>20.100000000000001</v>
      </c>
      <c r="X1649">
        <v>0</v>
      </c>
      <c r="Y1649">
        <v>0</v>
      </c>
      <c r="Z1649">
        <v>-556</v>
      </c>
      <c r="AA1649">
        <v>694055</v>
      </c>
      <c r="AD1649" t="s">
        <v>3420</v>
      </c>
      <c r="AF1649" t="s">
        <v>3420</v>
      </c>
      <c r="AG1649">
        <v>65218095000160</v>
      </c>
      <c r="AH1649" t="s">
        <v>44</v>
      </c>
    </row>
    <row r="1650" spans="1:34" x14ac:dyDescent="0.3">
      <c r="A1650">
        <v>101</v>
      </c>
      <c r="B1650" t="s">
        <v>34</v>
      </c>
      <c r="C1650">
        <v>2</v>
      </c>
      <c r="D1650" s="1" t="s">
        <v>4839</v>
      </c>
      <c r="E1650" s="1" t="s">
        <v>116</v>
      </c>
      <c r="G1650">
        <v>470375</v>
      </c>
      <c r="H1650" t="s">
        <v>4815</v>
      </c>
      <c r="I1650" t="s">
        <v>4816</v>
      </c>
      <c r="J1650">
        <v>35</v>
      </c>
      <c r="K1650">
        <v>470375</v>
      </c>
      <c r="L1650">
        <v>95100</v>
      </c>
      <c r="M1650" t="s">
        <v>69</v>
      </c>
      <c r="N1650">
        <v>351</v>
      </c>
      <c r="O1650" s="2">
        <v>46114</v>
      </c>
      <c r="P1650" s="2">
        <v>46324</v>
      </c>
      <c r="R1650" t="s">
        <v>4840</v>
      </c>
      <c r="S1650" t="str">
        <f>""</f>
        <v/>
      </c>
      <c r="T1650" t="s">
        <v>41</v>
      </c>
      <c r="U1650">
        <v>211.85</v>
      </c>
      <c r="V1650">
        <v>211.85</v>
      </c>
      <c r="W1650">
        <v>211.85</v>
      </c>
      <c r="X1650">
        <v>0</v>
      </c>
      <c r="Y1650">
        <v>0</v>
      </c>
      <c r="Z1650">
        <v>-549</v>
      </c>
      <c r="AD1650" t="s">
        <v>3420</v>
      </c>
      <c r="AF1650" t="s">
        <v>3420</v>
      </c>
      <c r="AG1650">
        <v>65218095000160</v>
      </c>
      <c r="AH1650" t="s">
        <v>44</v>
      </c>
    </row>
    <row r="1651" spans="1:34" x14ac:dyDescent="0.3">
      <c r="A1651">
        <v>101</v>
      </c>
      <c r="B1651" t="s">
        <v>34</v>
      </c>
      <c r="C1651">
        <v>2</v>
      </c>
      <c r="D1651" s="1" t="s">
        <v>4843</v>
      </c>
      <c r="E1651" s="1" t="s">
        <v>116</v>
      </c>
      <c r="G1651">
        <v>470375</v>
      </c>
      <c r="H1651" t="s">
        <v>4815</v>
      </c>
      <c r="I1651" t="s">
        <v>4816</v>
      </c>
      <c r="J1651">
        <v>35</v>
      </c>
      <c r="K1651">
        <v>470375</v>
      </c>
      <c r="L1651">
        <v>50001</v>
      </c>
      <c r="M1651" t="s">
        <v>39</v>
      </c>
      <c r="N1651">
        <v>351</v>
      </c>
      <c r="O1651" s="2">
        <v>46211</v>
      </c>
      <c r="P1651" s="2">
        <v>46331</v>
      </c>
      <c r="R1651" t="s">
        <v>4844</v>
      </c>
      <c r="S1651" t="str">
        <f>"25666160000051404"</f>
        <v>25666160000051404</v>
      </c>
      <c r="T1651" t="s">
        <v>41</v>
      </c>
      <c r="U1651">
        <v>170.87</v>
      </c>
      <c r="V1651">
        <v>170.87</v>
      </c>
      <c r="W1651">
        <v>170.87</v>
      </c>
      <c r="X1651">
        <v>0</v>
      </c>
      <c r="Y1651">
        <v>0</v>
      </c>
      <c r="Z1651">
        <v>-556</v>
      </c>
      <c r="AA1651">
        <v>694036</v>
      </c>
      <c r="AD1651" t="s">
        <v>3420</v>
      </c>
      <c r="AF1651" t="s">
        <v>3420</v>
      </c>
      <c r="AG1651">
        <v>65218095000160</v>
      </c>
      <c r="AH1651" t="s">
        <v>44</v>
      </c>
    </row>
    <row r="1652" spans="1:34" x14ac:dyDescent="0.3">
      <c r="A1652">
        <v>101</v>
      </c>
      <c r="B1652" t="s">
        <v>34</v>
      </c>
      <c r="C1652">
        <v>2</v>
      </c>
      <c r="D1652" s="1" t="s">
        <v>4832</v>
      </c>
      <c r="E1652" s="1" t="s">
        <v>36</v>
      </c>
      <c r="G1652">
        <v>470375</v>
      </c>
      <c r="H1652" t="s">
        <v>4815</v>
      </c>
      <c r="I1652" t="s">
        <v>4816</v>
      </c>
      <c r="J1652">
        <v>35</v>
      </c>
      <c r="K1652">
        <v>470375</v>
      </c>
      <c r="L1652">
        <v>50001</v>
      </c>
      <c r="M1652" t="s">
        <v>39</v>
      </c>
      <c r="N1652">
        <v>351</v>
      </c>
      <c r="O1652" s="2">
        <v>46217</v>
      </c>
      <c r="P1652" s="2">
        <v>46277</v>
      </c>
      <c r="R1652" t="s">
        <v>4833</v>
      </c>
      <c r="S1652" t="str">
        <f>"25666160000051462"</f>
        <v>25666160000051462</v>
      </c>
      <c r="T1652" t="s">
        <v>41</v>
      </c>
      <c r="U1652">
        <v>66.680000000000007</v>
      </c>
      <c r="V1652">
        <v>66.680000000000007</v>
      </c>
      <c r="W1652">
        <v>66.680000000000007</v>
      </c>
      <c r="X1652">
        <v>0</v>
      </c>
      <c r="Y1652">
        <v>0</v>
      </c>
      <c r="Z1652">
        <v>-502</v>
      </c>
      <c r="AA1652">
        <v>694161</v>
      </c>
      <c r="AD1652" t="s">
        <v>3420</v>
      </c>
      <c r="AF1652" t="s">
        <v>3420</v>
      </c>
      <c r="AG1652">
        <v>65218095000160</v>
      </c>
      <c r="AH1652" t="s">
        <v>44</v>
      </c>
    </row>
    <row r="1653" spans="1:34" x14ac:dyDescent="0.3">
      <c r="A1653">
        <v>101</v>
      </c>
      <c r="B1653" t="s">
        <v>34</v>
      </c>
      <c r="C1653">
        <v>2</v>
      </c>
      <c r="D1653" s="1" t="s">
        <v>4830</v>
      </c>
      <c r="E1653" s="1" t="s">
        <v>116</v>
      </c>
      <c r="G1653">
        <v>470375</v>
      </c>
      <c r="H1653" t="s">
        <v>4815</v>
      </c>
      <c r="I1653" t="s">
        <v>4816</v>
      </c>
      <c r="J1653">
        <v>35</v>
      </c>
      <c r="K1653">
        <v>470375</v>
      </c>
      <c r="L1653">
        <v>50001</v>
      </c>
      <c r="M1653" t="s">
        <v>39</v>
      </c>
      <c r="N1653">
        <v>351</v>
      </c>
      <c r="O1653" s="2">
        <v>46217</v>
      </c>
      <c r="P1653" s="2">
        <v>46337</v>
      </c>
      <c r="R1653" t="s">
        <v>4831</v>
      </c>
      <c r="S1653" t="str">
        <f>"25666160000051461"</f>
        <v>25666160000051461</v>
      </c>
      <c r="T1653" t="s">
        <v>41</v>
      </c>
      <c r="U1653">
        <v>58.7</v>
      </c>
      <c r="V1653">
        <v>58.7</v>
      </c>
      <c r="W1653">
        <v>58.7</v>
      </c>
      <c r="X1653">
        <v>0</v>
      </c>
      <c r="Y1653">
        <v>0</v>
      </c>
      <c r="Z1653">
        <v>-562</v>
      </c>
      <c r="AA1653">
        <v>694149</v>
      </c>
      <c r="AD1653" t="s">
        <v>3420</v>
      </c>
      <c r="AF1653" t="s">
        <v>3420</v>
      </c>
      <c r="AG1653">
        <v>65218095000160</v>
      </c>
      <c r="AH1653" t="s">
        <v>44</v>
      </c>
    </row>
    <row r="1654" spans="1:34" x14ac:dyDescent="0.3">
      <c r="A1654">
        <v>101</v>
      </c>
      <c r="B1654" t="s">
        <v>34</v>
      </c>
      <c r="C1654">
        <v>2</v>
      </c>
      <c r="D1654" s="1" t="s">
        <v>4830</v>
      </c>
      <c r="E1654" s="1" t="s">
        <v>122</v>
      </c>
      <c r="G1654">
        <v>470375</v>
      </c>
      <c r="H1654" t="s">
        <v>4815</v>
      </c>
      <c r="I1654" t="s">
        <v>4816</v>
      </c>
      <c r="J1654">
        <v>35</v>
      </c>
      <c r="K1654">
        <v>470375</v>
      </c>
      <c r="L1654">
        <v>50001</v>
      </c>
      <c r="M1654" t="s">
        <v>39</v>
      </c>
      <c r="N1654">
        <v>351</v>
      </c>
      <c r="O1654" s="2">
        <v>46217</v>
      </c>
      <c r="P1654" s="2">
        <v>46307</v>
      </c>
      <c r="R1654" t="s">
        <v>4831</v>
      </c>
      <c r="S1654" t="str">
        <f>"25666160000051460"</f>
        <v>25666160000051460</v>
      </c>
      <c r="T1654" t="s">
        <v>41</v>
      </c>
      <c r="U1654">
        <v>58.67</v>
      </c>
      <c r="V1654">
        <v>58.67</v>
      </c>
      <c r="W1654">
        <v>58.67</v>
      </c>
      <c r="X1654">
        <v>0</v>
      </c>
      <c r="Y1654">
        <v>0</v>
      </c>
      <c r="Z1654">
        <v>-532</v>
      </c>
      <c r="AA1654">
        <v>694149</v>
      </c>
      <c r="AD1654" t="s">
        <v>3420</v>
      </c>
      <c r="AF1654" t="s">
        <v>3420</v>
      </c>
      <c r="AG1654">
        <v>65218095000160</v>
      </c>
      <c r="AH1654" t="s">
        <v>44</v>
      </c>
    </row>
    <row r="1655" spans="1:34" x14ac:dyDescent="0.3">
      <c r="A1655">
        <v>101</v>
      </c>
      <c r="B1655" t="s">
        <v>34</v>
      </c>
      <c r="C1655">
        <v>2</v>
      </c>
      <c r="D1655" s="1" t="s">
        <v>4832</v>
      </c>
      <c r="E1655" s="1" t="s">
        <v>122</v>
      </c>
      <c r="G1655">
        <v>470375</v>
      </c>
      <c r="H1655" t="s">
        <v>4815</v>
      </c>
      <c r="I1655" t="s">
        <v>4816</v>
      </c>
      <c r="J1655">
        <v>35</v>
      </c>
      <c r="K1655">
        <v>470375</v>
      </c>
      <c r="L1655">
        <v>50001</v>
      </c>
      <c r="M1655" t="s">
        <v>39</v>
      </c>
      <c r="N1655">
        <v>351</v>
      </c>
      <c r="O1655" s="2">
        <v>46217</v>
      </c>
      <c r="P1655" s="2">
        <v>46307</v>
      </c>
      <c r="R1655" t="s">
        <v>4833</v>
      </c>
      <c r="S1655" t="str">
        <f>"25666160000051463"</f>
        <v>25666160000051463</v>
      </c>
      <c r="T1655" t="s">
        <v>41</v>
      </c>
      <c r="U1655">
        <v>66.680000000000007</v>
      </c>
      <c r="V1655">
        <v>66.680000000000007</v>
      </c>
      <c r="W1655">
        <v>66.680000000000007</v>
      </c>
      <c r="X1655">
        <v>0</v>
      </c>
      <c r="Y1655">
        <v>0</v>
      </c>
      <c r="Z1655">
        <v>-532</v>
      </c>
      <c r="AA1655">
        <v>694161</v>
      </c>
      <c r="AD1655" t="s">
        <v>3420</v>
      </c>
      <c r="AF1655" t="s">
        <v>3420</v>
      </c>
      <c r="AG1655">
        <v>65218095000160</v>
      </c>
      <c r="AH1655" t="s">
        <v>44</v>
      </c>
    </row>
    <row r="1656" spans="1:34" x14ac:dyDescent="0.3">
      <c r="A1656">
        <v>101</v>
      </c>
      <c r="B1656" t="s">
        <v>34</v>
      </c>
      <c r="C1656">
        <v>2</v>
      </c>
      <c r="D1656" s="1" t="s">
        <v>4843</v>
      </c>
      <c r="E1656" s="1" t="s">
        <v>122</v>
      </c>
      <c r="G1656">
        <v>470375</v>
      </c>
      <c r="H1656" t="s">
        <v>4815</v>
      </c>
      <c r="I1656" t="s">
        <v>4816</v>
      </c>
      <c r="J1656">
        <v>35</v>
      </c>
      <c r="K1656">
        <v>470375</v>
      </c>
      <c r="L1656">
        <v>50001</v>
      </c>
      <c r="M1656" t="s">
        <v>39</v>
      </c>
      <c r="N1656">
        <v>351</v>
      </c>
      <c r="O1656" s="2">
        <v>46211</v>
      </c>
      <c r="P1656" s="2">
        <v>46301</v>
      </c>
      <c r="R1656" t="s">
        <v>4844</v>
      </c>
      <c r="S1656" t="str">
        <f>"25666160000051403"</f>
        <v>25666160000051403</v>
      </c>
      <c r="T1656" t="s">
        <v>41</v>
      </c>
      <c r="U1656">
        <v>170.83</v>
      </c>
      <c r="V1656">
        <v>170.83</v>
      </c>
      <c r="W1656">
        <v>170.83</v>
      </c>
      <c r="X1656">
        <v>0</v>
      </c>
      <c r="Y1656">
        <v>0</v>
      </c>
      <c r="Z1656">
        <v>-526</v>
      </c>
      <c r="AA1656">
        <v>694036</v>
      </c>
      <c r="AD1656" t="s">
        <v>3420</v>
      </c>
      <c r="AF1656" t="s">
        <v>3420</v>
      </c>
      <c r="AG1656">
        <v>65218095000160</v>
      </c>
      <c r="AH1656" t="s">
        <v>44</v>
      </c>
    </row>
    <row r="1657" spans="1:34" x14ac:dyDescent="0.3">
      <c r="A1657">
        <v>101</v>
      </c>
      <c r="B1657" t="s">
        <v>34</v>
      </c>
      <c r="C1657">
        <v>2</v>
      </c>
      <c r="D1657" s="1" t="s">
        <v>4843</v>
      </c>
      <c r="E1657" s="1" t="s">
        <v>36</v>
      </c>
      <c r="G1657">
        <v>470375</v>
      </c>
      <c r="H1657" t="s">
        <v>4815</v>
      </c>
      <c r="I1657" t="s">
        <v>4816</v>
      </c>
      <c r="J1657">
        <v>35</v>
      </c>
      <c r="K1657">
        <v>470375</v>
      </c>
      <c r="L1657">
        <v>50001</v>
      </c>
      <c r="M1657" t="s">
        <v>39</v>
      </c>
      <c r="N1657">
        <v>351</v>
      </c>
      <c r="O1657" s="2">
        <v>46211</v>
      </c>
      <c r="P1657" s="2">
        <v>46271</v>
      </c>
      <c r="R1657" t="s">
        <v>4844</v>
      </c>
      <c r="S1657" t="str">
        <f>"25666160000051402"</f>
        <v>25666160000051402</v>
      </c>
      <c r="T1657" t="s">
        <v>41</v>
      </c>
      <c r="U1657">
        <v>179.51</v>
      </c>
      <c r="V1657">
        <v>179.51</v>
      </c>
      <c r="W1657">
        <v>179.51</v>
      </c>
      <c r="X1657">
        <v>0</v>
      </c>
      <c r="Y1657">
        <v>0</v>
      </c>
      <c r="Z1657">
        <v>-496</v>
      </c>
      <c r="AA1657">
        <v>694036</v>
      </c>
      <c r="AD1657" t="s">
        <v>3420</v>
      </c>
      <c r="AF1657" t="s">
        <v>3420</v>
      </c>
      <c r="AG1657">
        <v>65218095000160</v>
      </c>
      <c r="AH1657" t="s">
        <v>44</v>
      </c>
    </row>
    <row r="1658" spans="1:34" x14ac:dyDescent="0.3">
      <c r="A1658">
        <v>101</v>
      </c>
      <c r="B1658" t="s">
        <v>34</v>
      </c>
      <c r="C1658">
        <v>2</v>
      </c>
      <c r="D1658" s="1" t="s">
        <v>4845</v>
      </c>
      <c r="E1658" s="1" t="s">
        <v>116</v>
      </c>
      <c r="G1658">
        <v>470375</v>
      </c>
      <c r="H1658" t="s">
        <v>4815</v>
      </c>
      <c r="I1658" t="s">
        <v>4816</v>
      </c>
      <c r="J1658">
        <v>35</v>
      </c>
      <c r="K1658">
        <v>470375</v>
      </c>
      <c r="L1658">
        <v>50001</v>
      </c>
      <c r="M1658" t="s">
        <v>39</v>
      </c>
      <c r="N1658">
        <v>351</v>
      </c>
      <c r="O1658" s="2">
        <v>46227</v>
      </c>
      <c r="P1658" s="2">
        <v>46347</v>
      </c>
      <c r="R1658" t="s">
        <v>4846</v>
      </c>
      <c r="S1658" t="str">
        <f>"25666160000051601"</f>
        <v>25666160000051601</v>
      </c>
      <c r="T1658" t="s">
        <v>41</v>
      </c>
      <c r="U1658">
        <v>537.27</v>
      </c>
      <c r="V1658">
        <v>537.27</v>
      </c>
      <c r="W1658">
        <v>537.27</v>
      </c>
      <c r="X1658">
        <v>0</v>
      </c>
      <c r="Y1658">
        <v>0</v>
      </c>
      <c r="Z1658">
        <v>-572</v>
      </c>
      <c r="AA1658">
        <v>695088</v>
      </c>
      <c r="AD1658" t="s">
        <v>3420</v>
      </c>
      <c r="AF1658" t="s">
        <v>3420</v>
      </c>
      <c r="AG1658">
        <v>65218095000160</v>
      </c>
      <c r="AH1658" t="s">
        <v>44</v>
      </c>
    </row>
    <row r="1659" spans="1:34" x14ac:dyDescent="0.3">
      <c r="A1659">
        <v>101</v>
      </c>
      <c r="B1659" t="s">
        <v>34</v>
      </c>
      <c r="C1659">
        <v>2</v>
      </c>
      <c r="D1659" s="1" t="s">
        <v>4845</v>
      </c>
      <c r="E1659" s="1" t="s">
        <v>122</v>
      </c>
      <c r="G1659">
        <v>470375</v>
      </c>
      <c r="H1659" t="s">
        <v>4815</v>
      </c>
      <c r="I1659" t="s">
        <v>4816</v>
      </c>
      <c r="J1659">
        <v>35</v>
      </c>
      <c r="K1659">
        <v>470375</v>
      </c>
      <c r="L1659">
        <v>50001</v>
      </c>
      <c r="M1659" t="s">
        <v>39</v>
      </c>
      <c r="N1659">
        <v>351</v>
      </c>
      <c r="O1659" s="2">
        <v>46227</v>
      </c>
      <c r="P1659" s="2">
        <v>46317</v>
      </c>
      <c r="R1659" t="s">
        <v>4846</v>
      </c>
      <c r="S1659" t="str">
        <f>"25666160000051600"</f>
        <v>25666160000051600</v>
      </c>
      <c r="T1659" t="s">
        <v>41</v>
      </c>
      <c r="U1659">
        <v>537.12</v>
      </c>
      <c r="V1659">
        <v>537.12</v>
      </c>
      <c r="W1659">
        <v>537.12</v>
      </c>
      <c r="X1659">
        <v>0</v>
      </c>
      <c r="Y1659">
        <v>0</v>
      </c>
      <c r="Z1659">
        <v>-542</v>
      </c>
      <c r="AA1659">
        <v>695088</v>
      </c>
      <c r="AD1659" t="s">
        <v>3420</v>
      </c>
      <c r="AF1659" t="s">
        <v>3420</v>
      </c>
      <c r="AG1659">
        <v>65218095000160</v>
      </c>
      <c r="AH1659" t="s">
        <v>44</v>
      </c>
    </row>
    <row r="1660" spans="1:34" x14ac:dyDescent="0.3">
      <c r="A1660">
        <v>101</v>
      </c>
      <c r="B1660" t="s">
        <v>34</v>
      </c>
      <c r="C1660">
        <v>2</v>
      </c>
      <c r="D1660" s="1" t="s">
        <v>4845</v>
      </c>
      <c r="E1660" s="1" t="s">
        <v>36</v>
      </c>
      <c r="G1660">
        <v>470375</v>
      </c>
      <c r="H1660" t="s">
        <v>4815</v>
      </c>
      <c r="I1660" t="s">
        <v>4816</v>
      </c>
      <c r="J1660">
        <v>35</v>
      </c>
      <c r="K1660">
        <v>470375</v>
      </c>
      <c r="L1660">
        <v>50001</v>
      </c>
      <c r="M1660" t="s">
        <v>39</v>
      </c>
      <c r="N1660">
        <v>351</v>
      </c>
      <c r="O1660" s="2">
        <v>46227</v>
      </c>
      <c r="P1660" s="2">
        <v>46287</v>
      </c>
      <c r="R1660" t="s">
        <v>4846</v>
      </c>
      <c r="S1660" t="str">
        <f>"25666160000051599"</f>
        <v>25666160000051599</v>
      </c>
      <c r="T1660" t="s">
        <v>41</v>
      </c>
      <c r="U1660">
        <v>626.1</v>
      </c>
      <c r="V1660">
        <v>626.1</v>
      </c>
      <c r="W1660">
        <v>626.1</v>
      </c>
      <c r="X1660">
        <v>0</v>
      </c>
      <c r="Y1660">
        <v>0</v>
      </c>
      <c r="Z1660">
        <v>-512</v>
      </c>
      <c r="AA1660">
        <v>695088</v>
      </c>
      <c r="AD1660" t="s">
        <v>3420</v>
      </c>
      <c r="AF1660" t="s">
        <v>3420</v>
      </c>
      <c r="AG1660">
        <v>65218095000160</v>
      </c>
      <c r="AH1660" t="s">
        <v>44</v>
      </c>
    </row>
    <row r="1661" spans="1:34" x14ac:dyDescent="0.3">
      <c r="A1661">
        <v>101</v>
      </c>
      <c r="B1661" t="s">
        <v>34</v>
      </c>
      <c r="C1661">
        <v>2</v>
      </c>
      <c r="D1661" s="1" t="s">
        <v>4847</v>
      </c>
      <c r="E1661" s="1" t="s">
        <v>36</v>
      </c>
      <c r="G1661">
        <v>470477</v>
      </c>
      <c r="H1661" t="s">
        <v>4848</v>
      </c>
      <c r="I1661" t="s">
        <v>4849</v>
      </c>
      <c r="J1661">
        <v>35</v>
      </c>
      <c r="K1661">
        <v>470477</v>
      </c>
      <c r="L1661">
        <v>95000</v>
      </c>
      <c r="M1661" t="s">
        <v>69</v>
      </c>
      <c r="N1661">
        <v>351</v>
      </c>
      <c r="O1661" s="2">
        <v>46238</v>
      </c>
      <c r="P1661" s="2">
        <v>46280</v>
      </c>
      <c r="R1661" t="s">
        <v>4850</v>
      </c>
      <c r="S1661" t="str">
        <f>""</f>
        <v/>
      </c>
      <c r="T1661" t="s">
        <v>41</v>
      </c>
      <c r="U1661">
        <v>2285.81</v>
      </c>
      <c r="V1661">
        <v>2285.81</v>
      </c>
      <c r="W1661">
        <v>2285.81</v>
      </c>
      <c r="X1661">
        <v>0</v>
      </c>
      <c r="Y1661">
        <v>0</v>
      </c>
      <c r="Z1661">
        <v>-505</v>
      </c>
      <c r="AA1661">
        <v>696099</v>
      </c>
      <c r="AD1661" t="s">
        <v>4649</v>
      </c>
      <c r="AE1661" t="s">
        <v>4752</v>
      </c>
      <c r="AF1661" t="s">
        <v>4649</v>
      </c>
      <c r="AG1661">
        <v>19174600000102</v>
      </c>
      <c r="AH1661" t="s">
        <v>3024</v>
      </c>
    </row>
    <row r="1662" spans="1:34" x14ac:dyDescent="0.3">
      <c r="A1662">
        <v>101</v>
      </c>
      <c r="B1662" t="s">
        <v>73</v>
      </c>
      <c r="C1662">
        <v>2</v>
      </c>
      <c r="D1662" t="s">
        <v>4851</v>
      </c>
      <c r="G1662">
        <v>470727</v>
      </c>
      <c r="H1662" t="s">
        <v>4852</v>
      </c>
      <c r="I1662" t="s">
        <v>4853</v>
      </c>
      <c r="J1662">
        <v>10</v>
      </c>
      <c r="K1662">
        <v>470727</v>
      </c>
      <c r="L1662">
        <v>10033</v>
      </c>
      <c r="M1662" t="s">
        <v>39</v>
      </c>
      <c r="N1662">
        <v>351</v>
      </c>
      <c r="O1662" s="2">
        <v>46226</v>
      </c>
      <c r="P1662" s="2">
        <v>46226</v>
      </c>
      <c r="R1662" t="s">
        <v>4854</v>
      </c>
      <c r="S1662" t="str">
        <f>""</f>
        <v/>
      </c>
      <c r="T1662" t="s">
        <v>41</v>
      </c>
      <c r="U1662">
        <v>-1954.69</v>
      </c>
      <c r="V1662">
        <v>-134.69999999999999</v>
      </c>
      <c r="W1662">
        <v>-134.69999999999999</v>
      </c>
      <c r="X1662">
        <v>0</v>
      </c>
      <c r="Y1662">
        <v>0</v>
      </c>
      <c r="Z1662">
        <v>-451</v>
      </c>
      <c r="AD1662" t="s">
        <v>42</v>
      </c>
      <c r="AF1662" t="s">
        <v>42</v>
      </c>
      <c r="AG1662">
        <v>33351215000106</v>
      </c>
      <c r="AH1662" t="s">
        <v>44</v>
      </c>
    </row>
    <row r="1663" spans="1:34" x14ac:dyDescent="0.3">
      <c r="A1663">
        <v>101</v>
      </c>
      <c r="B1663" t="s">
        <v>34</v>
      </c>
      <c r="C1663">
        <v>2</v>
      </c>
      <c r="D1663" s="1" t="s">
        <v>4855</v>
      </c>
      <c r="E1663" s="1" t="s">
        <v>36</v>
      </c>
      <c r="G1663">
        <v>470727</v>
      </c>
      <c r="H1663" t="s">
        <v>4852</v>
      </c>
      <c r="I1663" t="s">
        <v>4853</v>
      </c>
      <c r="J1663">
        <v>10</v>
      </c>
      <c r="K1663">
        <v>470727</v>
      </c>
      <c r="L1663">
        <v>95100</v>
      </c>
      <c r="M1663" t="s">
        <v>69</v>
      </c>
      <c r="N1663">
        <v>351</v>
      </c>
      <c r="O1663" s="2">
        <v>46255</v>
      </c>
      <c r="P1663" s="2">
        <v>46256</v>
      </c>
      <c r="R1663" t="s">
        <v>4856</v>
      </c>
      <c r="S1663" t="str">
        <f>""</f>
        <v/>
      </c>
      <c r="T1663" t="s">
        <v>41</v>
      </c>
      <c r="U1663">
        <v>855.31</v>
      </c>
      <c r="V1663">
        <v>855.31</v>
      </c>
      <c r="W1663">
        <v>855.31</v>
      </c>
      <c r="X1663">
        <v>0</v>
      </c>
      <c r="Y1663">
        <v>0</v>
      </c>
      <c r="Z1663">
        <v>-481</v>
      </c>
      <c r="AA1663">
        <v>697297</v>
      </c>
      <c r="AD1663" t="s">
        <v>42</v>
      </c>
      <c r="AF1663" t="s">
        <v>42</v>
      </c>
      <c r="AG1663">
        <v>33351215000106</v>
      </c>
      <c r="AH1663" t="s">
        <v>44</v>
      </c>
    </row>
    <row r="1664" spans="1:34" x14ac:dyDescent="0.3">
      <c r="A1664">
        <v>101</v>
      </c>
      <c r="B1664" t="s">
        <v>73</v>
      </c>
      <c r="C1664">
        <v>2</v>
      </c>
      <c r="D1664" t="s">
        <v>4857</v>
      </c>
      <c r="G1664">
        <v>470727</v>
      </c>
      <c r="H1664" t="s">
        <v>4852</v>
      </c>
      <c r="I1664" t="s">
        <v>4853</v>
      </c>
      <c r="J1664">
        <v>10</v>
      </c>
      <c r="K1664">
        <v>470727</v>
      </c>
      <c r="L1664">
        <v>10033</v>
      </c>
      <c r="M1664" t="s">
        <v>39</v>
      </c>
      <c r="N1664">
        <v>351</v>
      </c>
      <c r="O1664" s="2">
        <v>46254</v>
      </c>
      <c r="P1664" s="2">
        <v>46254</v>
      </c>
      <c r="R1664" t="s">
        <v>4858</v>
      </c>
      <c r="S1664" t="str">
        <f>""</f>
        <v/>
      </c>
      <c r="T1664" t="s">
        <v>41</v>
      </c>
      <c r="U1664">
        <v>-855.31</v>
      </c>
      <c r="V1664">
        <v>-855.31</v>
      </c>
      <c r="W1664">
        <v>-855.31</v>
      </c>
      <c r="X1664">
        <v>0</v>
      </c>
      <c r="Y1664">
        <v>0</v>
      </c>
      <c r="Z1664">
        <v>-479</v>
      </c>
      <c r="AD1664" t="s">
        <v>42</v>
      </c>
      <c r="AF1664" t="s">
        <v>42</v>
      </c>
      <c r="AG1664">
        <v>33351215000106</v>
      </c>
      <c r="AH1664" t="s">
        <v>44</v>
      </c>
    </row>
    <row r="1665" spans="1:34" x14ac:dyDescent="0.3">
      <c r="A1665">
        <v>101</v>
      </c>
      <c r="B1665" t="s">
        <v>34</v>
      </c>
      <c r="C1665">
        <v>2</v>
      </c>
      <c r="D1665" s="1" t="s">
        <v>4859</v>
      </c>
      <c r="E1665" s="1" t="s">
        <v>36</v>
      </c>
      <c r="G1665">
        <v>470762</v>
      </c>
      <c r="H1665" t="s">
        <v>4860</v>
      </c>
      <c r="I1665" t="s">
        <v>4861</v>
      </c>
      <c r="J1665">
        <v>35</v>
      </c>
      <c r="K1665">
        <v>470762</v>
      </c>
      <c r="L1665">
        <v>95000</v>
      </c>
      <c r="M1665" t="s">
        <v>69</v>
      </c>
      <c r="N1665">
        <v>351</v>
      </c>
      <c r="O1665" s="2">
        <v>46169</v>
      </c>
      <c r="P1665" s="2">
        <v>46249</v>
      </c>
      <c r="R1665" t="s">
        <v>4862</v>
      </c>
      <c r="S1665" t="str">
        <f>""</f>
        <v/>
      </c>
      <c r="T1665" t="s">
        <v>41</v>
      </c>
      <c r="U1665">
        <v>2131.91</v>
      </c>
      <c r="V1665">
        <v>234.36</v>
      </c>
      <c r="W1665">
        <v>234.36</v>
      </c>
      <c r="X1665">
        <v>0</v>
      </c>
      <c r="Y1665">
        <v>0</v>
      </c>
      <c r="Z1665">
        <v>-474</v>
      </c>
      <c r="AA1665">
        <v>689753</v>
      </c>
      <c r="AD1665" t="s">
        <v>4863</v>
      </c>
      <c r="AE1665" t="s">
        <v>4752</v>
      </c>
      <c r="AF1665" t="s">
        <v>4863</v>
      </c>
      <c r="AG1665" s="1" t="s">
        <v>4864</v>
      </c>
      <c r="AH1665" t="s">
        <v>423</v>
      </c>
    </row>
    <row r="1666" spans="1:34" x14ac:dyDescent="0.3">
      <c r="A1666">
        <v>101</v>
      </c>
      <c r="B1666" t="s">
        <v>34</v>
      </c>
      <c r="C1666">
        <v>2</v>
      </c>
      <c r="D1666" s="1" t="s">
        <v>4865</v>
      </c>
      <c r="E1666" s="1" t="s">
        <v>36</v>
      </c>
      <c r="G1666">
        <v>470784</v>
      </c>
      <c r="H1666" t="s">
        <v>4866</v>
      </c>
      <c r="I1666" t="s">
        <v>4867</v>
      </c>
      <c r="J1666">
        <v>35</v>
      </c>
      <c r="K1666">
        <v>470784</v>
      </c>
      <c r="L1666">
        <v>95000</v>
      </c>
      <c r="M1666" t="s">
        <v>69</v>
      </c>
      <c r="N1666">
        <v>351</v>
      </c>
      <c r="O1666" s="2">
        <v>46171</v>
      </c>
      <c r="P1666" s="2">
        <v>46249</v>
      </c>
      <c r="R1666" t="s">
        <v>4868</v>
      </c>
      <c r="S1666" t="str">
        <f>""</f>
        <v/>
      </c>
      <c r="T1666" t="s">
        <v>41</v>
      </c>
      <c r="U1666">
        <v>2069.23</v>
      </c>
      <c r="V1666">
        <v>176.28</v>
      </c>
      <c r="W1666">
        <v>176.28</v>
      </c>
      <c r="X1666">
        <v>0</v>
      </c>
      <c r="Y1666">
        <v>0</v>
      </c>
      <c r="Z1666">
        <v>-474</v>
      </c>
      <c r="AA1666">
        <v>690265</v>
      </c>
      <c r="AD1666" t="s">
        <v>4869</v>
      </c>
      <c r="AE1666" t="s">
        <v>4752</v>
      </c>
      <c r="AF1666" t="s">
        <v>4869</v>
      </c>
      <c r="AG1666">
        <v>23915979000123</v>
      </c>
      <c r="AH1666" t="s">
        <v>423</v>
      </c>
    </row>
    <row r="1667" spans="1:34" x14ac:dyDescent="0.3">
      <c r="A1667">
        <v>101</v>
      </c>
      <c r="B1667" t="s">
        <v>34</v>
      </c>
      <c r="C1667">
        <v>2</v>
      </c>
      <c r="D1667" s="1" t="s">
        <v>4870</v>
      </c>
      <c r="E1667" s="1" t="s">
        <v>36</v>
      </c>
      <c r="G1667">
        <v>470874</v>
      </c>
      <c r="H1667" t="s">
        <v>4871</v>
      </c>
      <c r="I1667" t="s">
        <v>4872</v>
      </c>
      <c r="J1667">
        <v>35</v>
      </c>
      <c r="K1667">
        <v>470874</v>
      </c>
      <c r="L1667">
        <v>95000</v>
      </c>
      <c r="M1667" t="s">
        <v>69</v>
      </c>
      <c r="N1667">
        <v>351</v>
      </c>
      <c r="O1667" s="2">
        <v>46192</v>
      </c>
      <c r="P1667" s="2">
        <v>46249</v>
      </c>
      <c r="R1667" t="s">
        <v>4873</v>
      </c>
      <c r="S1667" t="str">
        <f>""</f>
        <v/>
      </c>
      <c r="T1667" t="s">
        <v>41</v>
      </c>
      <c r="U1667">
        <v>2327.69</v>
      </c>
      <c r="V1667">
        <v>298.70999999999998</v>
      </c>
      <c r="W1667">
        <v>298.70999999999998</v>
      </c>
      <c r="X1667">
        <v>0</v>
      </c>
      <c r="Y1667">
        <v>0</v>
      </c>
      <c r="Z1667">
        <v>-474</v>
      </c>
      <c r="AA1667">
        <v>691786</v>
      </c>
      <c r="AD1667" t="s">
        <v>4874</v>
      </c>
      <c r="AE1667" t="s">
        <v>4752</v>
      </c>
      <c r="AF1667" t="s">
        <v>4874</v>
      </c>
      <c r="AG1667">
        <v>12078912000165</v>
      </c>
      <c r="AH1667" t="s">
        <v>423</v>
      </c>
    </row>
    <row r="1668" spans="1:34" x14ac:dyDescent="0.3">
      <c r="A1668">
        <v>101</v>
      </c>
      <c r="B1668" t="s">
        <v>34</v>
      </c>
      <c r="C1668">
        <v>2</v>
      </c>
      <c r="D1668" s="1" t="s">
        <v>4875</v>
      </c>
      <c r="E1668" s="1" t="s">
        <v>36</v>
      </c>
      <c r="G1668">
        <v>470993</v>
      </c>
      <c r="H1668" t="s">
        <v>4876</v>
      </c>
      <c r="I1668" t="s">
        <v>4877</v>
      </c>
      <c r="J1668">
        <v>35</v>
      </c>
      <c r="K1668">
        <v>470993</v>
      </c>
      <c r="L1668">
        <v>95000</v>
      </c>
      <c r="M1668" t="s">
        <v>69</v>
      </c>
      <c r="N1668">
        <v>351</v>
      </c>
      <c r="O1668" s="2">
        <v>46216</v>
      </c>
      <c r="P1668" s="2">
        <v>46280</v>
      </c>
      <c r="R1668" t="s">
        <v>4878</v>
      </c>
      <c r="S1668" t="str">
        <f>""</f>
        <v/>
      </c>
      <c r="T1668" t="s">
        <v>41</v>
      </c>
      <c r="U1668">
        <v>3353.6</v>
      </c>
      <c r="V1668">
        <v>3353.6</v>
      </c>
      <c r="W1668">
        <v>3353.6</v>
      </c>
      <c r="X1668">
        <v>0</v>
      </c>
      <c r="Y1668">
        <v>0</v>
      </c>
      <c r="Z1668">
        <v>-505</v>
      </c>
      <c r="AA1668">
        <v>694050</v>
      </c>
      <c r="AD1668" t="s">
        <v>4879</v>
      </c>
      <c r="AE1668" t="s">
        <v>4752</v>
      </c>
      <c r="AF1668" t="s">
        <v>4879</v>
      </c>
      <c r="AG1668">
        <v>42780553000316</v>
      </c>
      <c r="AH1668" t="s">
        <v>87</v>
      </c>
    </row>
    <row r="1669" spans="1:34" x14ac:dyDescent="0.3">
      <c r="A1669">
        <v>101</v>
      </c>
      <c r="B1669" t="s">
        <v>34</v>
      </c>
      <c r="C1669">
        <v>2</v>
      </c>
      <c r="D1669" s="1" t="s">
        <v>4880</v>
      </c>
      <c r="E1669" s="1" t="s">
        <v>36</v>
      </c>
      <c r="G1669">
        <v>471045</v>
      </c>
      <c r="H1669" t="s">
        <v>4881</v>
      </c>
      <c r="I1669" t="s">
        <v>4882</v>
      </c>
      <c r="J1669">
        <v>35</v>
      </c>
      <c r="K1669">
        <v>471045</v>
      </c>
      <c r="L1669">
        <v>95000</v>
      </c>
      <c r="M1669" t="s">
        <v>69</v>
      </c>
      <c r="N1669">
        <v>351</v>
      </c>
      <c r="O1669" s="2">
        <v>46218</v>
      </c>
      <c r="P1669" s="2">
        <v>46280</v>
      </c>
      <c r="R1669" t="s">
        <v>4883</v>
      </c>
      <c r="S1669" t="str">
        <f>""</f>
        <v/>
      </c>
      <c r="T1669" t="s">
        <v>41</v>
      </c>
      <c r="U1669">
        <v>1938.39</v>
      </c>
      <c r="V1669">
        <v>1938.39</v>
      </c>
      <c r="W1669">
        <v>1938.39</v>
      </c>
      <c r="X1669">
        <v>0</v>
      </c>
      <c r="Y1669">
        <v>0</v>
      </c>
      <c r="Z1669">
        <v>-505</v>
      </c>
      <c r="AA1669">
        <v>694172</v>
      </c>
      <c r="AD1669" t="s">
        <v>4884</v>
      </c>
      <c r="AE1669" t="s">
        <v>4752</v>
      </c>
      <c r="AF1669" t="s">
        <v>4884</v>
      </c>
      <c r="AG1669">
        <v>15948649000106</v>
      </c>
      <c r="AH1669" t="s">
        <v>423</v>
      </c>
    </row>
    <row r="1670" spans="1:34" x14ac:dyDescent="0.3">
      <c r="A1670">
        <v>101</v>
      </c>
      <c r="B1670" t="s">
        <v>34</v>
      </c>
      <c r="C1670">
        <v>2</v>
      </c>
      <c r="D1670" s="1" t="s">
        <v>4885</v>
      </c>
      <c r="E1670" s="1" t="s">
        <v>36</v>
      </c>
      <c r="G1670">
        <v>471070</v>
      </c>
      <c r="H1670" t="s">
        <v>4886</v>
      </c>
      <c r="I1670" t="s">
        <v>4887</v>
      </c>
      <c r="J1670">
        <v>35</v>
      </c>
      <c r="K1670">
        <v>471070</v>
      </c>
      <c r="L1670">
        <v>95000</v>
      </c>
      <c r="M1670" t="s">
        <v>69</v>
      </c>
      <c r="N1670">
        <v>351</v>
      </c>
      <c r="O1670" s="2">
        <v>46227</v>
      </c>
      <c r="P1670" s="2">
        <v>46280</v>
      </c>
      <c r="R1670" t="s">
        <v>4888</v>
      </c>
      <c r="S1670" t="str">
        <f>""</f>
        <v/>
      </c>
      <c r="T1670" t="s">
        <v>41</v>
      </c>
      <c r="U1670">
        <v>2515.2399999999998</v>
      </c>
      <c r="V1670">
        <v>2515.2399999999998</v>
      </c>
      <c r="W1670">
        <v>2515.2399999999998</v>
      </c>
      <c r="X1670">
        <v>0</v>
      </c>
      <c r="Y1670">
        <v>0</v>
      </c>
      <c r="Z1670">
        <v>-505</v>
      </c>
      <c r="AA1670">
        <v>694569</v>
      </c>
      <c r="AD1670" t="s">
        <v>4670</v>
      </c>
      <c r="AE1670" t="s">
        <v>4752</v>
      </c>
      <c r="AF1670" t="s">
        <v>4670</v>
      </c>
      <c r="AG1670">
        <v>65971685000169</v>
      </c>
      <c r="AH1670" t="s">
        <v>2745</v>
      </c>
    </row>
    <row r="1671" spans="1:34" x14ac:dyDescent="0.3">
      <c r="A1671">
        <v>101</v>
      </c>
      <c r="B1671" t="s">
        <v>34</v>
      </c>
      <c r="C1671">
        <v>2</v>
      </c>
      <c r="D1671" s="1" t="s">
        <v>4889</v>
      </c>
      <c r="E1671" s="1" t="s">
        <v>36</v>
      </c>
      <c r="G1671">
        <v>471084</v>
      </c>
      <c r="H1671" t="s">
        <v>4890</v>
      </c>
      <c r="I1671" t="s">
        <v>4891</v>
      </c>
      <c r="J1671">
        <v>35</v>
      </c>
      <c r="K1671">
        <v>471084</v>
      </c>
      <c r="L1671">
        <v>95000</v>
      </c>
      <c r="M1671" t="s">
        <v>69</v>
      </c>
      <c r="N1671">
        <v>351</v>
      </c>
      <c r="O1671" s="2">
        <v>46225</v>
      </c>
      <c r="P1671" s="2">
        <v>46280</v>
      </c>
      <c r="R1671" t="s">
        <v>4892</v>
      </c>
      <c r="S1671" t="str">
        <f>""</f>
        <v/>
      </c>
      <c r="T1671" t="s">
        <v>41</v>
      </c>
      <c r="U1671">
        <v>1892.16</v>
      </c>
      <c r="V1671">
        <v>1892.16</v>
      </c>
      <c r="W1671">
        <v>1892.16</v>
      </c>
      <c r="X1671">
        <v>0</v>
      </c>
      <c r="Y1671">
        <v>0</v>
      </c>
      <c r="Z1671">
        <v>-505</v>
      </c>
      <c r="AA1671">
        <v>694565</v>
      </c>
      <c r="AD1671" t="s">
        <v>915</v>
      </c>
      <c r="AE1671" t="s">
        <v>4752</v>
      </c>
      <c r="AF1671" t="s">
        <v>915</v>
      </c>
      <c r="AG1671">
        <v>31398994000250</v>
      </c>
      <c r="AH1671" t="s">
        <v>714</v>
      </c>
    </row>
    <row r="1672" spans="1:34" x14ac:dyDescent="0.3">
      <c r="A1672">
        <v>101</v>
      </c>
      <c r="B1672" t="s">
        <v>34</v>
      </c>
      <c r="C1672">
        <v>2</v>
      </c>
      <c r="D1672" s="1" t="s">
        <v>4893</v>
      </c>
      <c r="E1672" s="1" t="s">
        <v>36</v>
      </c>
      <c r="G1672">
        <v>471142</v>
      </c>
      <c r="H1672" t="s">
        <v>4894</v>
      </c>
      <c r="I1672" t="s">
        <v>4895</v>
      </c>
      <c r="J1672">
        <v>35</v>
      </c>
      <c r="K1672">
        <v>471142</v>
      </c>
      <c r="L1672">
        <v>95000</v>
      </c>
      <c r="M1672" t="s">
        <v>69</v>
      </c>
      <c r="N1672">
        <v>351</v>
      </c>
      <c r="O1672" s="2">
        <v>46238</v>
      </c>
      <c r="P1672" s="2">
        <v>46280</v>
      </c>
      <c r="R1672" t="s">
        <v>4896</v>
      </c>
      <c r="S1672" t="str">
        <f>""</f>
        <v/>
      </c>
      <c r="T1672" t="s">
        <v>41</v>
      </c>
      <c r="U1672">
        <v>2620.6999999999998</v>
      </c>
      <c r="V1672">
        <v>2620.6999999999998</v>
      </c>
      <c r="W1672">
        <v>2620.6999999999998</v>
      </c>
      <c r="X1672">
        <v>0</v>
      </c>
      <c r="Y1672">
        <v>0</v>
      </c>
      <c r="Z1672">
        <v>-505</v>
      </c>
      <c r="AA1672">
        <v>696101</v>
      </c>
      <c r="AD1672" t="s">
        <v>4897</v>
      </c>
      <c r="AE1672" t="s">
        <v>4752</v>
      </c>
      <c r="AF1672" t="s">
        <v>4897</v>
      </c>
      <c r="AG1672">
        <v>55438902000104</v>
      </c>
      <c r="AH1672" t="s">
        <v>3698</v>
      </c>
    </row>
    <row r="1673" spans="1:34" x14ac:dyDescent="0.3">
      <c r="A1673">
        <v>101</v>
      </c>
      <c r="B1673" t="s">
        <v>34</v>
      </c>
      <c r="C1673">
        <v>2</v>
      </c>
      <c r="D1673" s="1" t="s">
        <v>4898</v>
      </c>
      <c r="E1673" s="1" t="s">
        <v>36</v>
      </c>
      <c r="G1673">
        <v>471154</v>
      </c>
      <c r="H1673" t="s">
        <v>4899</v>
      </c>
      <c r="I1673" t="s">
        <v>4900</v>
      </c>
      <c r="J1673">
        <v>35</v>
      </c>
      <c r="K1673">
        <v>471154</v>
      </c>
      <c r="L1673">
        <v>95000</v>
      </c>
      <c r="M1673" t="s">
        <v>69</v>
      </c>
      <c r="N1673">
        <v>351</v>
      </c>
      <c r="O1673" s="2">
        <v>46245</v>
      </c>
      <c r="P1673" s="2">
        <v>46280</v>
      </c>
      <c r="R1673" t="s">
        <v>4901</v>
      </c>
      <c r="S1673" t="str">
        <f>""</f>
        <v/>
      </c>
      <c r="T1673" t="s">
        <v>41</v>
      </c>
      <c r="U1673">
        <v>2107.35</v>
      </c>
      <c r="V1673">
        <v>2107.35</v>
      </c>
      <c r="W1673">
        <v>2107.35</v>
      </c>
      <c r="X1673">
        <v>0</v>
      </c>
      <c r="Y1673">
        <v>0</v>
      </c>
      <c r="Z1673">
        <v>-505</v>
      </c>
      <c r="AA1673">
        <v>696444</v>
      </c>
      <c r="AD1673" t="s">
        <v>4902</v>
      </c>
      <c r="AE1673" t="s">
        <v>4752</v>
      </c>
      <c r="AF1673" t="s">
        <v>4902</v>
      </c>
      <c r="AG1673">
        <v>15337028000196</v>
      </c>
      <c r="AH1673" t="s">
        <v>423</v>
      </c>
    </row>
    <row r="1674" spans="1:34" x14ac:dyDescent="0.3">
      <c r="A1674">
        <v>101</v>
      </c>
      <c r="B1674" t="s">
        <v>73</v>
      </c>
      <c r="C1674">
        <v>2</v>
      </c>
      <c r="D1674" t="s">
        <v>4903</v>
      </c>
      <c r="G1674">
        <v>471159</v>
      </c>
      <c r="H1674" t="s">
        <v>4904</v>
      </c>
      <c r="I1674" t="s">
        <v>4905</v>
      </c>
      <c r="J1674">
        <v>35</v>
      </c>
      <c r="K1674">
        <v>471159</v>
      </c>
      <c r="L1674">
        <v>10237</v>
      </c>
      <c r="M1674" t="s">
        <v>39</v>
      </c>
      <c r="N1674">
        <v>351</v>
      </c>
      <c r="O1674" s="2">
        <v>46255</v>
      </c>
      <c r="P1674" s="2">
        <v>46255</v>
      </c>
      <c r="R1674" t="s">
        <v>4906</v>
      </c>
      <c r="S1674" t="str">
        <f>""</f>
        <v/>
      </c>
      <c r="T1674" t="s">
        <v>41</v>
      </c>
      <c r="U1674">
        <v>-29.74</v>
      </c>
      <c r="V1674">
        <v>-29.74</v>
      </c>
      <c r="W1674">
        <v>-29.74</v>
      </c>
      <c r="X1674">
        <v>0</v>
      </c>
      <c r="Y1674">
        <v>0</v>
      </c>
      <c r="Z1674">
        <v>-480</v>
      </c>
      <c r="AD1674" t="s">
        <v>42</v>
      </c>
      <c r="AE1674">
        <v>16997677588</v>
      </c>
      <c r="AG1674">
        <v>58809140893</v>
      </c>
      <c r="AH1674" t="s">
        <v>44</v>
      </c>
    </row>
    <row r="1675" spans="1:34" x14ac:dyDescent="0.3">
      <c r="A1675">
        <v>101</v>
      </c>
      <c r="B1675" t="s">
        <v>73</v>
      </c>
      <c r="C1675">
        <v>2</v>
      </c>
      <c r="D1675" t="s">
        <v>4907</v>
      </c>
      <c r="G1675">
        <v>471181</v>
      </c>
      <c r="H1675" t="s">
        <v>4908</v>
      </c>
      <c r="I1675" t="s">
        <v>4909</v>
      </c>
      <c r="J1675">
        <v>35</v>
      </c>
      <c r="K1675">
        <v>471181</v>
      </c>
      <c r="L1675">
        <v>10237</v>
      </c>
      <c r="M1675" t="s">
        <v>39</v>
      </c>
      <c r="N1675">
        <v>351</v>
      </c>
      <c r="O1675" s="2">
        <v>46247</v>
      </c>
      <c r="P1675" s="2">
        <v>46247</v>
      </c>
      <c r="R1675" t="s">
        <v>4910</v>
      </c>
      <c r="S1675" t="str">
        <f>""</f>
        <v/>
      </c>
      <c r="T1675" t="s">
        <v>41</v>
      </c>
      <c r="U1675">
        <v>-64.180000000000007</v>
      </c>
      <c r="V1675">
        <v>-2.19</v>
      </c>
      <c r="W1675">
        <v>-2.19</v>
      </c>
      <c r="X1675">
        <v>0</v>
      </c>
      <c r="Y1675">
        <v>0</v>
      </c>
      <c r="Z1675">
        <v>-472</v>
      </c>
      <c r="AD1675" t="s">
        <v>42</v>
      </c>
      <c r="AE1675">
        <v>16982510793</v>
      </c>
      <c r="AG1675">
        <v>38558110832</v>
      </c>
      <c r="AH1675" t="s">
        <v>44</v>
      </c>
    </row>
    <row r="1676" spans="1:34" x14ac:dyDescent="0.3">
      <c r="A1676">
        <v>101</v>
      </c>
      <c r="B1676" t="s">
        <v>34</v>
      </c>
      <c r="C1676">
        <v>2</v>
      </c>
      <c r="D1676" s="1" t="s">
        <v>4911</v>
      </c>
      <c r="E1676" s="1" t="s">
        <v>36</v>
      </c>
      <c r="G1676">
        <v>471200</v>
      </c>
      <c r="H1676" t="s">
        <v>4912</v>
      </c>
      <c r="I1676" t="s">
        <v>4913</v>
      </c>
      <c r="J1676">
        <v>35</v>
      </c>
      <c r="K1676">
        <v>471200</v>
      </c>
      <c r="L1676">
        <v>95000</v>
      </c>
      <c r="M1676" t="s">
        <v>69</v>
      </c>
      <c r="N1676">
        <v>351</v>
      </c>
      <c r="O1676" s="2">
        <v>46254</v>
      </c>
      <c r="P1676" s="2">
        <v>46255</v>
      </c>
      <c r="R1676" t="s">
        <v>4914</v>
      </c>
      <c r="S1676" t="str">
        <f>""</f>
        <v/>
      </c>
      <c r="T1676" t="s">
        <v>41</v>
      </c>
      <c r="U1676">
        <v>2150.4699999999998</v>
      </c>
      <c r="V1676">
        <v>2150.4699999999998</v>
      </c>
      <c r="W1676">
        <v>2150.4699999999998</v>
      </c>
      <c r="X1676">
        <v>0</v>
      </c>
      <c r="Y1676">
        <v>0</v>
      </c>
      <c r="Z1676">
        <v>-480</v>
      </c>
      <c r="AA1676">
        <v>696902</v>
      </c>
      <c r="AD1676" t="s">
        <v>4915</v>
      </c>
      <c r="AE1676" t="s">
        <v>4752</v>
      </c>
      <c r="AF1676" t="s">
        <v>4915</v>
      </c>
      <c r="AG1676">
        <v>58185084000165</v>
      </c>
      <c r="AH1676" t="s">
        <v>423</v>
      </c>
    </row>
    <row r="1677" spans="1:34" x14ac:dyDescent="0.3">
      <c r="A1677">
        <v>101</v>
      </c>
      <c r="B1677" t="s">
        <v>73</v>
      </c>
      <c r="C1677">
        <v>2</v>
      </c>
      <c r="D1677" t="s">
        <v>4916</v>
      </c>
      <c r="G1677">
        <v>471225</v>
      </c>
      <c r="H1677" t="s">
        <v>4917</v>
      </c>
      <c r="I1677" t="s">
        <v>4918</v>
      </c>
      <c r="J1677">
        <v>35</v>
      </c>
      <c r="K1677">
        <v>471225</v>
      </c>
      <c r="L1677">
        <v>10237</v>
      </c>
      <c r="M1677" t="s">
        <v>39</v>
      </c>
      <c r="N1677">
        <v>351</v>
      </c>
      <c r="O1677" s="2">
        <v>46254</v>
      </c>
      <c r="P1677" s="2">
        <v>46254</v>
      </c>
      <c r="R1677" t="s">
        <v>4688</v>
      </c>
      <c r="S1677" t="str">
        <f>""</f>
        <v/>
      </c>
      <c r="T1677" t="s">
        <v>41</v>
      </c>
      <c r="U1677">
        <v>-75.75</v>
      </c>
      <c r="V1677">
        <v>-75.75</v>
      </c>
      <c r="W1677">
        <v>-75.75</v>
      </c>
      <c r="X1677">
        <v>0</v>
      </c>
      <c r="Y1677">
        <v>0</v>
      </c>
      <c r="Z1677">
        <v>-479</v>
      </c>
      <c r="AD1677" t="s">
        <v>4685</v>
      </c>
      <c r="AE1677">
        <v>27996107667</v>
      </c>
      <c r="AG1677">
        <v>11450103774</v>
      </c>
      <c r="AH1677" t="s">
        <v>4686</v>
      </c>
    </row>
    <row r="1678" spans="1:34" x14ac:dyDescent="0.3">
      <c r="A1678">
        <v>101</v>
      </c>
      <c r="B1678" t="s">
        <v>34</v>
      </c>
      <c r="C1678">
        <v>2</v>
      </c>
      <c r="D1678" s="1" t="s">
        <v>4919</v>
      </c>
      <c r="E1678" s="1" t="s">
        <v>36</v>
      </c>
      <c r="G1678">
        <v>471225</v>
      </c>
      <c r="H1678" t="s">
        <v>4917</v>
      </c>
      <c r="I1678" t="s">
        <v>4918</v>
      </c>
      <c r="J1678">
        <v>35</v>
      </c>
      <c r="K1678">
        <v>471225</v>
      </c>
      <c r="L1678">
        <v>95000</v>
      </c>
      <c r="M1678" t="s">
        <v>69</v>
      </c>
      <c r="N1678">
        <v>351</v>
      </c>
      <c r="O1678" s="2">
        <v>46255</v>
      </c>
      <c r="P1678" s="2">
        <v>46256</v>
      </c>
      <c r="R1678" t="s">
        <v>4920</v>
      </c>
      <c r="S1678" t="str">
        <f>""</f>
        <v/>
      </c>
      <c r="T1678" t="s">
        <v>41</v>
      </c>
      <c r="U1678">
        <v>76.48</v>
      </c>
      <c r="V1678">
        <v>76.48</v>
      </c>
      <c r="W1678">
        <v>76.48</v>
      </c>
      <c r="X1678">
        <v>0</v>
      </c>
      <c r="Y1678">
        <v>0</v>
      </c>
      <c r="Z1678">
        <v>-481</v>
      </c>
      <c r="AA1678">
        <v>697263</v>
      </c>
      <c r="AD1678" t="s">
        <v>4685</v>
      </c>
      <c r="AE1678">
        <v>27996107667</v>
      </c>
      <c r="AG1678">
        <v>11450103774</v>
      </c>
      <c r="AH1678" t="s">
        <v>4686</v>
      </c>
    </row>
    <row r="1679" spans="1:34" x14ac:dyDescent="0.3">
      <c r="A1679">
        <v>101</v>
      </c>
      <c r="B1679" t="s">
        <v>34</v>
      </c>
      <c r="C1679">
        <v>2</v>
      </c>
      <c r="D1679" s="1" t="s">
        <v>4921</v>
      </c>
      <c r="E1679" s="1" t="s">
        <v>36</v>
      </c>
      <c r="G1679">
        <v>999000530</v>
      </c>
      <c r="H1679" t="s">
        <v>4922</v>
      </c>
      <c r="I1679" t="s">
        <v>4923</v>
      </c>
      <c r="J1679">
        <v>12</v>
      </c>
      <c r="K1679">
        <v>999000530</v>
      </c>
      <c r="L1679">
        <v>95000</v>
      </c>
      <c r="M1679" t="s">
        <v>69</v>
      </c>
      <c r="N1679">
        <v>351</v>
      </c>
      <c r="O1679" s="2">
        <v>46216</v>
      </c>
      <c r="P1679" s="2">
        <v>46249</v>
      </c>
      <c r="R1679" t="s">
        <v>4924</v>
      </c>
      <c r="S1679" t="str">
        <f>""</f>
        <v/>
      </c>
      <c r="T1679" t="s">
        <v>41</v>
      </c>
      <c r="U1679">
        <v>3489.05</v>
      </c>
      <c r="V1679">
        <v>429.08</v>
      </c>
      <c r="W1679">
        <v>429.08</v>
      </c>
      <c r="X1679">
        <v>0</v>
      </c>
      <c r="Y1679">
        <v>0</v>
      </c>
      <c r="Z1679">
        <v>-474</v>
      </c>
      <c r="AA1679">
        <v>693739</v>
      </c>
      <c r="AD1679" t="s">
        <v>4925</v>
      </c>
      <c r="AE1679" t="s">
        <v>4926</v>
      </c>
      <c r="AF1679" t="s">
        <v>4925</v>
      </c>
      <c r="AG1679" s="1" t="s">
        <v>4927</v>
      </c>
      <c r="AH1679" t="s">
        <v>311</v>
      </c>
    </row>
    <row r="1680" spans="1:34" x14ac:dyDescent="0.3">
      <c r="A1680">
        <v>101</v>
      </c>
      <c r="B1680" t="s">
        <v>34</v>
      </c>
      <c r="C1680">
        <v>2</v>
      </c>
      <c r="D1680" s="1" t="s">
        <v>4928</v>
      </c>
      <c r="E1680" s="1" t="s">
        <v>36</v>
      </c>
      <c r="G1680">
        <v>999002442</v>
      </c>
      <c r="H1680" t="s">
        <v>4929</v>
      </c>
      <c r="I1680" t="s">
        <v>4930</v>
      </c>
      <c r="J1680">
        <v>35</v>
      </c>
      <c r="K1680">
        <v>50076</v>
      </c>
      <c r="L1680">
        <v>95000</v>
      </c>
      <c r="M1680" t="s">
        <v>69</v>
      </c>
      <c r="N1680">
        <v>351</v>
      </c>
      <c r="O1680" s="2">
        <v>46202</v>
      </c>
      <c r="P1680" s="2">
        <v>46280</v>
      </c>
      <c r="R1680" t="s">
        <v>4931</v>
      </c>
      <c r="S1680" t="str">
        <f>""</f>
        <v/>
      </c>
      <c r="T1680" t="s">
        <v>41</v>
      </c>
      <c r="U1680">
        <v>3784.25</v>
      </c>
      <c r="V1680">
        <v>3784.25</v>
      </c>
      <c r="W1680">
        <v>3784.25</v>
      </c>
      <c r="X1680">
        <v>0</v>
      </c>
      <c r="Y1680">
        <v>0</v>
      </c>
      <c r="Z1680">
        <v>-505</v>
      </c>
      <c r="AA1680">
        <v>692645</v>
      </c>
      <c r="AD1680" t="s">
        <v>4380</v>
      </c>
      <c r="AE1680" t="s">
        <v>4932</v>
      </c>
      <c r="AF1680" t="s">
        <v>4380</v>
      </c>
      <c r="AG1680" s="1" t="s">
        <v>4933</v>
      </c>
      <c r="AH1680" t="s">
        <v>3024</v>
      </c>
    </row>
    <row r="1681" spans="1:34" x14ac:dyDescent="0.3">
      <c r="A1681">
        <v>101</v>
      </c>
      <c r="B1681" t="s">
        <v>34</v>
      </c>
      <c r="C1681">
        <v>2</v>
      </c>
      <c r="D1681" s="1" t="s">
        <v>4934</v>
      </c>
      <c r="E1681" s="1" t="s">
        <v>36</v>
      </c>
      <c r="G1681">
        <v>999002528</v>
      </c>
      <c r="H1681" t="s">
        <v>4935</v>
      </c>
      <c r="I1681" t="s">
        <v>4936</v>
      </c>
      <c r="J1681">
        <v>35</v>
      </c>
      <c r="K1681">
        <v>50076</v>
      </c>
      <c r="L1681">
        <v>95000</v>
      </c>
      <c r="M1681" t="s">
        <v>69</v>
      </c>
      <c r="N1681">
        <v>351</v>
      </c>
      <c r="O1681" s="2">
        <v>46171</v>
      </c>
      <c r="P1681" s="2">
        <v>46249</v>
      </c>
      <c r="R1681" t="s">
        <v>4937</v>
      </c>
      <c r="S1681" t="str">
        <f>""</f>
        <v/>
      </c>
      <c r="T1681" t="s">
        <v>41</v>
      </c>
      <c r="U1681">
        <v>156765</v>
      </c>
      <c r="V1681">
        <v>10635.42</v>
      </c>
      <c r="W1681">
        <v>10635.42</v>
      </c>
      <c r="X1681">
        <v>0</v>
      </c>
      <c r="Y1681">
        <v>0</v>
      </c>
      <c r="Z1681">
        <v>-474</v>
      </c>
      <c r="AA1681">
        <v>690261</v>
      </c>
      <c r="AD1681" t="s">
        <v>4380</v>
      </c>
      <c r="AE1681" t="s">
        <v>4938</v>
      </c>
      <c r="AF1681" t="s">
        <v>4380</v>
      </c>
      <c r="AG1681" s="1" t="s">
        <v>4939</v>
      </c>
      <c r="AH1681" t="s">
        <v>3024</v>
      </c>
    </row>
    <row r="1682" spans="1:34" x14ac:dyDescent="0.3">
      <c r="A1682">
        <v>101</v>
      </c>
      <c r="B1682" t="s">
        <v>34</v>
      </c>
      <c r="C1682">
        <v>2</v>
      </c>
      <c r="D1682" s="1" t="s">
        <v>4940</v>
      </c>
      <c r="E1682" s="1" t="s">
        <v>36</v>
      </c>
      <c r="G1682">
        <v>999002609</v>
      </c>
      <c r="H1682" t="s">
        <v>4941</v>
      </c>
      <c r="I1682" t="s">
        <v>4942</v>
      </c>
      <c r="J1682">
        <v>35</v>
      </c>
      <c r="K1682">
        <v>10538</v>
      </c>
      <c r="L1682">
        <v>95000</v>
      </c>
      <c r="M1682" t="s">
        <v>69</v>
      </c>
      <c r="N1682">
        <v>351</v>
      </c>
      <c r="O1682" s="2">
        <v>46216</v>
      </c>
      <c r="P1682" s="2">
        <v>46280</v>
      </c>
      <c r="R1682" t="s">
        <v>4943</v>
      </c>
      <c r="S1682" t="str">
        <f>""</f>
        <v/>
      </c>
      <c r="T1682" t="s">
        <v>41</v>
      </c>
      <c r="U1682">
        <v>3480.15</v>
      </c>
      <c r="V1682">
        <v>3480.15</v>
      </c>
      <c r="W1682">
        <v>3480.15</v>
      </c>
      <c r="X1682">
        <v>0</v>
      </c>
      <c r="Y1682">
        <v>0</v>
      </c>
      <c r="Z1682">
        <v>-505</v>
      </c>
      <c r="AA1682">
        <v>694048</v>
      </c>
      <c r="AD1682" t="s">
        <v>4863</v>
      </c>
      <c r="AE1682" t="s">
        <v>4944</v>
      </c>
      <c r="AF1682" t="s">
        <v>4863</v>
      </c>
      <c r="AG1682">
        <v>10478007000177</v>
      </c>
      <c r="AH1682" t="s">
        <v>423</v>
      </c>
    </row>
    <row r="1683" spans="1:34" x14ac:dyDescent="0.3">
      <c r="A1683">
        <v>101</v>
      </c>
      <c r="B1683" t="s">
        <v>34</v>
      </c>
      <c r="C1683">
        <v>2</v>
      </c>
      <c r="D1683" s="1" t="s">
        <v>4945</v>
      </c>
      <c r="E1683" s="1" t="s">
        <v>36</v>
      </c>
      <c r="G1683">
        <v>978</v>
      </c>
      <c r="H1683" t="s">
        <v>4946</v>
      </c>
      <c r="I1683" t="s">
        <v>4947</v>
      </c>
      <c r="J1683">
        <v>12</v>
      </c>
      <c r="K1683">
        <v>978</v>
      </c>
      <c r="L1683">
        <v>50001</v>
      </c>
      <c r="M1683" t="s">
        <v>39</v>
      </c>
      <c r="N1683">
        <v>358</v>
      </c>
      <c r="O1683" s="2">
        <v>46254</v>
      </c>
      <c r="P1683" s="2">
        <v>46296</v>
      </c>
      <c r="R1683" t="s">
        <v>4948</v>
      </c>
      <c r="S1683" t="str">
        <f>"25666160000051924"</f>
        <v>25666160000051924</v>
      </c>
      <c r="T1683" t="s">
        <v>41</v>
      </c>
      <c r="U1683">
        <v>1726.06</v>
      </c>
      <c r="V1683">
        <v>1726.06</v>
      </c>
      <c r="W1683">
        <v>1726.06</v>
      </c>
      <c r="X1683">
        <v>0</v>
      </c>
      <c r="Y1683">
        <v>0</v>
      </c>
      <c r="Z1683">
        <v>-521</v>
      </c>
      <c r="AA1683">
        <v>4823</v>
      </c>
      <c r="AD1683" t="s">
        <v>2286</v>
      </c>
      <c r="AE1683" t="s">
        <v>4949</v>
      </c>
      <c r="AF1683" t="s">
        <v>2286</v>
      </c>
      <c r="AG1683">
        <v>56508633000160</v>
      </c>
      <c r="AH1683" t="s">
        <v>44</v>
      </c>
    </row>
    <row r="1684" spans="1:34" x14ac:dyDescent="0.3">
      <c r="A1684">
        <v>101</v>
      </c>
      <c r="B1684" t="s">
        <v>34</v>
      </c>
      <c r="C1684">
        <v>2</v>
      </c>
      <c r="D1684" s="1" t="s">
        <v>4950</v>
      </c>
      <c r="E1684" s="1" t="s">
        <v>36</v>
      </c>
      <c r="G1684">
        <v>1034</v>
      </c>
      <c r="H1684" t="s">
        <v>4951</v>
      </c>
      <c r="I1684" t="s">
        <v>4952</v>
      </c>
      <c r="J1684">
        <v>12</v>
      </c>
      <c r="K1684">
        <v>1034</v>
      </c>
      <c r="L1684">
        <v>50033</v>
      </c>
      <c r="M1684" t="s">
        <v>39</v>
      </c>
      <c r="N1684">
        <v>358</v>
      </c>
      <c r="O1684" s="2">
        <v>46240</v>
      </c>
      <c r="P1684" s="2">
        <v>46275</v>
      </c>
      <c r="R1684" t="s">
        <v>4953</v>
      </c>
      <c r="S1684" t="str">
        <f>"0000050412698"</f>
        <v>0000050412698</v>
      </c>
      <c r="T1684" t="s">
        <v>41</v>
      </c>
      <c r="U1684">
        <v>4095.89</v>
      </c>
      <c r="V1684">
        <v>4095.89</v>
      </c>
      <c r="W1684">
        <v>4095.89</v>
      </c>
      <c r="X1684">
        <v>0</v>
      </c>
      <c r="Y1684">
        <v>0</v>
      </c>
      <c r="Z1684">
        <v>-500</v>
      </c>
      <c r="AA1684" t="s">
        <v>4954</v>
      </c>
      <c r="AD1684" t="s">
        <v>4955</v>
      </c>
      <c r="AE1684" t="s">
        <v>4956</v>
      </c>
      <c r="AF1684" t="s">
        <v>4955</v>
      </c>
      <c r="AG1684">
        <v>58224916000296</v>
      </c>
      <c r="AH1684" t="s">
        <v>44</v>
      </c>
    </row>
    <row r="1685" spans="1:34" x14ac:dyDescent="0.3">
      <c r="A1685">
        <v>101</v>
      </c>
      <c r="B1685" t="s">
        <v>34</v>
      </c>
      <c r="C1685">
        <v>2</v>
      </c>
      <c r="D1685" s="1" t="s">
        <v>4957</v>
      </c>
      <c r="E1685" s="1" t="s">
        <v>36</v>
      </c>
      <c r="G1685">
        <v>1072</v>
      </c>
      <c r="H1685" t="s">
        <v>4958</v>
      </c>
      <c r="I1685" t="s">
        <v>4959</v>
      </c>
      <c r="J1685">
        <v>12</v>
      </c>
      <c r="K1685">
        <v>1072</v>
      </c>
      <c r="L1685">
        <v>50033</v>
      </c>
      <c r="M1685" t="s">
        <v>39</v>
      </c>
      <c r="N1685">
        <v>358</v>
      </c>
      <c r="O1685" s="2">
        <v>46232</v>
      </c>
      <c r="P1685" s="2">
        <v>46260</v>
      </c>
      <c r="R1685" t="s">
        <v>4960</v>
      </c>
      <c r="S1685" t="str">
        <f>"0000050411454"</f>
        <v>0000050411454</v>
      </c>
      <c r="T1685" t="s">
        <v>41</v>
      </c>
      <c r="U1685">
        <v>2960.73</v>
      </c>
      <c r="V1685">
        <v>2960.73</v>
      </c>
      <c r="W1685">
        <v>2960.73</v>
      </c>
      <c r="X1685">
        <v>0</v>
      </c>
      <c r="Y1685">
        <v>0</v>
      </c>
      <c r="Z1685">
        <v>-485</v>
      </c>
      <c r="AA1685">
        <v>1883</v>
      </c>
      <c r="AD1685" t="s">
        <v>2286</v>
      </c>
      <c r="AE1685" t="s">
        <v>4961</v>
      </c>
      <c r="AF1685" t="s">
        <v>2286</v>
      </c>
      <c r="AG1685" s="1" t="s">
        <v>4962</v>
      </c>
      <c r="AH1685" t="s">
        <v>44</v>
      </c>
    </row>
    <row r="1686" spans="1:34" x14ac:dyDescent="0.3">
      <c r="A1686">
        <v>101</v>
      </c>
      <c r="B1686" t="s">
        <v>34</v>
      </c>
      <c r="C1686">
        <v>2</v>
      </c>
      <c r="D1686" s="1" t="s">
        <v>4957</v>
      </c>
      <c r="E1686" s="1" t="s">
        <v>122</v>
      </c>
      <c r="G1686">
        <v>1072</v>
      </c>
      <c r="H1686" t="s">
        <v>4958</v>
      </c>
      <c r="I1686" t="s">
        <v>4959</v>
      </c>
      <c r="J1686">
        <v>12</v>
      </c>
      <c r="K1686">
        <v>1072</v>
      </c>
      <c r="L1686">
        <v>50033</v>
      </c>
      <c r="M1686" t="s">
        <v>39</v>
      </c>
      <c r="N1686">
        <v>358</v>
      </c>
      <c r="O1686" s="2">
        <v>46232</v>
      </c>
      <c r="P1686" s="2">
        <v>46267</v>
      </c>
      <c r="R1686" t="s">
        <v>4960</v>
      </c>
      <c r="S1686" t="str">
        <f>"0000050411462"</f>
        <v>0000050411462</v>
      </c>
      <c r="T1686" t="s">
        <v>41</v>
      </c>
      <c r="U1686">
        <v>2848.1</v>
      </c>
      <c r="V1686">
        <v>2848.1</v>
      </c>
      <c r="W1686">
        <v>2848.1</v>
      </c>
      <c r="X1686">
        <v>0</v>
      </c>
      <c r="Y1686">
        <v>0</v>
      </c>
      <c r="Z1686">
        <v>-492</v>
      </c>
      <c r="AA1686">
        <v>1883</v>
      </c>
      <c r="AD1686" t="s">
        <v>2286</v>
      </c>
      <c r="AE1686" t="s">
        <v>4961</v>
      </c>
      <c r="AF1686" t="s">
        <v>2286</v>
      </c>
      <c r="AG1686" s="1" t="s">
        <v>4962</v>
      </c>
      <c r="AH1686" t="s">
        <v>44</v>
      </c>
    </row>
    <row r="1687" spans="1:34" x14ac:dyDescent="0.3">
      <c r="A1687">
        <v>101</v>
      </c>
      <c r="B1687" t="s">
        <v>34</v>
      </c>
      <c r="C1687">
        <v>2</v>
      </c>
      <c r="D1687" s="1" t="s">
        <v>4957</v>
      </c>
      <c r="E1687" s="1" t="s">
        <v>116</v>
      </c>
      <c r="G1687">
        <v>1072</v>
      </c>
      <c r="H1687" t="s">
        <v>4958</v>
      </c>
      <c r="I1687" t="s">
        <v>4959</v>
      </c>
      <c r="J1687">
        <v>12</v>
      </c>
      <c r="K1687">
        <v>1072</v>
      </c>
      <c r="L1687">
        <v>50033</v>
      </c>
      <c r="M1687" t="s">
        <v>39</v>
      </c>
      <c r="N1687">
        <v>358</v>
      </c>
      <c r="O1687" s="2">
        <v>46232</v>
      </c>
      <c r="P1687" s="2">
        <v>46274</v>
      </c>
      <c r="R1687" t="s">
        <v>4960</v>
      </c>
      <c r="S1687" t="str">
        <f>"0000050411470"</f>
        <v>0000050411470</v>
      </c>
      <c r="T1687" t="s">
        <v>41</v>
      </c>
      <c r="U1687">
        <v>2848.95</v>
      </c>
      <c r="V1687">
        <v>2848.95</v>
      </c>
      <c r="W1687">
        <v>2848.95</v>
      </c>
      <c r="X1687">
        <v>0</v>
      </c>
      <c r="Y1687">
        <v>0</v>
      </c>
      <c r="Z1687">
        <v>-499</v>
      </c>
      <c r="AA1687">
        <v>1883</v>
      </c>
      <c r="AD1687" t="s">
        <v>2286</v>
      </c>
      <c r="AE1687" t="s">
        <v>4961</v>
      </c>
      <c r="AF1687" t="s">
        <v>2286</v>
      </c>
      <c r="AG1687" s="1" t="s">
        <v>4962</v>
      </c>
      <c r="AH1687" t="s">
        <v>44</v>
      </c>
    </row>
    <row r="1688" spans="1:34" x14ac:dyDescent="0.3">
      <c r="A1688">
        <v>101</v>
      </c>
      <c r="B1688" t="s">
        <v>34</v>
      </c>
      <c r="C1688">
        <v>2</v>
      </c>
      <c r="D1688" s="1" t="s">
        <v>4963</v>
      </c>
      <c r="E1688" s="1" t="s">
        <v>36</v>
      </c>
      <c r="G1688">
        <v>11712</v>
      </c>
      <c r="H1688" t="s">
        <v>4964</v>
      </c>
      <c r="I1688" t="s">
        <v>4965</v>
      </c>
      <c r="J1688">
        <v>12</v>
      </c>
      <c r="K1688">
        <v>11712</v>
      </c>
      <c r="L1688">
        <v>50001</v>
      </c>
      <c r="M1688" t="s">
        <v>39</v>
      </c>
      <c r="N1688">
        <v>358</v>
      </c>
      <c r="O1688" s="2">
        <v>46235</v>
      </c>
      <c r="P1688" s="2">
        <v>46263</v>
      </c>
      <c r="R1688" t="s">
        <v>4966</v>
      </c>
      <c r="S1688" t="str">
        <f>"25666160000051724"</f>
        <v>25666160000051724</v>
      </c>
      <c r="T1688" t="s">
        <v>41</v>
      </c>
      <c r="U1688">
        <v>1970.6</v>
      </c>
      <c r="V1688">
        <v>1931.19</v>
      </c>
      <c r="W1688">
        <v>1931.19</v>
      </c>
      <c r="X1688">
        <v>0</v>
      </c>
      <c r="Y1688">
        <v>0</v>
      </c>
      <c r="Z1688">
        <v>-488</v>
      </c>
      <c r="AA1688">
        <v>4029</v>
      </c>
      <c r="AD1688" t="s">
        <v>4967</v>
      </c>
      <c r="AE1688" t="s">
        <v>4968</v>
      </c>
      <c r="AF1688" t="s">
        <v>4967</v>
      </c>
      <c r="AG1688">
        <v>46580221000187</v>
      </c>
      <c r="AH1688" t="s">
        <v>44</v>
      </c>
    </row>
    <row r="1689" spans="1:34" x14ac:dyDescent="0.3">
      <c r="A1689">
        <v>101</v>
      </c>
      <c r="B1689" t="s">
        <v>34</v>
      </c>
      <c r="C1689">
        <v>2</v>
      </c>
      <c r="D1689" s="1" t="s">
        <v>4969</v>
      </c>
      <c r="E1689" s="1" t="s">
        <v>36</v>
      </c>
      <c r="G1689">
        <v>436153</v>
      </c>
      <c r="H1689" t="s">
        <v>4970</v>
      </c>
      <c r="I1689" t="s">
        <v>4971</v>
      </c>
      <c r="J1689">
        <v>12</v>
      </c>
      <c r="K1689">
        <v>999000567</v>
      </c>
      <c r="L1689">
        <v>50001</v>
      </c>
      <c r="M1689" t="s">
        <v>39</v>
      </c>
      <c r="N1689">
        <v>358</v>
      </c>
      <c r="O1689" s="2">
        <v>46246</v>
      </c>
      <c r="P1689" s="2">
        <v>46281</v>
      </c>
      <c r="R1689" t="s">
        <v>4972</v>
      </c>
      <c r="S1689" t="str">
        <f>"25666160000051861"</f>
        <v>25666160000051861</v>
      </c>
      <c r="T1689" t="s">
        <v>41</v>
      </c>
      <c r="U1689">
        <v>1945.66</v>
      </c>
      <c r="V1689">
        <v>1945.66</v>
      </c>
      <c r="W1689">
        <v>1945.66</v>
      </c>
      <c r="X1689">
        <v>0</v>
      </c>
      <c r="Y1689">
        <v>0</v>
      </c>
      <c r="Z1689">
        <v>-506</v>
      </c>
      <c r="AA1689">
        <v>4445</v>
      </c>
      <c r="AD1689" t="s">
        <v>4973</v>
      </c>
      <c r="AE1689" t="s">
        <v>4974</v>
      </c>
      <c r="AF1689" t="s">
        <v>4973</v>
      </c>
      <c r="AG1689">
        <v>21603143000168</v>
      </c>
      <c r="AH1689" t="s">
        <v>44</v>
      </c>
    </row>
    <row r="1690" spans="1:34" x14ac:dyDescent="0.3">
      <c r="A1690">
        <v>101</v>
      </c>
      <c r="B1690" t="s">
        <v>34</v>
      </c>
      <c r="C1690">
        <v>2</v>
      </c>
      <c r="D1690" s="1" t="s">
        <v>4975</v>
      </c>
      <c r="E1690" s="1" t="s">
        <v>36</v>
      </c>
      <c r="G1690">
        <v>436154</v>
      </c>
      <c r="H1690" t="s">
        <v>4976</v>
      </c>
      <c r="I1690" t="s">
        <v>4977</v>
      </c>
      <c r="J1690">
        <v>12</v>
      </c>
      <c r="K1690">
        <v>999000567</v>
      </c>
      <c r="L1690">
        <v>50033</v>
      </c>
      <c r="M1690" t="s">
        <v>39</v>
      </c>
      <c r="N1690">
        <v>358</v>
      </c>
      <c r="O1690" s="2">
        <v>46246</v>
      </c>
      <c r="P1690" s="2">
        <v>46281</v>
      </c>
      <c r="R1690" t="s">
        <v>4978</v>
      </c>
      <c r="S1690" t="str">
        <f>"0000050413325"</f>
        <v>0000050413325</v>
      </c>
      <c r="T1690" t="s">
        <v>41</v>
      </c>
      <c r="U1690">
        <v>2161.79</v>
      </c>
      <c r="V1690">
        <v>2161.79</v>
      </c>
      <c r="W1690">
        <v>2161.79</v>
      </c>
      <c r="X1690">
        <v>0</v>
      </c>
      <c r="Y1690">
        <v>0</v>
      </c>
      <c r="Z1690">
        <v>-506</v>
      </c>
      <c r="AA1690">
        <v>4443</v>
      </c>
      <c r="AD1690" t="s">
        <v>4973</v>
      </c>
      <c r="AE1690">
        <v>1934417782</v>
      </c>
      <c r="AF1690" t="s">
        <v>4973</v>
      </c>
      <c r="AG1690" s="1" t="s">
        <v>4979</v>
      </c>
      <c r="AH1690" t="s">
        <v>44</v>
      </c>
    </row>
    <row r="1691" spans="1:34" x14ac:dyDescent="0.3">
      <c r="A1691">
        <v>101</v>
      </c>
      <c r="B1691" t="s">
        <v>34</v>
      </c>
      <c r="C1691">
        <v>2</v>
      </c>
      <c r="D1691" s="1" t="s">
        <v>4980</v>
      </c>
      <c r="E1691" s="1" t="s">
        <v>36</v>
      </c>
      <c r="G1691">
        <v>439377</v>
      </c>
      <c r="H1691" t="s">
        <v>4981</v>
      </c>
      <c r="I1691" t="s">
        <v>4982</v>
      </c>
      <c r="J1691">
        <v>12</v>
      </c>
      <c r="K1691">
        <v>10228</v>
      </c>
      <c r="L1691">
        <v>95000</v>
      </c>
      <c r="M1691" t="s">
        <v>69</v>
      </c>
      <c r="N1691">
        <v>358</v>
      </c>
      <c r="O1691" s="2">
        <v>46235</v>
      </c>
      <c r="P1691" s="2">
        <v>46295</v>
      </c>
      <c r="R1691" t="s">
        <v>4983</v>
      </c>
      <c r="S1691" t="str">
        <f>""</f>
        <v/>
      </c>
      <c r="T1691" t="s">
        <v>41</v>
      </c>
      <c r="U1691">
        <v>43418.38</v>
      </c>
      <c r="V1691">
        <v>38859.449999999997</v>
      </c>
      <c r="W1691">
        <v>38859.449999999997</v>
      </c>
      <c r="X1691">
        <v>0</v>
      </c>
      <c r="Y1691">
        <v>0</v>
      </c>
      <c r="Z1691">
        <v>-520</v>
      </c>
      <c r="AA1691">
        <v>4036</v>
      </c>
      <c r="AD1691" t="s">
        <v>4984</v>
      </c>
      <c r="AE1691" t="s">
        <v>4985</v>
      </c>
      <c r="AF1691" t="s">
        <v>4984</v>
      </c>
      <c r="AG1691">
        <v>61233151002802</v>
      </c>
      <c r="AH1691" t="s">
        <v>44</v>
      </c>
    </row>
    <row r="1692" spans="1:34" x14ac:dyDescent="0.3">
      <c r="A1692">
        <v>101</v>
      </c>
      <c r="B1692" t="s">
        <v>34</v>
      </c>
      <c r="C1692">
        <v>2</v>
      </c>
      <c r="D1692" s="1" t="s">
        <v>4986</v>
      </c>
      <c r="E1692" s="1" t="s">
        <v>36</v>
      </c>
      <c r="G1692">
        <v>439377</v>
      </c>
      <c r="H1692" t="s">
        <v>4981</v>
      </c>
      <c r="I1692" t="s">
        <v>4982</v>
      </c>
      <c r="J1692">
        <v>12</v>
      </c>
      <c r="K1692">
        <v>10228</v>
      </c>
      <c r="L1692">
        <v>95000</v>
      </c>
      <c r="M1692" t="s">
        <v>69</v>
      </c>
      <c r="N1692">
        <v>358</v>
      </c>
      <c r="O1692" s="2">
        <v>46198</v>
      </c>
      <c r="P1692" s="2">
        <v>46258</v>
      </c>
      <c r="R1692" t="s">
        <v>4987</v>
      </c>
      <c r="S1692" t="str">
        <f>""</f>
        <v/>
      </c>
      <c r="T1692" t="s">
        <v>41</v>
      </c>
      <c r="U1692">
        <v>69021.53</v>
      </c>
      <c r="V1692">
        <v>61774.27</v>
      </c>
      <c r="W1692">
        <v>61774.27</v>
      </c>
      <c r="X1692">
        <v>0</v>
      </c>
      <c r="Y1692">
        <v>0</v>
      </c>
      <c r="Z1692">
        <v>-483</v>
      </c>
      <c r="AA1692">
        <v>692705</v>
      </c>
      <c r="AD1692" t="s">
        <v>4984</v>
      </c>
      <c r="AE1692" t="s">
        <v>4985</v>
      </c>
      <c r="AF1692" t="s">
        <v>4984</v>
      </c>
      <c r="AG1692">
        <v>61233151002802</v>
      </c>
      <c r="AH1692" t="s">
        <v>44</v>
      </c>
    </row>
    <row r="1693" spans="1:34" x14ac:dyDescent="0.3">
      <c r="A1693">
        <v>101</v>
      </c>
      <c r="B1693" t="s">
        <v>34</v>
      </c>
      <c r="C1693">
        <v>2</v>
      </c>
      <c r="D1693" s="1" t="s">
        <v>4988</v>
      </c>
      <c r="E1693" s="1" t="s">
        <v>36</v>
      </c>
      <c r="G1693">
        <v>451432</v>
      </c>
      <c r="H1693" t="s">
        <v>4989</v>
      </c>
      <c r="I1693" t="s">
        <v>4990</v>
      </c>
      <c r="J1693">
        <v>12</v>
      </c>
      <c r="K1693">
        <v>11712</v>
      </c>
      <c r="L1693">
        <v>50001</v>
      </c>
      <c r="M1693" t="s">
        <v>39</v>
      </c>
      <c r="N1693">
        <v>358</v>
      </c>
      <c r="O1693" s="2">
        <v>46235</v>
      </c>
      <c r="P1693" s="2">
        <v>46263</v>
      </c>
      <c r="R1693" t="s">
        <v>4991</v>
      </c>
      <c r="S1693" t="str">
        <f>"25666160000051733"</f>
        <v>25666160000051733</v>
      </c>
      <c r="T1693" t="s">
        <v>41</v>
      </c>
      <c r="U1693">
        <v>1765.32</v>
      </c>
      <c r="V1693">
        <v>1730.01</v>
      </c>
      <c r="W1693">
        <v>1730.01</v>
      </c>
      <c r="X1693">
        <v>0</v>
      </c>
      <c r="Y1693">
        <v>0</v>
      </c>
      <c r="Z1693">
        <v>-488</v>
      </c>
      <c r="AA1693">
        <v>4030</v>
      </c>
      <c r="AD1693" t="s">
        <v>4992</v>
      </c>
      <c r="AE1693" t="s">
        <v>4993</v>
      </c>
      <c r="AF1693" t="s">
        <v>4992</v>
      </c>
      <c r="AG1693">
        <v>32377485000395</v>
      </c>
      <c r="AH1693" t="s">
        <v>44</v>
      </c>
    </row>
    <row r="1694" spans="1:34" x14ac:dyDescent="0.3">
      <c r="A1694">
        <v>101</v>
      </c>
      <c r="B1694" t="s">
        <v>34</v>
      </c>
      <c r="C1694">
        <v>2</v>
      </c>
      <c r="D1694" s="1" t="s">
        <v>4994</v>
      </c>
      <c r="E1694" s="1" t="s">
        <v>36</v>
      </c>
      <c r="G1694">
        <v>451494</v>
      </c>
      <c r="H1694" t="s">
        <v>4995</v>
      </c>
      <c r="I1694" t="s">
        <v>4990</v>
      </c>
      <c r="J1694">
        <v>12</v>
      </c>
      <c r="K1694">
        <v>11712</v>
      </c>
      <c r="L1694">
        <v>50001</v>
      </c>
      <c r="M1694" t="s">
        <v>39</v>
      </c>
      <c r="N1694">
        <v>358</v>
      </c>
      <c r="O1694" s="2">
        <v>46235</v>
      </c>
      <c r="P1694" s="2">
        <v>46270</v>
      </c>
      <c r="R1694" t="s">
        <v>4996</v>
      </c>
      <c r="S1694" t="str">
        <f>"25666160000051734"</f>
        <v>25666160000051734</v>
      </c>
      <c r="T1694" t="s">
        <v>41</v>
      </c>
      <c r="U1694">
        <v>1772.59</v>
      </c>
      <c r="V1694">
        <v>1737.14</v>
      </c>
      <c r="W1694">
        <v>1737.14</v>
      </c>
      <c r="X1694">
        <v>0</v>
      </c>
      <c r="Y1694">
        <v>0</v>
      </c>
      <c r="Z1694">
        <v>-495</v>
      </c>
      <c r="AA1694">
        <v>4032</v>
      </c>
      <c r="AD1694" t="s">
        <v>4997</v>
      </c>
      <c r="AE1694" t="s">
        <v>4968</v>
      </c>
      <c r="AF1694" t="s">
        <v>4997</v>
      </c>
      <c r="AG1694">
        <v>32377485000123</v>
      </c>
      <c r="AH1694" t="s">
        <v>44</v>
      </c>
    </row>
    <row r="1695" spans="1:34" x14ac:dyDescent="0.3">
      <c r="A1695">
        <v>101</v>
      </c>
      <c r="B1695" t="s">
        <v>34</v>
      </c>
      <c r="C1695">
        <v>2</v>
      </c>
      <c r="D1695" s="1" t="s">
        <v>4998</v>
      </c>
      <c r="E1695" s="1" t="s">
        <v>36</v>
      </c>
      <c r="G1695">
        <v>999000567</v>
      </c>
      <c r="H1695" t="s">
        <v>4999</v>
      </c>
      <c r="I1695" t="s">
        <v>5000</v>
      </c>
      <c r="J1695">
        <v>12</v>
      </c>
      <c r="K1695">
        <v>999000567</v>
      </c>
      <c r="L1695">
        <v>50001</v>
      </c>
      <c r="M1695" t="s">
        <v>39</v>
      </c>
      <c r="N1695">
        <v>358</v>
      </c>
      <c r="O1695" s="2">
        <v>46246</v>
      </c>
      <c r="P1695" s="2">
        <v>46281</v>
      </c>
      <c r="R1695" t="s">
        <v>5001</v>
      </c>
      <c r="S1695" t="str">
        <f>"25666160000051870"</f>
        <v>25666160000051870</v>
      </c>
      <c r="T1695" t="s">
        <v>41</v>
      </c>
      <c r="U1695">
        <v>2436.73</v>
      </c>
      <c r="V1695">
        <v>2436.73</v>
      </c>
      <c r="W1695">
        <v>2436.73</v>
      </c>
      <c r="X1695">
        <v>0</v>
      </c>
      <c r="Y1695">
        <v>0</v>
      </c>
      <c r="Z1695">
        <v>-506</v>
      </c>
      <c r="AA1695">
        <v>4444</v>
      </c>
      <c r="AD1695" t="s">
        <v>4973</v>
      </c>
      <c r="AE1695" t="s">
        <v>5002</v>
      </c>
      <c r="AF1695" t="s">
        <v>4973</v>
      </c>
      <c r="AG1695">
        <v>66765488000156</v>
      </c>
      <c r="AH1695" t="s">
        <v>44</v>
      </c>
    </row>
    <row r="1696" spans="1:34" x14ac:dyDescent="0.3">
      <c r="A1696">
        <v>104</v>
      </c>
      <c r="B1696" t="s">
        <v>34</v>
      </c>
      <c r="C1696">
        <v>4</v>
      </c>
      <c r="D1696" s="1" t="s">
        <v>5003</v>
      </c>
      <c r="E1696" s="1" t="s">
        <v>116</v>
      </c>
      <c r="G1696">
        <v>436741</v>
      </c>
      <c r="H1696" t="s">
        <v>5004</v>
      </c>
      <c r="I1696" t="s">
        <v>5005</v>
      </c>
      <c r="J1696">
        <v>15</v>
      </c>
      <c r="K1696">
        <v>433927</v>
      </c>
      <c r="L1696">
        <v>50033</v>
      </c>
      <c r="M1696" t="s">
        <v>39</v>
      </c>
      <c r="N1696">
        <v>363</v>
      </c>
      <c r="O1696" s="2">
        <v>46230</v>
      </c>
      <c r="P1696" s="2">
        <v>46307</v>
      </c>
      <c r="R1696" t="s">
        <v>5006</v>
      </c>
      <c r="S1696" t="str">
        <f>"0000050410962"</f>
        <v>0000050410962</v>
      </c>
      <c r="T1696" t="s">
        <v>41</v>
      </c>
      <c r="U1696">
        <v>34866.89</v>
      </c>
      <c r="V1696">
        <v>34866.89</v>
      </c>
      <c r="W1696">
        <v>34866.89</v>
      </c>
      <c r="X1696">
        <v>0</v>
      </c>
      <c r="Y1696">
        <v>0</v>
      </c>
      <c r="Z1696">
        <v>-532</v>
      </c>
      <c r="AA1696" t="s">
        <v>5007</v>
      </c>
      <c r="AD1696" t="s">
        <v>5008</v>
      </c>
      <c r="AE1696" t="s">
        <v>5009</v>
      </c>
      <c r="AF1696" t="s">
        <v>5008</v>
      </c>
      <c r="AG1696">
        <v>21128736000110</v>
      </c>
      <c r="AH1696" t="s">
        <v>3530</v>
      </c>
    </row>
    <row r="1697" spans="1:34" x14ac:dyDescent="0.3">
      <c r="A1697">
        <v>104</v>
      </c>
      <c r="B1697" t="s">
        <v>34</v>
      </c>
      <c r="C1697">
        <v>4</v>
      </c>
      <c r="D1697" s="1" t="s">
        <v>5010</v>
      </c>
      <c r="E1697" s="1" t="s">
        <v>4375</v>
      </c>
      <c r="G1697">
        <v>436741</v>
      </c>
      <c r="H1697" t="s">
        <v>5004</v>
      </c>
      <c r="I1697" t="s">
        <v>5005</v>
      </c>
      <c r="J1697">
        <v>15</v>
      </c>
      <c r="K1697">
        <v>433927</v>
      </c>
      <c r="L1697">
        <v>50033</v>
      </c>
      <c r="M1697" t="s">
        <v>39</v>
      </c>
      <c r="N1697">
        <v>363</v>
      </c>
      <c r="O1697" s="2">
        <v>46230</v>
      </c>
      <c r="P1697" s="2">
        <v>46315</v>
      </c>
      <c r="R1697" t="s">
        <v>5011</v>
      </c>
      <c r="S1697" t="str">
        <f>"0000050411012"</f>
        <v>0000050411012</v>
      </c>
      <c r="T1697" t="s">
        <v>41</v>
      </c>
      <c r="U1697">
        <v>700</v>
      </c>
      <c r="V1697">
        <v>700</v>
      </c>
      <c r="W1697">
        <v>700</v>
      </c>
      <c r="X1697">
        <v>0</v>
      </c>
      <c r="Y1697">
        <v>0</v>
      </c>
      <c r="Z1697">
        <v>-540</v>
      </c>
      <c r="AA1697">
        <v>1753</v>
      </c>
      <c r="AD1697" t="s">
        <v>5008</v>
      </c>
      <c r="AE1697" t="s">
        <v>5009</v>
      </c>
      <c r="AF1697" t="s">
        <v>5008</v>
      </c>
      <c r="AG1697">
        <v>21128736000110</v>
      </c>
      <c r="AH1697" t="s">
        <v>3530</v>
      </c>
    </row>
    <row r="1698" spans="1:34" x14ac:dyDescent="0.3">
      <c r="A1698">
        <v>104</v>
      </c>
      <c r="B1698" t="s">
        <v>34</v>
      </c>
      <c r="C1698">
        <v>4</v>
      </c>
      <c r="D1698" s="1" t="s">
        <v>5010</v>
      </c>
      <c r="E1698" s="1" t="s">
        <v>116</v>
      </c>
      <c r="G1698">
        <v>436741</v>
      </c>
      <c r="H1698" t="s">
        <v>5004</v>
      </c>
      <c r="I1698" t="s">
        <v>5005</v>
      </c>
      <c r="J1698">
        <v>15</v>
      </c>
      <c r="K1698">
        <v>433927</v>
      </c>
      <c r="L1698">
        <v>50033</v>
      </c>
      <c r="M1698" t="s">
        <v>39</v>
      </c>
      <c r="N1698">
        <v>363</v>
      </c>
      <c r="O1698" s="2">
        <v>46230</v>
      </c>
      <c r="P1698" s="2">
        <v>46307</v>
      </c>
      <c r="R1698" t="s">
        <v>5011</v>
      </c>
      <c r="S1698" t="str">
        <f>"0000050411004"</f>
        <v>0000050411004</v>
      </c>
      <c r="T1698" t="s">
        <v>41</v>
      </c>
      <c r="U1698">
        <v>700</v>
      </c>
      <c r="V1698">
        <v>700</v>
      </c>
      <c r="W1698">
        <v>700</v>
      </c>
      <c r="X1698">
        <v>0</v>
      </c>
      <c r="Y1698">
        <v>0</v>
      </c>
      <c r="Z1698">
        <v>-532</v>
      </c>
      <c r="AA1698">
        <v>1753</v>
      </c>
      <c r="AD1698" t="s">
        <v>5008</v>
      </c>
      <c r="AE1698" t="s">
        <v>5009</v>
      </c>
      <c r="AF1698" t="s">
        <v>5008</v>
      </c>
      <c r="AG1698">
        <v>21128736000110</v>
      </c>
      <c r="AH1698" t="s">
        <v>3530</v>
      </c>
    </row>
    <row r="1699" spans="1:34" x14ac:dyDescent="0.3">
      <c r="A1699">
        <v>104</v>
      </c>
      <c r="B1699" t="s">
        <v>34</v>
      </c>
      <c r="C1699">
        <v>4</v>
      </c>
      <c r="D1699" s="1" t="s">
        <v>5010</v>
      </c>
      <c r="E1699" s="1" t="s">
        <v>122</v>
      </c>
      <c r="G1699">
        <v>436741</v>
      </c>
      <c r="H1699" t="s">
        <v>5004</v>
      </c>
      <c r="I1699" t="s">
        <v>5005</v>
      </c>
      <c r="J1699">
        <v>15</v>
      </c>
      <c r="K1699">
        <v>433927</v>
      </c>
      <c r="L1699">
        <v>50033</v>
      </c>
      <c r="M1699" t="s">
        <v>39</v>
      </c>
      <c r="N1699">
        <v>363</v>
      </c>
      <c r="O1699" s="2">
        <v>46230</v>
      </c>
      <c r="P1699" s="2">
        <v>46295</v>
      </c>
      <c r="R1699" t="s">
        <v>5011</v>
      </c>
      <c r="S1699" t="str">
        <f>"0000050410997"</f>
        <v>0000050410997</v>
      </c>
      <c r="T1699" t="s">
        <v>41</v>
      </c>
      <c r="U1699">
        <v>700</v>
      </c>
      <c r="V1699">
        <v>700</v>
      </c>
      <c r="W1699">
        <v>700</v>
      </c>
      <c r="X1699">
        <v>0</v>
      </c>
      <c r="Y1699">
        <v>0</v>
      </c>
      <c r="Z1699">
        <v>-520</v>
      </c>
      <c r="AA1699">
        <v>1753</v>
      </c>
      <c r="AD1699" t="s">
        <v>5008</v>
      </c>
      <c r="AE1699" t="s">
        <v>5009</v>
      </c>
      <c r="AF1699" t="s">
        <v>5008</v>
      </c>
      <c r="AG1699">
        <v>21128736000110</v>
      </c>
      <c r="AH1699" t="s">
        <v>3530</v>
      </c>
    </row>
    <row r="1700" spans="1:34" x14ac:dyDescent="0.3">
      <c r="A1700">
        <v>104</v>
      </c>
      <c r="B1700" t="s">
        <v>34</v>
      </c>
      <c r="C1700">
        <v>4</v>
      </c>
      <c r="D1700" s="1" t="s">
        <v>5012</v>
      </c>
      <c r="E1700" s="1" t="s">
        <v>116</v>
      </c>
      <c r="G1700">
        <v>436741</v>
      </c>
      <c r="H1700" t="s">
        <v>5004</v>
      </c>
      <c r="I1700" t="s">
        <v>5005</v>
      </c>
      <c r="J1700">
        <v>15</v>
      </c>
      <c r="K1700">
        <v>433927</v>
      </c>
      <c r="L1700">
        <v>50033</v>
      </c>
      <c r="M1700" t="s">
        <v>39</v>
      </c>
      <c r="N1700">
        <v>363</v>
      </c>
      <c r="O1700" s="2">
        <v>46197</v>
      </c>
      <c r="P1700" s="2">
        <v>46272</v>
      </c>
      <c r="R1700" t="s">
        <v>5013</v>
      </c>
      <c r="S1700" t="str">
        <f>"0000050407376"</f>
        <v>0000050407376</v>
      </c>
      <c r="T1700" t="s">
        <v>41</v>
      </c>
      <c r="U1700">
        <v>40748.269999999997</v>
      </c>
      <c r="V1700">
        <v>40748.269999999997</v>
      </c>
      <c r="W1700">
        <v>40748.269999999997</v>
      </c>
      <c r="X1700">
        <v>0</v>
      </c>
      <c r="Y1700">
        <v>0</v>
      </c>
      <c r="Z1700">
        <v>-497</v>
      </c>
      <c r="AA1700" t="s">
        <v>5014</v>
      </c>
      <c r="AD1700" t="s">
        <v>5008</v>
      </c>
      <c r="AE1700" t="s">
        <v>5009</v>
      </c>
      <c r="AF1700" t="s">
        <v>5008</v>
      </c>
      <c r="AG1700">
        <v>21128736000110</v>
      </c>
      <c r="AH1700" t="s">
        <v>3530</v>
      </c>
    </row>
    <row r="1701" spans="1:34" x14ac:dyDescent="0.3">
      <c r="A1701">
        <v>104</v>
      </c>
      <c r="B1701" t="s">
        <v>34</v>
      </c>
      <c r="C1701">
        <v>4</v>
      </c>
      <c r="D1701" s="1" t="s">
        <v>5003</v>
      </c>
      <c r="E1701" s="1" t="s">
        <v>4375</v>
      </c>
      <c r="G1701">
        <v>436741</v>
      </c>
      <c r="H1701" t="s">
        <v>5004</v>
      </c>
      <c r="I1701" t="s">
        <v>5005</v>
      </c>
      <c r="J1701">
        <v>15</v>
      </c>
      <c r="K1701">
        <v>433927</v>
      </c>
      <c r="L1701">
        <v>50033</v>
      </c>
      <c r="M1701" t="s">
        <v>39</v>
      </c>
      <c r="N1701">
        <v>363</v>
      </c>
      <c r="O1701" s="2">
        <v>46230</v>
      </c>
      <c r="P1701" s="2">
        <v>46315</v>
      </c>
      <c r="R1701" t="s">
        <v>5006</v>
      </c>
      <c r="S1701" t="str">
        <f>"0000050410970"</f>
        <v>0000050410970</v>
      </c>
      <c r="T1701" t="s">
        <v>41</v>
      </c>
      <c r="U1701">
        <v>34866.879999999997</v>
      </c>
      <c r="V1701">
        <v>34866.879999999997</v>
      </c>
      <c r="W1701">
        <v>34866.879999999997</v>
      </c>
      <c r="X1701">
        <v>0</v>
      </c>
      <c r="Y1701">
        <v>0</v>
      </c>
      <c r="Z1701">
        <v>-540</v>
      </c>
      <c r="AA1701" t="s">
        <v>5007</v>
      </c>
      <c r="AD1701" t="s">
        <v>5008</v>
      </c>
      <c r="AE1701" t="s">
        <v>5009</v>
      </c>
      <c r="AF1701" t="s">
        <v>5008</v>
      </c>
      <c r="AG1701">
        <v>21128736000110</v>
      </c>
      <c r="AH1701" t="s">
        <v>3530</v>
      </c>
    </row>
    <row r="1702" spans="1:34" x14ac:dyDescent="0.3">
      <c r="A1702">
        <v>104</v>
      </c>
      <c r="B1702" t="s">
        <v>34</v>
      </c>
      <c r="C1702">
        <v>4</v>
      </c>
      <c r="D1702" s="1" t="s">
        <v>5010</v>
      </c>
      <c r="E1702" s="1" t="s">
        <v>36</v>
      </c>
      <c r="G1702">
        <v>436741</v>
      </c>
      <c r="H1702" t="s">
        <v>5004</v>
      </c>
      <c r="I1702" t="s">
        <v>5005</v>
      </c>
      <c r="J1702">
        <v>15</v>
      </c>
      <c r="K1702">
        <v>433927</v>
      </c>
      <c r="L1702">
        <v>50033</v>
      </c>
      <c r="M1702" t="s">
        <v>39</v>
      </c>
      <c r="N1702">
        <v>363</v>
      </c>
      <c r="O1702" s="2">
        <v>46230</v>
      </c>
      <c r="P1702" s="2">
        <v>46286</v>
      </c>
      <c r="R1702" t="s">
        <v>5011</v>
      </c>
      <c r="S1702" t="str">
        <f>"0000050410989"</f>
        <v>0000050410989</v>
      </c>
      <c r="T1702" t="s">
        <v>41</v>
      </c>
      <c r="U1702">
        <v>700</v>
      </c>
      <c r="V1702">
        <v>700</v>
      </c>
      <c r="W1702">
        <v>700</v>
      </c>
      <c r="X1702">
        <v>0</v>
      </c>
      <c r="Y1702">
        <v>0</v>
      </c>
      <c r="Z1702">
        <v>-511</v>
      </c>
      <c r="AA1702">
        <v>1753</v>
      </c>
      <c r="AD1702" t="s">
        <v>5008</v>
      </c>
      <c r="AE1702" t="s">
        <v>5009</v>
      </c>
      <c r="AF1702" t="s">
        <v>5008</v>
      </c>
      <c r="AG1702">
        <v>21128736000110</v>
      </c>
      <c r="AH1702" t="s">
        <v>3530</v>
      </c>
    </row>
    <row r="1703" spans="1:34" x14ac:dyDescent="0.3">
      <c r="A1703">
        <v>104</v>
      </c>
      <c r="B1703" t="s">
        <v>34</v>
      </c>
      <c r="C1703">
        <v>4</v>
      </c>
      <c r="D1703" s="1" t="s">
        <v>5012</v>
      </c>
      <c r="E1703" s="1" t="s">
        <v>122</v>
      </c>
      <c r="G1703">
        <v>436741</v>
      </c>
      <c r="H1703" t="s">
        <v>5004</v>
      </c>
      <c r="I1703" t="s">
        <v>5005</v>
      </c>
      <c r="J1703">
        <v>15</v>
      </c>
      <c r="K1703">
        <v>433927</v>
      </c>
      <c r="L1703">
        <v>50033</v>
      </c>
      <c r="M1703" t="s">
        <v>39</v>
      </c>
      <c r="N1703">
        <v>363</v>
      </c>
      <c r="O1703" s="2">
        <v>46197</v>
      </c>
      <c r="P1703" s="2">
        <v>46262</v>
      </c>
      <c r="R1703" t="s">
        <v>5013</v>
      </c>
      <c r="S1703" t="str">
        <f>"0000050407368"</f>
        <v>0000050407368</v>
      </c>
      <c r="T1703" t="s">
        <v>41</v>
      </c>
      <c r="U1703">
        <v>40748.269999999997</v>
      </c>
      <c r="V1703">
        <v>40748.269999999997</v>
      </c>
      <c r="W1703">
        <v>40748.269999999997</v>
      </c>
      <c r="X1703">
        <v>0</v>
      </c>
      <c r="Y1703">
        <v>0</v>
      </c>
      <c r="Z1703">
        <v>-487</v>
      </c>
      <c r="AA1703" t="s">
        <v>5014</v>
      </c>
      <c r="AD1703" t="s">
        <v>5008</v>
      </c>
      <c r="AE1703" t="s">
        <v>5009</v>
      </c>
      <c r="AF1703" t="s">
        <v>5008</v>
      </c>
      <c r="AG1703">
        <v>21128736000110</v>
      </c>
      <c r="AH1703" t="s">
        <v>3530</v>
      </c>
    </row>
    <row r="1704" spans="1:34" x14ac:dyDescent="0.3">
      <c r="A1704">
        <v>104</v>
      </c>
      <c r="B1704" t="s">
        <v>34</v>
      </c>
      <c r="C1704">
        <v>4</v>
      </c>
      <c r="D1704" s="1" t="s">
        <v>5003</v>
      </c>
      <c r="E1704" s="1" t="s">
        <v>36</v>
      </c>
      <c r="G1704">
        <v>436741</v>
      </c>
      <c r="H1704" t="s">
        <v>5004</v>
      </c>
      <c r="I1704" t="s">
        <v>5005</v>
      </c>
      <c r="J1704">
        <v>15</v>
      </c>
      <c r="K1704">
        <v>433927</v>
      </c>
      <c r="L1704">
        <v>50033</v>
      </c>
      <c r="M1704" t="s">
        <v>39</v>
      </c>
      <c r="N1704">
        <v>363</v>
      </c>
      <c r="O1704" s="2">
        <v>46230</v>
      </c>
      <c r="P1704" s="2">
        <v>46286</v>
      </c>
      <c r="R1704" t="s">
        <v>5006</v>
      </c>
      <c r="S1704" t="str">
        <f>"0000050410946"</f>
        <v>0000050410946</v>
      </c>
      <c r="T1704" t="s">
        <v>41</v>
      </c>
      <c r="U1704">
        <v>35884.620000000003</v>
      </c>
      <c r="V1704">
        <v>35884.620000000003</v>
      </c>
      <c r="W1704">
        <v>35884.620000000003</v>
      </c>
      <c r="X1704">
        <v>0</v>
      </c>
      <c r="Y1704">
        <v>0</v>
      </c>
      <c r="Z1704">
        <v>-511</v>
      </c>
      <c r="AA1704" t="s">
        <v>5007</v>
      </c>
      <c r="AD1704" t="s">
        <v>5008</v>
      </c>
      <c r="AE1704" t="s">
        <v>5009</v>
      </c>
      <c r="AF1704" t="s">
        <v>5008</v>
      </c>
      <c r="AG1704">
        <v>21128736000110</v>
      </c>
      <c r="AH1704" t="s">
        <v>3530</v>
      </c>
    </row>
    <row r="1705" spans="1:34" x14ac:dyDescent="0.3">
      <c r="A1705">
        <v>104</v>
      </c>
      <c r="B1705" t="s">
        <v>34</v>
      </c>
      <c r="C1705">
        <v>4</v>
      </c>
      <c r="D1705" s="1" t="s">
        <v>5003</v>
      </c>
      <c r="E1705" s="1" t="s">
        <v>122</v>
      </c>
      <c r="G1705">
        <v>436741</v>
      </c>
      <c r="H1705" t="s">
        <v>5004</v>
      </c>
      <c r="I1705" t="s">
        <v>5005</v>
      </c>
      <c r="J1705">
        <v>15</v>
      </c>
      <c r="K1705">
        <v>433927</v>
      </c>
      <c r="L1705">
        <v>50033</v>
      </c>
      <c r="M1705" t="s">
        <v>39</v>
      </c>
      <c r="N1705">
        <v>363</v>
      </c>
      <c r="O1705" s="2">
        <v>46230</v>
      </c>
      <c r="P1705" s="2">
        <v>46295</v>
      </c>
      <c r="R1705" t="s">
        <v>5006</v>
      </c>
      <c r="S1705" t="str">
        <f>"0000050410954"</f>
        <v>0000050410954</v>
      </c>
      <c r="T1705" t="s">
        <v>41</v>
      </c>
      <c r="U1705">
        <v>34866.89</v>
      </c>
      <c r="V1705">
        <v>34866.89</v>
      </c>
      <c r="W1705">
        <v>34866.89</v>
      </c>
      <c r="X1705">
        <v>0</v>
      </c>
      <c r="Y1705">
        <v>0</v>
      </c>
      <c r="Z1705">
        <v>-520</v>
      </c>
      <c r="AA1705" t="s">
        <v>5007</v>
      </c>
      <c r="AD1705" t="s">
        <v>5008</v>
      </c>
      <c r="AE1705" t="s">
        <v>5009</v>
      </c>
      <c r="AF1705" t="s">
        <v>5008</v>
      </c>
      <c r="AG1705">
        <v>21128736000110</v>
      </c>
      <c r="AH1705" t="s">
        <v>3530</v>
      </c>
    </row>
    <row r="1706" spans="1:34" x14ac:dyDescent="0.3">
      <c r="A1706">
        <v>104</v>
      </c>
      <c r="B1706" t="s">
        <v>34</v>
      </c>
      <c r="C1706">
        <v>4</v>
      </c>
      <c r="D1706" s="1" t="s">
        <v>5012</v>
      </c>
      <c r="E1706" s="1" t="s">
        <v>4375</v>
      </c>
      <c r="G1706">
        <v>436741</v>
      </c>
      <c r="H1706" t="s">
        <v>5004</v>
      </c>
      <c r="I1706" t="s">
        <v>5005</v>
      </c>
      <c r="J1706">
        <v>15</v>
      </c>
      <c r="K1706">
        <v>433927</v>
      </c>
      <c r="L1706">
        <v>50033</v>
      </c>
      <c r="M1706" t="s">
        <v>39</v>
      </c>
      <c r="N1706">
        <v>363</v>
      </c>
      <c r="O1706" s="2">
        <v>46197</v>
      </c>
      <c r="P1706" s="2">
        <v>46282</v>
      </c>
      <c r="R1706" t="s">
        <v>5013</v>
      </c>
      <c r="S1706" t="str">
        <f>"0000050407384"</f>
        <v>0000050407384</v>
      </c>
      <c r="T1706" t="s">
        <v>41</v>
      </c>
      <c r="U1706">
        <v>40748.269999999997</v>
      </c>
      <c r="V1706">
        <v>40748.269999999997</v>
      </c>
      <c r="W1706">
        <v>40748.269999999997</v>
      </c>
      <c r="X1706">
        <v>0</v>
      </c>
      <c r="Y1706">
        <v>0</v>
      </c>
      <c r="Z1706">
        <v>-507</v>
      </c>
      <c r="AA1706" t="s">
        <v>5014</v>
      </c>
      <c r="AD1706" t="s">
        <v>5008</v>
      </c>
      <c r="AE1706" t="s">
        <v>5009</v>
      </c>
      <c r="AF1706" t="s">
        <v>5008</v>
      </c>
      <c r="AG1706">
        <v>21128736000110</v>
      </c>
      <c r="AH1706" t="s">
        <v>3530</v>
      </c>
    </row>
    <row r="1707" spans="1:34" x14ac:dyDescent="0.3">
      <c r="A1707">
        <v>106</v>
      </c>
      <c r="B1707" t="s">
        <v>34</v>
      </c>
      <c r="C1707">
        <v>2</v>
      </c>
      <c r="D1707" s="1" t="s">
        <v>5015</v>
      </c>
      <c r="E1707" s="1" t="s">
        <v>4375</v>
      </c>
      <c r="G1707">
        <v>436741</v>
      </c>
      <c r="H1707" t="s">
        <v>5004</v>
      </c>
      <c r="I1707" t="s">
        <v>5005</v>
      </c>
      <c r="J1707">
        <v>15</v>
      </c>
      <c r="K1707">
        <v>433927</v>
      </c>
      <c r="L1707">
        <v>50033</v>
      </c>
      <c r="M1707" t="s">
        <v>39</v>
      </c>
      <c r="N1707">
        <v>363</v>
      </c>
      <c r="O1707" s="2">
        <v>46202</v>
      </c>
      <c r="P1707" s="2">
        <v>46287</v>
      </c>
      <c r="R1707" t="s">
        <v>5016</v>
      </c>
      <c r="S1707" t="str">
        <f>"0000050408127"</f>
        <v>0000050408127</v>
      </c>
      <c r="T1707" t="s">
        <v>41</v>
      </c>
      <c r="U1707">
        <v>6852.17</v>
      </c>
      <c r="V1707">
        <v>6852.17</v>
      </c>
      <c r="W1707">
        <v>6852.17</v>
      </c>
      <c r="X1707">
        <v>0</v>
      </c>
      <c r="Y1707">
        <v>0</v>
      </c>
      <c r="Z1707">
        <v>-512</v>
      </c>
      <c r="AA1707" t="s">
        <v>5017</v>
      </c>
      <c r="AD1707" t="s">
        <v>5008</v>
      </c>
      <c r="AE1707" t="s">
        <v>5009</v>
      </c>
      <c r="AF1707" t="s">
        <v>5008</v>
      </c>
      <c r="AG1707">
        <v>21128736000110</v>
      </c>
      <c r="AH1707" t="s">
        <v>3530</v>
      </c>
    </row>
    <row r="1708" spans="1:34" x14ac:dyDescent="0.3">
      <c r="A1708">
        <v>106</v>
      </c>
      <c r="B1708" t="s">
        <v>34</v>
      </c>
      <c r="C1708">
        <v>2</v>
      </c>
      <c r="D1708" s="1" t="s">
        <v>5018</v>
      </c>
      <c r="E1708" s="1" t="s">
        <v>4375</v>
      </c>
      <c r="G1708">
        <v>436741</v>
      </c>
      <c r="H1708" t="s">
        <v>5004</v>
      </c>
      <c r="I1708" t="s">
        <v>5005</v>
      </c>
      <c r="J1708">
        <v>15</v>
      </c>
      <c r="K1708">
        <v>433927</v>
      </c>
      <c r="L1708">
        <v>50033</v>
      </c>
      <c r="M1708" t="s">
        <v>39</v>
      </c>
      <c r="N1708">
        <v>363</v>
      </c>
      <c r="O1708" s="2">
        <v>46230</v>
      </c>
      <c r="P1708" s="2">
        <v>46315</v>
      </c>
      <c r="R1708" t="s">
        <v>5019</v>
      </c>
      <c r="S1708" t="str">
        <f>"0000050411098"</f>
        <v>0000050411098</v>
      </c>
      <c r="T1708" t="s">
        <v>41</v>
      </c>
      <c r="U1708">
        <v>9679.86</v>
      </c>
      <c r="V1708">
        <v>9679.86</v>
      </c>
      <c r="W1708">
        <v>9679.86</v>
      </c>
      <c r="X1708">
        <v>0</v>
      </c>
      <c r="Y1708">
        <v>0</v>
      </c>
      <c r="Z1708">
        <v>-540</v>
      </c>
      <c r="AA1708" t="s">
        <v>5020</v>
      </c>
      <c r="AD1708" t="s">
        <v>5008</v>
      </c>
      <c r="AE1708" t="s">
        <v>5009</v>
      </c>
      <c r="AF1708" t="s">
        <v>5008</v>
      </c>
      <c r="AG1708">
        <v>21128736000110</v>
      </c>
      <c r="AH1708" t="s">
        <v>3530</v>
      </c>
    </row>
    <row r="1709" spans="1:34" x14ac:dyDescent="0.3">
      <c r="A1709">
        <v>106</v>
      </c>
      <c r="B1709" t="s">
        <v>34</v>
      </c>
      <c r="C1709">
        <v>2</v>
      </c>
      <c r="D1709" s="1" t="s">
        <v>5018</v>
      </c>
      <c r="E1709" s="1" t="s">
        <v>116</v>
      </c>
      <c r="G1709">
        <v>436741</v>
      </c>
      <c r="H1709" t="s">
        <v>5004</v>
      </c>
      <c r="I1709" t="s">
        <v>5005</v>
      </c>
      <c r="J1709">
        <v>15</v>
      </c>
      <c r="K1709">
        <v>433927</v>
      </c>
      <c r="L1709">
        <v>50033</v>
      </c>
      <c r="M1709" t="s">
        <v>39</v>
      </c>
      <c r="N1709">
        <v>363</v>
      </c>
      <c r="O1709" s="2">
        <v>46230</v>
      </c>
      <c r="P1709" s="2">
        <v>46305</v>
      </c>
      <c r="R1709" t="s">
        <v>5019</v>
      </c>
      <c r="S1709" t="str">
        <f>"0000050411080"</f>
        <v>0000050411080</v>
      </c>
      <c r="T1709" t="s">
        <v>41</v>
      </c>
      <c r="U1709">
        <v>9679.8799999999992</v>
      </c>
      <c r="V1709">
        <v>9679.8799999999992</v>
      </c>
      <c r="W1709">
        <v>9679.8799999999992</v>
      </c>
      <c r="X1709">
        <v>0</v>
      </c>
      <c r="Y1709">
        <v>0</v>
      </c>
      <c r="Z1709">
        <v>-530</v>
      </c>
      <c r="AA1709" t="s">
        <v>5020</v>
      </c>
      <c r="AD1709" t="s">
        <v>5008</v>
      </c>
      <c r="AE1709" t="s">
        <v>5009</v>
      </c>
      <c r="AF1709" t="s">
        <v>5008</v>
      </c>
      <c r="AG1709">
        <v>21128736000110</v>
      </c>
      <c r="AH1709" t="s">
        <v>3530</v>
      </c>
    </row>
    <row r="1710" spans="1:34" x14ac:dyDescent="0.3">
      <c r="A1710">
        <v>106</v>
      </c>
      <c r="B1710" t="s">
        <v>34</v>
      </c>
      <c r="C1710">
        <v>2</v>
      </c>
      <c r="D1710" s="1" t="s">
        <v>5018</v>
      </c>
      <c r="E1710" s="1" t="s">
        <v>122</v>
      </c>
      <c r="G1710">
        <v>436741</v>
      </c>
      <c r="H1710" t="s">
        <v>5004</v>
      </c>
      <c r="I1710" t="s">
        <v>5005</v>
      </c>
      <c r="J1710">
        <v>15</v>
      </c>
      <c r="K1710">
        <v>433927</v>
      </c>
      <c r="L1710">
        <v>50033</v>
      </c>
      <c r="M1710" t="s">
        <v>39</v>
      </c>
      <c r="N1710">
        <v>363</v>
      </c>
      <c r="O1710" s="2">
        <v>46230</v>
      </c>
      <c r="P1710" s="2">
        <v>46295</v>
      </c>
      <c r="R1710" t="s">
        <v>5019</v>
      </c>
      <c r="S1710" t="str">
        <f>"0000050411071"</f>
        <v>0000050411071</v>
      </c>
      <c r="T1710" t="s">
        <v>41</v>
      </c>
      <c r="U1710">
        <v>9679.8799999999992</v>
      </c>
      <c r="V1710">
        <v>9679.8799999999992</v>
      </c>
      <c r="W1710">
        <v>9679.8799999999992</v>
      </c>
      <c r="X1710">
        <v>0</v>
      </c>
      <c r="Y1710">
        <v>0</v>
      </c>
      <c r="Z1710">
        <v>-520</v>
      </c>
      <c r="AA1710" t="s">
        <v>5020</v>
      </c>
      <c r="AD1710" t="s">
        <v>5008</v>
      </c>
      <c r="AE1710" t="s">
        <v>5009</v>
      </c>
      <c r="AF1710" t="s">
        <v>5008</v>
      </c>
      <c r="AG1710">
        <v>21128736000110</v>
      </c>
      <c r="AH1710" t="s">
        <v>3530</v>
      </c>
    </row>
    <row r="1711" spans="1:34" x14ac:dyDescent="0.3">
      <c r="A1711">
        <v>106</v>
      </c>
      <c r="B1711" t="s">
        <v>34</v>
      </c>
      <c r="C1711">
        <v>2</v>
      </c>
      <c r="D1711" s="1" t="s">
        <v>5015</v>
      </c>
      <c r="E1711" s="1" t="s">
        <v>122</v>
      </c>
      <c r="G1711">
        <v>436741</v>
      </c>
      <c r="H1711" t="s">
        <v>5004</v>
      </c>
      <c r="I1711" t="s">
        <v>5005</v>
      </c>
      <c r="J1711">
        <v>15</v>
      </c>
      <c r="K1711">
        <v>433927</v>
      </c>
      <c r="L1711">
        <v>50033</v>
      </c>
      <c r="M1711" t="s">
        <v>39</v>
      </c>
      <c r="N1711">
        <v>363</v>
      </c>
      <c r="O1711" s="2">
        <v>46202</v>
      </c>
      <c r="P1711" s="2">
        <v>46267</v>
      </c>
      <c r="R1711" t="s">
        <v>5016</v>
      </c>
      <c r="S1711" t="str">
        <f>"0000050408100"</f>
        <v>0000050408100</v>
      </c>
      <c r="T1711" t="s">
        <v>41</v>
      </c>
      <c r="U1711">
        <v>6852.19</v>
      </c>
      <c r="V1711">
        <v>6852.19</v>
      </c>
      <c r="W1711">
        <v>6852.19</v>
      </c>
      <c r="X1711">
        <v>0</v>
      </c>
      <c r="Y1711">
        <v>0</v>
      </c>
      <c r="Z1711">
        <v>-492</v>
      </c>
      <c r="AA1711" t="s">
        <v>5017</v>
      </c>
      <c r="AD1711" t="s">
        <v>5008</v>
      </c>
      <c r="AE1711" t="s">
        <v>5009</v>
      </c>
      <c r="AF1711" t="s">
        <v>5008</v>
      </c>
      <c r="AG1711">
        <v>21128736000110</v>
      </c>
      <c r="AH1711" t="s">
        <v>3530</v>
      </c>
    </row>
    <row r="1712" spans="1:34" x14ac:dyDescent="0.3">
      <c r="A1712">
        <v>106</v>
      </c>
      <c r="B1712" t="s">
        <v>34</v>
      </c>
      <c r="C1712">
        <v>2</v>
      </c>
      <c r="D1712" s="1" t="s">
        <v>5015</v>
      </c>
      <c r="E1712" s="1" t="s">
        <v>116</v>
      </c>
      <c r="G1712">
        <v>436741</v>
      </c>
      <c r="H1712" t="s">
        <v>5004</v>
      </c>
      <c r="I1712" t="s">
        <v>5005</v>
      </c>
      <c r="J1712">
        <v>15</v>
      </c>
      <c r="K1712">
        <v>433927</v>
      </c>
      <c r="L1712">
        <v>50033</v>
      </c>
      <c r="M1712" t="s">
        <v>39</v>
      </c>
      <c r="N1712">
        <v>363</v>
      </c>
      <c r="O1712" s="2">
        <v>46202</v>
      </c>
      <c r="P1712" s="2">
        <v>46277</v>
      </c>
      <c r="R1712" t="s">
        <v>5016</v>
      </c>
      <c r="S1712" t="str">
        <f>"0000050408119"</f>
        <v>0000050408119</v>
      </c>
      <c r="T1712" t="s">
        <v>41</v>
      </c>
      <c r="U1712">
        <v>6852.19</v>
      </c>
      <c r="V1712">
        <v>6852.19</v>
      </c>
      <c r="W1712">
        <v>6852.19</v>
      </c>
      <c r="X1712">
        <v>0</v>
      </c>
      <c r="Y1712">
        <v>0</v>
      </c>
      <c r="Z1712">
        <v>-502</v>
      </c>
      <c r="AA1712" t="s">
        <v>5017</v>
      </c>
      <c r="AD1712" t="s">
        <v>5008</v>
      </c>
      <c r="AE1712" t="s">
        <v>5009</v>
      </c>
      <c r="AF1712" t="s">
        <v>5008</v>
      </c>
      <c r="AG1712">
        <v>21128736000110</v>
      </c>
      <c r="AH1712" t="s">
        <v>3530</v>
      </c>
    </row>
    <row r="1713" spans="1:34" x14ac:dyDescent="0.3">
      <c r="A1713">
        <v>106</v>
      </c>
      <c r="B1713" t="s">
        <v>34</v>
      </c>
      <c r="C1713">
        <v>2</v>
      </c>
      <c r="D1713" s="1" t="s">
        <v>5015</v>
      </c>
      <c r="E1713" s="1" t="s">
        <v>36</v>
      </c>
      <c r="G1713">
        <v>436741</v>
      </c>
      <c r="H1713" t="s">
        <v>5004</v>
      </c>
      <c r="I1713" t="s">
        <v>5005</v>
      </c>
      <c r="J1713">
        <v>15</v>
      </c>
      <c r="K1713">
        <v>433927</v>
      </c>
      <c r="L1713">
        <v>50033</v>
      </c>
      <c r="M1713" t="s">
        <v>39</v>
      </c>
      <c r="N1713">
        <v>363</v>
      </c>
      <c r="O1713" s="2">
        <v>46202</v>
      </c>
      <c r="P1713" s="2">
        <v>46257</v>
      </c>
      <c r="R1713" t="s">
        <v>5016</v>
      </c>
      <c r="S1713" t="str">
        <f>"0000050408097"</f>
        <v>0000050408097</v>
      </c>
      <c r="T1713" t="s">
        <v>41</v>
      </c>
      <c r="U1713">
        <v>6852.19</v>
      </c>
      <c r="V1713">
        <v>6852.19</v>
      </c>
      <c r="W1713">
        <v>6852.19</v>
      </c>
      <c r="X1713">
        <v>0</v>
      </c>
      <c r="Y1713">
        <v>0</v>
      </c>
      <c r="Z1713">
        <v>-482</v>
      </c>
      <c r="AA1713" t="s">
        <v>5017</v>
      </c>
      <c r="AD1713" t="s">
        <v>5008</v>
      </c>
      <c r="AE1713" t="s">
        <v>5009</v>
      </c>
      <c r="AF1713" t="s">
        <v>5008</v>
      </c>
      <c r="AG1713">
        <v>21128736000110</v>
      </c>
      <c r="AH1713" t="s">
        <v>3530</v>
      </c>
    </row>
    <row r="1714" spans="1:34" x14ac:dyDescent="0.3">
      <c r="A1714">
        <v>106</v>
      </c>
      <c r="B1714" t="s">
        <v>34</v>
      </c>
      <c r="C1714">
        <v>2</v>
      </c>
      <c r="D1714" s="1" t="s">
        <v>5018</v>
      </c>
      <c r="E1714" s="1" t="s">
        <v>36</v>
      </c>
      <c r="G1714">
        <v>436741</v>
      </c>
      <c r="H1714" t="s">
        <v>5004</v>
      </c>
      <c r="I1714" t="s">
        <v>5005</v>
      </c>
      <c r="J1714">
        <v>15</v>
      </c>
      <c r="K1714">
        <v>433927</v>
      </c>
      <c r="L1714">
        <v>50033</v>
      </c>
      <c r="M1714" t="s">
        <v>39</v>
      </c>
      <c r="N1714">
        <v>363</v>
      </c>
      <c r="O1714" s="2">
        <v>46230</v>
      </c>
      <c r="P1714" s="2">
        <v>46285</v>
      </c>
      <c r="R1714" t="s">
        <v>5019</v>
      </c>
      <c r="S1714" t="str">
        <f>"0000050411063"</f>
        <v>0000050411063</v>
      </c>
      <c r="T1714" t="s">
        <v>41</v>
      </c>
      <c r="U1714">
        <v>12061.67</v>
      </c>
      <c r="V1714">
        <v>12061.67</v>
      </c>
      <c r="W1714">
        <v>12061.67</v>
      </c>
      <c r="X1714">
        <v>0</v>
      </c>
      <c r="Y1714">
        <v>0</v>
      </c>
      <c r="Z1714">
        <v>-510</v>
      </c>
      <c r="AA1714" t="s">
        <v>5020</v>
      </c>
      <c r="AD1714" t="s">
        <v>5008</v>
      </c>
      <c r="AE1714" t="s">
        <v>5009</v>
      </c>
      <c r="AF1714" t="s">
        <v>5008</v>
      </c>
      <c r="AG1714">
        <v>21128736000110</v>
      </c>
      <c r="AH1714" t="s">
        <v>3530</v>
      </c>
    </row>
    <row r="1715" spans="1:34" x14ac:dyDescent="0.3">
      <c r="A1715">
        <v>101</v>
      </c>
      <c r="B1715" t="s">
        <v>34</v>
      </c>
      <c r="C1715">
        <v>2</v>
      </c>
      <c r="D1715" s="1" t="s">
        <v>5021</v>
      </c>
      <c r="E1715" s="1" t="s">
        <v>122</v>
      </c>
      <c r="G1715">
        <v>436310</v>
      </c>
      <c r="H1715" t="s">
        <v>5022</v>
      </c>
      <c r="I1715" t="s">
        <v>5023</v>
      </c>
      <c r="J1715">
        <v>12</v>
      </c>
      <c r="K1715">
        <v>436310</v>
      </c>
      <c r="L1715">
        <v>50341</v>
      </c>
      <c r="M1715" t="s">
        <v>146</v>
      </c>
      <c r="N1715">
        <v>395</v>
      </c>
      <c r="O1715" s="2">
        <v>46202</v>
      </c>
      <c r="P1715" s="2">
        <v>46258</v>
      </c>
      <c r="R1715" t="s">
        <v>5024</v>
      </c>
      <c r="S1715" t="str">
        <f>"00012846"</f>
        <v>00012846</v>
      </c>
      <c r="T1715" t="s">
        <v>41</v>
      </c>
      <c r="U1715">
        <v>8191.78</v>
      </c>
      <c r="V1715">
        <v>8191.78</v>
      </c>
      <c r="W1715">
        <v>8191.78</v>
      </c>
      <c r="X1715">
        <v>0</v>
      </c>
      <c r="Y1715">
        <v>0</v>
      </c>
      <c r="Z1715">
        <v>-483</v>
      </c>
      <c r="AA1715">
        <v>692737</v>
      </c>
      <c r="AD1715" t="s">
        <v>64</v>
      </c>
      <c r="AE1715">
        <v>1133250400</v>
      </c>
      <c r="AF1715" t="s">
        <v>64</v>
      </c>
      <c r="AG1715">
        <v>48076228000191</v>
      </c>
      <c r="AH1715" t="s">
        <v>44</v>
      </c>
    </row>
    <row r="1716" spans="1:34" x14ac:dyDescent="0.3">
      <c r="A1716">
        <v>101</v>
      </c>
      <c r="B1716" t="s">
        <v>34</v>
      </c>
      <c r="C1716">
        <v>2</v>
      </c>
      <c r="D1716" s="1" t="s">
        <v>5021</v>
      </c>
      <c r="E1716" s="1" t="s">
        <v>4375</v>
      </c>
      <c r="G1716">
        <v>436310</v>
      </c>
      <c r="H1716" t="s">
        <v>5022</v>
      </c>
      <c r="I1716" t="s">
        <v>5023</v>
      </c>
      <c r="J1716">
        <v>12</v>
      </c>
      <c r="K1716">
        <v>436310</v>
      </c>
      <c r="L1716">
        <v>50341</v>
      </c>
      <c r="M1716" t="s">
        <v>146</v>
      </c>
      <c r="N1716">
        <v>395</v>
      </c>
      <c r="O1716" s="2">
        <v>46202</v>
      </c>
      <c r="P1716" s="2">
        <v>46272</v>
      </c>
      <c r="R1716" t="s">
        <v>5024</v>
      </c>
      <c r="S1716" t="str">
        <f>"00012848"</f>
        <v>00012848</v>
      </c>
      <c r="T1716" t="s">
        <v>41</v>
      </c>
      <c r="U1716">
        <v>8191.77</v>
      </c>
      <c r="V1716">
        <v>8191.77</v>
      </c>
      <c r="W1716">
        <v>8191.77</v>
      </c>
      <c r="X1716">
        <v>0</v>
      </c>
      <c r="Y1716">
        <v>0</v>
      </c>
      <c r="Z1716">
        <v>-497</v>
      </c>
      <c r="AA1716">
        <v>692737</v>
      </c>
      <c r="AD1716" t="s">
        <v>64</v>
      </c>
      <c r="AE1716">
        <v>1133250400</v>
      </c>
      <c r="AF1716" t="s">
        <v>64</v>
      </c>
      <c r="AG1716">
        <v>48076228000191</v>
      </c>
      <c r="AH1716" t="s">
        <v>44</v>
      </c>
    </row>
    <row r="1717" spans="1:34" x14ac:dyDescent="0.3">
      <c r="A1717">
        <v>101</v>
      </c>
      <c r="B1717" t="s">
        <v>34</v>
      </c>
      <c r="C1717">
        <v>2</v>
      </c>
      <c r="D1717" s="1" t="s">
        <v>5021</v>
      </c>
      <c r="E1717" s="1" t="s">
        <v>116</v>
      </c>
      <c r="G1717">
        <v>436310</v>
      </c>
      <c r="H1717" t="s">
        <v>5022</v>
      </c>
      <c r="I1717" t="s">
        <v>5023</v>
      </c>
      <c r="J1717">
        <v>12</v>
      </c>
      <c r="K1717">
        <v>436310</v>
      </c>
      <c r="L1717">
        <v>50341</v>
      </c>
      <c r="M1717" t="s">
        <v>146</v>
      </c>
      <c r="N1717">
        <v>395</v>
      </c>
      <c r="O1717" s="2">
        <v>46202</v>
      </c>
      <c r="P1717" s="2">
        <v>46265</v>
      </c>
      <c r="R1717" t="s">
        <v>5024</v>
      </c>
      <c r="S1717" t="str">
        <f>"00012847"</f>
        <v>00012847</v>
      </c>
      <c r="T1717" t="s">
        <v>41</v>
      </c>
      <c r="U1717">
        <v>8191.78</v>
      </c>
      <c r="V1717">
        <v>8191.78</v>
      </c>
      <c r="W1717">
        <v>8191.78</v>
      </c>
      <c r="X1717">
        <v>0</v>
      </c>
      <c r="Y1717">
        <v>0</v>
      </c>
      <c r="Z1717">
        <v>-490</v>
      </c>
      <c r="AA1717">
        <v>692737</v>
      </c>
      <c r="AD1717" t="s">
        <v>64</v>
      </c>
      <c r="AE1717">
        <v>1133250400</v>
      </c>
      <c r="AF1717" t="s">
        <v>64</v>
      </c>
      <c r="AG1717">
        <v>48076228000191</v>
      </c>
      <c r="AH1717" t="s">
        <v>44</v>
      </c>
    </row>
    <row r="1718" spans="1:34" x14ac:dyDescent="0.3">
      <c r="A1718">
        <v>101</v>
      </c>
      <c r="B1718" t="s">
        <v>34</v>
      </c>
      <c r="C1718">
        <v>2</v>
      </c>
      <c r="D1718" s="1" t="s">
        <v>5025</v>
      </c>
      <c r="E1718" s="1" t="s">
        <v>36</v>
      </c>
      <c r="G1718">
        <v>436310</v>
      </c>
      <c r="H1718" t="s">
        <v>5022</v>
      </c>
      <c r="I1718" t="s">
        <v>5023</v>
      </c>
      <c r="J1718">
        <v>12</v>
      </c>
      <c r="K1718">
        <v>436310</v>
      </c>
      <c r="L1718">
        <v>50341</v>
      </c>
      <c r="M1718" t="s">
        <v>146</v>
      </c>
      <c r="N1718">
        <v>395</v>
      </c>
      <c r="O1718" s="2">
        <v>46224</v>
      </c>
      <c r="P1718" s="2">
        <v>46282</v>
      </c>
      <c r="R1718" t="s">
        <v>5026</v>
      </c>
      <c r="S1718" t="str">
        <f>"00013167"</f>
        <v>00013167</v>
      </c>
      <c r="T1718" t="s">
        <v>41</v>
      </c>
      <c r="U1718">
        <v>8940.07</v>
      </c>
      <c r="V1718">
        <v>8940.07</v>
      </c>
      <c r="W1718">
        <v>8940.07</v>
      </c>
      <c r="X1718">
        <v>0</v>
      </c>
      <c r="Y1718">
        <v>0</v>
      </c>
      <c r="Z1718">
        <v>-507</v>
      </c>
      <c r="AA1718">
        <v>1386</v>
      </c>
      <c r="AD1718" t="s">
        <v>64</v>
      </c>
      <c r="AE1718">
        <v>1133250400</v>
      </c>
      <c r="AF1718" t="s">
        <v>64</v>
      </c>
      <c r="AG1718">
        <v>48076228000191</v>
      </c>
      <c r="AH1718" t="s">
        <v>44</v>
      </c>
    </row>
    <row r="1719" spans="1:34" x14ac:dyDescent="0.3">
      <c r="A1719">
        <v>101</v>
      </c>
      <c r="B1719" t="s">
        <v>34</v>
      </c>
      <c r="C1719">
        <v>2</v>
      </c>
      <c r="D1719" s="1" t="s">
        <v>5025</v>
      </c>
      <c r="E1719" s="1" t="s">
        <v>4375</v>
      </c>
      <c r="G1719">
        <v>436310</v>
      </c>
      <c r="H1719" t="s">
        <v>5022</v>
      </c>
      <c r="I1719" t="s">
        <v>5023</v>
      </c>
      <c r="J1719">
        <v>12</v>
      </c>
      <c r="K1719">
        <v>436310</v>
      </c>
      <c r="L1719">
        <v>50341</v>
      </c>
      <c r="M1719" t="s">
        <v>146</v>
      </c>
      <c r="N1719">
        <v>395</v>
      </c>
      <c r="O1719" s="2">
        <v>46224</v>
      </c>
      <c r="P1719" s="2">
        <v>46303</v>
      </c>
      <c r="R1719" t="s">
        <v>5026</v>
      </c>
      <c r="S1719" t="str">
        <f>"00013170"</f>
        <v>00013170</v>
      </c>
      <c r="T1719" t="s">
        <v>41</v>
      </c>
      <c r="U1719">
        <v>7466.26</v>
      </c>
      <c r="V1719">
        <v>7466.26</v>
      </c>
      <c r="W1719">
        <v>7466.26</v>
      </c>
      <c r="X1719">
        <v>0</v>
      </c>
      <c r="Y1719">
        <v>0</v>
      </c>
      <c r="Z1719">
        <v>-528</v>
      </c>
      <c r="AA1719">
        <v>1386</v>
      </c>
      <c r="AD1719" t="s">
        <v>64</v>
      </c>
      <c r="AE1719">
        <v>1133250400</v>
      </c>
      <c r="AF1719" t="s">
        <v>64</v>
      </c>
      <c r="AG1719">
        <v>48076228000191</v>
      </c>
      <c r="AH1719" t="s">
        <v>44</v>
      </c>
    </row>
    <row r="1720" spans="1:34" x14ac:dyDescent="0.3">
      <c r="A1720">
        <v>101</v>
      </c>
      <c r="B1720" t="s">
        <v>34</v>
      </c>
      <c r="C1720">
        <v>2</v>
      </c>
      <c r="D1720" s="1" t="s">
        <v>5025</v>
      </c>
      <c r="E1720" s="1" t="s">
        <v>116</v>
      </c>
      <c r="G1720">
        <v>436310</v>
      </c>
      <c r="H1720" t="s">
        <v>5022</v>
      </c>
      <c r="I1720" t="s">
        <v>5023</v>
      </c>
      <c r="J1720">
        <v>12</v>
      </c>
      <c r="K1720">
        <v>436310</v>
      </c>
      <c r="L1720">
        <v>50341</v>
      </c>
      <c r="M1720" t="s">
        <v>146</v>
      </c>
      <c r="N1720">
        <v>395</v>
      </c>
      <c r="O1720" s="2">
        <v>46224</v>
      </c>
      <c r="P1720" s="2">
        <v>46296</v>
      </c>
      <c r="R1720" t="s">
        <v>5026</v>
      </c>
      <c r="S1720" t="str">
        <f>"00013169"</f>
        <v>00013169</v>
      </c>
      <c r="T1720" t="s">
        <v>41</v>
      </c>
      <c r="U1720">
        <v>7466.26</v>
      </c>
      <c r="V1720">
        <v>7466.26</v>
      </c>
      <c r="W1720">
        <v>7466.26</v>
      </c>
      <c r="X1720">
        <v>0</v>
      </c>
      <c r="Y1720">
        <v>0</v>
      </c>
      <c r="Z1720">
        <v>-521</v>
      </c>
      <c r="AA1720">
        <v>1386</v>
      </c>
      <c r="AD1720" t="s">
        <v>64</v>
      </c>
      <c r="AE1720">
        <v>1133250400</v>
      </c>
      <c r="AF1720" t="s">
        <v>64</v>
      </c>
      <c r="AG1720">
        <v>48076228000191</v>
      </c>
      <c r="AH1720" t="s">
        <v>44</v>
      </c>
    </row>
    <row r="1721" spans="1:34" x14ac:dyDescent="0.3">
      <c r="A1721">
        <v>101</v>
      </c>
      <c r="B1721" t="s">
        <v>34</v>
      </c>
      <c r="C1721">
        <v>2</v>
      </c>
      <c r="D1721" s="1" t="s">
        <v>5025</v>
      </c>
      <c r="E1721" s="1" t="s">
        <v>122</v>
      </c>
      <c r="G1721">
        <v>436310</v>
      </c>
      <c r="H1721" t="s">
        <v>5022</v>
      </c>
      <c r="I1721" t="s">
        <v>5023</v>
      </c>
      <c r="J1721">
        <v>12</v>
      </c>
      <c r="K1721">
        <v>436310</v>
      </c>
      <c r="L1721">
        <v>50341</v>
      </c>
      <c r="M1721" t="s">
        <v>146</v>
      </c>
      <c r="N1721">
        <v>395</v>
      </c>
      <c r="O1721" s="2">
        <v>46224</v>
      </c>
      <c r="P1721" s="2">
        <v>46289</v>
      </c>
      <c r="R1721" t="s">
        <v>5026</v>
      </c>
      <c r="S1721" t="str">
        <f>"00013168"</f>
        <v>00013168</v>
      </c>
      <c r="T1721" t="s">
        <v>41</v>
      </c>
      <c r="U1721">
        <v>7466.26</v>
      </c>
      <c r="V1721">
        <v>7466.26</v>
      </c>
      <c r="W1721">
        <v>7466.26</v>
      </c>
      <c r="X1721">
        <v>0</v>
      </c>
      <c r="Y1721">
        <v>0</v>
      </c>
      <c r="Z1721">
        <v>-514</v>
      </c>
      <c r="AA1721">
        <v>1386</v>
      </c>
      <c r="AD1721" t="s">
        <v>64</v>
      </c>
      <c r="AE1721">
        <v>1133250400</v>
      </c>
      <c r="AF1721" t="s">
        <v>64</v>
      </c>
      <c r="AG1721">
        <v>48076228000191</v>
      </c>
      <c r="AH1721" t="s">
        <v>44</v>
      </c>
    </row>
    <row r="1722" spans="1:34" x14ac:dyDescent="0.3">
      <c r="A1722">
        <v>101</v>
      </c>
      <c r="B1722" t="s">
        <v>34</v>
      </c>
      <c r="C1722">
        <v>2</v>
      </c>
      <c r="D1722" s="1" t="s">
        <v>5027</v>
      </c>
      <c r="E1722" s="1" t="s">
        <v>36</v>
      </c>
      <c r="G1722">
        <v>436311</v>
      </c>
      <c r="H1722" t="s">
        <v>5028</v>
      </c>
      <c r="I1722" t="s">
        <v>5023</v>
      </c>
      <c r="J1722">
        <v>12</v>
      </c>
      <c r="K1722">
        <v>436310</v>
      </c>
      <c r="L1722">
        <v>50341</v>
      </c>
      <c r="M1722" t="s">
        <v>146</v>
      </c>
      <c r="N1722">
        <v>395</v>
      </c>
      <c r="O1722" s="2">
        <v>46202</v>
      </c>
      <c r="P1722" s="2">
        <v>46260</v>
      </c>
      <c r="R1722" t="s">
        <v>5029</v>
      </c>
      <c r="S1722" t="str">
        <f>"00012849"</f>
        <v>00012849</v>
      </c>
      <c r="T1722" t="s">
        <v>41</v>
      </c>
      <c r="U1722">
        <v>5966.42</v>
      </c>
      <c r="V1722">
        <v>1401.02</v>
      </c>
      <c r="W1722">
        <v>1401.02</v>
      </c>
      <c r="X1722">
        <v>0</v>
      </c>
      <c r="Y1722">
        <v>0</v>
      </c>
      <c r="Z1722">
        <v>-485</v>
      </c>
      <c r="AA1722">
        <v>692740</v>
      </c>
      <c r="AD1722" t="s">
        <v>64</v>
      </c>
      <c r="AE1722" t="s">
        <v>5030</v>
      </c>
      <c r="AF1722" t="s">
        <v>64</v>
      </c>
      <c r="AG1722">
        <v>48076228000949</v>
      </c>
      <c r="AH1722" t="s">
        <v>44</v>
      </c>
    </row>
    <row r="1723" spans="1:34" x14ac:dyDescent="0.3">
      <c r="A1723">
        <v>101</v>
      </c>
      <c r="B1723" t="s">
        <v>34</v>
      </c>
      <c r="C1723">
        <v>2</v>
      </c>
      <c r="D1723" s="1" t="s">
        <v>5027</v>
      </c>
      <c r="E1723" s="1" t="s">
        <v>4375</v>
      </c>
      <c r="G1723">
        <v>436311</v>
      </c>
      <c r="H1723" t="s">
        <v>5028</v>
      </c>
      <c r="I1723" t="s">
        <v>5023</v>
      </c>
      <c r="J1723">
        <v>12</v>
      </c>
      <c r="K1723">
        <v>436310</v>
      </c>
      <c r="L1723">
        <v>50341</v>
      </c>
      <c r="M1723" t="s">
        <v>146</v>
      </c>
      <c r="N1723">
        <v>395</v>
      </c>
      <c r="O1723" s="2">
        <v>46202</v>
      </c>
      <c r="P1723" s="2">
        <v>46281</v>
      </c>
      <c r="R1723" t="s">
        <v>5029</v>
      </c>
      <c r="S1723" t="str">
        <f>"00012852"</f>
        <v>00012852</v>
      </c>
      <c r="T1723" t="s">
        <v>41</v>
      </c>
      <c r="U1723">
        <v>5072.8599999999997</v>
      </c>
      <c r="V1723">
        <v>5072.8599999999997</v>
      </c>
      <c r="W1723">
        <v>5072.8599999999997</v>
      </c>
      <c r="X1723">
        <v>0</v>
      </c>
      <c r="Y1723">
        <v>0</v>
      </c>
      <c r="Z1723">
        <v>-506</v>
      </c>
      <c r="AA1723">
        <v>692740</v>
      </c>
      <c r="AD1723" t="s">
        <v>64</v>
      </c>
      <c r="AE1723" t="s">
        <v>5030</v>
      </c>
      <c r="AF1723" t="s">
        <v>64</v>
      </c>
      <c r="AG1723">
        <v>48076228000949</v>
      </c>
      <c r="AH1723" t="s">
        <v>44</v>
      </c>
    </row>
    <row r="1724" spans="1:34" x14ac:dyDescent="0.3">
      <c r="A1724">
        <v>101</v>
      </c>
      <c r="B1724" t="s">
        <v>34</v>
      </c>
      <c r="C1724">
        <v>2</v>
      </c>
      <c r="D1724" s="1" t="s">
        <v>5027</v>
      </c>
      <c r="E1724" s="1" t="s">
        <v>116</v>
      </c>
      <c r="G1724">
        <v>436311</v>
      </c>
      <c r="H1724" t="s">
        <v>5028</v>
      </c>
      <c r="I1724" t="s">
        <v>5023</v>
      </c>
      <c r="J1724">
        <v>12</v>
      </c>
      <c r="K1724">
        <v>436310</v>
      </c>
      <c r="L1724">
        <v>50341</v>
      </c>
      <c r="M1724" t="s">
        <v>146</v>
      </c>
      <c r="N1724">
        <v>395</v>
      </c>
      <c r="O1724" s="2">
        <v>46202</v>
      </c>
      <c r="P1724" s="2">
        <v>46274</v>
      </c>
      <c r="R1724" t="s">
        <v>5029</v>
      </c>
      <c r="S1724" t="str">
        <f>"00012851"</f>
        <v>00012851</v>
      </c>
      <c r="T1724" t="s">
        <v>41</v>
      </c>
      <c r="U1724">
        <v>5072.8500000000004</v>
      </c>
      <c r="V1724">
        <v>5072.8500000000004</v>
      </c>
      <c r="W1724">
        <v>5072.8500000000004</v>
      </c>
      <c r="X1724">
        <v>0</v>
      </c>
      <c r="Y1724">
        <v>0</v>
      </c>
      <c r="Z1724">
        <v>-499</v>
      </c>
      <c r="AA1724">
        <v>692740</v>
      </c>
      <c r="AD1724" t="s">
        <v>64</v>
      </c>
      <c r="AE1724" t="s">
        <v>5030</v>
      </c>
      <c r="AF1724" t="s">
        <v>64</v>
      </c>
      <c r="AG1724">
        <v>48076228000949</v>
      </c>
      <c r="AH1724" t="s">
        <v>44</v>
      </c>
    </row>
    <row r="1725" spans="1:34" x14ac:dyDescent="0.3">
      <c r="A1725">
        <v>101</v>
      </c>
      <c r="B1725" t="s">
        <v>34</v>
      </c>
      <c r="C1725">
        <v>2</v>
      </c>
      <c r="D1725" s="1" t="s">
        <v>5027</v>
      </c>
      <c r="E1725" s="1" t="s">
        <v>122</v>
      </c>
      <c r="G1725">
        <v>436311</v>
      </c>
      <c r="H1725" t="s">
        <v>5028</v>
      </c>
      <c r="I1725" t="s">
        <v>5023</v>
      </c>
      <c r="J1725">
        <v>12</v>
      </c>
      <c r="K1725">
        <v>436310</v>
      </c>
      <c r="L1725">
        <v>50341</v>
      </c>
      <c r="M1725" t="s">
        <v>146</v>
      </c>
      <c r="N1725">
        <v>395</v>
      </c>
      <c r="O1725" s="2">
        <v>46202</v>
      </c>
      <c r="P1725" s="2">
        <v>46267</v>
      </c>
      <c r="R1725" t="s">
        <v>5029</v>
      </c>
      <c r="S1725" t="str">
        <f>"00012850"</f>
        <v>00012850</v>
      </c>
      <c r="T1725" t="s">
        <v>41</v>
      </c>
      <c r="U1725">
        <v>5072.8500000000004</v>
      </c>
      <c r="V1725">
        <v>5072.8500000000004</v>
      </c>
      <c r="W1725">
        <v>5072.8500000000004</v>
      </c>
      <c r="X1725">
        <v>0</v>
      </c>
      <c r="Y1725">
        <v>0</v>
      </c>
      <c r="Z1725">
        <v>-492</v>
      </c>
      <c r="AA1725">
        <v>692740</v>
      </c>
      <c r="AD1725" t="s">
        <v>64</v>
      </c>
      <c r="AE1725" t="s">
        <v>5030</v>
      </c>
      <c r="AF1725" t="s">
        <v>64</v>
      </c>
      <c r="AG1725">
        <v>48076228000949</v>
      </c>
      <c r="AH1725" t="s">
        <v>44</v>
      </c>
    </row>
    <row r="1726" spans="1:34" x14ac:dyDescent="0.3">
      <c r="A1726">
        <v>101</v>
      </c>
      <c r="B1726" t="s">
        <v>34</v>
      </c>
      <c r="C1726">
        <v>2</v>
      </c>
      <c r="D1726" s="1" t="s">
        <v>5031</v>
      </c>
      <c r="E1726" s="1" t="s">
        <v>36</v>
      </c>
      <c r="G1726">
        <v>436311</v>
      </c>
      <c r="H1726" t="s">
        <v>5028</v>
      </c>
      <c r="I1726" t="s">
        <v>5023</v>
      </c>
      <c r="J1726">
        <v>12</v>
      </c>
      <c r="K1726">
        <v>436310</v>
      </c>
      <c r="L1726">
        <v>50341</v>
      </c>
      <c r="M1726" t="s">
        <v>146</v>
      </c>
      <c r="N1726">
        <v>395</v>
      </c>
      <c r="O1726" s="2">
        <v>46240</v>
      </c>
      <c r="P1726" s="2">
        <v>46293</v>
      </c>
      <c r="R1726" t="s">
        <v>5032</v>
      </c>
      <c r="S1726" t="str">
        <f>"00013617"</f>
        <v>00013617</v>
      </c>
      <c r="T1726" t="s">
        <v>41</v>
      </c>
      <c r="U1726">
        <v>1397.32</v>
      </c>
      <c r="V1726">
        <v>1397.32</v>
      </c>
      <c r="W1726">
        <v>1397.32</v>
      </c>
      <c r="X1726">
        <v>0</v>
      </c>
      <c r="Y1726">
        <v>0</v>
      </c>
      <c r="Z1726">
        <v>-518</v>
      </c>
      <c r="AA1726">
        <v>4113</v>
      </c>
      <c r="AD1726" t="s">
        <v>64</v>
      </c>
      <c r="AE1726" t="s">
        <v>5030</v>
      </c>
      <c r="AF1726" t="s">
        <v>64</v>
      </c>
      <c r="AG1726">
        <v>48076228000949</v>
      </c>
      <c r="AH1726" t="s">
        <v>44</v>
      </c>
    </row>
    <row r="1727" spans="1:34" x14ac:dyDescent="0.3">
      <c r="A1727">
        <v>101</v>
      </c>
      <c r="B1727" t="s">
        <v>34</v>
      </c>
      <c r="C1727">
        <v>2</v>
      </c>
      <c r="D1727" s="1" t="s">
        <v>5031</v>
      </c>
      <c r="E1727" s="1" t="s">
        <v>4375</v>
      </c>
      <c r="G1727">
        <v>436311</v>
      </c>
      <c r="H1727" t="s">
        <v>5028</v>
      </c>
      <c r="I1727" t="s">
        <v>5023</v>
      </c>
      <c r="J1727">
        <v>12</v>
      </c>
      <c r="K1727">
        <v>436310</v>
      </c>
      <c r="L1727">
        <v>50341</v>
      </c>
      <c r="M1727" t="s">
        <v>146</v>
      </c>
      <c r="N1727">
        <v>395</v>
      </c>
      <c r="O1727" s="2">
        <v>46240</v>
      </c>
      <c r="P1727" s="2">
        <v>46314</v>
      </c>
      <c r="R1727" t="s">
        <v>5032</v>
      </c>
      <c r="S1727" t="str">
        <f>"00013620"</f>
        <v>00013620</v>
      </c>
      <c r="T1727" t="s">
        <v>41</v>
      </c>
      <c r="U1727">
        <v>1342.57</v>
      </c>
      <c r="V1727">
        <v>1342.57</v>
      </c>
      <c r="W1727">
        <v>1342.57</v>
      </c>
      <c r="X1727">
        <v>0</v>
      </c>
      <c r="Y1727">
        <v>0</v>
      </c>
      <c r="Z1727">
        <v>-539</v>
      </c>
      <c r="AA1727">
        <v>4113</v>
      </c>
      <c r="AD1727" t="s">
        <v>64</v>
      </c>
      <c r="AE1727" t="s">
        <v>5030</v>
      </c>
      <c r="AF1727" t="s">
        <v>64</v>
      </c>
      <c r="AG1727">
        <v>48076228000949</v>
      </c>
      <c r="AH1727" t="s">
        <v>44</v>
      </c>
    </row>
    <row r="1728" spans="1:34" x14ac:dyDescent="0.3">
      <c r="A1728">
        <v>101</v>
      </c>
      <c r="B1728" t="s">
        <v>34</v>
      </c>
      <c r="C1728">
        <v>2</v>
      </c>
      <c r="D1728" s="1" t="s">
        <v>5031</v>
      </c>
      <c r="E1728" s="1" t="s">
        <v>122</v>
      </c>
      <c r="G1728">
        <v>436311</v>
      </c>
      <c r="H1728" t="s">
        <v>5028</v>
      </c>
      <c r="I1728" t="s">
        <v>5023</v>
      </c>
      <c r="J1728">
        <v>12</v>
      </c>
      <c r="K1728">
        <v>436310</v>
      </c>
      <c r="L1728">
        <v>50341</v>
      </c>
      <c r="M1728" t="s">
        <v>146</v>
      </c>
      <c r="N1728">
        <v>395</v>
      </c>
      <c r="O1728" s="2">
        <v>46240</v>
      </c>
      <c r="P1728" s="2">
        <v>46300</v>
      </c>
      <c r="R1728" t="s">
        <v>5032</v>
      </c>
      <c r="S1728" t="str">
        <f>"00013618"</f>
        <v>00013618</v>
      </c>
      <c r="T1728" t="s">
        <v>41</v>
      </c>
      <c r="U1728">
        <v>1342.56</v>
      </c>
      <c r="V1728">
        <v>1342.56</v>
      </c>
      <c r="W1728">
        <v>1342.56</v>
      </c>
      <c r="X1728">
        <v>0</v>
      </c>
      <c r="Y1728">
        <v>0</v>
      </c>
      <c r="Z1728">
        <v>-525</v>
      </c>
      <c r="AA1728">
        <v>4113</v>
      </c>
      <c r="AD1728" t="s">
        <v>64</v>
      </c>
      <c r="AE1728" t="s">
        <v>5030</v>
      </c>
      <c r="AF1728" t="s">
        <v>64</v>
      </c>
      <c r="AG1728">
        <v>48076228000949</v>
      </c>
      <c r="AH1728" t="s">
        <v>44</v>
      </c>
    </row>
    <row r="1729" spans="1:34" x14ac:dyDescent="0.3">
      <c r="A1729">
        <v>101</v>
      </c>
      <c r="B1729" t="s">
        <v>34</v>
      </c>
      <c r="C1729">
        <v>2</v>
      </c>
      <c r="D1729" s="1" t="s">
        <v>5031</v>
      </c>
      <c r="E1729" s="1" t="s">
        <v>116</v>
      </c>
      <c r="G1729">
        <v>436311</v>
      </c>
      <c r="H1729" t="s">
        <v>5028</v>
      </c>
      <c r="I1729" t="s">
        <v>5023</v>
      </c>
      <c r="J1729">
        <v>12</v>
      </c>
      <c r="K1729">
        <v>436310</v>
      </c>
      <c r="L1729">
        <v>50341</v>
      </c>
      <c r="M1729" t="s">
        <v>146</v>
      </c>
      <c r="N1729">
        <v>395</v>
      </c>
      <c r="O1729" s="2">
        <v>46240</v>
      </c>
      <c r="P1729" s="2">
        <v>46307</v>
      </c>
      <c r="R1729" t="s">
        <v>5032</v>
      </c>
      <c r="S1729" t="str">
        <f>"00013619"</f>
        <v>00013619</v>
      </c>
      <c r="T1729" t="s">
        <v>41</v>
      </c>
      <c r="U1729">
        <v>1342.56</v>
      </c>
      <c r="V1729">
        <v>1342.56</v>
      </c>
      <c r="W1729">
        <v>1342.56</v>
      </c>
      <c r="X1729">
        <v>0</v>
      </c>
      <c r="Y1729">
        <v>0</v>
      </c>
      <c r="Z1729">
        <v>-532</v>
      </c>
      <c r="AA1729">
        <v>4113</v>
      </c>
      <c r="AD1729" t="s">
        <v>64</v>
      </c>
      <c r="AE1729" t="s">
        <v>5030</v>
      </c>
      <c r="AF1729" t="s">
        <v>64</v>
      </c>
      <c r="AG1729">
        <v>48076228000949</v>
      </c>
      <c r="AH1729" t="s">
        <v>44</v>
      </c>
    </row>
    <row r="1730" spans="1:34" x14ac:dyDescent="0.3">
      <c r="A1730">
        <v>101</v>
      </c>
      <c r="B1730" t="s">
        <v>34</v>
      </c>
      <c r="C1730">
        <v>2</v>
      </c>
      <c r="D1730" s="1" t="s">
        <v>5033</v>
      </c>
      <c r="E1730" s="1" t="s">
        <v>116</v>
      </c>
      <c r="G1730">
        <v>436312</v>
      </c>
      <c r="H1730" t="s">
        <v>5034</v>
      </c>
      <c r="I1730" t="s">
        <v>5023</v>
      </c>
      <c r="J1730">
        <v>12</v>
      </c>
      <c r="K1730">
        <v>436310</v>
      </c>
      <c r="L1730">
        <v>50237</v>
      </c>
      <c r="M1730" t="s">
        <v>39</v>
      </c>
      <c r="N1730">
        <v>395</v>
      </c>
      <c r="O1730" s="2">
        <v>46240</v>
      </c>
      <c r="P1730" s="2">
        <v>46303</v>
      </c>
      <c r="R1730" t="s">
        <v>5035</v>
      </c>
      <c r="S1730" t="str">
        <f>"33000005197P"</f>
        <v>33000005197P</v>
      </c>
      <c r="T1730" t="s">
        <v>41</v>
      </c>
      <c r="U1730">
        <v>6640.39</v>
      </c>
      <c r="V1730">
        <v>6640.39</v>
      </c>
      <c r="W1730">
        <v>6640.39</v>
      </c>
      <c r="X1730">
        <v>0</v>
      </c>
      <c r="Y1730">
        <v>0</v>
      </c>
      <c r="Z1730">
        <v>-528</v>
      </c>
      <c r="AA1730">
        <v>4114</v>
      </c>
      <c r="AD1730" t="s">
        <v>64</v>
      </c>
      <c r="AE1730" t="s">
        <v>5036</v>
      </c>
      <c r="AF1730" t="s">
        <v>64</v>
      </c>
      <c r="AG1730">
        <v>48076228001406</v>
      </c>
      <c r="AH1730" t="s">
        <v>44</v>
      </c>
    </row>
    <row r="1731" spans="1:34" x14ac:dyDescent="0.3">
      <c r="A1731">
        <v>101</v>
      </c>
      <c r="B1731" t="s">
        <v>34</v>
      </c>
      <c r="C1731">
        <v>2</v>
      </c>
      <c r="D1731" s="1" t="s">
        <v>5033</v>
      </c>
      <c r="E1731" s="1" t="s">
        <v>122</v>
      </c>
      <c r="G1731">
        <v>436312</v>
      </c>
      <c r="H1731" t="s">
        <v>5034</v>
      </c>
      <c r="I1731" t="s">
        <v>5023</v>
      </c>
      <c r="J1731">
        <v>12</v>
      </c>
      <c r="K1731">
        <v>436310</v>
      </c>
      <c r="L1731">
        <v>50237</v>
      </c>
      <c r="M1731" t="s">
        <v>39</v>
      </c>
      <c r="N1731">
        <v>395</v>
      </c>
      <c r="O1731" s="2">
        <v>46240</v>
      </c>
      <c r="P1731" s="2">
        <v>46296</v>
      </c>
      <c r="R1731" t="s">
        <v>5035</v>
      </c>
      <c r="S1731" t="str">
        <f>"330000051961"</f>
        <v>330000051961</v>
      </c>
      <c r="T1731" t="s">
        <v>41</v>
      </c>
      <c r="U1731">
        <v>6640.39</v>
      </c>
      <c r="V1731">
        <v>6640.39</v>
      </c>
      <c r="W1731">
        <v>6640.39</v>
      </c>
      <c r="X1731">
        <v>0</v>
      </c>
      <c r="Y1731">
        <v>0</v>
      </c>
      <c r="Z1731">
        <v>-521</v>
      </c>
      <c r="AA1731">
        <v>4114</v>
      </c>
      <c r="AD1731" t="s">
        <v>64</v>
      </c>
      <c r="AE1731" t="s">
        <v>5036</v>
      </c>
      <c r="AF1731" t="s">
        <v>64</v>
      </c>
      <c r="AG1731">
        <v>48076228001406</v>
      </c>
      <c r="AH1731" t="s">
        <v>44</v>
      </c>
    </row>
    <row r="1732" spans="1:34" x14ac:dyDescent="0.3">
      <c r="A1732">
        <v>101</v>
      </c>
      <c r="B1732" t="s">
        <v>34</v>
      </c>
      <c r="C1732">
        <v>2</v>
      </c>
      <c r="D1732" s="1" t="s">
        <v>5033</v>
      </c>
      <c r="E1732" s="1" t="s">
        <v>36</v>
      </c>
      <c r="G1732">
        <v>436312</v>
      </c>
      <c r="H1732" t="s">
        <v>5034</v>
      </c>
      <c r="I1732" t="s">
        <v>5023</v>
      </c>
      <c r="J1732">
        <v>12</v>
      </c>
      <c r="K1732">
        <v>436310</v>
      </c>
      <c r="L1732">
        <v>50237</v>
      </c>
      <c r="M1732" t="s">
        <v>39</v>
      </c>
      <c r="N1732">
        <v>395</v>
      </c>
      <c r="O1732" s="2">
        <v>46240</v>
      </c>
      <c r="P1732" s="2">
        <v>46289</v>
      </c>
      <c r="R1732" t="s">
        <v>5035</v>
      </c>
      <c r="S1732" t="str">
        <f>"330000051953"</f>
        <v>330000051953</v>
      </c>
      <c r="T1732" t="s">
        <v>41</v>
      </c>
      <c r="U1732">
        <v>6992.74</v>
      </c>
      <c r="V1732">
        <v>6992.74</v>
      </c>
      <c r="W1732">
        <v>6992.74</v>
      </c>
      <c r="X1732">
        <v>0</v>
      </c>
      <c r="Y1732">
        <v>0</v>
      </c>
      <c r="Z1732">
        <v>-514</v>
      </c>
      <c r="AA1732">
        <v>4114</v>
      </c>
      <c r="AD1732" t="s">
        <v>64</v>
      </c>
      <c r="AE1732" t="s">
        <v>5036</v>
      </c>
      <c r="AF1732" t="s">
        <v>64</v>
      </c>
      <c r="AG1732">
        <v>48076228001406</v>
      </c>
      <c r="AH1732" t="s">
        <v>44</v>
      </c>
    </row>
    <row r="1733" spans="1:34" x14ac:dyDescent="0.3">
      <c r="A1733">
        <v>101</v>
      </c>
      <c r="B1733" t="s">
        <v>34</v>
      </c>
      <c r="C1733">
        <v>2</v>
      </c>
      <c r="D1733" s="1" t="s">
        <v>5033</v>
      </c>
      <c r="E1733" s="1" t="s">
        <v>4375</v>
      </c>
      <c r="G1733">
        <v>436312</v>
      </c>
      <c r="H1733" t="s">
        <v>5034</v>
      </c>
      <c r="I1733" t="s">
        <v>5023</v>
      </c>
      <c r="J1733">
        <v>12</v>
      </c>
      <c r="K1733">
        <v>436310</v>
      </c>
      <c r="L1733">
        <v>50237</v>
      </c>
      <c r="M1733" t="s">
        <v>39</v>
      </c>
      <c r="N1733">
        <v>395</v>
      </c>
      <c r="O1733" s="2">
        <v>46240</v>
      </c>
      <c r="P1733" s="2">
        <v>46310</v>
      </c>
      <c r="R1733" t="s">
        <v>5035</v>
      </c>
      <c r="S1733" t="str">
        <f>"330000051988"</f>
        <v>330000051988</v>
      </c>
      <c r="T1733" t="s">
        <v>41</v>
      </c>
      <c r="U1733">
        <v>6640.4</v>
      </c>
      <c r="V1733">
        <v>6640.4</v>
      </c>
      <c r="W1733">
        <v>6640.4</v>
      </c>
      <c r="X1733">
        <v>0</v>
      </c>
      <c r="Y1733">
        <v>0</v>
      </c>
      <c r="Z1733">
        <v>-535</v>
      </c>
      <c r="AA1733">
        <v>4114</v>
      </c>
      <c r="AD1733" t="s">
        <v>64</v>
      </c>
      <c r="AE1733" t="s">
        <v>5036</v>
      </c>
      <c r="AF1733" t="s">
        <v>64</v>
      </c>
      <c r="AG1733">
        <v>48076228001406</v>
      </c>
      <c r="AH1733" t="s">
        <v>44</v>
      </c>
    </row>
    <row r="1734" spans="1:34" x14ac:dyDescent="0.3">
      <c r="A1734">
        <v>101</v>
      </c>
      <c r="B1734" t="s">
        <v>34</v>
      </c>
      <c r="C1734">
        <v>2</v>
      </c>
      <c r="D1734" s="1" t="s">
        <v>5037</v>
      </c>
      <c r="E1734" s="1" t="s">
        <v>116</v>
      </c>
      <c r="G1734">
        <v>436312</v>
      </c>
      <c r="H1734" t="s">
        <v>5034</v>
      </c>
      <c r="I1734" t="s">
        <v>5023</v>
      </c>
      <c r="J1734">
        <v>12</v>
      </c>
      <c r="K1734">
        <v>436310</v>
      </c>
      <c r="L1734">
        <v>50237</v>
      </c>
      <c r="M1734" t="s">
        <v>39</v>
      </c>
      <c r="N1734">
        <v>395</v>
      </c>
      <c r="O1734" s="2">
        <v>46202</v>
      </c>
      <c r="P1734" s="2">
        <v>46265</v>
      </c>
      <c r="R1734" t="s">
        <v>5038</v>
      </c>
      <c r="S1734" t="str">
        <f>"330000050779"</f>
        <v>330000050779</v>
      </c>
      <c r="T1734" t="s">
        <v>41</v>
      </c>
      <c r="U1734">
        <v>7398.66</v>
      </c>
      <c r="V1734">
        <v>7398.66</v>
      </c>
      <c r="W1734">
        <v>7398.66</v>
      </c>
      <c r="X1734">
        <v>0</v>
      </c>
      <c r="Y1734">
        <v>0</v>
      </c>
      <c r="Z1734">
        <v>-490</v>
      </c>
      <c r="AA1734">
        <v>692742</v>
      </c>
      <c r="AD1734" t="s">
        <v>64</v>
      </c>
      <c r="AE1734" t="s">
        <v>5036</v>
      </c>
      <c r="AF1734" t="s">
        <v>64</v>
      </c>
      <c r="AG1734">
        <v>48076228001406</v>
      </c>
      <c r="AH1734" t="s">
        <v>44</v>
      </c>
    </row>
    <row r="1735" spans="1:34" x14ac:dyDescent="0.3">
      <c r="A1735">
        <v>101</v>
      </c>
      <c r="B1735" t="s">
        <v>34</v>
      </c>
      <c r="C1735">
        <v>2</v>
      </c>
      <c r="D1735" s="1" t="s">
        <v>5037</v>
      </c>
      <c r="E1735" s="1" t="s">
        <v>122</v>
      </c>
      <c r="G1735">
        <v>436312</v>
      </c>
      <c r="H1735" t="s">
        <v>5034</v>
      </c>
      <c r="I1735" t="s">
        <v>5023</v>
      </c>
      <c r="J1735">
        <v>12</v>
      </c>
      <c r="K1735">
        <v>436310</v>
      </c>
      <c r="L1735">
        <v>50237</v>
      </c>
      <c r="M1735" t="s">
        <v>39</v>
      </c>
      <c r="N1735">
        <v>395</v>
      </c>
      <c r="O1735" s="2">
        <v>46202</v>
      </c>
      <c r="P1735" s="2">
        <v>46258</v>
      </c>
      <c r="R1735" t="s">
        <v>5038</v>
      </c>
      <c r="S1735" t="str">
        <f>"330000050760"</f>
        <v>330000050760</v>
      </c>
      <c r="T1735" t="s">
        <v>41</v>
      </c>
      <c r="U1735">
        <v>7398.66</v>
      </c>
      <c r="V1735">
        <v>7398.66</v>
      </c>
      <c r="W1735">
        <v>7398.66</v>
      </c>
      <c r="X1735">
        <v>0</v>
      </c>
      <c r="Y1735">
        <v>0</v>
      </c>
      <c r="Z1735">
        <v>-483</v>
      </c>
      <c r="AA1735">
        <v>692742</v>
      </c>
      <c r="AD1735" t="s">
        <v>64</v>
      </c>
      <c r="AE1735" t="s">
        <v>5036</v>
      </c>
      <c r="AF1735" t="s">
        <v>64</v>
      </c>
      <c r="AG1735">
        <v>48076228001406</v>
      </c>
      <c r="AH1735" t="s">
        <v>44</v>
      </c>
    </row>
    <row r="1736" spans="1:34" x14ac:dyDescent="0.3">
      <c r="A1736">
        <v>101</v>
      </c>
      <c r="B1736" t="s">
        <v>34</v>
      </c>
      <c r="C1736">
        <v>2</v>
      </c>
      <c r="D1736" s="1" t="s">
        <v>5037</v>
      </c>
      <c r="E1736" s="1" t="s">
        <v>4375</v>
      </c>
      <c r="G1736">
        <v>436312</v>
      </c>
      <c r="H1736" t="s">
        <v>5034</v>
      </c>
      <c r="I1736" t="s">
        <v>5023</v>
      </c>
      <c r="J1736">
        <v>12</v>
      </c>
      <c r="K1736">
        <v>436310</v>
      </c>
      <c r="L1736">
        <v>50237</v>
      </c>
      <c r="M1736" t="s">
        <v>39</v>
      </c>
      <c r="N1736">
        <v>395</v>
      </c>
      <c r="O1736" s="2">
        <v>46202</v>
      </c>
      <c r="P1736" s="2">
        <v>46272</v>
      </c>
      <c r="R1736" t="s">
        <v>5038</v>
      </c>
      <c r="S1736" t="str">
        <f>"330000050787"</f>
        <v>330000050787</v>
      </c>
      <c r="T1736" t="s">
        <v>41</v>
      </c>
      <c r="U1736">
        <v>7398.65</v>
      </c>
      <c r="V1736">
        <v>7398.65</v>
      </c>
      <c r="W1736">
        <v>7398.65</v>
      </c>
      <c r="X1736">
        <v>0</v>
      </c>
      <c r="Y1736">
        <v>0</v>
      </c>
      <c r="Z1736">
        <v>-497</v>
      </c>
      <c r="AA1736">
        <v>692742</v>
      </c>
      <c r="AD1736" t="s">
        <v>64</v>
      </c>
      <c r="AE1736" t="s">
        <v>5036</v>
      </c>
      <c r="AF1736" t="s">
        <v>64</v>
      </c>
      <c r="AG1736">
        <v>48076228001406</v>
      </c>
      <c r="AH1736" t="s">
        <v>44</v>
      </c>
    </row>
    <row r="1737" spans="1:34" x14ac:dyDescent="0.3">
      <c r="A1737">
        <v>101</v>
      </c>
      <c r="B1737" t="s">
        <v>34</v>
      </c>
      <c r="C1737">
        <v>2</v>
      </c>
      <c r="D1737" s="1" t="s">
        <v>5039</v>
      </c>
      <c r="E1737" s="1" t="s">
        <v>116</v>
      </c>
      <c r="G1737">
        <v>436448</v>
      </c>
      <c r="H1737" t="s">
        <v>5040</v>
      </c>
      <c r="I1737" t="s">
        <v>5023</v>
      </c>
      <c r="J1737">
        <v>12</v>
      </c>
      <c r="K1737">
        <v>436310</v>
      </c>
      <c r="L1737">
        <v>50341</v>
      </c>
      <c r="M1737" t="s">
        <v>146</v>
      </c>
      <c r="N1737">
        <v>395</v>
      </c>
      <c r="O1737" s="2">
        <v>46202</v>
      </c>
      <c r="P1737" s="2">
        <v>46265</v>
      </c>
      <c r="R1737" t="s">
        <v>5041</v>
      </c>
      <c r="S1737" t="str">
        <f>"00012856"</f>
        <v>00012856</v>
      </c>
      <c r="T1737" t="s">
        <v>41</v>
      </c>
      <c r="U1737">
        <v>2127.8200000000002</v>
      </c>
      <c r="V1737">
        <v>2127.8200000000002</v>
      </c>
      <c r="W1737">
        <v>2127.8200000000002</v>
      </c>
      <c r="X1737">
        <v>0</v>
      </c>
      <c r="Y1737">
        <v>0</v>
      </c>
      <c r="Z1737">
        <v>-490</v>
      </c>
      <c r="AA1737">
        <v>692751</v>
      </c>
      <c r="AD1737" t="s">
        <v>64</v>
      </c>
      <c r="AE1737">
        <v>1120588600</v>
      </c>
      <c r="AF1737" t="s">
        <v>64</v>
      </c>
      <c r="AG1737">
        <v>48076228001830</v>
      </c>
      <c r="AH1737" t="s">
        <v>44</v>
      </c>
    </row>
    <row r="1738" spans="1:34" x14ac:dyDescent="0.3">
      <c r="A1738">
        <v>101</v>
      </c>
      <c r="B1738" t="s">
        <v>34</v>
      </c>
      <c r="C1738">
        <v>2</v>
      </c>
      <c r="D1738" s="1" t="s">
        <v>5039</v>
      </c>
      <c r="E1738" s="1" t="s">
        <v>122</v>
      </c>
      <c r="G1738">
        <v>436448</v>
      </c>
      <c r="H1738" t="s">
        <v>5040</v>
      </c>
      <c r="I1738" t="s">
        <v>5023</v>
      </c>
      <c r="J1738">
        <v>12</v>
      </c>
      <c r="K1738">
        <v>436310</v>
      </c>
      <c r="L1738">
        <v>50341</v>
      </c>
      <c r="M1738" t="s">
        <v>146</v>
      </c>
      <c r="N1738">
        <v>395</v>
      </c>
      <c r="O1738" s="2">
        <v>46202</v>
      </c>
      <c r="P1738" s="2">
        <v>46258</v>
      </c>
      <c r="R1738" t="s">
        <v>5041</v>
      </c>
      <c r="S1738" t="str">
        <f>"00012855"</f>
        <v>00012855</v>
      </c>
      <c r="T1738" t="s">
        <v>41</v>
      </c>
      <c r="U1738">
        <v>2127.8200000000002</v>
      </c>
      <c r="V1738">
        <v>2127.8200000000002</v>
      </c>
      <c r="W1738">
        <v>2127.8200000000002</v>
      </c>
      <c r="X1738">
        <v>0</v>
      </c>
      <c r="Y1738">
        <v>0</v>
      </c>
      <c r="Z1738">
        <v>-483</v>
      </c>
      <c r="AA1738">
        <v>692751</v>
      </c>
      <c r="AD1738" t="s">
        <v>64</v>
      </c>
      <c r="AE1738">
        <v>1120588600</v>
      </c>
      <c r="AF1738" t="s">
        <v>64</v>
      </c>
      <c r="AG1738">
        <v>48076228001830</v>
      </c>
      <c r="AH1738" t="s">
        <v>44</v>
      </c>
    </row>
    <row r="1739" spans="1:34" x14ac:dyDescent="0.3">
      <c r="A1739">
        <v>101</v>
      </c>
      <c r="B1739" t="s">
        <v>34</v>
      </c>
      <c r="C1739">
        <v>2</v>
      </c>
      <c r="D1739" s="1" t="s">
        <v>5039</v>
      </c>
      <c r="E1739" s="1" t="s">
        <v>4375</v>
      </c>
      <c r="G1739">
        <v>436448</v>
      </c>
      <c r="H1739" t="s">
        <v>5040</v>
      </c>
      <c r="I1739" t="s">
        <v>5023</v>
      </c>
      <c r="J1739">
        <v>12</v>
      </c>
      <c r="K1739">
        <v>436310</v>
      </c>
      <c r="L1739">
        <v>50341</v>
      </c>
      <c r="M1739" t="s">
        <v>146</v>
      </c>
      <c r="N1739">
        <v>395</v>
      </c>
      <c r="O1739" s="2">
        <v>46202</v>
      </c>
      <c r="P1739" s="2">
        <v>46272</v>
      </c>
      <c r="R1739" t="s">
        <v>5041</v>
      </c>
      <c r="S1739" t="str">
        <f>"00012857"</f>
        <v>00012857</v>
      </c>
      <c r="T1739" t="s">
        <v>41</v>
      </c>
      <c r="U1739">
        <v>2127.83</v>
      </c>
      <c r="V1739">
        <v>2127.83</v>
      </c>
      <c r="W1739">
        <v>2127.83</v>
      </c>
      <c r="X1739">
        <v>0</v>
      </c>
      <c r="Y1739">
        <v>0</v>
      </c>
      <c r="Z1739">
        <v>-497</v>
      </c>
      <c r="AA1739">
        <v>692751</v>
      </c>
      <c r="AD1739" t="s">
        <v>64</v>
      </c>
      <c r="AE1739">
        <v>1120588600</v>
      </c>
      <c r="AF1739" t="s">
        <v>64</v>
      </c>
      <c r="AG1739">
        <v>48076228001830</v>
      </c>
      <c r="AH1739" t="s">
        <v>44</v>
      </c>
    </row>
    <row r="1740" spans="1:34" x14ac:dyDescent="0.3">
      <c r="A1740">
        <v>101</v>
      </c>
      <c r="B1740" t="s">
        <v>34</v>
      </c>
      <c r="C1740">
        <v>2</v>
      </c>
      <c r="D1740" s="1" t="s">
        <v>5042</v>
      </c>
      <c r="E1740" s="1" t="s">
        <v>4375</v>
      </c>
      <c r="G1740">
        <v>436448</v>
      </c>
      <c r="H1740" t="s">
        <v>5040</v>
      </c>
      <c r="I1740" t="s">
        <v>5023</v>
      </c>
      <c r="J1740">
        <v>12</v>
      </c>
      <c r="K1740">
        <v>436310</v>
      </c>
      <c r="L1740">
        <v>50341</v>
      </c>
      <c r="M1740" t="s">
        <v>146</v>
      </c>
      <c r="N1740">
        <v>395</v>
      </c>
      <c r="O1740" s="2">
        <v>46235</v>
      </c>
      <c r="P1740" s="2">
        <v>46305</v>
      </c>
      <c r="R1740" t="s">
        <v>5043</v>
      </c>
      <c r="S1740" t="str">
        <f>"00013452"</f>
        <v>00013452</v>
      </c>
      <c r="T1740" t="s">
        <v>41</v>
      </c>
      <c r="U1740">
        <v>1283.07</v>
      </c>
      <c r="V1740">
        <v>1283.07</v>
      </c>
      <c r="W1740">
        <v>1283.07</v>
      </c>
      <c r="X1740">
        <v>0</v>
      </c>
      <c r="Y1740">
        <v>0</v>
      </c>
      <c r="Z1740">
        <v>-530</v>
      </c>
      <c r="AA1740">
        <v>4116</v>
      </c>
      <c r="AD1740" t="s">
        <v>64</v>
      </c>
      <c r="AE1740">
        <v>1120588600</v>
      </c>
      <c r="AF1740" t="s">
        <v>64</v>
      </c>
      <c r="AG1740">
        <v>48076228001830</v>
      </c>
      <c r="AH1740" t="s">
        <v>44</v>
      </c>
    </row>
    <row r="1741" spans="1:34" x14ac:dyDescent="0.3">
      <c r="A1741">
        <v>101</v>
      </c>
      <c r="B1741" t="s">
        <v>34</v>
      </c>
      <c r="C1741">
        <v>2</v>
      </c>
      <c r="D1741" s="1" t="s">
        <v>5042</v>
      </c>
      <c r="E1741" s="1" t="s">
        <v>116</v>
      </c>
      <c r="G1741">
        <v>436448</v>
      </c>
      <c r="H1741" t="s">
        <v>5040</v>
      </c>
      <c r="I1741" t="s">
        <v>5023</v>
      </c>
      <c r="J1741">
        <v>12</v>
      </c>
      <c r="K1741">
        <v>436310</v>
      </c>
      <c r="L1741">
        <v>50341</v>
      </c>
      <c r="M1741" t="s">
        <v>146</v>
      </c>
      <c r="N1741">
        <v>395</v>
      </c>
      <c r="O1741" s="2">
        <v>46235</v>
      </c>
      <c r="P1741" s="2">
        <v>46298</v>
      </c>
      <c r="R1741" t="s">
        <v>5043</v>
      </c>
      <c r="S1741" t="str">
        <f>"00013451"</f>
        <v>00013451</v>
      </c>
      <c r="T1741" t="s">
        <v>41</v>
      </c>
      <c r="U1741">
        <v>1283.06</v>
      </c>
      <c r="V1741">
        <v>1283.06</v>
      </c>
      <c r="W1741">
        <v>1283.06</v>
      </c>
      <c r="X1741">
        <v>0</v>
      </c>
      <c r="Y1741">
        <v>0</v>
      </c>
      <c r="Z1741">
        <v>-523</v>
      </c>
      <c r="AA1741">
        <v>4116</v>
      </c>
      <c r="AD1741" t="s">
        <v>64</v>
      </c>
      <c r="AE1741">
        <v>1120588600</v>
      </c>
      <c r="AF1741" t="s">
        <v>64</v>
      </c>
      <c r="AG1741">
        <v>48076228001830</v>
      </c>
      <c r="AH1741" t="s">
        <v>44</v>
      </c>
    </row>
    <row r="1742" spans="1:34" x14ac:dyDescent="0.3">
      <c r="A1742">
        <v>101</v>
      </c>
      <c r="B1742" t="s">
        <v>34</v>
      </c>
      <c r="C1742">
        <v>2</v>
      </c>
      <c r="D1742" s="1" t="s">
        <v>5042</v>
      </c>
      <c r="E1742" s="1" t="s">
        <v>122</v>
      </c>
      <c r="G1742">
        <v>436448</v>
      </c>
      <c r="H1742" t="s">
        <v>5040</v>
      </c>
      <c r="I1742" t="s">
        <v>5023</v>
      </c>
      <c r="J1742">
        <v>12</v>
      </c>
      <c r="K1742">
        <v>436310</v>
      </c>
      <c r="L1742">
        <v>50341</v>
      </c>
      <c r="M1742" t="s">
        <v>146</v>
      </c>
      <c r="N1742">
        <v>395</v>
      </c>
      <c r="O1742" s="2">
        <v>46235</v>
      </c>
      <c r="P1742" s="2">
        <v>46291</v>
      </c>
      <c r="R1742" t="s">
        <v>5043</v>
      </c>
      <c r="S1742" t="str">
        <f>"00013450"</f>
        <v>00013450</v>
      </c>
      <c r="T1742" t="s">
        <v>41</v>
      </c>
      <c r="U1742">
        <v>1283.06</v>
      </c>
      <c r="V1742">
        <v>1283.06</v>
      </c>
      <c r="W1742">
        <v>1283.06</v>
      </c>
      <c r="X1742">
        <v>0</v>
      </c>
      <c r="Y1742">
        <v>0</v>
      </c>
      <c r="Z1742">
        <v>-516</v>
      </c>
      <c r="AA1742">
        <v>4116</v>
      </c>
      <c r="AD1742" t="s">
        <v>64</v>
      </c>
      <c r="AE1742">
        <v>1120588600</v>
      </c>
      <c r="AF1742" t="s">
        <v>64</v>
      </c>
      <c r="AG1742">
        <v>48076228001830</v>
      </c>
      <c r="AH1742" t="s">
        <v>44</v>
      </c>
    </row>
    <row r="1743" spans="1:34" x14ac:dyDescent="0.3">
      <c r="A1743">
        <v>101</v>
      </c>
      <c r="B1743" t="s">
        <v>34</v>
      </c>
      <c r="C1743">
        <v>2</v>
      </c>
      <c r="D1743" s="1" t="s">
        <v>5042</v>
      </c>
      <c r="E1743" s="1" t="s">
        <v>36</v>
      </c>
      <c r="G1743">
        <v>436448</v>
      </c>
      <c r="H1743" t="s">
        <v>5040</v>
      </c>
      <c r="I1743" t="s">
        <v>5023</v>
      </c>
      <c r="J1743">
        <v>12</v>
      </c>
      <c r="K1743">
        <v>436310</v>
      </c>
      <c r="L1743">
        <v>50341</v>
      </c>
      <c r="M1743" t="s">
        <v>146</v>
      </c>
      <c r="N1743">
        <v>395</v>
      </c>
      <c r="O1743" s="2">
        <v>46235</v>
      </c>
      <c r="P1743" s="2">
        <v>46284</v>
      </c>
      <c r="R1743" t="s">
        <v>5043</v>
      </c>
      <c r="S1743" t="str">
        <f>"00013449"</f>
        <v>00013449</v>
      </c>
      <c r="T1743" t="s">
        <v>41</v>
      </c>
      <c r="U1743">
        <v>1292.6600000000001</v>
      </c>
      <c r="V1743">
        <v>1292.6600000000001</v>
      </c>
      <c r="W1743">
        <v>1292.6600000000001</v>
      </c>
      <c r="X1743">
        <v>0</v>
      </c>
      <c r="Y1743">
        <v>0</v>
      </c>
      <c r="Z1743">
        <v>-509</v>
      </c>
      <c r="AA1743">
        <v>4116</v>
      </c>
      <c r="AD1743" t="s">
        <v>64</v>
      </c>
      <c r="AE1743">
        <v>1120588600</v>
      </c>
      <c r="AF1743" t="s">
        <v>64</v>
      </c>
      <c r="AG1743">
        <v>48076228001830</v>
      </c>
      <c r="AH1743" t="s">
        <v>44</v>
      </c>
    </row>
    <row r="1744" spans="1:34" x14ac:dyDescent="0.3">
      <c r="A1744">
        <v>101</v>
      </c>
      <c r="B1744" t="s">
        <v>34</v>
      </c>
      <c r="C1744">
        <v>2</v>
      </c>
      <c r="D1744" s="1" t="s">
        <v>5044</v>
      </c>
      <c r="E1744" s="1" t="s">
        <v>116</v>
      </c>
      <c r="G1744">
        <v>436450</v>
      </c>
      <c r="H1744" t="s">
        <v>5045</v>
      </c>
      <c r="I1744" t="s">
        <v>5023</v>
      </c>
      <c r="J1744">
        <v>12</v>
      </c>
      <c r="K1744">
        <v>436310</v>
      </c>
      <c r="L1744">
        <v>50341</v>
      </c>
      <c r="M1744" t="s">
        <v>146</v>
      </c>
      <c r="N1744">
        <v>395</v>
      </c>
      <c r="O1744" s="2">
        <v>46235</v>
      </c>
      <c r="P1744" s="2">
        <v>46302</v>
      </c>
      <c r="R1744" t="s">
        <v>5046</v>
      </c>
      <c r="S1744" t="str">
        <f>"00013455"</f>
        <v>00013455</v>
      </c>
      <c r="T1744" t="s">
        <v>41</v>
      </c>
      <c r="U1744">
        <v>1119.1199999999999</v>
      </c>
      <c r="V1744">
        <v>1119.1199999999999</v>
      </c>
      <c r="W1744">
        <v>1119.1199999999999</v>
      </c>
      <c r="X1744">
        <v>0</v>
      </c>
      <c r="Y1744">
        <v>0</v>
      </c>
      <c r="Z1744">
        <v>-527</v>
      </c>
      <c r="AA1744">
        <v>4121</v>
      </c>
      <c r="AD1744" t="s">
        <v>50</v>
      </c>
      <c r="AE1744">
        <v>1124618910</v>
      </c>
      <c r="AF1744" t="s">
        <v>50</v>
      </c>
      <c r="AG1744">
        <v>48076228002216</v>
      </c>
      <c r="AH1744" t="s">
        <v>44</v>
      </c>
    </row>
    <row r="1745" spans="1:34" x14ac:dyDescent="0.3">
      <c r="A1745">
        <v>101</v>
      </c>
      <c r="B1745" t="s">
        <v>34</v>
      </c>
      <c r="C1745">
        <v>2</v>
      </c>
      <c r="D1745" s="1" t="s">
        <v>5044</v>
      </c>
      <c r="E1745" s="1" t="s">
        <v>122</v>
      </c>
      <c r="G1745">
        <v>436450</v>
      </c>
      <c r="H1745" t="s">
        <v>5045</v>
      </c>
      <c r="I1745" t="s">
        <v>5023</v>
      </c>
      <c r="J1745">
        <v>12</v>
      </c>
      <c r="K1745">
        <v>436310</v>
      </c>
      <c r="L1745">
        <v>50341</v>
      </c>
      <c r="M1745" t="s">
        <v>146</v>
      </c>
      <c r="N1745">
        <v>395</v>
      </c>
      <c r="O1745" s="2">
        <v>46235</v>
      </c>
      <c r="P1745" s="2">
        <v>46295</v>
      </c>
      <c r="R1745" t="s">
        <v>5046</v>
      </c>
      <c r="S1745" t="str">
        <f>"00013454"</f>
        <v>00013454</v>
      </c>
      <c r="T1745" t="s">
        <v>41</v>
      </c>
      <c r="U1745">
        <v>1119.1199999999999</v>
      </c>
      <c r="V1745">
        <v>1119.1199999999999</v>
      </c>
      <c r="W1745">
        <v>1119.1199999999999</v>
      </c>
      <c r="X1745">
        <v>0</v>
      </c>
      <c r="Y1745">
        <v>0</v>
      </c>
      <c r="Z1745">
        <v>-520</v>
      </c>
      <c r="AA1745">
        <v>4121</v>
      </c>
      <c r="AD1745" t="s">
        <v>50</v>
      </c>
      <c r="AE1745">
        <v>1124618910</v>
      </c>
      <c r="AF1745" t="s">
        <v>50</v>
      </c>
      <c r="AG1745">
        <v>48076228002216</v>
      </c>
      <c r="AH1745" t="s">
        <v>44</v>
      </c>
    </row>
    <row r="1746" spans="1:34" x14ac:dyDescent="0.3">
      <c r="A1746">
        <v>101</v>
      </c>
      <c r="B1746" t="s">
        <v>34</v>
      </c>
      <c r="C1746">
        <v>2</v>
      </c>
      <c r="D1746" s="1" t="s">
        <v>5044</v>
      </c>
      <c r="E1746" s="1" t="s">
        <v>4375</v>
      </c>
      <c r="G1746">
        <v>436450</v>
      </c>
      <c r="H1746" t="s">
        <v>5045</v>
      </c>
      <c r="I1746" t="s">
        <v>5023</v>
      </c>
      <c r="J1746">
        <v>12</v>
      </c>
      <c r="K1746">
        <v>436310</v>
      </c>
      <c r="L1746">
        <v>50341</v>
      </c>
      <c r="M1746" t="s">
        <v>146</v>
      </c>
      <c r="N1746">
        <v>395</v>
      </c>
      <c r="O1746" s="2">
        <v>46235</v>
      </c>
      <c r="P1746" s="2">
        <v>46309</v>
      </c>
      <c r="R1746" t="s">
        <v>5046</v>
      </c>
      <c r="S1746" t="str">
        <f>"00013456"</f>
        <v>00013456</v>
      </c>
      <c r="T1746" t="s">
        <v>41</v>
      </c>
      <c r="U1746">
        <v>1119.1199999999999</v>
      </c>
      <c r="V1746">
        <v>1119.1199999999999</v>
      </c>
      <c r="W1746">
        <v>1119.1199999999999</v>
      </c>
      <c r="X1746">
        <v>0</v>
      </c>
      <c r="Y1746">
        <v>0</v>
      </c>
      <c r="Z1746">
        <v>-534</v>
      </c>
      <c r="AA1746">
        <v>4121</v>
      </c>
      <c r="AD1746" t="s">
        <v>50</v>
      </c>
      <c r="AE1746">
        <v>1124618910</v>
      </c>
      <c r="AF1746" t="s">
        <v>50</v>
      </c>
      <c r="AG1746">
        <v>48076228002216</v>
      </c>
      <c r="AH1746" t="s">
        <v>44</v>
      </c>
    </row>
    <row r="1747" spans="1:34" x14ac:dyDescent="0.3">
      <c r="A1747">
        <v>101</v>
      </c>
      <c r="B1747" t="s">
        <v>34</v>
      </c>
      <c r="C1747">
        <v>2</v>
      </c>
      <c r="D1747" s="1" t="s">
        <v>5044</v>
      </c>
      <c r="E1747" s="1" t="s">
        <v>36</v>
      </c>
      <c r="G1747">
        <v>436450</v>
      </c>
      <c r="H1747" t="s">
        <v>5045</v>
      </c>
      <c r="I1747" t="s">
        <v>5023</v>
      </c>
      <c r="J1747">
        <v>12</v>
      </c>
      <c r="K1747">
        <v>436310</v>
      </c>
      <c r="L1747">
        <v>50341</v>
      </c>
      <c r="M1747" t="s">
        <v>146</v>
      </c>
      <c r="N1747">
        <v>395</v>
      </c>
      <c r="O1747" s="2">
        <v>46235</v>
      </c>
      <c r="P1747" s="2">
        <v>46288</v>
      </c>
      <c r="R1747" t="s">
        <v>5046</v>
      </c>
      <c r="S1747" t="str">
        <f>"00013453"</f>
        <v>00013453</v>
      </c>
      <c r="T1747" t="s">
        <v>41</v>
      </c>
      <c r="U1747">
        <v>1198.46</v>
      </c>
      <c r="V1747">
        <v>1198.46</v>
      </c>
      <c r="W1747">
        <v>1198.46</v>
      </c>
      <c r="X1747">
        <v>0</v>
      </c>
      <c r="Y1747">
        <v>0</v>
      </c>
      <c r="Z1747">
        <v>-513</v>
      </c>
      <c r="AA1747">
        <v>4121</v>
      </c>
      <c r="AD1747" t="s">
        <v>50</v>
      </c>
      <c r="AE1747">
        <v>1124618910</v>
      </c>
      <c r="AF1747" t="s">
        <v>50</v>
      </c>
      <c r="AG1747">
        <v>48076228002216</v>
      </c>
      <c r="AH1747" t="s">
        <v>44</v>
      </c>
    </row>
    <row r="1748" spans="1:34" x14ac:dyDescent="0.3">
      <c r="A1748">
        <v>101</v>
      </c>
      <c r="B1748" t="s">
        <v>34</v>
      </c>
      <c r="C1748">
        <v>2</v>
      </c>
      <c r="D1748" s="1" t="s">
        <v>5047</v>
      </c>
      <c r="E1748" s="1" t="s">
        <v>116</v>
      </c>
      <c r="G1748">
        <v>436450</v>
      </c>
      <c r="H1748" t="s">
        <v>5045</v>
      </c>
      <c r="I1748" t="s">
        <v>5023</v>
      </c>
      <c r="J1748">
        <v>12</v>
      </c>
      <c r="K1748">
        <v>436310</v>
      </c>
      <c r="L1748">
        <v>50341</v>
      </c>
      <c r="M1748" t="s">
        <v>146</v>
      </c>
      <c r="N1748">
        <v>395</v>
      </c>
      <c r="O1748" s="2">
        <v>46202</v>
      </c>
      <c r="P1748" s="2">
        <v>46275</v>
      </c>
      <c r="R1748" t="s">
        <v>5048</v>
      </c>
      <c r="S1748" t="str">
        <f>"00012860"</f>
        <v>00012860</v>
      </c>
      <c r="T1748" t="s">
        <v>41</v>
      </c>
      <c r="U1748">
        <v>1979.91</v>
      </c>
      <c r="V1748">
        <v>1979.91</v>
      </c>
      <c r="W1748">
        <v>1979.91</v>
      </c>
      <c r="X1748">
        <v>0</v>
      </c>
      <c r="Y1748">
        <v>0</v>
      </c>
      <c r="Z1748">
        <v>-500</v>
      </c>
      <c r="AA1748">
        <v>692768</v>
      </c>
      <c r="AD1748" t="s">
        <v>50</v>
      </c>
      <c r="AE1748">
        <v>1124618910</v>
      </c>
      <c r="AF1748" t="s">
        <v>50</v>
      </c>
      <c r="AG1748">
        <v>48076228002216</v>
      </c>
      <c r="AH1748" t="s">
        <v>44</v>
      </c>
    </row>
    <row r="1749" spans="1:34" x14ac:dyDescent="0.3">
      <c r="A1749">
        <v>101</v>
      </c>
      <c r="B1749" t="s">
        <v>34</v>
      </c>
      <c r="C1749">
        <v>2</v>
      </c>
      <c r="D1749" s="1" t="s">
        <v>5047</v>
      </c>
      <c r="E1749" s="1" t="s">
        <v>4375</v>
      </c>
      <c r="G1749">
        <v>436450</v>
      </c>
      <c r="H1749" t="s">
        <v>5045</v>
      </c>
      <c r="I1749" t="s">
        <v>5023</v>
      </c>
      <c r="J1749">
        <v>12</v>
      </c>
      <c r="K1749">
        <v>436310</v>
      </c>
      <c r="L1749">
        <v>50341</v>
      </c>
      <c r="M1749" t="s">
        <v>146</v>
      </c>
      <c r="N1749">
        <v>395</v>
      </c>
      <c r="O1749" s="2">
        <v>46202</v>
      </c>
      <c r="P1749" s="2">
        <v>46282</v>
      </c>
      <c r="R1749" t="s">
        <v>5048</v>
      </c>
      <c r="S1749" t="str">
        <f>"00012861"</f>
        <v>00012861</v>
      </c>
      <c r="T1749" t="s">
        <v>41</v>
      </c>
      <c r="U1749">
        <v>1979.92</v>
      </c>
      <c r="V1749">
        <v>1979.92</v>
      </c>
      <c r="W1749">
        <v>1979.92</v>
      </c>
      <c r="X1749">
        <v>0</v>
      </c>
      <c r="Y1749">
        <v>0</v>
      </c>
      <c r="Z1749">
        <v>-507</v>
      </c>
      <c r="AA1749">
        <v>692768</v>
      </c>
      <c r="AD1749" t="s">
        <v>50</v>
      </c>
      <c r="AE1749">
        <v>1124618910</v>
      </c>
      <c r="AF1749" t="s">
        <v>50</v>
      </c>
      <c r="AG1749">
        <v>48076228002216</v>
      </c>
      <c r="AH1749" t="s">
        <v>44</v>
      </c>
    </row>
    <row r="1750" spans="1:34" x14ac:dyDescent="0.3">
      <c r="A1750">
        <v>101</v>
      </c>
      <c r="B1750" t="s">
        <v>34</v>
      </c>
      <c r="C1750">
        <v>2</v>
      </c>
      <c r="D1750" s="1" t="s">
        <v>5047</v>
      </c>
      <c r="E1750" s="1" t="s">
        <v>122</v>
      </c>
      <c r="G1750">
        <v>436450</v>
      </c>
      <c r="H1750" t="s">
        <v>5045</v>
      </c>
      <c r="I1750" t="s">
        <v>5023</v>
      </c>
      <c r="J1750">
        <v>12</v>
      </c>
      <c r="K1750">
        <v>436310</v>
      </c>
      <c r="L1750">
        <v>50341</v>
      </c>
      <c r="M1750" t="s">
        <v>146</v>
      </c>
      <c r="N1750">
        <v>395</v>
      </c>
      <c r="O1750" s="2">
        <v>46202</v>
      </c>
      <c r="P1750" s="2">
        <v>46268</v>
      </c>
      <c r="R1750" t="s">
        <v>5048</v>
      </c>
      <c r="S1750" t="str">
        <f>"00012859"</f>
        <v>00012859</v>
      </c>
      <c r="T1750" t="s">
        <v>41</v>
      </c>
      <c r="U1750">
        <v>1979.91</v>
      </c>
      <c r="V1750">
        <v>1979.91</v>
      </c>
      <c r="W1750">
        <v>1979.91</v>
      </c>
      <c r="X1750">
        <v>0</v>
      </c>
      <c r="Y1750">
        <v>0</v>
      </c>
      <c r="Z1750">
        <v>-493</v>
      </c>
      <c r="AA1750">
        <v>692768</v>
      </c>
      <c r="AD1750" t="s">
        <v>50</v>
      </c>
      <c r="AE1750">
        <v>1124618910</v>
      </c>
      <c r="AF1750" t="s">
        <v>50</v>
      </c>
      <c r="AG1750">
        <v>48076228002216</v>
      </c>
      <c r="AH1750" t="s">
        <v>44</v>
      </c>
    </row>
    <row r="1751" spans="1:34" x14ac:dyDescent="0.3">
      <c r="A1751">
        <v>101</v>
      </c>
      <c r="B1751" t="s">
        <v>34</v>
      </c>
      <c r="C1751">
        <v>2</v>
      </c>
      <c r="D1751" s="1" t="s">
        <v>5047</v>
      </c>
      <c r="E1751" s="1" t="s">
        <v>36</v>
      </c>
      <c r="G1751">
        <v>436450</v>
      </c>
      <c r="H1751" t="s">
        <v>5045</v>
      </c>
      <c r="I1751" t="s">
        <v>5023</v>
      </c>
      <c r="J1751">
        <v>12</v>
      </c>
      <c r="K1751">
        <v>436310</v>
      </c>
      <c r="L1751">
        <v>50341</v>
      </c>
      <c r="M1751" t="s">
        <v>146</v>
      </c>
      <c r="N1751">
        <v>395</v>
      </c>
      <c r="O1751" s="2">
        <v>46202</v>
      </c>
      <c r="P1751" s="2">
        <v>46261</v>
      </c>
      <c r="R1751" t="s">
        <v>5048</v>
      </c>
      <c r="S1751" t="str">
        <f>"00012858"</f>
        <v>00012858</v>
      </c>
      <c r="T1751" t="s">
        <v>41</v>
      </c>
      <c r="U1751">
        <v>2151.96</v>
      </c>
      <c r="V1751">
        <v>2151.96</v>
      </c>
      <c r="W1751">
        <v>2151.96</v>
      </c>
      <c r="X1751">
        <v>0</v>
      </c>
      <c r="Y1751">
        <v>0</v>
      </c>
      <c r="Z1751">
        <v>-486</v>
      </c>
      <c r="AA1751">
        <v>692768</v>
      </c>
      <c r="AD1751" t="s">
        <v>50</v>
      </c>
      <c r="AE1751">
        <v>1124618910</v>
      </c>
      <c r="AF1751" t="s">
        <v>50</v>
      </c>
      <c r="AG1751">
        <v>48076228002216</v>
      </c>
      <c r="AH1751" t="s">
        <v>44</v>
      </c>
    </row>
    <row r="1752" spans="1:34" x14ac:dyDescent="0.3">
      <c r="A1752">
        <v>101</v>
      </c>
      <c r="B1752" t="s">
        <v>34</v>
      </c>
      <c r="C1752">
        <v>2</v>
      </c>
      <c r="D1752" s="1" t="s">
        <v>5049</v>
      </c>
      <c r="E1752" s="1" t="s">
        <v>122</v>
      </c>
      <c r="G1752">
        <v>436458</v>
      </c>
      <c r="H1752" t="s">
        <v>5050</v>
      </c>
      <c r="I1752" t="s">
        <v>5023</v>
      </c>
      <c r="J1752">
        <v>12</v>
      </c>
      <c r="K1752">
        <v>436310</v>
      </c>
      <c r="L1752">
        <v>50341</v>
      </c>
      <c r="M1752" t="s">
        <v>146</v>
      </c>
      <c r="N1752">
        <v>395</v>
      </c>
      <c r="O1752" s="2">
        <v>46240</v>
      </c>
      <c r="P1752" s="2">
        <v>46296</v>
      </c>
      <c r="R1752" t="s">
        <v>5051</v>
      </c>
      <c r="S1752" t="str">
        <f>"00013623"</f>
        <v>00013623</v>
      </c>
      <c r="T1752" t="s">
        <v>41</v>
      </c>
      <c r="U1752">
        <v>4502.47</v>
      </c>
      <c r="V1752">
        <v>4502.47</v>
      </c>
      <c r="W1752">
        <v>4502.47</v>
      </c>
      <c r="X1752">
        <v>0</v>
      </c>
      <c r="Y1752">
        <v>0</v>
      </c>
      <c r="Z1752">
        <v>-521</v>
      </c>
      <c r="AA1752">
        <v>4123</v>
      </c>
      <c r="AD1752" t="s">
        <v>64</v>
      </c>
      <c r="AE1752">
        <v>1122196030</v>
      </c>
      <c r="AF1752" t="s">
        <v>64</v>
      </c>
      <c r="AG1752">
        <v>48076228002305</v>
      </c>
      <c r="AH1752" t="s">
        <v>44</v>
      </c>
    </row>
    <row r="1753" spans="1:34" x14ac:dyDescent="0.3">
      <c r="A1753">
        <v>101</v>
      </c>
      <c r="B1753" t="s">
        <v>34</v>
      </c>
      <c r="C1753">
        <v>2</v>
      </c>
      <c r="D1753" s="1" t="s">
        <v>5052</v>
      </c>
      <c r="E1753" s="1" t="s">
        <v>116</v>
      </c>
      <c r="G1753">
        <v>436458</v>
      </c>
      <c r="H1753" t="s">
        <v>5050</v>
      </c>
      <c r="I1753" t="s">
        <v>5023</v>
      </c>
      <c r="J1753">
        <v>12</v>
      </c>
      <c r="K1753">
        <v>436310</v>
      </c>
      <c r="L1753">
        <v>50341</v>
      </c>
      <c r="M1753" t="s">
        <v>146</v>
      </c>
      <c r="N1753">
        <v>395</v>
      </c>
      <c r="O1753" s="2">
        <v>46202</v>
      </c>
      <c r="P1753" s="2">
        <v>46265</v>
      </c>
      <c r="R1753" t="s">
        <v>5053</v>
      </c>
      <c r="S1753" t="str">
        <f>"00012864"</f>
        <v>00012864</v>
      </c>
      <c r="T1753" t="s">
        <v>41</v>
      </c>
      <c r="U1753">
        <v>5020.37</v>
      </c>
      <c r="V1753">
        <v>5020.37</v>
      </c>
      <c r="W1753">
        <v>5020.37</v>
      </c>
      <c r="X1753">
        <v>0</v>
      </c>
      <c r="Y1753">
        <v>0</v>
      </c>
      <c r="Z1753">
        <v>-490</v>
      </c>
      <c r="AA1753">
        <v>692773</v>
      </c>
      <c r="AD1753" t="s">
        <v>64</v>
      </c>
      <c r="AE1753">
        <v>1122196030</v>
      </c>
      <c r="AF1753" t="s">
        <v>64</v>
      </c>
      <c r="AG1753">
        <v>48076228002305</v>
      </c>
      <c r="AH1753" t="s">
        <v>44</v>
      </c>
    </row>
    <row r="1754" spans="1:34" x14ac:dyDescent="0.3">
      <c r="A1754">
        <v>101</v>
      </c>
      <c r="B1754" t="s">
        <v>34</v>
      </c>
      <c r="C1754">
        <v>2</v>
      </c>
      <c r="D1754" s="1" t="s">
        <v>5049</v>
      </c>
      <c r="E1754" s="1" t="s">
        <v>116</v>
      </c>
      <c r="G1754">
        <v>436458</v>
      </c>
      <c r="H1754" t="s">
        <v>5050</v>
      </c>
      <c r="I1754" t="s">
        <v>5023</v>
      </c>
      <c r="J1754">
        <v>12</v>
      </c>
      <c r="K1754">
        <v>436310</v>
      </c>
      <c r="L1754">
        <v>50341</v>
      </c>
      <c r="M1754" t="s">
        <v>146</v>
      </c>
      <c r="N1754">
        <v>395</v>
      </c>
      <c r="O1754" s="2">
        <v>46240</v>
      </c>
      <c r="P1754" s="2">
        <v>46303</v>
      </c>
      <c r="R1754" t="s">
        <v>5051</v>
      </c>
      <c r="S1754" t="str">
        <f>"00013624"</f>
        <v>00013624</v>
      </c>
      <c r="T1754" t="s">
        <v>41</v>
      </c>
      <c r="U1754">
        <v>4502.47</v>
      </c>
      <c r="V1754">
        <v>4502.47</v>
      </c>
      <c r="W1754">
        <v>4502.47</v>
      </c>
      <c r="X1754">
        <v>0</v>
      </c>
      <c r="Y1754">
        <v>0</v>
      </c>
      <c r="Z1754">
        <v>-528</v>
      </c>
      <c r="AA1754">
        <v>4123</v>
      </c>
      <c r="AD1754" t="s">
        <v>64</v>
      </c>
      <c r="AE1754">
        <v>1122196030</v>
      </c>
      <c r="AF1754" t="s">
        <v>64</v>
      </c>
      <c r="AG1754">
        <v>48076228002305</v>
      </c>
      <c r="AH1754" t="s">
        <v>44</v>
      </c>
    </row>
    <row r="1755" spans="1:34" x14ac:dyDescent="0.3">
      <c r="A1755">
        <v>101</v>
      </c>
      <c r="B1755" t="s">
        <v>34</v>
      </c>
      <c r="C1755">
        <v>2</v>
      </c>
      <c r="D1755" s="1" t="s">
        <v>5052</v>
      </c>
      <c r="E1755" s="1" t="s">
        <v>122</v>
      </c>
      <c r="G1755">
        <v>436458</v>
      </c>
      <c r="H1755" t="s">
        <v>5050</v>
      </c>
      <c r="I1755" t="s">
        <v>5023</v>
      </c>
      <c r="J1755">
        <v>12</v>
      </c>
      <c r="K1755">
        <v>436310</v>
      </c>
      <c r="L1755">
        <v>50341</v>
      </c>
      <c r="M1755" t="s">
        <v>146</v>
      </c>
      <c r="N1755">
        <v>395</v>
      </c>
      <c r="O1755" s="2">
        <v>46202</v>
      </c>
      <c r="P1755" s="2">
        <v>46258</v>
      </c>
      <c r="R1755" t="s">
        <v>5053</v>
      </c>
      <c r="S1755" t="str">
        <f>"00012863"</f>
        <v>00012863</v>
      </c>
      <c r="T1755" t="s">
        <v>41</v>
      </c>
      <c r="U1755">
        <v>5020.37</v>
      </c>
      <c r="V1755">
        <v>5020.37</v>
      </c>
      <c r="W1755">
        <v>5020.37</v>
      </c>
      <c r="X1755">
        <v>0</v>
      </c>
      <c r="Y1755">
        <v>0</v>
      </c>
      <c r="Z1755">
        <v>-483</v>
      </c>
      <c r="AA1755">
        <v>692773</v>
      </c>
      <c r="AD1755" t="s">
        <v>64</v>
      </c>
      <c r="AE1755">
        <v>1122196030</v>
      </c>
      <c r="AF1755" t="s">
        <v>64</v>
      </c>
      <c r="AG1755">
        <v>48076228002305</v>
      </c>
      <c r="AH1755" t="s">
        <v>44</v>
      </c>
    </row>
    <row r="1756" spans="1:34" x14ac:dyDescent="0.3">
      <c r="A1756">
        <v>101</v>
      </c>
      <c r="B1756" t="s">
        <v>34</v>
      </c>
      <c r="C1756">
        <v>2</v>
      </c>
      <c r="D1756" s="1" t="s">
        <v>5049</v>
      </c>
      <c r="E1756" s="1" t="s">
        <v>4375</v>
      </c>
      <c r="G1756">
        <v>436458</v>
      </c>
      <c r="H1756" t="s">
        <v>5050</v>
      </c>
      <c r="I1756" t="s">
        <v>5023</v>
      </c>
      <c r="J1756">
        <v>12</v>
      </c>
      <c r="K1756">
        <v>436310</v>
      </c>
      <c r="L1756">
        <v>50341</v>
      </c>
      <c r="M1756" t="s">
        <v>146</v>
      </c>
      <c r="N1756">
        <v>395</v>
      </c>
      <c r="O1756" s="2">
        <v>46240</v>
      </c>
      <c r="P1756" s="2">
        <v>46310</v>
      </c>
      <c r="R1756" t="s">
        <v>5051</v>
      </c>
      <c r="S1756" t="str">
        <f>"00013625"</f>
        <v>00013625</v>
      </c>
      <c r="T1756" t="s">
        <v>41</v>
      </c>
      <c r="U1756">
        <v>4502.47</v>
      </c>
      <c r="V1756">
        <v>4502.47</v>
      </c>
      <c r="W1756">
        <v>4502.47</v>
      </c>
      <c r="X1756">
        <v>0</v>
      </c>
      <c r="Y1756">
        <v>0</v>
      </c>
      <c r="Z1756">
        <v>-535</v>
      </c>
      <c r="AA1756">
        <v>4123</v>
      </c>
      <c r="AD1756" t="s">
        <v>64</v>
      </c>
      <c r="AE1756">
        <v>1122196030</v>
      </c>
      <c r="AF1756" t="s">
        <v>64</v>
      </c>
      <c r="AG1756">
        <v>48076228002305</v>
      </c>
      <c r="AH1756" t="s">
        <v>44</v>
      </c>
    </row>
    <row r="1757" spans="1:34" x14ac:dyDescent="0.3">
      <c r="A1757">
        <v>101</v>
      </c>
      <c r="B1757" t="s">
        <v>34</v>
      </c>
      <c r="C1757">
        <v>2</v>
      </c>
      <c r="D1757" s="1" t="s">
        <v>5052</v>
      </c>
      <c r="E1757" s="1" t="s">
        <v>4375</v>
      </c>
      <c r="G1757">
        <v>436458</v>
      </c>
      <c r="H1757" t="s">
        <v>5050</v>
      </c>
      <c r="I1757" t="s">
        <v>5023</v>
      </c>
      <c r="J1757">
        <v>12</v>
      </c>
      <c r="K1757">
        <v>436310</v>
      </c>
      <c r="L1757">
        <v>50341</v>
      </c>
      <c r="M1757" t="s">
        <v>146</v>
      </c>
      <c r="N1757">
        <v>395</v>
      </c>
      <c r="O1757" s="2">
        <v>46202</v>
      </c>
      <c r="P1757" s="2">
        <v>46272</v>
      </c>
      <c r="R1757" t="s">
        <v>5053</v>
      </c>
      <c r="S1757" t="str">
        <f>"00012865"</f>
        <v>00012865</v>
      </c>
      <c r="T1757" t="s">
        <v>41</v>
      </c>
      <c r="U1757">
        <v>5020.38</v>
      </c>
      <c r="V1757">
        <v>5020.38</v>
      </c>
      <c r="W1757">
        <v>5020.38</v>
      </c>
      <c r="X1757">
        <v>0</v>
      </c>
      <c r="Y1757">
        <v>0</v>
      </c>
      <c r="Z1757">
        <v>-497</v>
      </c>
      <c r="AA1757">
        <v>692773</v>
      </c>
      <c r="AD1757" t="s">
        <v>64</v>
      </c>
      <c r="AE1757">
        <v>1122196030</v>
      </c>
      <c r="AF1757" t="s">
        <v>64</v>
      </c>
      <c r="AG1757">
        <v>48076228002305</v>
      </c>
      <c r="AH1757" t="s">
        <v>44</v>
      </c>
    </row>
    <row r="1758" spans="1:34" x14ac:dyDescent="0.3">
      <c r="A1758">
        <v>101</v>
      </c>
      <c r="B1758" t="s">
        <v>34</v>
      </c>
      <c r="C1758">
        <v>2</v>
      </c>
      <c r="D1758" s="1" t="s">
        <v>5049</v>
      </c>
      <c r="E1758" s="1" t="s">
        <v>36</v>
      </c>
      <c r="G1758">
        <v>436458</v>
      </c>
      <c r="H1758" t="s">
        <v>5050</v>
      </c>
      <c r="I1758" t="s">
        <v>5023</v>
      </c>
      <c r="J1758">
        <v>12</v>
      </c>
      <c r="K1758">
        <v>436310</v>
      </c>
      <c r="L1758">
        <v>50341</v>
      </c>
      <c r="M1758" t="s">
        <v>146</v>
      </c>
      <c r="N1758">
        <v>395</v>
      </c>
      <c r="O1758" s="2">
        <v>46240</v>
      </c>
      <c r="P1758" s="2">
        <v>46289</v>
      </c>
      <c r="R1758" t="s">
        <v>5051</v>
      </c>
      <c r="S1758" t="str">
        <f>"00013622"</f>
        <v>00013622</v>
      </c>
      <c r="T1758" t="s">
        <v>41</v>
      </c>
      <c r="U1758">
        <v>4834.8100000000004</v>
      </c>
      <c r="V1758">
        <v>4834.8100000000004</v>
      </c>
      <c r="W1758">
        <v>4834.8100000000004</v>
      </c>
      <c r="X1758">
        <v>0</v>
      </c>
      <c r="Y1758">
        <v>0</v>
      </c>
      <c r="Z1758">
        <v>-514</v>
      </c>
      <c r="AA1758">
        <v>4123</v>
      </c>
      <c r="AD1758" t="s">
        <v>64</v>
      </c>
      <c r="AE1758">
        <v>1122196030</v>
      </c>
      <c r="AF1758" t="s">
        <v>64</v>
      </c>
      <c r="AG1758">
        <v>48076228002305</v>
      </c>
      <c r="AH1758" t="s">
        <v>44</v>
      </c>
    </row>
    <row r="1759" spans="1:34" x14ac:dyDescent="0.3">
      <c r="A1759">
        <v>101</v>
      </c>
      <c r="B1759" t="s">
        <v>34</v>
      </c>
      <c r="C1759">
        <v>2</v>
      </c>
      <c r="D1759" s="1" t="s">
        <v>5054</v>
      </c>
      <c r="E1759" s="1" t="s">
        <v>4375</v>
      </c>
      <c r="G1759">
        <v>436458</v>
      </c>
      <c r="H1759" t="s">
        <v>5050</v>
      </c>
      <c r="I1759" t="s">
        <v>5023</v>
      </c>
      <c r="J1759">
        <v>12</v>
      </c>
      <c r="K1759">
        <v>436310</v>
      </c>
      <c r="L1759">
        <v>50341</v>
      </c>
      <c r="M1759" t="s">
        <v>146</v>
      </c>
      <c r="N1759">
        <v>395</v>
      </c>
      <c r="O1759" s="2">
        <v>46171</v>
      </c>
      <c r="P1759" s="2">
        <v>46259</v>
      </c>
      <c r="R1759" t="s">
        <v>5055</v>
      </c>
      <c r="S1759" t="str">
        <f>"00012446"</f>
        <v>00012446</v>
      </c>
      <c r="T1759" t="s">
        <v>41</v>
      </c>
      <c r="U1759">
        <v>1150.6199999999999</v>
      </c>
      <c r="V1759">
        <v>612.69000000000005</v>
      </c>
      <c r="W1759">
        <v>612.69000000000005</v>
      </c>
      <c r="X1759">
        <v>0</v>
      </c>
      <c r="Y1759">
        <v>0</v>
      </c>
      <c r="Z1759">
        <v>-484</v>
      </c>
      <c r="AA1759">
        <v>689876</v>
      </c>
      <c r="AD1759" t="s">
        <v>64</v>
      </c>
      <c r="AE1759">
        <v>1122196030</v>
      </c>
      <c r="AF1759" t="s">
        <v>64</v>
      </c>
      <c r="AG1759">
        <v>48076228002305</v>
      </c>
      <c r="AH1759" t="s">
        <v>44</v>
      </c>
    </row>
    <row r="1760" spans="1:34" x14ac:dyDescent="0.3">
      <c r="A1760">
        <v>101</v>
      </c>
      <c r="B1760" t="s">
        <v>34</v>
      </c>
      <c r="C1760">
        <v>2</v>
      </c>
      <c r="D1760" s="1" t="s">
        <v>5056</v>
      </c>
      <c r="E1760" s="1" t="s">
        <v>122</v>
      </c>
      <c r="G1760">
        <v>436459</v>
      </c>
      <c r="H1760" t="s">
        <v>5057</v>
      </c>
      <c r="I1760" t="s">
        <v>5023</v>
      </c>
      <c r="J1760">
        <v>12</v>
      </c>
      <c r="K1760">
        <v>436310</v>
      </c>
      <c r="L1760">
        <v>50341</v>
      </c>
      <c r="M1760" t="s">
        <v>146</v>
      </c>
      <c r="N1760">
        <v>395</v>
      </c>
      <c r="O1760" s="2">
        <v>46235</v>
      </c>
      <c r="P1760" s="2">
        <v>46291</v>
      </c>
      <c r="R1760" t="s">
        <v>5058</v>
      </c>
      <c r="S1760" t="str">
        <f>"00013458"</f>
        <v>00013458</v>
      </c>
      <c r="T1760" t="s">
        <v>41</v>
      </c>
      <c r="U1760">
        <v>2445.34</v>
      </c>
      <c r="V1760">
        <v>2445.34</v>
      </c>
      <c r="W1760">
        <v>2445.34</v>
      </c>
      <c r="X1760">
        <v>0</v>
      </c>
      <c r="Y1760">
        <v>0</v>
      </c>
      <c r="Z1760">
        <v>-516</v>
      </c>
      <c r="AA1760">
        <v>4128</v>
      </c>
      <c r="AD1760" t="s">
        <v>64</v>
      </c>
      <c r="AE1760">
        <v>1156987800</v>
      </c>
      <c r="AF1760" t="s">
        <v>64</v>
      </c>
      <c r="AG1760">
        <v>48076228002569</v>
      </c>
      <c r="AH1760" t="s">
        <v>44</v>
      </c>
    </row>
    <row r="1761" spans="1:34" x14ac:dyDescent="0.3">
      <c r="A1761">
        <v>101</v>
      </c>
      <c r="B1761" t="s">
        <v>34</v>
      </c>
      <c r="C1761">
        <v>2</v>
      </c>
      <c r="D1761" s="1" t="s">
        <v>5056</v>
      </c>
      <c r="E1761" s="1" t="s">
        <v>36</v>
      </c>
      <c r="G1761">
        <v>436459</v>
      </c>
      <c r="H1761" t="s">
        <v>5057</v>
      </c>
      <c r="I1761" t="s">
        <v>5023</v>
      </c>
      <c r="J1761">
        <v>12</v>
      </c>
      <c r="K1761">
        <v>436310</v>
      </c>
      <c r="L1761">
        <v>50341</v>
      </c>
      <c r="M1761" t="s">
        <v>146</v>
      </c>
      <c r="N1761">
        <v>395</v>
      </c>
      <c r="O1761" s="2">
        <v>46235</v>
      </c>
      <c r="P1761" s="2">
        <v>46284</v>
      </c>
      <c r="R1761" t="s">
        <v>5058</v>
      </c>
      <c r="S1761" t="str">
        <f>"00013457"</f>
        <v>00013457</v>
      </c>
      <c r="T1761" t="s">
        <v>41</v>
      </c>
      <c r="U1761">
        <v>2678.85</v>
      </c>
      <c r="V1761">
        <v>2678.85</v>
      </c>
      <c r="W1761">
        <v>2678.85</v>
      </c>
      <c r="X1761">
        <v>0</v>
      </c>
      <c r="Y1761">
        <v>0</v>
      </c>
      <c r="Z1761">
        <v>-509</v>
      </c>
      <c r="AA1761">
        <v>4128</v>
      </c>
      <c r="AD1761" t="s">
        <v>64</v>
      </c>
      <c r="AE1761">
        <v>1156987800</v>
      </c>
      <c r="AF1761" t="s">
        <v>64</v>
      </c>
      <c r="AG1761">
        <v>48076228002569</v>
      </c>
      <c r="AH1761" t="s">
        <v>44</v>
      </c>
    </row>
    <row r="1762" spans="1:34" x14ac:dyDescent="0.3">
      <c r="A1762">
        <v>101</v>
      </c>
      <c r="B1762" t="s">
        <v>34</v>
      </c>
      <c r="C1762">
        <v>2</v>
      </c>
      <c r="D1762" s="1" t="s">
        <v>5056</v>
      </c>
      <c r="E1762" s="1" t="s">
        <v>4375</v>
      </c>
      <c r="G1762">
        <v>436459</v>
      </c>
      <c r="H1762" t="s">
        <v>5057</v>
      </c>
      <c r="I1762" t="s">
        <v>5023</v>
      </c>
      <c r="J1762">
        <v>12</v>
      </c>
      <c r="K1762">
        <v>436310</v>
      </c>
      <c r="L1762">
        <v>50341</v>
      </c>
      <c r="M1762" t="s">
        <v>146</v>
      </c>
      <c r="N1762">
        <v>395</v>
      </c>
      <c r="O1762" s="2">
        <v>46235</v>
      </c>
      <c r="P1762" s="2">
        <v>46305</v>
      </c>
      <c r="R1762" t="s">
        <v>5058</v>
      </c>
      <c r="S1762" t="str">
        <f>"00013460"</f>
        <v>00013460</v>
      </c>
      <c r="T1762" t="s">
        <v>41</v>
      </c>
      <c r="U1762">
        <v>2445.33</v>
      </c>
      <c r="V1762">
        <v>2445.33</v>
      </c>
      <c r="W1762">
        <v>2445.33</v>
      </c>
      <c r="X1762">
        <v>0</v>
      </c>
      <c r="Y1762">
        <v>0</v>
      </c>
      <c r="Z1762">
        <v>-530</v>
      </c>
      <c r="AA1762">
        <v>4128</v>
      </c>
      <c r="AD1762" t="s">
        <v>64</v>
      </c>
      <c r="AE1762">
        <v>1156987800</v>
      </c>
      <c r="AF1762" t="s">
        <v>64</v>
      </c>
      <c r="AG1762">
        <v>48076228002569</v>
      </c>
      <c r="AH1762" t="s">
        <v>44</v>
      </c>
    </row>
    <row r="1763" spans="1:34" x14ac:dyDescent="0.3">
      <c r="A1763">
        <v>101</v>
      </c>
      <c r="B1763" t="s">
        <v>34</v>
      </c>
      <c r="C1763">
        <v>2</v>
      </c>
      <c r="D1763" s="1" t="s">
        <v>5056</v>
      </c>
      <c r="E1763" s="1" t="s">
        <v>116</v>
      </c>
      <c r="G1763">
        <v>436459</v>
      </c>
      <c r="H1763" t="s">
        <v>5057</v>
      </c>
      <c r="I1763" t="s">
        <v>5023</v>
      </c>
      <c r="J1763">
        <v>12</v>
      </c>
      <c r="K1763">
        <v>436310</v>
      </c>
      <c r="L1763">
        <v>50341</v>
      </c>
      <c r="M1763" t="s">
        <v>146</v>
      </c>
      <c r="N1763">
        <v>395</v>
      </c>
      <c r="O1763" s="2">
        <v>46235</v>
      </c>
      <c r="P1763" s="2">
        <v>46298</v>
      </c>
      <c r="R1763" t="s">
        <v>5058</v>
      </c>
      <c r="S1763" t="str">
        <f>"00013459"</f>
        <v>00013459</v>
      </c>
      <c r="T1763" t="s">
        <v>41</v>
      </c>
      <c r="U1763">
        <v>2445.34</v>
      </c>
      <c r="V1763">
        <v>2445.34</v>
      </c>
      <c r="W1763">
        <v>2445.34</v>
      </c>
      <c r="X1763">
        <v>0</v>
      </c>
      <c r="Y1763">
        <v>0</v>
      </c>
      <c r="Z1763">
        <v>-523</v>
      </c>
      <c r="AA1763">
        <v>4128</v>
      </c>
      <c r="AD1763" t="s">
        <v>64</v>
      </c>
      <c r="AE1763">
        <v>1156987800</v>
      </c>
      <c r="AF1763" t="s">
        <v>64</v>
      </c>
      <c r="AG1763">
        <v>48076228002569</v>
      </c>
      <c r="AH1763" t="s">
        <v>44</v>
      </c>
    </row>
    <row r="1764" spans="1:34" x14ac:dyDescent="0.3">
      <c r="A1764">
        <v>101</v>
      </c>
      <c r="B1764" t="s">
        <v>34</v>
      </c>
      <c r="C1764">
        <v>2</v>
      </c>
      <c r="D1764" s="1" t="s">
        <v>5059</v>
      </c>
      <c r="E1764" s="1" t="s">
        <v>116</v>
      </c>
      <c r="G1764">
        <v>436459</v>
      </c>
      <c r="H1764" t="s">
        <v>5057</v>
      </c>
      <c r="I1764" t="s">
        <v>5023</v>
      </c>
      <c r="J1764">
        <v>12</v>
      </c>
      <c r="K1764">
        <v>436310</v>
      </c>
      <c r="L1764">
        <v>50341</v>
      </c>
      <c r="M1764" t="s">
        <v>146</v>
      </c>
      <c r="N1764">
        <v>395</v>
      </c>
      <c r="O1764" s="2">
        <v>46202</v>
      </c>
      <c r="P1764" s="2">
        <v>46276</v>
      </c>
      <c r="R1764" t="s">
        <v>5060</v>
      </c>
      <c r="S1764" t="str">
        <f>"00012868"</f>
        <v>00012868</v>
      </c>
      <c r="T1764" t="s">
        <v>41</v>
      </c>
      <c r="U1764">
        <v>3398.23</v>
      </c>
      <c r="V1764">
        <v>3398.23</v>
      </c>
      <c r="W1764">
        <v>3398.23</v>
      </c>
      <c r="X1764">
        <v>0</v>
      </c>
      <c r="Y1764">
        <v>0</v>
      </c>
      <c r="Z1764">
        <v>-501</v>
      </c>
      <c r="AA1764">
        <v>692775</v>
      </c>
      <c r="AD1764" t="s">
        <v>64</v>
      </c>
      <c r="AE1764">
        <v>1156987800</v>
      </c>
      <c r="AF1764" t="s">
        <v>64</v>
      </c>
      <c r="AG1764">
        <v>48076228002569</v>
      </c>
      <c r="AH1764" t="s">
        <v>44</v>
      </c>
    </row>
    <row r="1765" spans="1:34" x14ac:dyDescent="0.3">
      <c r="A1765">
        <v>101</v>
      </c>
      <c r="B1765" t="s">
        <v>34</v>
      </c>
      <c r="C1765">
        <v>2</v>
      </c>
      <c r="D1765" s="1" t="s">
        <v>5059</v>
      </c>
      <c r="E1765" s="1" t="s">
        <v>122</v>
      </c>
      <c r="G1765">
        <v>436459</v>
      </c>
      <c r="H1765" t="s">
        <v>5057</v>
      </c>
      <c r="I1765" t="s">
        <v>5023</v>
      </c>
      <c r="J1765">
        <v>12</v>
      </c>
      <c r="K1765">
        <v>436310</v>
      </c>
      <c r="L1765">
        <v>50341</v>
      </c>
      <c r="M1765" t="s">
        <v>146</v>
      </c>
      <c r="N1765">
        <v>395</v>
      </c>
      <c r="O1765" s="2">
        <v>46202</v>
      </c>
      <c r="P1765" s="2">
        <v>46269</v>
      </c>
      <c r="R1765" t="s">
        <v>5060</v>
      </c>
      <c r="S1765" t="str">
        <f>"00012867"</f>
        <v>00012867</v>
      </c>
      <c r="T1765" t="s">
        <v>41</v>
      </c>
      <c r="U1765">
        <v>3398.23</v>
      </c>
      <c r="V1765">
        <v>3398.23</v>
      </c>
      <c r="W1765">
        <v>3398.23</v>
      </c>
      <c r="X1765">
        <v>0</v>
      </c>
      <c r="Y1765">
        <v>0</v>
      </c>
      <c r="Z1765">
        <v>-494</v>
      </c>
      <c r="AA1765">
        <v>692775</v>
      </c>
      <c r="AD1765" t="s">
        <v>64</v>
      </c>
      <c r="AE1765">
        <v>1156987800</v>
      </c>
      <c r="AF1765" t="s">
        <v>64</v>
      </c>
      <c r="AG1765">
        <v>48076228002569</v>
      </c>
      <c r="AH1765" t="s">
        <v>44</v>
      </c>
    </row>
    <row r="1766" spans="1:34" x14ac:dyDescent="0.3">
      <c r="A1766">
        <v>101</v>
      </c>
      <c r="B1766" t="s">
        <v>34</v>
      </c>
      <c r="C1766">
        <v>2</v>
      </c>
      <c r="D1766" s="1" t="s">
        <v>5059</v>
      </c>
      <c r="E1766" s="1" t="s">
        <v>36</v>
      </c>
      <c r="G1766">
        <v>436459</v>
      </c>
      <c r="H1766" t="s">
        <v>5057</v>
      </c>
      <c r="I1766" t="s">
        <v>5023</v>
      </c>
      <c r="J1766">
        <v>12</v>
      </c>
      <c r="K1766">
        <v>436310</v>
      </c>
      <c r="L1766">
        <v>50341</v>
      </c>
      <c r="M1766" t="s">
        <v>146</v>
      </c>
      <c r="N1766">
        <v>395</v>
      </c>
      <c r="O1766" s="2">
        <v>46202</v>
      </c>
      <c r="P1766" s="2">
        <v>46262</v>
      </c>
      <c r="R1766" t="s">
        <v>5060</v>
      </c>
      <c r="S1766" t="str">
        <f>"00012866"</f>
        <v>00012866</v>
      </c>
      <c r="T1766" t="s">
        <v>41</v>
      </c>
      <c r="U1766">
        <v>3543.28</v>
      </c>
      <c r="V1766">
        <v>3543.28</v>
      </c>
      <c r="W1766">
        <v>3543.28</v>
      </c>
      <c r="X1766">
        <v>0</v>
      </c>
      <c r="Y1766">
        <v>0</v>
      </c>
      <c r="Z1766">
        <v>-487</v>
      </c>
      <c r="AA1766">
        <v>692775</v>
      </c>
      <c r="AD1766" t="s">
        <v>64</v>
      </c>
      <c r="AE1766">
        <v>1156987800</v>
      </c>
      <c r="AF1766" t="s">
        <v>64</v>
      </c>
      <c r="AG1766">
        <v>48076228002569</v>
      </c>
      <c r="AH1766" t="s">
        <v>44</v>
      </c>
    </row>
    <row r="1767" spans="1:34" x14ac:dyDescent="0.3">
      <c r="A1767">
        <v>101</v>
      </c>
      <c r="B1767" t="s">
        <v>34</v>
      </c>
      <c r="C1767">
        <v>2</v>
      </c>
      <c r="D1767" s="1" t="s">
        <v>5059</v>
      </c>
      <c r="E1767" s="1" t="s">
        <v>4375</v>
      </c>
      <c r="G1767">
        <v>436459</v>
      </c>
      <c r="H1767" t="s">
        <v>5057</v>
      </c>
      <c r="I1767" t="s">
        <v>5023</v>
      </c>
      <c r="J1767">
        <v>12</v>
      </c>
      <c r="K1767">
        <v>436310</v>
      </c>
      <c r="L1767">
        <v>50341</v>
      </c>
      <c r="M1767" t="s">
        <v>146</v>
      </c>
      <c r="N1767">
        <v>395</v>
      </c>
      <c r="O1767" s="2">
        <v>46202</v>
      </c>
      <c r="P1767" s="2">
        <v>46283</v>
      </c>
      <c r="R1767" t="s">
        <v>5060</v>
      </c>
      <c r="S1767" t="str">
        <f>"00012869"</f>
        <v>00012869</v>
      </c>
      <c r="T1767" t="s">
        <v>41</v>
      </c>
      <c r="U1767">
        <v>3398.23</v>
      </c>
      <c r="V1767">
        <v>3398.23</v>
      </c>
      <c r="W1767">
        <v>3398.23</v>
      </c>
      <c r="X1767">
        <v>0</v>
      </c>
      <c r="Y1767">
        <v>0</v>
      </c>
      <c r="Z1767">
        <v>-508</v>
      </c>
      <c r="AA1767">
        <v>692775</v>
      </c>
      <c r="AD1767" t="s">
        <v>64</v>
      </c>
      <c r="AE1767">
        <v>1156987800</v>
      </c>
      <c r="AF1767" t="s">
        <v>64</v>
      </c>
      <c r="AG1767">
        <v>48076228002569</v>
      </c>
      <c r="AH1767" t="s">
        <v>44</v>
      </c>
    </row>
    <row r="1768" spans="1:34" x14ac:dyDescent="0.3">
      <c r="A1768">
        <v>101</v>
      </c>
      <c r="B1768" t="s">
        <v>34</v>
      </c>
      <c r="C1768">
        <v>2</v>
      </c>
      <c r="D1768" s="1" t="s">
        <v>5061</v>
      </c>
      <c r="E1768" s="1" t="s">
        <v>4375</v>
      </c>
      <c r="G1768">
        <v>436463</v>
      </c>
      <c r="H1768" t="s">
        <v>5062</v>
      </c>
      <c r="I1768" t="s">
        <v>5023</v>
      </c>
      <c r="J1768">
        <v>12</v>
      </c>
      <c r="K1768">
        <v>436310</v>
      </c>
      <c r="L1768">
        <v>50237</v>
      </c>
      <c r="M1768" t="s">
        <v>39</v>
      </c>
      <c r="N1768">
        <v>395</v>
      </c>
      <c r="O1768" s="2">
        <v>46202</v>
      </c>
      <c r="P1768" s="2">
        <v>46282</v>
      </c>
      <c r="R1768" t="s">
        <v>5063</v>
      </c>
      <c r="S1768" t="str">
        <f>"330000050825"</f>
        <v>330000050825</v>
      </c>
      <c r="T1768" t="s">
        <v>41</v>
      </c>
      <c r="U1768">
        <v>1852.16</v>
      </c>
      <c r="V1768">
        <v>1852.16</v>
      </c>
      <c r="W1768">
        <v>1852.16</v>
      </c>
      <c r="X1768">
        <v>0</v>
      </c>
      <c r="Y1768">
        <v>0</v>
      </c>
      <c r="Z1768">
        <v>-507</v>
      </c>
      <c r="AA1768">
        <v>692765</v>
      </c>
      <c r="AD1768" t="s">
        <v>64</v>
      </c>
      <c r="AE1768">
        <v>1136434110</v>
      </c>
      <c r="AF1768" t="s">
        <v>64</v>
      </c>
      <c r="AG1768">
        <v>48076228002135</v>
      </c>
      <c r="AH1768" t="s">
        <v>44</v>
      </c>
    </row>
    <row r="1769" spans="1:34" x14ac:dyDescent="0.3">
      <c r="A1769">
        <v>101</v>
      </c>
      <c r="B1769" t="s">
        <v>34</v>
      </c>
      <c r="C1769">
        <v>2</v>
      </c>
      <c r="D1769" s="1" t="s">
        <v>5061</v>
      </c>
      <c r="E1769" s="1" t="s">
        <v>122</v>
      </c>
      <c r="G1769">
        <v>436463</v>
      </c>
      <c r="H1769" t="s">
        <v>5062</v>
      </c>
      <c r="I1769" t="s">
        <v>5023</v>
      </c>
      <c r="J1769">
        <v>12</v>
      </c>
      <c r="K1769">
        <v>436310</v>
      </c>
      <c r="L1769">
        <v>50237</v>
      </c>
      <c r="M1769" t="s">
        <v>39</v>
      </c>
      <c r="N1769">
        <v>395</v>
      </c>
      <c r="O1769" s="2">
        <v>46202</v>
      </c>
      <c r="P1769" s="2">
        <v>46268</v>
      </c>
      <c r="R1769" t="s">
        <v>5063</v>
      </c>
      <c r="S1769" t="str">
        <f>"330000050809"</f>
        <v>330000050809</v>
      </c>
      <c r="T1769" t="s">
        <v>41</v>
      </c>
      <c r="U1769">
        <v>1852.18</v>
      </c>
      <c r="V1769">
        <v>1852.18</v>
      </c>
      <c r="W1769">
        <v>1852.18</v>
      </c>
      <c r="X1769">
        <v>0</v>
      </c>
      <c r="Y1769">
        <v>0</v>
      </c>
      <c r="Z1769">
        <v>-493</v>
      </c>
      <c r="AA1769">
        <v>692765</v>
      </c>
      <c r="AD1769" t="s">
        <v>64</v>
      </c>
      <c r="AE1769">
        <v>1136434110</v>
      </c>
      <c r="AF1769" t="s">
        <v>64</v>
      </c>
      <c r="AG1769">
        <v>48076228002135</v>
      </c>
      <c r="AH1769" t="s">
        <v>44</v>
      </c>
    </row>
    <row r="1770" spans="1:34" x14ac:dyDescent="0.3">
      <c r="A1770">
        <v>101</v>
      </c>
      <c r="B1770" t="s">
        <v>34</v>
      </c>
      <c r="C1770">
        <v>2</v>
      </c>
      <c r="D1770" s="1" t="s">
        <v>5061</v>
      </c>
      <c r="E1770" s="1" t="s">
        <v>116</v>
      </c>
      <c r="G1770">
        <v>436463</v>
      </c>
      <c r="H1770" t="s">
        <v>5062</v>
      </c>
      <c r="I1770" t="s">
        <v>5023</v>
      </c>
      <c r="J1770">
        <v>12</v>
      </c>
      <c r="K1770">
        <v>436310</v>
      </c>
      <c r="L1770">
        <v>50237</v>
      </c>
      <c r="M1770" t="s">
        <v>39</v>
      </c>
      <c r="N1770">
        <v>395</v>
      </c>
      <c r="O1770" s="2">
        <v>46202</v>
      </c>
      <c r="P1770" s="2">
        <v>46275</v>
      </c>
      <c r="R1770" t="s">
        <v>5063</v>
      </c>
      <c r="S1770" t="str">
        <f>"330000050817"</f>
        <v>330000050817</v>
      </c>
      <c r="T1770" t="s">
        <v>41</v>
      </c>
      <c r="U1770">
        <v>1852.18</v>
      </c>
      <c r="V1770">
        <v>1852.18</v>
      </c>
      <c r="W1770">
        <v>1852.18</v>
      </c>
      <c r="X1770">
        <v>0</v>
      </c>
      <c r="Y1770">
        <v>0</v>
      </c>
      <c r="Z1770">
        <v>-500</v>
      </c>
      <c r="AA1770">
        <v>692765</v>
      </c>
      <c r="AD1770" t="s">
        <v>64</v>
      </c>
      <c r="AE1770">
        <v>1136434110</v>
      </c>
      <c r="AF1770" t="s">
        <v>64</v>
      </c>
      <c r="AG1770">
        <v>48076228002135</v>
      </c>
      <c r="AH1770" t="s">
        <v>44</v>
      </c>
    </row>
    <row r="1771" spans="1:34" x14ac:dyDescent="0.3">
      <c r="A1771">
        <v>101</v>
      </c>
      <c r="B1771" t="s">
        <v>34</v>
      </c>
      <c r="C1771">
        <v>2</v>
      </c>
      <c r="D1771" s="1" t="s">
        <v>5064</v>
      </c>
      <c r="E1771" s="1" t="s">
        <v>36</v>
      </c>
      <c r="G1771">
        <v>436463</v>
      </c>
      <c r="H1771" t="s">
        <v>5062</v>
      </c>
      <c r="I1771" t="s">
        <v>5023</v>
      </c>
      <c r="J1771">
        <v>12</v>
      </c>
      <c r="K1771">
        <v>436310</v>
      </c>
      <c r="L1771">
        <v>50237</v>
      </c>
      <c r="M1771" t="s">
        <v>39</v>
      </c>
      <c r="N1771">
        <v>395</v>
      </c>
      <c r="O1771" s="2">
        <v>46240</v>
      </c>
      <c r="P1771" s="2">
        <v>46289</v>
      </c>
      <c r="R1771" t="s">
        <v>5065</v>
      </c>
      <c r="S1771" t="str">
        <f>"330000051996"</f>
        <v>330000051996</v>
      </c>
      <c r="T1771" t="s">
        <v>41</v>
      </c>
      <c r="U1771">
        <v>1272.1199999999999</v>
      </c>
      <c r="V1771">
        <v>1272.1199999999999</v>
      </c>
      <c r="W1771">
        <v>1272.1199999999999</v>
      </c>
      <c r="X1771">
        <v>0</v>
      </c>
      <c r="Y1771">
        <v>0</v>
      </c>
      <c r="Z1771">
        <v>-514</v>
      </c>
      <c r="AA1771">
        <v>4120</v>
      </c>
      <c r="AD1771" t="s">
        <v>64</v>
      </c>
      <c r="AE1771">
        <v>1136434110</v>
      </c>
      <c r="AF1771" t="s">
        <v>64</v>
      </c>
      <c r="AG1771">
        <v>48076228002135</v>
      </c>
      <c r="AH1771" t="s">
        <v>44</v>
      </c>
    </row>
    <row r="1772" spans="1:34" x14ac:dyDescent="0.3">
      <c r="A1772">
        <v>101</v>
      </c>
      <c r="B1772" t="s">
        <v>34</v>
      </c>
      <c r="C1772">
        <v>2</v>
      </c>
      <c r="D1772" s="1" t="s">
        <v>5064</v>
      </c>
      <c r="E1772" s="1" t="s">
        <v>122</v>
      </c>
      <c r="G1772">
        <v>436463</v>
      </c>
      <c r="H1772" t="s">
        <v>5062</v>
      </c>
      <c r="I1772" t="s">
        <v>5023</v>
      </c>
      <c r="J1772">
        <v>12</v>
      </c>
      <c r="K1772">
        <v>436310</v>
      </c>
      <c r="L1772">
        <v>50237</v>
      </c>
      <c r="M1772" t="s">
        <v>39</v>
      </c>
      <c r="N1772">
        <v>395</v>
      </c>
      <c r="O1772" s="2">
        <v>46240</v>
      </c>
      <c r="P1772" s="2">
        <v>46296</v>
      </c>
      <c r="R1772" t="s">
        <v>5065</v>
      </c>
      <c r="S1772" t="str">
        <f>"330000052003"</f>
        <v>330000052003</v>
      </c>
      <c r="T1772" t="s">
        <v>41</v>
      </c>
      <c r="U1772">
        <v>1232.31</v>
      </c>
      <c r="V1772">
        <v>1232.31</v>
      </c>
      <c r="W1772">
        <v>1232.31</v>
      </c>
      <c r="X1772">
        <v>0</v>
      </c>
      <c r="Y1772">
        <v>0</v>
      </c>
      <c r="Z1772">
        <v>-521</v>
      </c>
      <c r="AA1772">
        <v>4120</v>
      </c>
      <c r="AD1772" t="s">
        <v>64</v>
      </c>
      <c r="AE1772">
        <v>1136434110</v>
      </c>
      <c r="AF1772" t="s">
        <v>64</v>
      </c>
      <c r="AG1772">
        <v>48076228002135</v>
      </c>
      <c r="AH1772" t="s">
        <v>44</v>
      </c>
    </row>
    <row r="1773" spans="1:34" x14ac:dyDescent="0.3">
      <c r="A1773">
        <v>101</v>
      </c>
      <c r="B1773" t="s">
        <v>34</v>
      </c>
      <c r="C1773">
        <v>2</v>
      </c>
      <c r="D1773" s="1" t="s">
        <v>5064</v>
      </c>
      <c r="E1773" s="1" t="s">
        <v>116</v>
      </c>
      <c r="G1773">
        <v>436463</v>
      </c>
      <c r="H1773" t="s">
        <v>5062</v>
      </c>
      <c r="I1773" t="s">
        <v>5023</v>
      </c>
      <c r="J1773">
        <v>12</v>
      </c>
      <c r="K1773">
        <v>436310</v>
      </c>
      <c r="L1773">
        <v>50237</v>
      </c>
      <c r="M1773" t="s">
        <v>39</v>
      </c>
      <c r="N1773">
        <v>395</v>
      </c>
      <c r="O1773" s="2">
        <v>46240</v>
      </c>
      <c r="P1773" s="2">
        <v>46303</v>
      </c>
      <c r="R1773" t="s">
        <v>5065</v>
      </c>
      <c r="S1773" t="str">
        <f>"330000052011"</f>
        <v>330000052011</v>
      </c>
      <c r="T1773" t="s">
        <v>41</v>
      </c>
      <c r="U1773">
        <v>1232.31</v>
      </c>
      <c r="V1773">
        <v>1232.31</v>
      </c>
      <c r="W1773">
        <v>1232.31</v>
      </c>
      <c r="X1773">
        <v>0</v>
      </c>
      <c r="Y1773">
        <v>0</v>
      </c>
      <c r="Z1773">
        <v>-528</v>
      </c>
      <c r="AA1773">
        <v>4120</v>
      </c>
      <c r="AD1773" t="s">
        <v>64</v>
      </c>
      <c r="AE1773">
        <v>1136434110</v>
      </c>
      <c r="AF1773" t="s">
        <v>64</v>
      </c>
      <c r="AG1773">
        <v>48076228002135</v>
      </c>
      <c r="AH1773" t="s">
        <v>44</v>
      </c>
    </row>
    <row r="1774" spans="1:34" x14ac:dyDescent="0.3">
      <c r="A1774">
        <v>101</v>
      </c>
      <c r="B1774" t="s">
        <v>34</v>
      </c>
      <c r="C1774">
        <v>2</v>
      </c>
      <c r="D1774" s="1" t="s">
        <v>5064</v>
      </c>
      <c r="E1774" s="1" t="s">
        <v>4375</v>
      </c>
      <c r="G1774">
        <v>436463</v>
      </c>
      <c r="H1774" t="s">
        <v>5062</v>
      </c>
      <c r="I1774" t="s">
        <v>5023</v>
      </c>
      <c r="J1774">
        <v>12</v>
      </c>
      <c r="K1774">
        <v>436310</v>
      </c>
      <c r="L1774">
        <v>50237</v>
      </c>
      <c r="M1774" t="s">
        <v>39</v>
      </c>
      <c r="N1774">
        <v>395</v>
      </c>
      <c r="O1774" s="2">
        <v>46240</v>
      </c>
      <c r="P1774" s="2">
        <v>46310</v>
      </c>
      <c r="R1774" t="s">
        <v>5065</v>
      </c>
      <c r="S1774" t="str">
        <f>"33000005202P"</f>
        <v>33000005202P</v>
      </c>
      <c r="T1774" t="s">
        <v>41</v>
      </c>
      <c r="U1774">
        <v>1232.31</v>
      </c>
      <c r="V1774">
        <v>1232.31</v>
      </c>
      <c r="W1774">
        <v>1232.31</v>
      </c>
      <c r="X1774">
        <v>0</v>
      </c>
      <c r="Y1774">
        <v>0</v>
      </c>
      <c r="Z1774">
        <v>-535</v>
      </c>
      <c r="AA1774">
        <v>4120</v>
      </c>
      <c r="AD1774" t="s">
        <v>64</v>
      </c>
      <c r="AE1774">
        <v>1136434110</v>
      </c>
      <c r="AF1774" t="s">
        <v>64</v>
      </c>
      <c r="AG1774">
        <v>48076228002135</v>
      </c>
      <c r="AH1774" t="s">
        <v>44</v>
      </c>
    </row>
    <row r="1775" spans="1:34" x14ac:dyDescent="0.3">
      <c r="A1775">
        <v>101</v>
      </c>
      <c r="B1775" t="s">
        <v>34</v>
      </c>
      <c r="C1775">
        <v>2</v>
      </c>
      <c r="D1775" s="1" t="s">
        <v>5066</v>
      </c>
      <c r="E1775" s="1" t="s">
        <v>116</v>
      </c>
      <c r="G1775">
        <v>436464</v>
      </c>
      <c r="H1775" t="s">
        <v>5067</v>
      </c>
      <c r="I1775" t="s">
        <v>5023</v>
      </c>
      <c r="J1775">
        <v>12</v>
      </c>
      <c r="K1775">
        <v>436310</v>
      </c>
      <c r="L1775">
        <v>50341</v>
      </c>
      <c r="M1775" t="s">
        <v>146</v>
      </c>
      <c r="N1775">
        <v>395</v>
      </c>
      <c r="O1775" s="2">
        <v>46235</v>
      </c>
      <c r="P1775" s="2">
        <v>46309</v>
      </c>
      <c r="R1775" t="s">
        <v>5068</v>
      </c>
      <c r="S1775" t="str">
        <f>"00013463"</f>
        <v>00013463</v>
      </c>
      <c r="T1775" t="s">
        <v>41</v>
      </c>
      <c r="U1775">
        <v>1316.2</v>
      </c>
      <c r="V1775">
        <v>1316.2</v>
      </c>
      <c r="W1775">
        <v>1316.2</v>
      </c>
      <c r="X1775">
        <v>0</v>
      </c>
      <c r="Y1775">
        <v>0</v>
      </c>
      <c r="Z1775">
        <v>-534</v>
      </c>
      <c r="AA1775">
        <v>4130</v>
      </c>
      <c r="AD1775" t="s">
        <v>3349</v>
      </c>
      <c r="AE1775" t="s">
        <v>5069</v>
      </c>
      <c r="AF1775" t="s">
        <v>3349</v>
      </c>
      <c r="AG1775">
        <v>48076228002640</v>
      </c>
      <c r="AH1775" t="s">
        <v>44</v>
      </c>
    </row>
    <row r="1776" spans="1:34" x14ac:dyDescent="0.3">
      <c r="A1776">
        <v>101</v>
      </c>
      <c r="B1776" t="s">
        <v>34</v>
      </c>
      <c r="C1776">
        <v>2</v>
      </c>
      <c r="D1776" s="1" t="s">
        <v>5066</v>
      </c>
      <c r="E1776" s="1" t="s">
        <v>36</v>
      </c>
      <c r="G1776">
        <v>436464</v>
      </c>
      <c r="H1776" t="s">
        <v>5067</v>
      </c>
      <c r="I1776" t="s">
        <v>5023</v>
      </c>
      <c r="J1776">
        <v>12</v>
      </c>
      <c r="K1776">
        <v>436310</v>
      </c>
      <c r="L1776">
        <v>50341</v>
      </c>
      <c r="M1776" t="s">
        <v>146</v>
      </c>
      <c r="N1776">
        <v>395</v>
      </c>
      <c r="O1776" s="2">
        <v>46235</v>
      </c>
      <c r="P1776" s="2">
        <v>46295</v>
      </c>
      <c r="R1776" t="s">
        <v>5068</v>
      </c>
      <c r="S1776" t="str">
        <f>"00013461"</f>
        <v>00013461</v>
      </c>
      <c r="T1776" t="s">
        <v>41</v>
      </c>
      <c r="U1776">
        <v>1366.32</v>
      </c>
      <c r="V1776">
        <v>1366.32</v>
      </c>
      <c r="W1776">
        <v>1366.32</v>
      </c>
      <c r="X1776">
        <v>0</v>
      </c>
      <c r="Y1776">
        <v>0</v>
      </c>
      <c r="Z1776">
        <v>-520</v>
      </c>
      <c r="AA1776">
        <v>4130</v>
      </c>
      <c r="AD1776" t="s">
        <v>3349</v>
      </c>
      <c r="AE1776" t="s">
        <v>5069</v>
      </c>
      <c r="AF1776" t="s">
        <v>3349</v>
      </c>
      <c r="AG1776">
        <v>48076228002640</v>
      </c>
      <c r="AH1776" t="s">
        <v>44</v>
      </c>
    </row>
    <row r="1777" spans="1:34" x14ac:dyDescent="0.3">
      <c r="A1777">
        <v>101</v>
      </c>
      <c r="B1777" t="s">
        <v>34</v>
      </c>
      <c r="C1777">
        <v>2</v>
      </c>
      <c r="D1777" s="1" t="s">
        <v>5066</v>
      </c>
      <c r="E1777" s="1" t="s">
        <v>4375</v>
      </c>
      <c r="G1777">
        <v>436464</v>
      </c>
      <c r="H1777" t="s">
        <v>5067</v>
      </c>
      <c r="I1777" t="s">
        <v>5023</v>
      </c>
      <c r="J1777">
        <v>12</v>
      </c>
      <c r="K1777">
        <v>436310</v>
      </c>
      <c r="L1777">
        <v>50341</v>
      </c>
      <c r="M1777" t="s">
        <v>146</v>
      </c>
      <c r="N1777">
        <v>395</v>
      </c>
      <c r="O1777" s="2">
        <v>46235</v>
      </c>
      <c r="P1777" s="2">
        <v>46316</v>
      </c>
      <c r="R1777" t="s">
        <v>5068</v>
      </c>
      <c r="S1777" t="str">
        <f>"00013464"</f>
        <v>00013464</v>
      </c>
      <c r="T1777" t="s">
        <v>41</v>
      </c>
      <c r="U1777">
        <v>1316.19</v>
      </c>
      <c r="V1777">
        <v>1316.19</v>
      </c>
      <c r="W1777">
        <v>1316.19</v>
      </c>
      <c r="X1777">
        <v>0</v>
      </c>
      <c r="Y1777">
        <v>0</v>
      </c>
      <c r="Z1777">
        <v>-541</v>
      </c>
      <c r="AA1777">
        <v>4130</v>
      </c>
      <c r="AD1777" t="s">
        <v>3349</v>
      </c>
      <c r="AE1777" t="s">
        <v>5069</v>
      </c>
      <c r="AF1777" t="s">
        <v>3349</v>
      </c>
      <c r="AG1777">
        <v>48076228002640</v>
      </c>
      <c r="AH1777" t="s">
        <v>44</v>
      </c>
    </row>
    <row r="1778" spans="1:34" x14ac:dyDescent="0.3">
      <c r="A1778">
        <v>101</v>
      </c>
      <c r="B1778" t="s">
        <v>34</v>
      </c>
      <c r="C1778">
        <v>2</v>
      </c>
      <c r="D1778" s="1" t="s">
        <v>5066</v>
      </c>
      <c r="E1778" s="1" t="s">
        <v>122</v>
      </c>
      <c r="G1778">
        <v>436464</v>
      </c>
      <c r="H1778" t="s">
        <v>5067</v>
      </c>
      <c r="I1778" t="s">
        <v>5023</v>
      </c>
      <c r="J1778">
        <v>12</v>
      </c>
      <c r="K1778">
        <v>436310</v>
      </c>
      <c r="L1778">
        <v>50341</v>
      </c>
      <c r="M1778" t="s">
        <v>146</v>
      </c>
      <c r="N1778">
        <v>395</v>
      </c>
      <c r="O1778" s="2">
        <v>46235</v>
      </c>
      <c r="P1778" s="2">
        <v>46302</v>
      </c>
      <c r="R1778" t="s">
        <v>5068</v>
      </c>
      <c r="S1778" t="str">
        <f>"00013462"</f>
        <v>00013462</v>
      </c>
      <c r="T1778" t="s">
        <v>41</v>
      </c>
      <c r="U1778">
        <v>1316.2</v>
      </c>
      <c r="V1778">
        <v>1316.2</v>
      </c>
      <c r="W1778">
        <v>1316.2</v>
      </c>
      <c r="X1778">
        <v>0</v>
      </c>
      <c r="Y1778">
        <v>0</v>
      </c>
      <c r="Z1778">
        <v>-527</v>
      </c>
      <c r="AA1778">
        <v>4130</v>
      </c>
      <c r="AD1778" t="s">
        <v>3349</v>
      </c>
      <c r="AE1778" t="s">
        <v>5069</v>
      </c>
      <c r="AF1778" t="s">
        <v>3349</v>
      </c>
      <c r="AG1778">
        <v>48076228002640</v>
      </c>
      <c r="AH1778" t="s">
        <v>44</v>
      </c>
    </row>
    <row r="1779" spans="1:34" x14ac:dyDescent="0.3">
      <c r="A1779">
        <v>101</v>
      </c>
      <c r="B1779" t="s">
        <v>34</v>
      </c>
      <c r="C1779">
        <v>2</v>
      </c>
      <c r="D1779" s="1" t="s">
        <v>5070</v>
      </c>
      <c r="E1779" s="1" t="s">
        <v>36</v>
      </c>
      <c r="G1779">
        <v>436464</v>
      </c>
      <c r="H1779" t="s">
        <v>5067</v>
      </c>
      <c r="I1779" t="s">
        <v>5023</v>
      </c>
      <c r="J1779">
        <v>12</v>
      </c>
      <c r="K1779">
        <v>436310</v>
      </c>
      <c r="L1779">
        <v>50341</v>
      </c>
      <c r="M1779" t="s">
        <v>146</v>
      </c>
      <c r="N1779">
        <v>395</v>
      </c>
      <c r="O1779" s="2">
        <v>46219</v>
      </c>
      <c r="P1779" s="2">
        <v>46268</v>
      </c>
      <c r="R1779" t="s">
        <v>5071</v>
      </c>
      <c r="S1779" t="str">
        <f>"00013152"</f>
        <v>00013152</v>
      </c>
      <c r="T1779" t="s">
        <v>41</v>
      </c>
      <c r="U1779">
        <v>5436.59</v>
      </c>
      <c r="V1779">
        <v>5436.59</v>
      </c>
      <c r="W1779">
        <v>5436.59</v>
      </c>
      <c r="X1779">
        <v>0</v>
      </c>
      <c r="Y1779">
        <v>0</v>
      </c>
      <c r="Z1779">
        <v>-493</v>
      </c>
      <c r="AA1779">
        <v>1154</v>
      </c>
      <c r="AD1779" t="s">
        <v>3349</v>
      </c>
      <c r="AE1779" t="s">
        <v>5069</v>
      </c>
      <c r="AF1779" t="s">
        <v>3349</v>
      </c>
      <c r="AG1779">
        <v>48076228002640</v>
      </c>
      <c r="AH1779" t="s">
        <v>44</v>
      </c>
    </row>
    <row r="1780" spans="1:34" x14ac:dyDescent="0.3">
      <c r="A1780">
        <v>101</v>
      </c>
      <c r="B1780" t="s">
        <v>34</v>
      </c>
      <c r="C1780">
        <v>2</v>
      </c>
      <c r="D1780" s="1" t="s">
        <v>5070</v>
      </c>
      <c r="E1780" s="1" t="s">
        <v>122</v>
      </c>
      <c r="G1780">
        <v>436464</v>
      </c>
      <c r="H1780" t="s">
        <v>5067</v>
      </c>
      <c r="I1780" t="s">
        <v>5023</v>
      </c>
      <c r="J1780">
        <v>12</v>
      </c>
      <c r="K1780">
        <v>436310</v>
      </c>
      <c r="L1780">
        <v>50341</v>
      </c>
      <c r="M1780" t="s">
        <v>146</v>
      </c>
      <c r="N1780">
        <v>395</v>
      </c>
      <c r="O1780" s="2">
        <v>46219</v>
      </c>
      <c r="P1780" s="2">
        <v>46275</v>
      </c>
      <c r="R1780" t="s">
        <v>5071</v>
      </c>
      <c r="S1780" t="str">
        <f>"00013153"</f>
        <v>00013153</v>
      </c>
      <c r="T1780" t="s">
        <v>41</v>
      </c>
      <c r="U1780">
        <v>4816.68</v>
      </c>
      <c r="V1780">
        <v>4816.68</v>
      </c>
      <c r="W1780">
        <v>4816.68</v>
      </c>
      <c r="X1780">
        <v>0</v>
      </c>
      <c r="Y1780">
        <v>0</v>
      </c>
      <c r="Z1780">
        <v>-500</v>
      </c>
      <c r="AA1780">
        <v>1154</v>
      </c>
      <c r="AD1780" t="s">
        <v>3349</v>
      </c>
      <c r="AE1780" t="s">
        <v>5069</v>
      </c>
      <c r="AF1780" t="s">
        <v>3349</v>
      </c>
      <c r="AG1780">
        <v>48076228002640</v>
      </c>
      <c r="AH1780" t="s">
        <v>44</v>
      </c>
    </row>
    <row r="1781" spans="1:34" x14ac:dyDescent="0.3">
      <c r="A1781">
        <v>101</v>
      </c>
      <c r="B1781" t="s">
        <v>34</v>
      </c>
      <c r="C1781">
        <v>2</v>
      </c>
      <c r="D1781" s="1" t="s">
        <v>5070</v>
      </c>
      <c r="E1781" s="1" t="s">
        <v>116</v>
      </c>
      <c r="G1781">
        <v>436464</v>
      </c>
      <c r="H1781" t="s">
        <v>5067</v>
      </c>
      <c r="I1781" t="s">
        <v>5023</v>
      </c>
      <c r="J1781">
        <v>12</v>
      </c>
      <c r="K1781">
        <v>436310</v>
      </c>
      <c r="L1781">
        <v>50341</v>
      </c>
      <c r="M1781" t="s">
        <v>146</v>
      </c>
      <c r="N1781">
        <v>395</v>
      </c>
      <c r="O1781" s="2">
        <v>46219</v>
      </c>
      <c r="P1781" s="2">
        <v>46282</v>
      </c>
      <c r="R1781" t="s">
        <v>5071</v>
      </c>
      <c r="S1781" t="str">
        <f>"00013154"</f>
        <v>00013154</v>
      </c>
      <c r="T1781" t="s">
        <v>41</v>
      </c>
      <c r="U1781">
        <v>4816.68</v>
      </c>
      <c r="V1781">
        <v>4816.68</v>
      </c>
      <c r="W1781">
        <v>4816.68</v>
      </c>
      <c r="X1781">
        <v>0</v>
      </c>
      <c r="Y1781">
        <v>0</v>
      </c>
      <c r="Z1781">
        <v>-507</v>
      </c>
      <c r="AA1781">
        <v>1154</v>
      </c>
      <c r="AD1781" t="s">
        <v>3349</v>
      </c>
      <c r="AE1781" t="s">
        <v>5069</v>
      </c>
      <c r="AF1781" t="s">
        <v>3349</v>
      </c>
      <c r="AG1781">
        <v>48076228002640</v>
      </c>
      <c r="AH1781" t="s">
        <v>44</v>
      </c>
    </row>
    <row r="1782" spans="1:34" x14ac:dyDescent="0.3">
      <c r="A1782">
        <v>101</v>
      </c>
      <c r="B1782" t="s">
        <v>34</v>
      </c>
      <c r="C1782">
        <v>2</v>
      </c>
      <c r="D1782" s="1" t="s">
        <v>5070</v>
      </c>
      <c r="E1782" s="1" t="s">
        <v>4375</v>
      </c>
      <c r="G1782">
        <v>436464</v>
      </c>
      <c r="H1782" t="s">
        <v>5067</v>
      </c>
      <c r="I1782" t="s">
        <v>5023</v>
      </c>
      <c r="J1782">
        <v>12</v>
      </c>
      <c r="K1782">
        <v>436310</v>
      </c>
      <c r="L1782">
        <v>50341</v>
      </c>
      <c r="M1782" t="s">
        <v>146</v>
      </c>
      <c r="N1782">
        <v>395</v>
      </c>
      <c r="O1782" s="2">
        <v>46219</v>
      </c>
      <c r="P1782" s="2">
        <v>46289</v>
      </c>
      <c r="R1782" t="s">
        <v>5071</v>
      </c>
      <c r="S1782" t="str">
        <f>"00013155"</f>
        <v>00013155</v>
      </c>
      <c r="T1782" t="s">
        <v>41</v>
      </c>
      <c r="U1782">
        <v>4816.66</v>
      </c>
      <c r="V1782">
        <v>4816.66</v>
      </c>
      <c r="W1782">
        <v>4816.66</v>
      </c>
      <c r="X1782">
        <v>0</v>
      </c>
      <c r="Y1782">
        <v>0</v>
      </c>
      <c r="Z1782">
        <v>-514</v>
      </c>
      <c r="AA1782">
        <v>1154</v>
      </c>
      <c r="AD1782" t="s">
        <v>3349</v>
      </c>
      <c r="AE1782" t="s">
        <v>5069</v>
      </c>
      <c r="AF1782" t="s">
        <v>3349</v>
      </c>
      <c r="AG1782">
        <v>48076228002640</v>
      </c>
      <c r="AH1782" t="s">
        <v>44</v>
      </c>
    </row>
    <row r="1783" spans="1:34" x14ac:dyDescent="0.3">
      <c r="A1783">
        <v>101</v>
      </c>
      <c r="B1783" t="s">
        <v>34</v>
      </c>
      <c r="C1783">
        <v>2</v>
      </c>
      <c r="D1783" s="1" t="s">
        <v>5072</v>
      </c>
      <c r="E1783" s="1" t="s">
        <v>122</v>
      </c>
      <c r="G1783">
        <v>436468</v>
      </c>
      <c r="H1783" t="s">
        <v>5073</v>
      </c>
      <c r="I1783" t="s">
        <v>5023</v>
      </c>
      <c r="J1783">
        <v>12</v>
      </c>
      <c r="K1783">
        <v>436310</v>
      </c>
      <c r="L1783">
        <v>50341</v>
      </c>
      <c r="M1783" t="s">
        <v>146</v>
      </c>
      <c r="N1783">
        <v>395</v>
      </c>
      <c r="O1783" s="2">
        <v>46235</v>
      </c>
      <c r="P1783" s="2">
        <v>46296</v>
      </c>
      <c r="R1783" t="s">
        <v>5074</v>
      </c>
      <c r="S1783" t="str">
        <f>"00013466"</f>
        <v>00013466</v>
      </c>
      <c r="T1783" t="s">
        <v>41</v>
      </c>
      <c r="U1783">
        <v>1472.19</v>
      </c>
      <c r="V1783">
        <v>1472.19</v>
      </c>
      <c r="W1783">
        <v>1472.19</v>
      </c>
      <c r="X1783">
        <v>0</v>
      </c>
      <c r="Y1783">
        <v>0</v>
      </c>
      <c r="Z1783">
        <v>-521</v>
      </c>
      <c r="AA1783">
        <v>4119</v>
      </c>
      <c r="AD1783" t="s">
        <v>3228</v>
      </c>
      <c r="AE1783" t="s">
        <v>5075</v>
      </c>
      <c r="AF1783" t="s">
        <v>3228</v>
      </c>
      <c r="AG1783">
        <v>48076228002054</v>
      </c>
      <c r="AH1783" t="s">
        <v>44</v>
      </c>
    </row>
    <row r="1784" spans="1:34" x14ac:dyDescent="0.3">
      <c r="A1784">
        <v>101</v>
      </c>
      <c r="B1784" t="s">
        <v>34</v>
      </c>
      <c r="C1784">
        <v>2</v>
      </c>
      <c r="D1784" s="1" t="s">
        <v>5072</v>
      </c>
      <c r="E1784" s="1" t="s">
        <v>116</v>
      </c>
      <c r="G1784">
        <v>436468</v>
      </c>
      <c r="H1784" t="s">
        <v>5073</v>
      </c>
      <c r="I1784" t="s">
        <v>5023</v>
      </c>
      <c r="J1784">
        <v>12</v>
      </c>
      <c r="K1784">
        <v>436310</v>
      </c>
      <c r="L1784">
        <v>50341</v>
      </c>
      <c r="M1784" t="s">
        <v>146</v>
      </c>
      <c r="N1784">
        <v>395</v>
      </c>
      <c r="O1784" s="2">
        <v>46235</v>
      </c>
      <c r="P1784" s="2">
        <v>46303</v>
      </c>
      <c r="R1784" t="s">
        <v>5074</v>
      </c>
      <c r="S1784" t="str">
        <f>"00013467"</f>
        <v>00013467</v>
      </c>
      <c r="T1784" t="s">
        <v>41</v>
      </c>
      <c r="U1784">
        <v>1472.19</v>
      </c>
      <c r="V1784">
        <v>1472.19</v>
      </c>
      <c r="W1784">
        <v>1472.19</v>
      </c>
      <c r="X1784">
        <v>0</v>
      </c>
      <c r="Y1784">
        <v>0</v>
      </c>
      <c r="Z1784">
        <v>-528</v>
      </c>
      <c r="AA1784">
        <v>4119</v>
      </c>
      <c r="AD1784" t="s">
        <v>3228</v>
      </c>
      <c r="AE1784" t="s">
        <v>5075</v>
      </c>
      <c r="AF1784" t="s">
        <v>3228</v>
      </c>
      <c r="AG1784">
        <v>48076228002054</v>
      </c>
      <c r="AH1784" t="s">
        <v>44</v>
      </c>
    </row>
    <row r="1785" spans="1:34" x14ac:dyDescent="0.3">
      <c r="A1785">
        <v>101</v>
      </c>
      <c r="B1785" t="s">
        <v>34</v>
      </c>
      <c r="C1785">
        <v>2</v>
      </c>
      <c r="D1785" s="1" t="s">
        <v>5072</v>
      </c>
      <c r="E1785" s="1" t="s">
        <v>4375</v>
      </c>
      <c r="G1785">
        <v>436468</v>
      </c>
      <c r="H1785" t="s">
        <v>5073</v>
      </c>
      <c r="I1785" t="s">
        <v>5023</v>
      </c>
      <c r="J1785">
        <v>12</v>
      </c>
      <c r="K1785">
        <v>436310</v>
      </c>
      <c r="L1785">
        <v>50341</v>
      </c>
      <c r="M1785" t="s">
        <v>146</v>
      </c>
      <c r="N1785">
        <v>395</v>
      </c>
      <c r="O1785" s="2">
        <v>46235</v>
      </c>
      <c r="P1785" s="2">
        <v>46310</v>
      </c>
      <c r="R1785" t="s">
        <v>5074</v>
      </c>
      <c r="S1785" t="str">
        <f>"00013468"</f>
        <v>00013468</v>
      </c>
      <c r="T1785" t="s">
        <v>41</v>
      </c>
      <c r="U1785">
        <v>1472.18</v>
      </c>
      <c r="V1785">
        <v>1472.18</v>
      </c>
      <c r="W1785">
        <v>1472.18</v>
      </c>
      <c r="X1785">
        <v>0</v>
      </c>
      <c r="Y1785">
        <v>0</v>
      </c>
      <c r="Z1785">
        <v>-535</v>
      </c>
      <c r="AA1785">
        <v>4119</v>
      </c>
      <c r="AD1785" t="s">
        <v>3228</v>
      </c>
      <c r="AE1785" t="s">
        <v>5075</v>
      </c>
      <c r="AF1785" t="s">
        <v>3228</v>
      </c>
      <c r="AG1785">
        <v>48076228002054</v>
      </c>
      <c r="AH1785" t="s">
        <v>44</v>
      </c>
    </row>
    <row r="1786" spans="1:34" x14ac:dyDescent="0.3">
      <c r="A1786">
        <v>101</v>
      </c>
      <c r="B1786" t="s">
        <v>34</v>
      </c>
      <c r="C1786">
        <v>2</v>
      </c>
      <c r="D1786" s="1" t="s">
        <v>5072</v>
      </c>
      <c r="E1786" s="1" t="s">
        <v>36</v>
      </c>
      <c r="G1786">
        <v>436468</v>
      </c>
      <c r="H1786" t="s">
        <v>5073</v>
      </c>
      <c r="I1786" t="s">
        <v>5023</v>
      </c>
      <c r="J1786">
        <v>12</v>
      </c>
      <c r="K1786">
        <v>436310</v>
      </c>
      <c r="L1786">
        <v>50341</v>
      </c>
      <c r="M1786" t="s">
        <v>146</v>
      </c>
      <c r="N1786">
        <v>395</v>
      </c>
      <c r="O1786" s="2">
        <v>46235</v>
      </c>
      <c r="P1786" s="2">
        <v>46289</v>
      </c>
      <c r="R1786" t="s">
        <v>5074</v>
      </c>
      <c r="S1786" t="str">
        <f>"00013465"</f>
        <v>00013465</v>
      </c>
      <c r="T1786" t="s">
        <v>41</v>
      </c>
      <c r="U1786">
        <v>1554.83</v>
      </c>
      <c r="V1786">
        <v>1554.83</v>
      </c>
      <c r="W1786">
        <v>1554.83</v>
      </c>
      <c r="X1786">
        <v>0</v>
      </c>
      <c r="Y1786">
        <v>0</v>
      </c>
      <c r="Z1786">
        <v>-514</v>
      </c>
      <c r="AA1786">
        <v>4119</v>
      </c>
      <c r="AD1786" t="s">
        <v>3228</v>
      </c>
      <c r="AE1786" t="s">
        <v>5075</v>
      </c>
      <c r="AF1786" t="s">
        <v>3228</v>
      </c>
      <c r="AG1786">
        <v>48076228002054</v>
      </c>
      <c r="AH1786" t="s">
        <v>44</v>
      </c>
    </row>
    <row r="1787" spans="1:34" x14ac:dyDescent="0.3">
      <c r="A1787">
        <v>101</v>
      </c>
      <c r="B1787" t="s">
        <v>34</v>
      </c>
      <c r="C1787">
        <v>2</v>
      </c>
      <c r="D1787" s="1" t="s">
        <v>5076</v>
      </c>
      <c r="E1787" s="1" t="s">
        <v>36</v>
      </c>
      <c r="G1787">
        <v>436468</v>
      </c>
      <c r="H1787" t="s">
        <v>5073</v>
      </c>
      <c r="I1787" t="s">
        <v>5023</v>
      </c>
      <c r="J1787">
        <v>12</v>
      </c>
      <c r="K1787">
        <v>436310</v>
      </c>
      <c r="L1787">
        <v>50341</v>
      </c>
      <c r="M1787" t="s">
        <v>146</v>
      </c>
      <c r="N1787">
        <v>395</v>
      </c>
      <c r="O1787" s="2">
        <v>46202</v>
      </c>
      <c r="P1787" s="2">
        <v>46260</v>
      </c>
      <c r="R1787" t="s">
        <v>5077</v>
      </c>
      <c r="S1787" t="str">
        <f>"00012870"</f>
        <v>00012870</v>
      </c>
      <c r="T1787" t="s">
        <v>41</v>
      </c>
      <c r="U1787">
        <v>2962.16</v>
      </c>
      <c r="V1787">
        <v>2962.16</v>
      </c>
      <c r="W1787">
        <v>2962.16</v>
      </c>
      <c r="X1787">
        <v>0</v>
      </c>
      <c r="Y1787">
        <v>0</v>
      </c>
      <c r="Z1787">
        <v>-485</v>
      </c>
      <c r="AA1787">
        <v>692761</v>
      </c>
      <c r="AD1787" t="s">
        <v>3228</v>
      </c>
      <c r="AE1787" t="s">
        <v>5075</v>
      </c>
      <c r="AF1787" t="s">
        <v>3228</v>
      </c>
      <c r="AG1787">
        <v>48076228002054</v>
      </c>
      <c r="AH1787" t="s">
        <v>44</v>
      </c>
    </row>
    <row r="1788" spans="1:34" x14ac:dyDescent="0.3">
      <c r="A1788">
        <v>101</v>
      </c>
      <c r="B1788" t="s">
        <v>34</v>
      </c>
      <c r="C1788">
        <v>2</v>
      </c>
      <c r="D1788" s="1" t="s">
        <v>5076</v>
      </c>
      <c r="E1788" s="1" t="s">
        <v>122</v>
      </c>
      <c r="G1788">
        <v>436468</v>
      </c>
      <c r="H1788" t="s">
        <v>5073</v>
      </c>
      <c r="I1788" t="s">
        <v>5023</v>
      </c>
      <c r="J1788">
        <v>12</v>
      </c>
      <c r="K1788">
        <v>436310</v>
      </c>
      <c r="L1788">
        <v>50341</v>
      </c>
      <c r="M1788" t="s">
        <v>146</v>
      </c>
      <c r="N1788">
        <v>395</v>
      </c>
      <c r="O1788" s="2">
        <v>46202</v>
      </c>
      <c r="P1788" s="2">
        <v>46267</v>
      </c>
      <c r="R1788" t="s">
        <v>5077</v>
      </c>
      <c r="S1788" t="str">
        <f>"00012871"</f>
        <v>00012871</v>
      </c>
      <c r="T1788" t="s">
        <v>41</v>
      </c>
      <c r="U1788">
        <v>2494.13</v>
      </c>
      <c r="V1788">
        <v>2494.13</v>
      </c>
      <c r="W1788">
        <v>2494.13</v>
      </c>
      <c r="X1788">
        <v>0</v>
      </c>
      <c r="Y1788">
        <v>0</v>
      </c>
      <c r="Z1788">
        <v>-492</v>
      </c>
      <c r="AA1788">
        <v>692761</v>
      </c>
      <c r="AD1788" t="s">
        <v>3228</v>
      </c>
      <c r="AE1788" t="s">
        <v>5075</v>
      </c>
      <c r="AF1788" t="s">
        <v>3228</v>
      </c>
      <c r="AG1788">
        <v>48076228002054</v>
      </c>
      <c r="AH1788" t="s">
        <v>44</v>
      </c>
    </row>
    <row r="1789" spans="1:34" x14ac:dyDescent="0.3">
      <c r="A1789">
        <v>101</v>
      </c>
      <c r="B1789" t="s">
        <v>34</v>
      </c>
      <c r="C1789">
        <v>2</v>
      </c>
      <c r="D1789" s="1" t="s">
        <v>5076</v>
      </c>
      <c r="E1789" s="1" t="s">
        <v>116</v>
      </c>
      <c r="G1789">
        <v>436468</v>
      </c>
      <c r="H1789" t="s">
        <v>5073</v>
      </c>
      <c r="I1789" t="s">
        <v>5023</v>
      </c>
      <c r="J1789">
        <v>12</v>
      </c>
      <c r="K1789">
        <v>436310</v>
      </c>
      <c r="L1789">
        <v>50341</v>
      </c>
      <c r="M1789" t="s">
        <v>146</v>
      </c>
      <c r="N1789">
        <v>395</v>
      </c>
      <c r="O1789" s="2">
        <v>46202</v>
      </c>
      <c r="P1789" s="2">
        <v>46274</v>
      </c>
      <c r="R1789" t="s">
        <v>5077</v>
      </c>
      <c r="S1789" t="str">
        <f>"00012872"</f>
        <v>00012872</v>
      </c>
      <c r="T1789" t="s">
        <v>41</v>
      </c>
      <c r="U1789">
        <v>2494.13</v>
      </c>
      <c r="V1789">
        <v>2494.13</v>
      </c>
      <c r="W1789">
        <v>2494.13</v>
      </c>
      <c r="X1789">
        <v>0</v>
      </c>
      <c r="Y1789">
        <v>0</v>
      </c>
      <c r="Z1789">
        <v>-499</v>
      </c>
      <c r="AA1789">
        <v>692761</v>
      </c>
      <c r="AD1789" t="s">
        <v>3228</v>
      </c>
      <c r="AE1789" t="s">
        <v>5075</v>
      </c>
      <c r="AF1789" t="s">
        <v>3228</v>
      </c>
      <c r="AG1789">
        <v>48076228002054</v>
      </c>
      <c r="AH1789" t="s">
        <v>44</v>
      </c>
    </row>
    <row r="1790" spans="1:34" x14ac:dyDescent="0.3">
      <c r="A1790">
        <v>101</v>
      </c>
      <c r="B1790" t="s">
        <v>34</v>
      </c>
      <c r="C1790">
        <v>2</v>
      </c>
      <c r="D1790" s="1" t="s">
        <v>5076</v>
      </c>
      <c r="E1790" s="1" t="s">
        <v>4375</v>
      </c>
      <c r="G1790">
        <v>436468</v>
      </c>
      <c r="H1790" t="s">
        <v>5073</v>
      </c>
      <c r="I1790" t="s">
        <v>5023</v>
      </c>
      <c r="J1790">
        <v>12</v>
      </c>
      <c r="K1790">
        <v>436310</v>
      </c>
      <c r="L1790">
        <v>50341</v>
      </c>
      <c r="M1790" t="s">
        <v>146</v>
      </c>
      <c r="N1790">
        <v>395</v>
      </c>
      <c r="O1790" s="2">
        <v>46202</v>
      </c>
      <c r="P1790" s="2">
        <v>46281</v>
      </c>
      <c r="R1790" t="s">
        <v>5077</v>
      </c>
      <c r="S1790" t="str">
        <f>"00012873"</f>
        <v>00012873</v>
      </c>
      <c r="T1790" t="s">
        <v>41</v>
      </c>
      <c r="U1790">
        <v>2494.11</v>
      </c>
      <c r="V1790">
        <v>2494.11</v>
      </c>
      <c r="W1790">
        <v>2494.11</v>
      </c>
      <c r="X1790">
        <v>0</v>
      </c>
      <c r="Y1790">
        <v>0</v>
      </c>
      <c r="Z1790">
        <v>-506</v>
      </c>
      <c r="AA1790">
        <v>692761</v>
      </c>
      <c r="AD1790" t="s">
        <v>3228</v>
      </c>
      <c r="AE1790" t="s">
        <v>5075</v>
      </c>
      <c r="AF1790" t="s">
        <v>3228</v>
      </c>
      <c r="AG1790">
        <v>48076228002054</v>
      </c>
      <c r="AH1790" t="s">
        <v>44</v>
      </c>
    </row>
    <row r="1791" spans="1:34" x14ac:dyDescent="0.3">
      <c r="A1791">
        <v>101</v>
      </c>
      <c r="B1791" t="s">
        <v>34</v>
      </c>
      <c r="C1791">
        <v>2</v>
      </c>
      <c r="D1791" s="1" t="s">
        <v>5078</v>
      </c>
      <c r="E1791" s="1" t="s">
        <v>122</v>
      </c>
      <c r="G1791">
        <v>436475</v>
      </c>
      <c r="H1791" t="s">
        <v>5079</v>
      </c>
      <c r="I1791" t="s">
        <v>5023</v>
      </c>
      <c r="J1791">
        <v>12</v>
      </c>
      <c r="K1791">
        <v>436310</v>
      </c>
      <c r="L1791">
        <v>50341</v>
      </c>
      <c r="M1791" t="s">
        <v>146</v>
      </c>
      <c r="N1791">
        <v>395</v>
      </c>
      <c r="O1791" s="2">
        <v>46202</v>
      </c>
      <c r="P1791" s="2">
        <v>46269</v>
      </c>
      <c r="R1791" t="s">
        <v>5080</v>
      </c>
      <c r="S1791" t="str">
        <f>"00012875"</f>
        <v>00012875</v>
      </c>
      <c r="T1791" t="s">
        <v>41</v>
      </c>
      <c r="U1791">
        <v>3385.29</v>
      </c>
      <c r="V1791">
        <v>3385.29</v>
      </c>
      <c r="W1791">
        <v>3385.29</v>
      </c>
      <c r="X1791">
        <v>0</v>
      </c>
      <c r="Y1791">
        <v>0</v>
      </c>
      <c r="Z1791">
        <v>-494</v>
      </c>
      <c r="AA1791">
        <v>692747</v>
      </c>
      <c r="AD1791" t="s">
        <v>64</v>
      </c>
      <c r="AE1791">
        <v>1120818350</v>
      </c>
      <c r="AF1791" t="s">
        <v>64</v>
      </c>
      <c r="AG1791">
        <v>48076228001597</v>
      </c>
      <c r="AH1791" t="s">
        <v>44</v>
      </c>
    </row>
    <row r="1792" spans="1:34" x14ac:dyDescent="0.3">
      <c r="A1792">
        <v>101</v>
      </c>
      <c r="B1792" t="s">
        <v>34</v>
      </c>
      <c r="C1792">
        <v>2</v>
      </c>
      <c r="D1792" s="1" t="s">
        <v>5078</v>
      </c>
      <c r="E1792" s="1" t="s">
        <v>36</v>
      </c>
      <c r="G1792">
        <v>436475</v>
      </c>
      <c r="H1792" t="s">
        <v>5079</v>
      </c>
      <c r="I1792" t="s">
        <v>5023</v>
      </c>
      <c r="J1792">
        <v>12</v>
      </c>
      <c r="K1792">
        <v>436310</v>
      </c>
      <c r="L1792">
        <v>50341</v>
      </c>
      <c r="M1792" t="s">
        <v>146</v>
      </c>
      <c r="N1792">
        <v>395</v>
      </c>
      <c r="O1792" s="2">
        <v>46202</v>
      </c>
      <c r="P1792" s="2">
        <v>46262</v>
      </c>
      <c r="R1792" t="s">
        <v>5080</v>
      </c>
      <c r="S1792" t="str">
        <f>"00012874"</f>
        <v>00012874</v>
      </c>
      <c r="T1792" t="s">
        <v>41</v>
      </c>
      <c r="U1792">
        <v>3617.77</v>
      </c>
      <c r="V1792">
        <v>3491.05</v>
      </c>
      <c r="W1792">
        <v>3491.05</v>
      </c>
      <c r="X1792">
        <v>0</v>
      </c>
      <c r="Y1792">
        <v>0</v>
      </c>
      <c r="Z1792">
        <v>-487</v>
      </c>
      <c r="AA1792">
        <v>692747</v>
      </c>
      <c r="AD1792" t="s">
        <v>64</v>
      </c>
      <c r="AE1792">
        <v>1120818350</v>
      </c>
      <c r="AF1792" t="s">
        <v>64</v>
      </c>
      <c r="AG1792">
        <v>48076228001597</v>
      </c>
      <c r="AH1792" t="s">
        <v>44</v>
      </c>
    </row>
    <row r="1793" spans="1:34" x14ac:dyDescent="0.3">
      <c r="A1793">
        <v>101</v>
      </c>
      <c r="B1793" t="s">
        <v>34</v>
      </c>
      <c r="C1793">
        <v>2</v>
      </c>
      <c r="D1793" s="1" t="s">
        <v>5078</v>
      </c>
      <c r="E1793" s="1" t="s">
        <v>4375</v>
      </c>
      <c r="G1793">
        <v>436475</v>
      </c>
      <c r="H1793" t="s">
        <v>5079</v>
      </c>
      <c r="I1793" t="s">
        <v>5023</v>
      </c>
      <c r="J1793">
        <v>12</v>
      </c>
      <c r="K1793">
        <v>436310</v>
      </c>
      <c r="L1793">
        <v>50341</v>
      </c>
      <c r="M1793" t="s">
        <v>146</v>
      </c>
      <c r="N1793">
        <v>395</v>
      </c>
      <c r="O1793" s="2">
        <v>46202</v>
      </c>
      <c r="P1793" s="2">
        <v>46283</v>
      </c>
      <c r="R1793" t="s">
        <v>5080</v>
      </c>
      <c r="S1793" t="str">
        <f>"00012877"</f>
        <v>00012877</v>
      </c>
      <c r="T1793" t="s">
        <v>41</v>
      </c>
      <c r="U1793">
        <v>3385.27</v>
      </c>
      <c r="V1793">
        <v>3385.27</v>
      </c>
      <c r="W1793">
        <v>3385.27</v>
      </c>
      <c r="X1793">
        <v>0</v>
      </c>
      <c r="Y1793">
        <v>0</v>
      </c>
      <c r="Z1793">
        <v>-508</v>
      </c>
      <c r="AA1793">
        <v>692747</v>
      </c>
      <c r="AD1793" t="s">
        <v>64</v>
      </c>
      <c r="AE1793">
        <v>1120818350</v>
      </c>
      <c r="AF1793" t="s">
        <v>64</v>
      </c>
      <c r="AG1793">
        <v>48076228001597</v>
      </c>
      <c r="AH1793" t="s">
        <v>44</v>
      </c>
    </row>
    <row r="1794" spans="1:34" x14ac:dyDescent="0.3">
      <c r="A1794">
        <v>101</v>
      </c>
      <c r="B1794" t="s">
        <v>34</v>
      </c>
      <c r="C1794">
        <v>2</v>
      </c>
      <c r="D1794" s="1" t="s">
        <v>5078</v>
      </c>
      <c r="E1794" s="1" t="s">
        <v>116</v>
      </c>
      <c r="G1794">
        <v>436475</v>
      </c>
      <c r="H1794" t="s">
        <v>5079</v>
      </c>
      <c r="I1794" t="s">
        <v>5023</v>
      </c>
      <c r="J1794">
        <v>12</v>
      </c>
      <c r="K1794">
        <v>436310</v>
      </c>
      <c r="L1794">
        <v>50341</v>
      </c>
      <c r="M1794" t="s">
        <v>146</v>
      </c>
      <c r="N1794">
        <v>395</v>
      </c>
      <c r="O1794" s="2">
        <v>46202</v>
      </c>
      <c r="P1794" s="2">
        <v>46276</v>
      </c>
      <c r="R1794" t="s">
        <v>5080</v>
      </c>
      <c r="S1794" t="str">
        <f>"00012876"</f>
        <v>00012876</v>
      </c>
      <c r="T1794" t="s">
        <v>41</v>
      </c>
      <c r="U1794">
        <v>3385.29</v>
      </c>
      <c r="V1794">
        <v>3385.29</v>
      </c>
      <c r="W1794">
        <v>3385.29</v>
      </c>
      <c r="X1794">
        <v>0</v>
      </c>
      <c r="Y1794">
        <v>0</v>
      </c>
      <c r="Z1794">
        <v>-501</v>
      </c>
      <c r="AA1794">
        <v>692747</v>
      </c>
      <c r="AD1794" t="s">
        <v>64</v>
      </c>
      <c r="AE1794">
        <v>1120818350</v>
      </c>
      <c r="AF1794" t="s">
        <v>64</v>
      </c>
      <c r="AG1794">
        <v>48076228001597</v>
      </c>
      <c r="AH1794" t="s">
        <v>44</v>
      </c>
    </row>
    <row r="1795" spans="1:34" x14ac:dyDescent="0.3">
      <c r="A1795">
        <v>101</v>
      </c>
      <c r="B1795" t="s">
        <v>34</v>
      </c>
      <c r="C1795">
        <v>2</v>
      </c>
      <c r="D1795" s="1" t="s">
        <v>5081</v>
      </c>
      <c r="E1795" s="1" t="s">
        <v>116</v>
      </c>
      <c r="G1795">
        <v>436475</v>
      </c>
      <c r="H1795" t="s">
        <v>5079</v>
      </c>
      <c r="I1795" t="s">
        <v>5023</v>
      </c>
      <c r="J1795">
        <v>12</v>
      </c>
      <c r="K1795">
        <v>436310</v>
      </c>
      <c r="L1795">
        <v>50341</v>
      </c>
      <c r="M1795" t="s">
        <v>146</v>
      </c>
      <c r="N1795">
        <v>395</v>
      </c>
      <c r="O1795" s="2">
        <v>46235</v>
      </c>
      <c r="P1795" s="2">
        <v>46298</v>
      </c>
      <c r="R1795" t="s">
        <v>5082</v>
      </c>
      <c r="S1795" t="str">
        <f>"00013471"</f>
        <v>00013471</v>
      </c>
      <c r="T1795" t="s">
        <v>41</v>
      </c>
      <c r="U1795">
        <v>1092.54</v>
      </c>
      <c r="V1795">
        <v>1092.54</v>
      </c>
      <c r="W1795">
        <v>1092.54</v>
      </c>
      <c r="X1795">
        <v>0</v>
      </c>
      <c r="Y1795">
        <v>0</v>
      </c>
      <c r="Z1795">
        <v>-523</v>
      </c>
      <c r="AA1795">
        <v>4115</v>
      </c>
      <c r="AD1795" t="s">
        <v>64</v>
      </c>
      <c r="AE1795">
        <v>1120818350</v>
      </c>
      <c r="AF1795" t="s">
        <v>64</v>
      </c>
      <c r="AG1795">
        <v>48076228001597</v>
      </c>
      <c r="AH1795" t="s">
        <v>44</v>
      </c>
    </row>
    <row r="1796" spans="1:34" x14ac:dyDescent="0.3">
      <c r="A1796">
        <v>101</v>
      </c>
      <c r="B1796" t="s">
        <v>34</v>
      </c>
      <c r="C1796">
        <v>2</v>
      </c>
      <c r="D1796" s="1" t="s">
        <v>5081</v>
      </c>
      <c r="E1796" s="1" t="s">
        <v>4375</v>
      </c>
      <c r="G1796">
        <v>436475</v>
      </c>
      <c r="H1796" t="s">
        <v>5079</v>
      </c>
      <c r="I1796" t="s">
        <v>5023</v>
      </c>
      <c r="J1796">
        <v>12</v>
      </c>
      <c r="K1796">
        <v>436310</v>
      </c>
      <c r="L1796">
        <v>50341</v>
      </c>
      <c r="M1796" t="s">
        <v>146</v>
      </c>
      <c r="N1796">
        <v>395</v>
      </c>
      <c r="O1796" s="2">
        <v>46235</v>
      </c>
      <c r="P1796" s="2">
        <v>46305</v>
      </c>
      <c r="R1796" t="s">
        <v>5082</v>
      </c>
      <c r="S1796" t="str">
        <f>"00013472"</f>
        <v>00013472</v>
      </c>
      <c r="T1796" t="s">
        <v>41</v>
      </c>
      <c r="U1796">
        <v>1092.54</v>
      </c>
      <c r="V1796">
        <v>1092.54</v>
      </c>
      <c r="W1796">
        <v>1092.54</v>
      </c>
      <c r="X1796">
        <v>0</v>
      </c>
      <c r="Y1796">
        <v>0</v>
      </c>
      <c r="Z1796">
        <v>-530</v>
      </c>
      <c r="AA1796">
        <v>4115</v>
      </c>
      <c r="AD1796" t="s">
        <v>64</v>
      </c>
      <c r="AE1796">
        <v>1120818350</v>
      </c>
      <c r="AF1796" t="s">
        <v>64</v>
      </c>
      <c r="AG1796">
        <v>48076228001597</v>
      </c>
      <c r="AH1796" t="s">
        <v>44</v>
      </c>
    </row>
    <row r="1797" spans="1:34" x14ac:dyDescent="0.3">
      <c r="A1797">
        <v>101</v>
      </c>
      <c r="B1797" t="s">
        <v>34</v>
      </c>
      <c r="C1797">
        <v>2</v>
      </c>
      <c r="D1797" s="1" t="s">
        <v>5081</v>
      </c>
      <c r="E1797" s="1" t="s">
        <v>36</v>
      </c>
      <c r="G1797">
        <v>436475</v>
      </c>
      <c r="H1797" t="s">
        <v>5079</v>
      </c>
      <c r="I1797" t="s">
        <v>5023</v>
      </c>
      <c r="J1797">
        <v>12</v>
      </c>
      <c r="K1797">
        <v>436310</v>
      </c>
      <c r="L1797">
        <v>50341</v>
      </c>
      <c r="M1797" t="s">
        <v>146</v>
      </c>
      <c r="N1797">
        <v>395</v>
      </c>
      <c r="O1797" s="2">
        <v>46235</v>
      </c>
      <c r="P1797" s="2">
        <v>46284</v>
      </c>
      <c r="R1797" t="s">
        <v>5082</v>
      </c>
      <c r="S1797" t="str">
        <f>"00013469"</f>
        <v>00013469</v>
      </c>
      <c r="T1797" t="s">
        <v>41</v>
      </c>
      <c r="U1797">
        <v>1117.4100000000001</v>
      </c>
      <c r="V1797">
        <v>1117.4100000000001</v>
      </c>
      <c r="W1797">
        <v>1117.4100000000001</v>
      </c>
      <c r="X1797">
        <v>0</v>
      </c>
      <c r="Y1797">
        <v>0</v>
      </c>
      <c r="Z1797">
        <v>-509</v>
      </c>
      <c r="AA1797">
        <v>4115</v>
      </c>
      <c r="AD1797" t="s">
        <v>64</v>
      </c>
      <c r="AE1797">
        <v>1120818350</v>
      </c>
      <c r="AF1797" t="s">
        <v>64</v>
      </c>
      <c r="AG1797">
        <v>48076228001597</v>
      </c>
      <c r="AH1797" t="s">
        <v>44</v>
      </c>
    </row>
    <row r="1798" spans="1:34" x14ac:dyDescent="0.3">
      <c r="A1798">
        <v>101</v>
      </c>
      <c r="B1798" t="s">
        <v>34</v>
      </c>
      <c r="C1798">
        <v>2</v>
      </c>
      <c r="D1798" s="1" t="s">
        <v>5081</v>
      </c>
      <c r="E1798" s="1" t="s">
        <v>122</v>
      </c>
      <c r="G1798">
        <v>436475</v>
      </c>
      <c r="H1798" t="s">
        <v>5079</v>
      </c>
      <c r="I1798" t="s">
        <v>5023</v>
      </c>
      <c r="J1798">
        <v>12</v>
      </c>
      <c r="K1798">
        <v>436310</v>
      </c>
      <c r="L1798">
        <v>50341</v>
      </c>
      <c r="M1798" t="s">
        <v>146</v>
      </c>
      <c r="N1798">
        <v>395</v>
      </c>
      <c r="O1798" s="2">
        <v>46235</v>
      </c>
      <c r="P1798" s="2">
        <v>46291</v>
      </c>
      <c r="R1798" t="s">
        <v>5082</v>
      </c>
      <c r="S1798" t="str">
        <f>"00013470"</f>
        <v>00013470</v>
      </c>
      <c r="T1798" t="s">
        <v>41</v>
      </c>
      <c r="U1798">
        <v>1092.54</v>
      </c>
      <c r="V1798">
        <v>1092.54</v>
      </c>
      <c r="W1798">
        <v>1092.54</v>
      </c>
      <c r="X1798">
        <v>0</v>
      </c>
      <c r="Y1798">
        <v>0</v>
      </c>
      <c r="Z1798">
        <v>-516</v>
      </c>
      <c r="AA1798">
        <v>4115</v>
      </c>
      <c r="AD1798" t="s">
        <v>64</v>
      </c>
      <c r="AE1798">
        <v>1120818350</v>
      </c>
      <c r="AF1798" t="s">
        <v>64</v>
      </c>
      <c r="AG1798">
        <v>48076228001597</v>
      </c>
      <c r="AH1798" t="s">
        <v>44</v>
      </c>
    </row>
    <row r="1799" spans="1:34" x14ac:dyDescent="0.3">
      <c r="A1799">
        <v>101</v>
      </c>
      <c r="B1799" t="s">
        <v>34</v>
      </c>
      <c r="C1799">
        <v>2</v>
      </c>
      <c r="D1799" s="1" t="s">
        <v>5083</v>
      </c>
      <c r="E1799" s="1" t="s">
        <v>122</v>
      </c>
      <c r="G1799">
        <v>436479</v>
      </c>
      <c r="H1799" t="s">
        <v>5084</v>
      </c>
      <c r="I1799" t="s">
        <v>5023</v>
      </c>
      <c r="J1799">
        <v>12</v>
      </c>
      <c r="K1799">
        <v>436310</v>
      </c>
      <c r="L1799">
        <v>50341</v>
      </c>
      <c r="M1799" t="s">
        <v>146</v>
      </c>
      <c r="N1799">
        <v>395</v>
      </c>
      <c r="O1799" s="2">
        <v>46240</v>
      </c>
      <c r="P1799" s="2">
        <v>46296</v>
      </c>
      <c r="R1799" t="s">
        <v>5085</v>
      </c>
      <c r="S1799" t="str">
        <f>"00013627"</f>
        <v>00013627</v>
      </c>
      <c r="T1799" t="s">
        <v>41</v>
      </c>
      <c r="U1799">
        <v>1020.37</v>
      </c>
      <c r="V1799">
        <v>1020.37</v>
      </c>
      <c r="W1799">
        <v>1020.37</v>
      </c>
      <c r="X1799">
        <v>0</v>
      </c>
      <c r="Y1799">
        <v>0</v>
      </c>
      <c r="Z1799">
        <v>-521</v>
      </c>
      <c r="AA1799">
        <v>4117</v>
      </c>
      <c r="AD1799" t="s">
        <v>3301</v>
      </c>
      <c r="AE1799">
        <v>1141228800</v>
      </c>
      <c r="AF1799" t="s">
        <v>3301</v>
      </c>
      <c r="AG1799">
        <v>48076228001759</v>
      </c>
      <c r="AH1799" t="s">
        <v>44</v>
      </c>
    </row>
    <row r="1800" spans="1:34" x14ac:dyDescent="0.3">
      <c r="A1800">
        <v>101</v>
      </c>
      <c r="B1800" t="s">
        <v>34</v>
      </c>
      <c r="C1800">
        <v>2</v>
      </c>
      <c r="D1800" s="1" t="s">
        <v>5083</v>
      </c>
      <c r="E1800" s="1" t="s">
        <v>116</v>
      </c>
      <c r="G1800">
        <v>436479</v>
      </c>
      <c r="H1800" t="s">
        <v>5084</v>
      </c>
      <c r="I1800" t="s">
        <v>5023</v>
      </c>
      <c r="J1800">
        <v>12</v>
      </c>
      <c r="K1800">
        <v>436310</v>
      </c>
      <c r="L1800">
        <v>50341</v>
      </c>
      <c r="M1800" t="s">
        <v>146</v>
      </c>
      <c r="N1800">
        <v>395</v>
      </c>
      <c r="O1800" s="2">
        <v>46240</v>
      </c>
      <c r="P1800" s="2">
        <v>46303</v>
      </c>
      <c r="R1800" t="s">
        <v>5085</v>
      </c>
      <c r="S1800" t="str">
        <f>"00013628"</f>
        <v>00013628</v>
      </c>
      <c r="T1800" t="s">
        <v>41</v>
      </c>
      <c r="U1800">
        <v>1020.37</v>
      </c>
      <c r="V1800">
        <v>1020.37</v>
      </c>
      <c r="W1800">
        <v>1020.37</v>
      </c>
      <c r="X1800">
        <v>0</v>
      </c>
      <c r="Y1800">
        <v>0</v>
      </c>
      <c r="Z1800">
        <v>-528</v>
      </c>
      <c r="AA1800">
        <v>4117</v>
      </c>
      <c r="AD1800" t="s">
        <v>3301</v>
      </c>
      <c r="AE1800">
        <v>1141228800</v>
      </c>
      <c r="AF1800" t="s">
        <v>3301</v>
      </c>
      <c r="AG1800">
        <v>48076228001759</v>
      </c>
      <c r="AH1800" t="s">
        <v>44</v>
      </c>
    </row>
    <row r="1801" spans="1:34" x14ac:dyDescent="0.3">
      <c r="A1801">
        <v>101</v>
      </c>
      <c r="B1801" t="s">
        <v>34</v>
      </c>
      <c r="C1801">
        <v>2</v>
      </c>
      <c r="D1801" s="1" t="s">
        <v>5083</v>
      </c>
      <c r="E1801" s="1" t="s">
        <v>4375</v>
      </c>
      <c r="G1801">
        <v>436479</v>
      </c>
      <c r="H1801" t="s">
        <v>5084</v>
      </c>
      <c r="I1801" t="s">
        <v>5023</v>
      </c>
      <c r="J1801">
        <v>12</v>
      </c>
      <c r="K1801">
        <v>436310</v>
      </c>
      <c r="L1801">
        <v>50341</v>
      </c>
      <c r="M1801" t="s">
        <v>146</v>
      </c>
      <c r="N1801">
        <v>395</v>
      </c>
      <c r="O1801" s="2">
        <v>46240</v>
      </c>
      <c r="P1801" s="2">
        <v>46310</v>
      </c>
      <c r="R1801" t="s">
        <v>5085</v>
      </c>
      <c r="S1801" t="str">
        <f>"00013629"</f>
        <v>00013629</v>
      </c>
      <c r="T1801" t="s">
        <v>41</v>
      </c>
      <c r="U1801">
        <v>1020.38</v>
      </c>
      <c r="V1801">
        <v>1020.38</v>
      </c>
      <c r="W1801">
        <v>1020.38</v>
      </c>
      <c r="X1801">
        <v>0</v>
      </c>
      <c r="Y1801">
        <v>0</v>
      </c>
      <c r="Z1801">
        <v>-535</v>
      </c>
      <c r="AA1801">
        <v>4117</v>
      </c>
      <c r="AD1801" t="s">
        <v>3301</v>
      </c>
      <c r="AE1801">
        <v>1141228800</v>
      </c>
      <c r="AF1801" t="s">
        <v>3301</v>
      </c>
      <c r="AG1801">
        <v>48076228001759</v>
      </c>
      <c r="AH1801" t="s">
        <v>44</v>
      </c>
    </row>
    <row r="1802" spans="1:34" x14ac:dyDescent="0.3">
      <c r="A1802">
        <v>101</v>
      </c>
      <c r="B1802" t="s">
        <v>34</v>
      </c>
      <c r="C1802">
        <v>2</v>
      </c>
      <c r="D1802" s="1" t="s">
        <v>5083</v>
      </c>
      <c r="E1802" s="1" t="s">
        <v>36</v>
      </c>
      <c r="G1802">
        <v>436479</v>
      </c>
      <c r="H1802" t="s">
        <v>5084</v>
      </c>
      <c r="I1802" t="s">
        <v>5023</v>
      </c>
      <c r="J1802">
        <v>12</v>
      </c>
      <c r="K1802">
        <v>436310</v>
      </c>
      <c r="L1802">
        <v>50341</v>
      </c>
      <c r="M1802" t="s">
        <v>146</v>
      </c>
      <c r="N1802">
        <v>395</v>
      </c>
      <c r="O1802" s="2">
        <v>46240</v>
      </c>
      <c r="P1802" s="2">
        <v>46289</v>
      </c>
      <c r="R1802" t="s">
        <v>5085</v>
      </c>
      <c r="S1802" t="str">
        <f>"00013626"</f>
        <v>00013626</v>
      </c>
      <c r="T1802" t="s">
        <v>41</v>
      </c>
      <c r="U1802">
        <v>1036.94</v>
      </c>
      <c r="V1802">
        <v>1036.94</v>
      </c>
      <c r="W1802">
        <v>1036.94</v>
      </c>
      <c r="X1802">
        <v>0</v>
      </c>
      <c r="Y1802">
        <v>0</v>
      </c>
      <c r="Z1802">
        <v>-514</v>
      </c>
      <c r="AA1802">
        <v>4117</v>
      </c>
      <c r="AD1802" t="s">
        <v>3301</v>
      </c>
      <c r="AE1802">
        <v>1141228800</v>
      </c>
      <c r="AF1802" t="s">
        <v>3301</v>
      </c>
      <c r="AG1802">
        <v>48076228001759</v>
      </c>
      <c r="AH1802" t="s">
        <v>44</v>
      </c>
    </row>
    <row r="1803" spans="1:34" x14ac:dyDescent="0.3">
      <c r="A1803">
        <v>101</v>
      </c>
      <c r="B1803" t="s">
        <v>34</v>
      </c>
      <c r="C1803">
        <v>2</v>
      </c>
      <c r="D1803" s="1" t="s">
        <v>5086</v>
      </c>
      <c r="E1803" s="1" t="s">
        <v>122</v>
      </c>
      <c r="G1803">
        <v>436479</v>
      </c>
      <c r="H1803" t="s">
        <v>5084</v>
      </c>
      <c r="I1803" t="s">
        <v>5023</v>
      </c>
      <c r="J1803">
        <v>12</v>
      </c>
      <c r="K1803">
        <v>436310</v>
      </c>
      <c r="L1803">
        <v>50341</v>
      </c>
      <c r="M1803" t="s">
        <v>146</v>
      </c>
      <c r="N1803">
        <v>395</v>
      </c>
      <c r="O1803" s="2">
        <v>46202</v>
      </c>
      <c r="P1803" s="2">
        <v>46267</v>
      </c>
      <c r="R1803" t="s">
        <v>5087</v>
      </c>
      <c r="S1803" t="str">
        <f>"00012879"</f>
        <v>00012879</v>
      </c>
      <c r="T1803" t="s">
        <v>41</v>
      </c>
      <c r="U1803">
        <v>3486.24</v>
      </c>
      <c r="V1803">
        <v>3486.24</v>
      </c>
      <c r="W1803">
        <v>3486.24</v>
      </c>
      <c r="X1803">
        <v>0</v>
      </c>
      <c r="Y1803">
        <v>0</v>
      </c>
      <c r="Z1803">
        <v>-492</v>
      </c>
      <c r="AA1803">
        <v>692754</v>
      </c>
      <c r="AD1803" t="s">
        <v>3301</v>
      </c>
      <c r="AE1803">
        <v>1141228800</v>
      </c>
      <c r="AF1803" t="s">
        <v>3301</v>
      </c>
      <c r="AG1803">
        <v>48076228001759</v>
      </c>
      <c r="AH1803" t="s">
        <v>44</v>
      </c>
    </row>
    <row r="1804" spans="1:34" x14ac:dyDescent="0.3">
      <c r="A1804">
        <v>101</v>
      </c>
      <c r="B1804" t="s">
        <v>34</v>
      </c>
      <c r="C1804">
        <v>2</v>
      </c>
      <c r="D1804" s="1" t="s">
        <v>5086</v>
      </c>
      <c r="E1804" s="1" t="s">
        <v>36</v>
      </c>
      <c r="G1804">
        <v>436479</v>
      </c>
      <c r="H1804" t="s">
        <v>5084</v>
      </c>
      <c r="I1804" t="s">
        <v>5023</v>
      </c>
      <c r="J1804">
        <v>12</v>
      </c>
      <c r="K1804">
        <v>436310</v>
      </c>
      <c r="L1804">
        <v>50341</v>
      </c>
      <c r="M1804" t="s">
        <v>146</v>
      </c>
      <c r="N1804">
        <v>395</v>
      </c>
      <c r="O1804" s="2">
        <v>46202</v>
      </c>
      <c r="P1804" s="2">
        <v>46260</v>
      </c>
      <c r="R1804" t="s">
        <v>5087</v>
      </c>
      <c r="S1804" t="str">
        <f>"00012878"</f>
        <v>00012878</v>
      </c>
      <c r="T1804" t="s">
        <v>41</v>
      </c>
      <c r="U1804">
        <v>3942.59</v>
      </c>
      <c r="V1804">
        <v>3942.59</v>
      </c>
      <c r="W1804">
        <v>3942.59</v>
      </c>
      <c r="X1804">
        <v>0</v>
      </c>
      <c r="Y1804">
        <v>0</v>
      </c>
      <c r="Z1804">
        <v>-485</v>
      </c>
      <c r="AA1804">
        <v>692754</v>
      </c>
      <c r="AD1804" t="s">
        <v>3301</v>
      </c>
      <c r="AE1804">
        <v>1141228800</v>
      </c>
      <c r="AF1804" t="s">
        <v>3301</v>
      </c>
      <c r="AG1804">
        <v>48076228001759</v>
      </c>
      <c r="AH1804" t="s">
        <v>44</v>
      </c>
    </row>
    <row r="1805" spans="1:34" x14ac:dyDescent="0.3">
      <c r="A1805">
        <v>101</v>
      </c>
      <c r="B1805" t="s">
        <v>34</v>
      </c>
      <c r="C1805">
        <v>2</v>
      </c>
      <c r="D1805" s="1" t="s">
        <v>5086</v>
      </c>
      <c r="E1805" s="1" t="s">
        <v>116</v>
      </c>
      <c r="G1805">
        <v>436479</v>
      </c>
      <c r="H1805" t="s">
        <v>5084</v>
      </c>
      <c r="I1805" t="s">
        <v>5023</v>
      </c>
      <c r="J1805">
        <v>12</v>
      </c>
      <c r="K1805">
        <v>436310</v>
      </c>
      <c r="L1805">
        <v>50341</v>
      </c>
      <c r="M1805" t="s">
        <v>146</v>
      </c>
      <c r="N1805">
        <v>395</v>
      </c>
      <c r="O1805" s="2">
        <v>46202</v>
      </c>
      <c r="P1805" s="2">
        <v>46274</v>
      </c>
      <c r="R1805" t="s">
        <v>5087</v>
      </c>
      <c r="S1805" t="str">
        <f>"00012880"</f>
        <v>00012880</v>
      </c>
      <c r="T1805" t="s">
        <v>41</v>
      </c>
      <c r="U1805">
        <v>3486.24</v>
      </c>
      <c r="V1805">
        <v>3486.24</v>
      </c>
      <c r="W1805">
        <v>3486.24</v>
      </c>
      <c r="X1805">
        <v>0</v>
      </c>
      <c r="Y1805">
        <v>0</v>
      </c>
      <c r="Z1805">
        <v>-499</v>
      </c>
      <c r="AA1805">
        <v>692754</v>
      </c>
      <c r="AD1805" t="s">
        <v>3301</v>
      </c>
      <c r="AE1805">
        <v>1141228800</v>
      </c>
      <c r="AF1805" t="s">
        <v>3301</v>
      </c>
      <c r="AG1805">
        <v>48076228001759</v>
      </c>
      <c r="AH1805" t="s">
        <v>44</v>
      </c>
    </row>
    <row r="1806" spans="1:34" x14ac:dyDescent="0.3">
      <c r="A1806">
        <v>101</v>
      </c>
      <c r="B1806" t="s">
        <v>34</v>
      </c>
      <c r="C1806">
        <v>2</v>
      </c>
      <c r="D1806" s="1" t="s">
        <v>5086</v>
      </c>
      <c r="E1806" s="1" t="s">
        <v>4375</v>
      </c>
      <c r="G1806">
        <v>436479</v>
      </c>
      <c r="H1806" t="s">
        <v>5084</v>
      </c>
      <c r="I1806" t="s">
        <v>5023</v>
      </c>
      <c r="J1806">
        <v>12</v>
      </c>
      <c r="K1806">
        <v>436310</v>
      </c>
      <c r="L1806">
        <v>50341</v>
      </c>
      <c r="M1806" t="s">
        <v>146</v>
      </c>
      <c r="N1806">
        <v>395</v>
      </c>
      <c r="O1806" s="2">
        <v>46202</v>
      </c>
      <c r="P1806" s="2">
        <v>46281</v>
      </c>
      <c r="R1806" t="s">
        <v>5087</v>
      </c>
      <c r="S1806" t="str">
        <f>"00012881"</f>
        <v>00012881</v>
      </c>
      <c r="T1806" t="s">
        <v>41</v>
      </c>
      <c r="U1806">
        <v>3486.25</v>
      </c>
      <c r="V1806">
        <v>3486.25</v>
      </c>
      <c r="W1806">
        <v>3486.25</v>
      </c>
      <c r="X1806">
        <v>0</v>
      </c>
      <c r="Y1806">
        <v>0</v>
      </c>
      <c r="Z1806">
        <v>-506</v>
      </c>
      <c r="AA1806">
        <v>692754</v>
      </c>
      <c r="AD1806" t="s">
        <v>3301</v>
      </c>
      <c r="AE1806">
        <v>1141228800</v>
      </c>
      <c r="AF1806" t="s">
        <v>3301</v>
      </c>
      <c r="AG1806">
        <v>48076228001759</v>
      </c>
      <c r="AH1806" t="s">
        <v>44</v>
      </c>
    </row>
    <row r="1807" spans="1:34" x14ac:dyDescent="0.3">
      <c r="A1807">
        <v>101</v>
      </c>
      <c r="B1807" t="s">
        <v>34</v>
      </c>
      <c r="C1807">
        <v>2</v>
      </c>
      <c r="D1807" s="1" t="s">
        <v>5088</v>
      </c>
      <c r="E1807" s="1" t="s">
        <v>4375</v>
      </c>
      <c r="G1807">
        <v>445741</v>
      </c>
      <c r="H1807" t="s">
        <v>5089</v>
      </c>
      <c r="I1807" t="s">
        <v>5023</v>
      </c>
      <c r="J1807">
        <v>12</v>
      </c>
      <c r="K1807">
        <v>436310</v>
      </c>
      <c r="L1807">
        <v>50341</v>
      </c>
      <c r="M1807" t="s">
        <v>146</v>
      </c>
      <c r="N1807">
        <v>395</v>
      </c>
      <c r="O1807" s="2">
        <v>46202</v>
      </c>
      <c r="P1807" s="2">
        <v>46282</v>
      </c>
      <c r="R1807" t="s">
        <v>5090</v>
      </c>
      <c r="S1807" t="str">
        <f>"00012885"</f>
        <v>00012885</v>
      </c>
      <c r="T1807" t="s">
        <v>41</v>
      </c>
      <c r="U1807">
        <v>1109.5899999999999</v>
      </c>
      <c r="V1807">
        <v>1109.5899999999999</v>
      </c>
      <c r="W1807">
        <v>1109.5899999999999</v>
      </c>
      <c r="X1807">
        <v>0</v>
      </c>
      <c r="Y1807">
        <v>0</v>
      </c>
      <c r="Z1807">
        <v>-507</v>
      </c>
      <c r="AA1807">
        <v>692776</v>
      </c>
      <c r="AD1807" t="s">
        <v>3337</v>
      </c>
      <c r="AE1807" t="s">
        <v>5091</v>
      </c>
      <c r="AF1807" t="s">
        <v>3337</v>
      </c>
      <c r="AG1807">
        <v>48076228002801</v>
      </c>
      <c r="AH1807" t="s">
        <v>44</v>
      </c>
    </row>
    <row r="1808" spans="1:34" x14ac:dyDescent="0.3">
      <c r="A1808">
        <v>101</v>
      </c>
      <c r="B1808" t="s">
        <v>34</v>
      </c>
      <c r="C1808">
        <v>2</v>
      </c>
      <c r="D1808" s="1" t="s">
        <v>5088</v>
      </c>
      <c r="E1808" s="1" t="s">
        <v>116</v>
      </c>
      <c r="G1808">
        <v>445741</v>
      </c>
      <c r="H1808" t="s">
        <v>5089</v>
      </c>
      <c r="I1808" t="s">
        <v>5023</v>
      </c>
      <c r="J1808">
        <v>12</v>
      </c>
      <c r="K1808">
        <v>436310</v>
      </c>
      <c r="L1808">
        <v>50341</v>
      </c>
      <c r="M1808" t="s">
        <v>146</v>
      </c>
      <c r="N1808">
        <v>395</v>
      </c>
      <c r="O1808" s="2">
        <v>46202</v>
      </c>
      <c r="P1808" s="2">
        <v>46275</v>
      </c>
      <c r="R1808" t="s">
        <v>5090</v>
      </c>
      <c r="S1808" t="str">
        <f>"00012884"</f>
        <v>00012884</v>
      </c>
      <c r="T1808" t="s">
        <v>41</v>
      </c>
      <c r="U1808">
        <v>1109.58</v>
      </c>
      <c r="V1808">
        <v>1109.58</v>
      </c>
      <c r="W1808">
        <v>1109.58</v>
      </c>
      <c r="X1808">
        <v>0</v>
      </c>
      <c r="Y1808">
        <v>0</v>
      </c>
      <c r="Z1808">
        <v>-500</v>
      </c>
      <c r="AA1808">
        <v>692776</v>
      </c>
      <c r="AD1808" t="s">
        <v>3337</v>
      </c>
      <c r="AE1808" t="s">
        <v>5091</v>
      </c>
      <c r="AF1808" t="s">
        <v>3337</v>
      </c>
      <c r="AG1808">
        <v>48076228002801</v>
      </c>
      <c r="AH1808" t="s">
        <v>44</v>
      </c>
    </row>
    <row r="1809" spans="1:34" x14ac:dyDescent="0.3">
      <c r="A1809">
        <v>101</v>
      </c>
      <c r="B1809" t="s">
        <v>34</v>
      </c>
      <c r="C1809">
        <v>2</v>
      </c>
      <c r="D1809" s="1" t="s">
        <v>5088</v>
      </c>
      <c r="E1809" s="1" t="s">
        <v>122</v>
      </c>
      <c r="G1809">
        <v>445741</v>
      </c>
      <c r="H1809" t="s">
        <v>5089</v>
      </c>
      <c r="I1809" t="s">
        <v>5023</v>
      </c>
      <c r="J1809">
        <v>12</v>
      </c>
      <c r="K1809">
        <v>436310</v>
      </c>
      <c r="L1809">
        <v>50341</v>
      </c>
      <c r="M1809" t="s">
        <v>146</v>
      </c>
      <c r="N1809">
        <v>395</v>
      </c>
      <c r="O1809" s="2">
        <v>46202</v>
      </c>
      <c r="P1809" s="2">
        <v>46268</v>
      </c>
      <c r="R1809" t="s">
        <v>5090</v>
      </c>
      <c r="S1809" t="str">
        <f>"00012883"</f>
        <v>00012883</v>
      </c>
      <c r="T1809" t="s">
        <v>41</v>
      </c>
      <c r="U1809">
        <v>1109.58</v>
      </c>
      <c r="V1809">
        <v>1109.58</v>
      </c>
      <c r="W1809">
        <v>1109.58</v>
      </c>
      <c r="X1809">
        <v>0</v>
      </c>
      <c r="Y1809">
        <v>0</v>
      </c>
      <c r="Z1809">
        <v>-493</v>
      </c>
      <c r="AA1809">
        <v>692776</v>
      </c>
      <c r="AD1809" t="s">
        <v>3337</v>
      </c>
      <c r="AE1809" t="s">
        <v>5091</v>
      </c>
      <c r="AF1809" t="s">
        <v>3337</v>
      </c>
      <c r="AG1809">
        <v>48076228002801</v>
      </c>
      <c r="AH1809" t="s">
        <v>44</v>
      </c>
    </row>
    <row r="1810" spans="1:34" x14ac:dyDescent="0.3">
      <c r="A1810">
        <v>101</v>
      </c>
      <c r="B1810" t="s">
        <v>34</v>
      </c>
      <c r="C1810">
        <v>2</v>
      </c>
      <c r="D1810" s="1" t="s">
        <v>5088</v>
      </c>
      <c r="E1810" s="1" t="s">
        <v>36</v>
      </c>
      <c r="G1810">
        <v>445741</v>
      </c>
      <c r="H1810" t="s">
        <v>5089</v>
      </c>
      <c r="I1810" t="s">
        <v>5023</v>
      </c>
      <c r="J1810">
        <v>12</v>
      </c>
      <c r="K1810">
        <v>436310</v>
      </c>
      <c r="L1810">
        <v>50341</v>
      </c>
      <c r="M1810" t="s">
        <v>146</v>
      </c>
      <c r="N1810">
        <v>395</v>
      </c>
      <c r="O1810" s="2">
        <v>46202</v>
      </c>
      <c r="P1810" s="2">
        <v>46261</v>
      </c>
      <c r="R1810" t="s">
        <v>5090</v>
      </c>
      <c r="S1810" t="str">
        <f>"00012882"</f>
        <v>00012882</v>
      </c>
      <c r="T1810" t="s">
        <v>41</v>
      </c>
      <c r="U1810">
        <v>1202.5</v>
      </c>
      <c r="V1810">
        <v>1202.5</v>
      </c>
      <c r="W1810">
        <v>1202.5</v>
      </c>
      <c r="X1810">
        <v>0</v>
      </c>
      <c r="Y1810">
        <v>0</v>
      </c>
      <c r="Z1810">
        <v>-486</v>
      </c>
      <c r="AA1810">
        <v>692776</v>
      </c>
      <c r="AD1810" t="s">
        <v>3337</v>
      </c>
      <c r="AE1810" t="s">
        <v>5091</v>
      </c>
      <c r="AF1810" t="s">
        <v>3337</v>
      </c>
      <c r="AG1810">
        <v>48076228002801</v>
      </c>
      <c r="AH1810" t="s">
        <v>44</v>
      </c>
    </row>
    <row r="1811" spans="1:34" x14ac:dyDescent="0.3">
      <c r="A1811">
        <v>101</v>
      </c>
      <c r="B1811" t="s">
        <v>34</v>
      </c>
      <c r="C1811">
        <v>2</v>
      </c>
      <c r="D1811" s="1" t="s">
        <v>5092</v>
      </c>
      <c r="E1811" s="1" t="s">
        <v>36</v>
      </c>
      <c r="G1811">
        <v>445741</v>
      </c>
      <c r="H1811" t="s">
        <v>5089</v>
      </c>
      <c r="I1811" t="s">
        <v>5023</v>
      </c>
      <c r="J1811">
        <v>12</v>
      </c>
      <c r="K1811">
        <v>436310</v>
      </c>
      <c r="L1811">
        <v>50341</v>
      </c>
      <c r="M1811" t="s">
        <v>146</v>
      </c>
      <c r="N1811">
        <v>395</v>
      </c>
      <c r="O1811" s="2">
        <v>46235</v>
      </c>
      <c r="P1811" s="2">
        <v>46284</v>
      </c>
      <c r="R1811" t="s">
        <v>5093</v>
      </c>
      <c r="S1811" t="str">
        <f>"00013473"</f>
        <v>00013473</v>
      </c>
      <c r="T1811" t="s">
        <v>41</v>
      </c>
      <c r="U1811">
        <v>823.05</v>
      </c>
      <c r="V1811">
        <v>823.05</v>
      </c>
      <c r="W1811">
        <v>823.05</v>
      </c>
      <c r="X1811">
        <v>0</v>
      </c>
      <c r="Y1811">
        <v>0</v>
      </c>
      <c r="Z1811">
        <v>-509</v>
      </c>
      <c r="AA1811">
        <v>4131</v>
      </c>
      <c r="AD1811" t="s">
        <v>3337</v>
      </c>
      <c r="AE1811" t="s">
        <v>5091</v>
      </c>
      <c r="AF1811" t="s">
        <v>3337</v>
      </c>
      <c r="AG1811">
        <v>48076228002801</v>
      </c>
      <c r="AH1811" t="s">
        <v>44</v>
      </c>
    </row>
    <row r="1812" spans="1:34" x14ac:dyDescent="0.3">
      <c r="A1812">
        <v>101</v>
      </c>
      <c r="B1812" t="s">
        <v>34</v>
      </c>
      <c r="C1812">
        <v>2</v>
      </c>
      <c r="D1812" s="1" t="s">
        <v>5092</v>
      </c>
      <c r="E1812" s="1" t="s">
        <v>122</v>
      </c>
      <c r="G1812">
        <v>445741</v>
      </c>
      <c r="H1812" t="s">
        <v>5089</v>
      </c>
      <c r="I1812" t="s">
        <v>5023</v>
      </c>
      <c r="J1812">
        <v>12</v>
      </c>
      <c r="K1812">
        <v>436310</v>
      </c>
      <c r="L1812">
        <v>50341</v>
      </c>
      <c r="M1812" t="s">
        <v>146</v>
      </c>
      <c r="N1812">
        <v>395</v>
      </c>
      <c r="O1812" s="2">
        <v>46235</v>
      </c>
      <c r="P1812" s="2">
        <v>46291</v>
      </c>
      <c r="R1812" t="s">
        <v>5093</v>
      </c>
      <c r="S1812" t="str">
        <f>"00013474"</f>
        <v>00013474</v>
      </c>
      <c r="T1812" t="s">
        <v>41</v>
      </c>
      <c r="U1812">
        <v>794.86</v>
      </c>
      <c r="V1812">
        <v>794.86</v>
      </c>
      <c r="W1812">
        <v>794.86</v>
      </c>
      <c r="X1812">
        <v>0</v>
      </c>
      <c r="Y1812">
        <v>0</v>
      </c>
      <c r="Z1812">
        <v>-516</v>
      </c>
      <c r="AA1812">
        <v>4131</v>
      </c>
      <c r="AD1812" t="s">
        <v>3337</v>
      </c>
      <c r="AE1812" t="s">
        <v>5091</v>
      </c>
      <c r="AF1812" t="s">
        <v>3337</v>
      </c>
      <c r="AG1812">
        <v>48076228002801</v>
      </c>
      <c r="AH1812" t="s">
        <v>44</v>
      </c>
    </row>
    <row r="1813" spans="1:34" x14ac:dyDescent="0.3">
      <c r="A1813">
        <v>101</v>
      </c>
      <c r="B1813" t="s">
        <v>34</v>
      </c>
      <c r="C1813">
        <v>2</v>
      </c>
      <c r="D1813" s="1" t="s">
        <v>5092</v>
      </c>
      <c r="E1813" s="1" t="s">
        <v>116</v>
      </c>
      <c r="G1813">
        <v>445741</v>
      </c>
      <c r="H1813" t="s">
        <v>5089</v>
      </c>
      <c r="I1813" t="s">
        <v>5023</v>
      </c>
      <c r="J1813">
        <v>12</v>
      </c>
      <c r="K1813">
        <v>436310</v>
      </c>
      <c r="L1813">
        <v>50341</v>
      </c>
      <c r="M1813" t="s">
        <v>146</v>
      </c>
      <c r="N1813">
        <v>395</v>
      </c>
      <c r="O1813" s="2">
        <v>46235</v>
      </c>
      <c r="P1813" s="2">
        <v>46298</v>
      </c>
      <c r="R1813" t="s">
        <v>5093</v>
      </c>
      <c r="S1813" t="str">
        <f>"00013475"</f>
        <v>00013475</v>
      </c>
      <c r="T1813" t="s">
        <v>41</v>
      </c>
      <c r="U1813">
        <v>794.86</v>
      </c>
      <c r="V1813">
        <v>794.86</v>
      </c>
      <c r="W1813">
        <v>794.86</v>
      </c>
      <c r="X1813">
        <v>0</v>
      </c>
      <c r="Y1813">
        <v>0</v>
      </c>
      <c r="Z1813">
        <v>-523</v>
      </c>
      <c r="AA1813">
        <v>4131</v>
      </c>
      <c r="AD1813" t="s">
        <v>3337</v>
      </c>
      <c r="AE1813" t="s">
        <v>5091</v>
      </c>
      <c r="AF1813" t="s">
        <v>3337</v>
      </c>
      <c r="AG1813">
        <v>48076228002801</v>
      </c>
      <c r="AH1813" t="s">
        <v>44</v>
      </c>
    </row>
    <row r="1814" spans="1:34" x14ac:dyDescent="0.3">
      <c r="A1814">
        <v>101</v>
      </c>
      <c r="B1814" t="s">
        <v>34</v>
      </c>
      <c r="C1814">
        <v>2</v>
      </c>
      <c r="D1814" s="1" t="s">
        <v>5092</v>
      </c>
      <c r="E1814" s="1" t="s">
        <v>4375</v>
      </c>
      <c r="G1814">
        <v>445741</v>
      </c>
      <c r="H1814" t="s">
        <v>5089</v>
      </c>
      <c r="I1814" t="s">
        <v>5023</v>
      </c>
      <c r="J1814">
        <v>12</v>
      </c>
      <c r="K1814">
        <v>436310</v>
      </c>
      <c r="L1814">
        <v>50341</v>
      </c>
      <c r="M1814" t="s">
        <v>146</v>
      </c>
      <c r="N1814">
        <v>395</v>
      </c>
      <c r="O1814" s="2">
        <v>46235</v>
      </c>
      <c r="P1814" s="2">
        <v>46305</v>
      </c>
      <c r="R1814" t="s">
        <v>5093</v>
      </c>
      <c r="S1814" t="str">
        <f>"00013476"</f>
        <v>00013476</v>
      </c>
      <c r="T1814" t="s">
        <v>41</v>
      </c>
      <c r="U1814">
        <v>794.84</v>
      </c>
      <c r="V1814">
        <v>794.84</v>
      </c>
      <c r="W1814">
        <v>794.84</v>
      </c>
      <c r="X1814">
        <v>0</v>
      </c>
      <c r="Y1814">
        <v>0</v>
      </c>
      <c r="Z1814">
        <v>-530</v>
      </c>
      <c r="AA1814">
        <v>4131</v>
      </c>
      <c r="AD1814" t="s">
        <v>3337</v>
      </c>
      <c r="AE1814" t="s">
        <v>5091</v>
      </c>
      <c r="AF1814" t="s">
        <v>3337</v>
      </c>
      <c r="AG1814">
        <v>48076228002801</v>
      </c>
      <c r="AH1814" t="s">
        <v>44</v>
      </c>
    </row>
    <row r="1815" spans="1:34" x14ac:dyDescent="0.3">
      <c r="A1815">
        <v>101</v>
      </c>
      <c r="B1815" t="s">
        <v>34</v>
      </c>
      <c r="C1815">
        <v>2</v>
      </c>
      <c r="D1815" s="1" t="s">
        <v>5094</v>
      </c>
      <c r="E1815" s="1" t="s">
        <v>122</v>
      </c>
      <c r="G1815">
        <v>461276</v>
      </c>
      <c r="H1815" t="s">
        <v>5095</v>
      </c>
      <c r="I1815" t="s">
        <v>5023</v>
      </c>
      <c r="J1815">
        <v>12</v>
      </c>
      <c r="K1815">
        <v>436310</v>
      </c>
      <c r="L1815">
        <v>50341</v>
      </c>
      <c r="M1815" t="s">
        <v>146</v>
      </c>
      <c r="N1815">
        <v>395</v>
      </c>
      <c r="O1815" s="2">
        <v>46235</v>
      </c>
      <c r="P1815" s="2">
        <v>46291</v>
      </c>
      <c r="R1815" t="s">
        <v>5096</v>
      </c>
      <c r="S1815" t="str">
        <f>"00013499"</f>
        <v>00013499</v>
      </c>
      <c r="T1815" t="s">
        <v>41</v>
      </c>
      <c r="U1815">
        <v>2332.34</v>
      </c>
      <c r="V1815">
        <v>2332.34</v>
      </c>
      <c r="W1815">
        <v>2332.34</v>
      </c>
      <c r="X1815">
        <v>0</v>
      </c>
      <c r="Y1815">
        <v>0</v>
      </c>
      <c r="Z1815">
        <v>-516</v>
      </c>
      <c r="AA1815">
        <v>4132</v>
      </c>
      <c r="AD1815" t="s">
        <v>3224</v>
      </c>
      <c r="AE1815">
        <v>1241228801</v>
      </c>
      <c r="AF1815" t="s">
        <v>3224</v>
      </c>
      <c r="AG1815">
        <v>48076228002992</v>
      </c>
      <c r="AH1815" t="s">
        <v>44</v>
      </c>
    </row>
    <row r="1816" spans="1:34" x14ac:dyDescent="0.3">
      <c r="A1816">
        <v>101</v>
      </c>
      <c r="B1816" t="s">
        <v>34</v>
      </c>
      <c r="C1816">
        <v>2</v>
      </c>
      <c r="D1816" s="1" t="s">
        <v>5094</v>
      </c>
      <c r="E1816" s="1" t="s">
        <v>36</v>
      </c>
      <c r="G1816">
        <v>461276</v>
      </c>
      <c r="H1816" t="s">
        <v>5095</v>
      </c>
      <c r="I1816" t="s">
        <v>5023</v>
      </c>
      <c r="J1816">
        <v>12</v>
      </c>
      <c r="K1816">
        <v>436310</v>
      </c>
      <c r="L1816">
        <v>50341</v>
      </c>
      <c r="M1816" t="s">
        <v>146</v>
      </c>
      <c r="N1816">
        <v>395</v>
      </c>
      <c r="O1816" s="2">
        <v>46235</v>
      </c>
      <c r="P1816" s="2">
        <v>46284</v>
      </c>
      <c r="R1816" t="s">
        <v>5096</v>
      </c>
      <c r="S1816" t="str">
        <f>"00013498"</f>
        <v>00013498</v>
      </c>
      <c r="T1816" t="s">
        <v>41</v>
      </c>
      <c r="U1816">
        <v>2430.8200000000002</v>
      </c>
      <c r="V1816">
        <v>2430.8200000000002</v>
      </c>
      <c r="W1816">
        <v>2430.8200000000002</v>
      </c>
      <c r="X1816">
        <v>0</v>
      </c>
      <c r="Y1816">
        <v>0</v>
      </c>
      <c r="Z1816">
        <v>-509</v>
      </c>
      <c r="AA1816">
        <v>4132</v>
      </c>
      <c r="AD1816" t="s">
        <v>3224</v>
      </c>
      <c r="AE1816">
        <v>1241228801</v>
      </c>
      <c r="AF1816" t="s">
        <v>3224</v>
      </c>
      <c r="AG1816">
        <v>48076228002992</v>
      </c>
      <c r="AH1816" t="s">
        <v>44</v>
      </c>
    </row>
    <row r="1817" spans="1:34" x14ac:dyDescent="0.3">
      <c r="A1817">
        <v>101</v>
      </c>
      <c r="B1817" t="s">
        <v>34</v>
      </c>
      <c r="C1817">
        <v>2</v>
      </c>
      <c r="D1817" s="1" t="s">
        <v>5094</v>
      </c>
      <c r="E1817" s="1" t="s">
        <v>4375</v>
      </c>
      <c r="G1817">
        <v>461276</v>
      </c>
      <c r="H1817" t="s">
        <v>5095</v>
      </c>
      <c r="I1817" t="s">
        <v>5023</v>
      </c>
      <c r="J1817">
        <v>12</v>
      </c>
      <c r="K1817">
        <v>436310</v>
      </c>
      <c r="L1817">
        <v>50341</v>
      </c>
      <c r="M1817" t="s">
        <v>146</v>
      </c>
      <c r="N1817">
        <v>395</v>
      </c>
      <c r="O1817" s="2">
        <v>46235</v>
      </c>
      <c r="P1817" s="2">
        <v>46305</v>
      </c>
      <c r="R1817" t="s">
        <v>5096</v>
      </c>
      <c r="S1817" t="str">
        <f>"00013501"</f>
        <v>00013501</v>
      </c>
      <c r="T1817" t="s">
        <v>41</v>
      </c>
      <c r="U1817">
        <v>2332.34</v>
      </c>
      <c r="V1817">
        <v>2332.34</v>
      </c>
      <c r="W1817">
        <v>2332.34</v>
      </c>
      <c r="X1817">
        <v>0</v>
      </c>
      <c r="Y1817">
        <v>0</v>
      </c>
      <c r="Z1817">
        <v>-530</v>
      </c>
      <c r="AA1817">
        <v>4132</v>
      </c>
      <c r="AD1817" t="s">
        <v>3224</v>
      </c>
      <c r="AE1817">
        <v>1241228801</v>
      </c>
      <c r="AF1817" t="s">
        <v>3224</v>
      </c>
      <c r="AG1817">
        <v>48076228002992</v>
      </c>
      <c r="AH1817" t="s">
        <v>44</v>
      </c>
    </row>
    <row r="1818" spans="1:34" x14ac:dyDescent="0.3">
      <c r="A1818">
        <v>101</v>
      </c>
      <c r="B1818" t="s">
        <v>34</v>
      </c>
      <c r="C1818">
        <v>2</v>
      </c>
      <c r="D1818" s="1" t="s">
        <v>5094</v>
      </c>
      <c r="E1818" s="1" t="s">
        <v>116</v>
      </c>
      <c r="G1818">
        <v>461276</v>
      </c>
      <c r="H1818" t="s">
        <v>5095</v>
      </c>
      <c r="I1818" t="s">
        <v>5023</v>
      </c>
      <c r="J1818">
        <v>12</v>
      </c>
      <c r="K1818">
        <v>436310</v>
      </c>
      <c r="L1818">
        <v>50341</v>
      </c>
      <c r="M1818" t="s">
        <v>146</v>
      </c>
      <c r="N1818">
        <v>395</v>
      </c>
      <c r="O1818" s="2">
        <v>46235</v>
      </c>
      <c r="P1818" s="2">
        <v>46298</v>
      </c>
      <c r="R1818" t="s">
        <v>5096</v>
      </c>
      <c r="S1818" t="str">
        <f>"00013500"</f>
        <v>00013500</v>
      </c>
      <c r="T1818" t="s">
        <v>41</v>
      </c>
      <c r="U1818">
        <v>2332.34</v>
      </c>
      <c r="V1818">
        <v>2332.34</v>
      </c>
      <c r="W1818">
        <v>2332.34</v>
      </c>
      <c r="X1818">
        <v>0</v>
      </c>
      <c r="Y1818">
        <v>0</v>
      </c>
      <c r="Z1818">
        <v>-523</v>
      </c>
      <c r="AA1818">
        <v>4132</v>
      </c>
      <c r="AD1818" t="s">
        <v>3224</v>
      </c>
      <c r="AE1818">
        <v>1241228801</v>
      </c>
      <c r="AF1818" t="s">
        <v>3224</v>
      </c>
      <c r="AG1818">
        <v>48076228002992</v>
      </c>
      <c r="AH1818" t="s">
        <v>44</v>
      </c>
    </row>
    <row r="1819" spans="1:34" x14ac:dyDescent="0.3">
      <c r="A1819">
        <v>101</v>
      </c>
      <c r="B1819" t="s">
        <v>34</v>
      </c>
      <c r="C1819">
        <v>2</v>
      </c>
      <c r="D1819" s="1" t="s">
        <v>5097</v>
      </c>
      <c r="E1819" s="1" t="s">
        <v>4375</v>
      </c>
      <c r="G1819">
        <v>461276</v>
      </c>
      <c r="H1819" t="s">
        <v>5095</v>
      </c>
      <c r="I1819" t="s">
        <v>5023</v>
      </c>
      <c r="J1819">
        <v>12</v>
      </c>
      <c r="K1819">
        <v>436310</v>
      </c>
      <c r="L1819">
        <v>50341</v>
      </c>
      <c r="M1819" t="s">
        <v>146</v>
      </c>
      <c r="N1819">
        <v>395</v>
      </c>
      <c r="O1819" s="2">
        <v>46202</v>
      </c>
      <c r="P1819" s="2">
        <v>46272</v>
      </c>
      <c r="R1819" t="s">
        <v>5098</v>
      </c>
      <c r="S1819" t="str">
        <f>"00012910"</f>
        <v>00012910</v>
      </c>
      <c r="T1819" t="s">
        <v>41</v>
      </c>
      <c r="U1819">
        <v>3487.68</v>
      </c>
      <c r="V1819">
        <v>3487.68</v>
      </c>
      <c r="W1819">
        <v>3487.68</v>
      </c>
      <c r="X1819">
        <v>0</v>
      </c>
      <c r="Y1819">
        <v>0</v>
      </c>
      <c r="Z1819">
        <v>-497</v>
      </c>
      <c r="AA1819">
        <v>692778</v>
      </c>
      <c r="AD1819" t="s">
        <v>3224</v>
      </c>
      <c r="AE1819">
        <v>1241228801</v>
      </c>
      <c r="AF1819" t="s">
        <v>3224</v>
      </c>
      <c r="AG1819">
        <v>48076228002992</v>
      </c>
      <c r="AH1819" t="s">
        <v>44</v>
      </c>
    </row>
    <row r="1820" spans="1:34" x14ac:dyDescent="0.3">
      <c r="A1820">
        <v>101</v>
      </c>
      <c r="B1820" t="s">
        <v>34</v>
      </c>
      <c r="C1820">
        <v>2</v>
      </c>
      <c r="D1820" s="1" t="s">
        <v>5097</v>
      </c>
      <c r="E1820" s="1" t="s">
        <v>116</v>
      </c>
      <c r="G1820">
        <v>461276</v>
      </c>
      <c r="H1820" t="s">
        <v>5095</v>
      </c>
      <c r="I1820" t="s">
        <v>5023</v>
      </c>
      <c r="J1820">
        <v>12</v>
      </c>
      <c r="K1820">
        <v>436310</v>
      </c>
      <c r="L1820">
        <v>50341</v>
      </c>
      <c r="M1820" t="s">
        <v>146</v>
      </c>
      <c r="N1820">
        <v>395</v>
      </c>
      <c r="O1820" s="2">
        <v>46202</v>
      </c>
      <c r="P1820" s="2">
        <v>46265</v>
      </c>
      <c r="R1820" t="s">
        <v>5098</v>
      </c>
      <c r="S1820" t="str">
        <f>"00012909"</f>
        <v>00012909</v>
      </c>
      <c r="T1820" t="s">
        <v>41</v>
      </c>
      <c r="U1820">
        <v>3487.67</v>
      </c>
      <c r="V1820">
        <v>3487.67</v>
      </c>
      <c r="W1820">
        <v>3487.67</v>
      </c>
      <c r="X1820">
        <v>0</v>
      </c>
      <c r="Y1820">
        <v>0</v>
      </c>
      <c r="Z1820">
        <v>-490</v>
      </c>
      <c r="AA1820">
        <v>692778</v>
      </c>
      <c r="AD1820" t="s">
        <v>3224</v>
      </c>
      <c r="AE1820">
        <v>1241228801</v>
      </c>
      <c r="AF1820" t="s">
        <v>3224</v>
      </c>
      <c r="AG1820">
        <v>48076228002992</v>
      </c>
      <c r="AH1820" t="s">
        <v>44</v>
      </c>
    </row>
    <row r="1821" spans="1:34" x14ac:dyDescent="0.3">
      <c r="A1821">
        <v>101</v>
      </c>
      <c r="B1821" t="s">
        <v>34</v>
      </c>
      <c r="C1821">
        <v>2</v>
      </c>
      <c r="D1821" s="1" t="s">
        <v>5097</v>
      </c>
      <c r="E1821" s="1" t="s">
        <v>122</v>
      </c>
      <c r="G1821">
        <v>461276</v>
      </c>
      <c r="H1821" t="s">
        <v>5095</v>
      </c>
      <c r="I1821" t="s">
        <v>5023</v>
      </c>
      <c r="J1821">
        <v>12</v>
      </c>
      <c r="K1821">
        <v>436310</v>
      </c>
      <c r="L1821">
        <v>50341</v>
      </c>
      <c r="M1821" t="s">
        <v>146</v>
      </c>
      <c r="N1821">
        <v>395</v>
      </c>
      <c r="O1821" s="2">
        <v>46202</v>
      </c>
      <c r="P1821" s="2">
        <v>46258</v>
      </c>
      <c r="R1821" t="s">
        <v>5098</v>
      </c>
      <c r="S1821" t="str">
        <f>"00012908"</f>
        <v>00012908</v>
      </c>
      <c r="T1821" t="s">
        <v>41</v>
      </c>
      <c r="U1821">
        <v>3487.67</v>
      </c>
      <c r="V1821">
        <v>3487.67</v>
      </c>
      <c r="W1821">
        <v>3487.67</v>
      </c>
      <c r="X1821">
        <v>0</v>
      </c>
      <c r="Y1821">
        <v>0</v>
      </c>
      <c r="Z1821">
        <v>-483</v>
      </c>
      <c r="AA1821">
        <v>692778</v>
      </c>
      <c r="AD1821" t="s">
        <v>3224</v>
      </c>
      <c r="AE1821">
        <v>1241228801</v>
      </c>
      <c r="AF1821" t="s">
        <v>3224</v>
      </c>
      <c r="AG1821">
        <v>48076228002992</v>
      </c>
      <c r="AH1821" t="s">
        <v>44</v>
      </c>
    </row>
    <row r="1822" spans="1:34" x14ac:dyDescent="0.3">
      <c r="A1822">
        <v>101</v>
      </c>
      <c r="B1822" t="s">
        <v>34</v>
      </c>
      <c r="C1822">
        <v>2</v>
      </c>
      <c r="D1822" s="1" t="s">
        <v>5099</v>
      </c>
      <c r="E1822" s="1" t="s">
        <v>116</v>
      </c>
      <c r="G1822">
        <v>469634</v>
      </c>
      <c r="H1822" t="s">
        <v>5100</v>
      </c>
      <c r="I1822" t="s">
        <v>5101</v>
      </c>
      <c r="J1822">
        <v>12</v>
      </c>
      <c r="K1822">
        <v>436310</v>
      </c>
      <c r="L1822">
        <v>50237</v>
      </c>
      <c r="M1822" t="s">
        <v>39</v>
      </c>
      <c r="N1822">
        <v>395</v>
      </c>
      <c r="O1822" s="2">
        <v>46202</v>
      </c>
      <c r="P1822" s="2">
        <v>46265</v>
      </c>
      <c r="R1822" t="s">
        <v>5102</v>
      </c>
      <c r="S1822" t="str">
        <f>"330000050868"</f>
        <v>330000050868</v>
      </c>
      <c r="T1822" t="s">
        <v>41</v>
      </c>
      <c r="U1822">
        <v>1349.42</v>
      </c>
      <c r="V1822">
        <v>1349.42</v>
      </c>
      <c r="W1822">
        <v>1349.42</v>
      </c>
      <c r="X1822">
        <v>0</v>
      </c>
      <c r="Y1822">
        <v>0</v>
      </c>
      <c r="Z1822">
        <v>-490</v>
      </c>
      <c r="AA1822">
        <v>692782</v>
      </c>
      <c r="AD1822" t="s">
        <v>3308</v>
      </c>
      <c r="AE1822" t="s">
        <v>5103</v>
      </c>
      <c r="AF1822" t="s">
        <v>3308</v>
      </c>
      <c r="AG1822">
        <v>48076228003026</v>
      </c>
      <c r="AH1822" t="s">
        <v>44</v>
      </c>
    </row>
    <row r="1823" spans="1:34" x14ac:dyDescent="0.3">
      <c r="A1823">
        <v>101</v>
      </c>
      <c r="B1823" t="s">
        <v>34</v>
      </c>
      <c r="C1823">
        <v>2</v>
      </c>
      <c r="D1823" s="1" t="s">
        <v>5099</v>
      </c>
      <c r="E1823" s="1" t="s">
        <v>4375</v>
      </c>
      <c r="G1823">
        <v>469634</v>
      </c>
      <c r="H1823" t="s">
        <v>5100</v>
      </c>
      <c r="I1823" t="s">
        <v>5101</v>
      </c>
      <c r="J1823">
        <v>12</v>
      </c>
      <c r="K1823">
        <v>436310</v>
      </c>
      <c r="L1823">
        <v>50237</v>
      </c>
      <c r="M1823" t="s">
        <v>39</v>
      </c>
      <c r="N1823">
        <v>395</v>
      </c>
      <c r="O1823" s="2">
        <v>46202</v>
      </c>
      <c r="P1823" s="2">
        <v>46272</v>
      </c>
      <c r="R1823" t="s">
        <v>5102</v>
      </c>
      <c r="S1823" t="str">
        <f>"330000050876"</f>
        <v>330000050876</v>
      </c>
      <c r="T1823" t="s">
        <v>41</v>
      </c>
      <c r="U1823">
        <v>1349.41</v>
      </c>
      <c r="V1823">
        <v>1349.41</v>
      </c>
      <c r="W1823">
        <v>1349.41</v>
      </c>
      <c r="X1823">
        <v>0</v>
      </c>
      <c r="Y1823">
        <v>0</v>
      </c>
      <c r="Z1823">
        <v>-497</v>
      </c>
      <c r="AA1823">
        <v>692782</v>
      </c>
      <c r="AD1823" t="s">
        <v>3308</v>
      </c>
      <c r="AE1823" t="s">
        <v>5103</v>
      </c>
      <c r="AF1823" t="s">
        <v>3308</v>
      </c>
      <c r="AG1823">
        <v>48076228003026</v>
      </c>
      <c r="AH1823" t="s">
        <v>44</v>
      </c>
    </row>
    <row r="1824" spans="1:34" x14ac:dyDescent="0.3">
      <c r="A1824">
        <v>101</v>
      </c>
      <c r="B1824" t="s">
        <v>34</v>
      </c>
      <c r="C1824">
        <v>2</v>
      </c>
      <c r="D1824" s="1" t="s">
        <v>5099</v>
      </c>
      <c r="E1824" s="1" t="s">
        <v>122</v>
      </c>
      <c r="G1824">
        <v>469634</v>
      </c>
      <c r="H1824" t="s">
        <v>5100</v>
      </c>
      <c r="I1824" t="s">
        <v>5101</v>
      </c>
      <c r="J1824">
        <v>12</v>
      </c>
      <c r="K1824">
        <v>436310</v>
      </c>
      <c r="L1824">
        <v>50237</v>
      </c>
      <c r="M1824" t="s">
        <v>39</v>
      </c>
      <c r="N1824">
        <v>395</v>
      </c>
      <c r="O1824" s="2">
        <v>46202</v>
      </c>
      <c r="P1824" s="2">
        <v>46258</v>
      </c>
      <c r="R1824" t="s">
        <v>5102</v>
      </c>
      <c r="S1824" t="str">
        <f>"33000005085P"</f>
        <v>33000005085P</v>
      </c>
      <c r="T1824" t="s">
        <v>41</v>
      </c>
      <c r="U1824">
        <v>1349.42</v>
      </c>
      <c r="V1824">
        <v>1349.42</v>
      </c>
      <c r="W1824">
        <v>1349.42</v>
      </c>
      <c r="X1824">
        <v>0</v>
      </c>
      <c r="Y1824">
        <v>0</v>
      </c>
      <c r="Z1824">
        <v>-483</v>
      </c>
      <c r="AA1824">
        <v>692782</v>
      </c>
      <c r="AD1824" t="s">
        <v>3308</v>
      </c>
      <c r="AE1824" t="s">
        <v>5103</v>
      </c>
      <c r="AF1824" t="s">
        <v>3308</v>
      </c>
      <c r="AG1824">
        <v>48076228003026</v>
      </c>
      <c r="AH1824" t="s">
        <v>44</v>
      </c>
    </row>
    <row r="1825" spans="1:34" x14ac:dyDescent="0.3">
      <c r="A1825">
        <v>101</v>
      </c>
      <c r="B1825" t="s">
        <v>34</v>
      </c>
      <c r="C1825">
        <v>2</v>
      </c>
      <c r="D1825" s="1" t="s">
        <v>5104</v>
      </c>
      <c r="E1825" s="1" t="s">
        <v>4375</v>
      </c>
      <c r="G1825">
        <v>469634</v>
      </c>
      <c r="H1825" t="s">
        <v>5100</v>
      </c>
      <c r="I1825" t="s">
        <v>5101</v>
      </c>
      <c r="J1825">
        <v>12</v>
      </c>
      <c r="K1825">
        <v>436310</v>
      </c>
      <c r="L1825">
        <v>50237</v>
      </c>
      <c r="M1825" t="s">
        <v>39</v>
      </c>
      <c r="N1825">
        <v>395</v>
      </c>
      <c r="O1825" s="2">
        <v>46235</v>
      </c>
      <c r="P1825" s="2">
        <v>46305</v>
      </c>
      <c r="R1825" t="s">
        <v>5105</v>
      </c>
      <c r="S1825" t="str">
        <f>"330000051902"</f>
        <v>330000051902</v>
      </c>
      <c r="T1825" t="s">
        <v>41</v>
      </c>
      <c r="U1825">
        <v>1128.07</v>
      </c>
      <c r="V1825">
        <v>1128.07</v>
      </c>
      <c r="W1825">
        <v>1128.07</v>
      </c>
      <c r="X1825">
        <v>0</v>
      </c>
      <c r="Y1825">
        <v>0</v>
      </c>
      <c r="Z1825">
        <v>-530</v>
      </c>
      <c r="AA1825">
        <v>4133</v>
      </c>
      <c r="AD1825" t="s">
        <v>3308</v>
      </c>
      <c r="AE1825" t="s">
        <v>5103</v>
      </c>
      <c r="AF1825" t="s">
        <v>3308</v>
      </c>
      <c r="AG1825">
        <v>48076228003026</v>
      </c>
      <c r="AH1825" t="s">
        <v>44</v>
      </c>
    </row>
    <row r="1826" spans="1:34" x14ac:dyDescent="0.3">
      <c r="A1826">
        <v>101</v>
      </c>
      <c r="B1826" t="s">
        <v>34</v>
      </c>
      <c r="C1826">
        <v>2</v>
      </c>
      <c r="D1826" s="1" t="s">
        <v>5104</v>
      </c>
      <c r="E1826" s="1" t="s">
        <v>116</v>
      </c>
      <c r="G1826">
        <v>469634</v>
      </c>
      <c r="H1826" t="s">
        <v>5100</v>
      </c>
      <c r="I1826" t="s">
        <v>5101</v>
      </c>
      <c r="J1826">
        <v>12</v>
      </c>
      <c r="K1826">
        <v>436310</v>
      </c>
      <c r="L1826">
        <v>50237</v>
      </c>
      <c r="M1826" t="s">
        <v>39</v>
      </c>
      <c r="N1826">
        <v>395</v>
      </c>
      <c r="O1826" s="2">
        <v>46235</v>
      </c>
      <c r="P1826" s="2">
        <v>46298</v>
      </c>
      <c r="R1826" t="s">
        <v>5105</v>
      </c>
      <c r="S1826" t="str">
        <f>"330000051899"</f>
        <v>330000051899</v>
      </c>
      <c r="T1826" t="s">
        <v>41</v>
      </c>
      <c r="U1826">
        <v>1128.07</v>
      </c>
      <c r="V1826">
        <v>1128.07</v>
      </c>
      <c r="W1826">
        <v>1128.07</v>
      </c>
      <c r="X1826">
        <v>0</v>
      </c>
      <c r="Y1826">
        <v>0</v>
      </c>
      <c r="Z1826">
        <v>-523</v>
      </c>
      <c r="AA1826">
        <v>4133</v>
      </c>
      <c r="AD1826" t="s">
        <v>3308</v>
      </c>
      <c r="AE1826" t="s">
        <v>5103</v>
      </c>
      <c r="AF1826" t="s">
        <v>3308</v>
      </c>
      <c r="AG1826">
        <v>48076228003026</v>
      </c>
      <c r="AH1826" t="s">
        <v>44</v>
      </c>
    </row>
    <row r="1827" spans="1:34" x14ac:dyDescent="0.3">
      <c r="A1827">
        <v>101</v>
      </c>
      <c r="B1827" t="s">
        <v>34</v>
      </c>
      <c r="C1827">
        <v>2</v>
      </c>
      <c r="D1827" s="1" t="s">
        <v>5104</v>
      </c>
      <c r="E1827" s="1" t="s">
        <v>122</v>
      </c>
      <c r="G1827">
        <v>469634</v>
      </c>
      <c r="H1827" t="s">
        <v>5100</v>
      </c>
      <c r="I1827" t="s">
        <v>5101</v>
      </c>
      <c r="J1827">
        <v>12</v>
      </c>
      <c r="K1827">
        <v>436310</v>
      </c>
      <c r="L1827">
        <v>50237</v>
      </c>
      <c r="M1827" t="s">
        <v>39</v>
      </c>
      <c r="N1827">
        <v>395</v>
      </c>
      <c r="O1827" s="2">
        <v>46235</v>
      </c>
      <c r="P1827" s="2">
        <v>46291</v>
      </c>
      <c r="R1827" t="s">
        <v>5105</v>
      </c>
      <c r="S1827" t="str">
        <f>"330000051880"</f>
        <v>330000051880</v>
      </c>
      <c r="T1827" t="s">
        <v>41</v>
      </c>
      <c r="U1827">
        <v>1128.07</v>
      </c>
      <c r="V1827">
        <v>1128.07</v>
      </c>
      <c r="W1827">
        <v>1128.07</v>
      </c>
      <c r="X1827">
        <v>0</v>
      </c>
      <c r="Y1827">
        <v>0</v>
      </c>
      <c r="Z1827">
        <v>-516</v>
      </c>
      <c r="AA1827">
        <v>4133</v>
      </c>
      <c r="AD1827" t="s">
        <v>3308</v>
      </c>
      <c r="AE1827" t="s">
        <v>5103</v>
      </c>
      <c r="AF1827" t="s">
        <v>3308</v>
      </c>
      <c r="AG1827">
        <v>48076228003026</v>
      </c>
      <c r="AH1827" t="s">
        <v>44</v>
      </c>
    </row>
    <row r="1828" spans="1:34" x14ac:dyDescent="0.3">
      <c r="A1828">
        <v>101</v>
      </c>
      <c r="B1828" t="s">
        <v>34</v>
      </c>
      <c r="C1828">
        <v>2</v>
      </c>
      <c r="D1828" s="1" t="s">
        <v>5104</v>
      </c>
      <c r="E1828" s="1" t="s">
        <v>36</v>
      </c>
      <c r="G1828">
        <v>469634</v>
      </c>
      <c r="H1828" t="s">
        <v>5100</v>
      </c>
      <c r="I1828" t="s">
        <v>5101</v>
      </c>
      <c r="J1828">
        <v>12</v>
      </c>
      <c r="K1828">
        <v>436310</v>
      </c>
      <c r="L1828">
        <v>50237</v>
      </c>
      <c r="M1828" t="s">
        <v>39</v>
      </c>
      <c r="N1828">
        <v>395</v>
      </c>
      <c r="O1828" s="2">
        <v>46235</v>
      </c>
      <c r="P1828" s="2">
        <v>46284</v>
      </c>
      <c r="R1828" t="s">
        <v>5105</v>
      </c>
      <c r="S1828" t="str">
        <f>"330000051872"</f>
        <v>330000051872</v>
      </c>
      <c r="T1828" t="s">
        <v>41</v>
      </c>
      <c r="U1828">
        <v>1189.4000000000001</v>
      </c>
      <c r="V1828">
        <v>1189.4000000000001</v>
      </c>
      <c r="W1828">
        <v>1189.4000000000001</v>
      </c>
      <c r="X1828">
        <v>0</v>
      </c>
      <c r="Y1828">
        <v>0</v>
      </c>
      <c r="Z1828">
        <v>-509</v>
      </c>
      <c r="AA1828">
        <v>4133</v>
      </c>
      <c r="AD1828" t="s">
        <v>3308</v>
      </c>
      <c r="AE1828" t="s">
        <v>5103</v>
      </c>
      <c r="AF1828" t="s">
        <v>3308</v>
      </c>
      <c r="AG1828">
        <v>48076228003026</v>
      </c>
      <c r="AH1828" t="s">
        <v>44</v>
      </c>
    </row>
    <row r="1829" spans="1:34" x14ac:dyDescent="0.3">
      <c r="A1829">
        <v>101</v>
      </c>
      <c r="B1829" t="s">
        <v>34</v>
      </c>
      <c r="C1829">
        <v>2</v>
      </c>
      <c r="D1829" s="1" t="s">
        <v>5106</v>
      </c>
      <c r="E1829" s="1" t="s">
        <v>116</v>
      </c>
      <c r="G1829">
        <v>440049</v>
      </c>
      <c r="H1829" t="s">
        <v>5107</v>
      </c>
      <c r="I1829" t="s">
        <v>5108</v>
      </c>
      <c r="J1829">
        <v>12</v>
      </c>
      <c r="K1829">
        <v>440049</v>
      </c>
      <c r="L1829">
        <v>50001</v>
      </c>
      <c r="M1829" t="s">
        <v>39</v>
      </c>
      <c r="N1829">
        <v>418</v>
      </c>
      <c r="O1829" s="2">
        <v>46196</v>
      </c>
      <c r="P1829" s="2">
        <v>46256</v>
      </c>
      <c r="R1829" t="s">
        <v>5109</v>
      </c>
      <c r="S1829" t="str">
        <f>"25666160000051176"</f>
        <v>25666160000051176</v>
      </c>
      <c r="T1829" t="s">
        <v>41</v>
      </c>
      <c r="U1829">
        <v>1763.08</v>
      </c>
      <c r="V1829">
        <v>1763.08</v>
      </c>
      <c r="W1829">
        <v>1763.08</v>
      </c>
      <c r="X1829">
        <v>0</v>
      </c>
      <c r="Y1829">
        <v>0</v>
      </c>
      <c r="Z1829">
        <v>-481</v>
      </c>
      <c r="AA1829">
        <v>691411</v>
      </c>
      <c r="AD1829" t="s">
        <v>5110</v>
      </c>
      <c r="AE1829" t="s">
        <v>5111</v>
      </c>
      <c r="AF1829" t="s">
        <v>5110</v>
      </c>
      <c r="AG1829" s="1" t="s">
        <v>5112</v>
      </c>
      <c r="AH1829" t="s">
        <v>311</v>
      </c>
    </row>
    <row r="1830" spans="1:34" x14ac:dyDescent="0.3">
      <c r="A1830">
        <v>101</v>
      </c>
      <c r="B1830" t="s">
        <v>34</v>
      </c>
      <c r="C1830">
        <v>2</v>
      </c>
      <c r="D1830" s="1" t="s">
        <v>5106</v>
      </c>
      <c r="E1830" s="1" t="s">
        <v>4375</v>
      </c>
      <c r="G1830">
        <v>440049</v>
      </c>
      <c r="H1830" t="s">
        <v>5107</v>
      </c>
      <c r="I1830" t="s">
        <v>5108</v>
      </c>
      <c r="J1830">
        <v>12</v>
      </c>
      <c r="K1830">
        <v>440049</v>
      </c>
      <c r="L1830">
        <v>50001</v>
      </c>
      <c r="M1830" t="s">
        <v>39</v>
      </c>
      <c r="N1830">
        <v>418</v>
      </c>
      <c r="O1830" s="2">
        <v>46196</v>
      </c>
      <c r="P1830" s="2">
        <v>46271</v>
      </c>
      <c r="R1830" t="s">
        <v>5109</v>
      </c>
      <c r="S1830" t="str">
        <f>"25666160000051177"</f>
        <v>25666160000051177</v>
      </c>
      <c r="T1830" t="s">
        <v>41</v>
      </c>
      <c r="U1830">
        <v>1763.08</v>
      </c>
      <c r="V1830">
        <v>1763.08</v>
      </c>
      <c r="W1830">
        <v>1763.08</v>
      </c>
      <c r="X1830">
        <v>0</v>
      </c>
      <c r="Y1830">
        <v>0</v>
      </c>
      <c r="Z1830">
        <v>-496</v>
      </c>
      <c r="AA1830">
        <v>691411</v>
      </c>
      <c r="AD1830" t="s">
        <v>5110</v>
      </c>
      <c r="AE1830" t="s">
        <v>5111</v>
      </c>
      <c r="AF1830" t="s">
        <v>5110</v>
      </c>
      <c r="AG1830" s="1" t="s">
        <v>5112</v>
      </c>
      <c r="AH1830" t="s">
        <v>311</v>
      </c>
    </row>
    <row r="1831" spans="1:34" x14ac:dyDescent="0.3">
      <c r="A1831">
        <v>101</v>
      </c>
      <c r="B1831" t="s">
        <v>34</v>
      </c>
      <c r="C1831">
        <v>2</v>
      </c>
      <c r="D1831" s="1" t="s">
        <v>5106</v>
      </c>
      <c r="E1831" s="1" t="s">
        <v>5113</v>
      </c>
      <c r="G1831">
        <v>440049</v>
      </c>
      <c r="H1831" t="s">
        <v>5107</v>
      </c>
      <c r="I1831" t="s">
        <v>5108</v>
      </c>
      <c r="J1831">
        <v>12</v>
      </c>
      <c r="K1831">
        <v>440049</v>
      </c>
      <c r="L1831">
        <v>50001</v>
      </c>
      <c r="M1831" t="s">
        <v>39</v>
      </c>
      <c r="N1831">
        <v>418</v>
      </c>
      <c r="O1831" s="2">
        <v>46196</v>
      </c>
      <c r="P1831" s="2">
        <v>46286</v>
      </c>
      <c r="R1831" t="s">
        <v>5109</v>
      </c>
      <c r="S1831" t="str">
        <f>"25666160000051178"</f>
        <v>25666160000051178</v>
      </c>
      <c r="T1831" t="s">
        <v>41</v>
      </c>
      <c r="U1831">
        <v>1763.1</v>
      </c>
      <c r="V1831">
        <v>1763.1</v>
      </c>
      <c r="W1831">
        <v>1763.1</v>
      </c>
      <c r="X1831">
        <v>0</v>
      </c>
      <c r="Y1831">
        <v>0</v>
      </c>
      <c r="Z1831">
        <v>-511</v>
      </c>
      <c r="AA1831">
        <v>691411</v>
      </c>
      <c r="AD1831" t="s">
        <v>5110</v>
      </c>
      <c r="AE1831" t="s">
        <v>5111</v>
      </c>
      <c r="AF1831" t="s">
        <v>5110</v>
      </c>
      <c r="AG1831" s="1" t="s">
        <v>5112</v>
      </c>
      <c r="AH1831" t="s">
        <v>311</v>
      </c>
    </row>
    <row r="1832" spans="1:34" x14ac:dyDescent="0.3">
      <c r="A1832">
        <v>101</v>
      </c>
      <c r="B1832" t="s">
        <v>34</v>
      </c>
      <c r="C1832">
        <v>2</v>
      </c>
      <c r="D1832" s="1" t="s">
        <v>5114</v>
      </c>
      <c r="E1832" s="1" t="s">
        <v>4375</v>
      </c>
      <c r="G1832">
        <v>440856</v>
      </c>
      <c r="H1832" t="s">
        <v>5115</v>
      </c>
      <c r="I1832" t="s">
        <v>5116</v>
      </c>
      <c r="J1832">
        <v>12</v>
      </c>
      <c r="K1832">
        <v>440856</v>
      </c>
      <c r="L1832">
        <v>95080</v>
      </c>
      <c r="M1832" t="s">
        <v>83</v>
      </c>
      <c r="N1832">
        <v>418</v>
      </c>
      <c r="O1832" s="2">
        <v>46192</v>
      </c>
      <c r="P1832" s="2">
        <v>46267</v>
      </c>
      <c r="R1832" t="s">
        <v>5117</v>
      </c>
      <c r="S1832" t="str">
        <f>""</f>
        <v/>
      </c>
      <c r="T1832" t="s">
        <v>41</v>
      </c>
      <c r="U1832">
        <v>1763.08</v>
      </c>
      <c r="V1832">
        <v>1763.08</v>
      </c>
      <c r="W1832">
        <v>1763.08</v>
      </c>
      <c r="X1832">
        <v>0</v>
      </c>
      <c r="Y1832">
        <v>0</v>
      </c>
      <c r="Z1832">
        <v>-492</v>
      </c>
      <c r="AA1832">
        <v>691385</v>
      </c>
      <c r="AD1832" t="s">
        <v>5118</v>
      </c>
      <c r="AE1832">
        <v>6434952272</v>
      </c>
      <c r="AF1832" t="s">
        <v>5118</v>
      </c>
      <c r="AG1832">
        <v>12298828000157</v>
      </c>
      <c r="AH1832" t="s">
        <v>311</v>
      </c>
    </row>
    <row r="1833" spans="1:34" x14ac:dyDescent="0.3">
      <c r="A1833">
        <v>101</v>
      </c>
      <c r="B1833" t="s">
        <v>34</v>
      </c>
      <c r="C1833">
        <v>2</v>
      </c>
      <c r="D1833" s="1" t="s">
        <v>5114</v>
      </c>
      <c r="E1833" s="1" t="s">
        <v>116</v>
      </c>
      <c r="G1833">
        <v>440856</v>
      </c>
      <c r="H1833" t="s">
        <v>5115</v>
      </c>
      <c r="I1833" t="s">
        <v>5116</v>
      </c>
      <c r="J1833">
        <v>12</v>
      </c>
      <c r="K1833">
        <v>440856</v>
      </c>
      <c r="L1833">
        <v>95080</v>
      </c>
      <c r="M1833" t="s">
        <v>83</v>
      </c>
      <c r="N1833">
        <v>418</v>
      </c>
      <c r="O1833" s="2">
        <v>46192</v>
      </c>
      <c r="P1833" s="2">
        <v>46252</v>
      </c>
      <c r="R1833" t="s">
        <v>5117</v>
      </c>
      <c r="S1833" t="str">
        <f>""</f>
        <v/>
      </c>
      <c r="T1833" t="s">
        <v>41</v>
      </c>
      <c r="U1833">
        <v>1763.08</v>
      </c>
      <c r="V1833">
        <v>1763.08</v>
      </c>
      <c r="W1833">
        <v>1763.08</v>
      </c>
      <c r="X1833">
        <v>0</v>
      </c>
      <c r="Y1833">
        <v>0</v>
      </c>
      <c r="Z1833">
        <v>-477</v>
      </c>
      <c r="AA1833">
        <v>691385</v>
      </c>
      <c r="AD1833" t="s">
        <v>5118</v>
      </c>
      <c r="AE1833">
        <v>6434952272</v>
      </c>
      <c r="AF1833" t="s">
        <v>5118</v>
      </c>
      <c r="AG1833">
        <v>12298828000157</v>
      </c>
      <c r="AH1833" t="s">
        <v>311</v>
      </c>
    </row>
    <row r="1834" spans="1:34" x14ac:dyDescent="0.3">
      <c r="A1834">
        <v>101</v>
      </c>
      <c r="B1834" t="s">
        <v>34</v>
      </c>
      <c r="C1834">
        <v>2</v>
      </c>
      <c r="D1834" s="1" t="s">
        <v>5114</v>
      </c>
      <c r="E1834" s="1" t="s">
        <v>122</v>
      </c>
      <c r="G1834">
        <v>440856</v>
      </c>
      <c r="H1834" t="s">
        <v>5115</v>
      </c>
      <c r="I1834" t="s">
        <v>5116</v>
      </c>
      <c r="J1834">
        <v>12</v>
      </c>
      <c r="K1834">
        <v>440856</v>
      </c>
      <c r="L1834">
        <v>95080</v>
      </c>
      <c r="M1834" t="s">
        <v>83</v>
      </c>
      <c r="N1834">
        <v>418</v>
      </c>
      <c r="O1834" s="2">
        <v>46192</v>
      </c>
      <c r="P1834" s="2">
        <v>46237</v>
      </c>
      <c r="R1834" t="s">
        <v>5117</v>
      </c>
      <c r="S1834" t="str">
        <f>""</f>
        <v/>
      </c>
      <c r="T1834" t="s">
        <v>41</v>
      </c>
      <c r="U1834">
        <v>1763.08</v>
      </c>
      <c r="V1834">
        <v>1763.08</v>
      </c>
      <c r="W1834">
        <v>1763.08</v>
      </c>
      <c r="X1834">
        <v>0</v>
      </c>
      <c r="Y1834">
        <v>0</v>
      </c>
      <c r="Z1834">
        <v>-462</v>
      </c>
      <c r="AA1834">
        <v>691385</v>
      </c>
      <c r="AD1834" t="s">
        <v>5118</v>
      </c>
      <c r="AE1834">
        <v>6434952272</v>
      </c>
      <c r="AF1834" t="s">
        <v>5118</v>
      </c>
      <c r="AG1834">
        <v>12298828000157</v>
      </c>
      <c r="AH1834" t="s">
        <v>311</v>
      </c>
    </row>
    <row r="1835" spans="1:34" x14ac:dyDescent="0.3">
      <c r="A1835">
        <v>101</v>
      </c>
      <c r="B1835" t="s">
        <v>34</v>
      </c>
      <c r="C1835">
        <v>2</v>
      </c>
      <c r="D1835" s="1" t="s">
        <v>5114</v>
      </c>
      <c r="E1835" s="1" t="s">
        <v>5113</v>
      </c>
      <c r="G1835">
        <v>440856</v>
      </c>
      <c r="H1835" t="s">
        <v>5115</v>
      </c>
      <c r="I1835" t="s">
        <v>5116</v>
      </c>
      <c r="J1835">
        <v>12</v>
      </c>
      <c r="K1835">
        <v>440856</v>
      </c>
      <c r="L1835">
        <v>95080</v>
      </c>
      <c r="M1835" t="s">
        <v>83</v>
      </c>
      <c r="N1835">
        <v>418</v>
      </c>
      <c r="O1835" s="2">
        <v>46192</v>
      </c>
      <c r="P1835" s="2">
        <v>46282</v>
      </c>
      <c r="R1835" t="s">
        <v>5117</v>
      </c>
      <c r="S1835" t="str">
        <f>""</f>
        <v/>
      </c>
      <c r="T1835" t="s">
        <v>41</v>
      </c>
      <c r="U1835">
        <v>1763.1</v>
      </c>
      <c r="V1835">
        <v>1763.1</v>
      </c>
      <c r="W1835">
        <v>1763.1</v>
      </c>
      <c r="X1835">
        <v>0</v>
      </c>
      <c r="Y1835">
        <v>0</v>
      </c>
      <c r="Z1835">
        <v>-507</v>
      </c>
      <c r="AA1835">
        <v>691385</v>
      </c>
      <c r="AD1835" t="s">
        <v>5118</v>
      </c>
      <c r="AE1835">
        <v>6434952272</v>
      </c>
      <c r="AF1835" t="s">
        <v>5118</v>
      </c>
      <c r="AG1835">
        <v>12298828000157</v>
      </c>
      <c r="AH1835" t="s">
        <v>311</v>
      </c>
    </row>
    <row r="1836" spans="1:34" x14ac:dyDescent="0.3">
      <c r="A1836">
        <v>101</v>
      </c>
      <c r="B1836" t="s">
        <v>34</v>
      </c>
      <c r="C1836">
        <v>2</v>
      </c>
      <c r="D1836" s="1" t="s">
        <v>5119</v>
      </c>
      <c r="E1836" s="1" t="s">
        <v>116</v>
      </c>
      <c r="G1836">
        <v>456877</v>
      </c>
      <c r="H1836" t="s">
        <v>5120</v>
      </c>
      <c r="I1836" t="s">
        <v>5121</v>
      </c>
      <c r="J1836">
        <v>12</v>
      </c>
      <c r="K1836">
        <v>456877</v>
      </c>
      <c r="L1836">
        <v>50001</v>
      </c>
      <c r="M1836" t="s">
        <v>39</v>
      </c>
      <c r="N1836">
        <v>418</v>
      </c>
      <c r="O1836" s="2">
        <v>46203</v>
      </c>
      <c r="P1836" s="2">
        <v>46293</v>
      </c>
      <c r="R1836" t="s">
        <v>5122</v>
      </c>
      <c r="S1836" t="str">
        <f>"25666160000051341"</f>
        <v>25666160000051341</v>
      </c>
      <c r="T1836" t="s">
        <v>41</v>
      </c>
      <c r="U1836">
        <v>1992.9</v>
      </c>
      <c r="V1836">
        <v>1992.9</v>
      </c>
      <c r="W1836">
        <v>1992.9</v>
      </c>
      <c r="X1836">
        <v>0</v>
      </c>
      <c r="Y1836">
        <v>0</v>
      </c>
      <c r="Z1836">
        <v>-518</v>
      </c>
      <c r="AA1836">
        <v>693216</v>
      </c>
      <c r="AD1836" t="s">
        <v>1606</v>
      </c>
      <c r="AE1836">
        <v>3432929191</v>
      </c>
      <c r="AF1836" t="s">
        <v>1606</v>
      </c>
      <c r="AG1836" s="1" t="s">
        <v>5123</v>
      </c>
      <c r="AH1836" t="s">
        <v>1462</v>
      </c>
    </row>
    <row r="1837" spans="1:34" x14ac:dyDescent="0.3">
      <c r="A1837">
        <v>101</v>
      </c>
      <c r="B1837" t="s">
        <v>34</v>
      </c>
      <c r="C1837">
        <v>2</v>
      </c>
      <c r="D1837" s="1" t="s">
        <v>5119</v>
      </c>
      <c r="E1837" s="1" t="s">
        <v>122</v>
      </c>
      <c r="G1837">
        <v>456877</v>
      </c>
      <c r="H1837" t="s">
        <v>5120</v>
      </c>
      <c r="I1837" t="s">
        <v>5121</v>
      </c>
      <c r="J1837">
        <v>12</v>
      </c>
      <c r="K1837">
        <v>456877</v>
      </c>
      <c r="L1837">
        <v>50001</v>
      </c>
      <c r="M1837" t="s">
        <v>39</v>
      </c>
      <c r="N1837">
        <v>418</v>
      </c>
      <c r="O1837" s="2">
        <v>46203</v>
      </c>
      <c r="P1837" s="2">
        <v>46263</v>
      </c>
      <c r="R1837" t="s">
        <v>5122</v>
      </c>
      <c r="S1837" t="str">
        <f>"25666160000051340"</f>
        <v>25666160000051340</v>
      </c>
      <c r="T1837" t="s">
        <v>41</v>
      </c>
      <c r="U1837">
        <v>1992.31</v>
      </c>
      <c r="V1837">
        <v>1992.31</v>
      </c>
      <c r="W1837">
        <v>1992.31</v>
      </c>
      <c r="X1837">
        <v>0</v>
      </c>
      <c r="Y1837">
        <v>0</v>
      </c>
      <c r="Z1837">
        <v>-488</v>
      </c>
      <c r="AA1837">
        <v>693216</v>
      </c>
      <c r="AD1837" t="s">
        <v>1606</v>
      </c>
      <c r="AE1837">
        <v>3432929191</v>
      </c>
      <c r="AF1837" t="s">
        <v>1606</v>
      </c>
      <c r="AG1837" s="1" t="s">
        <v>5123</v>
      </c>
      <c r="AH1837" t="s">
        <v>1462</v>
      </c>
    </row>
    <row r="1838" spans="1:34" x14ac:dyDescent="0.3">
      <c r="A1838">
        <v>101</v>
      </c>
      <c r="B1838" t="s">
        <v>34</v>
      </c>
      <c r="C1838">
        <v>2</v>
      </c>
      <c r="D1838" s="1" t="s">
        <v>5124</v>
      </c>
      <c r="E1838" s="1" t="s">
        <v>116</v>
      </c>
      <c r="G1838">
        <v>456877</v>
      </c>
      <c r="H1838" t="s">
        <v>5120</v>
      </c>
      <c r="I1838" t="s">
        <v>5121</v>
      </c>
      <c r="J1838">
        <v>12</v>
      </c>
      <c r="K1838">
        <v>456877</v>
      </c>
      <c r="L1838">
        <v>50001</v>
      </c>
      <c r="M1838" t="s">
        <v>39</v>
      </c>
      <c r="N1838">
        <v>418</v>
      </c>
      <c r="O1838" s="2">
        <v>46171</v>
      </c>
      <c r="P1838" s="2">
        <v>46261</v>
      </c>
      <c r="R1838" t="s">
        <v>5125</v>
      </c>
      <c r="S1838" t="str">
        <f>"25666160000050826"</f>
        <v>25666160000050826</v>
      </c>
      <c r="T1838" t="s">
        <v>41</v>
      </c>
      <c r="U1838">
        <v>1039.2</v>
      </c>
      <c r="V1838">
        <v>1039.2</v>
      </c>
      <c r="W1838">
        <v>1039.2</v>
      </c>
      <c r="X1838">
        <v>0</v>
      </c>
      <c r="Y1838">
        <v>0</v>
      </c>
      <c r="Z1838">
        <v>-486</v>
      </c>
      <c r="AA1838">
        <v>689762</v>
      </c>
      <c r="AD1838" t="s">
        <v>1606</v>
      </c>
      <c r="AE1838">
        <v>3432929191</v>
      </c>
      <c r="AF1838" t="s">
        <v>1606</v>
      </c>
      <c r="AG1838" s="1" t="s">
        <v>5123</v>
      </c>
      <c r="AH1838" t="s">
        <v>1462</v>
      </c>
    </row>
    <row r="1839" spans="1:34" x14ac:dyDescent="0.3">
      <c r="A1839">
        <v>101</v>
      </c>
      <c r="B1839" t="s">
        <v>34</v>
      </c>
      <c r="C1839">
        <v>2</v>
      </c>
      <c r="D1839" s="1" t="s">
        <v>5126</v>
      </c>
      <c r="E1839" s="1" t="s">
        <v>122</v>
      </c>
      <c r="G1839">
        <v>462151</v>
      </c>
      <c r="H1839" t="s">
        <v>5127</v>
      </c>
      <c r="I1839" t="s">
        <v>5128</v>
      </c>
      <c r="J1839">
        <v>12</v>
      </c>
      <c r="K1839">
        <v>436563</v>
      </c>
      <c r="L1839">
        <v>50341</v>
      </c>
      <c r="M1839" t="s">
        <v>146</v>
      </c>
      <c r="N1839">
        <v>418</v>
      </c>
      <c r="O1839" s="2">
        <v>46235</v>
      </c>
      <c r="P1839" s="2">
        <v>46295</v>
      </c>
      <c r="R1839" t="s">
        <v>5129</v>
      </c>
      <c r="S1839" t="str">
        <f>"00013505"</f>
        <v>00013505</v>
      </c>
      <c r="T1839" t="s">
        <v>41</v>
      </c>
      <c r="U1839">
        <v>1599.01</v>
      </c>
      <c r="V1839">
        <v>1599.01</v>
      </c>
      <c r="W1839">
        <v>1599.01</v>
      </c>
      <c r="X1839">
        <v>0</v>
      </c>
      <c r="Y1839">
        <v>0</v>
      </c>
      <c r="Z1839">
        <v>-520</v>
      </c>
      <c r="AA1839">
        <v>695454</v>
      </c>
      <c r="AD1839" t="s">
        <v>1641</v>
      </c>
      <c r="AE1839">
        <v>64981116468</v>
      </c>
      <c r="AF1839" t="s">
        <v>1641</v>
      </c>
      <c r="AG1839">
        <v>48008811000165</v>
      </c>
      <c r="AH1839" t="s">
        <v>1462</v>
      </c>
    </row>
    <row r="1840" spans="1:34" x14ac:dyDescent="0.3">
      <c r="A1840">
        <v>101</v>
      </c>
      <c r="B1840" t="s">
        <v>34</v>
      </c>
      <c r="C1840">
        <v>2</v>
      </c>
      <c r="D1840" s="1" t="s">
        <v>5126</v>
      </c>
      <c r="E1840" s="1" t="s">
        <v>36</v>
      </c>
      <c r="G1840">
        <v>462151</v>
      </c>
      <c r="H1840" t="s">
        <v>5127</v>
      </c>
      <c r="I1840" t="s">
        <v>5128</v>
      </c>
      <c r="J1840">
        <v>12</v>
      </c>
      <c r="K1840">
        <v>436563</v>
      </c>
      <c r="L1840">
        <v>50341</v>
      </c>
      <c r="M1840" t="s">
        <v>146</v>
      </c>
      <c r="N1840">
        <v>418</v>
      </c>
      <c r="O1840" s="2">
        <v>46235</v>
      </c>
      <c r="P1840" s="2">
        <v>46265</v>
      </c>
      <c r="R1840" t="s">
        <v>5129</v>
      </c>
      <c r="S1840" t="str">
        <f>"00013504"</f>
        <v>00013504</v>
      </c>
      <c r="T1840" t="s">
        <v>41</v>
      </c>
      <c r="U1840">
        <v>1599.01</v>
      </c>
      <c r="V1840">
        <v>1599.01</v>
      </c>
      <c r="W1840">
        <v>1599.01</v>
      </c>
      <c r="X1840">
        <v>0</v>
      </c>
      <c r="Y1840">
        <v>0</v>
      </c>
      <c r="Z1840">
        <v>-490</v>
      </c>
      <c r="AA1840">
        <v>695454</v>
      </c>
      <c r="AD1840" t="s">
        <v>1641</v>
      </c>
      <c r="AE1840">
        <v>64981116468</v>
      </c>
      <c r="AF1840" t="s">
        <v>1641</v>
      </c>
      <c r="AG1840">
        <v>48008811000165</v>
      </c>
      <c r="AH1840" t="s">
        <v>1462</v>
      </c>
    </row>
    <row r="1841" spans="1:34" x14ac:dyDescent="0.3">
      <c r="A1841">
        <v>101</v>
      </c>
      <c r="B1841" t="s">
        <v>34</v>
      </c>
      <c r="C1841">
        <v>2</v>
      </c>
      <c r="D1841" s="1" t="s">
        <v>5126</v>
      </c>
      <c r="E1841" s="1" t="s">
        <v>116</v>
      </c>
      <c r="G1841">
        <v>462151</v>
      </c>
      <c r="H1841" t="s">
        <v>5127</v>
      </c>
      <c r="I1841" t="s">
        <v>5128</v>
      </c>
      <c r="J1841">
        <v>12</v>
      </c>
      <c r="K1841">
        <v>436563</v>
      </c>
      <c r="L1841">
        <v>50341</v>
      </c>
      <c r="M1841" t="s">
        <v>146</v>
      </c>
      <c r="N1841">
        <v>418</v>
      </c>
      <c r="O1841" s="2">
        <v>46235</v>
      </c>
      <c r="P1841" s="2">
        <v>46325</v>
      </c>
      <c r="R1841" t="s">
        <v>5129</v>
      </c>
      <c r="S1841" t="str">
        <f>"00013506"</f>
        <v>00013506</v>
      </c>
      <c r="T1841" t="s">
        <v>41</v>
      </c>
      <c r="U1841">
        <v>1599.49</v>
      </c>
      <c r="V1841">
        <v>1599.49</v>
      </c>
      <c r="W1841">
        <v>1599.49</v>
      </c>
      <c r="X1841">
        <v>0</v>
      </c>
      <c r="Y1841">
        <v>0</v>
      </c>
      <c r="Z1841">
        <v>-550</v>
      </c>
      <c r="AA1841">
        <v>695454</v>
      </c>
      <c r="AD1841" t="s">
        <v>1641</v>
      </c>
      <c r="AE1841">
        <v>64981116468</v>
      </c>
      <c r="AF1841" t="s">
        <v>1641</v>
      </c>
      <c r="AG1841">
        <v>48008811000165</v>
      </c>
      <c r="AH1841" t="s">
        <v>1462</v>
      </c>
    </row>
    <row r="1842" spans="1:34" x14ac:dyDescent="0.3">
      <c r="A1842">
        <v>101</v>
      </c>
      <c r="B1842" t="s">
        <v>34</v>
      </c>
      <c r="C1842">
        <v>2</v>
      </c>
      <c r="D1842" s="1" t="s">
        <v>5130</v>
      </c>
      <c r="E1842" s="1" t="s">
        <v>36</v>
      </c>
      <c r="G1842">
        <v>463448</v>
      </c>
      <c r="H1842" t="s">
        <v>5131</v>
      </c>
      <c r="I1842" t="s">
        <v>5132</v>
      </c>
      <c r="J1842">
        <v>12</v>
      </c>
      <c r="K1842">
        <v>463448</v>
      </c>
      <c r="L1842">
        <v>50237</v>
      </c>
      <c r="M1842" t="s">
        <v>39</v>
      </c>
      <c r="N1842">
        <v>418</v>
      </c>
      <c r="O1842" s="2">
        <v>46233</v>
      </c>
      <c r="P1842" s="2">
        <v>46263</v>
      </c>
      <c r="R1842" t="s">
        <v>5133</v>
      </c>
      <c r="S1842" t="str">
        <f>"330000051708"</f>
        <v>330000051708</v>
      </c>
      <c r="T1842" t="s">
        <v>41</v>
      </c>
      <c r="U1842">
        <v>3012.39</v>
      </c>
      <c r="V1842">
        <v>3012.39</v>
      </c>
      <c r="W1842">
        <v>3012.39</v>
      </c>
      <c r="X1842">
        <v>0</v>
      </c>
      <c r="Y1842">
        <v>0</v>
      </c>
      <c r="Z1842">
        <v>-488</v>
      </c>
      <c r="AA1842">
        <v>694832</v>
      </c>
      <c r="AD1842" t="s">
        <v>5134</v>
      </c>
      <c r="AE1842" t="s">
        <v>5135</v>
      </c>
      <c r="AF1842" t="s">
        <v>5134</v>
      </c>
      <c r="AG1842">
        <v>33371620000196</v>
      </c>
      <c r="AH1842" t="s">
        <v>1462</v>
      </c>
    </row>
    <row r="1843" spans="1:34" x14ac:dyDescent="0.3">
      <c r="A1843">
        <v>101</v>
      </c>
      <c r="B1843" t="s">
        <v>34</v>
      </c>
      <c r="C1843">
        <v>2</v>
      </c>
      <c r="D1843" s="1" t="s">
        <v>5130</v>
      </c>
      <c r="E1843" s="1" t="s">
        <v>116</v>
      </c>
      <c r="G1843">
        <v>463448</v>
      </c>
      <c r="H1843" t="s">
        <v>5131</v>
      </c>
      <c r="I1843" t="s">
        <v>5132</v>
      </c>
      <c r="J1843">
        <v>12</v>
      </c>
      <c r="K1843">
        <v>463448</v>
      </c>
      <c r="L1843">
        <v>50237</v>
      </c>
      <c r="M1843" t="s">
        <v>39</v>
      </c>
      <c r="N1843">
        <v>418</v>
      </c>
      <c r="O1843" s="2">
        <v>46233</v>
      </c>
      <c r="P1843" s="2">
        <v>46323</v>
      </c>
      <c r="R1843" t="s">
        <v>5133</v>
      </c>
      <c r="S1843" t="str">
        <f>"330000051724"</f>
        <v>330000051724</v>
      </c>
      <c r="T1843" t="s">
        <v>41</v>
      </c>
      <c r="U1843">
        <v>2826.14</v>
      </c>
      <c r="V1843">
        <v>2826.14</v>
      </c>
      <c r="W1843">
        <v>2826.14</v>
      </c>
      <c r="X1843">
        <v>0</v>
      </c>
      <c r="Y1843">
        <v>0</v>
      </c>
      <c r="Z1843">
        <v>-548</v>
      </c>
      <c r="AA1843">
        <v>694832</v>
      </c>
      <c r="AD1843" t="s">
        <v>5134</v>
      </c>
      <c r="AE1843" t="s">
        <v>5135</v>
      </c>
      <c r="AF1843" t="s">
        <v>5134</v>
      </c>
      <c r="AG1843">
        <v>33371620000196</v>
      </c>
      <c r="AH1843" t="s">
        <v>1462</v>
      </c>
    </row>
    <row r="1844" spans="1:34" x14ac:dyDescent="0.3">
      <c r="A1844">
        <v>101</v>
      </c>
      <c r="B1844" t="s">
        <v>34</v>
      </c>
      <c r="C1844">
        <v>2</v>
      </c>
      <c r="D1844" s="1" t="s">
        <v>5130</v>
      </c>
      <c r="E1844" s="1" t="s">
        <v>122</v>
      </c>
      <c r="G1844">
        <v>463448</v>
      </c>
      <c r="H1844" t="s">
        <v>5131</v>
      </c>
      <c r="I1844" t="s">
        <v>5132</v>
      </c>
      <c r="J1844">
        <v>12</v>
      </c>
      <c r="K1844">
        <v>463448</v>
      </c>
      <c r="L1844">
        <v>50237</v>
      </c>
      <c r="M1844" t="s">
        <v>39</v>
      </c>
      <c r="N1844">
        <v>418</v>
      </c>
      <c r="O1844" s="2">
        <v>46233</v>
      </c>
      <c r="P1844" s="2">
        <v>46293</v>
      </c>
      <c r="R1844" t="s">
        <v>5133</v>
      </c>
      <c r="S1844" t="str">
        <f>"330000051716"</f>
        <v>330000051716</v>
      </c>
      <c r="T1844" t="s">
        <v>41</v>
      </c>
      <c r="U1844">
        <v>2825.28</v>
      </c>
      <c r="V1844">
        <v>2825.28</v>
      </c>
      <c r="W1844">
        <v>2825.28</v>
      </c>
      <c r="X1844">
        <v>0</v>
      </c>
      <c r="Y1844">
        <v>0</v>
      </c>
      <c r="Z1844">
        <v>-518</v>
      </c>
      <c r="AA1844">
        <v>694832</v>
      </c>
      <c r="AD1844" t="s">
        <v>5134</v>
      </c>
      <c r="AE1844" t="s">
        <v>5135</v>
      </c>
      <c r="AF1844" t="s">
        <v>5134</v>
      </c>
      <c r="AG1844">
        <v>33371620000196</v>
      </c>
      <c r="AH1844" t="s">
        <v>1462</v>
      </c>
    </row>
    <row r="1845" spans="1:34" x14ac:dyDescent="0.3">
      <c r="A1845">
        <v>101</v>
      </c>
      <c r="B1845" t="s">
        <v>34</v>
      </c>
      <c r="C1845">
        <v>2</v>
      </c>
      <c r="D1845" s="1" t="s">
        <v>5136</v>
      </c>
      <c r="E1845" s="1" t="s">
        <v>36</v>
      </c>
      <c r="G1845">
        <v>464932</v>
      </c>
      <c r="H1845" t="s">
        <v>5137</v>
      </c>
      <c r="I1845" t="s">
        <v>5138</v>
      </c>
      <c r="J1845">
        <v>12</v>
      </c>
      <c r="K1845">
        <v>464932</v>
      </c>
      <c r="L1845">
        <v>50033</v>
      </c>
      <c r="M1845" t="s">
        <v>39</v>
      </c>
      <c r="N1845">
        <v>418</v>
      </c>
      <c r="O1845" s="2">
        <v>46233</v>
      </c>
      <c r="P1845" s="2">
        <v>46263</v>
      </c>
      <c r="R1845" t="s">
        <v>5139</v>
      </c>
      <c r="S1845" t="str">
        <f>"0000050411640"</f>
        <v>0000050411640</v>
      </c>
      <c r="T1845" t="s">
        <v>41</v>
      </c>
      <c r="U1845">
        <v>865.03</v>
      </c>
      <c r="V1845">
        <v>865.03</v>
      </c>
      <c r="W1845">
        <v>865.03</v>
      </c>
      <c r="X1845">
        <v>0</v>
      </c>
      <c r="Y1845">
        <v>0</v>
      </c>
      <c r="Z1845">
        <v>-488</v>
      </c>
      <c r="AA1845">
        <v>694833</v>
      </c>
      <c r="AD1845" t="s">
        <v>1624</v>
      </c>
      <c r="AE1845" t="s">
        <v>5140</v>
      </c>
      <c r="AF1845" t="s">
        <v>1624</v>
      </c>
      <c r="AG1845">
        <v>46985432000108</v>
      </c>
      <c r="AH1845" t="s">
        <v>1462</v>
      </c>
    </row>
    <row r="1846" spans="1:34" x14ac:dyDescent="0.3">
      <c r="A1846">
        <v>101</v>
      </c>
      <c r="B1846" t="s">
        <v>34</v>
      </c>
      <c r="C1846">
        <v>2</v>
      </c>
      <c r="D1846" s="1" t="s">
        <v>5136</v>
      </c>
      <c r="E1846" s="1" t="s">
        <v>122</v>
      </c>
      <c r="G1846">
        <v>464932</v>
      </c>
      <c r="H1846" t="s">
        <v>5137</v>
      </c>
      <c r="I1846" t="s">
        <v>5138</v>
      </c>
      <c r="J1846">
        <v>12</v>
      </c>
      <c r="K1846">
        <v>464932</v>
      </c>
      <c r="L1846">
        <v>50033</v>
      </c>
      <c r="M1846" t="s">
        <v>39</v>
      </c>
      <c r="N1846">
        <v>418</v>
      </c>
      <c r="O1846" s="2">
        <v>46233</v>
      </c>
      <c r="P1846" s="2">
        <v>46293</v>
      </c>
      <c r="R1846" t="s">
        <v>5139</v>
      </c>
      <c r="S1846" t="str">
        <f>"0000050411659"</f>
        <v>0000050411659</v>
      </c>
      <c r="T1846" t="s">
        <v>41</v>
      </c>
      <c r="U1846">
        <v>865.03</v>
      </c>
      <c r="V1846">
        <v>865.03</v>
      </c>
      <c r="W1846">
        <v>865.03</v>
      </c>
      <c r="X1846">
        <v>0</v>
      </c>
      <c r="Y1846">
        <v>0</v>
      </c>
      <c r="Z1846">
        <v>-518</v>
      </c>
      <c r="AA1846">
        <v>694833</v>
      </c>
      <c r="AD1846" t="s">
        <v>1624</v>
      </c>
      <c r="AE1846" t="s">
        <v>5140</v>
      </c>
      <c r="AF1846" t="s">
        <v>1624</v>
      </c>
      <c r="AG1846">
        <v>46985432000108</v>
      </c>
      <c r="AH1846" t="s">
        <v>1462</v>
      </c>
    </row>
    <row r="1847" spans="1:34" x14ac:dyDescent="0.3">
      <c r="A1847">
        <v>101</v>
      </c>
      <c r="B1847" t="s">
        <v>34</v>
      </c>
      <c r="C1847">
        <v>2</v>
      </c>
      <c r="D1847" s="1" t="s">
        <v>5136</v>
      </c>
      <c r="E1847" s="1" t="s">
        <v>116</v>
      </c>
      <c r="G1847">
        <v>464932</v>
      </c>
      <c r="H1847" t="s">
        <v>5137</v>
      </c>
      <c r="I1847" t="s">
        <v>5138</v>
      </c>
      <c r="J1847">
        <v>12</v>
      </c>
      <c r="K1847">
        <v>464932</v>
      </c>
      <c r="L1847">
        <v>50033</v>
      </c>
      <c r="M1847" t="s">
        <v>39</v>
      </c>
      <c r="N1847">
        <v>418</v>
      </c>
      <c r="O1847" s="2">
        <v>46233</v>
      </c>
      <c r="P1847" s="2">
        <v>46323</v>
      </c>
      <c r="R1847" t="s">
        <v>5139</v>
      </c>
      <c r="S1847" t="str">
        <f>"0000050411667"</f>
        <v>0000050411667</v>
      </c>
      <c r="T1847" t="s">
        <v>41</v>
      </c>
      <c r="U1847">
        <v>865.28</v>
      </c>
      <c r="V1847">
        <v>865.28</v>
      </c>
      <c r="W1847">
        <v>865.28</v>
      </c>
      <c r="X1847">
        <v>0</v>
      </c>
      <c r="Y1847">
        <v>0</v>
      </c>
      <c r="Z1847">
        <v>-548</v>
      </c>
      <c r="AA1847">
        <v>694833</v>
      </c>
      <c r="AD1847" t="s">
        <v>1624</v>
      </c>
      <c r="AE1847" t="s">
        <v>5140</v>
      </c>
      <c r="AF1847" t="s">
        <v>1624</v>
      </c>
      <c r="AG1847">
        <v>46985432000108</v>
      </c>
      <c r="AH1847" t="s">
        <v>1462</v>
      </c>
    </row>
    <row r="1848" spans="1:34" x14ac:dyDescent="0.3">
      <c r="A1848">
        <v>101</v>
      </c>
      <c r="B1848" t="s">
        <v>34</v>
      </c>
      <c r="C1848">
        <v>2</v>
      </c>
      <c r="D1848" s="1" t="s">
        <v>5141</v>
      </c>
      <c r="E1848" s="1" t="s">
        <v>5113</v>
      </c>
      <c r="G1848">
        <v>467802</v>
      </c>
      <c r="H1848" t="s">
        <v>5142</v>
      </c>
      <c r="I1848" t="s">
        <v>5143</v>
      </c>
      <c r="J1848">
        <v>12</v>
      </c>
      <c r="K1848">
        <v>440049</v>
      </c>
      <c r="L1848">
        <v>50001</v>
      </c>
      <c r="M1848" t="s">
        <v>39</v>
      </c>
      <c r="N1848">
        <v>418</v>
      </c>
      <c r="O1848" s="2">
        <v>46191</v>
      </c>
      <c r="P1848" s="2">
        <v>46281</v>
      </c>
      <c r="R1848" t="s">
        <v>5144</v>
      </c>
      <c r="S1848" t="str">
        <f>"25666160000051088"</f>
        <v>25666160000051088</v>
      </c>
      <c r="T1848" t="s">
        <v>41</v>
      </c>
      <c r="U1848">
        <v>916.5</v>
      </c>
      <c r="V1848">
        <v>916.5</v>
      </c>
      <c r="W1848">
        <v>916.5</v>
      </c>
      <c r="X1848">
        <v>0</v>
      </c>
      <c r="Y1848">
        <v>0</v>
      </c>
      <c r="Z1848">
        <v>-506</v>
      </c>
      <c r="AA1848">
        <v>691416</v>
      </c>
      <c r="AD1848" t="s">
        <v>5145</v>
      </c>
      <c r="AE1848" t="s">
        <v>5146</v>
      </c>
      <c r="AF1848" t="s">
        <v>5145</v>
      </c>
      <c r="AG1848">
        <v>51986955000109</v>
      </c>
      <c r="AH1848" t="s">
        <v>311</v>
      </c>
    </row>
    <row r="1849" spans="1:34" x14ac:dyDescent="0.3">
      <c r="A1849">
        <v>101</v>
      </c>
      <c r="B1849" t="s">
        <v>34</v>
      </c>
      <c r="C1849">
        <v>2</v>
      </c>
      <c r="D1849" s="1" t="s">
        <v>5141</v>
      </c>
      <c r="E1849" s="1" t="s">
        <v>4375</v>
      </c>
      <c r="G1849">
        <v>467802</v>
      </c>
      <c r="H1849" t="s">
        <v>5142</v>
      </c>
      <c r="I1849" t="s">
        <v>5143</v>
      </c>
      <c r="J1849">
        <v>12</v>
      </c>
      <c r="K1849">
        <v>440049</v>
      </c>
      <c r="L1849">
        <v>50001</v>
      </c>
      <c r="M1849" t="s">
        <v>39</v>
      </c>
      <c r="N1849">
        <v>418</v>
      </c>
      <c r="O1849" s="2">
        <v>46191</v>
      </c>
      <c r="P1849" s="2">
        <v>46266</v>
      </c>
      <c r="R1849" t="s">
        <v>5144</v>
      </c>
      <c r="S1849" t="str">
        <f>"25666160000051087"</f>
        <v>25666160000051087</v>
      </c>
      <c r="T1849" t="s">
        <v>41</v>
      </c>
      <c r="U1849">
        <v>916.51</v>
      </c>
      <c r="V1849">
        <v>916.51</v>
      </c>
      <c r="W1849">
        <v>916.51</v>
      </c>
      <c r="X1849">
        <v>0</v>
      </c>
      <c r="Y1849">
        <v>0</v>
      </c>
      <c r="Z1849">
        <v>-491</v>
      </c>
      <c r="AA1849">
        <v>691416</v>
      </c>
      <c r="AD1849" t="s">
        <v>5145</v>
      </c>
      <c r="AE1849" t="s">
        <v>5146</v>
      </c>
      <c r="AF1849" t="s">
        <v>5145</v>
      </c>
      <c r="AG1849">
        <v>51986955000109</v>
      </c>
      <c r="AH1849" t="s">
        <v>311</v>
      </c>
    </row>
    <row r="1850" spans="1:34" x14ac:dyDescent="0.3">
      <c r="A1850">
        <v>101</v>
      </c>
      <c r="B1850" t="s">
        <v>34</v>
      </c>
      <c r="C1850">
        <v>2</v>
      </c>
      <c r="D1850" s="1" t="s">
        <v>5147</v>
      </c>
      <c r="E1850" s="1" t="s">
        <v>5113</v>
      </c>
      <c r="G1850">
        <v>467803</v>
      </c>
      <c r="H1850" t="s">
        <v>5148</v>
      </c>
      <c r="I1850" t="s">
        <v>5149</v>
      </c>
      <c r="J1850">
        <v>12</v>
      </c>
      <c r="K1850">
        <v>440049</v>
      </c>
      <c r="L1850">
        <v>50001</v>
      </c>
      <c r="M1850" t="s">
        <v>39</v>
      </c>
      <c r="N1850">
        <v>418</v>
      </c>
      <c r="O1850" s="2">
        <v>46197</v>
      </c>
      <c r="P1850" s="2">
        <v>46287</v>
      </c>
      <c r="R1850" t="s">
        <v>5150</v>
      </c>
      <c r="S1850" t="str">
        <f>"25666160000051216"</f>
        <v>25666160000051216</v>
      </c>
      <c r="T1850" t="s">
        <v>41</v>
      </c>
      <c r="U1850">
        <v>916.5</v>
      </c>
      <c r="V1850">
        <v>916.5</v>
      </c>
      <c r="W1850">
        <v>916.5</v>
      </c>
      <c r="X1850">
        <v>0</v>
      </c>
      <c r="Y1850">
        <v>0</v>
      </c>
      <c r="Z1850">
        <v>-512</v>
      </c>
      <c r="AA1850">
        <v>691415</v>
      </c>
      <c r="AD1850" t="s">
        <v>5151</v>
      </c>
      <c r="AE1850" t="s">
        <v>5152</v>
      </c>
      <c r="AF1850" t="s">
        <v>5151</v>
      </c>
      <c r="AG1850">
        <v>55487569000115</v>
      </c>
      <c r="AH1850" t="s">
        <v>311</v>
      </c>
    </row>
    <row r="1851" spans="1:34" x14ac:dyDescent="0.3">
      <c r="A1851">
        <v>101</v>
      </c>
      <c r="B1851" t="s">
        <v>34</v>
      </c>
      <c r="C1851">
        <v>2</v>
      </c>
      <c r="D1851" s="1" t="s">
        <v>5147</v>
      </c>
      <c r="E1851" s="1" t="s">
        <v>4375</v>
      </c>
      <c r="G1851">
        <v>467803</v>
      </c>
      <c r="H1851" t="s">
        <v>5148</v>
      </c>
      <c r="I1851" t="s">
        <v>5149</v>
      </c>
      <c r="J1851">
        <v>12</v>
      </c>
      <c r="K1851">
        <v>440049</v>
      </c>
      <c r="L1851">
        <v>50001</v>
      </c>
      <c r="M1851" t="s">
        <v>39</v>
      </c>
      <c r="N1851">
        <v>418</v>
      </c>
      <c r="O1851" s="2">
        <v>46197</v>
      </c>
      <c r="P1851" s="2">
        <v>46272</v>
      </c>
      <c r="R1851" t="s">
        <v>5150</v>
      </c>
      <c r="S1851" t="str">
        <f>"25666160000051215"</f>
        <v>25666160000051215</v>
      </c>
      <c r="T1851" t="s">
        <v>41</v>
      </c>
      <c r="U1851">
        <v>916.51</v>
      </c>
      <c r="V1851">
        <v>916.51</v>
      </c>
      <c r="W1851">
        <v>916.51</v>
      </c>
      <c r="X1851">
        <v>0</v>
      </c>
      <c r="Y1851">
        <v>0</v>
      </c>
      <c r="Z1851">
        <v>-497</v>
      </c>
      <c r="AA1851">
        <v>691415</v>
      </c>
      <c r="AD1851" t="s">
        <v>5151</v>
      </c>
      <c r="AE1851" t="s">
        <v>5152</v>
      </c>
      <c r="AF1851" t="s">
        <v>5151</v>
      </c>
      <c r="AG1851">
        <v>55487569000115</v>
      </c>
      <c r="AH1851" t="s">
        <v>311</v>
      </c>
    </row>
    <row r="1852" spans="1:34" x14ac:dyDescent="0.3">
      <c r="A1852">
        <v>101</v>
      </c>
      <c r="B1852" t="s">
        <v>34</v>
      </c>
      <c r="C1852">
        <v>2</v>
      </c>
      <c r="D1852" s="1" t="s">
        <v>5147</v>
      </c>
      <c r="E1852" s="1" t="s">
        <v>116</v>
      </c>
      <c r="G1852">
        <v>467803</v>
      </c>
      <c r="H1852" t="s">
        <v>5148</v>
      </c>
      <c r="I1852" t="s">
        <v>5149</v>
      </c>
      <c r="J1852">
        <v>12</v>
      </c>
      <c r="K1852">
        <v>440049</v>
      </c>
      <c r="L1852">
        <v>50001</v>
      </c>
      <c r="M1852" t="s">
        <v>39</v>
      </c>
      <c r="N1852">
        <v>418</v>
      </c>
      <c r="O1852" s="2">
        <v>46197</v>
      </c>
      <c r="P1852" s="2">
        <v>46257</v>
      </c>
      <c r="R1852" t="s">
        <v>5150</v>
      </c>
      <c r="S1852" t="str">
        <f>"25666160000051214"</f>
        <v>25666160000051214</v>
      </c>
      <c r="T1852" t="s">
        <v>41</v>
      </c>
      <c r="U1852">
        <v>916.51</v>
      </c>
      <c r="V1852">
        <v>916.51</v>
      </c>
      <c r="W1852">
        <v>916.51</v>
      </c>
      <c r="X1852">
        <v>0</v>
      </c>
      <c r="Y1852">
        <v>0</v>
      </c>
      <c r="Z1852">
        <v>-482</v>
      </c>
      <c r="AA1852">
        <v>691415</v>
      </c>
      <c r="AD1852" t="s">
        <v>5151</v>
      </c>
      <c r="AE1852" t="s">
        <v>5152</v>
      </c>
      <c r="AF1852" t="s">
        <v>5151</v>
      </c>
      <c r="AG1852">
        <v>55487569000115</v>
      </c>
      <c r="AH1852" t="s">
        <v>311</v>
      </c>
    </row>
    <row r="1853" spans="1:34" x14ac:dyDescent="0.3">
      <c r="A1853">
        <v>101</v>
      </c>
      <c r="B1853" t="s">
        <v>34</v>
      </c>
      <c r="C1853">
        <v>2</v>
      </c>
      <c r="D1853" s="1" t="s">
        <v>5153</v>
      </c>
      <c r="E1853" s="1" t="s">
        <v>5113</v>
      </c>
      <c r="G1853">
        <v>468059</v>
      </c>
      <c r="H1853" t="s">
        <v>5154</v>
      </c>
      <c r="I1853" t="s">
        <v>5155</v>
      </c>
      <c r="J1853">
        <v>12</v>
      </c>
      <c r="K1853">
        <v>468059</v>
      </c>
      <c r="L1853">
        <v>50237</v>
      </c>
      <c r="M1853" t="s">
        <v>39</v>
      </c>
      <c r="N1853">
        <v>418</v>
      </c>
      <c r="O1853" s="2">
        <v>46235</v>
      </c>
      <c r="P1853" s="2">
        <v>46325</v>
      </c>
      <c r="R1853" t="s">
        <v>5156</v>
      </c>
      <c r="S1853" t="str">
        <f>"330000051864"</f>
        <v>330000051864</v>
      </c>
      <c r="T1853" t="s">
        <v>41</v>
      </c>
      <c r="U1853">
        <v>1041.52</v>
      </c>
      <c r="V1853">
        <v>1041.52</v>
      </c>
      <c r="W1853">
        <v>1041.52</v>
      </c>
      <c r="X1853">
        <v>0</v>
      </c>
      <c r="Y1853">
        <v>0</v>
      </c>
      <c r="Z1853">
        <v>-550</v>
      </c>
      <c r="AA1853">
        <v>695838</v>
      </c>
      <c r="AD1853" t="s">
        <v>5157</v>
      </c>
      <c r="AE1853" t="s">
        <v>5158</v>
      </c>
      <c r="AF1853" t="s">
        <v>5157</v>
      </c>
      <c r="AG1853">
        <v>45238792000175</v>
      </c>
      <c r="AH1853" t="s">
        <v>1462</v>
      </c>
    </row>
    <row r="1854" spans="1:34" x14ac:dyDescent="0.3">
      <c r="A1854">
        <v>101</v>
      </c>
      <c r="B1854" t="s">
        <v>34</v>
      </c>
      <c r="C1854">
        <v>2</v>
      </c>
      <c r="D1854" s="1" t="s">
        <v>5153</v>
      </c>
      <c r="E1854" s="1" t="s">
        <v>36</v>
      </c>
      <c r="G1854">
        <v>468059</v>
      </c>
      <c r="H1854" t="s">
        <v>5154</v>
      </c>
      <c r="I1854" t="s">
        <v>5155</v>
      </c>
      <c r="J1854">
        <v>12</v>
      </c>
      <c r="K1854">
        <v>468059</v>
      </c>
      <c r="L1854">
        <v>50237</v>
      </c>
      <c r="M1854" t="s">
        <v>39</v>
      </c>
      <c r="N1854">
        <v>418</v>
      </c>
      <c r="O1854" s="2">
        <v>46235</v>
      </c>
      <c r="P1854" s="2">
        <v>46265</v>
      </c>
      <c r="R1854" t="s">
        <v>5156</v>
      </c>
      <c r="S1854" t="str">
        <f>"330000051821"</f>
        <v>330000051821</v>
      </c>
      <c r="T1854" t="s">
        <v>41</v>
      </c>
      <c r="U1854">
        <v>1041.52</v>
      </c>
      <c r="V1854">
        <v>1041.52</v>
      </c>
      <c r="W1854">
        <v>1041.52</v>
      </c>
      <c r="X1854">
        <v>0</v>
      </c>
      <c r="Y1854">
        <v>0</v>
      </c>
      <c r="Z1854">
        <v>-490</v>
      </c>
      <c r="AA1854">
        <v>695838</v>
      </c>
      <c r="AD1854" t="s">
        <v>5157</v>
      </c>
      <c r="AE1854" t="s">
        <v>5158</v>
      </c>
      <c r="AF1854" t="s">
        <v>5157</v>
      </c>
      <c r="AG1854">
        <v>45238792000175</v>
      </c>
      <c r="AH1854" t="s">
        <v>1462</v>
      </c>
    </row>
    <row r="1855" spans="1:34" x14ac:dyDescent="0.3">
      <c r="A1855">
        <v>101</v>
      </c>
      <c r="B1855" t="s">
        <v>34</v>
      </c>
      <c r="C1855">
        <v>2</v>
      </c>
      <c r="D1855" s="1" t="s">
        <v>5153</v>
      </c>
      <c r="E1855" s="1" t="s">
        <v>122</v>
      </c>
      <c r="G1855">
        <v>468059</v>
      </c>
      <c r="H1855" t="s">
        <v>5154</v>
      </c>
      <c r="I1855" t="s">
        <v>5155</v>
      </c>
      <c r="J1855">
        <v>12</v>
      </c>
      <c r="K1855">
        <v>468059</v>
      </c>
      <c r="L1855">
        <v>50237</v>
      </c>
      <c r="M1855" t="s">
        <v>39</v>
      </c>
      <c r="N1855">
        <v>418</v>
      </c>
      <c r="O1855" s="2">
        <v>46235</v>
      </c>
      <c r="P1855" s="2">
        <v>46280</v>
      </c>
      <c r="R1855" t="s">
        <v>5156</v>
      </c>
      <c r="S1855" t="str">
        <f>"33000005183P"</f>
        <v>33000005183P</v>
      </c>
      <c r="T1855" t="s">
        <v>41</v>
      </c>
      <c r="U1855">
        <v>1041.52</v>
      </c>
      <c r="V1855">
        <v>1041.52</v>
      </c>
      <c r="W1855">
        <v>1041.52</v>
      </c>
      <c r="X1855">
        <v>0</v>
      </c>
      <c r="Y1855">
        <v>0</v>
      </c>
      <c r="Z1855">
        <v>-505</v>
      </c>
      <c r="AA1855">
        <v>695838</v>
      </c>
      <c r="AD1855" t="s">
        <v>5157</v>
      </c>
      <c r="AE1855" t="s">
        <v>5158</v>
      </c>
      <c r="AF1855" t="s">
        <v>5157</v>
      </c>
      <c r="AG1855">
        <v>45238792000175</v>
      </c>
      <c r="AH1855" t="s">
        <v>1462</v>
      </c>
    </row>
    <row r="1856" spans="1:34" x14ac:dyDescent="0.3">
      <c r="A1856">
        <v>101</v>
      </c>
      <c r="B1856" t="s">
        <v>34</v>
      </c>
      <c r="C1856">
        <v>2</v>
      </c>
      <c r="D1856" s="1" t="s">
        <v>5153</v>
      </c>
      <c r="E1856" s="1" t="s">
        <v>116</v>
      </c>
      <c r="G1856">
        <v>468059</v>
      </c>
      <c r="H1856" t="s">
        <v>5154</v>
      </c>
      <c r="I1856" t="s">
        <v>5155</v>
      </c>
      <c r="J1856">
        <v>12</v>
      </c>
      <c r="K1856">
        <v>468059</v>
      </c>
      <c r="L1856">
        <v>50237</v>
      </c>
      <c r="M1856" t="s">
        <v>39</v>
      </c>
      <c r="N1856">
        <v>418</v>
      </c>
      <c r="O1856" s="2">
        <v>46235</v>
      </c>
      <c r="P1856" s="2">
        <v>46295</v>
      </c>
      <c r="R1856" t="s">
        <v>5156</v>
      </c>
      <c r="S1856" t="str">
        <f>"330000051848"</f>
        <v>330000051848</v>
      </c>
      <c r="T1856" t="s">
        <v>41</v>
      </c>
      <c r="U1856">
        <v>1041.52</v>
      </c>
      <c r="V1856">
        <v>1041.52</v>
      </c>
      <c r="W1856">
        <v>1041.52</v>
      </c>
      <c r="X1856">
        <v>0</v>
      </c>
      <c r="Y1856">
        <v>0</v>
      </c>
      <c r="Z1856">
        <v>-520</v>
      </c>
      <c r="AA1856">
        <v>695838</v>
      </c>
      <c r="AD1856" t="s">
        <v>5157</v>
      </c>
      <c r="AE1856" t="s">
        <v>5158</v>
      </c>
      <c r="AF1856" t="s">
        <v>5157</v>
      </c>
      <c r="AG1856">
        <v>45238792000175</v>
      </c>
      <c r="AH1856" t="s">
        <v>1462</v>
      </c>
    </row>
    <row r="1857" spans="1:34" x14ac:dyDescent="0.3">
      <c r="A1857">
        <v>101</v>
      </c>
      <c r="B1857" t="s">
        <v>34</v>
      </c>
      <c r="C1857">
        <v>2</v>
      </c>
      <c r="D1857" s="1" t="s">
        <v>5153</v>
      </c>
      <c r="E1857" s="1" t="s">
        <v>4375</v>
      </c>
      <c r="G1857">
        <v>468059</v>
      </c>
      <c r="H1857" t="s">
        <v>5154</v>
      </c>
      <c r="I1857" t="s">
        <v>5155</v>
      </c>
      <c r="J1857">
        <v>12</v>
      </c>
      <c r="K1857">
        <v>468059</v>
      </c>
      <c r="L1857">
        <v>50237</v>
      </c>
      <c r="M1857" t="s">
        <v>39</v>
      </c>
      <c r="N1857">
        <v>418</v>
      </c>
      <c r="O1857" s="2">
        <v>46235</v>
      </c>
      <c r="P1857" s="2">
        <v>46310</v>
      </c>
      <c r="R1857" t="s">
        <v>5156</v>
      </c>
      <c r="S1857" t="str">
        <f>"330000051856"</f>
        <v>330000051856</v>
      </c>
      <c r="T1857" t="s">
        <v>41</v>
      </c>
      <c r="U1857">
        <v>1041.52</v>
      </c>
      <c r="V1857">
        <v>1041.52</v>
      </c>
      <c r="W1857">
        <v>1041.52</v>
      </c>
      <c r="X1857">
        <v>0</v>
      </c>
      <c r="Y1857">
        <v>0</v>
      </c>
      <c r="Z1857">
        <v>-535</v>
      </c>
      <c r="AA1857">
        <v>695838</v>
      </c>
      <c r="AD1857" t="s">
        <v>5157</v>
      </c>
      <c r="AE1857" t="s">
        <v>5158</v>
      </c>
      <c r="AF1857" t="s">
        <v>5157</v>
      </c>
      <c r="AG1857">
        <v>45238792000175</v>
      </c>
      <c r="AH1857" t="s">
        <v>1462</v>
      </c>
    </row>
    <row r="1858" spans="1:34" x14ac:dyDescent="0.3">
      <c r="A1858">
        <v>106</v>
      </c>
      <c r="B1858" t="s">
        <v>34</v>
      </c>
      <c r="C1858">
        <v>2</v>
      </c>
      <c r="D1858" s="1" t="s">
        <v>5159</v>
      </c>
      <c r="E1858" s="1" t="s">
        <v>36</v>
      </c>
      <c r="G1858">
        <v>461145</v>
      </c>
      <c r="H1858" t="s">
        <v>5160</v>
      </c>
      <c r="I1858" t="s">
        <v>5161</v>
      </c>
      <c r="J1858">
        <v>39</v>
      </c>
      <c r="K1858">
        <v>461145</v>
      </c>
      <c r="L1858">
        <v>50341</v>
      </c>
      <c r="M1858" t="s">
        <v>146</v>
      </c>
      <c r="N1858">
        <v>421</v>
      </c>
      <c r="O1858" s="2">
        <v>46233</v>
      </c>
      <c r="P1858" s="2">
        <v>46263</v>
      </c>
      <c r="R1858" t="s">
        <v>5162</v>
      </c>
      <c r="S1858" t="str">
        <f>"00013391"</f>
        <v>00013391</v>
      </c>
      <c r="T1858" t="s">
        <v>41</v>
      </c>
      <c r="U1858">
        <v>109348.81</v>
      </c>
      <c r="V1858">
        <v>103648.81</v>
      </c>
      <c r="W1858">
        <v>103648.81</v>
      </c>
      <c r="X1858">
        <v>0</v>
      </c>
      <c r="Y1858">
        <v>0</v>
      </c>
      <c r="Z1858">
        <v>-488</v>
      </c>
      <c r="AA1858" t="s">
        <v>5163</v>
      </c>
      <c r="AD1858" t="s">
        <v>5164</v>
      </c>
      <c r="AE1858">
        <v>9935232659</v>
      </c>
      <c r="AF1858" t="s">
        <v>5164</v>
      </c>
      <c r="AG1858" s="1" t="s">
        <v>5165</v>
      </c>
      <c r="AH1858" t="s">
        <v>3443</v>
      </c>
    </row>
    <row r="1859" spans="1:34" x14ac:dyDescent="0.3">
      <c r="A1859">
        <v>104</v>
      </c>
      <c r="B1859" t="s">
        <v>34</v>
      </c>
      <c r="C1859">
        <v>4</v>
      </c>
      <c r="D1859" s="1" t="s">
        <v>5166</v>
      </c>
      <c r="E1859" s="1" t="s">
        <v>36</v>
      </c>
      <c r="G1859">
        <v>461145</v>
      </c>
      <c r="H1859" t="s">
        <v>5160</v>
      </c>
      <c r="I1859" t="s">
        <v>5161</v>
      </c>
      <c r="J1859">
        <v>39</v>
      </c>
      <c r="K1859">
        <v>461145</v>
      </c>
      <c r="L1859">
        <v>50341</v>
      </c>
      <c r="M1859" t="s">
        <v>146</v>
      </c>
      <c r="N1859">
        <v>421</v>
      </c>
      <c r="O1859" s="2">
        <v>46233</v>
      </c>
      <c r="P1859" s="2">
        <v>46265</v>
      </c>
      <c r="R1859" t="s">
        <v>5167</v>
      </c>
      <c r="S1859" t="str">
        <f>"00013381"</f>
        <v>00013381</v>
      </c>
      <c r="T1859" t="s">
        <v>41</v>
      </c>
      <c r="U1859">
        <v>81909.100000000006</v>
      </c>
      <c r="V1859">
        <v>81319.100000000006</v>
      </c>
      <c r="W1859">
        <v>81319.100000000006</v>
      </c>
      <c r="X1859">
        <v>0</v>
      </c>
      <c r="Y1859">
        <v>0</v>
      </c>
      <c r="Z1859">
        <v>-490</v>
      </c>
      <c r="AA1859" t="s">
        <v>5168</v>
      </c>
      <c r="AD1859" t="s">
        <v>5164</v>
      </c>
      <c r="AE1859">
        <v>9935232659</v>
      </c>
      <c r="AF1859" t="s">
        <v>5164</v>
      </c>
      <c r="AG1859" s="1" t="s">
        <v>5165</v>
      </c>
      <c r="AH1859" t="s">
        <v>3443</v>
      </c>
    </row>
    <row r="1860" spans="1:34" x14ac:dyDescent="0.3">
      <c r="A1860">
        <v>104</v>
      </c>
      <c r="B1860" t="s">
        <v>34</v>
      </c>
      <c r="C1860">
        <v>4</v>
      </c>
      <c r="D1860" s="1" t="s">
        <v>5169</v>
      </c>
      <c r="E1860" s="1" t="s">
        <v>36</v>
      </c>
      <c r="G1860">
        <v>470356</v>
      </c>
      <c r="H1860" t="s">
        <v>5170</v>
      </c>
      <c r="I1860" t="s">
        <v>5171</v>
      </c>
      <c r="J1860">
        <v>15</v>
      </c>
      <c r="K1860">
        <v>470356</v>
      </c>
      <c r="L1860">
        <v>50341</v>
      </c>
      <c r="M1860" t="s">
        <v>146</v>
      </c>
      <c r="N1860">
        <v>430</v>
      </c>
      <c r="O1860" s="2">
        <v>46097</v>
      </c>
      <c r="P1860" s="2">
        <v>46127</v>
      </c>
      <c r="R1860" t="s">
        <v>5172</v>
      </c>
      <c r="S1860" t="str">
        <f>"00011138"</f>
        <v>00011138</v>
      </c>
      <c r="T1860" t="s">
        <v>41</v>
      </c>
      <c r="U1860">
        <v>2809.22</v>
      </c>
      <c r="V1860">
        <v>2809.22</v>
      </c>
      <c r="W1860">
        <v>2809.22</v>
      </c>
      <c r="X1860">
        <v>0</v>
      </c>
      <c r="Y1860">
        <v>0</v>
      </c>
      <c r="Z1860">
        <v>-352</v>
      </c>
      <c r="AA1860" t="s">
        <v>5173</v>
      </c>
      <c r="AD1860" t="s">
        <v>3145</v>
      </c>
      <c r="AE1860" t="s">
        <v>5174</v>
      </c>
      <c r="AF1860" t="s">
        <v>3145</v>
      </c>
      <c r="AG1860">
        <v>51994736000163</v>
      </c>
      <c r="AH1860" t="s">
        <v>2154</v>
      </c>
    </row>
    <row r="1861" spans="1:34" x14ac:dyDescent="0.3">
      <c r="A1861">
        <v>104</v>
      </c>
      <c r="B1861" t="s">
        <v>34</v>
      </c>
      <c r="C1861">
        <v>4</v>
      </c>
      <c r="D1861" s="1" t="s">
        <v>5169</v>
      </c>
      <c r="E1861" s="1" t="s">
        <v>122</v>
      </c>
      <c r="G1861">
        <v>470356</v>
      </c>
      <c r="H1861" t="s">
        <v>5170</v>
      </c>
      <c r="I1861" t="s">
        <v>5171</v>
      </c>
      <c r="J1861">
        <v>15</v>
      </c>
      <c r="K1861">
        <v>470356</v>
      </c>
      <c r="L1861">
        <v>50341</v>
      </c>
      <c r="M1861" t="s">
        <v>146</v>
      </c>
      <c r="N1861">
        <v>430</v>
      </c>
      <c r="O1861" s="2">
        <v>46097</v>
      </c>
      <c r="P1861" s="2">
        <v>46157</v>
      </c>
      <c r="R1861" t="s">
        <v>5172</v>
      </c>
      <c r="S1861" t="str">
        <f>"00011139"</f>
        <v>00011139</v>
      </c>
      <c r="T1861" t="s">
        <v>41</v>
      </c>
      <c r="U1861">
        <v>2809.22</v>
      </c>
      <c r="V1861">
        <v>2809.22</v>
      </c>
      <c r="W1861">
        <v>2809.22</v>
      </c>
      <c r="X1861">
        <v>0</v>
      </c>
      <c r="Y1861">
        <v>0</v>
      </c>
      <c r="Z1861">
        <v>-382</v>
      </c>
      <c r="AA1861" t="s">
        <v>5173</v>
      </c>
      <c r="AD1861" t="s">
        <v>3145</v>
      </c>
      <c r="AE1861" t="s">
        <v>5174</v>
      </c>
      <c r="AF1861" t="s">
        <v>3145</v>
      </c>
      <c r="AG1861">
        <v>51994736000163</v>
      </c>
      <c r="AH1861" t="s">
        <v>2154</v>
      </c>
    </row>
    <row r="1862" spans="1:34" x14ac:dyDescent="0.3">
      <c r="A1862">
        <v>106</v>
      </c>
      <c r="B1862" t="s">
        <v>34</v>
      </c>
      <c r="C1862">
        <v>2</v>
      </c>
      <c r="D1862" s="1" t="s">
        <v>5175</v>
      </c>
      <c r="E1862" s="1" t="s">
        <v>122</v>
      </c>
      <c r="G1862">
        <v>470356</v>
      </c>
      <c r="H1862" t="s">
        <v>5170</v>
      </c>
      <c r="I1862" t="s">
        <v>5171</v>
      </c>
      <c r="J1862">
        <v>15</v>
      </c>
      <c r="K1862">
        <v>470356</v>
      </c>
      <c r="L1862">
        <v>50341</v>
      </c>
      <c r="M1862" t="s">
        <v>146</v>
      </c>
      <c r="N1862">
        <v>430</v>
      </c>
      <c r="O1862" s="2">
        <v>46098</v>
      </c>
      <c r="P1862" s="2">
        <v>46158</v>
      </c>
      <c r="R1862" t="s">
        <v>5176</v>
      </c>
      <c r="S1862" t="str">
        <f>"00011148"</f>
        <v>00011148</v>
      </c>
      <c r="T1862" t="s">
        <v>41</v>
      </c>
      <c r="U1862">
        <v>1575.45</v>
      </c>
      <c r="V1862">
        <v>1575.45</v>
      </c>
      <c r="W1862">
        <v>1575.45</v>
      </c>
      <c r="X1862">
        <v>0</v>
      </c>
      <c r="Y1862">
        <v>0</v>
      </c>
      <c r="Z1862">
        <v>-383</v>
      </c>
      <c r="AA1862" t="s">
        <v>5177</v>
      </c>
      <c r="AD1862" t="s">
        <v>3145</v>
      </c>
      <c r="AE1862" t="s">
        <v>5174</v>
      </c>
      <c r="AF1862" t="s">
        <v>3145</v>
      </c>
      <c r="AG1862">
        <v>51994736000163</v>
      </c>
      <c r="AH1862" t="s">
        <v>2154</v>
      </c>
    </row>
    <row r="1863" spans="1:34" x14ac:dyDescent="0.3">
      <c r="A1863">
        <v>106</v>
      </c>
      <c r="B1863" t="s">
        <v>34</v>
      </c>
      <c r="C1863">
        <v>2</v>
      </c>
      <c r="D1863" s="1" t="s">
        <v>5175</v>
      </c>
      <c r="E1863" s="1" t="s">
        <v>36</v>
      </c>
      <c r="G1863">
        <v>470356</v>
      </c>
      <c r="H1863" t="s">
        <v>5170</v>
      </c>
      <c r="I1863" t="s">
        <v>5171</v>
      </c>
      <c r="J1863">
        <v>15</v>
      </c>
      <c r="K1863">
        <v>470356</v>
      </c>
      <c r="L1863">
        <v>50341</v>
      </c>
      <c r="M1863" t="s">
        <v>146</v>
      </c>
      <c r="N1863">
        <v>430</v>
      </c>
      <c r="O1863" s="2">
        <v>46098</v>
      </c>
      <c r="P1863" s="2">
        <v>46128</v>
      </c>
      <c r="R1863" t="s">
        <v>5176</v>
      </c>
      <c r="S1863" t="str">
        <f>"00011147"</f>
        <v>00011147</v>
      </c>
      <c r="T1863" t="s">
        <v>41</v>
      </c>
      <c r="U1863">
        <v>1575.45</v>
      </c>
      <c r="V1863">
        <v>1575.45</v>
      </c>
      <c r="W1863">
        <v>1575.45</v>
      </c>
      <c r="X1863">
        <v>0</v>
      </c>
      <c r="Y1863">
        <v>0</v>
      </c>
      <c r="Z1863">
        <v>-353</v>
      </c>
      <c r="AA1863" t="s">
        <v>5177</v>
      </c>
      <c r="AD1863" t="s">
        <v>3145</v>
      </c>
      <c r="AE1863" t="s">
        <v>5174</v>
      </c>
      <c r="AF1863" t="s">
        <v>3145</v>
      </c>
      <c r="AG1863">
        <v>51994736000163</v>
      </c>
      <c r="AH1863" t="s">
        <v>2154</v>
      </c>
    </row>
    <row r="1864" spans="1:34" x14ac:dyDescent="0.3">
      <c r="A1864">
        <v>101</v>
      </c>
      <c r="B1864" t="s">
        <v>34</v>
      </c>
      <c r="C1864">
        <v>2</v>
      </c>
      <c r="D1864" s="1" t="s">
        <v>5178</v>
      </c>
      <c r="E1864" s="1" t="s">
        <v>36</v>
      </c>
      <c r="G1864">
        <v>410358</v>
      </c>
      <c r="H1864" t="s">
        <v>5179</v>
      </c>
      <c r="I1864" t="s">
        <v>5180</v>
      </c>
      <c r="J1864">
        <v>12</v>
      </c>
      <c r="K1864">
        <v>410358</v>
      </c>
      <c r="L1864">
        <v>50341</v>
      </c>
      <c r="M1864" t="s">
        <v>146</v>
      </c>
      <c r="N1864">
        <v>434</v>
      </c>
      <c r="O1864" s="2">
        <v>46255</v>
      </c>
      <c r="P1864" s="2">
        <v>46285</v>
      </c>
      <c r="R1864" t="s">
        <v>5181</v>
      </c>
      <c r="S1864" t="str">
        <f>"00013721"</f>
        <v>00013721</v>
      </c>
      <c r="T1864" t="s">
        <v>41</v>
      </c>
      <c r="U1864">
        <v>1852.83</v>
      </c>
      <c r="V1864">
        <v>1760.19</v>
      </c>
      <c r="W1864">
        <v>1760.19</v>
      </c>
      <c r="X1864">
        <v>0</v>
      </c>
      <c r="Y1864">
        <v>0</v>
      </c>
      <c r="Z1864">
        <v>-510</v>
      </c>
      <c r="AA1864">
        <v>4936</v>
      </c>
      <c r="AD1864" t="s">
        <v>5182</v>
      </c>
      <c r="AE1864" t="s">
        <v>5183</v>
      </c>
      <c r="AF1864" t="s">
        <v>5182</v>
      </c>
      <c r="AG1864" s="1" t="s">
        <v>5184</v>
      </c>
      <c r="AH1864" t="s">
        <v>44</v>
      </c>
    </row>
    <row r="1865" spans="1:34" x14ac:dyDescent="0.3">
      <c r="A1865">
        <v>101</v>
      </c>
      <c r="B1865" t="s">
        <v>34</v>
      </c>
      <c r="C1865">
        <v>2</v>
      </c>
      <c r="D1865" s="1" t="s">
        <v>5185</v>
      </c>
      <c r="E1865" s="1" t="s">
        <v>36</v>
      </c>
      <c r="G1865">
        <v>439851</v>
      </c>
      <c r="H1865" t="s">
        <v>5186</v>
      </c>
      <c r="I1865" t="s">
        <v>5187</v>
      </c>
      <c r="J1865">
        <v>12</v>
      </c>
      <c r="K1865">
        <v>439851</v>
      </c>
      <c r="L1865">
        <v>50001</v>
      </c>
      <c r="M1865" t="s">
        <v>39</v>
      </c>
      <c r="N1865">
        <v>434</v>
      </c>
      <c r="O1865" s="2">
        <v>46235</v>
      </c>
      <c r="P1865" s="2">
        <v>46275</v>
      </c>
      <c r="R1865" t="s">
        <v>5188</v>
      </c>
      <c r="S1865" t="str">
        <f>"25666160000051731"</f>
        <v>25666160000051731</v>
      </c>
      <c r="T1865" t="s">
        <v>41</v>
      </c>
      <c r="U1865">
        <v>9692.66</v>
      </c>
      <c r="V1865">
        <v>9692.66</v>
      </c>
      <c r="W1865">
        <v>9692.66</v>
      </c>
      <c r="X1865">
        <v>0</v>
      </c>
      <c r="Y1865">
        <v>0</v>
      </c>
      <c r="Z1865">
        <v>-500</v>
      </c>
      <c r="AA1865">
        <v>1941</v>
      </c>
      <c r="AD1865" t="s">
        <v>57</v>
      </c>
      <c r="AE1865">
        <v>1937168680</v>
      </c>
      <c r="AF1865" t="s">
        <v>57</v>
      </c>
      <c r="AG1865">
        <v>46029724000169</v>
      </c>
      <c r="AH1865" t="s">
        <v>44</v>
      </c>
    </row>
    <row r="1866" spans="1:34" x14ac:dyDescent="0.3">
      <c r="A1866">
        <v>101</v>
      </c>
      <c r="B1866" t="s">
        <v>34</v>
      </c>
      <c r="C1866">
        <v>2</v>
      </c>
      <c r="D1866" s="1" t="s">
        <v>5189</v>
      </c>
      <c r="E1866" s="1" t="s">
        <v>36</v>
      </c>
      <c r="G1866">
        <v>439859</v>
      </c>
      <c r="H1866" t="s">
        <v>5190</v>
      </c>
      <c r="I1866" t="s">
        <v>5187</v>
      </c>
      <c r="J1866">
        <v>12</v>
      </c>
      <c r="K1866">
        <v>439851</v>
      </c>
      <c r="L1866">
        <v>50001</v>
      </c>
      <c r="M1866" t="s">
        <v>39</v>
      </c>
      <c r="N1866">
        <v>434</v>
      </c>
      <c r="O1866" s="2">
        <v>46235</v>
      </c>
      <c r="P1866" s="2">
        <v>46275</v>
      </c>
      <c r="R1866" t="s">
        <v>5191</v>
      </c>
      <c r="S1866" t="str">
        <f>"25666160000051732"</f>
        <v>25666160000051732</v>
      </c>
      <c r="T1866" t="s">
        <v>41</v>
      </c>
      <c r="U1866">
        <v>6963.79</v>
      </c>
      <c r="V1866">
        <v>6963.79</v>
      </c>
      <c r="W1866">
        <v>6963.79</v>
      </c>
      <c r="X1866">
        <v>0</v>
      </c>
      <c r="Y1866">
        <v>0</v>
      </c>
      <c r="Z1866">
        <v>-500</v>
      </c>
      <c r="AA1866">
        <v>1964</v>
      </c>
      <c r="AD1866" t="s">
        <v>5192</v>
      </c>
      <c r="AE1866">
        <v>1935160900</v>
      </c>
      <c r="AF1866" t="s">
        <v>5192</v>
      </c>
      <c r="AG1866">
        <v>46029724000401</v>
      </c>
      <c r="AH1866" t="s">
        <v>44</v>
      </c>
    </row>
    <row r="1867" spans="1:34" x14ac:dyDescent="0.3">
      <c r="A1867">
        <v>101</v>
      </c>
      <c r="B1867" t="s">
        <v>34</v>
      </c>
      <c r="C1867">
        <v>2</v>
      </c>
      <c r="D1867" s="1" t="s">
        <v>5193</v>
      </c>
      <c r="E1867" s="1" t="s">
        <v>36</v>
      </c>
      <c r="G1867">
        <v>456867</v>
      </c>
      <c r="H1867" t="s">
        <v>5194</v>
      </c>
      <c r="I1867" t="s">
        <v>5187</v>
      </c>
      <c r="J1867">
        <v>12</v>
      </c>
      <c r="K1867">
        <v>439851</v>
      </c>
      <c r="L1867">
        <v>50033</v>
      </c>
      <c r="M1867" t="s">
        <v>39</v>
      </c>
      <c r="N1867">
        <v>434</v>
      </c>
      <c r="O1867" s="2">
        <v>46235</v>
      </c>
      <c r="P1867" s="2">
        <v>46275</v>
      </c>
      <c r="R1867" t="s">
        <v>5195</v>
      </c>
      <c r="S1867" t="str">
        <f>"0000050412132"</f>
        <v>0000050412132</v>
      </c>
      <c r="T1867" t="s">
        <v>41</v>
      </c>
      <c r="U1867">
        <v>4898.1099999999997</v>
      </c>
      <c r="V1867">
        <v>4898.1099999999997</v>
      </c>
      <c r="W1867">
        <v>4898.1099999999997</v>
      </c>
      <c r="X1867">
        <v>0</v>
      </c>
      <c r="Y1867">
        <v>0</v>
      </c>
      <c r="Z1867">
        <v>-500</v>
      </c>
      <c r="AA1867">
        <v>1967</v>
      </c>
      <c r="AD1867" t="s">
        <v>3337</v>
      </c>
      <c r="AE1867">
        <v>1937168680</v>
      </c>
      <c r="AF1867" t="s">
        <v>3337</v>
      </c>
      <c r="AG1867">
        <v>46029724000673</v>
      </c>
      <c r="AH1867" t="s">
        <v>44</v>
      </c>
    </row>
    <row r="1868" spans="1:34" x14ac:dyDescent="0.3">
      <c r="A1868">
        <v>101</v>
      </c>
      <c r="B1868" t="s">
        <v>34</v>
      </c>
      <c r="C1868">
        <v>2</v>
      </c>
      <c r="D1868" s="1" t="s">
        <v>5196</v>
      </c>
      <c r="E1868" s="1" t="s">
        <v>36</v>
      </c>
      <c r="G1868">
        <v>467260</v>
      </c>
      <c r="H1868" t="s">
        <v>5197</v>
      </c>
      <c r="I1868" t="s">
        <v>5198</v>
      </c>
      <c r="J1868">
        <v>12</v>
      </c>
      <c r="K1868">
        <v>439851</v>
      </c>
      <c r="L1868">
        <v>50001</v>
      </c>
      <c r="M1868" t="s">
        <v>39</v>
      </c>
      <c r="N1868">
        <v>434</v>
      </c>
      <c r="O1868" s="2">
        <v>46235</v>
      </c>
      <c r="P1868" s="2">
        <v>46275</v>
      </c>
      <c r="R1868" t="s">
        <v>5199</v>
      </c>
      <c r="S1868" t="str">
        <f>"25666160000051759"</f>
        <v>25666160000051759</v>
      </c>
      <c r="T1868" t="s">
        <v>41</v>
      </c>
      <c r="U1868">
        <v>8161.15</v>
      </c>
      <c r="V1868">
        <v>8161.15</v>
      </c>
      <c r="W1868">
        <v>8161.15</v>
      </c>
      <c r="X1868">
        <v>0</v>
      </c>
      <c r="Y1868">
        <v>0</v>
      </c>
      <c r="Z1868">
        <v>-500</v>
      </c>
      <c r="AA1868">
        <v>1969</v>
      </c>
      <c r="AD1868" t="s">
        <v>57</v>
      </c>
      <c r="AE1868" t="s">
        <v>5200</v>
      </c>
      <c r="AF1868" t="s">
        <v>57</v>
      </c>
      <c r="AG1868">
        <v>46029724000754</v>
      </c>
      <c r="AH1868" t="s">
        <v>44</v>
      </c>
    </row>
    <row r="1869" spans="1:34" x14ac:dyDescent="0.3">
      <c r="A1869">
        <v>101</v>
      </c>
      <c r="B1869" t="s">
        <v>34</v>
      </c>
      <c r="C1869">
        <v>2</v>
      </c>
      <c r="D1869" s="1" t="s">
        <v>5201</v>
      </c>
      <c r="E1869" s="1" t="s">
        <v>36</v>
      </c>
      <c r="G1869">
        <v>468816</v>
      </c>
      <c r="H1869" t="s">
        <v>5202</v>
      </c>
      <c r="I1869" t="s">
        <v>5203</v>
      </c>
      <c r="J1869">
        <v>12</v>
      </c>
      <c r="K1869">
        <v>999000663</v>
      </c>
      <c r="L1869">
        <v>50237</v>
      </c>
      <c r="M1869" t="s">
        <v>39</v>
      </c>
      <c r="N1869">
        <v>434</v>
      </c>
      <c r="O1869" s="2">
        <v>46251</v>
      </c>
      <c r="P1869" s="2">
        <v>46281</v>
      </c>
      <c r="R1869" t="s">
        <v>5204</v>
      </c>
      <c r="S1869" t="str">
        <f>"330000052267"</f>
        <v>330000052267</v>
      </c>
      <c r="T1869" t="s">
        <v>41</v>
      </c>
      <c r="U1869">
        <v>3445.66</v>
      </c>
      <c r="V1869">
        <v>3445.66</v>
      </c>
      <c r="W1869">
        <v>3445.66</v>
      </c>
      <c r="X1869">
        <v>0</v>
      </c>
      <c r="Y1869">
        <v>0</v>
      </c>
      <c r="Z1869">
        <v>-506</v>
      </c>
      <c r="AA1869">
        <v>4340</v>
      </c>
      <c r="AD1869" t="s">
        <v>5205</v>
      </c>
      <c r="AE1869" t="s">
        <v>5206</v>
      </c>
      <c r="AF1869" t="s">
        <v>5205</v>
      </c>
      <c r="AG1869">
        <v>26263420000154</v>
      </c>
      <c r="AH1869" t="s">
        <v>44</v>
      </c>
    </row>
    <row r="1870" spans="1:34" x14ac:dyDescent="0.3">
      <c r="A1870">
        <v>101</v>
      </c>
      <c r="B1870" t="s">
        <v>34</v>
      </c>
      <c r="C1870">
        <v>2</v>
      </c>
      <c r="D1870" s="1" t="s">
        <v>5207</v>
      </c>
      <c r="E1870" s="1" t="s">
        <v>36</v>
      </c>
      <c r="G1870">
        <v>469242</v>
      </c>
      <c r="H1870" t="s">
        <v>5208</v>
      </c>
      <c r="I1870" t="s">
        <v>5209</v>
      </c>
      <c r="J1870">
        <v>12</v>
      </c>
      <c r="K1870">
        <v>469242</v>
      </c>
      <c r="L1870">
        <v>50341</v>
      </c>
      <c r="M1870" t="s">
        <v>146</v>
      </c>
      <c r="N1870">
        <v>434</v>
      </c>
      <c r="O1870" s="2">
        <v>46216</v>
      </c>
      <c r="P1870" s="2">
        <v>46256</v>
      </c>
      <c r="R1870" t="s">
        <v>5210</v>
      </c>
      <c r="S1870" t="str">
        <f>"00013126"</f>
        <v>00013126</v>
      </c>
      <c r="T1870" t="s">
        <v>41</v>
      </c>
      <c r="U1870">
        <v>1773.04</v>
      </c>
      <c r="V1870">
        <v>1773.04</v>
      </c>
      <c r="W1870">
        <v>1773.04</v>
      </c>
      <c r="X1870">
        <v>0</v>
      </c>
      <c r="Y1870">
        <v>0</v>
      </c>
      <c r="Z1870">
        <v>-481</v>
      </c>
      <c r="AA1870">
        <v>692911</v>
      </c>
      <c r="AD1870" t="s">
        <v>5211</v>
      </c>
      <c r="AE1870" t="s">
        <v>5212</v>
      </c>
      <c r="AF1870" t="s">
        <v>5211</v>
      </c>
      <c r="AG1870">
        <v>33144435000169</v>
      </c>
      <c r="AH1870" t="s">
        <v>44</v>
      </c>
    </row>
    <row r="1871" spans="1:34" x14ac:dyDescent="0.3">
      <c r="A1871">
        <v>101</v>
      </c>
      <c r="B1871" t="s">
        <v>34</v>
      </c>
      <c r="C1871">
        <v>2</v>
      </c>
      <c r="D1871" s="1" t="s">
        <v>5213</v>
      </c>
      <c r="E1871" s="1" t="s">
        <v>36</v>
      </c>
      <c r="G1871">
        <v>469389</v>
      </c>
      <c r="H1871" t="s">
        <v>5214</v>
      </c>
      <c r="I1871" t="s">
        <v>5180</v>
      </c>
      <c r="J1871">
        <v>12</v>
      </c>
      <c r="K1871">
        <v>410358</v>
      </c>
      <c r="L1871">
        <v>50341</v>
      </c>
      <c r="M1871" t="s">
        <v>146</v>
      </c>
      <c r="N1871">
        <v>434</v>
      </c>
      <c r="O1871" s="2">
        <v>46255</v>
      </c>
      <c r="P1871" s="2">
        <v>46285</v>
      </c>
      <c r="R1871" t="s">
        <v>5215</v>
      </c>
      <c r="S1871" t="str">
        <f>"00013722"</f>
        <v>00013722</v>
      </c>
      <c r="T1871" t="s">
        <v>41</v>
      </c>
      <c r="U1871">
        <v>1848.13</v>
      </c>
      <c r="V1871">
        <v>1755.72</v>
      </c>
      <c r="W1871">
        <v>1755.72</v>
      </c>
      <c r="X1871">
        <v>0</v>
      </c>
      <c r="Y1871">
        <v>0</v>
      </c>
      <c r="Z1871">
        <v>-510</v>
      </c>
      <c r="AA1871">
        <v>4937</v>
      </c>
      <c r="AD1871" t="s">
        <v>5182</v>
      </c>
      <c r="AE1871" t="s">
        <v>5216</v>
      </c>
      <c r="AF1871" t="s">
        <v>5182</v>
      </c>
      <c r="AG1871" s="1" t="s">
        <v>5217</v>
      </c>
      <c r="AH1871" t="s">
        <v>44</v>
      </c>
    </row>
    <row r="1872" spans="1:34" x14ac:dyDescent="0.3">
      <c r="A1872">
        <v>101</v>
      </c>
      <c r="B1872" t="s">
        <v>34</v>
      </c>
      <c r="C1872">
        <v>2</v>
      </c>
      <c r="D1872" s="1" t="s">
        <v>5218</v>
      </c>
      <c r="E1872" s="1" t="s">
        <v>36</v>
      </c>
      <c r="G1872">
        <v>470136</v>
      </c>
      <c r="H1872" t="s">
        <v>5219</v>
      </c>
      <c r="I1872" t="s">
        <v>5180</v>
      </c>
      <c r="J1872">
        <v>12</v>
      </c>
      <c r="K1872">
        <v>410358</v>
      </c>
      <c r="L1872">
        <v>50033</v>
      </c>
      <c r="M1872" t="s">
        <v>39</v>
      </c>
      <c r="N1872">
        <v>434</v>
      </c>
      <c r="O1872" s="2">
        <v>46255</v>
      </c>
      <c r="P1872" s="2">
        <v>46285</v>
      </c>
      <c r="R1872" t="s">
        <v>5220</v>
      </c>
      <c r="S1872" t="str">
        <f>"0000050414755"</f>
        <v>0000050414755</v>
      </c>
      <c r="T1872" t="s">
        <v>41</v>
      </c>
      <c r="U1872">
        <v>1743.43</v>
      </c>
      <c r="V1872">
        <v>1656.26</v>
      </c>
      <c r="W1872">
        <v>1656.26</v>
      </c>
      <c r="X1872">
        <v>0</v>
      </c>
      <c r="Y1872">
        <v>0</v>
      </c>
      <c r="Z1872">
        <v>-510</v>
      </c>
      <c r="AA1872">
        <v>4938</v>
      </c>
      <c r="AD1872" t="s">
        <v>5182</v>
      </c>
      <c r="AE1872" t="s">
        <v>5216</v>
      </c>
      <c r="AF1872" t="s">
        <v>5182</v>
      </c>
      <c r="AG1872" s="1" t="s">
        <v>5221</v>
      </c>
      <c r="AH1872" t="s">
        <v>44</v>
      </c>
    </row>
    <row r="1873" spans="1:34" x14ac:dyDescent="0.3">
      <c r="A1873">
        <v>101</v>
      </c>
      <c r="B1873" t="s">
        <v>34</v>
      </c>
      <c r="C1873">
        <v>2</v>
      </c>
      <c r="D1873" s="1" t="s">
        <v>5222</v>
      </c>
      <c r="E1873" s="1" t="s">
        <v>36</v>
      </c>
      <c r="G1873">
        <v>442362</v>
      </c>
      <c r="H1873" t="s">
        <v>5223</v>
      </c>
      <c r="I1873" t="s">
        <v>5224</v>
      </c>
      <c r="J1873">
        <v>23</v>
      </c>
      <c r="K1873">
        <v>442362</v>
      </c>
      <c r="L1873">
        <v>95000</v>
      </c>
      <c r="M1873" t="s">
        <v>69</v>
      </c>
      <c r="N1873">
        <v>440</v>
      </c>
      <c r="O1873" s="2">
        <v>46235</v>
      </c>
      <c r="P1873" s="2">
        <v>46329</v>
      </c>
      <c r="R1873" t="s">
        <v>5225</v>
      </c>
      <c r="S1873" t="str">
        <f>""</f>
        <v/>
      </c>
      <c r="T1873" t="s">
        <v>41</v>
      </c>
      <c r="U1873">
        <v>54156.39</v>
      </c>
      <c r="V1873">
        <v>54156.39</v>
      </c>
      <c r="W1873">
        <v>54156.39</v>
      </c>
      <c r="X1873">
        <v>0</v>
      </c>
      <c r="Y1873">
        <v>0</v>
      </c>
      <c r="Z1873">
        <v>-554</v>
      </c>
      <c r="AA1873">
        <v>1839</v>
      </c>
      <c r="AD1873" t="s">
        <v>3349</v>
      </c>
      <c r="AF1873" t="s">
        <v>3349</v>
      </c>
      <c r="AG1873">
        <v>47508411083264</v>
      </c>
      <c r="AH1873" t="s">
        <v>44</v>
      </c>
    </row>
    <row r="1874" spans="1:34" x14ac:dyDescent="0.3">
      <c r="A1874">
        <v>101</v>
      </c>
      <c r="B1874" t="s">
        <v>34</v>
      </c>
      <c r="C1874">
        <v>2</v>
      </c>
      <c r="D1874" s="1" t="s">
        <v>5226</v>
      </c>
      <c r="E1874" s="1" t="s">
        <v>36</v>
      </c>
      <c r="G1874">
        <v>442362</v>
      </c>
      <c r="H1874" t="s">
        <v>5223</v>
      </c>
      <c r="I1874" t="s">
        <v>5224</v>
      </c>
      <c r="J1874">
        <v>23</v>
      </c>
      <c r="K1874">
        <v>442362</v>
      </c>
      <c r="L1874">
        <v>95000</v>
      </c>
      <c r="M1874" t="s">
        <v>69</v>
      </c>
      <c r="N1874">
        <v>440</v>
      </c>
      <c r="O1874" s="2">
        <v>46239</v>
      </c>
      <c r="P1874" s="2">
        <v>46357</v>
      </c>
      <c r="R1874" t="s">
        <v>5227</v>
      </c>
      <c r="S1874" t="str">
        <f>""</f>
        <v/>
      </c>
      <c r="T1874" t="s">
        <v>41</v>
      </c>
      <c r="U1874">
        <v>2256.9499999999998</v>
      </c>
      <c r="V1874">
        <v>2256.9499999999998</v>
      </c>
      <c r="W1874">
        <v>2256.9499999999998</v>
      </c>
      <c r="X1874">
        <v>0</v>
      </c>
      <c r="Y1874">
        <v>0</v>
      </c>
      <c r="Z1874">
        <v>-582</v>
      </c>
      <c r="AA1874">
        <v>4282</v>
      </c>
      <c r="AD1874" t="s">
        <v>3349</v>
      </c>
      <c r="AF1874" t="s">
        <v>3349</v>
      </c>
      <c r="AG1874">
        <v>47508411083264</v>
      </c>
      <c r="AH1874" t="s">
        <v>44</v>
      </c>
    </row>
    <row r="1875" spans="1:34" x14ac:dyDescent="0.3">
      <c r="A1875">
        <v>101</v>
      </c>
      <c r="B1875" t="s">
        <v>34</v>
      </c>
      <c r="C1875">
        <v>2</v>
      </c>
      <c r="D1875" s="1" t="s">
        <v>5228</v>
      </c>
      <c r="E1875" s="1" t="s">
        <v>36</v>
      </c>
      <c r="G1875">
        <v>442362</v>
      </c>
      <c r="H1875" t="s">
        <v>5223</v>
      </c>
      <c r="I1875" t="s">
        <v>5224</v>
      </c>
      <c r="J1875">
        <v>23</v>
      </c>
      <c r="K1875">
        <v>442362</v>
      </c>
      <c r="L1875">
        <v>95000</v>
      </c>
      <c r="M1875" t="s">
        <v>69</v>
      </c>
      <c r="N1875">
        <v>440</v>
      </c>
      <c r="O1875" s="2">
        <v>46224</v>
      </c>
      <c r="P1875" s="2">
        <v>46329</v>
      </c>
      <c r="R1875" t="s">
        <v>5229</v>
      </c>
      <c r="S1875" t="str">
        <f>""</f>
        <v/>
      </c>
      <c r="T1875" t="s">
        <v>41</v>
      </c>
      <c r="U1875">
        <v>60609.57</v>
      </c>
      <c r="V1875">
        <v>60609.57</v>
      </c>
      <c r="W1875">
        <v>60609.57</v>
      </c>
      <c r="X1875">
        <v>0</v>
      </c>
      <c r="Y1875">
        <v>0</v>
      </c>
      <c r="Z1875">
        <v>-554</v>
      </c>
      <c r="AA1875">
        <v>1309</v>
      </c>
      <c r="AD1875" t="s">
        <v>3349</v>
      </c>
      <c r="AF1875" t="s">
        <v>3349</v>
      </c>
      <c r="AG1875">
        <v>47508411083264</v>
      </c>
      <c r="AH1875" t="s">
        <v>44</v>
      </c>
    </row>
    <row r="1876" spans="1:34" x14ac:dyDescent="0.3">
      <c r="A1876">
        <v>101</v>
      </c>
      <c r="B1876" t="s">
        <v>34</v>
      </c>
      <c r="C1876">
        <v>2</v>
      </c>
      <c r="D1876" s="1" t="s">
        <v>5230</v>
      </c>
      <c r="E1876" s="1" t="s">
        <v>36</v>
      </c>
      <c r="G1876">
        <v>442362</v>
      </c>
      <c r="H1876" t="s">
        <v>5223</v>
      </c>
      <c r="I1876" t="s">
        <v>5224</v>
      </c>
      <c r="J1876">
        <v>23</v>
      </c>
      <c r="K1876">
        <v>442362</v>
      </c>
      <c r="L1876">
        <v>95000</v>
      </c>
      <c r="M1876" t="s">
        <v>69</v>
      </c>
      <c r="N1876">
        <v>440</v>
      </c>
      <c r="O1876" s="2">
        <v>46189</v>
      </c>
      <c r="P1876" s="2">
        <v>46296</v>
      </c>
      <c r="R1876" t="s">
        <v>5231</v>
      </c>
      <c r="S1876" t="str">
        <f>""</f>
        <v/>
      </c>
      <c r="T1876" t="s">
        <v>41</v>
      </c>
      <c r="U1876">
        <v>2256.9499999999998</v>
      </c>
      <c r="V1876">
        <v>2256.9499999999998</v>
      </c>
      <c r="W1876">
        <v>2256.9499999999998</v>
      </c>
      <c r="X1876">
        <v>0</v>
      </c>
      <c r="Y1876">
        <v>0</v>
      </c>
      <c r="Z1876">
        <v>-521</v>
      </c>
      <c r="AA1876">
        <v>757</v>
      </c>
      <c r="AD1876" t="s">
        <v>3349</v>
      </c>
      <c r="AF1876" t="s">
        <v>3349</v>
      </c>
      <c r="AG1876">
        <v>47508411083264</v>
      </c>
      <c r="AH1876" t="s">
        <v>44</v>
      </c>
    </row>
    <row r="1877" spans="1:34" x14ac:dyDescent="0.3">
      <c r="A1877">
        <v>101</v>
      </c>
      <c r="B1877" t="s">
        <v>34</v>
      </c>
      <c r="C1877">
        <v>2</v>
      </c>
      <c r="D1877" s="1" t="s">
        <v>5232</v>
      </c>
      <c r="E1877" s="1" t="s">
        <v>36</v>
      </c>
      <c r="G1877">
        <v>442362</v>
      </c>
      <c r="H1877" t="s">
        <v>5223</v>
      </c>
      <c r="I1877" t="s">
        <v>5224</v>
      </c>
      <c r="J1877">
        <v>23</v>
      </c>
      <c r="K1877">
        <v>442362</v>
      </c>
      <c r="L1877">
        <v>95000</v>
      </c>
      <c r="M1877" t="s">
        <v>69</v>
      </c>
      <c r="N1877">
        <v>440</v>
      </c>
      <c r="O1877" s="2">
        <v>46235</v>
      </c>
      <c r="P1877" s="2">
        <v>46329</v>
      </c>
      <c r="R1877" t="s">
        <v>5233</v>
      </c>
      <c r="S1877" t="str">
        <f>""</f>
        <v/>
      </c>
      <c r="T1877" t="s">
        <v>41</v>
      </c>
      <c r="U1877">
        <v>805.78</v>
      </c>
      <c r="V1877">
        <v>805.78</v>
      </c>
      <c r="W1877">
        <v>805.78</v>
      </c>
      <c r="X1877">
        <v>0</v>
      </c>
      <c r="Y1877">
        <v>0</v>
      </c>
      <c r="Z1877">
        <v>-554</v>
      </c>
      <c r="AA1877">
        <v>1838</v>
      </c>
      <c r="AD1877" t="s">
        <v>3349</v>
      </c>
      <c r="AF1877" t="s">
        <v>3349</v>
      </c>
      <c r="AG1877">
        <v>47508411083264</v>
      </c>
      <c r="AH1877" t="s">
        <v>44</v>
      </c>
    </row>
    <row r="1878" spans="1:34" x14ac:dyDescent="0.3">
      <c r="A1878">
        <v>101</v>
      </c>
      <c r="B1878" t="s">
        <v>34</v>
      </c>
      <c r="C1878">
        <v>2</v>
      </c>
      <c r="D1878" s="1" t="s">
        <v>5234</v>
      </c>
      <c r="E1878" s="1" t="s">
        <v>36</v>
      </c>
      <c r="G1878">
        <v>442362</v>
      </c>
      <c r="H1878" t="s">
        <v>5223</v>
      </c>
      <c r="I1878" t="s">
        <v>5224</v>
      </c>
      <c r="J1878">
        <v>23</v>
      </c>
      <c r="K1878">
        <v>442362</v>
      </c>
      <c r="L1878">
        <v>95000</v>
      </c>
      <c r="M1878" t="s">
        <v>69</v>
      </c>
      <c r="N1878">
        <v>440</v>
      </c>
      <c r="O1878" s="2">
        <v>46239</v>
      </c>
      <c r="P1878" s="2">
        <v>46357</v>
      </c>
      <c r="R1878" t="s">
        <v>5235</v>
      </c>
      <c r="S1878" t="str">
        <f>""</f>
        <v/>
      </c>
      <c r="T1878" t="s">
        <v>41</v>
      </c>
      <c r="U1878">
        <v>77606.78</v>
      </c>
      <c r="V1878">
        <v>77606.78</v>
      </c>
      <c r="W1878">
        <v>77606.78</v>
      </c>
      <c r="X1878">
        <v>0</v>
      </c>
      <c r="Y1878">
        <v>0</v>
      </c>
      <c r="Z1878">
        <v>-582</v>
      </c>
      <c r="AA1878">
        <v>4283</v>
      </c>
      <c r="AD1878" t="s">
        <v>3349</v>
      </c>
      <c r="AF1878" t="s">
        <v>3349</v>
      </c>
      <c r="AG1878">
        <v>47508411083264</v>
      </c>
      <c r="AH1878" t="s">
        <v>44</v>
      </c>
    </row>
    <row r="1879" spans="1:34" x14ac:dyDescent="0.3">
      <c r="A1879">
        <v>101</v>
      </c>
      <c r="B1879" t="s">
        <v>34</v>
      </c>
      <c r="C1879">
        <v>2</v>
      </c>
      <c r="D1879" s="1" t="s">
        <v>5236</v>
      </c>
      <c r="E1879" s="1" t="s">
        <v>36</v>
      </c>
      <c r="G1879">
        <v>442362</v>
      </c>
      <c r="H1879" t="s">
        <v>5223</v>
      </c>
      <c r="I1879" t="s">
        <v>5224</v>
      </c>
      <c r="J1879">
        <v>23</v>
      </c>
      <c r="K1879">
        <v>442362</v>
      </c>
      <c r="L1879">
        <v>95000</v>
      </c>
      <c r="M1879" t="s">
        <v>69</v>
      </c>
      <c r="N1879">
        <v>440</v>
      </c>
      <c r="O1879" s="2">
        <v>46216</v>
      </c>
      <c r="P1879" s="2">
        <v>46329</v>
      </c>
      <c r="R1879" t="s">
        <v>5237</v>
      </c>
      <c r="S1879" t="str">
        <f>""</f>
        <v/>
      </c>
      <c r="T1879" t="s">
        <v>41</v>
      </c>
      <c r="U1879">
        <v>29768.53</v>
      </c>
      <c r="V1879">
        <v>29768.53</v>
      </c>
      <c r="W1879">
        <v>29768.53</v>
      </c>
      <c r="X1879">
        <v>0</v>
      </c>
      <c r="Y1879">
        <v>0</v>
      </c>
      <c r="Z1879">
        <v>-554</v>
      </c>
      <c r="AA1879">
        <v>1010</v>
      </c>
      <c r="AD1879" t="s">
        <v>3349</v>
      </c>
      <c r="AF1879" t="s">
        <v>3349</v>
      </c>
      <c r="AG1879">
        <v>47508411083264</v>
      </c>
      <c r="AH1879" t="s">
        <v>44</v>
      </c>
    </row>
    <row r="1880" spans="1:34" x14ac:dyDescent="0.3">
      <c r="A1880">
        <v>101</v>
      </c>
      <c r="B1880" t="s">
        <v>34</v>
      </c>
      <c r="C1880">
        <v>2</v>
      </c>
      <c r="D1880" s="1" t="s">
        <v>5238</v>
      </c>
      <c r="E1880" s="1" t="s">
        <v>36</v>
      </c>
      <c r="G1880">
        <v>442362</v>
      </c>
      <c r="H1880" t="s">
        <v>5223</v>
      </c>
      <c r="I1880" t="s">
        <v>5224</v>
      </c>
      <c r="J1880">
        <v>23</v>
      </c>
      <c r="K1880">
        <v>442362</v>
      </c>
      <c r="L1880">
        <v>95000</v>
      </c>
      <c r="M1880" t="s">
        <v>69</v>
      </c>
      <c r="N1880">
        <v>440</v>
      </c>
      <c r="O1880" s="2">
        <v>46189</v>
      </c>
      <c r="P1880" s="2">
        <v>46296</v>
      </c>
      <c r="R1880" t="s">
        <v>5239</v>
      </c>
      <c r="S1880" t="str">
        <f>""</f>
        <v/>
      </c>
      <c r="T1880" t="s">
        <v>41</v>
      </c>
      <c r="U1880">
        <v>54727.67</v>
      </c>
      <c r="V1880">
        <v>54727.67</v>
      </c>
      <c r="W1880">
        <v>54727.67</v>
      </c>
      <c r="X1880">
        <v>0</v>
      </c>
      <c r="Y1880">
        <v>0</v>
      </c>
      <c r="Z1880">
        <v>-521</v>
      </c>
      <c r="AA1880">
        <v>759</v>
      </c>
      <c r="AD1880" t="s">
        <v>3349</v>
      </c>
      <c r="AF1880" t="s">
        <v>3349</v>
      </c>
      <c r="AG1880">
        <v>47508411083264</v>
      </c>
      <c r="AH1880" t="s">
        <v>44</v>
      </c>
    </row>
    <row r="1881" spans="1:34" x14ac:dyDescent="0.3">
      <c r="A1881">
        <v>101</v>
      </c>
      <c r="B1881" t="s">
        <v>34</v>
      </c>
      <c r="C1881">
        <v>2</v>
      </c>
      <c r="D1881" s="1" t="s">
        <v>5240</v>
      </c>
      <c r="E1881" s="1" t="s">
        <v>36</v>
      </c>
      <c r="G1881">
        <v>442362</v>
      </c>
      <c r="H1881" t="s">
        <v>5223</v>
      </c>
      <c r="I1881" t="s">
        <v>5224</v>
      </c>
      <c r="J1881">
        <v>23</v>
      </c>
      <c r="K1881">
        <v>442362</v>
      </c>
      <c r="L1881">
        <v>95000</v>
      </c>
      <c r="M1881" t="s">
        <v>69</v>
      </c>
      <c r="N1881">
        <v>440</v>
      </c>
      <c r="O1881" s="2">
        <v>46223</v>
      </c>
      <c r="P1881" s="2">
        <v>46329</v>
      </c>
      <c r="R1881" t="s">
        <v>5241</v>
      </c>
      <c r="S1881" t="str">
        <f>""</f>
        <v/>
      </c>
      <c r="T1881" t="s">
        <v>41</v>
      </c>
      <c r="U1881">
        <v>7788.48</v>
      </c>
      <c r="V1881">
        <v>7788.48</v>
      </c>
      <c r="W1881">
        <v>7788.48</v>
      </c>
      <c r="X1881">
        <v>0</v>
      </c>
      <c r="Y1881">
        <v>0</v>
      </c>
      <c r="Z1881">
        <v>-554</v>
      </c>
      <c r="AA1881">
        <v>1105</v>
      </c>
      <c r="AD1881" t="s">
        <v>3349</v>
      </c>
      <c r="AF1881" t="s">
        <v>3349</v>
      </c>
      <c r="AG1881">
        <v>47508411083264</v>
      </c>
      <c r="AH1881" t="s">
        <v>44</v>
      </c>
    </row>
    <row r="1882" spans="1:34" x14ac:dyDescent="0.3">
      <c r="A1882">
        <v>101</v>
      </c>
      <c r="B1882" t="s">
        <v>34</v>
      </c>
      <c r="C1882">
        <v>2</v>
      </c>
      <c r="D1882" s="1" t="s">
        <v>5242</v>
      </c>
      <c r="E1882" s="1" t="s">
        <v>36</v>
      </c>
      <c r="G1882">
        <v>442362</v>
      </c>
      <c r="H1882" t="s">
        <v>5223</v>
      </c>
      <c r="I1882" t="s">
        <v>5224</v>
      </c>
      <c r="J1882">
        <v>23</v>
      </c>
      <c r="K1882">
        <v>442362</v>
      </c>
      <c r="L1882">
        <v>95000</v>
      </c>
      <c r="M1882" t="s">
        <v>69</v>
      </c>
      <c r="N1882">
        <v>440</v>
      </c>
      <c r="O1882" s="2">
        <v>46251</v>
      </c>
      <c r="P1882" s="2">
        <v>46333</v>
      </c>
      <c r="R1882" t="s">
        <v>5243</v>
      </c>
      <c r="S1882" t="str">
        <f>""</f>
        <v/>
      </c>
      <c r="T1882" t="s">
        <v>41</v>
      </c>
      <c r="U1882">
        <v>49470.18</v>
      </c>
      <c r="V1882">
        <v>49470.18</v>
      </c>
      <c r="W1882">
        <v>49470.18</v>
      </c>
      <c r="X1882">
        <v>0</v>
      </c>
      <c r="Y1882">
        <v>0</v>
      </c>
      <c r="Z1882">
        <v>-558</v>
      </c>
      <c r="AA1882">
        <v>4669</v>
      </c>
      <c r="AD1882" t="s">
        <v>3349</v>
      </c>
      <c r="AF1882" t="s">
        <v>3349</v>
      </c>
      <c r="AG1882">
        <v>47508411083264</v>
      </c>
      <c r="AH1882" t="s">
        <v>44</v>
      </c>
    </row>
    <row r="1883" spans="1:34" x14ac:dyDescent="0.3">
      <c r="A1883">
        <v>101</v>
      </c>
      <c r="B1883" t="s">
        <v>34</v>
      </c>
      <c r="C1883">
        <v>2</v>
      </c>
      <c r="D1883" s="1" t="s">
        <v>5244</v>
      </c>
      <c r="E1883" s="1" t="s">
        <v>36</v>
      </c>
      <c r="G1883">
        <v>442362</v>
      </c>
      <c r="H1883" t="s">
        <v>5223</v>
      </c>
      <c r="I1883" t="s">
        <v>5224</v>
      </c>
      <c r="J1883">
        <v>23</v>
      </c>
      <c r="K1883">
        <v>442362</v>
      </c>
      <c r="L1883">
        <v>95000</v>
      </c>
      <c r="M1883" t="s">
        <v>69</v>
      </c>
      <c r="N1883">
        <v>440</v>
      </c>
      <c r="O1883" s="2">
        <v>46224</v>
      </c>
      <c r="P1883" s="2">
        <v>46329</v>
      </c>
      <c r="R1883" t="s">
        <v>5245</v>
      </c>
      <c r="S1883" t="str">
        <f>""</f>
        <v/>
      </c>
      <c r="T1883" t="s">
        <v>41</v>
      </c>
      <c r="U1883">
        <v>4513.8999999999996</v>
      </c>
      <c r="V1883">
        <v>4513.8999999999996</v>
      </c>
      <c r="W1883">
        <v>4513.8999999999996</v>
      </c>
      <c r="X1883">
        <v>0</v>
      </c>
      <c r="Y1883">
        <v>0</v>
      </c>
      <c r="Z1883">
        <v>-554</v>
      </c>
      <c r="AA1883">
        <v>1308</v>
      </c>
      <c r="AD1883" t="s">
        <v>3349</v>
      </c>
      <c r="AF1883" t="s">
        <v>3349</v>
      </c>
      <c r="AG1883">
        <v>47508411083264</v>
      </c>
      <c r="AH1883" t="s">
        <v>44</v>
      </c>
    </row>
    <row r="1884" spans="1:34" x14ac:dyDescent="0.3">
      <c r="A1884">
        <v>101</v>
      </c>
      <c r="B1884" t="s">
        <v>34</v>
      </c>
      <c r="C1884">
        <v>2</v>
      </c>
      <c r="D1884" s="1" t="s">
        <v>5246</v>
      </c>
      <c r="E1884" s="1" t="s">
        <v>36</v>
      </c>
      <c r="G1884">
        <v>442362</v>
      </c>
      <c r="H1884" t="s">
        <v>5223</v>
      </c>
      <c r="I1884" t="s">
        <v>5224</v>
      </c>
      <c r="J1884">
        <v>23</v>
      </c>
      <c r="K1884">
        <v>442362</v>
      </c>
      <c r="L1884">
        <v>95000</v>
      </c>
      <c r="M1884" t="s">
        <v>69</v>
      </c>
      <c r="N1884">
        <v>440</v>
      </c>
      <c r="O1884" s="2">
        <v>46245</v>
      </c>
      <c r="P1884" s="2">
        <v>46327</v>
      </c>
      <c r="R1884" t="s">
        <v>5247</v>
      </c>
      <c r="S1884" t="str">
        <f>""</f>
        <v/>
      </c>
      <c r="T1884" t="s">
        <v>41</v>
      </c>
      <c r="U1884">
        <v>1611.56</v>
      </c>
      <c r="V1884">
        <v>1611.56</v>
      </c>
      <c r="W1884">
        <v>1611.56</v>
      </c>
      <c r="X1884">
        <v>0</v>
      </c>
      <c r="Y1884">
        <v>0</v>
      </c>
      <c r="Z1884">
        <v>-552</v>
      </c>
      <c r="AA1884">
        <v>4473</v>
      </c>
      <c r="AD1884" t="s">
        <v>3349</v>
      </c>
      <c r="AF1884" t="s">
        <v>3349</v>
      </c>
      <c r="AG1884">
        <v>47508411083264</v>
      </c>
      <c r="AH1884" t="s">
        <v>44</v>
      </c>
    </row>
    <row r="1885" spans="1:34" x14ac:dyDescent="0.3">
      <c r="A1885">
        <v>101</v>
      </c>
      <c r="B1885" t="s">
        <v>34</v>
      </c>
      <c r="C1885">
        <v>2</v>
      </c>
      <c r="D1885" s="1" t="s">
        <v>5248</v>
      </c>
      <c r="E1885" s="1" t="s">
        <v>36</v>
      </c>
      <c r="G1885">
        <v>442362</v>
      </c>
      <c r="H1885" t="s">
        <v>5223</v>
      </c>
      <c r="I1885" t="s">
        <v>5224</v>
      </c>
      <c r="J1885">
        <v>23</v>
      </c>
      <c r="K1885">
        <v>442362</v>
      </c>
      <c r="L1885">
        <v>95000</v>
      </c>
      <c r="M1885" t="s">
        <v>69</v>
      </c>
      <c r="N1885">
        <v>440</v>
      </c>
      <c r="O1885" s="2">
        <v>46216</v>
      </c>
      <c r="P1885" s="2">
        <v>46329</v>
      </c>
      <c r="R1885" t="s">
        <v>5249</v>
      </c>
      <c r="S1885" t="str">
        <f>""</f>
        <v/>
      </c>
      <c r="T1885" t="s">
        <v>41</v>
      </c>
      <c r="U1885">
        <v>93223.27</v>
      </c>
      <c r="V1885">
        <v>93223.27</v>
      </c>
      <c r="W1885">
        <v>93223.27</v>
      </c>
      <c r="X1885">
        <v>0</v>
      </c>
      <c r="Y1885">
        <v>0</v>
      </c>
      <c r="Z1885">
        <v>-554</v>
      </c>
      <c r="AA1885">
        <v>1105</v>
      </c>
      <c r="AD1885" t="s">
        <v>3349</v>
      </c>
      <c r="AF1885" t="s">
        <v>3349</v>
      </c>
      <c r="AG1885">
        <v>47508411083264</v>
      </c>
      <c r="AH1885" t="s">
        <v>44</v>
      </c>
    </row>
    <row r="1886" spans="1:34" x14ac:dyDescent="0.3">
      <c r="A1886">
        <v>101</v>
      </c>
      <c r="B1886" t="s">
        <v>34</v>
      </c>
      <c r="C1886">
        <v>2</v>
      </c>
      <c r="D1886" s="1" t="s">
        <v>5250</v>
      </c>
      <c r="E1886" s="1" t="s">
        <v>36</v>
      </c>
      <c r="G1886">
        <v>442362</v>
      </c>
      <c r="H1886" t="s">
        <v>5223</v>
      </c>
      <c r="I1886" t="s">
        <v>5224</v>
      </c>
      <c r="J1886">
        <v>23</v>
      </c>
      <c r="K1886">
        <v>442362</v>
      </c>
      <c r="L1886">
        <v>95000</v>
      </c>
      <c r="M1886" t="s">
        <v>69</v>
      </c>
      <c r="N1886">
        <v>440</v>
      </c>
      <c r="O1886" s="2">
        <v>46245</v>
      </c>
      <c r="P1886" s="2">
        <v>46357</v>
      </c>
      <c r="R1886" t="s">
        <v>5251</v>
      </c>
      <c r="S1886" t="str">
        <f>""</f>
        <v/>
      </c>
      <c r="T1886" t="s">
        <v>41</v>
      </c>
      <c r="U1886">
        <v>45697.23</v>
      </c>
      <c r="V1886">
        <v>45697.23</v>
      </c>
      <c r="W1886">
        <v>45697.23</v>
      </c>
      <c r="X1886">
        <v>0</v>
      </c>
      <c r="Y1886">
        <v>0</v>
      </c>
      <c r="Z1886">
        <v>-582</v>
      </c>
      <c r="AA1886">
        <v>4474</v>
      </c>
      <c r="AD1886" t="s">
        <v>3349</v>
      </c>
      <c r="AF1886" t="s">
        <v>3349</v>
      </c>
      <c r="AG1886">
        <v>47508411083264</v>
      </c>
      <c r="AH1886" t="s">
        <v>44</v>
      </c>
    </row>
    <row r="1887" spans="1:34" x14ac:dyDescent="0.3">
      <c r="A1887">
        <v>101</v>
      </c>
      <c r="B1887" t="s">
        <v>34</v>
      </c>
      <c r="C1887">
        <v>2</v>
      </c>
      <c r="D1887" s="1" t="s">
        <v>5252</v>
      </c>
      <c r="E1887" s="1" t="s">
        <v>36</v>
      </c>
      <c r="G1887">
        <v>442362</v>
      </c>
      <c r="H1887" t="s">
        <v>5223</v>
      </c>
      <c r="I1887" t="s">
        <v>5224</v>
      </c>
      <c r="J1887">
        <v>23</v>
      </c>
      <c r="K1887">
        <v>442362</v>
      </c>
      <c r="L1887">
        <v>95000</v>
      </c>
      <c r="M1887" t="s">
        <v>69</v>
      </c>
      <c r="N1887">
        <v>440</v>
      </c>
      <c r="O1887" s="2">
        <v>46216</v>
      </c>
      <c r="P1887" s="2">
        <v>46329</v>
      </c>
      <c r="R1887" t="s">
        <v>5253</v>
      </c>
      <c r="S1887" t="str">
        <f>""</f>
        <v/>
      </c>
      <c r="T1887" t="s">
        <v>41</v>
      </c>
      <c r="U1887">
        <v>2256.9499999999998</v>
      </c>
      <c r="V1887">
        <v>2256.9499999999998</v>
      </c>
      <c r="W1887">
        <v>2256.9499999999998</v>
      </c>
      <c r="X1887">
        <v>0</v>
      </c>
      <c r="Y1887">
        <v>0</v>
      </c>
      <c r="Z1887">
        <v>-554</v>
      </c>
      <c r="AA1887">
        <v>1104</v>
      </c>
      <c r="AD1887" t="s">
        <v>3349</v>
      </c>
      <c r="AF1887" t="s">
        <v>3349</v>
      </c>
      <c r="AG1887">
        <v>47508411083264</v>
      </c>
      <c r="AH1887" t="s">
        <v>44</v>
      </c>
    </row>
    <row r="1888" spans="1:34" x14ac:dyDescent="0.3">
      <c r="A1888">
        <v>101</v>
      </c>
      <c r="B1888" t="s">
        <v>34</v>
      </c>
      <c r="C1888">
        <v>2</v>
      </c>
      <c r="D1888" s="1" t="s">
        <v>5254</v>
      </c>
      <c r="E1888" s="1" t="s">
        <v>36</v>
      </c>
      <c r="G1888">
        <v>442362</v>
      </c>
      <c r="H1888" t="s">
        <v>5223</v>
      </c>
      <c r="I1888" t="s">
        <v>5224</v>
      </c>
      <c r="J1888">
        <v>23</v>
      </c>
      <c r="K1888">
        <v>442362</v>
      </c>
      <c r="L1888">
        <v>95000</v>
      </c>
      <c r="M1888" t="s">
        <v>69</v>
      </c>
      <c r="N1888">
        <v>440</v>
      </c>
      <c r="O1888" s="2">
        <v>46251</v>
      </c>
      <c r="P1888" s="2">
        <v>46333</v>
      </c>
      <c r="R1888" t="s">
        <v>5255</v>
      </c>
      <c r="S1888" t="str">
        <f>""</f>
        <v/>
      </c>
      <c r="T1888" t="s">
        <v>41</v>
      </c>
      <c r="U1888">
        <v>1451.17</v>
      </c>
      <c r="V1888">
        <v>1451.17</v>
      </c>
      <c r="W1888">
        <v>1451.17</v>
      </c>
      <c r="X1888">
        <v>0</v>
      </c>
      <c r="Y1888">
        <v>0</v>
      </c>
      <c r="Z1888">
        <v>-558</v>
      </c>
      <c r="AA1888">
        <v>4668</v>
      </c>
      <c r="AD1888" t="s">
        <v>3349</v>
      </c>
      <c r="AF1888" t="s">
        <v>3349</v>
      </c>
      <c r="AG1888">
        <v>47508411083264</v>
      </c>
      <c r="AH1888" t="s">
        <v>44</v>
      </c>
    </row>
    <row r="1889" spans="1:34" x14ac:dyDescent="0.3">
      <c r="A1889">
        <v>101</v>
      </c>
      <c r="B1889" t="s">
        <v>34</v>
      </c>
      <c r="C1889">
        <v>2</v>
      </c>
      <c r="D1889" s="1" t="s">
        <v>5256</v>
      </c>
      <c r="E1889" s="1" t="s">
        <v>36</v>
      </c>
      <c r="G1889">
        <v>442362</v>
      </c>
      <c r="H1889" t="s">
        <v>5223</v>
      </c>
      <c r="I1889" t="s">
        <v>5224</v>
      </c>
      <c r="J1889">
        <v>23</v>
      </c>
      <c r="K1889">
        <v>442362</v>
      </c>
      <c r="L1889">
        <v>95000</v>
      </c>
      <c r="M1889" t="s">
        <v>69</v>
      </c>
      <c r="N1889">
        <v>440</v>
      </c>
      <c r="O1889" s="2">
        <v>46203</v>
      </c>
      <c r="P1889" s="2">
        <v>46296</v>
      </c>
      <c r="R1889" t="s">
        <v>5257</v>
      </c>
      <c r="S1889" t="str">
        <f>""</f>
        <v/>
      </c>
      <c r="T1889" t="s">
        <v>41</v>
      </c>
      <c r="U1889">
        <v>3062.73</v>
      </c>
      <c r="V1889">
        <v>3062.73</v>
      </c>
      <c r="W1889">
        <v>3062.73</v>
      </c>
      <c r="X1889">
        <v>0</v>
      </c>
      <c r="Y1889">
        <v>0</v>
      </c>
      <c r="Z1889">
        <v>-521</v>
      </c>
      <c r="AA1889">
        <v>967</v>
      </c>
      <c r="AD1889" t="s">
        <v>3349</v>
      </c>
      <c r="AF1889" t="s">
        <v>3349</v>
      </c>
      <c r="AG1889">
        <v>47508411083264</v>
      </c>
      <c r="AH1889" t="s">
        <v>44</v>
      </c>
    </row>
    <row r="1890" spans="1:34" x14ac:dyDescent="0.3">
      <c r="A1890">
        <v>101</v>
      </c>
      <c r="B1890" t="s">
        <v>34</v>
      </c>
      <c r="C1890">
        <v>2</v>
      </c>
      <c r="D1890" s="1" t="s">
        <v>5258</v>
      </c>
      <c r="E1890" s="1" t="s">
        <v>36</v>
      </c>
      <c r="G1890">
        <v>442362</v>
      </c>
      <c r="H1890" t="s">
        <v>5223</v>
      </c>
      <c r="I1890" t="s">
        <v>5224</v>
      </c>
      <c r="J1890">
        <v>23</v>
      </c>
      <c r="K1890">
        <v>442362</v>
      </c>
      <c r="L1890">
        <v>95000</v>
      </c>
      <c r="M1890" t="s">
        <v>69</v>
      </c>
      <c r="N1890">
        <v>440</v>
      </c>
      <c r="O1890" s="2">
        <v>46189</v>
      </c>
      <c r="P1890" s="2">
        <v>46296</v>
      </c>
      <c r="R1890" t="s">
        <v>5259</v>
      </c>
      <c r="S1890" t="str">
        <f>""</f>
        <v/>
      </c>
      <c r="T1890" t="s">
        <v>41</v>
      </c>
      <c r="U1890">
        <v>805.78</v>
      </c>
      <c r="V1890">
        <v>805.78</v>
      </c>
      <c r="W1890">
        <v>805.78</v>
      </c>
      <c r="X1890">
        <v>0</v>
      </c>
      <c r="Y1890">
        <v>0</v>
      </c>
      <c r="Z1890">
        <v>-521</v>
      </c>
      <c r="AA1890">
        <v>760</v>
      </c>
      <c r="AD1890" t="s">
        <v>3349</v>
      </c>
      <c r="AF1890" t="s">
        <v>3349</v>
      </c>
      <c r="AG1890">
        <v>47508411083264</v>
      </c>
      <c r="AH1890" t="s">
        <v>44</v>
      </c>
    </row>
    <row r="1891" spans="1:34" x14ac:dyDescent="0.3">
      <c r="A1891">
        <v>101</v>
      </c>
      <c r="B1891" t="s">
        <v>34</v>
      </c>
      <c r="C1891">
        <v>2</v>
      </c>
      <c r="D1891" s="1" t="s">
        <v>5260</v>
      </c>
      <c r="E1891" s="1" t="s">
        <v>36</v>
      </c>
      <c r="G1891">
        <v>442362</v>
      </c>
      <c r="H1891" t="s">
        <v>5223</v>
      </c>
      <c r="I1891" t="s">
        <v>5224</v>
      </c>
      <c r="J1891">
        <v>23</v>
      </c>
      <c r="K1891">
        <v>442362</v>
      </c>
      <c r="L1891">
        <v>95000</v>
      </c>
      <c r="M1891" t="s">
        <v>69</v>
      </c>
      <c r="N1891">
        <v>440</v>
      </c>
      <c r="O1891" s="2">
        <v>46216</v>
      </c>
      <c r="P1891" s="2">
        <v>46329</v>
      </c>
      <c r="R1891" t="s">
        <v>5261</v>
      </c>
      <c r="S1891" t="str">
        <f>""</f>
        <v/>
      </c>
      <c r="T1891" t="s">
        <v>41</v>
      </c>
      <c r="U1891">
        <v>805.78</v>
      </c>
      <c r="V1891">
        <v>805.78</v>
      </c>
      <c r="W1891">
        <v>805.78</v>
      </c>
      <c r="X1891">
        <v>0</v>
      </c>
      <c r="Y1891">
        <v>0</v>
      </c>
      <c r="Z1891">
        <v>-554</v>
      </c>
      <c r="AA1891">
        <v>1009</v>
      </c>
      <c r="AD1891" t="s">
        <v>3349</v>
      </c>
      <c r="AF1891" t="s">
        <v>3349</v>
      </c>
      <c r="AG1891">
        <v>47508411083264</v>
      </c>
      <c r="AH1891" t="s">
        <v>44</v>
      </c>
    </row>
    <row r="1892" spans="1:34" x14ac:dyDescent="0.3">
      <c r="A1892">
        <v>101</v>
      </c>
      <c r="B1892" t="s">
        <v>34</v>
      </c>
      <c r="C1892">
        <v>2</v>
      </c>
      <c r="D1892" s="1" t="s">
        <v>5262</v>
      </c>
      <c r="E1892" s="1" t="s">
        <v>36</v>
      </c>
      <c r="G1892">
        <v>442362</v>
      </c>
      <c r="H1892" t="s">
        <v>5223</v>
      </c>
      <c r="I1892" t="s">
        <v>5224</v>
      </c>
      <c r="J1892">
        <v>23</v>
      </c>
      <c r="K1892">
        <v>442362</v>
      </c>
      <c r="L1892">
        <v>95000</v>
      </c>
      <c r="M1892" t="s">
        <v>69</v>
      </c>
      <c r="N1892">
        <v>440</v>
      </c>
      <c r="O1892" s="2">
        <v>46181</v>
      </c>
      <c r="P1892" s="2">
        <v>46296</v>
      </c>
      <c r="R1892" t="s">
        <v>5263</v>
      </c>
      <c r="S1892" t="str">
        <f>""</f>
        <v/>
      </c>
      <c r="T1892" t="s">
        <v>41</v>
      </c>
      <c r="U1892">
        <v>58979.360000000001</v>
      </c>
      <c r="V1892">
        <v>58979.360000000001</v>
      </c>
      <c r="W1892">
        <v>58979.360000000001</v>
      </c>
      <c r="X1892">
        <v>0</v>
      </c>
      <c r="Y1892">
        <v>0</v>
      </c>
      <c r="Z1892">
        <v>-521</v>
      </c>
      <c r="AA1892">
        <v>723</v>
      </c>
      <c r="AD1892" t="s">
        <v>3349</v>
      </c>
      <c r="AF1892" t="s">
        <v>3349</v>
      </c>
      <c r="AG1892">
        <v>47508411083264</v>
      </c>
      <c r="AH1892" t="s">
        <v>44</v>
      </c>
    </row>
    <row r="1893" spans="1:34" x14ac:dyDescent="0.3">
      <c r="A1893">
        <v>101</v>
      </c>
      <c r="B1893" t="s">
        <v>34</v>
      </c>
      <c r="C1893">
        <v>2</v>
      </c>
      <c r="D1893" s="1" t="s">
        <v>5264</v>
      </c>
      <c r="E1893" s="1" t="s">
        <v>36</v>
      </c>
      <c r="G1893">
        <v>442362</v>
      </c>
      <c r="H1893" t="s">
        <v>5223</v>
      </c>
      <c r="I1893" t="s">
        <v>5224</v>
      </c>
      <c r="J1893">
        <v>23</v>
      </c>
      <c r="K1893">
        <v>442362</v>
      </c>
      <c r="L1893">
        <v>95000</v>
      </c>
      <c r="M1893" t="s">
        <v>69</v>
      </c>
      <c r="N1893">
        <v>440</v>
      </c>
      <c r="O1893" s="2">
        <v>46209</v>
      </c>
      <c r="P1893" s="2">
        <v>46329</v>
      </c>
      <c r="R1893" t="s">
        <v>5265</v>
      </c>
      <c r="S1893" t="str">
        <f>""</f>
        <v/>
      </c>
      <c r="T1893" t="s">
        <v>41</v>
      </c>
      <c r="U1893">
        <v>7788.48</v>
      </c>
      <c r="V1893">
        <v>7788.48</v>
      </c>
      <c r="W1893">
        <v>7788.48</v>
      </c>
      <c r="X1893">
        <v>0</v>
      </c>
      <c r="Y1893">
        <v>0</v>
      </c>
      <c r="Z1893">
        <v>-554</v>
      </c>
      <c r="AA1893">
        <v>677</v>
      </c>
      <c r="AD1893" t="s">
        <v>3349</v>
      </c>
      <c r="AF1893" t="s">
        <v>3349</v>
      </c>
      <c r="AG1893">
        <v>47508411083264</v>
      </c>
      <c r="AH1893" t="s">
        <v>44</v>
      </c>
    </row>
    <row r="1894" spans="1:34" x14ac:dyDescent="0.3">
      <c r="A1894">
        <v>101</v>
      </c>
      <c r="B1894" t="s">
        <v>34</v>
      </c>
      <c r="C1894">
        <v>2</v>
      </c>
      <c r="D1894" s="1" t="s">
        <v>5266</v>
      </c>
      <c r="E1894" s="1" t="s">
        <v>36</v>
      </c>
      <c r="G1894">
        <v>442362</v>
      </c>
      <c r="H1894" t="s">
        <v>5223</v>
      </c>
      <c r="I1894" t="s">
        <v>5224</v>
      </c>
      <c r="J1894">
        <v>23</v>
      </c>
      <c r="K1894">
        <v>442362</v>
      </c>
      <c r="L1894">
        <v>95000</v>
      </c>
      <c r="M1894" t="s">
        <v>69</v>
      </c>
      <c r="N1894">
        <v>440</v>
      </c>
      <c r="O1894" s="2">
        <v>46202</v>
      </c>
      <c r="P1894" s="2">
        <v>46296</v>
      </c>
      <c r="R1894" t="s">
        <v>5267</v>
      </c>
      <c r="S1894" t="str">
        <f>""</f>
        <v/>
      </c>
      <c r="T1894" t="s">
        <v>41</v>
      </c>
      <c r="U1894">
        <v>62023.51</v>
      </c>
      <c r="V1894">
        <v>62023.51</v>
      </c>
      <c r="W1894">
        <v>62023.51</v>
      </c>
      <c r="X1894">
        <v>0</v>
      </c>
      <c r="Y1894">
        <v>0</v>
      </c>
      <c r="Z1894">
        <v>-521</v>
      </c>
      <c r="AA1894">
        <v>968</v>
      </c>
      <c r="AD1894" t="s">
        <v>3349</v>
      </c>
      <c r="AF1894" t="s">
        <v>3349</v>
      </c>
      <c r="AG1894">
        <v>47508411083264</v>
      </c>
      <c r="AH1894" t="s">
        <v>44</v>
      </c>
    </row>
    <row r="1895" spans="1:34" x14ac:dyDescent="0.3">
      <c r="A1895">
        <v>101</v>
      </c>
      <c r="B1895" t="s">
        <v>34</v>
      </c>
      <c r="C1895">
        <v>2</v>
      </c>
      <c r="D1895" s="1" t="s">
        <v>5268</v>
      </c>
      <c r="E1895" s="1" t="s">
        <v>36</v>
      </c>
      <c r="G1895">
        <v>442362</v>
      </c>
      <c r="H1895" t="s">
        <v>5223</v>
      </c>
      <c r="I1895" t="s">
        <v>5224</v>
      </c>
      <c r="J1895">
        <v>23</v>
      </c>
      <c r="K1895">
        <v>442362</v>
      </c>
      <c r="L1895">
        <v>95000</v>
      </c>
      <c r="M1895" t="s">
        <v>69</v>
      </c>
      <c r="N1895">
        <v>440</v>
      </c>
      <c r="O1895" s="2">
        <v>46181</v>
      </c>
      <c r="P1895" s="2">
        <v>46296</v>
      </c>
      <c r="R1895" t="s">
        <v>5269</v>
      </c>
      <c r="S1895" t="str">
        <f>""</f>
        <v/>
      </c>
      <c r="T1895" t="s">
        <v>41</v>
      </c>
      <c r="U1895">
        <v>1451.17</v>
      </c>
      <c r="V1895">
        <v>1451.17</v>
      </c>
      <c r="W1895">
        <v>1451.17</v>
      </c>
      <c r="X1895">
        <v>0</v>
      </c>
      <c r="Y1895">
        <v>0</v>
      </c>
      <c r="Z1895">
        <v>-521</v>
      </c>
      <c r="AA1895">
        <v>724</v>
      </c>
      <c r="AD1895" t="s">
        <v>3349</v>
      </c>
      <c r="AF1895" t="s">
        <v>3349</v>
      </c>
      <c r="AG1895">
        <v>47508411083264</v>
      </c>
      <c r="AH1895" t="s">
        <v>44</v>
      </c>
    </row>
    <row r="1896" spans="1:34" x14ac:dyDescent="0.3">
      <c r="A1896">
        <v>101</v>
      </c>
      <c r="B1896" t="s">
        <v>34</v>
      </c>
      <c r="C1896">
        <v>2</v>
      </c>
      <c r="D1896" s="1" t="s">
        <v>5270</v>
      </c>
      <c r="E1896" s="1" t="s">
        <v>36</v>
      </c>
      <c r="G1896">
        <v>442362</v>
      </c>
      <c r="H1896" t="s">
        <v>5223</v>
      </c>
      <c r="I1896" t="s">
        <v>5224</v>
      </c>
      <c r="J1896">
        <v>23</v>
      </c>
      <c r="K1896">
        <v>442362</v>
      </c>
      <c r="L1896">
        <v>95000</v>
      </c>
      <c r="M1896" t="s">
        <v>69</v>
      </c>
      <c r="N1896">
        <v>440</v>
      </c>
      <c r="O1896" s="2">
        <v>46196</v>
      </c>
      <c r="P1896" s="2">
        <v>46329</v>
      </c>
      <c r="R1896" t="s">
        <v>5271</v>
      </c>
      <c r="S1896" t="str">
        <f>""</f>
        <v/>
      </c>
      <c r="T1896" t="s">
        <v>41</v>
      </c>
      <c r="U1896">
        <v>9918.2099999999991</v>
      </c>
      <c r="V1896">
        <v>9918.2099999999991</v>
      </c>
      <c r="W1896">
        <v>9918.2099999999991</v>
      </c>
      <c r="X1896">
        <v>0</v>
      </c>
      <c r="Y1896">
        <v>0</v>
      </c>
      <c r="Z1896">
        <v>-554</v>
      </c>
      <c r="AA1896">
        <v>873</v>
      </c>
      <c r="AD1896" t="s">
        <v>3349</v>
      </c>
      <c r="AF1896" t="s">
        <v>3349</v>
      </c>
      <c r="AG1896">
        <v>47508411083264</v>
      </c>
      <c r="AH1896" t="s">
        <v>44</v>
      </c>
    </row>
    <row r="1897" spans="1:34" x14ac:dyDescent="0.3">
      <c r="A1897">
        <v>101</v>
      </c>
      <c r="B1897" t="s">
        <v>34</v>
      </c>
      <c r="C1897">
        <v>2</v>
      </c>
      <c r="D1897" s="1" t="s">
        <v>5272</v>
      </c>
      <c r="E1897" s="1" t="s">
        <v>36</v>
      </c>
      <c r="G1897">
        <v>442362</v>
      </c>
      <c r="H1897" t="s">
        <v>5223</v>
      </c>
      <c r="I1897" t="s">
        <v>5224</v>
      </c>
      <c r="J1897">
        <v>23</v>
      </c>
      <c r="K1897">
        <v>442362</v>
      </c>
      <c r="L1897">
        <v>95000</v>
      </c>
      <c r="M1897" t="s">
        <v>69</v>
      </c>
      <c r="N1897">
        <v>440</v>
      </c>
      <c r="O1897" s="2">
        <v>46189</v>
      </c>
      <c r="P1897" s="2">
        <v>46296</v>
      </c>
      <c r="R1897" t="s">
        <v>5273</v>
      </c>
      <c r="S1897" t="str">
        <f>""</f>
        <v/>
      </c>
      <c r="T1897" t="s">
        <v>41</v>
      </c>
      <c r="U1897">
        <v>55676.62</v>
      </c>
      <c r="V1897">
        <v>55676.62</v>
      </c>
      <c r="W1897">
        <v>55676.62</v>
      </c>
      <c r="X1897">
        <v>0</v>
      </c>
      <c r="Y1897">
        <v>0</v>
      </c>
      <c r="Z1897">
        <v>-521</v>
      </c>
      <c r="AA1897">
        <v>756</v>
      </c>
      <c r="AD1897" t="s">
        <v>3349</v>
      </c>
      <c r="AF1897" t="s">
        <v>3349</v>
      </c>
      <c r="AG1897">
        <v>47508411083264</v>
      </c>
      <c r="AH1897" t="s">
        <v>44</v>
      </c>
    </row>
    <row r="1898" spans="1:34" x14ac:dyDescent="0.3">
      <c r="A1898">
        <v>101</v>
      </c>
      <c r="B1898" t="s">
        <v>34</v>
      </c>
      <c r="C1898">
        <v>2</v>
      </c>
      <c r="D1898" s="1" t="s">
        <v>5274</v>
      </c>
      <c r="E1898" s="1" t="s">
        <v>36</v>
      </c>
      <c r="G1898">
        <v>442362</v>
      </c>
      <c r="H1898" t="s">
        <v>5223</v>
      </c>
      <c r="I1898" t="s">
        <v>5224</v>
      </c>
      <c r="J1898">
        <v>23</v>
      </c>
      <c r="K1898">
        <v>442362</v>
      </c>
      <c r="L1898">
        <v>95000</v>
      </c>
      <c r="M1898" t="s">
        <v>69</v>
      </c>
      <c r="N1898">
        <v>440</v>
      </c>
      <c r="O1898" s="2">
        <v>46149</v>
      </c>
      <c r="P1898" s="2">
        <v>46266</v>
      </c>
      <c r="R1898" t="s">
        <v>5275</v>
      </c>
      <c r="S1898" t="str">
        <f>""</f>
        <v/>
      </c>
      <c r="T1898" t="s">
        <v>41</v>
      </c>
      <c r="U1898">
        <v>1451.17</v>
      </c>
      <c r="V1898">
        <v>1451.17</v>
      </c>
      <c r="W1898">
        <v>1451.17</v>
      </c>
      <c r="X1898">
        <v>0</v>
      </c>
      <c r="Y1898">
        <v>0</v>
      </c>
      <c r="Z1898">
        <v>-491</v>
      </c>
      <c r="AA1898">
        <v>473</v>
      </c>
      <c r="AD1898" t="s">
        <v>3349</v>
      </c>
      <c r="AF1898" t="s">
        <v>3349</v>
      </c>
      <c r="AG1898">
        <v>47508411083264</v>
      </c>
      <c r="AH1898" t="s">
        <v>44</v>
      </c>
    </row>
    <row r="1899" spans="1:34" x14ac:dyDescent="0.3">
      <c r="A1899">
        <v>101</v>
      </c>
      <c r="B1899" t="s">
        <v>34</v>
      </c>
      <c r="C1899">
        <v>2</v>
      </c>
      <c r="D1899" s="1" t="s">
        <v>5276</v>
      </c>
      <c r="E1899" s="1" t="s">
        <v>36</v>
      </c>
      <c r="G1899">
        <v>442362</v>
      </c>
      <c r="H1899" t="s">
        <v>5223</v>
      </c>
      <c r="I1899" t="s">
        <v>5224</v>
      </c>
      <c r="J1899">
        <v>23</v>
      </c>
      <c r="K1899">
        <v>442362</v>
      </c>
      <c r="L1899">
        <v>95000</v>
      </c>
      <c r="M1899" t="s">
        <v>69</v>
      </c>
      <c r="N1899">
        <v>440</v>
      </c>
      <c r="O1899" s="2">
        <v>46149</v>
      </c>
      <c r="P1899" s="2">
        <v>46266</v>
      </c>
      <c r="R1899" t="s">
        <v>5277</v>
      </c>
      <c r="S1899" t="str">
        <f>""</f>
        <v/>
      </c>
      <c r="T1899" t="s">
        <v>41</v>
      </c>
      <c r="U1899">
        <v>10171.84</v>
      </c>
      <c r="V1899">
        <v>10171.84</v>
      </c>
      <c r="W1899">
        <v>10171.84</v>
      </c>
      <c r="X1899">
        <v>0</v>
      </c>
      <c r="Y1899">
        <v>0</v>
      </c>
      <c r="Z1899">
        <v>-491</v>
      </c>
      <c r="AA1899">
        <v>474</v>
      </c>
      <c r="AD1899" t="s">
        <v>3349</v>
      </c>
      <c r="AF1899" t="s">
        <v>3349</v>
      </c>
      <c r="AG1899">
        <v>47508411083264</v>
      </c>
      <c r="AH1899" t="s">
        <v>44</v>
      </c>
    </row>
    <row r="1900" spans="1:34" x14ac:dyDescent="0.3">
      <c r="A1900">
        <v>101</v>
      </c>
      <c r="B1900" t="s">
        <v>34</v>
      </c>
      <c r="C1900">
        <v>2</v>
      </c>
      <c r="D1900" s="1" t="s">
        <v>5278</v>
      </c>
      <c r="E1900" s="1" t="s">
        <v>36</v>
      </c>
      <c r="G1900">
        <v>442362</v>
      </c>
      <c r="H1900" t="s">
        <v>5223</v>
      </c>
      <c r="I1900" t="s">
        <v>5224</v>
      </c>
      <c r="J1900">
        <v>23</v>
      </c>
      <c r="K1900">
        <v>442362</v>
      </c>
      <c r="L1900">
        <v>95000</v>
      </c>
      <c r="M1900" t="s">
        <v>69</v>
      </c>
      <c r="N1900">
        <v>440</v>
      </c>
      <c r="O1900" s="2">
        <v>46155</v>
      </c>
      <c r="P1900" s="2">
        <v>46266</v>
      </c>
      <c r="R1900" t="s">
        <v>5279</v>
      </c>
      <c r="S1900" t="str">
        <f>""</f>
        <v/>
      </c>
      <c r="T1900" t="s">
        <v>41</v>
      </c>
      <c r="U1900">
        <v>25531.919999999998</v>
      </c>
      <c r="V1900">
        <v>25531.919999999998</v>
      </c>
      <c r="W1900">
        <v>25531.919999999998</v>
      </c>
      <c r="X1900">
        <v>0</v>
      </c>
      <c r="Y1900">
        <v>0</v>
      </c>
      <c r="Z1900">
        <v>-491</v>
      </c>
      <c r="AA1900">
        <v>506</v>
      </c>
      <c r="AD1900" t="s">
        <v>3349</v>
      </c>
      <c r="AF1900" t="s">
        <v>3349</v>
      </c>
      <c r="AG1900">
        <v>47508411083264</v>
      </c>
      <c r="AH1900" t="s">
        <v>44</v>
      </c>
    </row>
    <row r="1901" spans="1:34" x14ac:dyDescent="0.3">
      <c r="A1901">
        <v>101</v>
      </c>
      <c r="B1901" t="s">
        <v>34</v>
      </c>
      <c r="C1901">
        <v>2</v>
      </c>
      <c r="D1901" s="1" t="s">
        <v>5280</v>
      </c>
      <c r="E1901" s="1" t="s">
        <v>36</v>
      </c>
      <c r="G1901">
        <v>442362</v>
      </c>
      <c r="H1901" t="s">
        <v>5223</v>
      </c>
      <c r="I1901" t="s">
        <v>5224</v>
      </c>
      <c r="J1901">
        <v>23</v>
      </c>
      <c r="K1901">
        <v>442362</v>
      </c>
      <c r="L1901">
        <v>95000</v>
      </c>
      <c r="M1901" t="s">
        <v>69</v>
      </c>
      <c r="N1901">
        <v>440</v>
      </c>
      <c r="O1901" s="2">
        <v>46168</v>
      </c>
      <c r="P1901" s="2">
        <v>46266</v>
      </c>
      <c r="R1901" t="s">
        <v>5281</v>
      </c>
      <c r="S1901" t="str">
        <f>""</f>
        <v/>
      </c>
      <c r="T1901" t="s">
        <v>41</v>
      </c>
      <c r="U1901">
        <v>805.78</v>
      </c>
      <c r="V1901">
        <v>805.78</v>
      </c>
      <c r="W1901">
        <v>805.78</v>
      </c>
      <c r="X1901">
        <v>0</v>
      </c>
      <c r="Y1901">
        <v>0</v>
      </c>
      <c r="Z1901">
        <v>-491</v>
      </c>
      <c r="AA1901">
        <v>676</v>
      </c>
      <c r="AD1901" t="s">
        <v>3349</v>
      </c>
      <c r="AF1901" t="s">
        <v>3349</v>
      </c>
      <c r="AG1901">
        <v>47508411083264</v>
      </c>
      <c r="AH1901" t="s">
        <v>44</v>
      </c>
    </row>
    <row r="1902" spans="1:34" x14ac:dyDescent="0.3">
      <c r="A1902">
        <v>101</v>
      </c>
      <c r="B1902" t="s">
        <v>34</v>
      </c>
      <c r="C1902">
        <v>2</v>
      </c>
      <c r="D1902" s="1" t="s">
        <v>5282</v>
      </c>
      <c r="E1902" s="1" t="s">
        <v>36</v>
      </c>
      <c r="G1902">
        <v>442362</v>
      </c>
      <c r="H1902" t="s">
        <v>5223</v>
      </c>
      <c r="I1902" t="s">
        <v>5224</v>
      </c>
      <c r="J1902">
        <v>23</v>
      </c>
      <c r="K1902">
        <v>442362</v>
      </c>
      <c r="L1902">
        <v>95000</v>
      </c>
      <c r="M1902" t="s">
        <v>69</v>
      </c>
      <c r="N1902">
        <v>440</v>
      </c>
      <c r="O1902" s="2">
        <v>46168</v>
      </c>
      <c r="P1902" s="2">
        <v>46266</v>
      </c>
      <c r="R1902" t="s">
        <v>5283</v>
      </c>
      <c r="S1902" t="str">
        <f>""</f>
        <v/>
      </c>
      <c r="T1902" t="s">
        <v>41</v>
      </c>
      <c r="U1902">
        <v>43558.16</v>
      </c>
      <c r="V1902">
        <v>43558.16</v>
      </c>
      <c r="W1902">
        <v>43558.16</v>
      </c>
      <c r="X1902">
        <v>0</v>
      </c>
      <c r="Y1902">
        <v>0</v>
      </c>
      <c r="Z1902">
        <v>-491</v>
      </c>
      <c r="AA1902">
        <v>677</v>
      </c>
      <c r="AD1902" t="s">
        <v>3349</v>
      </c>
      <c r="AF1902" t="s">
        <v>3349</v>
      </c>
      <c r="AG1902">
        <v>47508411083264</v>
      </c>
      <c r="AH1902" t="s">
        <v>44</v>
      </c>
    </row>
    <row r="1903" spans="1:34" x14ac:dyDescent="0.3">
      <c r="A1903">
        <v>101</v>
      </c>
      <c r="B1903" t="s">
        <v>34</v>
      </c>
      <c r="C1903">
        <v>2</v>
      </c>
      <c r="D1903" s="1" t="s">
        <v>5284</v>
      </c>
      <c r="E1903" s="1" t="s">
        <v>36</v>
      </c>
      <c r="G1903">
        <v>442455</v>
      </c>
      <c r="H1903" t="s">
        <v>5285</v>
      </c>
      <c r="I1903" t="s">
        <v>5224</v>
      </c>
      <c r="J1903">
        <v>23</v>
      </c>
      <c r="K1903">
        <v>442362</v>
      </c>
      <c r="L1903">
        <v>95000</v>
      </c>
      <c r="M1903" t="s">
        <v>69</v>
      </c>
      <c r="N1903">
        <v>440</v>
      </c>
      <c r="O1903" s="2">
        <v>46185</v>
      </c>
      <c r="P1903" s="2">
        <v>46296</v>
      </c>
      <c r="R1903" t="s">
        <v>5286</v>
      </c>
      <c r="S1903" t="str">
        <f>""</f>
        <v/>
      </c>
      <c r="T1903" t="s">
        <v>41</v>
      </c>
      <c r="U1903">
        <v>6109.4</v>
      </c>
      <c r="V1903">
        <v>6109.4</v>
      </c>
      <c r="W1903">
        <v>6109.4</v>
      </c>
      <c r="X1903">
        <v>0</v>
      </c>
      <c r="Y1903">
        <v>0</v>
      </c>
      <c r="Z1903">
        <v>-521</v>
      </c>
      <c r="AA1903">
        <v>737</v>
      </c>
      <c r="AD1903" t="s">
        <v>2664</v>
      </c>
      <c r="AE1903" t="s">
        <v>5287</v>
      </c>
      <c r="AF1903" t="s">
        <v>2664</v>
      </c>
      <c r="AG1903">
        <v>47508411136562</v>
      </c>
      <c r="AH1903" t="s">
        <v>2403</v>
      </c>
    </row>
    <row r="1904" spans="1:34" x14ac:dyDescent="0.3">
      <c r="A1904">
        <v>101</v>
      </c>
      <c r="B1904" t="s">
        <v>34</v>
      </c>
      <c r="C1904">
        <v>2</v>
      </c>
      <c r="D1904" s="1" t="s">
        <v>5288</v>
      </c>
      <c r="E1904" s="1" t="s">
        <v>36</v>
      </c>
      <c r="G1904">
        <v>442455</v>
      </c>
      <c r="H1904" t="s">
        <v>5285</v>
      </c>
      <c r="I1904" t="s">
        <v>5224</v>
      </c>
      <c r="J1904">
        <v>23</v>
      </c>
      <c r="K1904">
        <v>442362</v>
      </c>
      <c r="L1904">
        <v>95000</v>
      </c>
      <c r="M1904" t="s">
        <v>69</v>
      </c>
      <c r="N1904">
        <v>440</v>
      </c>
      <c r="O1904" s="2">
        <v>46163</v>
      </c>
      <c r="P1904" s="2">
        <v>46266</v>
      </c>
      <c r="R1904" t="s">
        <v>5289</v>
      </c>
      <c r="S1904" t="str">
        <f>""</f>
        <v/>
      </c>
      <c r="T1904" t="s">
        <v>41</v>
      </c>
      <c r="U1904">
        <v>5757</v>
      </c>
      <c r="V1904">
        <v>5757</v>
      </c>
      <c r="W1904">
        <v>5757</v>
      </c>
      <c r="X1904">
        <v>0</v>
      </c>
      <c r="Y1904">
        <v>0</v>
      </c>
      <c r="Z1904">
        <v>-491</v>
      </c>
      <c r="AA1904">
        <v>633</v>
      </c>
      <c r="AD1904" t="s">
        <v>2664</v>
      </c>
      <c r="AE1904" t="s">
        <v>5287</v>
      </c>
      <c r="AF1904" t="s">
        <v>2664</v>
      </c>
      <c r="AG1904">
        <v>47508411136562</v>
      </c>
      <c r="AH1904" t="s">
        <v>2403</v>
      </c>
    </row>
    <row r="1905" spans="1:34" x14ac:dyDescent="0.3">
      <c r="A1905">
        <v>101</v>
      </c>
      <c r="B1905" t="s">
        <v>34</v>
      </c>
      <c r="C1905">
        <v>2</v>
      </c>
      <c r="D1905" s="1" t="s">
        <v>5290</v>
      </c>
      <c r="E1905" s="1" t="s">
        <v>36</v>
      </c>
      <c r="G1905">
        <v>442455</v>
      </c>
      <c r="H1905" t="s">
        <v>5285</v>
      </c>
      <c r="I1905" t="s">
        <v>5224</v>
      </c>
      <c r="J1905">
        <v>23</v>
      </c>
      <c r="K1905">
        <v>442362</v>
      </c>
      <c r="L1905">
        <v>95000</v>
      </c>
      <c r="M1905" t="s">
        <v>69</v>
      </c>
      <c r="N1905">
        <v>440</v>
      </c>
      <c r="O1905" s="2">
        <v>46202</v>
      </c>
      <c r="P1905" s="2">
        <v>46329</v>
      </c>
      <c r="R1905" t="s">
        <v>5291</v>
      </c>
      <c r="S1905" t="str">
        <f>""</f>
        <v/>
      </c>
      <c r="T1905" t="s">
        <v>41</v>
      </c>
      <c r="U1905">
        <v>7409.88</v>
      </c>
      <c r="V1905">
        <v>7409.88</v>
      </c>
      <c r="W1905">
        <v>7409.88</v>
      </c>
      <c r="X1905">
        <v>0</v>
      </c>
      <c r="Y1905">
        <v>0</v>
      </c>
      <c r="Z1905">
        <v>-554</v>
      </c>
      <c r="AA1905">
        <v>966</v>
      </c>
      <c r="AD1905" t="s">
        <v>2664</v>
      </c>
      <c r="AE1905" t="s">
        <v>5287</v>
      </c>
      <c r="AF1905" t="s">
        <v>2664</v>
      </c>
      <c r="AG1905">
        <v>47508411136562</v>
      </c>
      <c r="AH1905" t="s">
        <v>2403</v>
      </c>
    </row>
    <row r="1906" spans="1:34" x14ac:dyDescent="0.3">
      <c r="A1906">
        <v>101</v>
      </c>
      <c r="B1906" t="s">
        <v>34</v>
      </c>
      <c r="C1906">
        <v>2</v>
      </c>
      <c r="D1906" s="1" t="s">
        <v>5292</v>
      </c>
      <c r="E1906" s="1" t="s">
        <v>36</v>
      </c>
      <c r="G1906">
        <v>442455</v>
      </c>
      <c r="H1906" t="s">
        <v>5285</v>
      </c>
      <c r="I1906" t="s">
        <v>5224</v>
      </c>
      <c r="J1906">
        <v>23</v>
      </c>
      <c r="K1906">
        <v>442362</v>
      </c>
      <c r="L1906">
        <v>95000</v>
      </c>
      <c r="M1906" t="s">
        <v>69</v>
      </c>
      <c r="N1906">
        <v>440</v>
      </c>
      <c r="O1906" s="2">
        <v>46202</v>
      </c>
      <c r="P1906" s="2">
        <v>46329</v>
      </c>
      <c r="R1906" t="s">
        <v>5293</v>
      </c>
      <c r="S1906" t="str">
        <f>""</f>
        <v/>
      </c>
      <c r="T1906" t="s">
        <v>41</v>
      </c>
      <c r="U1906">
        <v>1258.8800000000001</v>
      </c>
      <c r="V1906">
        <v>1258.8800000000001</v>
      </c>
      <c r="W1906">
        <v>1258.8800000000001</v>
      </c>
      <c r="X1906">
        <v>0</v>
      </c>
      <c r="Y1906">
        <v>0</v>
      </c>
      <c r="Z1906">
        <v>-554</v>
      </c>
      <c r="AA1906">
        <v>874</v>
      </c>
      <c r="AD1906" t="s">
        <v>2664</v>
      </c>
      <c r="AE1906" t="s">
        <v>5287</v>
      </c>
      <c r="AF1906" t="s">
        <v>2664</v>
      </c>
      <c r="AG1906">
        <v>47508411136562</v>
      </c>
      <c r="AH1906" t="s">
        <v>2403</v>
      </c>
    </row>
    <row r="1907" spans="1:34" x14ac:dyDescent="0.3">
      <c r="A1907">
        <v>101</v>
      </c>
      <c r="B1907" t="s">
        <v>34</v>
      </c>
      <c r="C1907">
        <v>2</v>
      </c>
      <c r="D1907" s="1" t="s">
        <v>5294</v>
      </c>
      <c r="E1907" s="1" t="s">
        <v>36</v>
      </c>
      <c r="G1907">
        <v>442455</v>
      </c>
      <c r="H1907" t="s">
        <v>5285</v>
      </c>
      <c r="I1907" t="s">
        <v>5224</v>
      </c>
      <c r="J1907">
        <v>23</v>
      </c>
      <c r="K1907">
        <v>442362</v>
      </c>
      <c r="L1907">
        <v>95000</v>
      </c>
      <c r="M1907" t="s">
        <v>69</v>
      </c>
      <c r="N1907">
        <v>440</v>
      </c>
      <c r="O1907" s="2">
        <v>46190</v>
      </c>
      <c r="P1907" s="2">
        <v>46296</v>
      </c>
      <c r="R1907" t="s">
        <v>5295</v>
      </c>
      <c r="S1907" t="str">
        <f>""</f>
        <v/>
      </c>
      <c r="T1907" t="s">
        <v>41</v>
      </c>
      <c r="U1907">
        <v>7129.84</v>
      </c>
      <c r="V1907">
        <v>7129.84</v>
      </c>
      <c r="W1907">
        <v>7129.84</v>
      </c>
      <c r="X1907">
        <v>0</v>
      </c>
      <c r="Y1907">
        <v>0</v>
      </c>
      <c r="Z1907">
        <v>-521</v>
      </c>
      <c r="AA1907">
        <v>755</v>
      </c>
      <c r="AD1907" t="s">
        <v>2664</v>
      </c>
      <c r="AE1907" t="s">
        <v>5287</v>
      </c>
      <c r="AF1907" t="s">
        <v>2664</v>
      </c>
      <c r="AG1907">
        <v>47508411136562</v>
      </c>
      <c r="AH1907" t="s">
        <v>2403</v>
      </c>
    </row>
    <row r="1908" spans="1:34" x14ac:dyDescent="0.3">
      <c r="A1908">
        <v>101</v>
      </c>
      <c r="B1908" t="s">
        <v>34</v>
      </c>
      <c r="C1908">
        <v>2</v>
      </c>
      <c r="D1908" s="1" t="s">
        <v>5296</v>
      </c>
      <c r="E1908" s="1" t="s">
        <v>36</v>
      </c>
      <c r="G1908">
        <v>442455</v>
      </c>
      <c r="H1908" t="s">
        <v>5285</v>
      </c>
      <c r="I1908" t="s">
        <v>5224</v>
      </c>
      <c r="J1908">
        <v>23</v>
      </c>
      <c r="K1908">
        <v>442362</v>
      </c>
      <c r="L1908">
        <v>95000</v>
      </c>
      <c r="M1908" t="s">
        <v>69</v>
      </c>
      <c r="N1908">
        <v>440</v>
      </c>
      <c r="O1908" s="2">
        <v>46202</v>
      </c>
      <c r="P1908" s="2">
        <v>46329</v>
      </c>
      <c r="R1908" t="s">
        <v>5297</v>
      </c>
      <c r="S1908" t="str">
        <f>""</f>
        <v/>
      </c>
      <c r="T1908" t="s">
        <v>41</v>
      </c>
      <c r="U1908">
        <v>745.9</v>
      </c>
      <c r="V1908">
        <v>745.9</v>
      </c>
      <c r="W1908">
        <v>745.9</v>
      </c>
      <c r="X1908">
        <v>0</v>
      </c>
      <c r="Y1908">
        <v>0</v>
      </c>
      <c r="Z1908">
        <v>-554</v>
      </c>
      <c r="AA1908">
        <v>965</v>
      </c>
      <c r="AD1908" t="s">
        <v>2664</v>
      </c>
      <c r="AE1908" t="s">
        <v>5287</v>
      </c>
      <c r="AF1908" t="s">
        <v>2664</v>
      </c>
      <c r="AG1908">
        <v>47508411136562</v>
      </c>
      <c r="AH1908" t="s">
        <v>2403</v>
      </c>
    </row>
    <row r="1909" spans="1:34" x14ac:dyDescent="0.3">
      <c r="A1909">
        <v>101</v>
      </c>
      <c r="B1909" t="s">
        <v>34</v>
      </c>
      <c r="C1909">
        <v>2</v>
      </c>
      <c r="D1909" s="1" t="s">
        <v>5298</v>
      </c>
      <c r="E1909" s="1" t="s">
        <v>36</v>
      </c>
      <c r="G1909">
        <v>442455</v>
      </c>
      <c r="H1909" t="s">
        <v>5285</v>
      </c>
      <c r="I1909" t="s">
        <v>5224</v>
      </c>
      <c r="J1909">
        <v>23</v>
      </c>
      <c r="K1909">
        <v>442362</v>
      </c>
      <c r="L1909">
        <v>95000</v>
      </c>
      <c r="M1909" t="s">
        <v>69</v>
      </c>
      <c r="N1909">
        <v>440</v>
      </c>
      <c r="O1909" s="2">
        <v>46185</v>
      </c>
      <c r="P1909" s="2">
        <v>46296</v>
      </c>
      <c r="R1909" t="s">
        <v>5299</v>
      </c>
      <c r="S1909" t="str">
        <f>""</f>
        <v/>
      </c>
      <c r="T1909" t="s">
        <v>41</v>
      </c>
      <c r="U1909">
        <v>622.16</v>
      </c>
      <c r="V1909">
        <v>622.16</v>
      </c>
      <c r="W1909">
        <v>622.16</v>
      </c>
      <c r="X1909">
        <v>0</v>
      </c>
      <c r="Y1909">
        <v>0</v>
      </c>
      <c r="Z1909">
        <v>-521</v>
      </c>
      <c r="AA1909">
        <v>673</v>
      </c>
      <c r="AD1909" t="s">
        <v>2664</v>
      </c>
      <c r="AE1909" t="s">
        <v>5287</v>
      </c>
      <c r="AF1909" t="s">
        <v>2664</v>
      </c>
      <c r="AG1909">
        <v>47508411136562</v>
      </c>
      <c r="AH1909" t="s">
        <v>2403</v>
      </c>
    </row>
    <row r="1910" spans="1:34" x14ac:dyDescent="0.3">
      <c r="A1910">
        <v>101</v>
      </c>
      <c r="B1910" t="s">
        <v>34</v>
      </c>
      <c r="C1910">
        <v>2</v>
      </c>
      <c r="D1910" s="1" t="s">
        <v>5300</v>
      </c>
      <c r="E1910" s="1" t="s">
        <v>36</v>
      </c>
      <c r="G1910">
        <v>442455</v>
      </c>
      <c r="H1910" t="s">
        <v>5285</v>
      </c>
      <c r="I1910" t="s">
        <v>5224</v>
      </c>
      <c r="J1910">
        <v>23</v>
      </c>
      <c r="K1910">
        <v>442362</v>
      </c>
      <c r="L1910">
        <v>95000</v>
      </c>
      <c r="M1910" t="s">
        <v>69</v>
      </c>
      <c r="N1910">
        <v>440</v>
      </c>
      <c r="O1910" s="2">
        <v>46209</v>
      </c>
      <c r="P1910" s="2">
        <v>46329</v>
      </c>
      <c r="R1910" t="s">
        <v>5301</v>
      </c>
      <c r="S1910" t="str">
        <f>""</f>
        <v/>
      </c>
      <c r="T1910" t="s">
        <v>41</v>
      </c>
      <c r="U1910">
        <v>6694.55</v>
      </c>
      <c r="V1910">
        <v>6694.55</v>
      </c>
      <c r="W1910">
        <v>6694.55</v>
      </c>
      <c r="X1910">
        <v>0</v>
      </c>
      <c r="Y1910">
        <v>0</v>
      </c>
      <c r="Z1910">
        <v>-554</v>
      </c>
      <c r="AA1910">
        <v>1008</v>
      </c>
      <c r="AD1910" t="s">
        <v>2664</v>
      </c>
      <c r="AE1910" t="s">
        <v>5287</v>
      </c>
      <c r="AF1910" t="s">
        <v>2664</v>
      </c>
      <c r="AG1910">
        <v>47508411136562</v>
      </c>
      <c r="AH1910" t="s">
        <v>2403</v>
      </c>
    </row>
    <row r="1911" spans="1:34" x14ac:dyDescent="0.3">
      <c r="A1911">
        <v>101</v>
      </c>
      <c r="B1911" t="s">
        <v>34</v>
      </c>
      <c r="C1911">
        <v>2</v>
      </c>
      <c r="D1911" s="1" t="s">
        <v>5302</v>
      </c>
      <c r="E1911" s="1" t="s">
        <v>36</v>
      </c>
      <c r="G1911">
        <v>442455</v>
      </c>
      <c r="H1911" t="s">
        <v>5285</v>
      </c>
      <c r="I1911" t="s">
        <v>5224</v>
      </c>
      <c r="J1911">
        <v>23</v>
      </c>
      <c r="K1911">
        <v>442362</v>
      </c>
      <c r="L1911">
        <v>95000</v>
      </c>
      <c r="M1911" t="s">
        <v>69</v>
      </c>
      <c r="N1911">
        <v>440</v>
      </c>
      <c r="O1911" s="2">
        <v>46216</v>
      </c>
      <c r="P1911" s="2">
        <v>46329</v>
      </c>
      <c r="R1911" t="s">
        <v>5303</v>
      </c>
      <c r="S1911" t="str">
        <f>""</f>
        <v/>
      </c>
      <c r="T1911" t="s">
        <v>41</v>
      </c>
      <c r="U1911">
        <v>5493.9</v>
      </c>
      <c r="V1911">
        <v>5493.9</v>
      </c>
      <c r="W1911">
        <v>5493.9</v>
      </c>
      <c r="X1911">
        <v>0</v>
      </c>
      <c r="Y1911">
        <v>0</v>
      </c>
      <c r="Z1911">
        <v>-554</v>
      </c>
      <c r="AA1911">
        <v>1098</v>
      </c>
      <c r="AD1911" t="s">
        <v>2664</v>
      </c>
      <c r="AE1911" t="s">
        <v>5287</v>
      </c>
      <c r="AF1911" t="s">
        <v>2664</v>
      </c>
      <c r="AG1911">
        <v>47508411136562</v>
      </c>
      <c r="AH1911" t="s">
        <v>2403</v>
      </c>
    </row>
    <row r="1912" spans="1:34" x14ac:dyDescent="0.3">
      <c r="A1912">
        <v>101</v>
      </c>
      <c r="B1912" t="s">
        <v>34</v>
      </c>
      <c r="C1912">
        <v>2</v>
      </c>
      <c r="D1912" s="1" t="s">
        <v>5304</v>
      </c>
      <c r="E1912" s="1" t="s">
        <v>36</v>
      </c>
      <c r="G1912">
        <v>442455</v>
      </c>
      <c r="H1912" t="s">
        <v>5285</v>
      </c>
      <c r="I1912" t="s">
        <v>5224</v>
      </c>
      <c r="J1912">
        <v>23</v>
      </c>
      <c r="K1912">
        <v>442362</v>
      </c>
      <c r="L1912">
        <v>95000</v>
      </c>
      <c r="M1912" t="s">
        <v>69</v>
      </c>
      <c r="N1912">
        <v>440</v>
      </c>
      <c r="O1912" s="2">
        <v>46216</v>
      </c>
      <c r="P1912" s="2">
        <v>46329</v>
      </c>
      <c r="R1912" t="s">
        <v>5305</v>
      </c>
      <c r="S1912" t="str">
        <f>""</f>
        <v/>
      </c>
      <c r="T1912" t="s">
        <v>41</v>
      </c>
      <c r="U1912">
        <v>636.72</v>
      </c>
      <c r="V1912">
        <v>636.72</v>
      </c>
      <c r="W1912">
        <v>636.72</v>
      </c>
      <c r="X1912">
        <v>0</v>
      </c>
      <c r="Y1912">
        <v>0</v>
      </c>
      <c r="Z1912">
        <v>-554</v>
      </c>
      <c r="AA1912">
        <v>1096</v>
      </c>
      <c r="AD1912" t="s">
        <v>2664</v>
      </c>
      <c r="AE1912" t="s">
        <v>5287</v>
      </c>
      <c r="AF1912" t="s">
        <v>2664</v>
      </c>
      <c r="AG1912">
        <v>47508411136562</v>
      </c>
      <c r="AH1912" t="s">
        <v>2403</v>
      </c>
    </row>
    <row r="1913" spans="1:34" x14ac:dyDescent="0.3">
      <c r="A1913">
        <v>101</v>
      </c>
      <c r="B1913" t="s">
        <v>34</v>
      </c>
      <c r="C1913">
        <v>2</v>
      </c>
      <c r="D1913" s="1" t="s">
        <v>5306</v>
      </c>
      <c r="E1913" s="1" t="s">
        <v>36</v>
      </c>
      <c r="G1913">
        <v>442455</v>
      </c>
      <c r="H1913" t="s">
        <v>5285</v>
      </c>
      <c r="I1913" t="s">
        <v>5224</v>
      </c>
      <c r="J1913">
        <v>23</v>
      </c>
      <c r="K1913">
        <v>442362</v>
      </c>
      <c r="L1913">
        <v>95000</v>
      </c>
      <c r="M1913" t="s">
        <v>69</v>
      </c>
      <c r="N1913">
        <v>440</v>
      </c>
      <c r="O1913" s="2">
        <v>46218</v>
      </c>
      <c r="P1913" s="2">
        <v>46329</v>
      </c>
      <c r="R1913" t="s">
        <v>5307</v>
      </c>
      <c r="S1913" t="str">
        <f>""</f>
        <v/>
      </c>
      <c r="T1913" t="s">
        <v>41</v>
      </c>
      <c r="U1913">
        <v>672.56</v>
      </c>
      <c r="V1913">
        <v>672.56</v>
      </c>
      <c r="W1913">
        <v>672.56</v>
      </c>
      <c r="X1913">
        <v>0</v>
      </c>
      <c r="Y1913">
        <v>0</v>
      </c>
      <c r="Z1913">
        <v>-554</v>
      </c>
      <c r="AA1913">
        <v>1197</v>
      </c>
      <c r="AD1913" t="s">
        <v>2664</v>
      </c>
      <c r="AE1913" t="s">
        <v>5287</v>
      </c>
      <c r="AF1913" t="s">
        <v>2664</v>
      </c>
      <c r="AG1913">
        <v>47508411136562</v>
      </c>
      <c r="AH1913" t="s">
        <v>2403</v>
      </c>
    </row>
    <row r="1914" spans="1:34" x14ac:dyDescent="0.3">
      <c r="A1914">
        <v>101</v>
      </c>
      <c r="B1914" t="s">
        <v>34</v>
      </c>
      <c r="C1914">
        <v>2</v>
      </c>
      <c r="D1914" s="1" t="s">
        <v>5308</v>
      </c>
      <c r="E1914" s="1" t="s">
        <v>36</v>
      </c>
      <c r="G1914">
        <v>442455</v>
      </c>
      <c r="H1914" t="s">
        <v>5285</v>
      </c>
      <c r="I1914" t="s">
        <v>5224</v>
      </c>
      <c r="J1914">
        <v>23</v>
      </c>
      <c r="K1914">
        <v>442362</v>
      </c>
      <c r="L1914">
        <v>95000</v>
      </c>
      <c r="M1914" t="s">
        <v>69</v>
      </c>
      <c r="N1914">
        <v>440</v>
      </c>
      <c r="O1914" s="2">
        <v>46218</v>
      </c>
      <c r="P1914" s="2">
        <v>46329</v>
      </c>
      <c r="R1914" t="s">
        <v>5309</v>
      </c>
      <c r="S1914" t="str">
        <f>""</f>
        <v/>
      </c>
      <c r="T1914" t="s">
        <v>41</v>
      </c>
      <c r="U1914">
        <v>1273.44</v>
      </c>
      <c r="V1914">
        <v>1273.44</v>
      </c>
      <c r="W1914">
        <v>1273.44</v>
      </c>
      <c r="X1914">
        <v>0</v>
      </c>
      <c r="Y1914">
        <v>0</v>
      </c>
      <c r="Z1914">
        <v>-554</v>
      </c>
      <c r="AA1914">
        <v>1098</v>
      </c>
      <c r="AD1914" t="s">
        <v>2664</v>
      </c>
      <c r="AE1914" t="s">
        <v>5287</v>
      </c>
      <c r="AF1914" t="s">
        <v>2664</v>
      </c>
      <c r="AG1914">
        <v>47508411136562</v>
      </c>
      <c r="AH1914" t="s">
        <v>2403</v>
      </c>
    </row>
    <row r="1915" spans="1:34" x14ac:dyDescent="0.3">
      <c r="A1915">
        <v>101</v>
      </c>
      <c r="B1915" t="s">
        <v>34</v>
      </c>
      <c r="C1915">
        <v>2</v>
      </c>
      <c r="D1915" s="1" t="s">
        <v>5310</v>
      </c>
      <c r="E1915" s="1" t="s">
        <v>36</v>
      </c>
      <c r="G1915">
        <v>452873</v>
      </c>
      <c r="H1915" t="s">
        <v>5311</v>
      </c>
      <c r="I1915" t="s">
        <v>5224</v>
      </c>
      <c r="J1915">
        <v>23</v>
      </c>
      <c r="K1915">
        <v>442362</v>
      </c>
      <c r="L1915">
        <v>95000</v>
      </c>
      <c r="M1915" t="s">
        <v>69</v>
      </c>
      <c r="N1915">
        <v>440</v>
      </c>
      <c r="O1915" s="2">
        <v>46251</v>
      </c>
      <c r="P1915" s="2">
        <v>46333</v>
      </c>
      <c r="R1915" t="s">
        <v>5312</v>
      </c>
      <c r="S1915" t="str">
        <f>""</f>
        <v/>
      </c>
      <c r="T1915" t="s">
        <v>41</v>
      </c>
      <c r="U1915">
        <v>750.89</v>
      </c>
      <c r="V1915">
        <v>750.89</v>
      </c>
      <c r="W1915">
        <v>750.89</v>
      </c>
      <c r="X1915">
        <v>0</v>
      </c>
      <c r="Y1915">
        <v>0</v>
      </c>
      <c r="Z1915">
        <v>-558</v>
      </c>
      <c r="AA1915">
        <v>4662</v>
      </c>
      <c r="AD1915" t="s">
        <v>5313</v>
      </c>
      <c r="AE1915">
        <v>1138860533</v>
      </c>
      <c r="AF1915" t="s">
        <v>5313</v>
      </c>
      <c r="AG1915">
        <v>47508411251906</v>
      </c>
      <c r="AH1915" t="s">
        <v>3698</v>
      </c>
    </row>
    <row r="1916" spans="1:34" x14ac:dyDescent="0.3">
      <c r="A1916">
        <v>101</v>
      </c>
      <c r="B1916" t="s">
        <v>34</v>
      </c>
      <c r="C1916">
        <v>2</v>
      </c>
      <c r="D1916" s="1" t="s">
        <v>5314</v>
      </c>
      <c r="E1916" s="1" t="s">
        <v>36</v>
      </c>
      <c r="G1916">
        <v>452873</v>
      </c>
      <c r="H1916" t="s">
        <v>5311</v>
      </c>
      <c r="I1916" t="s">
        <v>5224</v>
      </c>
      <c r="J1916">
        <v>23</v>
      </c>
      <c r="K1916">
        <v>442362</v>
      </c>
      <c r="L1916">
        <v>95000</v>
      </c>
      <c r="M1916" t="s">
        <v>69</v>
      </c>
      <c r="N1916">
        <v>440</v>
      </c>
      <c r="O1916" s="2">
        <v>46155</v>
      </c>
      <c r="P1916" s="2">
        <v>46266</v>
      </c>
      <c r="R1916" t="s">
        <v>5315</v>
      </c>
      <c r="S1916" t="str">
        <f>""</f>
        <v/>
      </c>
      <c r="T1916" t="s">
        <v>41</v>
      </c>
      <c r="U1916">
        <v>282.10000000000002</v>
      </c>
      <c r="V1916">
        <v>282.10000000000002</v>
      </c>
      <c r="W1916">
        <v>282.10000000000002</v>
      </c>
      <c r="X1916">
        <v>0</v>
      </c>
      <c r="Y1916">
        <v>0</v>
      </c>
      <c r="Z1916">
        <v>-491</v>
      </c>
      <c r="AA1916">
        <v>504</v>
      </c>
      <c r="AD1916" t="s">
        <v>5313</v>
      </c>
      <c r="AE1916">
        <v>1138860533</v>
      </c>
      <c r="AF1916" t="s">
        <v>5313</v>
      </c>
      <c r="AG1916">
        <v>47508411251906</v>
      </c>
      <c r="AH1916" t="s">
        <v>3698</v>
      </c>
    </row>
    <row r="1917" spans="1:34" x14ac:dyDescent="0.3">
      <c r="A1917">
        <v>101</v>
      </c>
      <c r="B1917" t="s">
        <v>34</v>
      </c>
      <c r="C1917">
        <v>2</v>
      </c>
      <c r="D1917" s="1" t="s">
        <v>5316</v>
      </c>
      <c r="E1917" s="1" t="s">
        <v>36</v>
      </c>
      <c r="G1917">
        <v>452873</v>
      </c>
      <c r="H1917" t="s">
        <v>5311</v>
      </c>
      <c r="I1917" t="s">
        <v>5224</v>
      </c>
      <c r="J1917">
        <v>23</v>
      </c>
      <c r="K1917">
        <v>442362</v>
      </c>
      <c r="L1917">
        <v>95080</v>
      </c>
      <c r="M1917" t="s">
        <v>83</v>
      </c>
      <c r="N1917">
        <v>440</v>
      </c>
      <c r="O1917" s="2">
        <v>46181</v>
      </c>
      <c r="P1917" s="2">
        <v>46263</v>
      </c>
      <c r="R1917" t="s">
        <v>5317</v>
      </c>
      <c r="S1917" t="str">
        <f>""</f>
        <v/>
      </c>
      <c r="T1917" t="s">
        <v>41</v>
      </c>
      <c r="U1917">
        <v>1659.32</v>
      </c>
      <c r="V1917">
        <v>1659.32</v>
      </c>
      <c r="W1917">
        <v>1659.32</v>
      </c>
      <c r="X1917">
        <v>0</v>
      </c>
      <c r="Y1917">
        <v>0</v>
      </c>
      <c r="Z1917">
        <v>-488</v>
      </c>
      <c r="AA1917">
        <v>721</v>
      </c>
      <c r="AD1917" t="s">
        <v>5313</v>
      </c>
      <c r="AE1917">
        <v>1138860533</v>
      </c>
      <c r="AF1917" t="s">
        <v>5313</v>
      </c>
      <c r="AG1917">
        <v>47508411251906</v>
      </c>
      <c r="AH1917" t="s">
        <v>3698</v>
      </c>
    </row>
    <row r="1918" spans="1:34" x14ac:dyDescent="0.3">
      <c r="A1918">
        <v>101</v>
      </c>
      <c r="B1918" t="s">
        <v>34</v>
      </c>
      <c r="C1918">
        <v>2</v>
      </c>
      <c r="D1918" s="1" t="s">
        <v>5318</v>
      </c>
      <c r="E1918" s="1" t="s">
        <v>36</v>
      </c>
      <c r="G1918">
        <v>452873</v>
      </c>
      <c r="H1918" t="s">
        <v>5311</v>
      </c>
      <c r="I1918" t="s">
        <v>5224</v>
      </c>
      <c r="J1918">
        <v>23</v>
      </c>
      <c r="K1918">
        <v>442362</v>
      </c>
      <c r="L1918">
        <v>95000</v>
      </c>
      <c r="M1918" t="s">
        <v>69</v>
      </c>
      <c r="N1918">
        <v>440</v>
      </c>
      <c r="O1918" s="2">
        <v>46203</v>
      </c>
      <c r="P1918" s="2">
        <v>46329</v>
      </c>
      <c r="R1918" t="s">
        <v>5319</v>
      </c>
      <c r="S1918" t="str">
        <f>""</f>
        <v/>
      </c>
      <c r="T1918" t="s">
        <v>41</v>
      </c>
      <c r="U1918">
        <v>750.89</v>
      </c>
      <c r="V1918">
        <v>750.89</v>
      </c>
      <c r="W1918">
        <v>750.89</v>
      </c>
      <c r="X1918">
        <v>0</v>
      </c>
      <c r="Y1918">
        <v>0</v>
      </c>
      <c r="Z1918">
        <v>-554</v>
      </c>
      <c r="AA1918">
        <v>984</v>
      </c>
      <c r="AD1918" t="s">
        <v>5313</v>
      </c>
      <c r="AE1918">
        <v>1138860533</v>
      </c>
      <c r="AF1918" t="s">
        <v>5313</v>
      </c>
      <c r="AG1918">
        <v>47508411251906</v>
      </c>
      <c r="AH1918" t="s">
        <v>3698</v>
      </c>
    </row>
    <row r="1919" spans="1:34" x14ac:dyDescent="0.3">
      <c r="A1919">
        <v>101</v>
      </c>
      <c r="B1919" t="s">
        <v>34</v>
      </c>
      <c r="C1919">
        <v>2</v>
      </c>
      <c r="D1919" s="1" t="s">
        <v>5320</v>
      </c>
      <c r="E1919" s="1" t="s">
        <v>36</v>
      </c>
      <c r="G1919">
        <v>452873</v>
      </c>
      <c r="H1919" t="s">
        <v>5311</v>
      </c>
      <c r="I1919" t="s">
        <v>5224</v>
      </c>
      <c r="J1919">
        <v>23</v>
      </c>
      <c r="K1919">
        <v>442362</v>
      </c>
      <c r="L1919">
        <v>95000</v>
      </c>
      <c r="M1919" t="s">
        <v>69</v>
      </c>
      <c r="N1919">
        <v>440</v>
      </c>
      <c r="O1919" s="2">
        <v>46251</v>
      </c>
      <c r="P1919" s="2">
        <v>46333</v>
      </c>
      <c r="R1919" t="s">
        <v>5321</v>
      </c>
      <c r="S1919" t="str">
        <f>""</f>
        <v/>
      </c>
      <c r="T1919" t="s">
        <v>41</v>
      </c>
      <c r="U1919">
        <v>6331.94</v>
      </c>
      <c r="V1919">
        <v>6331.94</v>
      </c>
      <c r="W1919">
        <v>6331.94</v>
      </c>
      <c r="X1919">
        <v>0</v>
      </c>
      <c r="Y1919">
        <v>0</v>
      </c>
      <c r="Z1919">
        <v>-558</v>
      </c>
      <c r="AA1919">
        <v>4665</v>
      </c>
      <c r="AD1919" t="s">
        <v>5313</v>
      </c>
      <c r="AE1919">
        <v>1138860533</v>
      </c>
      <c r="AF1919" t="s">
        <v>5313</v>
      </c>
      <c r="AG1919">
        <v>47508411251906</v>
      </c>
      <c r="AH1919" t="s">
        <v>3698</v>
      </c>
    </row>
    <row r="1920" spans="1:34" x14ac:dyDescent="0.3">
      <c r="A1920">
        <v>101</v>
      </c>
      <c r="B1920" t="s">
        <v>34</v>
      </c>
      <c r="C1920">
        <v>2</v>
      </c>
      <c r="D1920" s="1" t="s">
        <v>5322</v>
      </c>
      <c r="E1920" s="1" t="s">
        <v>36</v>
      </c>
      <c r="G1920">
        <v>452873</v>
      </c>
      <c r="H1920" t="s">
        <v>5311</v>
      </c>
      <c r="I1920" t="s">
        <v>5224</v>
      </c>
      <c r="J1920">
        <v>23</v>
      </c>
      <c r="K1920">
        <v>442362</v>
      </c>
      <c r="L1920">
        <v>95000</v>
      </c>
      <c r="M1920" t="s">
        <v>69</v>
      </c>
      <c r="N1920">
        <v>440</v>
      </c>
      <c r="O1920" s="2">
        <v>46155</v>
      </c>
      <c r="P1920" s="2">
        <v>46266</v>
      </c>
      <c r="R1920" t="s">
        <v>5323</v>
      </c>
      <c r="S1920" t="str">
        <f>""</f>
        <v/>
      </c>
      <c r="T1920" t="s">
        <v>41</v>
      </c>
      <c r="U1920">
        <v>56.42</v>
      </c>
      <c r="V1920">
        <v>56.42</v>
      </c>
      <c r="W1920">
        <v>56.42</v>
      </c>
      <c r="X1920">
        <v>0</v>
      </c>
      <c r="Y1920">
        <v>0</v>
      </c>
      <c r="Z1920">
        <v>-491</v>
      </c>
      <c r="AA1920">
        <v>507</v>
      </c>
      <c r="AD1920" t="s">
        <v>5313</v>
      </c>
      <c r="AE1920">
        <v>1138860533</v>
      </c>
      <c r="AF1920" t="s">
        <v>5313</v>
      </c>
      <c r="AG1920">
        <v>47508411251906</v>
      </c>
      <c r="AH1920" t="s">
        <v>3698</v>
      </c>
    </row>
    <row r="1921" spans="1:34" x14ac:dyDescent="0.3">
      <c r="A1921">
        <v>101</v>
      </c>
      <c r="B1921" t="s">
        <v>34</v>
      </c>
      <c r="C1921">
        <v>2</v>
      </c>
      <c r="D1921" s="1" t="s">
        <v>5324</v>
      </c>
      <c r="E1921" s="1" t="s">
        <v>36</v>
      </c>
      <c r="G1921">
        <v>452873</v>
      </c>
      <c r="H1921" t="s">
        <v>5311</v>
      </c>
      <c r="I1921" t="s">
        <v>5224</v>
      </c>
      <c r="J1921">
        <v>23</v>
      </c>
      <c r="K1921">
        <v>442362</v>
      </c>
      <c r="L1921">
        <v>95000</v>
      </c>
      <c r="M1921" t="s">
        <v>69</v>
      </c>
      <c r="N1921">
        <v>440</v>
      </c>
      <c r="O1921" s="2">
        <v>46196</v>
      </c>
      <c r="P1921" s="2">
        <v>46329</v>
      </c>
      <c r="R1921" t="s">
        <v>5325</v>
      </c>
      <c r="S1921" t="str">
        <f>""</f>
        <v/>
      </c>
      <c r="T1921" t="s">
        <v>41</v>
      </c>
      <c r="U1921">
        <v>394.94</v>
      </c>
      <c r="V1921">
        <v>394.94</v>
      </c>
      <c r="W1921">
        <v>394.94</v>
      </c>
      <c r="X1921">
        <v>0</v>
      </c>
      <c r="Y1921">
        <v>0</v>
      </c>
      <c r="Z1921">
        <v>-554</v>
      </c>
      <c r="AA1921">
        <v>876</v>
      </c>
      <c r="AD1921" t="s">
        <v>5313</v>
      </c>
      <c r="AE1921">
        <v>1138860533</v>
      </c>
      <c r="AF1921" t="s">
        <v>5313</v>
      </c>
      <c r="AG1921">
        <v>47508411251906</v>
      </c>
      <c r="AH1921" t="s">
        <v>3698</v>
      </c>
    </row>
    <row r="1922" spans="1:34" x14ac:dyDescent="0.3">
      <c r="A1922">
        <v>101</v>
      </c>
      <c r="B1922" t="s">
        <v>34</v>
      </c>
      <c r="C1922">
        <v>2</v>
      </c>
      <c r="D1922" s="1" t="s">
        <v>5326</v>
      </c>
      <c r="E1922" s="1" t="s">
        <v>36</v>
      </c>
      <c r="G1922">
        <v>452873</v>
      </c>
      <c r="H1922" t="s">
        <v>5311</v>
      </c>
      <c r="I1922" t="s">
        <v>5224</v>
      </c>
      <c r="J1922">
        <v>23</v>
      </c>
      <c r="K1922">
        <v>442362</v>
      </c>
      <c r="L1922">
        <v>95000</v>
      </c>
      <c r="M1922" t="s">
        <v>69</v>
      </c>
      <c r="N1922">
        <v>440</v>
      </c>
      <c r="O1922" s="2">
        <v>46155</v>
      </c>
      <c r="P1922" s="2">
        <v>46266</v>
      </c>
      <c r="R1922" t="s">
        <v>5327</v>
      </c>
      <c r="S1922" t="str">
        <f>""</f>
        <v/>
      </c>
      <c r="T1922" t="s">
        <v>41</v>
      </c>
      <c r="U1922">
        <v>1727.78</v>
      </c>
      <c r="V1922">
        <v>1727.78</v>
      </c>
      <c r="W1922">
        <v>1727.78</v>
      </c>
      <c r="X1922">
        <v>0</v>
      </c>
      <c r="Y1922">
        <v>0</v>
      </c>
      <c r="Z1922">
        <v>-491</v>
      </c>
      <c r="AA1922">
        <v>508</v>
      </c>
      <c r="AD1922" t="s">
        <v>5313</v>
      </c>
      <c r="AE1922">
        <v>1138860533</v>
      </c>
      <c r="AF1922" t="s">
        <v>5313</v>
      </c>
      <c r="AG1922">
        <v>47508411251906</v>
      </c>
      <c r="AH1922" t="s">
        <v>3698</v>
      </c>
    </row>
    <row r="1923" spans="1:34" x14ac:dyDescent="0.3">
      <c r="A1923">
        <v>101</v>
      </c>
      <c r="B1923" t="s">
        <v>34</v>
      </c>
      <c r="C1923">
        <v>2</v>
      </c>
      <c r="D1923" s="1" t="s">
        <v>5328</v>
      </c>
      <c r="E1923" s="1" t="s">
        <v>36</v>
      </c>
      <c r="G1923">
        <v>452873</v>
      </c>
      <c r="H1923" t="s">
        <v>5311</v>
      </c>
      <c r="I1923" t="s">
        <v>5224</v>
      </c>
      <c r="J1923">
        <v>23</v>
      </c>
      <c r="K1923">
        <v>442362</v>
      </c>
      <c r="L1923">
        <v>95000</v>
      </c>
      <c r="M1923" t="s">
        <v>69</v>
      </c>
      <c r="N1923">
        <v>440</v>
      </c>
      <c r="O1923" s="2">
        <v>46196</v>
      </c>
      <c r="P1923" s="2">
        <v>46329</v>
      </c>
      <c r="R1923" t="s">
        <v>5329</v>
      </c>
      <c r="S1923" t="str">
        <f>""</f>
        <v/>
      </c>
      <c r="T1923" t="s">
        <v>41</v>
      </c>
      <c r="U1923">
        <v>1727.78</v>
      </c>
      <c r="V1923">
        <v>1727.78</v>
      </c>
      <c r="W1923">
        <v>1727.78</v>
      </c>
      <c r="X1923">
        <v>0</v>
      </c>
      <c r="Y1923">
        <v>0</v>
      </c>
      <c r="Z1923">
        <v>-554</v>
      </c>
      <c r="AA1923">
        <v>879</v>
      </c>
      <c r="AD1923" t="s">
        <v>5313</v>
      </c>
      <c r="AE1923">
        <v>1138860533</v>
      </c>
      <c r="AF1923" t="s">
        <v>5313</v>
      </c>
      <c r="AG1923">
        <v>47508411251906</v>
      </c>
      <c r="AH1923" t="s">
        <v>3698</v>
      </c>
    </row>
    <row r="1924" spans="1:34" x14ac:dyDescent="0.3">
      <c r="A1924">
        <v>101</v>
      </c>
      <c r="B1924" t="s">
        <v>34</v>
      </c>
      <c r="C1924">
        <v>2</v>
      </c>
      <c r="D1924" s="1" t="s">
        <v>5330</v>
      </c>
      <c r="E1924" s="1" t="s">
        <v>36</v>
      </c>
      <c r="G1924">
        <v>452873</v>
      </c>
      <c r="H1924" t="s">
        <v>5311</v>
      </c>
      <c r="I1924" t="s">
        <v>5224</v>
      </c>
      <c r="J1924">
        <v>23</v>
      </c>
      <c r="K1924">
        <v>442362</v>
      </c>
      <c r="L1924">
        <v>95000</v>
      </c>
      <c r="M1924" t="s">
        <v>69</v>
      </c>
      <c r="N1924">
        <v>440</v>
      </c>
      <c r="O1924" s="2">
        <v>46155</v>
      </c>
      <c r="P1924" s="2">
        <v>46266</v>
      </c>
      <c r="R1924" t="s">
        <v>5331</v>
      </c>
      <c r="S1924" t="str">
        <f>""</f>
        <v/>
      </c>
      <c r="T1924" t="s">
        <v>41</v>
      </c>
      <c r="U1924">
        <v>3993.52</v>
      </c>
      <c r="V1924">
        <v>3993.52</v>
      </c>
      <c r="W1924">
        <v>3993.52</v>
      </c>
      <c r="X1924">
        <v>0</v>
      </c>
      <c r="Y1924">
        <v>0</v>
      </c>
      <c r="Z1924">
        <v>-491</v>
      </c>
      <c r="AA1924">
        <v>509</v>
      </c>
      <c r="AD1924" t="s">
        <v>5313</v>
      </c>
      <c r="AE1924">
        <v>1138860533</v>
      </c>
      <c r="AF1924" t="s">
        <v>5313</v>
      </c>
      <c r="AG1924">
        <v>47508411251906</v>
      </c>
      <c r="AH1924" t="s">
        <v>3698</v>
      </c>
    </row>
    <row r="1925" spans="1:34" x14ac:dyDescent="0.3">
      <c r="A1925">
        <v>101</v>
      </c>
      <c r="B1925" t="s">
        <v>34</v>
      </c>
      <c r="C1925">
        <v>2</v>
      </c>
      <c r="D1925" s="1" t="s">
        <v>5332</v>
      </c>
      <c r="E1925" s="1" t="s">
        <v>36</v>
      </c>
      <c r="G1925">
        <v>452873</v>
      </c>
      <c r="H1925" t="s">
        <v>5311</v>
      </c>
      <c r="I1925" t="s">
        <v>5224</v>
      </c>
      <c r="J1925">
        <v>23</v>
      </c>
      <c r="K1925">
        <v>442362</v>
      </c>
      <c r="L1925">
        <v>95000</v>
      </c>
      <c r="M1925" t="s">
        <v>69</v>
      </c>
      <c r="N1925">
        <v>440</v>
      </c>
      <c r="O1925" s="2">
        <v>46190</v>
      </c>
      <c r="P1925" s="2">
        <v>46296</v>
      </c>
      <c r="R1925" t="s">
        <v>5333</v>
      </c>
      <c r="S1925" t="str">
        <f>""</f>
        <v/>
      </c>
      <c r="T1925" t="s">
        <v>41</v>
      </c>
      <c r="U1925">
        <v>282.10000000000002</v>
      </c>
      <c r="V1925">
        <v>282.10000000000002</v>
      </c>
      <c r="W1925">
        <v>282.10000000000002</v>
      </c>
      <c r="X1925">
        <v>0</v>
      </c>
      <c r="Y1925">
        <v>0</v>
      </c>
      <c r="Z1925">
        <v>-521</v>
      </c>
      <c r="AA1925">
        <v>776</v>
      </c>
      <c r="AD1925" t="s">
        <v>5313</v>
      </c>
      <c r="AE1925">
        <v>1138860533</v>
      </c>
      <c r="AF1925" t="s">
        <v>5313</v>
      </c>
      <c r="AG1925">
        <v>47508411251906</v>
      </c>
      <c r="AH1925" t="s">
        <v>3698</v>
      </c>
    </row>
    <row r="1926" spans="1:34" x14ac:dyDescent="0.3">
      <c r="A1926">
        <v>101</v>
      </c>
      <c r="B1926" t="s">
        <v>34</v>
      </c>
      <c r="C1926">
        <v>2</v>
      </c>
      <c r="D1926" s="1" t="s">
        <v>5334</v>
      </c>
      <c r="E1926" s="1" t="s">
        <v>36</v>
      </c>
      <c r="G1926">
        <v>452873</v>
      </c>
      <c r="H1926" t="s">
        <v>5311</v>
      </c>
      <c r="I1926" t="s">
        <v>5224</v>
      </c>
      <c r="J1926">
        <v>23</v>
      </c>
      <c r="K1926">
        <v>442362</v>
      </c>
      <c r="L1926">
        <v>95000</v>
      </c>
      <c r="M1926" t="s">
        <v>69</v>
      </c>
      <c r="N1926">
        <v>440</v>
      </c>
      <c r="O1926" s="2">
        <v>46155</v>
      </c>
      <c r="P1926" s="2">
        <v>46266</v>
      </c>
      <c r="R1926" t="s">
        <v>5335</v>
      </c>
      <c r="S1926" t="str">
        <f>""</f>
        <v/>
      </c>
      <c r="T1926" t="s">
        <v>41</v>
      </c>
      <c r="U1926">
        <v>112.84</v>
      </c>
      <c r="V1926">
        <v>112.84</v>
      </c>
      <c r="W1926">
        <v>112.84</v>
      </c>
      <c r="X1926">
        <v>0</v>
      </c>
      <c r="Y1926">
        <v>0</v>
      </c>
      <c r="Z1926">
        <v>-491</v>
      </c>
      <c r="AA1926">
        <v>503</v>
      </c>
      <c r="AD1926" t="s">
        <v>5313</v>
      </c>
      <c r="AE1926">
        <v>1138860533</v>
      </c>
      <c r="AF1926" t="s">
        <v>5313</v>
      </c>
      <c r="AG1926">
        <v>47508411251906</v>
      </c>
      <c r="AH1926" t="s">
        <v>3698</v>
      </c>
    </row>
    <row r="1927" spans="1:34" x14ac:dyDescent="0.3">
      <c r="A1927">
        <v>101</v>
      </c>
      <c r="B1927" t="s">
        <v>34</v>
      </c>
      <c r="C1927">
        <v>2</v>
      </c>
      <c r="D1927" s="1" t="s">
        <v>5336</v>
      </c>
      <c r="E1927" s="1" t="s">
        <v>36</v>
      </c>
      <c r="G1927">
        <v>452873</v>
      </c>
      <c r="H1927" t="s">
        <v>5311</v>
      </c>
      <c r="I1927" t="s">
        <v>5224</v>
      </c>
      <c r="J1927">
        <v>23</v>
      </c>
      <c r="K1927">
        <v>442362</v>
      </c>
      <c r="L1927">
        <v>95000</v>
      </c>
      <c r="M1927" t="s">
        <v>69</v>
      </c>
      <c r="N1927">
        <v>440</v>
      </c>
      <c r="O1927" s="2">
        <v>46189</v>
      </c>
      <c r="P1927" s="2">
        <v>46296</v>
      </c>
      <c r="R1927" t="s">
        <v>5337</v>
      </c>
      <c r="S1927" t="str">
        <f>""</f>
        <v/>
      </c>
      <c r="T1927" t="s">
        <v>41</v>
      </c>
      <c r="U1927">
        <v>5448.13</v>
      </c>
      <c r="V1927">
        <v>5448.13</v>
      </c>
      <c r="W1927">
        <v>5448.13</v>
      </c>
      <c r="X1927">
        <v>0</v>
      </c>
      <c r="Y1927">
        <v>0</v>
      </c>
      <c r="Z1927">
        <v>-521</v>
      </c>
      <c r="AA1927">
        <v>758</v>
      </c>
      <c r="AD1927" t="s">
        <v>5313</v>
      </c>
      <c r="AE1927">
        <v>1138860533</v>
      </c>
      <c r="AF1927" t="s">
        <v>5313</v>
      </c>
      <c r="AG1927">
        <v>47508411251906</v>
      </c>
      <c r="AH1927" t="s">
        <v>3698</v>
      </c>
    </row>
    <row r="1928" spans="1:34" x14ac:dyDescent="0.3">
      <c r="A1928">
        <v>101</v>
      </c>
      <c r="B1928" t="s">
        <v>34</v>
      </c>
      <c r="C1928">
        <v>2</v>
      </c>
      <c r="D1928" s="1" t="s">
        <v>5338</v>
      </c>
      <c r="E1928" s="1" t="s">
        <v>36</v>
      </c>
      <c r="G1928">
        <v>452873</v>
      </c>
      <c r="H1928" t="s">
        <v>5311</v>
      </c>
      <c r="I1928" t="s">
        <v>5224</v>
      </c>
      <c r="J1928">
        <v>23</v>
      </c>
      <c r="K1928">
        <v>442362</v>
      </c>
      <c r="L1928">
        <v>95000</v>
      </c>
      <c r="M1928" t="s">
        <v>69</v>
      </c>
      <c r="N1928">
        <v>440</v>
      </c>
      <c r="O1928" s="2">
        <v>46168</v>
      </c>
      <c r="P1928" s="2">
        <v>46266</v>
      </c>
      <c r="R1928" t="s">
        <v>5339</v>
      </c>
      <c r="S1928" t="str">
        <f>""</f>
        <v/>
      </c>
      <c r="T1928" t="s">
        <v>41</v>
      </c>
      <c r="U1928">
        <v>3601.09</v>
      </c>
      <c r="V1928">
        <v>3601.09</v>
      </c>
      <c r="W1928">
        <v>3601.09</v>
      </c>
      <c r="X1928">
        <v>0</v>
      </c>
      <c r="Y1928">
        <v>0</v>
      </c>
      <c r="Z1928">
        <v>-491</v>
      </c>
      <c r="AA1928">
        <v>675</v>
      </c>
      <c r="AD1928" t="s">
        <v>5313</v>
      </c>
      <c r="AE1928">
        <v>1138860533</v>
      </c>
      <c r="AF1928" t="s">
        <v>5313</v>
      </c>
      <c r="AG1928">
        <v>47508411251906</v>
      </c>
      <c r="AH1928" t="s">
        <v>3698</v>
      </c>
    </row>
    <row r="1929" spans="1:34" x14ac:dyDescent="0.3">
      <c r="A1929">
        <v>101</v>
      </c>
      <c r="B1929" t="s">
        <v>34</v>
      </c>
      <c r="C1929">
        <v>2</v>
      </c>
      <c r="D1929" s="1" t="s">
        <v>5340</v>
      </c>
      <c r="E1929" s="1" t="s">
        <v>36</v>
      </c>
      <c r="G1929">
        <v>452873</v>
      </c>
      <c r="H1929" t="s">
        <v>5311</v>
      </c>
      <c r="I1929" t="s">
        <v>5224</v>
      </c>
      <c r="J1929">
        <v>23</v>
      </c>
      <c r="K1929">
        <v>442362</v>
      </c>
      <c r="L1929">
        <v>95000</v>
      </c>
      <c r="M1929" t="s">
        <v>69</v>
      </c>
      <c r="N1929">
        <v>440</v>
      </c>
      <c r="O1929" s="2">
        <v>46190</v>
      </c>
      <c r="P1929" s="2">
        <v>46296</v>
      </c>
      <c r="R1929" t="s">
        <v>5341</v>
      </c>
      <c r="S1929" t="str">
        <f>""</f>
        <v/>
      </c>
      <c r="T1929" t="s">
        <v>41</v>
      </c>
      <c r="U1929">
        <v>250.3</v>
      </c>
      <c r="V1929">
        <v>250.3</v>
      </c>
      <c r="W1929">
        <v>250.3</v>
      </c>
      <c r="X1929">
        <v>0</v>
      </c>
      <c r="Y1929">
        <v>0</v>
      </c>
      <c r="Z1929">
        <v>-521</v>
      </c>
      <c r="AA1929">
        <v>777</v>
      </c>
      <c r="AD1929" t="s">
        <v>5313</v>
      </c>
      <c r="AE1929">
        <v>1138860533</v>
      </c>
      <c r="AF1929" t="s">
        <v>5313</v>
      </c>
      <c r="AG1929">
        <v>47508411251906</v>
      </c>
      <c r="AH1929" t="s">
        <v>3698</v>
      </c>
    </row>
    <row r="1930" spans="1:34" x14ac:dyDescent="0.3">
      <c r="A1930">
        <v>101</v>
      </c>
      <c r="B1930" t="s">
        <v>34</v>
      </c>
      <c r="C1930">
        <v>2</v>
      </c>
      <c r="D1930" s="1" t="s">
        <v>5342</v>
      </c>
      <c r="E1930" s="1" t="s">
        <v>36</v>
      </c>
      <c r="G1930">
        <v>452873</v>
      </c>
      <c r="H1930" t="s">
        <v>5311</v>
      </c>
      <c r="I1930" t="s">
        <v>5224</v>
      </c>
      <c r="J1930">
        <v>23</v>
      </c>
      <c r="K1930">
        <v>442362</v>
      </c>
      <c r="L1930">
        <v>95000</v>
      </c>
      <c r="M1930" t="s">
        <v>69</v>
      </c>
      <c r="N1930">
        <v>440</v>
      </c>
      <c r="O1930" s="2">
        <v>46168</v>
      </c>
      <c r="P1930" s="2">
        <v>46266</v>
      </c>
      <c r="R1930" t="s">
        <v>5343</v>
      </c>
      <c r="S1930" t="str">
        <f>""</f>
        <v/>
      </c>
      <c r="T1930" t="s">
        <v>41</v>
      </c>
      <c r="U1930">
        <v>375.44</v>
      </c>
      <c r="V1930">
        <v>375.44</v>
      </c>
      <c r="W1930">
        <v>375.44</v>
      </c>
      <c r="X1930">
        <v>0</v>
      </c>
      <c r="Y1930">
        <v>0</v>
      </c>
      <c r="Z1930">
        <v>-491</v>
      </c>
      <c r="AA1930">
        <v>674</v>
      </c>
      <c r="AD1930" t="s">
        <v>5313</v>
      </c>
      <c r="AE1930">
        <v>1138860533</v>
      </c>
      <c r="AF1930" t="s">
        <v>5313</v>
      </c>
      <c r="AG1930">
        <v>47508411251906</v>
      </c>
      <c r="AH1930" t="s">
        <v>3698</v>
      </c>
    </row>
    <row r="1931" spans="1:34" x14ac:dyDescent="0.3">
      <c r="A1931">
        <v>101</v>
      </c>
      <c r="B1931" t="s">
        <v>34</v>
      </c>
      <c r="C1931">
        <v>2</v>
      </c>
      <c r="D1931" s="1" t="s">
        <v>5344</v>
      </c>
      <c r="E1931" s="1" t="s">
        <v>36</v>
      </c>
      <c r="G1931">
        <v>452873</v>
      </c>
      <c r="H1931" t="s">
        <v>5311</v>
      </c>
      <c r="I1931" t="s">
        <v>5224</v>
      </c>
      <c r="J1931">
        <v>23</v>
      </c>
      <c r="K1931">
        <v>442362</v>
      </c>
      <c r="L1931">
        <v>95000</v>
      </c>
      <c r="M1931" t="s">
        <v>69</v>
      </c>
      <c r="N1931">
        <v>440</v>
      </c>
      <c r="O1931" s="2">
        <v>46196</v>
      </c>
      <c r="P1931" s="2">
        <v>46329</v>
      </c>
      <c r="R1931" t="s">
        <v>5345</v>
      </c>
      <c r="S1931" t="str">
        <f>""</f>
        <v/>
      </c>
      <c r="T1931" t="s">
        <v>41</v>
      </c>
      <c r="U1931">
        <v>4078.53</v>
      </c>
      <c r="V1931">
        <v>4078.53</v>
      </c>
      <c r="W1931">
        <v>4078.53</v>
      </c>
      <c r="X1931">
        <v>0</v>
      </c>
      <c r="Y1931">
        <v>0</v>
      </c>
      <c r="Z1931">
        <v>-554</v>
      </c>
      <c r="AA1931">
        <v>877</v>
      </c>
      <c r="AD1931" t="s">
        <v>5313</v>
      </c>
      <c r="AE1931">
        <v>1138860533</v>
      </c>
      <c r="AF1931" t="s">
        <v>5313</v>
      </c>
      <c r="AG1931">
        <v>47508411251906</v>
      </c>
      <c r="AH1931" t="s">
        <v>3698</v>
      </c>
    </row>
    <row r="1932" spans="1:34" x14ac:dyDescent="0.3">
      <c r="A1932">
        <v>101</v>
      </c>
      <c r="B1932" t="s">
        <v>34</v>
      </c>
      <c r="C1932">
        <v>2</v>
      </c>
      <c r="D1932" s="1" t="s">
        <v>5346</v>
      </c>
      <c r="E1932" s="1" t="s">
        <v>36</v>
      </c>
      <c r="G1932">
        <v>452873</v>
      </c>
      <c r="H1932" t="s">
        <v>5311</v>
      </c>
      <c r="I1932" t="s">
        <v>5224</v>
      </c>
      <c r="J1932">
        <v>23</v>
      </c>
      <c r="K1932">
        <v>442362</v>
      </c>
      <c r="L1932">
        <v>95000</v>
      </c>
      <c r="M1932" t="s">
        <v>69</v>
      </c>
      <c r="N1932">
        <v>440</v>
      </c>
      <c r="O1932" s="2">
        <v>46168</v>
      </c>
      <c r="P1932" s="2">
        <v>46266</v>
      </c>
      <c r="R1932" t="s">
        <v>5347</v>
      </c>
      <c r="S1932" t="str">
        <f>""</f>
        <v/>
      </c>
      <c r="T1932" t="s">
        <v>41</v>
      </c>
      <c r="U1932">
        <v>1071.98</v>
      </c>
      <c r="V1932">
        <v>1071.98</v>
      </c>
      <c r="W1932">
        <v>1071.98</v>
      </c>
      <c r="X1932">
        <v>0</v>
      </c>
      <c r="Y1932">
        <v>0</v>
      </c>
      <c r="Z1932">
        <v>-491</v>
      </c>
      <c r="AA1932">
        <v>672</v>
      </c>
      <c r="AD1932" t="s">
        <v>5313</v>
      </c>
      <c r="AE1932">
        <v>1138860533</v>
      </c>
      <c r="AF1932" t="s">
        <v>5313</v>
      </c>
      <c r="AG1932">
        <v>47508411251906</v>
      </c>
      <c r="AH1932" t="s">
        <v>3698</v>
      </c>
    </row>
    <row r="1933" spans="1:34" x14ac:dyDescent="0.3">
      <c r="A1933">
        <v>101</v>
      </c>
      <c r="B1933" t="s">
        <v>34</v>
      </c>
      <c r="C1933">
        <v>2</v>
      </c>
      <c r="D1933" s="1" t="s">
        <v>5348</v>
      </c>
      <c r="E1933" s="1" t="s">
        <v>36</v>
      </c>
      <c r="G1933">
        <v>452873</v>
      </c>
      <c r="H1933" t="s">
        <v>5311</v>
      </c>
      <c r="I1933" t="s">
        <v>5224</v>
      </c>
      <c r="J1933">
        <v>23</v>
      </c>
      <c r="K1933">
        <v>442362</v>
      </c>
      <c r="L1933">
        <v>95000</v>
      </c>
      <c r="M1933" t="s">
        <v>69</v>
      </c>
      <c r="N1933">
        <v>440</v>
      </c>
      <c r="O1933" s="2">
        <v>46190</v>
      </c>
      <c r="P1933" s="2">
        <v>46296</v>
      </c>
      <c r="R1933" t="s">
        <v>5349</v>
      </c>
      <c r="S1933" t="str">
        <f>""</f>
        <v/>
      </c>
      <c r="T1933" t="s">
        <v>41</v>
      </c>
      <c r="U1933">
        <v>6493.41</v>
      </c>
      <c r="V1933">
        <v>6493.41</v>
      </c>
      <c r="W1933">
        <v>6493.41</v>
      </c>
      <c r="X1933">
        <v>0</v>
      </c>
      <c r="Y1933">
        <v>0</v>
      </c>
      <c r="Z1933">
        <v>-521</v>
      </c>
      <c r="AA1933">
        <v>778</v>
      </c>
      <c r="AD1933" t="s">
        <v>5313</v>
      </c>
      <c r="AE1933">
        <v>1138860533</v>
      </c>
      <c r="AF1933" t="s">
        <v>5313</v>
      </c>
      <c r="AG1933">
        <v>47508411251906</v>
      </c>
      <c r="AH1933" t="s">
        <v>3698</v>
      </c>
    </row>
    <row r="1934" spans="1:34" x14ac:dyDescent="0.3">
      <c r="A1934">
        <v>101</v>
      </c>
      <c r="B1934" t="s">
        <v>34</v>
      </c>
      <c r="C1934">
        <v>2</v>
      </c>
      <c r="D1934" s="1" t="s">
        <v>5350</v>
      </c>
      <c r="E1934" s="1" t="s">
        <v>36</v>
      </c>
      <c r="G1934">
        <v>452873</v>
      </c>
      <c r="H1934" t="s">
        <v>5311</v>
      </c>
      <c r="I1934" t="s">
        <v>5224</v>
      </c>
      <c r="J1934">
        <v>23</v>
      </c>
      <c r="K1934">
        <v>442362</v>
      </c>
      <c r="L1934">
        <v>95000</v>
      </c>
      <c r="M1934" t="s">
        <v>69</v>
      </c>
      <c r="N1934">
        <v>440</v>
      </c>
      <c r="O1934" s="2">
        <v>46168</v>
      </c>
      <c r="P1934" s="2">
        <v>46266</v>
      </c>
      <c r="R1934" t="s">
        <v>5351</v>
      </c>
      <c r="S1934" t="str">
        <f>""</f>
        <v/>
      </c>
      <c r="T1934" t="s">
        <v>41</v>
      </c>
      <c r="U1934">
        <v>225.68</v>
      </c>
      <c r="V1934">
        <v>225.68</v>
      </c>
      <c r="W1934">
        <v>225.68</v>
      </c>
      <c r="X1934">
        <v>0</v>
      </c>
      <c r="Y1934">
        <v>0</v>
      </c>
      <c r="Z1934">
        <v>-491</v>
      </c>
      <c r="AA1934">
        <v>671</v>
      </c>
      <c r="AD1934" t="s">
        <v>5313</v>
      </c>
      <c r="AE1934">
        <v>1138860533</v>
      </c>
      <c r="AF1934" t="s">
        <v>5313</v>
      </c>
      <c r="AG1934">
        <v>47508411251906</v>
      </c>
      <c r="AH1934" t="s">
        <v>3698</v>
      </c>
    </row>
    <row r="1935" spans="1:34" x14ac:dyDescent="0.3">
      <c r="A1935">
        <v>101</v>
      </c>
      <c r="B1935" t="s">
        <v>34</v>
      </c>
      <c r="C1935">
        <v>2</v>
      </c>
      <c r="D1935" s="1" t="s">
        <v>5352</v>
      </c>
      <c r="E1935" s="1" t="s">
        <v>36</v>
      </c>
      <c r="G1935">
        <v>452873</v>
      </c>
      <c r="H1935" t="s">
        <v>5311</v>
      </c>
      <c r="I1935" t="s">
        <v>5224</v>
      </c>
      <c r="J1935">
        <v>23</v>
      </c>
      <c r="K1935">
        <v>442362</v>
      </c>
      <c r="L1935">
        <v>95000</v>
      </c>
      <c r="M1935" t="s">
        <v>69</v>
      </c>
      <c r="N1935">
        <v>440</v>
      </c>
      <c r="O1935" s="2">
        <v>46216</v>
      </c>
      <c r="P1935" s="2">
        <v>46329</v>
      </c>
      <c r="R1935" t="s">
        <v>5353</v>
      </c>
      <c r="S1935" t="str">
        <f>""</f>
        <v/>
      </c>
      <c r="T1935" t="s">
        <v>41</v>
      </c>
      <c r="U1935">
        <v>7070.82</v>
      </c>
      <c r="V1935">
        <v>7070.82</v>
      </c>
      <c r="W1935">
        <v>7070.82</v>
      </c>
      <c r="X1935">
        <v>0</v>
      </c>
      <c r="Y1935">
        <v>0</v>
      </c>
      <c r="Z1935">
        <v>-554</v>
      </c>
      <c r="AA1935">
        <v>1103</v>
      </c>
      <c r="AD1935" t="s">
        <v>5313</v>
      </c>
      <c r="AE1935">
        <v>1138860533</v>
      </c>
      <c r="AF1935" t="s">
        <v>5313</v>
      </c>
      <c r="AG1935">
        <v>47508411251906</v>
      </c>
      <c r="AH1935" t="s">
        <v>3698</v>
      </c>
    </row>
    <row r="1936" spans="1:34" x14ac:dyDescent="0.3">
      <c r="A1936">
        <v>101</v>
      </c>
      <c r="B1936" t="s">
        <v>34</v>
      </c>
      <c r="C1936">
        <v>2</v>
      </c>
      <c r="D1936" s="1" t="s">
        <v>5354</v>
      </c>
      <c r="E1936" s="1" t="s">
        <v>36</v>
      </c>
      <c r="G1936">
        <v>452873</v>
      </c>
      <c r="H1936" t="s">
        <v>5311</v>
      </c>
      <c r="I1936" t="s">
        <v>5224</v>
      </c>
      <c r="J1936">
        <v>23</v>
      </c>
      <c r="K1936">
        <v>442362</v>
      </c>
      <c r="L1936">
        <v>95000</v>
      </c>
      <c r="M1936" t="s">
        <v>69</v>
      </c>
      <c r="N1936">
        <v>440</v>
      </c>
      <c r="O1936" s="2">
        <v>46149</v>
      </c>
      <c r="P1936" s="2">
        <v>46266</v>
      </c>
      <c r="R1936" t="s">
        <v>5355</v>
      </c>
      <c r="S1936" t="str">
        <f>""</f>
        <v/>
      </c>
      <c r="T1936" t="s">
        <v>41</v>
      </c>
      <c r="U1936">
        <v>4114.87</v>
      </c>
      <c r="V1936">
        <v>4114.87</v>
      </c>
      <c r="W1936">
        <v>4114.87</v>
      </c>
      <c r="X1936">
        <v>0</v>
      </c>
      <c r="Y1936">
        <v>0</v>
      </c>
      <c r="Z1936">
        <v>-491</v>
      </c>
      <c r="AA1936">
        <v>472</v>
      </c>
      <c r="AD1936" t="s">
        <v>5313</v>
      </c>
      <c r="AE1936">
        <v>1138860533</v>
      </c>
      <c r="AF1936" t="s">
        <v>5313</v>
      </c>
      <c r="AG1936">
        <v>47508411251906</v>
      </c>
      <c r="AH1936" t="s">
        <v>3698</v>
      </c>
    </row>
    <row r="1937" spans="1:34" x14ac:dyDescent="0.3">
      <c r="A1937">
        <v>101</v>
      </c>
      <c r="B1937" t="s">
        <v>34</v>
      </c>
      <c r="C1937">
        <v>2</v>
      </c>
      <c r="D1937" s="1" t="s">
        <v>5356</v>
      </c>
      <c r="E1937" s="1" t="s">
        <v>36</v>
      </c>
      <c r="G1937">
        <v>452873</v>
      </c>
      <c r="H1937" t="s">
        <v>5311</v>
      </c>
      <c r="I1937" t="s">
        <v>5224</v>
      </c>
      <c r="J1937">
        <v>23</v>
      </c>
      <c r="K1937">
        <v>442362</v>
      </c>
      <c r="L1937">
        <v>95000</v>
      </c>
      <c r="M1937" t="s">
        <v>69</v>
      </c>
      <c r="N1937">
        <v>440</v>
      </c>
      <c r="O1937" s="2">
        <v>46216</v>
      </c>
      <c r="P1937" s="2">
        <v>46329</v>
      </c>
      <c r="R1937" t="s">
        <v>5357</v>
      </c>
      <c r="S1937" t="str">
        <f>""</f>
        <v/>
      </c>
      <c r="T1937" t="s">
        <v>41</v>
      </c>
      <c r="U1937">
        <v>375.44</v>
      </c>
      <c r="V1937">
        <v>375.44</v>
      </c>
      <c r="W1937">
        <v>375.44</v>
      </c>
      <c r="X1937">
        <v>0</v>
      </c>
      <c r="Y1937">
        <v>0</v>
      </c>
      <c r="Z1937">
        <v>-554</v>
      </c>
      <c r="AA1937">
        <v>1100</v>
      </c>
      <c r="AD1937" t="s">
        <v>5313</v>
      </c>
      <c r="AE1937">
        <v>1138860533</v>
      </c>
      <c r="AF1937" t="s">
        <v>5313</v>
      </c>
      <c r="AG1937">
        <v>47508411251906</v>
      </c>
      <c r="AH1937" t="s">
        <v>3698</v>
      </c>
    </row>
    <row r="1938" spans="1:34" x14ac:dyDescent="0.3">
      <c r="A1938">
        <v>101</v>
      </c>
      <c r="B1938" t="s">
        <v>34</v>
      </c>
      <c r="C1938">
        <v>2</v>
      </c>
      <c r="D1938" s="1" t="s">
        <v>5358</v>
      </c>
      <c r="E1938" s="1" t="s">
        <v>36</v>
      </c>
      <c r="G1938">
        <v>452873</v>
      </c>
      <c r="H1938" t="s">
        <v>5311</v>
      </c>
      <c r="I1938" t="s">
        <v>5224</v>
      </c>
      <c r="J1938">
        <v>23</v>
      </c>
      <c r="K1938">
        <v>442362</v>
      </c>
      <c r="L1938">
        <v>95000</v>
      </c>
      <c r="M1938" t="s">
        <v>69</v>
      </c>
      <c r="N1938">
        <v>440</v>
      </c>
      <c r="O1938" s="2">
        <v>46149</v>
      </c>
      <c r="P1938" s="2">
        <v>46266</v>
      </c>
      <c r="R1938" t="s">
        <v>5359</v>
      </c>
      <c r="S1938" t="str">
        <f>""</f>
        <v/>
      </c>
      <c r="T1938" t="s">
        <v>41</v>
      </c>
      <c r="U1938">
        <v>112.84</v>
      </c>
      <c r="V1938">
        <v>112.84</v>
      </c>
      <c r="W1938">
        <v>112.84</v>
      </c>
      <c r="X1938">
        <v>0</v>
      </c>
      <c r="Y1938">
        <v>0</v>
      </c>
      <c r="Z1938">
        <v>-491</v>
      </c>
      <c r="AA1938">
        <v>467</v>
      </c>
      <c r="AD1938" t="s">
        <v>5313</v>
      </c>
      <c r="AE1938">
        <v>1138860533</v>
      </c>
      <c r="AF1938" t="s">
        <v>5313</v>
      </c>
      <c r="AG1938">
        <v>47508411251906</v>
      </c>
      <c r="AH1938" t="s">
        <v>3698</v>
      </c>
    </row>
    <row r="1939" spans="1:34" x14ac:dyDescent="0.3">
      <c r="A1939">
        <v>101</v>
      </c>
      <c r="B1939" t="s">
        <v>34</v>
      </c>
      <c r="C1939">
        <v>2</v>
      </c>
      <c r="D1939" s="1" t="s">
        <v>5360</v>
      </c>
      <c r="E1939" s="1" t="s">
        <v>36</v>
      </c>
      <c r="G1939">
        <v>452873</v>
      </c>
      <c r="H1939" t="s">
        <v>5311</v>
      </c>
      <c r="I1939" t="s">
        <v>5224</v>
      </c>
      <c r="J1939">
        <v>23</v>
      </c>
      <c r="K1939">
        <v>442362</v>
      </c>
      <c r="L1939">
        <v>95000</v>
      </c>
      <c r="M1939" t="s">
        <v>69</v>
      </c>
      <c r="N1939">
        <v>440</v>
      </c>
      <c r="O1939" s="2">
        <v>46216</v>
      </c>
      <c r="P1939" s="2">
        <v>46329</v>
      </c>
      <c r="R1939" t="s">
        <v>5361</v>
      </c>
      <c r="S1939" t="str">
        <f>""</f>
        <v/>
      </c>
      <c r="T1939" t="s">
        <v>41</v>
      </c>
      <c r="U1939">
        <v>394.94</v>
      </c>
      <c r="V1939">
        <v>394.94</v>
      </c>
      <c r="W1939">
        <v>394.94</v>
      </c>
      <c r="X1939">
        <v>0</v>
      </c>
      <c r="Y1939">
        <v>0</v>
      </c>
      <c r="Z1939">
        <v>-554</v>
      </c>
      <c r="AA1939">
        <v>1097</v>
      </c>
      <c r="AD1939" t="s">
        <v>5313</v>
      </c>
      <c r="AE1939">
        <v>1138860533</v>
      </c>
      <c r="AF1939" t="s">
        <v>5313</v>
      </c>
      <c r="AG1939">
        <v>47508411251906</v>
      </c>
      <c r="AH1939" t="s">
        <v>3698</v>
      </c>
    </row>
    <row r="1940" spans="1:34" x14ac:dyDescent="0.3">
      <c r="A1940">
        <v>101</v>
      </c>
      <c r="B1940" t="s">
        <v>34</v>
      </c>
      <c r="C1940">
        <v>2</v>
      </c>
      <c r="D1940" s="1" t="s">
        <v>5362</v>
      </c>
      <c r="E1940" s="1" t="s">
        <v>36</v>
      </c>
      <c r="G1940">
        <v>452873</v>
      </c>
      <c r="H1940" t="s">
        <v>5311</v>
      </c>
      <c r="I1940" t="s">
        <v>5224</v>
      </c>
      <c r="J1940">
        <v>23</v>
      </c>
      <c r="K1940">
        <v>442362</v>
      </c>
      <c r="L1940">
        <v>95000</v>
      </c>
      <c r="M1940" t="s">
        <v>69</v>
      </c>
      <c r="N1940">
        <v>440</v>
      </c>
      <c r="O1940" s="2">
        <v>46149</v>
      </c>
      <c r="P1940" s="2">
        <v>46266</v>
      </c>
      <c r="R1940" t="s">
        <v>5363</v>
      </c>
      <c r="S1940" t="str">
        <f>""</f>
        <v/>
      </c>
      <c r="T1940" t="s">
        <v>41</v>
      </c>
      <c r="U1940">
        <v>926.47</v>
      </c>
      <c r="V1940">
        <v>926.47</v>
      </c>
      <c r="W1940">
        <v>926.47</v>
      </c>
      <c r="X1940">
        <v>0</v>
      </c>
      <c r="Y1940">
        <v>0</v>
      </c>
      <c r="Z1940">
        <v>-491</v>
      </c>
      <c r="AA1940">
        <v>471</v>
      </c>
      <c r="AD1940" t="s">
        <v>5313</v>
      </c>
      <c r="AE1940">
        <v>1138860533</v>
      </c>
      <c r="AF1940" t="s">
        <v>5313</v>
      </c>
      <c r="AG1940">
        <v>47508411251906</v>
      </c>
      <c r="AH1940" t="s">
        <v>3698</v>
      </c>
    </row>
    <row r="1941" spans="1:34" x14ac:dyDescent="0.3">
      <c r="A1941">
        <v>101</v>
      </c>
      <c r="B1941" t="s">
        <v>34</v>
      </c>
      <c r="C1941">
        <v>2</v>
      </c>
      <c r="D1941" s="1" t="s">
        <v>5364</v>
      </c>
      <c r="E1941" s="1" t="s">
        <v>36</v>
      </c>
      <c r="G1941">
        <v>452873</v>
      </c>
      <c r="H1941" t="s">
        <v>5311</v>
      </c>
      <c r="I1941" t="s">
        <v>5224</v>
      </c>
      <c r="J1941">
        <v>23</v>
      </c>
      <c r="K1941">
        <v>442362</v>
      </c>
      <c r="L1941">
        <v>95000</v>
      </c>
      <c r="M1941" t="s">
        <v>69</v>
      </c>
      <c r="N1941">
        <v>440</v>
      </c>
      <c r="O1941" s="2">
        <v>46203</v>
      </c>
      <c r="P1941" s="2">
        <v>46329</v>
      </c>
      <c r="R1941" t="s">
        <v>5365</v>
      </c>
      <c r="S1941" t="str">
        <f>""</f>
        <v/>
      </c>
      <c r="T1941" t="s">
        <v>41</v>
      </c>
      <c r="U1941">
        <v>12211.91</v>
      </c>
      <c r="V1941">
        <v>12211.91</v>
      </c>
      <c r="W1941">
        <v>12211.91</v>
      </c>
      <c r="X1941">
        <v>0</v>
      </c>
      <c r="Y1941">
        <v>0</v>
      </c>
      <c r="Z1941">
        <v>-554</v>
      </c>
      <c r="AA1941">
        <v>985</v>
      </c>
      <c r="AD1941" t="s">
        <v>5313</v>
      </c>
      <c r="AE1941">
        <v>1138860533</v>
      </c>
      <c r="AF1941" t="s">
        <v>5313</v>
      </c>
      <c r="AG1941">
        <v>47508411251906</v>
      </c>
      <c r="AH1941" t="s">
        <v>3698</v>
      </c>
    </row>
    <row r="1942" spans="1:34" x14ac:dyDescent="0.3">
      <c r="A1942">
        <v>101</v>
      </c>
      <c r="B1942" t="s">
        <v>34</v>
      </c>
      <c r="C1942">
        <v>2</v>
      </c>
      <c r="D1942" s="1" t="s">
        <v>5366</v>
      </c>
      <c r="E1942" s="1" t="s">
        <v>36</v>
      </c>
      <c r="G1942">
        <v>452873</v>
      </c>
      <c r="H1942" t="s">
        <v>5311</v>
      </c>
      <c r="I1942" t="s">
        <v>5224</v>
      </c>
      <c r="J1942">
        <v>23</v>
      </c>
      <c r="K1942">
        <v>442362</v>
      </c>
      <c r="L1942">
        <v>95000</v>
      </c>
      <c r="M1942" t="s">
        <v>69</v>
      </c>
      <c r="N1942">
        <v>440</v>
      </c>
      <c r="O1942" s="2">
        <v>46149</v>
      </c>
      <c r="P1942" s="2">
        <v>46266</v>
      </c>
      <c r="R1942" t="s">
        <v>5367</v>
      </c>
      <c r="S1942" t="str">
        <f>""</f>
        <v/>
      </c>
      <c r="T1942" t="s">
        <v>41</v>
      </c>
      <c r="U1942">
        <v>56.42</v>
      </c>
      <c r="V1942">
        <v>56.42</v>
      </c>
      <c r="W1942">
        <v>56.42</v>
      </c>
      <c r="X1942">
        <v>0</v>
      </c>
      <c r="Y1942">
        <v>0</v>
      </c>
      <c r="Z1942">
        <v>-491</v>
      </c>
      <c r="AA1942">
        <v>470</v>
      </c>
      <c r="AD1942" t="s">
        <v>5313</v>
      </c>
      <c r="AE1942">
        <v>1138860533</v>
      </c>
      <c r="AF1942" t="s">
        <v>5313</v>
      </c>
      <c r="AG1942">
        <v>47508411251906</v>
      </c>
      <c r="AH1942" t="s">
        <v>3698</v>
      </c>
    </row>
    <row r="1943" spans="1:34" x14ac:dyDescent="0.3">
      <c r="A1943">
        <v>101</v>
      </c>
      <c r="B1943" t="s">
        <v>34</v>
      </c>
      <c r="C1943">
        <v>2</v>
      </c>
      <c r="D1943" s="1" t="s">
        <v>5368</v>
      </c>
      <c r="E1943" s="1" t="s">
        <v>36</v>
      </c>
      <c r="G1943">
        <v>452873</v>
      </c>
      <c r="H1943" t="s">
        <v>5311</v>
      </c>
      <c r="I1943" t="s">
        <v>5224</v>
      </c>
      <c r="J1943">
        <v>23</v>
      </c>
      <c r="K1943">
        <v>442362</v>
      </c>
      <c r="L1943">
        <v>95000</v>
      </c>
      <c r="M1943" t="s">
        <v>69</v>
      </c>
      <c r="N1943">
        <v>440</v>
      </c>
      <c r="O1943" s="2">
        <v>46218</v>
      </c>
      <c r="P1943" s="2">
        <v>46329</v>
      </c>
      <c r="R1943" t="s">
        <v>5369</v>
      </c>
      <c r="S1943" t="str">
        <f>""</f>
        <v/>
      </c>
      <c r="T1943" t="s">
        <v>41</v>
      </c>
      <c r="U1943">
        <v>9515.26</v>
      </c>
      <c r="V1943">
        <v>9515.26</v>
      </c>
      <c r="W1943">
        <v>9515.26</v>
      </c>
      <c r="X1943">
        <v>0</v>
      </c>
      <c r="Y1943">
        <v>0</v>
      </c>
      <c r="Z1943">
        <v>-554</v>
      </c>
      <c r="AA1943">
        <v>1201</v>
      </c>
      <c r="AD1943" t="s">
        <v>5313</v>
      </c>
      <c r="AE1943">
        <v>1138860533</v>
      </c>
      <c r="AF1943" t="s">
        <v>5313</v>
      </c>
      <c r="AG1943">
        <v>47508411251906</v>
      </c>
      <c r="AH1943" t="s">
        <v>3698</v>
      </c>
    </row>
    <row r="1944" spans="1:34" x14ac:dyDescent="0.3">
      <c r="A1944">
        <v>101</v>
      </c>
      <c r="B1944" t="s">
        <v>34</v>
      </c>
      <c r="C1944">
        <v>2</v>
      </c>
      <c r="D1944" s="1" t="s">
        <v>5370</v>
      </c>
      <c r="E1944" s="1" t="s">
        <v>36</v>
      </c>
      <c r="G1944">
        <v>452873</v>
      </c>
      <c r="H1944" t="s">
        <v>5311</v>
      </c>
      <c r="I1944" t="s">
        <v>5224</v>
      </c>
      <c r="J1944">
        <v>23</v>
      </c>
      <c r="K1944">
        <v>442362</v>
      </c>
      <c r="L1944">
        <v>95000</v>
      </c>
      <c r="M1944" t="s">
        <v>69</v>
      </c>
      <c r="N1944">
        <v>440</v>
      </c>
      <c r="O1944" s="2">
        <v>46149</v>
      </c>
      <c r="P1944" s="2">
        <v>46266</v>
      </c>
      <c r="R1944" t="s">
        <v>5371</v>
      </c>
      <c r="S1944" t="str">
        <f>""</f>
        <v/>
      </c>
      <c r="T1944" t="s">
        <v>41</v>
      </c>
      <c r="U1944">
        <v>169.26</v>
      </c>
      <c r="V1944">
        <v>169.26</v>
      </c>
      <c r="W1944">
        <v>169.26</v>
      </c>
      <c r="X1944">
        <v>0</v>
      </c>
      <c r="Y1944">
        <v>0</v>
      </c>
      <c r="Z1944">
        <v>-491</v>
      </c>
      <c r="AA1944">
        <v>469</v>
      </c>
      <c r="AD1944" t="s">
        <v>5313</v>
      </c>
      <c r="AE1944">
        <v>1138860533</v>
      </c>
      <c r="AF1944" t="s">
        <v>5313</v>
      </c>
      <c r="AG1944">
        <v>47508411251906</v>
      </c>
      <c r="AH1944" t="s">
        <v>3698</v>
      </c>
    </row>
    <row r="1945" spans="1:34" x14ac:dyDescent="0.3">
      <c r="A1945">
        <v>101</v>
      </c>
      <c r="B1945" t="s">
        <v>34</v>
      </c>
      <c r="C1945">
        <v>2</v>
      </c>
      <c r="D1945" s="1" t="s">
        <v>5372</v>
      </c>
      <c r="E1945" s="1" t="s">
        <v>36</v>
      </c>
      <c r="G1945">
        <v>452873</v>
      </c>
      <c r="H1945" t="s">
        <v>5311</v>
      </c>
      <c r="I1945" t="s">
        <v>5224</v>
      </c>
      <c r="J1945">
        <v>23</v>
      </c>
      <c r="K1945">
        <v>442362</v>
      </c>
      <c r="L1945">
        <v>95000</v>
      </c>
      <c r="M1945" t="s">
        <v>69</v>
      </c>
      <c r="N1945">
        <v>440</v>
      </c>
      <c r="O1945" s="2">
        <v>46216</v>
      </c>
      <c r="P1945" s="2">
        <v>46329</v>
      </c>
      <c r="R1945" t="s">
        <v>5373</v>
      </c>
      <c r="S1945" t="str">
        <f>""</f>
        <v/>
      </c>
      <c r="T1945" t="s">
        <v>41</v>
      </c>
      <c r="U1945">
        <v>169.26</v>
      </c>
      <c r="V1945">
        <v>169.26</v>
      </c>
      <c r="W1945">
        <v>169.26</v>
      </c>
      <c r="X1945">
        <v>0</v>
      </c>
      <c r="Y1945">
        <v>0</v>
      </c>
      <c r="Z1945">
        <v>-554</v>
      </c>
      <c r="AA1945">
        <v>1095</v>
      </c>
      <c r="AD1945" t="s">
        <v>5313</v>
      </c>
      <c r="AE1945">
        <v>1138860533</v>
      </c>
      <c r="AF1945" t="s">
        <v>5313</v>
      </c>
      <c r="AG1945">
        <v>47508411251906</v>
      </c>
      <c r="AH1945" t="s">
        <v>3698</v>
      </c>
    </row>
    <row r="1946" spans="1:34" x14ac:dyDescent="0.3">
      <c r="A1946">
        <v>101</v>
      </c>
      <c r="B1946" t="s">
        <v>34</v>
      </c>
      <c r="C1946">
        <v>2</v>
      </c>
      <c r="D1946" s="1" t="s">
        <v>5374</v>
      </c>
      <c r="E1946" s="1" t="s">
        <v>36</v>
      </c>
      <c r="G1946">
        <v>452873</v>
      </c>
      <c r="H1946" t="s">
        <v>5311</v>
      </c>
      <c r="I1946" t="s">
        <v>5224</v>
      </c>
      <c r="J1946">
        <v>23</v>
      </c>
      <c r="K1946">
        <v>442362</v>
      </c>
      <c r="L1946">
        <v>95000</v>
      </c>
      <c r="M1946" t="s">
        <v>69</v>
      </c>
      <c r="N1946">
        <v>440</v>
      </c>
      <c r="O1946" s="2">
        <v>46149</v>
      </c>
      <c r="P1946" s="2">
        <v>46266</v>
      </c>
      <c r="R1946" t="s">
        <v>5375</v>
      </c>
      <c r="S1946" t="str">
        <f>""</f>
        <v/>
      </c>
      <c r="T1946" t="s">
        <v>41</v>
      </c>
      <c r="U1946">
        <v>282.10000000000002</v>
      </c>
      <c r="V1946">
        <v>282.10000000000002</v>
      </c>
      <c r="W1946">
        <v>282.10000000000002</v>
      </c>
      <c r="X1946">
        <v>0</v>
      </c>
      <c r="Y1946">
        <v>0</v>
      </c>
      <c r="Z1946">
        <v>-491</v>
      </c>
      <c r="AA1946">
        <v>466</v>
      </c>
      <c r="AD1946" t="s">
        <v>5313</v>
      </c>
      <c r="AE1946">
        <v>1138860533</v>
      </c>
      <c r="AF1946" t="s">
        <v>5313</v>
      </c>
      <c r="AG1946">
        <v>47508411251906</v>
      </c>
      <c r="AH1946" t="s">
        <v>3698</v>
      </c>
    </row>
    <row r="1947" spans="1:34" x14ac:dyDescent="0.3">
      <c r="A1947">
        <v>101</v>
      </c>
      <c r="B1947" t="s">
        <v>34</v>
      </c>
      <c r="C1947">
        <v>2</v>
      </c>
      <c r="D1947" s="1" t="s">
        <v>5376</v>
      </c>
      <c r="E1947" s="1" t="s">
        <v>36</v>
      </c>
      <c r="G1947">
        <v>452873</v>
      </c>
      <c r="H1947" t="s">
        <v>5311</v>
      </c>
      <c r="I1947" t="s">
        <v>5224</v>
      </c>
      <c r="J1947">
        <v>23</v>
      </c>
      <c r="K1947">
        <v>442362</v>
      </c>
      <c r="L1947">
        <v>95000</v>
      </c>
      <c r="M1947" t="s">
        <v>69</v>
      </c>
      <c r="N1947">
        <v>440</v>
      </c>
      <c r="O1947" s="2">
        <v>46218</v>
      </c>
      <c r="P1947" s="2">
        <v>46329</v>
      </c>
      <c r="R1947" t="s">
        <v>5377</v>
      </c>
      <c r="S1947" t="str">
        <f>""</f>
        <v/>
      </c>
      <c r="T1947" t="s">
        <v>41</v>
      </c>
      <c r="U1947">
        <v>2103.23</v>
      </c>
      <c r="V1947">
        <v>2103.23</v>
      </c>
      <c r="W1947">
        <v>2103.23</v>
      </c>
      <c r="X1947">
        <v>0</v>
      </c>
      <c r="Y1947">
        <v>0</v>
      </c>
      <c r="Z1947">
        <v>-554</v>
      </c>
      <c r="AA1947">
        <v>1199</v>
      </c>
      <c r="AD1947" t="s">
        <v>5313</v>
      </c>
      <c r="AE1947">
        <v>1138860533</v>
      </c>
      <c r="AF1947" t="s">
        <v>5313</v>
      </c>
      <c r="AG1947">
        <v>47508411251906</v>
      </c>
      <c r="AH1947" t="s">
        <v>3698</v>
      </c>
    </row>
    <row r="1948" spans="1:34" x14ac:dyDescent="0.3">
      <c r="A1948">
        <v>101</v>
      </c>
      <c r="B1948" t="s">
        <v>34</v>
      </c>
      <c r="C1948">
        <v>2</v>
      </c>
      <c r="D1948" s="1" t="s">
        <v>5378</v>
      </c>
      <c r="E1948" s="1" t="s">
        <v>36</v>
      </c>
      <c r="G1948">
        <v>452873</v>
      </c>
      <c r="H1948" t="s">
        <v>5311</v>
      </c>
      <c r="I1948" t="s">
        <v>5224</v>
      </c>
      <c r="J1948">
        <v>23</v>
      </c>
      <c r="K1948">
        <v>442362</v>
      </c>
      <c r="L1948">
        <v>95000</v>
      </c>
      <c r="M1948" t="s">
        <v>69</v>
      </c>
      <c r="N1948">
        <v>440</v>
      </c>
      <c r="O1948" s="2">
        <v>46163</v>
      </c>
      <c r="P1948" s="2">
        <v>46266</v>
      </c>
      <c r="R1948" t="s">
        <v>5379</v>
      </c>
      <c r="S1948" t="str">
        <f>""</f>
        <v/>
      </c>
      <c r="T1948" t="s">
        <v>41</v>
      </c>
      <c r="U1948">
        <v>5168.8599999999997</v>
      </c>
      <c r="V1948">
        <v>5168.8599999999997</v>
      </c>
      <c r="W1948">
        <v>5168.8599999999997</v>
      </c>
      <c r="X1948">
        <v>0</v>
      </c>
      <c r="Y1948">
        <v>0</v>
      </c>
      <c r="Z1948">
        <v>-491</v>
      </c>
      <c r="AA1948">
        <v>635</v>
      </c>
      <c r="AD1948" t="s">
        <v>5313</v>
      </c>
      <c r="AE1948">
        <v>1138860533</v>
      </c>
      <c r="AF1948" t="s">
        <v>5313</v>
      </c>
      <c r="AG1948">
        <v>47508411251906</v>
      </c>
      <c r="AH1948" t="s">
        <v>3698</v>
      </c>
    </row>
    <row r="1949" spans="1:34" x14ac:dyDescent="0.3">
      <c r="A1949">
        <v>101</v>
      </c>
      <c r="B1949" t="s">
        <v>34</v>
      </c>
      <c r="C1949">
        <v>2</v>
      </c>
      <c r="D1949" s="1" t="s">
        <v>5380</v>
      </c>
      <c r="E1949" s="1" t="s">
        <v>36</v>
      </c>
      <c r="G1949">
        <v>452873</v>
      </c>
      <c r="H1949" t="s">
        <v>5311</v>
      </c>
      <c r="I1949" t="s">
        <v>5224</v>
      </c>
      <c r="J1949">
        <v>23</v>
      </c>
      <c r="K1949">
        <v>442362</v>
      </c>
      <c r="L1949">
        <v>95000</v>
      </c>
      <c r="M1949" t="s">
        <v>69</v>
      </c>
      <c r="N1949">
        <v>440</v>
      </c>
      <c r="O1949" s="2">
        <v>46163</v>
      </c>
      <c r="P1949" s="2">
        <v>46266</v>
      </c>
      <c r="R1949" t="s">
        <v>5381</v>
      </c>
      <c r="S1949" t="str">
        <f>""</f>
        <v/>
      </c>
      <c r="T1949" t="s">
        <v>41</v>
      </c>
      <c r="U1949">
        <v>375.44</v>
      </c>
      <c r="V1949">
        <v>375.44</v>
      </c>
      <c r="W1949">
        <v>375.44</v>
      </c>
      <c r="X1949">
        <v>0</v>
      </c>
      <c r="Y1949">
        <v>0</v>
      </c>
      <c r="Z1949">
        <v>-491</v>
      </c>
      <c r="AA1949">
        <v>634</v>
      </c>
      <c r="AD1949" t="s">
        <v>5313</v>
      </c>
      <c r="AE1949">
        <v>1138860533</v>
      </c>
      <c r="AF1949" t="s">
        <v>5313</v>
      </c>
      <c r="AG1949">
        <v>47508411251906</v>
      </c>
      <c r="AH1949" t="s">
        <v>3698</v>
      </c>
    </row>
    <row r="1950" spans="1:34" x14ac:dyDescent="0.3">
      <c r="A1950">
        <v>101</v>
      </c>
      <c r="B1950" t="s">
        <v>34</v>
      </c>
      <c r="C1950">
        <v>2</v>
      </c>
      <c r="D1950" s="1" t="s">
        <v>5382</v>
      </c>
      <c r="E1950" s="1" t="s">
        <v>36</v>
      </c>
      <c r="G1950">
        <v>452873</v>
      </c>
      <c r="H1950" t="s">
        <v>5311</v>
      </c>
      <c r="I1950" t="s">
        <v>5224</v>
      </c>
      <c r="J1950">
        <v>23</v>
      </c>
      <c r="K1950">
        <v>442362</v>
      </c>
      <c r="L1950">
        <v>95000</v>
      </c>
      <c r="M1950" t="s">
        <v>69</v>
      </c>
      <c r="N1950">
        <v>440</v>
      </c>
      <c r="O1950" s="2">
        <v>46163</v>
      </c>
      <c r="P1950" s="2">
        <v>46266</v>
      </c>
      <c r="R1950" t="s">
        <v>5383</v>
      </c>
      <c r="S1950" t="str">
        <f>""</f>
        <v/>
      </c>
      <c r="T1950" t="s">
        <v>41</v>
      </c>
      <c r="U1950">
        <v>338.52</v>
      </c>
      <c r="V1950">
        <v>338.52</v>
      </c>
      <c r="W1950">
        <v>338.52</v>
      </c>
      <c r="X1950">
        <v>0</v>
      </c>
      <c r="Y1950">
        <v>0</v>
      </c>
      <c r="Z1950">
        <v>-491</v>
      </c>
      <c r="AA1950">
        <v>632</v>
      </c>
      <c r="AD1950" t="s">
        <v>5313</v>
      </c>
      <c r="AE1950">
        <v>1138860533</v>
      </c>
      <c r="AF1950" t="s">
        <v>5313</v>
      </c>
      <c r="AG1950">
        <v>47508411251906</v>
      </c>
      <c r="AH1950" t="s">
        <v>3698</v>
      </c>
    </row>
    <row r="1951" spans="1:34" x14ac:dyDescent="0.3">
      <c r="A1951">
        <v>101</v>
      </c>
      <c r="B1951" t="s">
        <v>34</v>
      </c>
      <c r="C1951">
        <v>2</v>
      </c>
      <c r="D1951" s="1" t="s">
        <v>5384</v>
      </c>
      <c r="E1951" s="1" t="s">
        <v>36</v>
      </c>
      <c r="G1951">
        <v>452873</v>
      </c>
      <c r="H1951" t="s">
        <v>5311</v>
      </c>
      <c r="I1951" t="s">
        <v>5224</v>
      </c>
      <c r="J1951">
        <v>23</v>
      </c>
      <c r="K1951">
        <v>442362</v>
      </c>
      <c r="L1951">
        <v>95000</v>
      </c>
      <c r="M1951" t="s">
        <v>69</v>
      </c>
      <c r="N1951">
        <v>440</v>
      </c>
      <c r="O1951" s="2">
        <v>46226</v>
      </c>
      <c r="P1951" s="2">
        <v>46329</v>
      </c>
      <c r="R1951" t="s">
        <v>5385</v>
      </c>
      <c r="S1951" t="str">
        <f>""</f>
        <v/>
      </c>
      <c r="T1951" t="s">
        <v>41</v>
      </c>
      <c r="U1951">
        <v>5333.22</v>
      </c>
      <c r="V1951">
        <v>5333.22</v>
      </c>
      <c r="W1951">
        <v>5333.22</v>
      </c>
      <c r="X1951">
        <v>0</v>
      </c>
      <c r="Y1951">
        <v>0</v>
      </c>
      <c r="Z1951">
        <v>-554</v>
      </c>
      <c r="AA1951">
        <v>1558</v>
      </c>
      <c r="AD1951" t="s">
        <v>5313</v>
      </c>
      <c r="AE1951">
        <v>1138860533</v>
      </c>
      <c r="AF1951" t="s">
        <v>5313</v>
      </c>
      <c r="AG1951">
        <v>47508411251906</v>
      </c>
      <c r="AH1951" t="s">
        <v>3698</v>
      </c>
    </row>
    <row r="1952" spans="1:34" x14ac:dyDescent="0.3">
      <c r="A1952">
        <v>101</v>
      </c>
      <c r="B1952" t="s">
        <v>34</v>
      </c>
      <c r="C1952">
        <v>2</v>
      </c>
      <c r="D1952" s="1" t="s">
        <v>5386</v>
      </c>
      <c r="E1952" s="1" t="s">
        <v>36</v>
      </c>
      <c r="G1952">
        <v>12861</v>
      </c>
      <c r="H1952" t="s">
        <v>5387</v>
      </c>
      <c r="I1952" t="s">
        <v>5388</v>
      </c>
      <c r="J1952">
        <v>15</v>
      </c>
      <c r="K1952">
        <v>12861</v>
      </c>
      <c r="L1952">
        <v>95000</v>
      </c>
      <c r="M1952" t="s">
        <v>69</v>
      </c>
      <c r="N1952">
        <v>511</v>
      </c>
      <c r="O1952" s="2">
        <v>46142</v>
      </c>
      <c r="P1952" s="2">
        <v>46259</v>
      </c>
      <c r="R1952" t="s">
        <v>5389</v>
      </c>
      <c r="S1952" t="str">
        <f>""</f>
        <v/>
      </c>
      <c r="T1952" t="s">
        <v>41</v>
      </c>
      <c r="U1952">
        <v>12979.15</v>
      </c>
      <c r="V1952">
        <v>12459.98</v>
      </c>
      <c r="W1952">
        <v>12459.98</v>
      </c>
      <c r="X1952">
        <v>0</v>
      </c>
      <c r="Y1952">
        <v>0</v>
      </c>
      <c r="Z1952">
        <v>-484</v>
      </c>
      <c r="AA1952">
        <v>687496</v>
      </c>
      <c r="AD1952" t="s">
        <v>2610</v>
      </c>
      <c r="AE1952" t="s">
        <v>5390</v>
      </c>
      <c r="AF1952" t="s">
        <v>2610</v>
      </c>
      <c r="AG1952" s="1" t="s">
        <v>5391</v>
      </c>
      <c r="AH1952" t="s">
        <v>2484</v>
      </c>
    </row>
    <row r="1953" spans="1:34" x14ac:dyDescent="0.3">
      <c r="A1953">
        <v>101</v>
      </c>
      <c r="B1953" t="s">
        <v>34</v>
      </c>
      <c r="C1953">
        <v>2</v>
      </c>
      <c r="D1953" s="1" t="s">
        <v>5392</v>
      </c>
      <c r="E1953" s="1" t="s">
        <v>36</v>
      </c>
      <c r="G1953">
        <v>12861</v>
      </c>
      <c r="H1953" t="s">
        <v>5387</v>
      </c>
      <c r="I1953" t="s">
        <v>5388</v>
      </c>
      <c r="J1953">
        <v>15</v>
      </c>
      <c r="K1953">
        <v>12861</v>
      </c>
      <c r="L1953">
        <v>95000</v>
      </c>
      <c r="M1953" t="s">
        <v>69</v>
      </c>
      <c r="N1953">
        <v>511</v>
      </c>
      <c r="O1953" s="2">
        <v>46197</v>
      </c>
      <c r="P1953" s="2">
        <v>46290</v>
      </c>
      <c r="R1953" t="s">
        <v>5393</v>
      </c>
      <c r="S1953" t="str">
        <f>""</f>
        <v/>
      </c>
      <c r="T1953" t="s">
        <v>41</v>
      </c>
      <c r="U1953">
        <v>6862.86</v>
      </c>
      <c r="V1953">
        <v>6588.35</v>
      </c>
      <c r="W1953">
        <v>6588.35</v>
      </c>
      <c r="X1953">
        <v>0</v>
      </c>
      <c r="Y1953">
        <v>0</v>
      </c>
      <c r="Z1953">
        <v>-515</v>
      </c>
      <c r="AA1953">
        <v>692088</v>
      </c>
      <c r="AD1953" t="s">
        <v>2610</v>
      </c>
      <c r="AE1953" t="s">
        <v>5390</v>
      </c>
      <c r="AF1953" t="s">
        <v>2610</v>
      </c>
      <c r="AG1953" s="1" t="s">
        <v>5391</v>
      </c>
      <c r="AH1953" t="s">
        <v>2484</v>
      </c>
    </row>
    <row r="1954" spans="1:34" x14ac:dyDescent="0.3">
      <c r="A1954">
        <v>106</v>
      </c>
      <c r="B1954" t="s">
        <v>34</v>
      </c>
      <c r="C1954">
        <v>2</v>
      </c>
      <c r="D1954" s="1" t="s">
        <v>5394</v>
      </c>
      <c r="E1954" s="1" t="s">
        <v>36</v>
      </c>
      <c r="G1954">
        <v>410412</v>
      </c>
      <c r="H1954" t="s">
        <v>5395</v>
      </c>
      <c r="I1954" t="s">
        <v>5396</v>
      </c>
      <c r="J1954">
        <v>18</v>
      </c>
      <c r="K1954">
        <v>410412</v>
      </c>
      <c r="L1954">
        <v>50341</v>
      </c>
      <c r="M1954" t="s">
        <v>146</v>
      </c>
      <c r="N1954">
        <v>511</v>
      </c>
      <c r="O1954" s="2">
        <v>46188</v>
      </c>
      <c r="P1954" s="2">
        <v>46262</v>
      </c>
      <c r="R1954" t="s">
        <v>5397</v>
      </c>
      <c r="S1954" t="str">
        <f>"00012647"</f>
        <v>00012647</v>
      </c>
      <c r="T1954" t="s">
        <v>41</v>
      </c>
      <c r="U1954">
        <v>1302.2</v>
      </c>
      <c r="V1954">
        <v>1302.2</v>
      </c>
      <c r="W1954">
        <v>1302.2</v>
      </c>
      <c r="X1954">
        <v>0</v>
      </c>
      <c r="Y1954">
        <v>0</v>
      </c>
      <c r="Z1954">
        <v>-487</v>
      </c>
      <c r="AA1954" t="s">
        <v>5398</v>
      </c>
      <c r="AD1954" t="s">
        <v>2716</v>
      </c>
      <c r="AE1954" t="s">
        <v>5399</v>
      </c>
      <c r="AF1954" t="s">
        <v>2716</v>
      </c>
      <c r="AG1954" s="1" t="s">
        <v>5400</v>
      </c>
      <c r="AH1954" t="s">
        <v>2484</v>
      </c>
    </row>
    <row r="1955" spans="1:34" x14ac:dyDescent="0.3">
      <c r="A1955">
        <v>101</v>
      </c>
      <c r="B1955" t="s">
        <v>34</v>
      </c>
      <c r="C1955">
        <v>2</v>
      </c>
      <c r="D1955" s="1" t="s">
        <v>5401</v>
      </c>
      <c r="E1955" s="1" t="s">
        <v>36</v>
      </c>
      <c r="G1955">
        <v>451705</v>
      </c>
      <c r="H1955" t="s">
        <v>5402</v>
      </c>
      <c r="I1955" t="s">
        <v>5388</v>
      </c>
      <c r="J1955">
        <v>15</v>
      </c>
      <c r="K1955">
        <v>12861</v>
      </c>
      <c r="L1955">
        <v>95000</v>
      </c>
      <c r="M1955" t="s">
        <v>69</v>
      </c>
      <c r="N1955">
        <v>511</v>
      </c>
      <c r="O1955" s="2">
        <v>46197</v>
      </c>
      <c r="P1955" s="2">
        <v>46290</v>
      </c>
      <c r="R1955" t="s">
        <v>5403</v>
      </c>
      <c r="S1955" t="str">
        <f>""</f>
        <v/>
      </c>
      <c r="T1955" t="s">
        <v>41</v>
      </c>
      <c r="U1955">
        <v>12780.11</v>
      </c>
      <c r="V1955">
        <v>12268.91</v>
      </c>
      <c r="W1955">
        <v>12268.91</v>
      </c>
      <c r="X1955">
        <v>0</v>
      </c>
      <c r="Y1955">
        <v>0</v>
      </c>
      <c r="Z1955">
        <v>-515</v>
      </c>
      <c r="AA1955">
        <v>692090</v>
      </c>
      <c r="AD1955" t="s">
        <v>2482</v>
      </c>
      <c r="AE1955" t="s">
        <v>5404</v>
      </c>
      <c r="AF1955" t="s">
        <v>2482</v>
      </c>
      <c r="AG1955" s="1" t="s">
        <v>5405</v>
      </c>
      <c r="AH1955" t="s">
        <v>2484</v>
      </c>
    </row>
    <row r="1956" spans="1:34" x14ac:dyDescent="0.3">
      <c r="A1956">
        <v>101</v>
      </c>
      <c r="B1956" t="s">
        <v>34</v>
      </c>
      <c r="C1956">
        <v>2</v>
      </c>
      <c r="D1956" s="1" t="s">
        <v>5406</v>
      </c>
      <c r="E1956" s="1" t="s">
        <v>36</v>
      </c>
      <c r="G1956">
        <v>454644</v>
      </c>
      <c r="H1956" t="s">
        <v>5407</v>
      </c>
      <c r="I1956" t="s">
        <v>5388</v>
      </c>
      <c r="J1956">
        <v>15</v>
      </c>
      <c r="K1956">
        <v>12861</v>
      </c>
      <c r="L1956">
        <v>95000</v>
      </c>
      <c r="M1956" t="s">
        <v>69</v>
      </c>
      <c r="N1956">
        <v>511</v>
      </c>
      <c r="O1956" s="2">
        <v>46172</v>
      </c>
      <c r="P1956" s="2">
        <v>46290</v>
      </c>
      <c r="R1956" t="s">
        <v>5408</v>
      </c>
      <c r="S1956" t="str">
        <f>""</f>
        <v/>
      </c>
      <c r="T1956" t="s">
        <v>41</v>
      </c>
      <c r="U1956">
        <v>13524.76</v>
      </c>
      <c r="V1956">
        <v>12983.77</v>
      </c>
      <c r="W1956">
        <v>12983.77</v>
      </c>
      <c r="X1956">
        <v>0</v>
      </c>
      <c r="Y1956">
        <v>0</v>
      </c>
      <c r="Z1956">
        <v>-515</v>
      </c>
      <c r="AA1956">
        <v>690484</v>
      </c>
      <c r="AD1956" t="s">
        <v>2470</v>
      </c>
      <c r="AE1956">
        <v>8436152644</v>
      </c>
      <c r="AF1956" t="s">
        <v>2470</v>
      </c>
      <c r="AG1956" s="1" t="s">
        <v>5409</v>
      </c>
      <c r="AH1956" t="s">
        <v>2472</v>
      </c>
    </row>
    <row r="1957" spans="1:34" x14ac:dyDescent="0.3">
      <c r="A1957">
        <v>101</v>
      </c>
      <c r="B1957" t="s">
        <v>34</v>
      </c>
      <c r="C1957">
        <v>2</v>
      </c>
      <c r="D1957" s="1" t="s">
        <v>5410</v>
      </c>
      <c r="E1957" s="1" t="s">
        <v>36</v>
      </c>
      <c r="G1957">
        <v>454644</v>
      </c>
      <c r="H1957" t="s">
        <v>5407</v>
      </c>
      <c r="I1957" t="s">
        <v>5388</v>
      </c>
      <c r="J1957">
        <v>15</v>
      </c>
      <c r="K1957">
        <v>12861</v>
      </c>
      <c r="L1957">
        <v>95000</v>
      </c>
      <c r="M1957" t="s">
        <v>69</v>
      </c>
      <c r="N1957">
        <v>511</v>
      </c>
      <c r="O1957" s="2">
        <v>46197</v>
      </c>
      <c r="P1957" s="2">
        <v>46290</v>
      </c>
      <c r="R1957" t="s">
        <v>5411</v>
      </c>
      <c r="S1957" t="str">
        <f>""</f>
        <v/>
      </c>
      <c r="T1957" t="s">
        <v>41</v>
      </c>
      <c r="U1957">
        <v>6960.81</v>
      </c>
      <c r="V1957">
        <v>6682.38</v>
      </c>
      <c r="W1957">
        <v>6682.38</v>
      </c>
      <c r="X1957">
        <v>0</v>
      </c>
      <c r="Y1957">
        <v>0</v>
      </c>
      <c r="Z1957">
        <v>-515</v>
      </c>
      <c r="AA1957">
        <v>691839</v>
      </c>
      <c r="AD1957" t="s">
        <v>2470</v>
      </c>
      <c r="AE1957">
        <v>8436152644</v>
      </c>
      <c r="AF1957" t="s">
        <v>2470</v>
      </c>
      <c r="AG1957" s="1" t="s">
        <v>5409</v>
      </c>
      <c r="AH1957" t="s">
        <v>2472</v>
      </c>
    </row>
    <row r="1958" spans="1:34" x14ac:dyDescent="0.3">
      <c r="A1958">
        <v>101</v>
      </c>
      <c r="B1958" t="s">
        <v>34</v>
      </c>
      <c r="C1958">
        <v>2</v>
      </c>
      <c r="D1958" s="1" t="s">
        <v>5412</v>
      </c>
      <c r="E1958" s="1" t="s">
        <v>36</v>
      </c>
      <c r="G1958">
        <v>465281</v>
      </c>
      <c r="H1958" t="s">
        <v>5413</v>
      </c>
      <c r="I1958" t="s">
        <v>5388</v>
      </c>
      <c r="J1958">
        <v>15</v>
      </c>
      <c r="K1958">
        <v>12861</v>
      </c>
      <c r="L1958">
        <v>95000</v>
      </c>
      <c r="M1958" t="s">
        <v>69</v>
      </c>
      <c r="N1958">
        <v>511</v>
      </c>
      <c r="O1958" s="2">
        <v>46197</v>
      </c>
      <c r="P1958" s="2">
        <v>46307</v>
      </c>
      <c r="R1958" t="s">
        <v>5414</v>
      </c>
      <c r="S1958" t="str">
        <f>""</f>
        <v/>
      </c>
      <c r="T1958" t="s">
        <v>41</v>
      </c>
      <c r="U1958">
        <v>6360.11</v>
      </c>
      <c r="V1958">
        <v>6105.71</v>
      </c>
      <c r="W1958">
        <v>6105.71</v>
      </c>
      <c r="X1958">
        <v>0</v>
      </c>
      <c r="Y1958">
        <v>0</v>
      </c>
      <c r="Z1958">
        <v>-532</v>
      </c>
      <c r="AA1958">
        <v>692092</v>
      </c>
      <c r="AD1958" t="s">
        <v>2532</v>
      </c>
      <c r="AE1958" t="s">
        <v>5415</v>
      </c>
      <c r="AF1958" t="s">
        <v>2532</v>
      </c>
      <c r="AG1958" s="1" t="s">
        <v>5416</v>
      </c>
      <c r="AH1958" t="s">
        <v>2484</v>
      </c>
    </row>
    <row r="1959" spans="1:34" x14ac:dyDescent="0.3">
      <c r="A1959">
        <v>101</v>
      </c>
      <c r="B1959" t="s">
        <v>34</v>
      </c>
      <c r="C1959">
        <v>2</v>
      </c>
      <c r="D1959" s="1" t="s">
        <v>5417</v>
      </c>
      <c r="E1959" s="1" t="s">
        <v>36</v>
      </c>
      <c r="G1959">
        <v>469761</v>
      </c>
      <c r="H1959" t="s">
        <v>5418</v>
      </c>
      <c r="I1959" t="s">
        <v>5388</v>
      </c>
      <c r="J1959">
        <v>15</v>
      </c>
      <c r="K1959">
        <v>12861</v>
      </c>
      <c r="L1959">
        <v>95000</v>
      </c>
      <c r="M1959" t="s">
        <v>69</v>
      </c>
      <c r="N1959">
        <v>511</v>
      </c>
      <c r="O1959" s="2">
        <v>46197</v>
      </c>
      <c r="P1959" s="2">
        <v>46307</v>
      </c>
      <c r="R1959" t="s">
        <v>5419</v>
      </c>
      <c r="S1959" t="str">
        <f>""</f>
        <v/>
      </c>
      <c r="T1959" t="s">
        <v>41</v>
      </c>
      <c r="U1959">
        <v>7659.91</v>
      </c>
      <c r="V1959">
        <v>7093.01</v>
      </c>
      <c r="W1959">
        <v>7093.01</v>
      </c>
      <c r="X1959">
        <v>0</v>
      </c>
      <c r="Y1959">
        <v>0</v>
      </c>
      <c r="Z1959">
        <v>-532</v>
      </c>
      <c r="AA1959">
        <v>692328</v>
      </c>
      <c r="AD1959" t="s">
        <v>2482</v>
      </c>
      <c r="AE1959" t="s">
        <v>5420</v>
      </c>
      <c r="AF1959" t="s">
        <v>2482</v>
      </c>
      <c r="AG1959" s="1" t="s">
        <v>5421</v>
      </c>
      <c r="AH1959" t="s">
        <v>2484</v>
      </c>
    </row>
    <row r="1960" spans="1:34" x14ac:dyDescent="0.3">
      <c r="A1960">
        <v>101</v>
      </c>
      <c r="B1960" t="s">
        <v>34</v>
      </c>
      <c r="C1960">
        <v>2</v>
      </c>
      <c r="D1960" s="1" t="s">
        <v>5422</v>
      </c>
      <c r="E1960" s="1" t="s">
        <v>36</v>
      </c>
      <c r="G1960">
        <v>469761</v>
      </c>
      <c r="H1960" t="s">
        <v>5418</v>
      </c>
      <c r="I1960" t="s">
        <v>5388</v>
      </c>
      <c r="J1960">
        <v>15</v>
      </c>
      <c r="K1960">
        <v>12861</v>
      </c>
      <c r="L1960">
        <v>95000</v>
      </c>
      <c r="M1960" t="s">
        <v>69</v>
      </c>
      <c r="N1960">
        <v>511</v>
      </c>
      <c r="O1960" s="2">
        <v>46142</v>
      </c>
      <c r="P1960" s="2">
        <v>46290</v>
      </c>
      <c r="R1960" t="s">
        <v>5423</v>
      </c>
      <c r="S1960" t="str">
        <f>""</f>
        <v/>
      </c>
      <c r="T1960" t="s">
        <v>41</v>
      </c>
      <c r="U1960">
        <v>5149.41</v>
      </c>
      <c r="V1960">
        <v>4943.43</v>
      </c>
      <c r="W1960">
        <v>4943.43</v>
      </c>
      <c r="X1960">
        <v>0</v>
      </c>
      <c r="Y1960">
        <v>0</v>
      </c>
      <c r="Z1960">
        <v>-515</v>
      </c>
      <c r="AA1960">
        <v>687516</v>
      </c>
      <c r="AD1960" t="s">
        <v>2482</v>
      </c>
      <c r="AE1960" t="s">
        <v>5420</v>
      </c>
      <c r="AF1960" t="s">
        <v>2482</v>
      </c>
      <c r="AG1960" s="1" t="s">
        <v>5421</v>
      </c>
      <c r="AH1960" t="s">
        <v>2484</v>
      </c>
    </row>
    <row r="1961" spans="1:34" x14ac:dyDescent="0.3">
      <c r="A1961">
        <v>101</v>
      </c>
      <c r="B1961" t="s">
        <v>34</v>
      </c>
      <c r="C1961">
        <v>2</v>
      </c>
      <c r="D1961" s="1" t="s">
        <v>5424</v>
      </c>
      <c r="E1961" s="1" t="s">
        <v>36</v>
      </c>
      <c r="G1961">
        <v>470305</v>
      </c>
      <c r="H1961" t="s">
        <v>5425</v>
      </c>
      <c r="I1961" t="s">
        <v>5426</v>
      </c>
      <c r="J1961">
        <v>12</v>
      </c>
      <c r="K1961">
        <v>470305</v>
      </c>
      <c r="L1961">
        <v>50237</v>
      </c>
      <c r="M1961" t="s">
        <v>39</v>
      </c>
      <c r="N1961">
        <v>511</v>
      </c>
      <c r="O1961" s="2">
        <v>46216</v>
      </c>
      <c r="P1961" s="2">
        <v>46283</v>
      </c>
      <c r="R1961" t="s">
        <v>5427</v>
      </c>
      <c r="S1961" t="str">
        <f>"33000005152P"</f>
        <v>33000005152P</v>
      </c>
      <c r="T1961" t="s">
        <v>41</v>
      </c>
      <c r="U1961">
        <v>3240</v>
      </c>
      <c r="V1961">
        <v>3240</v>
      </c>
      <c r="W1961">
        <v>3240</v>
      </c>
      <c r="X1961">
        <v>0</v>
      </c>
      <c r="Y1961">
        <v>0</v>
      </c>
      <c r="Z1961">
        <v>-508</v>
      </c>
      <c r="AA1961">
        <v>693850</v>
      </c>
      <c r="AD1961" t="s">
        <v>5428</v>
      </c>
      <c r="AE1961" t="s">
        <v>5429</v>
      </c>
      <c r="AF1961" t="s">
        <v>5428</v>
      </c>
      <c r="AG1961">
        <v>22315149000100</v>
      </c>
      <c r="AH1961" t="s">
        <v>2484</v>
      </c>
    </row>
    <row r="1962" spans="1:34" x14ac:dyDescent="0.3">
      <c r="A1962">
        <v>101</v>
      </c>
      <c r="B1962" t="s">
        <v>34</v>
      </c>
      <c r="C1962">
        <v>2</v>
      </c>
      <c r="D1962" s="1" t="s">
        <v>5430</v>
      </c>
      <c r="E1962" s="1" t="s">
        <v>36</v>
      </c>
      <c r="G1962">
        <v>464821</v>
      </c>
      <c r="H1962" t="s">
        <v>5431</v>
      </c>
      <c r="I1962" t="s">
        <v>5432</v>
      </c>
      <c r="J1962">
        <v>15</v>
      </c>
      <c r="K1962">
        <v>464821</v>
      </c>
      <c r="L1962">
        <v>95100</v>
      </c>
      <c r="M1962" t="s">
        <v>69</v>
      </c>
      <c r="N1962">
        <v>518</v>
      </c>
      <c r="O1962" s="2">
        <v>46230</v>
      </c>
      <c r="P1962" s="2">
        <v>46275</v>
      </c>
      <c r="R1962" t="s">
        <v>5433</v>
      </c>
      <c r="S1962" t="str">
        <f>""</f>
        <v/>
      </c>
      <c r="T1962" t="s">
        <v>41</v>
      </c>
      <c r="U1962">
        <v>168390.5</v>
      </c>
      <c r="V1962">
        <v>168390.5</v>
      </c>
      <c r="W1962">
        <v>168390.5</v>
      </c>
      <c r="X1962">
        <v>0</v>
      </c>
      <c r="Y1962">
        <v>0</v>
      </c>
      <c r="Z1962">
        <v>-500</v>
      </c>
      <c r="AA1962">
        <v>693865</v>
      </c>
      <c r="AD1962" t="s">
        <v>5434</v>
      </c>
      <c r="AF1962" t="s">
        <v>5434</v>
      </c>
      <c r="AH1962" t="s">
        <v>5435</v>
      </c>
    </row>
    <row r="1963" spans="1:34" x14ac:dyDescent="0.3">
      <c r="A1963">
        <v>101</v>
      </c>
      <c r="B1963" t="s">
        <v>34</v>
      </c>
      <c r="C1963">
        <v>2</v>
      </c>
      <c r="D1963" s="1" t="s">
        <v>5436</v>
      </c>
      <c r="E1963" s="1" t="s">
        <v>36</v>
      </c>
      <c r="G1963">
        <v>452076</v>
      </c>
      <c r="H1963" t="s">
        <v>5437</v>
      </c>
      <c r="I1963" t="s">
        <v>5438</v>
      </c>
      <c r="J1963">
        <v>12</v>
      </c>
      <c r="K1963">
        <v>452076</v>
      </c>
      <c r="L1963">
        <v>50001</v>
      </c>
      <c r="M1963" t="s">
        <v>39</v>
      </c>
      <c r="N1963">
        <v>528</v>
      </c>
      <c r="O1963" s="2">
        <v>46235</v>
      </c>
      <c r="P1963" s="2">
        <v>46270</v>
      </c>
      <c r="R1963" t="s">
        <v>5439</v>
      </c>
      <c r="S1963" t="str">
        <f>"25666160000051735"</f>
        <v>25666160000051735</v>
      </c>
      <c r="T1963" t="s">
        <v>41</v>
      </c>
      <c r="U1963">
        <v>4448.99</v>
      </c>
      <c r="V1963">
        <v>4448.99</v>
      </c>
      <c r="W1963">
        <v>4448.99</v>
      </c>
      <c r="X1963">
        <v>0</v>
      </c>
      <c r="Y1963">
        <v>0</v>
      </c>
      <c r="Z1963">
        <v>-495</v>
      </c>
      <c r="AA1963">
        <v>4227</v>
      </c>
      <c r="AD1963" t="s">
        <v>5440</v>
      </c>
      <c r="AE1963" t="s">
        <v>5441</v>
      </c>
      <c r="AF1963" t="s">
        <v>5440</v>
      </c>
      <c r="AG1963">
        <v>24118660000130</v>
      </c>
      <c r="AH1963" t="s">
        <v>3024</v>
      </c>
    </row>
    <row r="1964" spans="1:34" x14ac:dyDescent="0.3">
      <c r="A1964">
        <v>101</v>
      </c>
      <c r="B1964" t="s">
        <v>34</v>
      </c>
      <c r="C1964">
        <v>2</v>
      </c>
      <c r="D1964" s="1" t="s">
        <v>5436</v>
      </c>
      <c r="E1964" s="1" t="s">
        <v>122</v>
      </c>
      <c r="G1964">
        <v>452076</v>
      </c>
      <c r="H1964" t="s">
        <v>5437</v>
      </c>
      <c r="I1964" t="s">
        <v>5438</v>
      </c>
      <c r="J1964">
        <v>12</v>
      </c>
      <c r="K1964">
        <v>452076</v>
      </c>
      <c r="L1964">
        <v>50001</v>
      </c>
      <c r="M1964" t="s">
        <v>39</v>
      </c>
      <c r="N1964">
        <v>528</v>
      </c>
      <c r="O1964" s="2">
        <v>46235</v>
      </c>
      <c r="P1964" s="2">
        <v>46280</v>
      </c>
      <c r="R1964" t="s">
        <v>5439</v>
      </c>
      <c r="S1964" t="str">
        <f>"25666160000051736"</f>
        <v>25666160000051736</v>
      </c>
      <c r="T1964" t="s">
        <v>41</v>
      </c>
      <c r="U1964">
        <v>4135.8999999999996</v>
      </c>
      <c r="V1964">
        <v>4135.8999999999996</v>
      </c>
      <c r="W1964">
        <v>4135.8999999999996</v>
      </c>
      <c r="X1964">
        <v>0</v>
      </c>
      <c r="Y1964">
        <v>0</v>
      </c>
      <c r="Z1964">
        <v>-505</v>
      </c>
      <c r="AA1964">
        <v>4227</v>
      </c>
      <c r="AD1964" t="s">
        <v>5440</v>
      </c>
      <c r="AE1964" t="s">
        <v>5441</v>
      </c>
      <c r="AF1964" t="s">
        <v>5440</v>
      </c>
      <c r="AG1964">
        <v>24118660000130</v>
      </c>
      <c r="AH1964" t="s">
        <v>3024</v>
      </c>
    </row>
    <row r="1965" spans="1:34" x14ac:dyDescent="0.3">
      <c r="A1965">
        <v>101</v>
      </c>
      <c r="B1965" t="s">
        <v>34</v>
      </c>
      <c r="C1965">
        <v>2</v>
      </c>
      <c r="D1965" s="1" t="s">
        <v>5436</v>
      </c>
      <c r="E1965" s="1" t="s">
        <v>116</v>
      </c>
      <c r="G1965">
        <v>452076</v>
      </c>
      <c r="H1965" t="s">
        <v>5437</v>
      </c>
      <c r="I1965" t="s">
        <v>5438</v>
      </c>
      <c r="J1965">
        <v>12</v>
      </c>
      <c r="K1965">
        <v>452076</v>
      </c>
      <c r="L1965">
        <v>50001</v>
      </c>
      <c r="M1965" t="s">
        <v>39</v>
      </c>
      <c r="N1965">
        <v>528</v>
      </c>
      <c r="O1965" s="2">
        <v>46235</v>
      </c>
      <c r="P1965" s="2">
        <v>46290</v>
      </c>
      <c r="R1965" t="s">
        <v>5439</v>
      </c>
      <c r="S1965" t="str">
        <f>"25666160000051737"</f>
        <v>25666160000051737</v>
      </c>
      <c r="T1965" t="s">
        <v>41</v>
      </c>
      <c r="U1965">
        <v>4137.1499999999996</v>
      </c>
      <c r="V1965">
        <v>4137.1499999999996</v>
      </c>
      <c r="W1965">
        <v>4137.1499999999996</v>
      </c>
      <c r="X1965">
        <v>0</v>
      </c>
      <c r="Y1965">
        <v>0</v>
      </c>
      <c r="Z1965">
        <v>-515</v>
      </c>
      <c r="AA1965">
        <v>4227</v>
      </c>
      <c r="AD1965" t="s">
        <v>5440</v>
      </c>
      <c r="AE1965" t="s">
        <v>5441</v>
      </c>
      <c r="AF1965" t="s">
        <v>5440</v>
      </c>
      <c r="AG1965">
        <v>24118660000130</v>
      </c>
      <c r="AH1965" t="s">
        <v>3024</v>
      </c>
    </row>
    <row r="1966" spans="1:34" x14ac:dyDescent="0.3">
      <c r="A1966">
        <v>101</v>
      </c>
      <c r="B1966" t="s">
        <v>34</v>
      </c>
      <c r="C1966">
        <v>2</v>
      </c>
      <c r="D1966" s="1" t="s">
        <v>5442</v>
      </c>
      <c r="E1966" s="1" t="s">
        <v>122</v>
      </c>
      <c r="G1966">
        <v>452076</v>
      </c>
      <c r="H1966" t="s">
        <v>5437</v>
      </c>
      <c r="I1966" t="s">
        <v>5438</v>
      </c>
      <c r="J1966">
        <v>12</v>
      </c>
      <c r="K1966">
        <v>452076</v>
      </c>
      <c r="L1966">
        <v>50001</v>
      </c>
      <c r="M1966" t="s">
        <v>39</v>
      </c>
      <c r="N1966">
        <v>528</v>
      </c>
      <c r="O1966" s="2">
        <v>46191</v>
      </c>
      <c r="P1966" s="2">
        <v>46257</v>
      </c>
      <c r="R1966" t="s">
        <v>5443</v>
      </c>
      <c r="S1966" t="str">
        <f>"25666160000051079"</f>
        <v>25666160000051079</v>
      </c>
      <c r="T1966" t="s">
        <v>41</v>
      </c>
      <c r="U1966">
        <v>6716.18</v>
      </c>
      <c r="V1966">
        <v>6716.18</v>
      </c>
      <c r="W1966">
        <v>6716.18</v>
      </c>
      <c r="X1966">
        <v>0</v>
      </c>
      <c r="Y1966">
        <v>0</v>
      </c>
      <c r="Z1966">
        <v>-482</v>
      </c>
      <c r="AA1966">
        <v>691081</v>
      </c>
      <c r="AD1966" t="s">
        <v>5440</v>
      </c>
      <c r="AE1966" t="s">
        <v>5441</v>
      </c>
      <c r="AF1966" t="s">
        <v>5440</v>
      </c>
      <c r="AG1966">
        <v>24118660000130</v>
      </c>
      <c r="AH1966" t="s">
        <v>3024</v>
      </c>
    </row>
    <row r="1967" spans="1:34" x14ac:dyDescent="0.3">
      <c r="A1967">
        <v>101</v>
      </c>
      <c r="B1967" t="s">
        <v>34</v>
      </c>
      <c r="C1967">
        <v>2</v>
      </c>
      <c r="D1967" s="1" t="s">
        <v>5442</v>
      </c>
      <c r="E1967" s="1" t="s">
        <v>116</v>
      </c>
      <c r="G1967">
        <v>452076</v>
      </c>
      <c r="H1967" t="s">
        <v>5437</v>
      </c>
      <c r="I1967" t="s">
        <v>5438</v>
      </c>
      <c r="J1967">
        <v>12</v>
      </c>
      <c r="K1967">
        <v>452076</v>
      </c>
      <c r="L1967">
        <v>50001</v>
      </c>
      <c r="M1967" t="s">
        <v>39</v>
      </c>
      <c r="N1967">
        <v>528</v>
      </c>
      <c r="O1967" s="2">
        <v>46191</v>
      </c>
      <c r="P1967" s="2">
        <v>46267</v>
      </c>
      <c r="R1967" t="s">
        <v>5443</v>
      </c>
      <c r="S1967" t="str">
        <f>"25666160000051080"</f>
        <v>25666160000051080</v>
      </c>
      <c r="T1967" t="s">
        <v>41</v>
      </c>
      <c r="U1967">
        <v>6718.2</v>
      </c>
      <c r="V1967">
        <v>6718.2</v>
      </c>
      <c r="W1967">
        <v>6718.2</v>
      </c>
      <c r="X1967">
        <v>0</v>
      </c>
      <c r="Y1967">
        <v>0</v>
      </c>
      <c r="Z1967">
        <v>-492</v>
      </c>
      <c r="AA1967">
        <v>691081</v>
      </c>
      <c r="AD1967" t="s">
        <v>5440</v>
      </c>
      <c r="AE1967" t="s">
        <v>5441</v>
      </c>
      <c r="AF1967" t="s">
        <v>5440</v>
      </c>
      <c r="AG1967">
        <v>24118660000130</v>
      </c>
      <c r="AH1967" t="s">
        <v>3024</v>
      </c>
    </row>
    <row r="1968" spans="1:34" x14ac:dyDescent="0.3">
      <c r="A1968">
        <v>101</v>
      </c>
      <c r="B1968" t="s">
        <v>34</v>
      </c>
      <c r="C1968">
        <v>2</v>
      </c>
      <c r="D1968" s="1" t="s">
        <v>5444</v>
      </c>
      <c r="E1968" s="1" t="s">
        <v>116</v>
      </c>
      <c r="G1968">
        <v>452281</v>
      </c>
      <c r="H1968" t="s">
        <v>5445</v>
      </c>
      <c r="I1968" t="s">
        <v>5438</v>
      </c>
      <c r="J1968">
        <v>12</v>
      </c>
      <c r="K1968">
        <v>452076</v>
      </c>
      <c r="L1968">
        <v>50001</v>
      </c>
      <c r="M1968" t="s">
        <v>39</v>
      </c>
      <c r="N1968">
        <v>528</v>
      </c>
      <c r="O1968" s="2">
        <v>46191</v>
      </c>
      <c r="P1968" s="2">
        <v>46266</v>
      </c>
      <c r="R1968" t="s">
        <v>5446</v>
      </c>
      <c r="S1968" t="str">
        <f>"25666160000051083"</f>
        <v>25666160000051083</v>
      </c>
      <c r="T1968" t="s">
        <v>41</v>
      </c>
      <c r="U1968">
        <v>8532.7999999999993</v>
      </c>
      <c r="V1968">
        <v>8532.7999999999993</v>
      </c>
      <c r="W1968">
        <v>8532.7999999999993</v>
      </c>
      <c r="X1968">
        <v>0</v>
      </c>
      <c r="Y1968">
        <v>0</v>
      </c>
      <c r="Z1968">
        <v>-491</v>
      </c>
      <c r="AA1968">
        <v>691361</v>
      </c>
      <c r="AD1968" t="s">
        <v>5440</v>
      </c>
      <c r="AE1968" t="s">
        <v>5441</v>
      </c>
      <c r="AF1968" t="s">
        <v>5440</v>
      </c>
      <c r="AG1968">
        <v>24118660000210</v>
      </c>
      <c r="AH1968" t="s">
        <v>3024</v>
      </c>
    </row>
    <row r="1969" spans="1:34" x14ac:dyDescent="0.3">
      <c r="A1969">
        <v>101</v>
      </c>
      <c r="B1969" t="s">
        <v>34</v>
      </c>
      <c r="C1969">
        <v>2</v>
      </c>
      <c r="D1969" s="1" t="s">
        <v>5444</v>
      </c>
      <c r="E1969" s="1" t="s">
        <v>122</v>
      </c>
      <c r="G1969">
        <v>452281</v>
      </c>
      <c r="H1969" t="s">
        <v>5445</v>
      </c>
      <c r="I1969" t="s">
        <v>5438</v>
      </c>
      <c r="J1969">
        <v>12</v>
      </c>
      <c r="K1969">
        <v>452076</v>
      </c>
      <c r="L1969">
        <v>50001</v>
      </c>
      <c r="M1969" t="s">
        <v>39</v>
      </c>
      <c r="N1969">
        <v>528</v>
      </c>
      <c r="O1969" s="2">
        <v>46191</v>
      </c>
      <c r="P1969" s="2">
        <v>46256</v>
      </c>
      <c r="R1969" t="s">
        <v>5446</v>
      </c>
      <c r="S1969" t="str">
        <f>"25666160000051082"</f>
        <v>25666160000051082</v>
      </c>
      <c r="T1969" t="s">
        <v>41</v>
      </c>
      <c r="U1969">
        <v>8530.24</v>
      </c>
      <c r="V1969">
        <v>8530.24</v>
      </c>
      <c r="W1969">
        <v>8530.24</v>
      </c>
      <c r="X1969">
        <v>0</v>
      </c>
      <c r="Y1969">
        <v>0</v>
      </c>
      <c r="Z1969">
        <v>-481</v>
      </c>
      <c r="AA1969">
        <v>691361</v>
      </c>
      <c r="AD1969" t="s">
        <v>5440</v>
      </c>
      <c r="AE1969" t="s">
        <v>5441</v>
      </c>
      <c r="AF1969" t="s">
        <v>5440</v>
      </c>
      <c r="AG1969">
        <v>24118660000210</v>
      </c>
      <c r="AH1969" t="s">
        <v>3024</v>
      </c>
    </row>
    <row r="1970" spans="1:34" x14ac:dyDescent="0.3">
      <c r="A1970">
        <v>101</v>
      </c>
      <c r="B1970" t="s">
        <v>34</v>
      </c>
      <c r="C1970">
        <v>2</v>
      </c>
      <c r="D1970" s="1" t="s">
        <v>5447</v>
      </c>
      <c r="E1970" s="1" t="s">
        <v>36</v>
      </c>
      <c r="G1970">
        <v>452281</v>
      </c>
      <c r="H1970" t="s">
        <v>5445</v>
      </c>
      <c r="I1970" t="s">
        <v>5438</v>
      </c>
      <c r="J1970">
        <v>12</v>
      </c>
      <c r="K1970">
        <v>452076</v>
      </c>
      <c r="L1970">
        <v>50001</v>
      </c>
      <c r="M1970" t="s">
        <v>39</v>
      </c>
      <c r="N1970">
        <v>528</v>
      </c>
      <c r="O1970" s="2">
        <v>46235</v>
      </c>
      <c r="P1970" s="2">
        <v>46270</v>
      </c>
      <c r="R1970" t="s">
        <v>5448</v>
      </c>
      <c r="S1970" t="str">
        <f>"25666160000051738"</f>
        <v>25666160000051738</v>
      </c>
      <c r="T1970" t="s">
        <v>41</v>
      </c>
      <c r="U1970">
        <v>6107.18</v>
      </c>
      <c r="V1970">
        <v>6107.18</v>
      </c>
      <c r="W1970">
        <v>6107.18</v>
      </c>
      <c r="X1970">
        <v>0</v>
      </c>
      <c r="Y1970">
        <v>0</v>
      </c>
      <c r="Z1970">
        <v>-495</v>
      </c>
      <c r="AA1970">
        <v>4236</v>
      </c>
      <c r="AD1970" t="s">
        <v>5440</v>
      </c>
      <c r="AE1970" t="s">
        <v>5441</v>
      </c>
      <c r="AF1970" t="s">
        <v>5440</v>
      </c>
      <c r="AG1970">
        <v>24118660000210</v>
      </c>
      <c r="AH1970" t="s">
        <v>3024</v>
      </c>
    </row>
    <row r="1971" spans="1:34" x14ac:dyDescent="0.3">
      <c r="A1971">
        <v>101</v>
      </c>
      <c r="B1971" t="s">
        <v>34</v>
      </c>
      <c r="C1971">
        <v>2</v>
      </c>
      <c r="D1971" s="1" t="s">
        <v>5447</v>
      </c>
      <c r="E1971" s="1" t="s">
        <v>122</v>
      </c>
      <c r="G1971">
        <v>452281</v>
      </c>
      <c r="H1971" t="s">
        <v>5445</v>
      </c>
      <c r="I1971" t="s">
        <v>5438</v>
      </c>
      <c r="J1971">
        <v>12</v>
      </c>
      <c r="K1971">
        <v>452076</v>
      </c>
      <c r="L1971">
        <v>50001</v>
      </c>
      <c r="M1971" t="s">
        <v>39</v>
      </c>
      <c r="N1971">
        <v>528</v>
      </c>
      <c r="O1971" s="2">
        <v>46235</v>
      </c>
      <c r="P1971" s="2">
        <v>46280</v>
      </c>
      <c r="R1971" t="s">
        <v>5448</v>
      </c>
      <c r="S1971" t="str">
        <f>"25666160000051739"</f>
        <v>25666160000051739</v>
      </c>
      <c r="T1971" t="s">
        <v>41</v>
      </c>
      <c r="U1971">
        <v>5789.16</v>
      </c>
      <c r="V1971">
        <v>5789.16</v>
      </c>
      <c r="W1971">
        <v>5789.16</v>
      </c>
      <c r="X1971">
        <v>0</v>
      </c>
      <c r="Y1971">
        <v>0</v>
      </c>
      <c r="Z1971">
        <v>-505</v>
      </c>
      <c r="AA1971">
        <v>4236</v>
      </c>
      <c r="AD1971" t="s">
        <v>5440</v>
      </c>
      <c r="AE1971" t="s">
        <v>5441</v>
      </c>
      <c r="AF1971" t="s">
        <v>5440</v>
      </c>
      <c r="AG1971">
        <v>24118660000210</v>
      </c>
      <c r="AH1971" t="s">
        <v>3024</v>
      </c>
    </row>
    <row r="1972" spans="1:34" x14ac:dyDescent="0.3">
      <c r="A1972">
        <v>101</v>
      </c>
      <c r="B1972" t="s">
        <v>34</v>
      </c>
      <c r="C1972">
        <v>2</v>
      </c>
      <c r="D1972" s="1" t="s">
        <v>5447</v>
      </c>
      <c r="E1972" s="1" t="s">
        <v>116</v>
      </c>
      <c r="G1972">
        <v>452281</v>
      </c>
      <c r="H1972" t="s">
        <v>5445</v>
      </c>
      <c r="I1972" t="s">
        <v>5438</v>
      </c>
      <c r="J1972">
        <v>12</v>
      </c>
      <c r="K1972">
        <v>452076</v>
      </c>
      <c r="L1972">
        <v>50001</v>
      </c>
      <c r="M1972" t="s">
        <v>39</v>
      </c>
      <c r="N1972">
        <v>528</v>
      </c>
      <c r="O1972" s="2">
        <v>46235</v>
      </c>
      <c r="P1972" s="2">
        <v>46290</v>
      </c>
      <c r="R1972" t="s">
        <v>5448</v>
      </c>
      <c r="S1972" t="str">
        <f>"25666160000051740"</f>
        <v>25666160000051740</v>
      </c>
      <c r="T1972" t="s">
        <v>41</v>
      </c>
      <c r="U1972">
        <v>5790.91</v>
      </c>
      <c r="V1972">
        <v>5790.91</v>
      </c>
      <c r="W1972">
        <v>5790.91</v>
      </c>
      <c r="X1972">
        <v>0</v>
      </c>
      <c r="Y1972">
        <v>0</v>
      </c>
      <c r="Z1972">
        <v>-515</v>
      </c>
      <c r="AA1972">
        <v>4236</v>
      </c>
      <c r="AD1972" t="s">
        <v>5440</v>
      </c>
      <c r="AE1972" t="s">
        <v>5441</v>
      </c>
      <c r="AF1972" t="s">
        <v>5440</v>
      </c>
      <c r="AG1972">
        <v>24118660000210</v>
      </c>
      <c r="AH1972" t="s">
        <v>3024</v>
      </c>
    </row>
    <row r="1973" spans="1:34" x14ac:dyDescent="0.3">
      <c r="A1973">
        <v>101</v>
      </c>
      <c r="B1973" t="s">
        <v>34</v>
      </c>
      <c r="C1973">
        <v>2</v>
      </c>
      <c r="D1973" s="1" t="s">
        <v>5449</v>
      </c>
      <c r="E1973" s="1" t="s">
        <v>36</v>
      </c>
      <c r="G1973">
        <v>451867</v>
      </c>
      <c r="H1973" t="s">
        <v>5450</v>
      </c>
      <c r="I1973" t="s">
        <v>5451</v>
      </c>
      <c r="J1973">
        <v>15</v>
      </c>
      <c r="K1973">
        <v>451879</v>
      </c>
      <c r="L1973">
        <v>95000</v>
      </c>
      <c r="M1973" t="s">
        <v>69</v>
      </c>
      <c r="N1973">
        <v>529</v>
      </c>
      <c r="O1973" s="2">
        <v>46209</v>
      </c>
      <c r="P1973" s="2">
        <v>46257</v>
      </c>
      <c r="R1973" t="s">
        <v>5452</v>
      </c>
      <c r="S1973" t="str">
        <f>""</f>
        <v/>
      </c>
      <c r="T1973" t="s">
        <v>41</v>
      </c>
      <c r="U1973">
        <v>7913.7</v>
      </c>
      <c r="V1973">
        <v>7913.7</v>
      </c>
      <c r="W1973">
        <v>7913.7</v>
      </c>
      <c r="X1973">
        <v>0</v>
      </c>
      <c r="Y1973">
        <v>0</v>
      </c>
      <c r="Z1973">
        <v>-482</v>
      </c>
      <c r="AA1973">
        <v>691541</v>
      </c>
      <c r="AD1973" t="s">
        <v>2278</v>
      </c>
      <c r="AE1973" t="s">
        <v>5453</v>
      </c>
      <c r="AF1973" t="s">
        <v>2278</v>
      </c>
      <c r="AG1973">
        <v>61585865051309</v>
      </c>
      <c r="AH1973" t="s">
        <v>44</v>
      </c>
    </row>
    <row r="1974" spans="1:34" x14ac:dyDescent="0.3">
      <c r="A1974">
        <v>101</v>
      </c>
      <c r="B1974" t="s">
        <v>34</v>
      </c>
      <c r="C1974">
        <v>2</v>
      </c>
      <c r="D1974" s="1" t="s">
        <v>5454</v>
      </c>
      <c r="E1974" s="1" t="s">
        <v>36</v>
      </c>
      <c r="G1974">
        <v>451867</v>
      </c>
      <c r="H1974" t="s">
        <v>5450</v>
      </c>
      <c r="I1974" t="s">
        <v>5451</v>
      </c>
      <c r="J1974">
        <v>15</v>
      </c>
      <c r="K1974">
        <v>451879</v>
      </c>
      <c r="L1974">
        <v>95000</v>
      </c>
      <c r="M1974" t="s">
        <v>69</v>
      </c>
      <c r="N1974">
        <v>529</v>
      </c>
      <c r="O1974" s="2">
        <v>46226</v>
      </c>
      <c r="P1974" s="2">
        <v>46283</v>
      </c>
      <c r="R1974" t="s">
        <v>5455</v>
      </c>
      <c r="S1974" t="str">
        <f>""</f>
        <v/>
      </c>
      <c r="T1974" t="s">
        <v>41</v>
      </c>
      <c r="U1974">
        <v>2102.4</v>
      </c>
      <c r="V1974">
        <v>2102.4</v>
      </c>
      <c r="W1974">
        <v>2102.4</v>
      </c>
      <c r="X1974">
        <v>0</v>
      </c>
      <c r="Y1974">
        <v>0</v>
      </c>
      <c r="Z1974">
        <v>-508</v>
      </c>
      <c r="AA1974">
        <v>1622</v>
      </c>
      <c r="AD1974" t="s">
        <v>2278</v>
      </c>
      <c r="AE1974" t="s">
        <v>5453</v>
      </c>
      <c r="AF1974" t="s">
        <v>2278</v>
      </c>
      <c r="AG1974">
        <v>61585865051309</v>
      </c>
      <c r="AH1974" t="s">
        <v>44</v>
      </c>
    </row>
    <row r="1975" spans="1:34" x14ac:dyDescent="0.3">
      <c r="A1975">
        <v>101</v>
      </c>
      <c r="B1975" t="s">
        <v>34</v>
      </c>
      <c r="C1975">
        <v>2</v>
      </c>
      <c r="D1975" s="1" t="s">
        <v>5456</v>
      </c>
      <c r="E1975" s="1" t="s">
        <v>36</v>
      </c>
      <c r="G1975">
        <v>451867</v>
      </c>
      <c r="H1975" t="s">
        <v>5450</v>
      </c>
      <c r="I1975" t="s">
        <v>5451</v>
      </c>
      <c r="J1975">
        <v>15</v>
      </c>
      <c r="K1975">
        <v>451879</v>
      </c>
      <c r="L1975">
        <v>95000</v>
      </c>
      <c r="M1975" t="s">
        <v>69</v>
      </c>
      <c r="N1975">
        <v>529</v>
      </c>
      <c r="O1975" s="2">
        <v>46209</v>
      </c>
      <c r="P1975" s="2">
        <v>46265</v>
      </c>
      <c r="R1975" t="s">
        <v>5457</v>
      </c>
      <c r="S1975" t="str">
        <f>""</f>
        <v/>
      </c>
      <c r="T1975" t="s">
        <v>41</v>
      </c>
      <c r="U1975">
        <v>7458.6</v>
      </c>
      <c r="V1975">
        <v>7458.6</v>
      </c>
      <c r="W1975">
        <v>7458.6</v>
      </c>
      <c r="X1975">
        <v>0</v>
      </c>
      <c r="Y1975">
        <v>0</v>
      </c>
      <c r="Z1975">
        <v>-490</v>
      </c>
      <c r="AA1975">
        <v>691942</v>
      </c>
      <c r="AD1975" t="s">
        <v>2278</v>
      </c>
      <c r="AE1975" t="s">
        <v>5453</v>
      </c>
      <c r="AF1975" t="s">
        <v>2278</v>
      </c>
      <c r="AG1975">
        <v>61585865051309</v>
      </c>
      <c r="AH1975" t="s">
        <v>44</v>
      </c>
    </row>
    <row r="1976" spans="1:34" x14ac:dyDescent="0.3">
      <c r="A1976">
        <v>101</v>
      </c>
      <c r="B1976" t="s">
        <v>34</v>
      </c>
      <c r="C1976">
        <v>2</v>
      </c>
      <c r="D1976" s="1" t="s">
        <v>5458</v>
      </c>
      <c r="E1976" s="1" t="s">
        <v>36</v>
      </c>
      <c r="G1976">
        <v>451867</v>
      </c>
      <c r="H1976" t="s">
        <v>5450</v>
      </c>
      <c r="I1976" t="s">
        <v>5451</v>
      </c>
      <c r="J1976">
        <v>15</v>
      </c>
      <c r="K1976">
        <v>451879</v>
      </c>
      <c r="L1976">
        <v>95000</v>
      </c>
      <c r="M1976" t="s">
        <v>69</v>
      </c>
      <c r="N1976">
        <v>529</v>
      </c>
      <c r="O1976" s="2">
        <v>46245</v>
      </c>
      <c r="P1976" s="2">
        <v>46275</v>
      </c>
      <c r="R1976" t="s">
        <v>5459</v>
      </c>
      <c r="S1976" t="str">
        <f>""</f>
        <v/>
      </c>
      <c r="T1976" t="s">
        <v>41</v>
      </c>
      <c r="U1976">
        <v>22215.599999999999</v>
      </c>
      <c r="V1976">
        <v>22215.599999999999</v>
      </c>
      <c r="W1976">
        <v>22215.599999999999</v>
      </c>
      <c r="X1976">
        <v>0</v>
      </c>
      <c r="Y1976">
        <v>0</v>
      </c>
      <c r="Z1976">
        <v>-500</v>
      </c>
      <c r="AA1976">
        <v>4386</v>
      </c>
      <c r="AD1976" t="s">
        <v>2278</v>
      </c>
      <c r="AE1976" t="s">
        <v>5453</v>
      </c>
      <c r="AF1976" t="s">
        <v>2278</v>
      </c>
      <c r="AG1976">
        <v>61585865051309</v>
      </c>
      <c r="AH1976" t="s">
        <v>44</v>
      </c>
    </row>
    <row r="1977" spans="1:34" x14ac:dyDescent="0.3">
      <c r="A1977">
        <v>101</v>
      </c>
      <c r="B1977" t="s">
        <v>34</v>
      </c>
      <c r="C1977">
        <v>2</v>
      </c>
      <c r="D1977" s="1" t="s">
        <v>5460</v>
      </c>
      <c r="E1977" s="1" t="s">
        <v>36</v>
      </c>
      <c r="G1977">
        <v>451869</v>
      </c>
      <c r="H1977" t="s">
        <v>5461</v>
      </c>
      <c r="I1977" t="s">
        <v>5451</v>
      </c>
      <c r="J1977">
        <v>15</v>
      </c>
      <c r="K1977">
        <v>451879</v>
      </c>
      <c r="L1977">
        <v>95000</v>
      </c>
      <c r="M1977" t="s">
        <v>69</v>
      </c>
      <c r="N1977">
        <v>529</v>
      </c>
      <c r="O1977" s="2">
        <v>46234</v>
      </c>
      <c r="P1977" s="2">
        <v>46279</v>
      </c>
      <c r="R1977" t="s">
        <v>5462</v>
      </c>
      <c r="S1977" t="str">
        <f>""</f>
        <v/>
      </c>
      <c r="T1977" t="s">
        <v>41</v>
      </c>
      <c r="U1977">
        <v>15136.02</v>
      </c>
      <c r="V1977">
        <v>15136.02</v>
      </c>
      <c r="W1977">
        <v>15136.02</v>
      </c>
      <c r="X1977">
        <v>0</v>
      </c>
      <c r="Y1977">
        <v>0</v>
      </c>
      <c r="Z1977">
        <v>-504</v>
      </c>
      <c r="AA1977">
        <v>4143</v>
      </c>
      <c r="AD1977" t="s">
        <v>5463</v>
      </c>
      <c r="AE1977" t="s">
        <v>5464</v>
      </c>
      <c r="AF1977" t="s">
        <v>5463</v>
      </c>
      <c r="AG1977">
        <v>61585865046305</v>
      </c>
      <c r="AH1977" t="s">
        <v>311</v>
      </c>
    </row>
    <row r="1978" spans="1:34" x14ac:dyDescent="0.3">
      <c r="A1978">
        <v>101</v>
      </c>
      <c r="B1978" t="s">
        <v>34</v>
      </c>
      <c r="C1978">
        <v>2</v>
      </c>
      <c r="D1978" s="1" t="s">
        <v>5465</v>
      </c>
      <c r="E1978" s="1" t="s">
        <v>36</v>
      </c>
      <c r="G1978">
        <v>451869</v>
      </c>
      <c r="H1978" t="s">
        <v>5461</v>
      </c>
      <c r="I1978" t="s">
        <v>5451</v>
      </c>
      <c r="J1978">
        <v>15</v>
      </c>
      <c r="K1978">
        <v>451879</v>
      </c>
      <c r="L1978">
        <v>95000</v>
      </c>
      <c r="M1978" t="s">
        <v>69</v>
      </c>
      <c r="N1978">
        <v>529</v>
      </c>
      <c r="O1978" s="2">
        <v>46245</v>
      </c>
      <c r="P1978" s="2">
        <v>46279</v>
      </c>
      <c r="R1978" t="s">
        <v>5466</v>
      </c>
      <c r="S1978" t="str">
        <f>""</f>
        <v/>
      </c>
      <c r="T1978" t="s">
        <v>41</v>
      </c>
      <c r="U1978">
        <v>2566.3200000000002</v>
      </c>
      <c r="V1978">
        <v>2566.3200000000002</v>
      </c>
      <c r="W1978">
        <v>2566.3200000000002</v>
      </c>
      <c r="X1978">
        <v>0</v>
      </c>
      <c r="Y1978">
        <v>0</v>
      </c>
      <c r="Z1978">
        <v>-504</v>
      </c>
      <c r="AA1978">
        <v>4376</v>
      </c>
      <c r="AD1978" t="s">
        <v>5463</v>
      </c>
      <c r="AE1978" t="s">
        <v>5464</v>
      </c>
      <c r="AF1978" t="s">
        <v>5463</v>
      </c>
      <c r="AG1978">
        <v>61585865046305</v>
      </c>
      <c r="AH1978" t="s">
        <v>311</v>
      </c>
    </row>
    <row r="1979" spans="1:34" x14ac:dyDescent="0.3">
      <c r="A1979">
        <v>101</v>
      </c>
      <c r="B1979" t="s">
        <v>34</v>
      </c>
      <c r="C1979">
        <v>2</v>
      </c>
      <c r="D1979" s="1" t="s">
        <v>5467</v>
      </c>
      <c r="E1979" s="1" t="s">
        <v>36</v>
      </c>
      <c r="G1979">
        <v>451869</v>
      </c>
      <c r="H1979" t="s">
        <v>5461</v>
      </c>
      <c r="I1979" t="s">
        <v>5451</v>
      </c>
      <c r="J1979">
        <v>15</v>
      </c>
      <c r="K1979">
        <v>451879</v>
      </c>
      <c r="L1979">
        <v>95000</v>
      </c>
      <c r="M1979" t="s">
        <v>69</v>
      </c>
      <c r="N1979">
        <v>529</v>
      </c>
      <c r="O1979" s="2">
        <v>46245</v>
      </c>
      <c r="P1979" s="2">
        <v>46279</v>
      </c>
      <c r="R1979" t="s">
        <v>5468</v>
      </c>
      <c r="S1979" t="str">
        <f>""</f>
        <v/>
      </c>
      <c r="T1979" t="s">
        <v>41</v>
      </c>
      <c r="U1979">
        <v>567.84</v>
      </c>
      <c r="V1979">
        <v>567.84</v>
      </c>
      <c r="W1979">
        <v>567.84</v>
      </c>
      <c r="X1979">
        <v>0</v>
      </c>
      <c r="Y1979">
        <v>0</v>
      </c>
      <c r="Z1979">
        <v>-504</v>
      </c>
      <c r="AA1979">
        <v>4379</v>
      </c>
      <c r="AD1979" t="s">
        <v>5463</v>
      </c>
      <c r="AE1979" t="s">
        <v>5464</v>
      </c>
      <c r="AF1979" t="s">
        <v>5463</v>
      </c>
      <c r="AG1979">
        <v>61585865046305</v>
      </c>
      <c r="AH1979" t="s">
        <v>311</v>
      </c>
    </row>
    <row r="1980" spans="1:34" x14ac:dyDescent="0.3">
      <c r="A1980">
        <v>101</v>
      </c>
      <c r="B1980" t="s">
        <v>34</v>
      </c>
      <c r="C1980">
        <v>2</v>
      </c>
      <c r="D1980" s="1" t="s">
        <v>5469</v>
      </c>
      <c r="E1980" s="1" t="s">
        <v>36</v>
      </c>
      <c r="G1980">
        <v>451869</v>
      </c>
      <c r="H1980" t="s">
        <v>5461</v>
      </c>
      <c r="I1980" t="s">
        <v>5451</v>
      </c>
      <c r="J1980">
        <v>15</v>
      </c>
      <c r="K1980">
        <v>451879</v>
      </c>
      <c r="L1980">
        <v>95000</v>
      </c>
      <c r="M1980" t="s">
        <v>69</v>
      </c>
      <c r="N1980">
        <v>529</v>
      </c>
      <c r="O1980" s="2">
        <v>46254</v>
      </c>
      <c r="P1980" s="2">
        <v>46284</v>
      </c>
      <c r="R1980" t="s">
        <v>5470</v>
      </c>
      <c r="S1980" t="str">
        <f>""</f>
        <v/>
      </c>
      <c r="T1980" t="s">
        <v>41</v>
      </c>
      <c r="U1980">
        <v>6311.76</v>
      </c>
      <c r="V1980">
        <v>6311.76</v>
      </c>
      <c r="W1980">
        <v>6311.76</v>
      </c>
      <c r="X1980">
        <v>0</v>
      </c>
      <c r="Y1980">
        <v>0</v>
      </c>
      <c r="Z1980">
        <v>-509</v>
      </c>
      <c r="AA1980">
        <v>4924</v>
      </c>
      <c r="AD1980" t="s">
        <v>5463</v>
      </c>
      <c r="AE1980" t="s">
        <v>5464</v>
      </c>
      <c r="AF1980" t="s">
        <v>5463</v>
      </c>
      <c r="AG1980">
        <v>61585865046305</v>
      </c>
      <c r="AH1980" t="s">
        <v>311</v>
      </c>
    </row>
    <row r="1981" spans="1:34" x14ac:dyDescent="0.3">
      <c r="A1981">
        <v>101</v>
      </c>
      <c r="B1981" t="s">
        <v>34</v>
      </c>
      <c r="C1981">
        <v>2</v>
      </c>
      <c r="D1981" s="1" t="s">
        <v>5471</v>
      </c>
      <c r="E1981" s="1" t="s">
        <v>36</v>
      </c>
      <c r="G1981">
        <v>451871</v>
      </c>
      <c r="H1981" t="s">
        <v>5472</v>
      </c>
      <c r="I1981" t="s">
        <v>5451</v>
      </c>
      <c r="J1981">
        <v>15</v>
      </c>
      <c r="K1981">
        <v>451879</v>
      </c>
      <c r="L1981">
        <v>95000</v>
      </c>
      <c r="M1981" t="s">
        <v>69</v>
      </c>
      <c r="N1981">
        <v>529</v>
      </c>
      <c r="O1981" s="2">
        <v>46245</v>
      </c>
      <c r="P1981" s="2">
        <v>46275</v>
      </c>
      <c r="R1981" t="s">
        <v>5473</v>
      </c>
      <c r="S1981" t="str">
        <f>""</f>
        <v/>
      </c>
      <c r="T1981" t="s">
        <v>41</v>
      </c>
      <c r="U1981">
        <v>13432.5</v>
      </c>
      <c r="V1981">
        <v>13432.5</v>
      </c>
      <c r="W1981">
        <v>13432.5</v>
      </c>
      <c r="X1981">
        <v>0</v>
      </c>
      <c r="Y1981">
        <v>0</v>
      </c>
      <c r="Z1981">
        <v>-500</v>
      </c>
      <c r="AA1981">
        <v>4388</v>
      </c>
      <c r="AD1981" t="s">
        <v>3233</v>
      </c>
      <c r="AE1981" t="s">
        <v>5453</v>
      </c>
      <c r="AF1981" t="s">
        <v>3233</v>
      </c>
      <c r="AG1981">
        <v>61585865163298</v>
      </c>
      <c r="AH1981" t="s">
        <v>87</v>
      </c>
    </row>
    <row r="1982" spans="1:34" x14ac:dyDescent="0.3">
      <c r="A1982">
        <v>101</v>
      </c>
      <c r="B1982" t="s">
        <v>34</v>
      </c>
      <c r="C1982">
        <v>2</v>
      </c>
      <c r="D1982" s="1" t="s">
        <v>5474</v>
      </c>
      <c r="E1982" s="1" t="s">
        <v>36</v>
      </c>
      <c r="G1982">
        <v>451872</v>
      </c>
      <c r="H1982" t="s">
        <v>5475</v>
      </c>
      <c r="I1982" t="s">
        <v>5451</v>
      </c>
      <c r="J1982">
        <v>15</v>
      </c>
      <c r="K1982">
        <v>451879</v>
      </c>
      <c r="L1982">
        <v>95000</v>
      </c>
      <c r="M1982" t="s">
        <v>69</v>
      </c>
      <c r="N1982">
        <v>529</v>
      </c>
      <c r="O1982" s="2">
        <v>46217</v>
      </c>
      <c r="P1982" s="2">
        <v>46256</v>
      </c>
      <c r="R1982" t="s">
        <v>5476</v>
      </c>
      <c r="S1982" t="str">
        <f>""</f>
        <v/>
      </c>
      <c r="T1982" t="s">
        <v>41</v>
      </c>
      <c r="U1982">
        <v>8067.6</v>
      </c>
      <c r="V1982">
        <v>8067.6</v>
      </c>
      <c r="W1982">
        <v>8067.6</v>
      </c>
      <c r="X1982">
        <v>0</v>
      </c>
      <c r="Y1982">
        <v>0</v>
      </c>
      <c r="Z1982">
        <v>-481</v>
      </c>
      <c r="AA1982">
        <v>1150</v>
      </c>
      <c r="AD1982" t="s">
        <v>5477</v>
      </c>
      <c r="AE1982" t="s">
        <v>5453</v>
      </c>
      <c r="AF1982" t="s">
        <v>5477</v>
      </c>
      <c r="AG1982">
        <v>61585865073701</v>
      </c>
      <c r="AH1982" t="s">
        <v>44</v>
      </c>
    </row>
    <row r="1983" spans="1:34" x14ac:dyDescent="0.3">
      <c r="A1983">
        <v>101</v>
      </c>
      <c r="B1983" t="s">
        <v>34</v>
      </c>
      <c r="C1983">
        <v>2</v>
      </c>
      <c r="D1983" s="1" t="s">
        <v>5478</v>
      </c>
      <c r="E1983" s="1" t="s">
        <v>36</v>
      </c>
      <c r="G1983">
        <v>451872</v>
      </c>
      <c r="H1983" t="s">
        <v>5475</v>
      </c>
      <c r="I1983" t="s">
        <v>5451</v>
      </c>
      <c r="J1983">
        <v>15</v>
      </c>
      <c r="K1983">
        <v>451879</v>
      </c>
      <c r="L1983">
        <v>95000</v>
      </c>
      <c r="M1983" t="s">
        <v>69</v>
      </c>
      <c r="N1983">
        <v>529</v>
      </c>
      <c r="O1983" s="2">
        <v>46226</v>
      </c>
      <c r="P1983" s="2">
        <v>46269</v>
      </c>
      <c r="R1983" t="s">
        <v>5479</v>
      </c>
      <c r="S1983" t="str">
        <f>""</f>
        <v/>
      </c>
      <c r="T1983" t="s">
        <v>41</v>
      </c>
      <c r="U1983">
        <v>9753.2999999999993</v>
      </c>
      <c r="V1983">
        <v>9753.2999999999993</v>
      </c>
      <c r="W1983">
        <v>9753.2999999999993</v>
      </c>
      <c r="X1983">
        <v>0</v>
      </c>
      <c r="Y1983">
        <v>0</v>
      </c>
      <c r="Z1983">
        <v>-494</v>
      </c>
      <c r="AA1983">
        <v>1620</v>
      </c>
      <c r="AD1983" t="s">
        <v>5477</v>
      </c>
      <c r="AE1983" t="s">
        <v>5453</v>
      </c>
      <c r="AF1983" t="s">
        <v>5477</v>
      </c>
      <c r="AG1983">
        <v>61585865073701</v>
      </c>
      <c r="AH1983" t="s">
        <v>44</v>
      </c>
    </row>
    <row r="1984" spans="1:34" x14ac:dyDescent="0.3">
      <c r="A1984">
        <v>101</v>
      </c>
      <c r="B1984" t="s">
        <v>34</v>
      </c>
      <c r="C1984">
        <v>2</v>
      </c>
      <c r="D1984" s="1" t="s">
        <v>5480</v>
      </c>
      <c r="E1984" s="1" t="s">
        <v>36</v>
      </c>
      <c r="G1984">
        <v>451872</v>
      </c>
      <c r="H1984" t="s">
        <v>5475</v>
      </c>
      <c r="I1984" t="s">
        <v>5451</v>
      </c>
      <c r="J1984">
        <v>15</v>
      </c>
      <c r="K1984">
        <v>451879</v>
      </c>
      <c r="L1984">
        <v>95000</v>
      </c>
      <c r="M1984" t="s">
        <v>69</v>
      </c>
      <c r="N1984">
        <v>529</v>
      </c>
      <c r="O1984" s="2">
        <v>46255</v>
      </c>
      <c r="P1984" s="2">
        <v>46285</v>
      </c>
      <c r="R1984" t="s">
        <v>5481</v>
      </c>
      <c r="S1984" t="str">
        <f>""</f>
        <v/>
      </c>
      <c r="T1984" t="s">
        <v>41</v>
      </c>
      <c r="U1984">
        <v>2496.6</v>
      </c>
      <c r="V1984">
        <v>2496.6</v>
      </c>
      <c r="W1984">
        <v>2496.6</v>
      </c>
      <c r="X1984">
        <v>0</v>
      </c>
      <c r="Y1984">
        <v>0</v>
      </c>
      <c r="Z1984">
        <v>-510</v>
      </c>
      <c r="AA1984">
        <v>4922</v>
      </c>
      <c r="AD1984" t="s">
        <v>5477</v>
      </c>
      <c r="AE1984" t="s">
        <v>5453</v>
      </c>
      <c r="AF1984" t="s">
        <v>5477</v>
      </c>
      <c r="AG1984">
        <v>61585865073701</v>
      </c>
      <c r="AH1984" t="s">
        <v>44</v>
      </c>
    </row>
    <row r="1985" spans="1:34" x14ac:dyDescent="0.3">
      <c r="A1985">
        <v>101</v>
      </c>
      <c r="B1985" t="s">
        <v>34</v>
      </c>
      <c r="C1985">
        <v>2</v>
      </c>
      <c r="D1985" s="1" t="s">
        <v>5482</v>
      </c>
      <c r="E1985" s="1" t="s">
        <v>36</v>
      </c>
      <c r="G1985">
        <v>451872</v>
      </c>
      <c r="H1985" t="s">
        <v>5475</v>
      </c>
      <c r="I1985" t="s">
        <v>5451</v>
      </c>
      <c r="J1985">
        <v>15</v>
      </c>
      <c r="K1985">
        <v>451879</v>
      </c>
      <c r="L1985">
        <v>95000</v>
      </c>
      <c r="M1985" t="s">
        <v>69</v>
      </c>
      <c r="N1985">
        <v>529</v>
      </c>
      <c r="O1985" s="2">
        <v>46245</v>
      </c>
      <c r="P1985" s="2">
        <v>46275</v>
      </c>
      <c r="R1985" t="s">
        <v>5483</v>
      </c>
      <c r="S1985" t="str">
        <f>""</f>
        <v/>
      </c>
      <c r="T1985" t="s">
        <v>41</v>
      </c>
      <c r="U1985">
        <v>29179.8</v>
      </c>
      <c r="V1985">
        <v>29179.8</v>
      </c>
      <c r="W1985">
        <v>29179.8</v>
      </c>
      <c r="X1985">
        <v>0</v>
      </c>
      <c r="Y1985">
        <v>0</v>
      </c>
      <c r="Z1985">
        <v>-500</v>
      </c>
      <c r="AA1985">
        <v>4397</v>
      </c>
      <c r="AD1985" t="s">
        <v>5477</v>
      </c>
      <c r="AE1985" t="s">
        <v>5453</v>
      </c>
      <c r="AF1985" t="s">
        <v>5477</v>
      </c>
      <c r="AG1985">
        <v>61585865073701</v>
      </c>
      <c r="AH1985" t="s">
        <v>44</v>
      </c>
    </row>
    <row r="1986" spans="1:34" x14ac:dyDescent="0.3">
      <c r="A1986">
        <v>101</v>
      </c>
      <c r="B1986" t="s">
        <v>34</v>
      </c>
      <c r="C1986">
        <v>2</v>
      </c>
      <c r="D1986" s="1" t="s">
        <v>5484</v>
      </c>
      <c r="E1986" s="1" t="s">
        <v>36</v>
      </c>
      <c r="G1986">
        <v>451872</v>
      </c>
      <c r="H1986" t="s">
        <v>5475</v>
      </c>
      <c r="I1986" t="s">
        <v>5451</v>
      </c>
      <c r="J1986">
        <v>15</v>
      </c>
      <c r="K1986">
        <v>451879</v>
      </c>
      <c r="L1986">
        <v>95080</v>
      </c>
      <c r="M1986" t="s">
        <v>83</v>
      </c>
      <c r="N1986">
        <v>529</v>
      </c>
      <c r="O1986" s="2">
        <v>46188</v>
      </c>
      <c r="P1986" s="2">
        <v>46218</v>
      </c>
      <c r="R1986" t="s">
        <v>5485</v>
      </c>
      <c r="S1986" t="str">
        <f>""</f>
        <v/>
      </c>
      <c r="T1986" t="s">
        <v>41</v>
      </c>
      <c r="U1986">
        <v>13450.5</v>
      </c>
      <c r="V1986">
        <v>13450.5</v>
      </c>
      <c r="W1986">
        <v>13450.5</v>
      </c>
      <c r="X1986">
        <v>0</v>
      </c>
      <c r="Y1986">
        <v>0</v>
      </c>
      <c r="Z1986">
        <v>-443</v>
      </c>
      <c r="AA1986">
        <v>690491</v>
      </c>
      <c r="AD1986" t="s">
        <v>5477</v>
      </c>
      <c r="AE1986" t="s">
        <v>5453</v>
      </c>
      <c r="AF1986" t="s">
        <v>5477</v>
      </c>
      <c r="AG1986">
        <v>61585865073701</v>
      </c>
      <c r="AH1986" t="s">
        <v>44</v>
      </c>
    </row>
    <row r="1987" spans="1:34" x14ac:dyDescent="0.3">
      <c r="A1987">
        <v>101</v>
      </c>
      <c r="B1987" t="s">
        <v>34</v>
      </c>
      <c r="C1987">
        <v>2</v>
      </c>
      <c r="D1987" s="1" t="s">
        <v>5486</v>
      </c>
      <c r="E1987" s="1" t="s">
        <v>36</v>
      </c>
      <c r="G1987">
        <v>451872</v>
      </c>
      <c r="H1987" t="s">
        <v>5475</v>
      </c>
      <c r="I1987" t="s">
        <v>5451</v>
      </c>
      <c r="J1987">
        <v>15</v>
      </c>
      <c r="K1987">
        <v>451879</v>
      </c>
      <c r="L1987">
        <v>95080</v>
      </c>
      <c r="M1987" t="s">
        <v>83</v>
      </c>
      <c r="N1987">
        <v>529</v>
      </c>
      <c r="O1987" s="2">
        <v>46188</v>
      </c>
      <c r="P1987" s="2">
        <v>46218</v>
      </c>
      <c r="R1987" t="s">
        <v>5487</v>
      </c>
      <c r="S1987" t="str">
        <f>""</f>
        <v/>
      </c>
      <c r="T1987" t="s">
        <v>41</v>
      </c>
      <c r="U1987">
        <v>1454.4</v>
      </c>
      <c r="V1987">
        <v>1454.4</v>
      </c>
      <c r="W1987">
        <v>1454.4</v>
      </c>
      <c r="X1987">
        <v>0</v>
      </c>
      <c r="Y1987">
        <v>0</v>
      </c>
      <c r="Z1987">
        <v>-443</v>
      </c>
      <c r="AA1987">
        <v>690495</v>
      </c>
      <c r="AD1987" t="s">
        <v>5477</v>
      </c>
      <c r="AE1987" t="s">
        <v>5453</v>
      </c>
      <c r="AF1987" t="s">
        <v>5477</v>
      </c>
      <c r="AG1987">
        <v>61585865073701</v>
      </c>
      <c r="AH1987" t="s">
        <v>44</v>
      </c>
    </row>
    <row r="1988" spans="1:34" x14ac:dyDescent="0.3">
      <c r="A1988">
        <v>101</v>
      </c>
      <c r="B1988" t="s">
        <v>34</v>
      </c>
      <c r="C1988">
        <v>2</v>
      </c>
      <c r="D1988" s="1" t="s">
        <v>5488</v>
      </c>
      <c r="E1988" s="1" t="s">
        <v>36</v>
      </c>
      <c r="G1988">
        <v>451872</v>
      </c>
      <c r="H1988" t="s">
        <v>5475</v>
      </c>
      <c r="I1988" t="s">
        <v>5451</v>
      </c>
      <c r="J1988">
        <v>15</v>
      </c>
      <c r="K1988">
        <v>451879</v>
      </c>
      <c r="L1988">
        <v>95080</v>
      </c>
      <c r="M1988" t="s">
        <v>83</v>
      </c>
      <c r="N1988">
        <v>529</v>
      </c>
      <c r="O1988" s="2">
        <v>46114</v>
      </c>
      <c r="P1988" s="2">
        <v>46144</v>
      </c>
      <c r="R1988" t="s">
        <v>5489</v>
      </c>
      <c r="S1988" t="str">
        <f>""</f>
        <v/>
      </c>
      <c r="T1988" t="s">
        <v>41</v>
      </c>
      <c r="U1988">
        <v>1260.5999999999999</v>
      </c>
      <c r="V1988">
        <v>1260.5999999999999</v>
      </c>
      <c r="W1988">
        <v>1260.5999999999999</v>
      </c>
      <c r="X1988">
        <v>0</v>
      </c>
      <c r="Y1988">
        <v>0</v>
      </c>
      <c r="Z1988">
        <v>-369</v>
      </c>
      <c r="AA1988">
        <v>684653</v>
      </c>
      <c r="AD1988" t="s">
        <v>5477</v>
      </c>
      <c r="AE1988" t="s">
        <v>5453</v>
      </c>
      <c r="AF1988" t="s">
        <v>5477</v>
      </c>
      <c r="AG1988">
        <v>61585865073701</v>
      </c>
      <c r="AH1988" t="s">
        <v>44</v>
      </c>
    </row>
    <row r="1989" spans="1:34" x14ac:dyDescent="0.3">
      <c r="A1989">
        <v>101</v>
      </c>
      <c r="B1989" t="s">
        <v>34</v>
      </c>
      <c r="C1989">
        <v>2</v>
      </c>
      <c r="D1989" s="1" t="s">
        <v>5490</v>
      </c>
      <c r="E1989" s="1" t="s">
        <v>36</v>
      </c>
      <c r="G1989">
        <v>451873</v>
      </c>
      <c r="H1989" t="s">
        <v>5491</v>
      </c>
      <c r="I1989" t="s">
        <v>5451</v>
      </c>
      <c r="J1989">
        <v>15</v>
      </c>
      <c r="K1989">
        <v>451879</v>
      </c>
      <c r="L1989">
        <v>95000</v>
      </c>
      <c r="M1989" t="s">
        <v>69</v>
      </c>
      <c r="N1989">
        <v>529</v>
      </c>
      <c r="O1989" s="2">
        <v>46226</v>
      </c>
      <c r="P1989" s="2">
        <v>46265</v>
      </c>
      <c r="R1989" t="s">
        <v>5492</v>
      </c>
      <c r="S1989" t="str">
        <f>""</f>
        <v/>
      </c>
      <c r="T1989" t="s">
        <v>41</v>
      </c>
      <c r="U1989">
        <v>7913.7</v>
      </c>
      <c r="V1989">
        <v>7913.7</v>
      </c>
      <c r="W1989">
        <v>7913.7</v>
      </c>
      <c r="X1989">
        <v>0</v>
      </c>
      <c r="Y1989">
        <v>0</v>
      </c>
      <c r="Z1989">
        <v>-490</v>
      </c>
      <c r="AA1989">
        <v>1621</v>
      </c>
      <c r="AD1989" t="s">
        <v>5493</v>
      </c>
      <c r="AE1989" t="s">
        <v>5464</v>
      </c>
      <c r="AF1989" t="s">
        <v>5493</v>
      </c>
      <c r="AG1989">
        <v>61585865065440</v>
      </c>
      <c r="AH1989" t="s">
        <v>5494</v>
      </c>
    </row>
    <row r="1990" spans="1:34" x14ac:dyDescent="0.3">
      <c r="A1990">
        <v>101</v>
      </c>
      <c r="B1990" t="s">
        <v>34</v>
      </c>
      <c r="C1990">
        <v>2</v>
      </c>
      <c r="D1990" s="1" t="s">
        <v>5495</v>
      </c>
      <c r="E1990" s="1" t="s">
        <v>36</v>
      </c>
      <c r="G1990">
        <v>451873</v>
      </c>
      <c r="H1990" t="s">
        <v>5491</v>
      </c>
      <c r="I1990" t="s">
        <v>5451</v>
      </c>
      <c r="J1990">
        <v>15</v>
      </c>
      <c r="K1990">
        <v>451879</v>
      </c>
      <c r="L1990">
        <v>95000</v>
      </c>
      <c r="M1990" t="s">
        <v>69</v>
      </c>
      <c r="N1990">
        <v>529</v>
      </c>
      <c r="O1990" s="2">
        <v>46245</v>
      </c>
      <c r="P1990" s="2">
        <v>46275</v>
      </c>
      <c r="R1990" t="s">
        <v>5496</v>
      </c>
      <c r="S1990" t="str">
        <f>""</f>
        <v/>
      </c>
      <c r="T1990" t="s">
        <v>41</v>
      </c>
      <c r="U1990">
        <v>12725.1</v>
      </c>
      <c r="V1990">
        <v>12725.1</v>
      </c>
      <c r="W1990">
        <v>12725.1</v>
      </c>
      <c r="X1990">
        <v>0</v>
      </c>
      <c r="Y1990">
        <v>0</v>
      </c>
      <c r="Z1990">
        <v>-500</v>
      </c>
      <c r="AA1990">
        <v>4385</v>
      </c>
      <c r="AD1990" t="s">
        <v>5493</v>
      </c>
      <c r="AE1990" t="s">
        <v>5464</v>
      </c>
      <c r="AF1990" t="s">
        <v>5493</v>
      </c>
      <c r="AG1990">
        <v>61585865065440</v>
      </c>
      <c r="AH1990" t="s">
        <v>5494</v>
      </c>
    </row>
    <row r="1991" spans="1:34" x14ac:dyDescent="0.3">
      <c r="A1991">
        <v>101</v>
      </c>
      <c r="B1991" t="s">
        <v>34</v>
      </c>
      <c r="C1991">
        <v>2</v>
      </c>
      <c r="D1991" s="1" t="s">
        <v>5497</v>
      </c>
      <c r="E1991" s="1" t="s">
        <v>36</v>
      </c>
      <c r="G1991">
        <v>451873</v>
      </c>
      <c r="H1991" t="s">
        <v>5491</v>
      </c>
      <c r="I1991" t="s">
        <v>5451</v>
      </c>
      <c r="J1991">
        <v>15</v>
      </c>
      <c r="K1991">
        <v>451879</v>
      </c>
      <c r="L1991">
        <v>95080</v>
      </c>
      <c r="M1991" t="s">
        <v>83</v>
      </c>
      <c r="N1991">
        <v>529</v>
      </c>
      <c r="O1991" s="2">
        <v>46188</v>
      </c>
      <c r="P1991" s="2">
        <v>46218</v>
      </c>
      <c r="R1991" t="s">
        <v>5498</v>
      </c>
      <c r="S1991" t="str">
        <f>""</f>
        <v/>
      </c>
      <c r="T1991" t="s">
        <v>41</v>
      </c>
      <c r="U1991">
        <v>9185.4</v>
      </c>
      <c r="V1991">
        <v>9185.4</v>
      </c>
      <c r="W1991">
        <v>9185.4</v>
      </c>
      <c r="X1991">
        <v>0</v>
      </c>
      <c r="Y1991">
        <v>0</v>
      </c>
      <c r="Z1991">
        <v>-443</v>
      </c>
      <c r="AA1991">
        <v>690483</v>
      </c>
      <c r="AD1991" t="s">
        <v>5493</v>
      </c>
      <c r="AE1991" t="s">
        <v>5464</v>
      </c>
      <c r="AF1991" t="s">
        <v>5493</v>
      </c>
      <c r="AG1991">
        <v>61585865065440</v>
      </c>
      <c r="AH1991" t="s">
        <v>5494</v>
      </c>
    </row>
    <row r="1992" spans="1:34" x14ac:dyDescent="0.3">
      <c r="A1992">
        <v>101</v>
      </c>
      <c r="B1992" t="s">
        <v>34</v>
      </c>
      <c r="C1992">
        <v>2</v>
      </c>
      <c r="D1992" s="1" t="s">
        <v>5499</v>
      </c>
      <c r="E1992" s="1" t="s">
        <v>36</v>
      </c>
      <c r="G1992">
        <v>451873</v>
      </c>
      <c r="H1992" t="s">
        <v>5491</v>
      </c>
      <c r="I1992" t="s">
        <v>5451</v>
      </c>
      <c r="J1992">
        <v>15</v>
      </c>
      <c r="K1992">
        <v>451879</v>
      </c>
      <c r="L1992">
        <v>95000</v>
      </c>
      <c r="M1992" t="s">
        <v>69</v>
      </c>
      <c r="N1992">
        <v>529</v>
      </c>
      <c r="O1992" s="2">
        <v>46209</v>
      </c>
      <c r="P1992" s="2">
        <v>46258</v>
      </c>
      <c r="R1992" t="s">
        <v>5500</v>
      </c>
      <c r="S1992" t="str">
        <f>""</f>
        <v/>
      </c>
      <c r="T1992" t="s">
        <v>41</v>
      </c>
      <c r="U1992">
        <v>7913.7</v>
      </c>
      <c r="V1992">
        <v>7913.7</v>
      </c>
      <c r="W1992">
        <v>7913.7</v>
      </c>
      <c r="X1992">
        <v>0</v>
      </c>
      <c r="Y1992">
        <v>0</v>
      </c>
      <c r="Z1992">
        <v>-483</v>
      </c>
      <c r="AA1992">
        <v>691539</v>
      </c>
      <c r="AD1992" t="s">
        <v>5493</v>
      </c>
      <c r="AE1992" t="s">
        <v>5464</v>
      </c>
      <c r="AF1992" t="s">
        <v>5493</v>
      </c>
      <c r="AG1992">
        <v>61585865065440</v>
      </c>
      <c r="AH1992" t="s">
        <v>5494</v>
      </c>
    </row>
    <row r="1993" spans="1:34" x14ac:dyDescent="0.3">
      <c r="A1993">
        <v>101</v>
      </c>
      <c r="B1993" t="s">
        <v>34</v>
      </c>
      <c r="C1993">
        <v>2</v>
      </c>
      <c r="D1993" s="1" t="s">
        <v>5501</v>
      </c>
      <c r="E1993" s="1" t="s">
        <v>36</v>
      </c>
      <c r="G1993">
        <v>451873</v>
      </c>
      <c r="H1993" t="s">
        <v>5491</v>
      </c>
      <c r="I1993" t="s">
        <v>5451</v>
      </c>
      <c r="J1993">
        <v>15</v>
      </c>
      <c r="K1993">
        <v>451879</v>
      </c>
      <c r="L1993">
        <v>95000</v>
      </c>
      <c r="M1993" t="s">
        <v>69</v>
      </c>
      <c r="N1993">
        <v>529</v>
      </c>
      <c r="O1993" s="2">
        <v>46209</v>
      </c>
      <c r="P1993" s="2">
        <v>46258</v>
      </c>
      <c r="R1993" t="s">
        <v>5502</v>
      </c>
      <c r="S1993" t="str">
        <f>""</f>
        <v/>
      </c>
      <c r="T1993" t="s">
        <v>41</v>
      </c>
      <c r="U1993">
        <v>508.68</v>
      </c>
      <c r="V1993">
        <v>508.68</v>
      </c>
      <c r="W1993">
        <v>508.68</v>
      </c>
      <c r="X1993">
        <v>0</v>
      </c>
      <c r="Y1993">
        <v>0</v>
      </c>
      <c r="Z1993">
        <v>-483</v>
      </c>
      <c r="AA1993">
        <v>691540</v>
      </c>
      <c r="AD1993" t="s">
        <v>5493</v>
      </c>
      <c r="AE1993" t="s">
        <v>5464</v>
      </c>
      <c r="AF1993" t="s">
        <v>5493</v>
      </c>
      <c r="AG1993">
        <v>61585865065440</v>
      </c>
      <c r="AH1993" t="s">
        <v>5494</v>
      </c>
    </row>
    <row r="1994" spans="1:34" x14ac:dyDescent="0.3">
      <c r="A1994">
        <v>101</v>
      </c>
      <c r="B1994" t="s">
        <v>34</v>
      </c>
      <c r="C1994">
        <v>2</v>
      </c>
      <c r="D1994" s="1" t="s">
        <v>5503</v>
      </c>
      <c r="E1994" s="1" t="s">
        <v>36</v>
      </c>
      <c r="G1994">
        <v>451873</v>
      </c>
      <c r="H1994" t="s">
        <v>5491</v>
      </c>
      <c r="I1994" t="s">
        <v>5451</v>
      </c>
      <c r="J1994">
        <v>15</v>
      </c>
      <c r="K1994">
        <v>451879</v>
      </c>
      <c r="L1994">
        <v>95000</v>
      </c>
      <c r="M1994" t="s">
        <v>69</v>
      </c>
      <c r="N1994">
        <v>529</v>
      </c>
      <c r="O1994" s="2">
        <v>46209</v>
      </c>
      <c r="P1994" s="2">
        <v>46258</v>
      </c>
      <c r="R1994" t="s">
        <v>5504</v>
      </c>
      <c r="S1994" t="str">
        <f>""</f>
        <v/>
      </c>
      <c r="T1994" t="s">
        <v>41</v>
      </c>
      <c r="U1994">
        <v>8176.08</v>
      </c>
      <c r="V1994">
        <v>8176.08</v>
      </c>
      <c r="W1994">
        <v>8176.08</v>
      </c>
      <c r="X1994">
        <v>0</v>
      </c>
      <c r="Y1994">
        <v>0</v>
      </c>
      <c r="Z1994">
        <v>-483</v>
      </c>
      <c r="AA1994">
        <v>691941</v>
      </c>
      <c r="AD1994" t="s">
        <v>5493</v>
      </c>
      <c r="AE1994" t="s">
        <v>5464</v>
      </c>
      <c r="AF1994" t="s">
        <v>5493</v>
      </c>
      <c r="AG1994">
        <v>61585865065440</v>
      </c>
      <c r="AH1994" t="s">
        <v>5494</v>
      </c>
    </row>
    <row r="1995" spans="1:34" x14ac:dyDescent="0.3">
      <c r="A1995">
        <v>101</v>
      </c>
      <c r="B1995" t="s">
        <v>34</v>
      </c>
      <c r="C1995">
        <v>2</v>
      </c>
      <c r="D1995" s="1" t="s">
        <v>5505</v>
      </c>
      <c r="E1995" s="1" t="s">
        <v>36</v>
      </c>
      <c r="G1995">
        <v>451874</v>
      </c>
      <c r="H1995" t="s">
        <v>5506</v>
      </c>
      <c r="I1995" t="s">
        <v>5451</v>
      </c>
      <c r="J1995">
        <v>15</v>
      </c>
      <c r="K1995">
        <v>451879</v>
      </c>
      <c r="L1995">
        <v>95000</v>
      </c>
      <c r="M1995" t="s">
        <v>69</v>
      </c>
      <c r="N1995">
        <v>529</v>
      </c>
      <c r="O1995" s="2">
        <v>46245</v>
      </c>
      <c r="P1995" s="2">
        <v>46275</v>
      </c>
      <c r="R1995" t="s">
        <v>5507</v>
      </c>
      <c r="S1995" t="str">
        <f>""</f>
        <v/>
      </c>
      <c r="T1995" t="s">
        <v>41</v>
      </c>
      <c r="U1995">
        <v>10765.2</v>
      </c>
      <c r="V1995">
        <v>10765.2</v>
      </c>
      <c r="W1995">
        <v>10765.2</v>
      </c>
      <c r="X1995">
        <v>0</v>
      </c>
      <c r="Y1995">
        <v>0</v>
      </c>
      <c r="Z1995">
        <v>-500</v>
      </c>
      <c r="AA1995">
        <v>4384</v>
      </c>
      <c r="AD1995" t="s">
        <v>5313</v>
      </c>
      <c r="AE1995" t="s">
        <v>5453</v>
      </c>
      <c r="AF1995" t="s">
        <v>5313</v>
      </c>
      <c r="AG1995">
        <v>61585865065954</v>
      </c>
      <c r="AH1995" t="s">
        <v>3698</v>
      </c>
    </row>
    <row r="1996" spans="1:34" x14ac:dyDescent="0.3">
      <c r="A1996">
        <v>101</v>
      </c>
      <c r="B1996" t="s">
        <v>34</v>
      </c>
      <c r="C1996">
        <v>2</v>
      </c>
      <c r="D1996" s="1" t="s">
        <v>5508</v>
      </c>
      <c r="E1996" s="1" t="s">
        <v>36</v>
      </c>
      <c r="G1996">
        <v>451875</v>
      </c>
      <c r="H1996" t="s">
        <v>5509</v>
      </c>
      <c r="I1996" t="s">
        <v>5451</v>
      </c>
      <c r="J1996">
        <v>15</v>
      </c>
      <c r="K1996">
        <v>451879</v>
      </c>
      <c r="L1996">
        <v>95000</v>
      </c>
      <c r="M1996" t="s">
        <v>69</v>
      </c>
      <c r="N1996">
        <v>529</v>
      </c>
      <c r="O1996" s="2">
        <v>46226</v>
      </c>
      <c r="P1996" s="2">
        <v>46268</v>
      </c>
      <c r="R1996" t="s">
        <v>5510</v>
      </c>
      <c r="S1996" t="str">
        <f>""</f>
        <v/>
      </c>
      <c r="T1996" t="s">
        <v>41</v>
      </c>
      <c r="U1996">
        <v>7913.7</v>
      </c>
      <c r="V1996">
        <v>7913.7</v>
      </c>
      <c r="W1996">
        <v>7913.7</v>
      </c>
      <c r="X1996">
        <v>0</v>
      </c>
      <c r="Y1996">
        <v>0</v>
      </c>
      <c r="Z1996">
        <v>-493</v>
      </c>
      <c r="AA1996">
        <v>1624</v>
      </c>
      <c r="AD1996" t="s">
        <v>50</v>
      </c>
      <c r="AE1996" t="s">
        <v>5453</v>
      </c>
      <c r="AF1996" t="s">
        <v>50</v>
      </c>
      <c r="AG1996">
        <v>61585865184295</v>
      </c>
      <c r="AH1996" t="s">
        <v>44</v>
      </c>
    </row>
    <row r="1997" spans="1:34" x14ac:dyDescent="0.3">
      <c r="A1997">
        <v>101</v>
      </c>
      <c r="B1997" t="s">
        <v>34</v>
      </c>
      <c r="C1997">
        <v>2</v>
      </c>
      <c r="D1997" s="1" t="s">
        <v>5511</v>
      </c>
      <c r="E1997" s="1" t="s">
        <v>36</v>
      </c>
      <c r="G1997">
        <v>451875</v>
      </c>
      <c r="H1997" t="s">
        <v>5509</v>
      </c>
      <c r="I1997" t="s">
        <v>5451</v>
      </c>
      <c r="J1997">
        <v>15</v>
      </c>
      <c r="K1997">
        <v>451879</v>
      </c>
      <c r="L1997">
        <v>95000</v>
      </c>
      <c r="M1997" t="s">
        <v>69</v>
      </c>
      <c r="N1997">
        <v>529</v>
      </c>
      <c r="O1997" s="2">
        <v>46245</v>
      </c>
      <c r="P1997" s="2">
        <v>46283</v>
      </c>
      <c r="R1997" t="s">
        <v>5512</v>
      </c>
      <c r="S1997" t="str">
        <f>""</f>
        <v/>
      </c>
      <c r="T1997" t="s">
        <v>41</v>
      </c>
      <c r="U1997">
        <v>22761.9</v>
      </c>
      <c r="V1997">
        <v>22761.9</v>
      </c>
      <c r="W1997">
        <v>22761.9</v>
      </c>
      <c r="X1997">
        <v>0</v>
      </c>
      <c r="Y1997">
        <v>0</v>
      </c>
      <c r="Z1997">
        <v>-508</v>
      </c>
      <c r="AA1997">
        <v>4390</v>
      </c>
      <c r="AD1997" t="s">
        <v>50</v>
      </c>
      <c r="AE1997" t="s">
        <v>5453</v>
      </c>
      <c r="AF1997" t="s">
        <v>50</v>
      </c>
      <c r="AG1997">
        <v>61585865184295</v>
      </c>
      <c r="AH1997" t="s">
        <v>44</v>
      </c>
    </row>
    <row r="1998" spans="1:34" x14ac:dyDescent="0.3">
      <c r="A1998">
        <v>101</v>
      </c>
      <c r="B1998" t="s">
        <v>34</v>
      </c>
      <c r="C1998">
        <v>2</v>
      </c>
      <c r="D1998" s="1" t="s">
        <v>5513</v>
      </c>
      <c r="E1998" s="1" t="s">
        <v>36</v>
      </c>
      <c r="G1998">
        <v>451875</v>
      </c>
      <c r="H1998" t="s">
        <v>5509</v>
      </c>
      <c r="I1998" t="s">
        <v>5451</v>
      </c>
      <c r="J1998">
        <v>15</v>
      </c>
      <c r="K1998">
        <v>451879</v>
      </c>
      <c r="L1998">
        <v>95000</v>
      </c>
      <c r="M1998" t="s">
        <v>69</v>
      </c>
      <c r="N1998">
        <v>529</v>
      </c>
      <c r="O1998" s="2">
        <v>46255</v>
      </c>
      <c r="P1998" s="2">
        <v>46285</v>
      </c>
      <c r="R1998" t="s">
        <v>5514</v>
      </c>
      <c r="S1998" t="str">
        <f>""</f>
        <v/>
      </c>
      <c r="T1998" t="s">
        <v>41</v>
      </c>
      <c r="U1998">
        <v>8672.4</v>
      </c>
      <c r="V1998">
        <v>8672.4</v>
      </c>
      <c r="W1998">
        <v>8672.4</v>
      </c>
      <c r="X1998">
        <v>0</v>
      </c>
      <c r="Y1998">
        <v>0</v>
      </c>
      <c r="Z1998">
        <v>-510</v>
      </c>
      <c r="AA1998">
        <v>4918</v>
      </c>
      <c r="AD1998" t="s">
        <v>50</v>
      </c>
      <c r="AE1998" t="s">
        <v>5453</v>
      </c>
      <c r="AF1998" t="s">
        <v>50</v>
      </c>
      <c r="AG1998">
        <v>61585865184295</v>
      </c>
      <c r="AH1998" t="s">
        <v>44</v>
      </c>
    </row>
    <row r="1999" spans="1:34" x14ac:dyDescent="0.3">
      <c r="A1999">
        <v>101</v>
      </c>
      <c r="B1999" t="s">
        <v>34</v>
      </c>
      <c r="C1999">
        <v>2</v>
      </c>
      <c r="D1999" s="1" t="s">
        <v>5515</v>
      </c>
      <c r="E1999" s="1" t="s">
        <v>36</v>
      </c>
      <c r="G1999">
        <v>451876</v>
      </c>
      <c r="H1999" t="s">
        <v>5516</v>
      </c>
      <c r="I1999" t="s">
        <v>5451</v>
      </c>
      <c r="J1999">
        <v>15</v>
      </c>
      <c r="K1999">
        <v>451879</v>
      </c>
      <c r="L1999">
        <v>95000</v>
      </c>
      <c r="M1999" t="s">
        <v>69</v>
      </c>
      <c r="N1999">
        <v>529</v>
      </c>
      <c r="O1999" s="2">
        <v>46245</v>
      </c>
      <c r="P1999" s="2">
        <v>46275</v>
      </c>
      <c r="R1999" t="s">
        <v>5517</v>
      </c>
      <c r="S1999" t="str">
        <f>""</f>
        <v/>
      </c>
      <c r="T1999" t="s">
        <v>41</v>
      </c>
      <c r="U1999">
        <v>10606.32</v>
      </c>
      <c r="V1999">
        <v>10606.32</v>
      </c>
      <c r="W1999">
        <v>10606.32</v>
      </c>
      <c r="X1999">
        <v>0</v>
      </c>
      <c r="Y1999">
        <v>0</v>
      </c>
      <c r="Z1999">
        <v>-500</v>
      </c>
      <c r="AA1999">
        <v>4391</v>
      </c>
      <c r="AD1999" t="s">
        <v>3518</v>
      </c>
      <c r="AE1999" t="s">
        <v>5453</v>
      </c>
      <c r="AF1999" t="s">
        <v>3518</v>
      </c>
      <c r="AG1999">
        <v>61585865212841</v>
      </c>
      <c r="AH1999" t="s">
        <v>3520</v>
      </c>
    </row>
    <row r="2000" spans="1:34" x14ac:dyDescent="0.3">
      <c r="A2000">
        <v>101</v>
      </c>
      <c r="B2000" t="s">
        <v>34</v>
      </c>
      <c r="C2000">
        <v>2</v>
      </c>
      <c r="D2000" s="1" t="s">
        <v>5518</v>
      </c>
      <c r="E2000" s="1" t="s">
        <v>36</v>
      </c>
      <c r="G2000">
        <v>451876</v>
      </c>
      <c r="H2000" t="s">
        <v>5516</v>
      </c>
      <c r="I2000" t="s">
        <v>5451</v>
      </c>
      <c r="J2000">
        <v>15</v>
      </c>
      <c r="K2000">
        <v>451879</v>
      </c>
      <c r="L2000">
        <v>95000</v>
      </c>
      <c r="M2000" t="s">
        <v>69</v>
      </c>
      <c r="N2000">
        <v>529</v>
      </c>
      <c r="O2000" s="2">
        <v>46209</v>
      </c>
      <c r="P2000" s="2">
        <v>46270</v>
      </c>
      <c r="R2000" t="s">
        <v>5519</v>
      </c>
      <c r="S2000" t="str">
        <f>""</f>
        <v/>
      </c>
      <c r="T2000" t="s">
        <v>41</v>
      </c>
      <c r="U2000">
        <v>6652.8</v>
      </c>
      <c r="V2000">
        <v>6652.8</v>
      </c>
      <c r="W2000">
        <v>6652.8</v>
      </c>
      <c r="X2000">
        <v>0</v>
      </c>
      <c r="Y2000">
        <v>0</v>
      </c>
      <c r="Z2000">
        <v>-495</v>
      </c>
      <c r="AA2000">
        <v>691546</v>
      </c>
      <c r="AD2000" t="s">
        <v>3518</v>
      </c>
      <c r="AE2000" t="s">
        <v>5453</v>
      </c>
      <c r="AF2000" t="s">
        <v>3518</v>
      </c>
      <c r="AG2000">
        <v>61585865212841</v>
      </c>
      <c r="AH2000" t="s">
        <v>3520</v>
      </c>
    </row>
    <row r="2001" spans="1:34" x14ac:dyDescent="0.3">
      <c r="A2001">
        <v>101</v>
      </c>
      <c r="B2001" t="s">
        <v>34</v>
      </c>
      <c r="C2001">
        <v>2</v>
      </c>
      <c r="D2001" s="1" t="s">
        <v>5520</v>
      </c>
      <c r="E2001" s="1" t="s">
        <v>36</v>
      </c>
      <c r="G2001">
        <v>451876</v>
      </c>
      <c r="H2001" t="s">
        <v>5516</v>
      </c>
      <c r="I2001" t="s">
        <v>5451</v>
      </c>
      <c r="J2001">
        <v>15</v>
      </c>
      <c r="K2001">
        <v>451879</v>
      </c>
      <c r="L2001">
        <v>95000</v>
      </c>
      <c r="M2001" t="s">
        <v>69</v>
      </c>
      <c r="N2001">
        <v>529</v>
      </c>
      <c r="O2001" s="2">
        <v>46217</v>
      </c>
      <c r="P2001" s="2">
        <v>46270</v>
      </c>
      <c r="R2001" t="s">
        <v>5521</v>
      </c>
      <c r="S2001" t="str">
        <f>""</f>
        <v/>
      </c>
      <c r="T2001" t="s">
        <v>41</v>
      </c>
      <c r="U2001">
        <v>10683.9</v>
      </c>
      <c r="V2001">
        <v>10683.9</v>
      </c>
      <c r="W2001">
        <v>10683.9</v>
      </c>
      <c r="X2001">
        <v>0</v>
      </c>
      <c r="Y2001">
        <v>0</v>
      </c>
      <c r="Z2001">
        <v>-495</v>
      </c>
      <c r="AA2001">
        <v>1151</v>
      </c>
      <c r="AD2001" t="s">
        <v>3518</v>
      </c>
      <c r="AE2001" t="s">
        <v>5453</v>
      </c>
      <c r="AF2001" t="s">
        <v>3518</v>
      </c>
      <c r="AG2001">
        <v>61585865212841</v>
      </c>
      <c r="AH2001" t="s">
        <v>3520</v>
      </c>
    </row>
    <row r="2002" spans="1:34" x14ac:dyDescent="0.3">
      <c r="A2002">
        <v>101</v>
      </c>
      <c r="B2002" t="s">
        <v>34</v>
      </c>
      <c r="C2002">
        <v>2</v>
      </c>
      <c r="D2002" s="1" t="s">
        <v>5522</v>
      </c>
      <c r="E2002" s="1" t="s">
        <v>36</v>
      </c>
      <c r="G2002">
        <v>451876</v>
      </c>
      <c r="H2002" t="s">
        <v>5516</v>
      </c>
      <c r="I2002" t="s">
        <v>5451</v>
      </c>
      <c r="J2002">
        <v>15</v>
      </c>
      <c r="K2002">
        <v>451879</v>
      </c>
      <c r="L2002">
        <v>95000</v>
      </c>
      <c r="M2002" t="s">
        <v>69</v>
      </c>
      <c r="N2002">
        <v>529</v>
      </c>
      <c r="O2002" s="2">
        <v>46209</v>
      </c>
      <c r="P2002" s="2">
        <v>46271</v>
      </c>
      <c r="R2002" t="s">
        <v>5523</v>
      </c>
      <c r="S2002" t="str">
        <f>""</f>
        <v/>
      </c>
      <c r="T2002" t="s">
        <v>41</v>
      </c>
      <c r="U2002">
        <v>5508.6</v>
      </c>
      <c r="V2002">
        <v>5366.64</v>
      </c>
      <c r="W2002">
        <v>5366.64</v>
      </c>
      <c r="X2002">
        <v>0</v>
      </c>
      <c r="Y2002">
        <v>0</v>
      </c>
      <c r="Z2002">
        <v>-496</v>
      </c>
      <c r="AA2002">
        <v>691926</v>
      </c>
      <c r="AD2002" t="s">
        <v>3518</v>
      </c>
      <c r="AE2002" t="s">
        <v>5453</v>
      </c>
      <c r="AF2002" t="s">
        <v>3518</v>
      </c>
      <c r="AG2002">
        <v>61585865212841</v>
      </c>
      <c r="AH2002" t="s">
        <v>3520</v>
      </c>
    </row>
    <row r="2003" spans="1:34" x14ac:dyDescent="0.3">
      <c r="A2003">
        <v>101</v>
      </c>
      <c r="B2003" t="s">
        <v>34</v>
      </c>
      <c r="C2003">
        <v>2</v>
      </c>
      <c r="D2003" s="1" t="s">
        <v>5524</v>
      </c>
      <c r="E2003" s="1" t="s">
        <v>36</v>
      </c>
      <c r="G2003">
        <v>451877</v>
      </c>
      <c r="H2003" t="s">
        <v>5525</v>
      </c>
      <c r="I2003" t="s">
        <v>5451</v>
      </c>
      <c r="J2003">
        <v>15</v>
      </c>
      <c r="K2003">
        <v>451879</v>
      </c>
      <c r="L2003">
        <v>95000</v>
      </c>
      <c r="M2003" t="s">
        <v>69</v>
      </c>
      <c r="N2003">
        <v>529</v>
      </c>
      <c r="O2003" s="2">
        <v>46245</v>
      </c>
      <c r="P2003" s="2">
        <v>46275</v>
      </c>
      <c r="R2003" t="s">
        <v>5526</v>
      </c>
      <c r="S2003" t="str">
        <f>""</f>
        <v/>
      </c>
      <c r="T2003" t="s">
        <v>41</v>
      </c>
      <c r="U2003">
        <v>14680.98</v>
      </c>
      <c r="V2003">
        <v>14680.98</v>
      </c>
      <c r="W2003">
        <v>14680.98</v>
      </c>
      <c r="X2003">
        <v>0</v>
      </c>
      <c r="Y2003">
        <v>0</v>
      </c>
      <c r="Z2003">
        <v>-500</v>
      </c>
      <c r="AA2003">
        <v>4387</v>
      </c>
      <c r="AD2003" t="s">
        <v>2505</v>
      </c>
      <c r="AE2003" t="s">
        <v>5453</v>
      </c>
      <c r="AF2003" t="s">
        <v>2505</v>
      </c>
      <c r="AG2003">
        <v>61585865134000</v>
      </c>
      <c r="AH2003" t="s">
        <v>2403</v>
      </c>
    </row>
    <row r="2004" spans="1:34" x14ac:dyDescent="0.3">
      <c r="A2004">
        <v>101</v>
      </c>
      <c r="B2004" t="s">
        <v>34</v>
      </c>
      <c r="C2004">
        <v>2</v>
      </c>
      <c r="D2004" s="1" t="s">
        <v>5527</v>
      </c>
      <c r="E2004" s="1" t="s">
        <v>36</v>
      </c>
      <c r="G2004">
        <v>461057</v>
      </c>
      <c r="H2004" t="s">
        <v>5528</v>
      </c>
      <c r="I2004" t="s">
        <v>5529</v>
      </c>
      <c r="J2004">
        <v>15</v>
      </c>
      <c r="K2004">
        <v>451879</v>
      </c>
      <c r="L2004">
        <v>95080</v>
      </c>
      <c r="M2004" t="s">
        <v>83</v>
      </c>
      <c r="N2004">
        <v>529</v>
      </c>
      <c r="O2004" s="2">
        <v>46188</v>
      </c>
      <c r="P2004" s="2">
        <v>46218</v>
      </c>
      <c r="R2004" t="s">
        <v>5530</v>
      </c>
      <c r="S2004" t="str">
        <f>""</f>
        <v/>
      </c>
      <c r="T2004" t="s">
        <v>41</v>
      </c>
      <c r="U2004">
        <v>1583.46</v>
      </c>
      <c r="V2004">
        <v>1583.46</v>
      </c>
      <c r="W2004">
        <v>1583.46</v>
      </c>
      <c r="X2004">
        <v>0</v>
      </c>
      <c r="Y2004">
        <v>0</v>
      </c>
      <c r="Z2004">
        <v>-443</v>
      </c>
      <c r="AA2004">
        <v>690511</v>
      </c>
      <c r="AD2004" t="s">
        <v>5531</v>
      </c>
      <c r="AE2004">
        <v>31998493065</v>
      </c>
      <c r="AF2004" t="s">
        <v>5531</v>
      </c>
      <c r="AG2004">
        <v>61585865288660</v>
      </c>
      <c r="AH2004" t="s">
        <v>423</v>
      </c>
    </row>
    <row r="2005" spans="1:34" x14ac:dyDescent="0.3">
      <c r="A2005">
        <v>101</v>
      </c>
      <c r="B2005" t="s">
        <v>34</v>
      </c>
      <c r="C2005">
        <v>2</v>
      </c>
      <c r="D2005" s="1" t="s">
        <v>5532</v>
      </c>
      <c r="E2005" s="1" t="s">
        <v>36</v>
      </c>
      <c r="G2005">
        <v>463526</v>
      </c>
      <c r="H2005" t="s">
        <v>5533</v>
      </c>
      <c r="I2005" t="s">
        <v>5451</v>
      </c>
      <c r="J2005">
        <v>15</v>
      </c>
      <c r="K2005">
        <v>451879</v>
      </c>
      <c r="L2005">
        <v>95000</v>
      </c>
      <c r="M2005" t="s">
        <v>69</v>
      </c>
      <c r="N2005">
        <v>529</v>
      </c>
      <c r="O2005" s="2">
        <v>46245</v>
      </c>
      <c r="P2005" s="2">
        <v>46275</v>
      </c>
      <c r="R2005" t="s">
        <v>5534</v>
      </c>
      <c r="S2005" t="str">
        <f>""</f>
        <v/>
      </c>
      <c r="T2005" t="s">
        <v>41</v>
      </c>
      <c r="U2005">
        <v>2093.7600000000002</v>
      </c>
      <c r="V2005">
        <v>2093.7600000000002</v>
      </c>
      <c r="W2005">
        <v>2093.7600000000002</v>
      </c>
      <c r="X2005">
        <v>0</v>
      </c>
      <c r="Y2005">
        <v>0</v>
      </c>
      <c r="Z2005">
        <v>-500</v>
      </c>
      <c r="AA2005">
        <v>4393</v>
      </c>
      <c r="AD2005" t="s">
        <v>5535</v>
      </c>
      <c r="AE2005" t="s">
        <v>5536</v>
      </c>
      <c r="AF2005" t="s">
        <v>5535</v>
      </c>
      <c r="AG2005">
        <v>61585865288406</v>
      </c>
      <c r="AH2005" t="s">
        <v>3024</v>
      </c>
    </row>
    <row r="2006" spans="1:34" x14ac:dyDescent="0.3">
      <c r="A2006">
        <v>101</v>
      </c>
      <c r="B2006" t="s">
        <v>34</v>
      </c>
      <c r="C2006">
        <v>2</v>
      </c>
      <c r="D2006" s="1" t="s">
        <v>5537</v>
      </c>
      <c r="E2006" s="1" t="s">
        <v>36</v>
      </c>
      <c r="G2006">
        <v>463526</v>
      </c>
      <c r="H2006" t="s">
        <v>5533</v>
      </c>
      <c r="I2006" t="s">
        <v>5451</v>
      </c>
      <c r="J2006">
        <v>15</v>
      </c>
      <c r="K2006">
        <v>451879</v>
      </c>
      <c r="L2006">
        <v>95000</v>
      </c>
      <c r="M2006" t="s">
        <v>69</v>
      </c>
      <c r="N2006">
        <v>529</v>
      </c>
      <c r="O2006" s="2">
        <v>46217</v>
      </c>
      <c r="P2006" s="2">
        <v>46267</v>
      </c>
      <c r="R2006" t="s">
        <v>5538</v>
      </c>
      <c r="S2006" t="str">
        <f>""</f>
        <v/>
      </c>
      <c r="T2006" t="s">
        <v>41</v>
      </c>
      <c r="U2006">
        <v>6779.7</v>
      </c>
      <c r="V2006">
        <v>6779.7</v>
      </c>
      <c r="W2006">
        <v>6779.7</v>
      </c>
      <c r="X2006">
        <v>0</v>
      </c>
      <c r="Y2006">
        <v>0</v>
      </c>
      <c r="Z2006">
        <v>-492</v>
      </c>
      <c r="AA2006">
        <v>1153</v>
      </c>
      <c r="AD2006" t="s">
        <v>5535</v>
      </c>
      <c r="AE2006" t="s">
        <v>5536</v>
      </c>
      <c r="AF2006" t="s">
        <v>5535</v>
      </c>
      <c r="AG2006">
        <v>61585865288406</v>
      </c>
      <c r="AH2006" t="s">
        <v>3024</v>
      </c>
    </row>
    <row r="2007" spans="1:34" x14ac:dyDescent="0.3">
      <c r="A2007">
        <v>101</v>
      </c>
      <c r="B2007" t="s">
        <v>34</v>
      </c>
      <c r="C2007">
        <v>2</v>
      </c>
      <c r="D2007" s="1" t="s">
        <v>5539</v>
      </c>
      <c r="E2007" s="1" t="s">
        <v>36</v>
      </c>
      <c r="G2007">
        <v>463526</v>
      </c>
      <c r="H2007" t="s">
        <v>5533</v>
      </c>
      <c r="I2007" t="s">
        <v>5451</v>
      </c>
      <c r="J2007">
        <v>15</v>
      </c>
      <c r="K2007">
        <v>451879</v>
      </c>
      <c r="L2007">
        <v>95000</v>
      </c>
      <c r="M2007" t="s">
        <v>69</v>
      </c>
      <c r="N2007">
        <v>529</v>
      </c>
      <c r="O2007" s="2">
        <v>46217</v>
      </c>
      <c r="P2007" s="2">
        <v>46267</v>
      </c>
      <c r="R2007" t="s">
        <v>5540</v>
      </c>
      <c r="S2007" t="str">
        <f>""</f>
        <v/>
      </c>
      <c r="T2007" t="s">
        <v>41</v>
      </c>
      <c r="U2007">
        <v>2288.88</v>
      </c>
      <c r="V2007">
        <v>2288.88</v>
      </c>
      <c r="W2007">
        <v>2288.88</v>
      </c>
      <c r="X2007">
        <v>0</v>
      </c>
      <c r="Y2007">
        <v>0</v>
      </c>
      <c r="Z2007">
        <v>-492</v>
      </c>
      <c r="AA2007">
        <v>1152</v>
      </c>
      <c r="AD2007" t="s">
        <v>5535</v>
      </c>
      <c r="AE2007" t="s">
        <v>5536</v>
      </c>
      <c r="AF2007" t="s">
        <v>5535</v>
      </c>
      <c r="AG2007">
        <v>61585865288406</v>
      </c>
      <c r="AH2007" t="s">
        <v>3024</v>
      </c>
    </row>
    <row r="2008" spans="1:34" x14ac:dyDescent="0.3">
      <c r="A2008">
        <v>101</v>
      </c>
      <c r="B2008" t="s">
        <v>34</v>
      </c>
      <c r="C2008">
        <v>2</v>
      </c>
      <c r="D2008" s="1" t="s">
        <v>5541</v>
      </c>
      <c r="E2008" s="1" t="s">
        <v>36</v>
      </c>
      <c r="G2008">
        <v>463526</v>
      </c>
      <c r="H2008" t="s">
        <v>5533</v>
      </c>
      <c r="I2008" t="s">
        <v>5451</v>
      </c>
      <c r="J2008">
        <v>15</v>
      </c>
      <c r="K2008">
        <v>451879</v>
      </c>
      <c r="L2008">
        <v>95000</v>
      </c>
      <c r="M2008" t="s">
        <v>69</v>
      </c>
      <c r="N2008">
        <v>529</v>
      </c>
      <c r="O2008" s="2">
        <v>46209</v>
      </c>
      <c r="P2008" s="2">
        <v>46267</v>
      </c>
      <c r="R2008" t="s">
        <v>5542</v>
      </c>
      <c r="S2008" t="str">
        <f>""</f>
        <v/>
      </c>
      <c r="T2008" t="s">
        <v>41</v>
      </c>
      <c r="U2008">
        <v>2509.92</v>
      </c>
      <c r="V2008">
        <v>2509.92</v>
      </c>
      <c r="W2008">
        <v>2509.92</v>
      </c>
      <c r="X2008">
        <v>0</v>
      </c>
      <c r="Y2008">
        <v>0</v>
      </c>
      <c r="Z2008">
        <v>-492</v>
      </c>
      <c r="AA2008">
        <v>691933</v>
      </c>
      <c r="AD2008" t="s">
        <v>5535</v>
      </c>
      <c r="AE2008" t="s">
        <v>5536</v>
      </c>
      <c r="AF2008" t="s">
        <v>5535</v>
      </c>
      <c r="AG2008">
        <v>61585865288406</v>
      </c>
      <c r="AH2008" t="s">
        <v>3024</v>
      </c>
    </row>
    <row r="2009" spans="1:34" x14ac:dyDescent="0.3">
      <c r="A2009">
        <v>101</v>
      </c>
      <c r="B2009" t="s">
        <v>34</v>
      </c>
      <c r="C2009">
        <v>2</v>
      </c>
      <c r="D2009" s="1" t="s">
        <v>5543</v>
      </c>
      <c r="E2009" s="1" t="s">
        <v>36</v>
      </c>
      <c r="G2009">
        <v>469991</v>
      </c>
      <c r="H2009" t="s">
        <v>5544</v>
      </c>
      <c r="I2009" t="s">
        <v>5451</v>
      </c>
      <c r="J2009">
        <v>15</v>
      </c>
      <c r="K2009">
        <v>451879</v>
      </c>
      <c r="L2009">
        <v>95000</v>
      </c>
      <c r="M2009" t="s">
        <v>69</v>
      </c>
      <c r="N2009">
        <v>529</v>
      </c>
      <c r="O2009" s="2">
        <v>46226</v>
      </c>
      <c r="P2009" s="2">
        <v>46271</v>
      </c>
      <c r="R2009" t="s">
        <v>5545</v>
      </c>
      <c r="S2009" t="str">
        <f>""</f>
        <v/>
      </c>
      <c r="T2009" t="s">
        <v>41</v>
      </c>
      <c r="U2009">
        <v>2041.2</v>
      </c>
      <c r="V2009">
        <v>2041.2</v>
      </c>
      <c r="W2009">
        <v>2041.2</v>
      </c>
      <c r="X2009">
        <v>0</v>
      </c>
      <c r="Y2009">
        <v>0</v>
      </c>
      <c r="Z2009">
        <v>-496</v>
      </c>
      <c r="AA2009">
        <v>1625</v>
      </c>
      <c r="AD2009" t="s">
        <v>5546</v>
      </c>
      <c r="AE2009">
        <v>1137695731</v>
      </c>
      <c r="AF2009" t="s">
        <v>5546</v>
      </c>
      <c r="AG2009">
        <v>61585865374159</v>
      </c>
      <c r="AH2009" t="s">
        <v>44</v>
      </c>
    </row>
    <row r="2010" spans="1:34" x14ac:dyDescent="0.3">
      <c r="A2010">
        <v>101</v>
      </c>
      <c r="B2010" t="s">
        <v>34</v>
      </c>
      <c r="C2010">
        <v>2</v>
      </c>
      <c r="D2010" s="1" t="s">
        <v>5547</v>
      </c>
      <c r="E2010" s="1" t="s">
        <v>116</v>
      </c>
      <c r="G2010">
        <v>10801</v>
      </c>
      <c r="H2010" t="s">
        <v>5548</v>
      </c>
      <c r="I2010" t="s">
        <v>5549</v>
      </c>
      <c r="J2010">
        <v>12</v>
      </c>
      <c r="K2010">
        <v>10801</v>
      </c>
      <c r="L2010">
        <v>50033</v>
      </c>
      <c r="M2010" t="s">
        <v>39</v>
      </c>
      <c r="N2010">
        <v>533</v>
      </c>
      <c r="O2010" s="2">
        <v>46216</v>
      </c>
      <c r="P2010" s="2">
        <v>46258</v>
      </c>
      <c r="R2010" t="s">
        <v>5550</v>
      </c>
      <c r="S2010" t="str">
        <f>"0000050409808"</f>
        <v>0000050409808</v>
      </c>
      <c r="T2010" t="s">
        <v>41</v>
      </c>
      <c r="U2010">
        <v>1574.39</v>
      </c>
      <c r="V2010">
        <v>1574.39</v>
      </c>
      <c r="W2010">
        <v>1574.39</v>
      </c>
      <c r="X2010">
        <v>0</v>
      </c>
      <c r="Y2010">
        <v>0</v>
      </c>
      <c r="Z2010">
        <v>-483</v>
      </c>
      <c r="AA2010">
        <v>1012</v>
      </c>
      <c r="AD2010" t="s">
        <v>4751</v>
      </c>
      <c r="AE2010" t="s">
        <v>5551</v>
      </c>
      <c r="AF2010" t="s">
        <v>4751</v>
      </c>
      <c r="AG2010" s="1" t="s">
        <v>5552</v>
      </c>
      <c r="AH2010" t="s">
        <v>4754</v>
      </c>
    </row>
    <row r="2011" spans="1:34" x14ac:dyDescent="0.3">
      <c r="A2011">
        <v>101</v>
      </c>
      <c r="B2011" t="s">
        <v>34</v>
      </c>
      <c r="C2011">
        <v>2</v>
      </c>
      <c r="D2011" s="1" t="s">
        <v>5553</v>
      </c>
      <c r="E2011" s="1" t="s">
        <v>36</v>
      </c>
      <c r="G2011">
        <v>433577</v>
      </c>
      <c r="H2011" t="s">
        <v>5554</v>
      </c>
      <c r="I2011" t="s">
        <v>5555</v>
      </c>
      <c r="J2011">
        <v>12</v>
      </c>
      <c r="K2011">
        <v>433577</v>
      </c>
      <c r="L2011">
        <v>50001</v>
      </c>
      <c r="M2011" t="s">
        <v>39</v>
      </c>
      <c r="N2011">
        <v>533</v>
      </c>
      <c r="O2011" s="2">
        <v>46235</v>
      </c>
      <c r="P2011" s="2">
        <v>46263</v>
      </c>
      <c r="R2011" t="s">
        <v>5556</v>
      </c>
      <c r="S2011" t="str">
        <f>"25666160000051725"</f>
        <v>25666160000051725</v>
      </c>
      <c r="T2011" t="s">
        <v>41</v>
      </c>
      <c r="U2011">
        <v>1022.74</v>
      </c>
      <c r="V2011">
        <v>1022.74</v>
      </c>
      <c r="W2011">
        <v>1022.74</v>
      </c>
      <c r="X2011">
        <v>0</v>
      </c>
      <c r="Y2011">
        <v>0</v>
      </c>
      <c r="Z2011">
        <v>-488</v>
      </c>
      <c r="AA2011">
        <v>1916</v>
      </c>
      <c r="AD2011" t="s">
        <v>4751</v>
      </c>
      <c r="AE2011">
        <v>6133235410</v>
      </c>
      <c r="AF2011" t="s">
        <v>4751</v>
      </c>
      <c r="AG2011" s="1" t="s">
        <v>5557</v>
      </c>
      <c r="AH2011" t="s">
        <v>4754</v>
      </c>
    </row>
    <row r="2012" spans="1:34" x14ac:dyDescent="0.3">
      <c r="A2012">
        <v>101</v>
      </c>
      <c r="B2012" t="s">
        <v>34</v>
      </c>
      <c r="C2012">
        <v>2</v>
      </c>
      <c r="D2012" s="1" t="s">
        <v>5553</v>
      </c>
      <c r="E2012" s="1" t="s">
        <v>4375</v>
      </c>
      <c r="G2012">
        <v>433577</v>
      </c>
      <c r="H2012" t="s">
        <v>5554</v>
      </c>
      <c r="I2012" t="s">
        <v>5555</v>
      </c>
      <c r="J2012">
        <v>12</v>
      </c>
      <c r="K2012">
        <v>433577</v>
      </c>
      <c r="L2012">
        <v>50001</v>
      </c>
      <c r="M2012" t="s">
        <v>39</v>
      </c>
      <c r="N2012">
        <v>533</v>
      </c>
      <c r="O2012" s="2">
        <v>46235</v>
      </c>
      <c r="P2012" s="2">
        <v>46284</v>
      </c>
      <c r="R2012" t="s">
        <v>5556</v>
      </c>
      <c r="S2012" t="str">
        <f>"25666160000051728"</f>
        <v>25666160000051728</v>
      </c>
      <c r="T2012" t="s">
        <v>41</v>
      </c>
      <c r="U2012">
        <v>941.75</v>
      </c>
      <c r="V2012">
        <v>941.75</v>
      </c>
      <c r="W2012">
        <v>941.75</v>
      </c>
      <c r="X2012">
        <v>0</v>
      </c>
      <c r="Y2012">
        <v>0</v>
      </c>
      <c r="Z2012">
        <v>-509</v>
      </c>
      <c r="AA2012">
        <v>1916</v>
      </c>
      <c r="AD2012" t="s">
        <v>4751</v>
      </c>
      <c r="AE2012">
        <v>6133235410</v>
      </c>
      <c r="AF2012" t="s">
        <v>4751</v>
      </c>
      <c r="AG2012" s="1" t="s">
        <v>5557</v>
      </c>
      <c r="AH2012" t="s">
        <v>4754</v>
      </c>
    </row>
    <row r="2013" spans="1:34" x14ac:dyDescent="0.3">
      <c r="A2013">
        <v>101</v>
      </c>
      <c r="B2013" t="s">
        <v>34</v>
      </c>
      <c r="C2013">
        <v>2</v>
      </c>
      <c r="D2013" s="1" t="s">
        <v>5553</v>
      </c>
      <c r="E2013" s="1" t="s">
        <v>116</v>
      </c>
      <c r="G2013">
        <v>433577</v>
      </c>
      <c r="H2013" t="s">
        <v>5554</v>
      </c>
      <c r="I2013" t="s">
        <v>5555</v>
      </c>
      <c r="J2013">
        <v>12</v>
      </c>
      <c r="K2013">
        <v>433577</v>
      </c>
      <c r="L2013">
        <v>50001</v>
      </c>
      <c r="M2013" t="s">
        <v>39</v>
      </c>
      <c r="N2013">
        <v>533</v>
      </c>
      <c r="O2013" s="2">
        <v>46235</v>
      </c>
      <c r="P2013" s="2">
        <v>46277</v>
      </c>
      <c r="R2013" t="s">
        <v>5556</v>
      </c>
      <c r="S2013" t="str">
        <f>"25666160000051727"</f>
        <v>25666160000051727</v>
      </c>
      <c r="T2013" t="s">
        <v>41</v>
      </c>
      <c r="U2013">
        <v>941.76</v>
      </c>
      <c r="V2013">
        <v>941.76</v>
      </c>
      <c r="W2013">
        <v>941.76</v>
      </c>
      <c r="X2013">
        <v>0</v>
      </c>
      <c r="Y2013">
        <v>0</v>
      </c>
      <c r="Z2013">
        <v>-502</v>
      </c>
      <c r="AA2013">
        <v>1916</v>
      </c>
      <c r="AD2013" t="s">
        <v>4751</v>
      </c>
      <c r="AE2013">
        <v>6133235410</v>
      </c>
      <c r="AF2013" t="s">
        <v>4751</v>
      </c>
      <c r="AG2013" s="1" t="s">
        <v>5557</v>
      </c>
      <c r="AH2013" t="s">
        <v>4754</v>
      </c>
    </row>
    <row r="2014" spans="1:34" x14ac:dyDescent="0.3">
      <c r="A2014">
        <v>101</v>
      </c>
      <c r="B2014" t="s">
        <v>34</v>
      </c>
      <c r="C2014">
        <v>2</v>
      </c>
      <c r="D2014" s="1" t="s">
        <v>5553</v>
      </c>
      <c r="E2014" s="1" t="s">
        <v>122</v>
      </c>
      <c r="G2014">
        <v>433577</v>
      </c>
      <c r="H2014" t="s">
        <v>5554</v>
      </c>
      <c r="I2014" t="s">
        <v>5555</v>
      </c>
      <c r="J2014">
        <v>12</v>
      </c>
      <c r="K2014">
        <v>433577</v>
      </c>
      <c r="L2014">
        <v>50001</v>
      </c>
      <c r="M2014" t="s">
        <v>39</v>
      </c>
      <c r="N2014">
        <v>533</v>
      </c>
      <c r="O2014" s="2">
        <v>46235</v>
      </c>
      <c r="P2014" s="2">
        <v>46270</v>
      </c>
      <c r="R2014" t="s">
        <v>5556</v>
      </c>
      <c r="S2014" t="str">
        <f>"25666160000051726"</f>
        <v>25666160000051726</v>
      </c>
      <c r="T2014" t="s">
        <v>41</v>
      </c>
      <c r="U2014">
        <v>941.76</v>
      </c>
      <c r="V2014">
        <v>941.76</v>
      </c>
      <c r="W2014">
        <v>941.76</v>
      </c>
      <c r="X2014">
        <v>0</v>
      </c>
      <c r="Y2014">
        <v>0</v>
      </c>
      <c r="Z2014">
        <v>-495</v>
      </c>
      <c r="AA2014">
        <v>1916</v>
      </c>
      <c r="AD2014" t="s">
        <v>4751</v>
      </c>
      <c r="AE2014">
        <v>6133235410</v>
      </c>
      <c r="AF2014" t="s">
        <v>4751</v>
      </c>
      <c r="AG2014" s="1" t="s">
        <v>5557</v>
      </c>
      <c r="AH2014" t="s">
        <v>4754</v>
      </c>
    </row>
    <row r="2015" spans="1:34" x14ac:dyDescent="0.3">
      <c r="A2015">
        <v>101</v>
      </c>
      <c r="B2015" t="s">
        <v>34</v>
      </c>
      <c r="C2015">
        <v>2</v>
      </c>
      <c r="D2015" s="1" t="s">
        <v>5558</v>
      </c>
      <c r="E2015" s="1" t="s">
        <v>36</v>
      </c>
      <c r="G2015">
        <v>470169</v>
      </c>
      <c r="H2015" t="s">
        <v>5559</v>
      </c>
      <c r="I2015" t="s">
        <v>5560</v>
      </c>
      <c r="J2015">
        <v>15</v>
      </c>
      <c r="K2015">
        <v>470169</v>
      </c>
      <c r="L2015">
        <v>50033</v>
      </c>
      <c r="M2015" t="s">
        <v>39</v>
      </c>
      <c r="N2015">
        <v>533</v>
      </c>
      <c r="O2015" s="2">
        <v>46233</v>
      </c>
      <c r="P2015" s="2">
        <v>46283</v>
      </c>
      <c r="R2015" t="s">
        <v>5561</v>
      </c>
      <c r="S2015" t="str">
        <f>"0000050411705"</f>
        <v>0000050411705</v>
      </c>
      <c r="T2015" t="s">
        <v>41</v>
      </c>
      <c r="U2015">
        <v>46414.25</v>
      </c>
      <c r="V2015">
        <v>45201.47</v>
      </c>
      <c r="W2015">
        <v>45201.47</v>
      </c>
      <c r="X2015">
        <v>0</v>
      </c>
      <c r="Y2015">
        <v>0</v>
      </c>
      <c r="Z2015">
        <v>-508</v>
      </c>
      <c r="AA2015">
        <v>1469</v>
      </c>
      <c r="AD2015" t="s">
        <v>4751</v>
      </c>
      <c r="AE2015" t="s">
        <v>5562</v>
      </c>
      <c r="AF2015" t="s">
        <v>4751</v>
      </c>
      <c r="AG2015">
        <v>50507444000196</v>
      </c>
      <c r="AH2015" t="s">
        <v>4754</v>
      </c>
    </row>
    <row r="2016" spans="1:34" x14ac:dyDescent="0.3">
      <c r="A2016">
        <v>101</v>
      </c>
      <c r="B2016" t="s">
        <v>34</v>
      </c>
      <c r="C2016">
        <v>2</v>
      </c>
      <c r="D2016" s="1" t="s">
        <v>5563</v>
      </c>
      <c r="E2016" s="1" t="s">
        <v>116</v>
      </c>
      <c r="G2016">
        <v>1124</v>
      </c>
      <c r="H2016" t="s">
        <v>5564</v>
      </c>
      <c r="I2016" t="s">
        <v>5565</v>
      </c>
      <c r="J2016">
        <v>12</v>
      </c>
      <c r="K2016">
        <v>1124</v>
      </c>
      <c r="L2016">
        <v>50033</v>
      </c>
      <c r="M2016" t="s">
        <v>39</v>
      </c>
      <c r="N2016">
        <v>543</v>
      </c>
      <c r="O2016" s="2">
        <v>46218</v>
      </c>
      <c r="P2016" s="2">
        <v>46278</v>
      </c>
      <c r="R2016" t="s">
        <v>5566</v>
      </c>
      <c r="S2016" t="str">
        <f>"0000050410059"</f>
        <v>0000050410059</v>
      </c>
      <c r="T2016" t="s">
        <v>41</v>
      </c>
      <c r="U2016">
        <v>2048.92</v>
      </c>
      <c r="V2016">
        <v>2048.92</v>
      </c>
      <c r="W2016">
        <v>2048.92</v>
      </c>
      <c r="X2016">
        <v>0</v>
      </c>
      <c r="Y2016">
        <v>0</v>
      </c>
      <c r="Z2016">
        <v>-503</v>
      </c>
      <c r="AA2016">
        <v>1146</v>
      </c>
      <c r="AD2016" t="s">
        <v>5567</v>
      </c>
      <c r="AE2016" t="s">
        <v>5568</v>
      </c>
      <c r="AF2016" t="s">
        <v>5567</v>
      </c>
      <c r="AG2016">
        <v>53964227000113</v>
      </c>
      <c r="AH2016" t="s">
        <v>5569</v>
      </c>
    </row>
    <row r="2017" spans="1:34" x14ac:dyDescent="0.3">
      <c r="A2017">
        <v>101</v>
      </c>
      <c r="B2017" t="s">
        <v>34</v>
      </c>
      <c r="C2017">
        <v>2</v>
      </c>
      <c r="D2017" s="1" t="s">
        <v>5563</v>
      </c>
      <c r="E2017" s="1" t="s">
        <v>122</v>
      </c>
      <c r="G2017">
        <v>1124</v>
      </c>
      <c r="H2017" t="s">
        <v>5564</v>
      </c>
      <c r="I2017" t="s">
        <v>5565</v>
      </c>
      <c r="J2017">
        <v>12</v>
      </c>
      <c r="K2017">
        <v>1124</v>
      </c>
      <c r="L2017">
        <v>50033</v>
      </c>
      <c r="M2017" t="s">
        <v>39</v>
      </c>
      <c r="N2017">
        <v>543</v>
      </c>
      <c r="O2017" s="2">
        <v>46218</v>
      </c>
      <c r="P2017" s="2">
        <v>46263</v>
      </c>
      <c r="R2017" t="s">
        <v>5566</v>
      </c>
      <c r="S2017" t="str">
        <f>"0000050410040"</f>
        <v>0000050410040</v>
      </c>
      <c r="T2017" t="s">
        <v>41</v>
      </c>
      <c r="U2017">
        <v>2048.31</v>
      </c>
      <c r="V2017">
        <v>2048.31</v>
      </c>
      <c r="W2017">
        <v>2048.31</v>
      </c>
      <c r="X2017">
        <v>0</v>
      </c>
      <c r="Y2017">
        <v>0</v>
      </c>
      <c r="Z2017">
        <v>-488</v>
      </c>
      <c r="AA2017">
        <v>1146</v>
      </c>
      <c r="AD2017" t="s">
        <v>5567</v>
      </c>
      <c r="AE2017" t="s">
        <v>5568</v>
      </c>
      <c r="AF2017" t="s">
        <v>5567</v>
      </c>
      <c r="AG2017">
        <v>53964227000113</v>
      </c>
      <c r="AH2017" t="s">
        <v>5569</v>
      </c>
    </row>
    <row r="2018" spans="1:34" x14ac:dyDescent="0.3">
      <c r="A2018">
        <v>101</v>
      </c>
      <c r="B2018" t="s">
        <v>34</v>
      </c>
      <c r="C2018">
        <v>2</v>
      </c>
      <c r="D2018" s="1" t="s">
        <v>5570</v>
      </c>
      <c r="E2018" s="1" t="s">
        <v>36</v>
      </c>
      <c r="G2018">
        <v>2822</v>
      </c>
      <c r="H2018" t="s">
        <v>5571</v>
      </c>
      <c r="I2018" t="s">
        <v>5572</v>
      </c>
      <c r="J2018">
        <v>15</v>
      </c>
      <c r="K2018">
        <v>2822</v>
      </c>
      <c r="L2018">
        <v>50001</v>
      </c>
      <c r="M2018" t="s">
        <v>39</v>
      </c>
      <c r="N2018">
        <v>543</v>
      </c>
      <c r="O2018" s="2">
        <v>46240</v>
      </c>
      <c r="P2018" s="2">
        <v>46275</v>
      </c>
      <c r="R2018" t="s">
        <v>5573</v>
      </c>
      <c r="S2018" t="str">
        <f>"25666160000051822"</f>
        <v>25666160000051822</v>
      </c>
      <c r="T2018" t="s">
        <v>41</v>
      </c>
      <c r="U2018">
        <v>4958.3999999999996</v>
      </c>
      <c r="V2018">
        <v>4363.3999999999996</v>
      </c>
      <c r="W2018">
        <v>4363.3999999999996</v>
      </c>
      <c r="X2018">
        <v>0</v>
      </c>
      <c r="Y2018">
        <v>0</v>
      </c>
      <c r="Z2018">
        <v>-500</v>
      </c>
      <c r="AA2018">
        <v>1318</v>
      </c>
      <c r="AD2018" t="s">
        <v>5574</v>
      </c>
      <c r="AE2018" t="s">
        <v>5575</v>
      </c>
      <c r="AF2018" t="s">
        <v>5576</v>
      </c>
      <c r="AG2018" s="1" t="s">
        <v>5577</v>
      </c>
      <c r="AH2018" t="s">
        <v>5569</v>
      </c>
    </row>
    <row r="2019" spans="1:34" x14ac:dyDescent="0.3">
      <c r="A2019">
        <v>101</v>
      </c>
      <c r="B2019" t="s">
        <v>34</v>
      </c>
      <c r="C2019">
        <v>2</v>
      </c>
      <c r="D2019" s="1" t="s">
        <v>5578</v>
      </c>
      <c r="E2019" s="1" t="s">
        <v>36</v>
      </c>
      <c r="G2019">
        <v>2822</v>
      </c>
      <c r="H2019" t="s">
        <v>5571</v>
      </c>
      <c r="I2019" t="s">
        <v>5572</v>
      </c>
      <c r="J2019">
        <v>15</v>
      </c>
      <c r="K2019">
        <v>2822</v>
      </c>
      <c r="L2019">
        <v>50001</v>
      </c>
      <c r="M2019" t="s">
        <v>39</v>
      </c>
      <c r="N2019">
        <v>543</v>
      </c>
      <c r="O2019" s="2">
        <v>46240</v>
      </c>
      <c r="P2019" s="2">
        <v>46275</v>
      </c>
      <c r="R2019" t="s">
        <v>5579</v>
      </c>
      <c r="S2019" t="str">
        <f>"25666160000051823"</f>
        <v>25666160000051823</v>
      </c>
      <c r="T2019" t="s">
        <v>41</v>
      </c>
      <c r="U2019">
        <v>261817.55</v>
      </c>
      <c r="V2019">
        <v>228103.57</v>
      </c>
      <c r="W2019">
        <v>228103.57</v>
      </c>
      <c r="X2019">
        <v>0</v>
      </c>
      <c r="Y2019">
        <v>0</v>
      </c>
      <c r="Z2019">
        <v>-500</v>
      </c>
      <c r="AA2019">
        <v>4328</v>
      </c>
      <c r="AD2019" t="s">
        <v>5574</v>
      </c>
      <c r="AE2019" t="s">
        <v>5575</v>
      </c>
      <c r="AF2019" t="s">
        <v>5576</v>
      </c>
      <c r="AG2019" s="1" t="s">
        <v>5577</v>
      </c>
      <c r="AH2019" t="s">
        <v>5569</v>
      </c>
    </row>
    <row r="2020" spans="1:34" x14ac:dyDescent="0.3">
      <c r="A2020">
        <v>101</v>
      </c>
      <c r="B2020" t="s">
        <v>34</v>
      </c>
      <c r="C2020">
        <v>2</v>
      </c>
      <c r="D2020" s="1" t="s">
        <v>5580</v>
      </c>
      <c r="E2020" s="1" t="s">
        <v>36</v>
      </c>
      <c r="G2020">
        <v>2822</v>
      </c>
      <c r="H2020" t="s">
        <v>5571</v>
      </c>
      <c r="I2020" t="s">
        <v>5572</v>
      </c>
      <c r="J2020">
        <v>15</v>
      </c>
      <c r="K2020">
        <v>2822</v>
      </c>
      <c r="L2020">
        <v>50001</v>
      </c>
      <c r="M2020" t="s">
        <v>39</v>
      </c>
      <c r="N2020">
        <v>543</v>
      </c>
      <c r="O2020" s="2">
        <v>46240</v>
      </c>
      <c r="P2020" s="2">
        <v>46275</v>
      </c>
      <c r="R2020" t="s">
        <v>5581</v>
      </c>
      <c r="S2020" t="str">
        <f>"25666160000051824"</f>
        <v>25666160000051824</v>
      </c>
      <c r="T2020" t="s">
        <v>41</v>
      </c>
      <c r="U2020">
        <v>54273.52</v>
      </c>
      <c r="V2020">
        <v>47283.16</v>
      </c>
      <c r="W2020">
        <v>47283.16</v>
      </c>
      <c r="X2020">
        <v>0</v>
      </c>
      <c r="Y2020">
        <v>0</v>
      </c>
      <c r="Z2020">
        <v>-500</v>
      </c>
      <c r="AA2020">
        <v>4331</v>
      </c>
      <c r="AD2020" t="s">
        <v>5574</v>
      </c>
      <c r="AE2020" t="s">
        <v>5575</v>
      </c>
      <c r="AF2020" t="s">
        <v>5576</v>
      </c>
      <c r="AG2020" s="1" t="s">
        <v>5577</v>
      </c>
      <c r="AH2020" t="s">
        <v>5569</v>
      </c>
    </row>
    <row r="2021" spans="1:34" x14ac:dyDescent="0.3">
      <c r="A2021">
        <v>101</v>
      </c>
      <c r="B2021" t="s">
        <v>34</v>
      </c>
      <c r="C2021">
        <v>2</v>
      </c>
      <c r="D2021" s="1" t="s">
        <v>5582</v>
      </c>
      <c r="E2021" s="1" t="s">
        <v>36</v>
      </c>
      <c r="G2021">
        <v>2822</v>
      </c>
      <c r="H2021" t="s">
        <v>5571</v>
      </c>
      <c r="I2021" t="s">
        <v>5572</v>
      </c>
      <c r="J2021">
        <v>15</v>
      </c>
      <c r="K2021">
        <v>2822</v>
      </c>
      <c r="L2021">
        <v>50001</v>
      </c>
      <c r="M2021" t="s">
        <v>39</v>
      </c>
      <c r="N2021">
        <v>543</v>
      </c>
      <c r="O2021" s="2">
        <v>46240</v>
      </c>
      <c r="P2021" s="2">
        <v>46275</v>
      </c>
      <c r="R2021" t="s">
        <v>5583</v>
      </c>
      <c r="S2021" t="str">
        <f>"25666160000051825"</f>
        <v>25666160000051825</v>
      </c>
      <c r="T2021" t="s">
        <v>41</v>
      </c>
      <c r="U2021">
        <v>57893.62</v>
      </c>
      <c r="V2021">
        <v>43446</v>
      </c>
      <c r="W2021">
        <v>43446</v>
      </c>
      <c r="X2021">
        <v>0</v>
      </c>
      <c r="Y2021">
        <v>0</v>
      </c>
      <c r="Z2021">
        <v>-500</v>
      </c>
      <c r="AA2021">
        <v>4334</v>
      </c>
      <c r="AD2021" t="s">
        <v>5574</v>
      </c>
      <c r="AE2021" t="s">
        <v>5575</v>
      </c>
      <c r="AF2021" t="s">
        <v>5576</v>
      </c>
      <c r="AG2021" s="1" t="s">
        <v>5577</v>
      </c>
      <c r="AH2021" t="s">
        <v>5569</v>
      </c>
    </row>
    <row r="2022" spans="1:34" x14ac:dyDescent="0.3">
      <c r="A2022">
        <v>101</v>
      </c>
      <c r="B2022" t="s">
        <v>34</v>
      </c>
      <c r="C2022">
        <v>2</v>
      </c>
      <c r="D2022" s="1" t="s">
        <v>5584</v>
      </c>
      <c r="E2022" s="1" t="s">
        <v>36</v>
      </c>
      <c r="G2022">
        <v>2822</v>
      </c>
      <c r="H2022" t="s">
        <v>5571</v>
      </c>
      <c r="I2022" t="s">
        <v>5572</v>
      </c>
      <c r="J2022">
        <v>15</v>
      </c>
      <c r="K2022">
        <v>2822</v>
      </c>
      <c r="L2022">
        <v>50001</v>
      </c>
      <c r="M2022" t="s">
        <v>39</v>
      </c>
      <c r="N2022">
        <v>543</v>
      </c>
      <c r="O2022" s="2">
        <v>46240</v>
      </c>
      <c r="P2022" s="2">
        <v>46275</v>
      </c>
      <c r="R2022" t="s">
        <v>5585</v>
      </c>
      <c r="S2022" t="str">
        <f>"25666160000051821"</f>
        <v>25666160000051821</v>
      </c>
      <c r="T2022" t="s">
        <v>41</v>
      </c>
      <c r="U2022">
        <v>5708.1</v>
      </c>
      <c r="V2022">
        <v>5708.1</v>
      </c>
      <c r="W2022">
        <v>5708.1</v>
      </c>
      <c r="X2022">
        <v>0</v>
      </c>
      <c r="Y2022">
        <v>0</v>
      </c>
      <c r="Z2022">
        <v>-500</v>
      </c>
      <c r="AA2022">
        <v>1021</v>
      </c>
      <c r="AD2022" t="s">
        <v>5574</v>
      </c>
      <c r="AE2022" t="s">
        <v>5575</v>
      </c>
      <c r="AF2022" t="s">
        <v>5576</v>
      </c>
      <c r="AG2022" s="1" t="s">
        <v>5577</v>
      </c>
      <c r="AH2022" t="s">
        <v>5569</v>
      </c>
    </row>
    <row r="2023" spans="1:34" x14ac:dyDescent="0.3">
      <c r="A2023">
        <v>101</v>
      </c>
      <c r="B2023" t="s">
        <v>34</v>
      </c>
      <c r="C2023">
        <v>2</v>
      </c>
      <c r="D2023" s="1" t="s">
        <v>5586</v>
      </c>
      <c r="E2023" s="1" t="s">
        <v>36</v>
      </c>
      <c r="G2023">
        <v>2822</v>
      </c>
      <c r="H2023" t="s">
        <v>5571</v>
      </c>
      <c r="I2023" t="s">
        <v>5572</v>
      </c>
      <c r="J2023">
        <v>15</v>
      </c>
      <c r="K2023">
        <v>2822</v>
      </c>
      <c r="L2023">
        <v>50001</v>
      </c>
      <c r="M2023" t="s">
        <v>39</v>
      </c>
      <c r="N2023">
        <v>543</v>
      </c>
      <c r="O2023" s="2">
        <v>46246</v>
      </c>
      <c r="P2023" s="2">
        <v>46281</v>
      </c>
      <c r="R2023" t="s">
        <v>5587</v>
      </c>
      <c r="S2023" t="str">
        <f>"25666160000051883"</f>
        <v>25666160000051883</v>
      </c>
      <c r="T2023" t="s">
        <v>41</v>
      </c>
      <c r="U2023">
        <v>47634</v>
      </c>
      <c r="V2023">
        <v>47634</v>
      </c>
      <c r="W2023">
        <v>47634</v>
      </c>
      <c r="X2023">
        <v>0</v>
      </c>
      <c r="Y2023">
        <v>0</v>
      </c>
      <c r="Z2023">
        <v>-506</v>
      </c>
      <c r="AA2023">
        <v>4334</v>
      </c>
      <c r="AD2023" t="s">
        <v>5574</v>
      </c>
      <c r="AE2023" t="s">
        <v>5575</v>
      </c>
      <c r="AF2023" t="s">
        <v>5576</v>
      </c>
      <c r="AG2023" s="1" t="s">
        <v>5577</v>
      </c>
      <c r="AH2023" t="s">
        <v>5569</v>
      </c>
    </row>
    <row r="2024" spans="1:34" x14ac:dyDescent="0.3">
      <c r="A2024">
        <v>101</v>
      </c>
      <c r="B2024" t="s">
        <v>34</v>
      </c>
      <c r="C2024">
        <v>2</v>
      </c>
      <c r="D2024" s="1" t="s">
        <v>5588</v>
      </c>
      <c r="E2024" s="1" t="s">
        <v>116</v>
      </c>
      <c r="G2024">
        <v>9779</v>
      </c>
      <c r="H2024" t="s">
        <v>5589</v>
      </c>
      <c r="I2024" t="s">
        <v>5590</v>
      </c>
      <c r="J2024">
        <v>12</v>
      </c>
      <c r="K2024">
        <v>9779</v>
      </c>
      <c r="L2024">
        <v>50237</v>
      </c>
      <c r="M2024" t="s">
        <v>39</v>
      </c>
      <c r="N2024">
        <v>543</v>
      </c>
      <c r="O2024" s="2">
        <v>46251</v>
      </c>
      <c r="P2024" s="2">
        <v>46311</v>
      </c>
      <c r="R2024" t="s">
        <v>5591</v>
      </c>
      <c r="S2024" t="str">
        <f>"330000052240"</f>
        <v>330000052240</v>
      </c>
      <c r="T2024" t="s">
        <v>41</v>
      </c>
      <c r="U2024">
        <v>13136.53</v>
      </c>
      <c r="V2024">
        <v>13136.53</v>
      </c>
      <c r="W2024">
        <v>13136.53</v>
      </c>
      <c r="X2024">
        <v>0</v>
      </c>
      <c r="Y2024">
        <v>0</v>
      </c>
      <c r="Z2024">
        <v>-536</v>
      </c>
      <c r="AA2024">
        <v>4404</v>
      </c>
      <c r="AD2024" t="s">
        <v>5592</v>
      </c>
      <c r="AE2024" t="s">
        <v>5593</v>
      </c>
      <c r="AF2024" t="s">
        <v>5592</v>
      </c>
      <c r="AG2024">
        <v>63770820000182</v>
      </c>
      <c r="AH2024" t="s">
        <v>5569</v>
      </c>
    </row>
    <row r="2025" spans="1:34" x14ac:dyDescent="0.3">
      <c r="A2025">
        <v>101</v>
      </c>
      <c r="B2025" t="s">
        <v>34</v>
      </c>
      <c r="C2025">
        <v>2</v>
      </c>
      <c r="D2025" s="1" t="s">
        <v>5588</v>
      </c>
      <c r="E2025" s="1" t="s">
        <v>122</v>
      </c>
      <c r="G2025">
        <v>9779</v>
      </c>
      <c r="H2025" t="s">
        <v>5589</v>
      </c>
      <c r="I2025" t="s">
        <v>5590</v>
      </c>
      <c r="J2025">
        <v>12</v>
      </c>
      <c r="K2025">
        <v>9779</v>
      </c>
      <c r="L2025">
        <v>50237</v>
      </c>
      <c r="M2025" t="s">
        <v>39</v>
      </c>
      <c r="N2025">
        <v>543</v>
      </c>
      <c r="O2025" s="2">
        <v>46251</v>
      </c>
      <c r="P2025" s="2">
        <v>46296</v>
      </c>
      <c r="R2025" t="s">
        <v>5591</v>
      </c>
      <c r="S2025" t="str">
        <f>"330000052232"</f>
        <v>330000052232</v>
      </c>
      <c r="T2025" t="s">
        <v>41</v>
      </c>
      <c r="U2025">
        <v>13132.59</v>
      </c>
      <c r="V2025">
        <v>13132.59</v>
      </c>
      <c r="W2025">
        <v>13132.59</v>
      </c>
      <c r="X2025">
        <v>0</v>
      </c>
      <c r="Y2025">
        <v>0</v>
      </c>
      <c r="Z2025">
        <v>-521</v>
      </c>
      <c r="AA2025">
        <v>4404</v>
      </c>
      <c r="AD2025" t="s">
        <v>5592</v>
      </c>
      <c r="AE2025" t="s">
        <v>5593</v>
      </c>
      <c r="AF2025" t="s">
        <v>5592</v>
      </c>
      <c r="AG2025">
        <v>63770820000182</v>
      </c>
      <c r="AH2025" t="s">
        <v>5569</v>
      </c>
    </row>
    <row r="2026" spans="1:34" x14ac:dyDescent="0.3">
      <c r="A2026">
        <v>101</v>
      </c>
      <c r="B2026" t="s">
        <v>34</v>
      </c>
      <c r="C2026">
        <v>2</v>
      </c>
      <c r="D2026" s="1" t="s">
        <v>5588</v>
      </c>
      <c r="E2026" s="1" t="s">
        <v>36</v>
      </c>
      <c r="G2026">
        <v>9779</v>
      </c>
      <c r="H2026" t="s">
        <v>5589</v>
      </c>
      <c r="I2026" t="s">
        <v>5590</v>
      </c>
      <c r="J2026">
        <v>12</v>
      </c>
      <c r="K2026">
        <v>9779</v>
      </c>
      <c r="L2026">
        <v>50237</v>
      </c>
      <c r="M2026" t="s">
        <v>39</v>
      </c>
      <c r="N2026">
        <v>543</v>
      </c>
      <c r="O2026" s="2">
        <v>46251</v>
      </c>
      <c r="P2026" s="2">
        <v>46281</v>
      </c>
      <c r="R2026" t="s">
        <v>5591</v>
      </c>
      <c r="S2026" t="str">
        <f>"330000052224"</f>
        <v>330000052224</v>
      </c>
      <c r="T2026" t="s">
        <v>41</v>
      </c>
      <c r="U2026">
        <v>13132.59</v>
      </c>
      <c r="V2026">
        <v>13132.59</v>
      </c>
      <c r="W2026">
        <v>13132.59</v>
      </c>
      <c r="X2026">
        <v>0</v>
      </c>
      <c r="Y2026">
        <v>0</v>
      </c>
      <c r="Z2026">
        <v>-506</v>
      </c>
      <c r="AA2026">
        <v>4404</v>
      </c>
      <c r="AD2026" t="s">
        <v>5592</v>
      </c>
      <c r="AE2026" t="s">
        <v>5593</v>
      </c>
      <c r="AF2026" t="s">
        <v>5592</v>
      </c>
      <c r="AG2026">
        <v>63770820000182</v>
      </c>
      <c r="AH2026" t="s">
        <v>5569</v>
      </c>
    </row>
    <row r="2027" spans="1:34" x14ac:dyDescent="0.3">
      <c r="A2027">
        <v>101</v>
      </c>
      <c r="B2027" t="s">
        <v>34</v>
      </c>
      <c r="C2027">
        <v>2</v>
      </c>
      <c r="D2027" s="1" t="s">
        <v>5594</v>
      </c>
      <c r="E2027" s="1" t="s">
        <v>36</v>
      </c>
      <c r="G2027">
        <v>9954</v>
      </c>
      <c r="H2027" t="s">
        <v>5595</v>
      </c>
      <c r="I2027" t="s">
        <v>5596</v>
      </c>
      <c r="J2027">
        <v>12</v>
      </c>
      <c r="K2027">
        <v>9301</v>
      </c>
      <c r="L2027">
        <v>50033</v>
      </c>
      <c r="M2027" t="s">
        <v>39</v>
      </c>
      <c r="N2027">
        <v>543</v>
      </c>
      <c r="O2027" s="2">
        <v>46234</v>
      </c>
      <c r="P2027" s="2">
        <v>46264</v>
      </c>
      <c r="R2027" t="s">
        <v>5597</v>
      </c>
      <c r="S2027" t="str">
        <f>"0000050411985"</f>
        <v>0000050411985</v>
      </c>
      <c r="T2027" t="s">
        <v>41</v>
      </c>
      <c r="U2027">
        <v>11722.96</v>
      </c>
      <c r="V2027">
        <v>11722.96</v>
      </c>
      <c r="W2027">
        <v>11722.96</v>
      </c>
      <c r="X2027">
        <v>0</v>
      </c>
      <c r="Y2027">
        <v>0</v>
      </c>
      <c r="Z2027">
        <v>-489</v>
      </c>
      <c r="AA2027">
        <v>1972</v>
      </c>
      <c r="AD2027" t="s">
        <v>5574</v>
      </c>
      <c r="AE2027" t="s">
        <v>5598</v>
      </c>
      <c r="AF2027" t="s">
        <v>5592</v>
      </c>
      <c r="AG2027" s="1" t="s">
        <v>5599</v>
      </c>
      <c r="AH2027" t="s">
        <v>5569</v>
      </c>
    </row>
    <row r="2028" spans="1:34" x14ac:dyDescent="0.3">
      <c r="A2028">
        <v>101</v>
      </c>
      <c r="B2028" t="s">
        <v>34</v>
      </c>
      <c r="C2028">
        <v>2</v>
      </c>
      <c r="D2028" s="1" t="s">
        <v>5594</v>
      </c>
      <c r="E2028" s="1" t="s">
        <v>122</v>
      </c>
      <c r="G2028">
        <v>9954</v>
      </c>
      <c r="H2028" t="s">
        <v>5595</v>
      </c>
      <c r="I2028" t="s">
        <v>5596</v>
      </c>
      <c r="J2028">
        <v>12</v>
      </c>
      <c r="K2028">
        <v>9301</v>
      </c>
      <c r="L2028">
        <v>50033</v>
      </c>
      <c r="M2028" t="s">
        <v>39</v>
      </c>
      <c r="N2028">
        <v>543</v>
      </c>
      <c r="O2028" s="2">
        <v>46234</v>
      </c>
      <c r="P2028" s="2">
        <v>46279</v>
      </c>
      <c r="R2028" t="s">
        <v>5597</v>
      </c>
      <c r="S2028" t="str">
        <f>"0000050411993"</f>
        <v>0000050411993</v>
      </c>
      <c r="T2028" t="s">
        <v>41</v>
      </c>
      <c r="U2028">
        <v>11722.96</v>
      </c>
      <c r="V2028">
        <v>11722.96</v>
      </c>
      <c r="W2028">
        <v>11722.96</v>
      </c>
      <c r="X2028">
        <v>0</v>
      </c>
      <c r="Y2028">
        <v>0</v>
      </c>
      <c r="Z2028">
        <v>-504</v>
      </c>
      <c r="AA2028">
        <v>1972</v>
      </c>
      <c r="AD2028" t="s">
        <v>5574</v>
      </c>
      <c r="AE2028" t="s">
        <v>5598</v>
      </c>
      <c r="AF2028" t="s">
        <v>5592</v>
      </c>
      <c r="AG2028" s="1" t="s">
        <v>5599</v>
      </c>
      <c r="AH2028" t="s">
        <v>5569</v>
      </c>
    </row>
    <row r="2029" spans="1:34" x14ac:dyDescent="0.3">
      <c r="A2029">
        <v>101</v>
      </c>
      <c r="B2029" t="s">
        <v>34</v>
      </c>
      <c r="C2029">
        <v>2</v>
      </c>
      <c r="D2029" s="1" t="s">
        <v>5594</v>
      </c>
      <c r="E2029" s="1" t="s">
        <v>116</v>
      </c>
      <c r="G2029">
        <v>9954</v>
      </c>
      <c r="H2029" t="s">
        <v>5595</v>
      </c>
      <c r="I2029" t="s">
        <v>5596</v>
      </c>
      <c r="J2029">
        <v>12</v>
      </c>
      <c r="K2029">
        <v>9301</v>
      </c>
      <c r="L2029">
        <v>50033</v>
      </c>
      <c r="M2029" t="s">
        <v>39</v>
      </c>
      <c r="N2029">
        <v>543</v>
      </c>
      <c r="O2029" s="2">
        <v>46234</v>
      </c>
      <c r="P2029" s="2">
        <v>46294</v>
      </c>
      <c r="R2029" t="s">
        <v>5597</v>
      </c>
      <c r="S2029" t="str">
        <f>"0000050412000"</f>
        <v>0000050412000</v>
      </c>
      <c r="T2029" t="s">
        <v>41</v>
      </c>
      <c r="U2029">
        <v>11726.49</v>
      </c>
      <c r="V2029">
        <v>11726.49</v>
      </c>
      <c r="W2029">
        <v>11726.49</v>
      </c>
      <c r="X2029">
        <v>0</v>
      </c>
      <c r="Y2029">
        <v>0</v>
      </c>
      <c r="Z2029">
        <v>-519</v>
      </c>
      <c r="AA2029">
        <v>1972</v>
      </c>
      <c r="AD2029" t="s">
        <v>5574</v>
      </c>
      <c r="AE2029" t="s">
        <v>5598</v>
      </c>
      <c r="AF2029" t="s">
        <v>5592</v>
      </c>
      <c r="AG2029" s="1" t="s">
        <v>5599</v>
      </c>
      <c r="AH2029" t="s">
        <v>5569</v>
      </c>
    </row>
    <row r="2030" spans="1:34" x14ac:dyDescent="0.3">
      <c r="A2030">
        <v>101</v>
      </c>
      <c r="B2030" t="s">
        <v>34</v>
      </c>
      <c r="C2030">
        <v>2</v>
      </c>
      <c r="D2030" s="1" t="s">
        <v>5600</v>
      </c>
      <c r="E2030" s="1" t="s">
        <v>116</v>
      </c>
      <c r="G2030">
        <v>9954</v>
      </c>
      <c r="H2030" t="s">
        <v>5595</v>
      </c>
      <c r="I2030" t="s">
        <v>5596</v>
      </c>
      <c r="J2030">
        <v>12</v>
      </c>
      <c r="K2030">
        <v>9301</v>
      </c>
      <c r="L2030">
        <v>50033</v>
      </c>
      <c r="M2030" t="s">
        <v>39</v>
      </c>
      <c r="N2030">
        <v>543</v>
      </c>
      <c r="O2030" s="2">
        <v>46199</v>
      </c>
      <c r="P2030" s="2">
        <v>46259</v>
      </c>
      <c r="R2030" t="s">
        <v>5601</v>
      </c>
      <c r="S2030" t="str">
        <f>"0000050407481"</f>
        <v>0000050407481</v>
      </c>
      <c r="T2030" t="s">
        <v>41</v>
      </c>
      <c r="U2030">
        <v>13760.74</v>
      </c>
      <c r="V2030">
        <v>13760.74</v>
      </c>
      <c r="W2030">
        <v>13760.74</v>
      </c>
      <c r="X2030">
        <v>0</v>
      </c>
      <c r="Y2030">
        <v>0</v>
      </c>
      <c r="Z2030">
        <v>-484</v>
      </c>
      <c r="AA2030">
        <v>691378</v>
      </c>
      <c r="AD2030" t="s">
        <v>5574</v>
      </c>
      <c r="AE2030" t="s">
        <v>5598</v>
      </c>
      <c r="AF2030" t="s">
        <v>5592</v>
      </c>
      <c r="AG2030" s="1" t="s">
        <v>5599</v>
      </c>
      <c r="AH2030" t="s">
        <v>5569</v>
      </c>
    </row>
    <row r="2031" spans="1:34" x14ac:dyDescent="0.3">
      <c r="A2031">
        <v>101</v>
      </c>
      <c r="B2031" t="s">
        <v>34</v>
      </c>
      <c r="C2031">
        <v>2</v>
      </c>
      <c r="D2031" s="1" t="s">
        <v>5602</v>
      </c>
      <c r="E2031" s="1" t="s">
        <v>116</v>
      </c>
      <c r="G2031">
        <v>9954</v>
      </c>
      <c r="H2031" t="s">
        <v>5595</v>
      </c>
      <c r="I2031" t="s">
        <v>5596</v>
      </c>
      <c r="J2031">
        <v>12</v>
      </c>
      <c r="K2031">
        <v>9301</v>
      </c>
      <c r="L2031">
        <v>50033</v>
      </c>
      <c r="M2031" t="s">
        <v>39</v>
      </c>
      <c r="N2031">
        <v>543</v>
      </c>
      <c r="O2031" s="2">
        <v>46199</v>
      </c>
      <c r="P2031" s="2">
        <v>46259</v>
      </c>
      <c r="R2031" t="s">
        <v>5603</v>
      </c>
      <c r="S2031" t="str">
        <f>"0000050407511"</f>
        <v>0000050407511</v>
      </c>
      <c r="T2031" t="s">
        <v>41</v>
      </c>
      <c r="U2031">
        <v>9270.9500000000007</v>
      </c>
      <c r="V2031">
        <v>9270.9500000000007</v>
      </c>
      <c r="W2031">
        <v>9270.9500000000007</v>
      </c>
      <c r="X2031">
        <v>0</v>
      </c>
      <c r="Y2031">
        <v>0</v>
      </c>
      <c r="Z2031">
        <v>-484</v>
      </c>
      <c r="AA2031">
        <v>691493</v>
      </c>
      <c r="AD2031" t="s">
        <v>5574</v>
      </c>
      <c r="AE2031" t="s">
        <v>5598</v>
      </c>
      <c r="AF2031" t="s">
        <v>5592</v>
      </c>
      <c r="AG2031" s="1" t="s">
        <v>5599</v>
      </c>
      <c r="AH2031" t="s">
        <v>5569</v>
      </c>
    </row>
    <row r="2032" spans="1:34" x14ac:dyDescent="0.3">
      <c r="A2032">
        <v>101</v>
      </c>
      <c r="B2032" t="s">
        <v>34</v>
      </c>
      <c r="C2032">
        <v>2</v>
      </c>
      <c r="D2032" s="1" t="s">
        <v>5604</v>
      </c>
      <c r="E2032" s="1" t="s">
        <v>116</v>
      </c>
      <c r="G2032">
        <v>9954</v>
      </c>
      <c r="H2032" t="s">
        <v>5595</v>
      </c>
      <c r="I2032" t="s">
        <v>5596</v>
      </c>
      <c r="J2032">
        <v>12</v>
      </c>
      <c r="K2032">
        <v>9301</v>
      </c>
      <c r="L2032">
        <v>50033</v>
      </c>
      <c r="M2032" t="s">
        <v>39</v>
      </c>
      <c r="N2032">
        <v>543</v>
      </c>
      <c r="O2032" s="2">
        <v>46199</v>
      </c>
      <c r="P2032" s="2">
        <v>46259</v>
      </c>
      <c r="R2032" t="s">
        <v>5605</v>
      </c>
      <c r="S2032" t="str">
        <f>"0000050407546"</f>
        <v>0000050407546</v>
      </c>
      <c r="T2032" t="s">
        <v>41</v>
      </c>
      <c r="U2032">
        <v>15865.76</v>
      </c>
      <c r="V2032">
        <v>15865.76</v>
      </c>
      <c r="W2032">
        <v>15865.76</v>
      </c>
      <c r="X2032">
        <v>0</v>
      </c>
      <c r="Y2032">
        <v>0</v>
      </c>
      <c r="Z2032">
        <v>-484</v>
      </c>
      <c r="AA2032">
        <v>691376</v>
      </c>
      <c r="AD2032" t="s">
        <v>5574</v>
      </c>
      <c r="AE2032" t="s">
        <v>5598</v>
      </c>
      <c r="AF2032" t="s">
        <v>5592</v>
      </c>
      <c r="AG2032" s="1" t="s">
        <v>5599</v>
      </c>
      <c r="AH2032" t="s">
        <v>5569</v>
      </c>
    </row>
    <row r="2033" spans="1:34" x14ac:dyDescent="0.3">
      <c r="A2033">
        <v>101</v>
      </c>
      <c r="B2033" t="s">
        <v>34</v>
      </c>
      <c r="C2033">
        <v>2</v>
      </c>
      <c r="D2033" s="1" t="s">
        <v>5606</v>
      </c>
      <c r="E2033" s="1" t="s">
        <v>122</v>
      </c>
      <c r="G2033">
        <v>436556</v>
      </c>
      <c r="H2033" t="s">
        <v>5607</v>
      </c>
      <c r="I2033" t="s">
        <v>5608</v>
      </c>
      <c r="J2033">
        <v>12</v>
      </c>
      <c r="K2033">
        <v>436556</v>
      </c>
      <c r="L2033">
        <v>50001</v>
      </c>
      <c r="M2033" t="s">
        <v>39</v>
      </c>
      <c r="N2033">
        <v>543</v>
      </c>
      <c r="O2033" s="2">
        <v>46224</v>
      </c>
      <c r="P2033" s="2">
        <v>46269</v>
      </c>
      <c r="R2033" t="s">
        <v>5609</v>
      </c>
      <c r="S2033" t="str">
        <f>"25666160000051500"</f>
        <v>25666160000051500</v>
      </c>
      <c r="T2033" t="s">
        <v>41</v>
      </c>
      <c r="U2033">
        <v>1738.44</v>
      </c>
      <c r="V2033">
        <v>1738.44</v>
      </c>
      <c r="W2033">
        <v>1738.44</v>
      </c>
      <c r="X2033">
        <v>0</v>
      </c>
      <c r="Y2033">
        <v>0</v>
      </c>
      <c r="Z2033">
        <v>-494</v>
      </c>
      <c r="AA2033">
        <v>1023</v>
      </c>
      <c r="AD2033" t="s">
        <v>5567</v>
      </c>
      <c r="AE2033">
        <v>6934415543</v>
      </c>
      <c r="AF2033" t="s">
        <v>5567</v>
      </c>
      <c r="AG2033">
        <v>22107863000103</v>
      </c>
      <c r="AH2033" t="s">
        <v>5569</v>
      </c>
    </row>
    <row r="2034" spans="1:34" x14ac:dyDescent="0.3">
      <c r="A2034">
        <v>101</v>
      </c>
      <c r="B2034" t="s">
        <v>34</v>
      </c>
      <c r="C2034">
        <v>2</v>
      </c>
      <c r="D2034" s="1" t="s">
        <v>5606</v>
      </c>
      <c r="E2034" s="1" t="s">
        <v>116</v>
      </c>
      <c r="G2034">
        <v>436556</v>
      </c>
      <c r="H2034" t="s">
        <v>5607</v>
      </c>
      <c r="I2034" t="s">
        <v>5608</v>
      </c>
      <c r="J2034">
        <v>12</v>
      </c>
      <c r="K2034">
        <v>436556</v>
      </c>
      <c r="L2034">
        <v>50001</v>
      </c>
      <c r="M2034" t="s">
        <v>39</v>
      </c>
      <c r="N2034">
        <v>543</v>
      </c>
      <c r="O2034" s="2">
        <v>46224</v>
      </c>
      <c r="P2034" s="2">
        <v>46284</v>
      </c>
      <c r="R2034" t="s">
        <v>5609</v>
      </c>
      <c r="S2034" t="str">
        <f>"25666160000051501"</f>
        <v>25666160000051501</v>
      </c>
      <c r="T2034" t="s">
        <v>41</v>
      </c>
      <c r="U2034">
        <v>1738.95</v>
      </c>
      <c r="V2034">
        <v>1738.95</v>
      </c>
      <c r="W2034">
        <v>1738.95</v>
      </c>
      <c r="X2034">
        <v>0</v>
      </c>
      <c r="Y2034">
        <v>0</v>
      </c>
      <c r="Z2034">
        <v>-509</v>
      </c>
      <c r="AA2034">
        <v>1023</v>
      </c>
      <c r="AD2034" t="s">
        <v>5567</v>
      </c>
      <c r="AE2034">
        <v>6934415543</v>
      </c>
      <c r="AF2034" t="s">
        <v>5567</v>
      </c>
      <c r="AG2034">
        <v>22107863000103</v>
      </c>
      <c r="AH2034" t="s">
        <v>5569</v>
      </c>
    </row>
    <row r="2035" spans="1:34" x14ac:dyDescent="0.3">
      <c r="A2035">
        <v>101</v>
      </c>
      <c r="B2035" t="s">
        <v>34</v>
      </c>
      <c r="C2035">
        <v>2</v>
      </c>
      <c r="D2035" s="1" t="s">
        <v>5610</v>
      </c>
      <c r="E2035" s="1" t="s">
        <v>116</v>
      </c>
      <c r="G2035">
        <v>451921</v>
      </c>
      <c r="H2035" t="s">
        <v>5611</v>
      </c>
      <c r="I2035" t="s">
        <v>5612</v>
      </c>
      <c r="J2035">
        <v>15</v>
      </c>
      <c r="K2035">
        <v>10277</v>
      </c>
      <c r="L2035">
        <v>50341</v>
      </c>
      <c r="M2035" t="s">
        <v>146</v>
      </c>
      <c r="N2035">
        <v>543</v>
      </c>
      <c r="O2035" s="2">
        <v>46218</v>
      </c>
      <c r="P2035" s="2">
        <v>46278</v>
      </c>
      <c r="R2035" t="s">
        <v>5613</v>
      </c>
      <c r="S2035" t="str">
        <f>"00013139"</f>
        <v>00013139</v>
      </c>
      <c r="T2035" t="s">
        <v>41</v>
      </c>
      <c r="U2035">
        <v>351.86</v>
      </c>
      <c r="V2035">
        <v>351.86</v>
      </c>
      <c r="W2035">
        <v>351.86</v>
      </c>
      <c r="X2035">
        <v>0</v>
      </c>
      <c r="Y2035">
        <v>0</v>
      </c>
      <c r="Z2035">
        <v>-503</v>
      </c>
      <c r="AA2035">
        <v>1088</v>
      </c>
      <c r="AD2035" t="s">
        <v>5614</v>
      </c>
      <c r="AE2035" t="s">
        <v>5615</v>
      </c>
      <c r="AF2035" t="s">
        <v>5614</v>
      </c>
      <c r="AG2035" s="1" t="s">
        <v>5616</v>
      </c>
      <c r="AH2035" t="s">
        <v>5569</v>
      </c>
    </row>
    <row r="2036" spans="1:34" x14ac:dyDescent="0.3">
      <c r="A2036">
        <v>101</v>
      </c>
      <c r="B2036" t="s">
        <v>34</v>
      </c>
      <c r="C2036">
        <v>2</v>
      </c>
      <c r="D2036" s="1" t="s">
        <v>5617</v>
      </c>
      <c r="E2036" s="1" t="s">
        <v>122</v>
      </c>
      <c r="G2036">
        <v>451921</v>
      </c>
      <c r="H2036" t="s">
        <v>5611</v>
      </c>
      <c r="I2036" t="s">
        <v>5612</v>
      </c>
      <c r="J2036">
        <v>15</v>
      </c>
      <c r="K2036">
        <v>10277</v>
      </c>
      <c r="L2036">
        <v>50341</v>
      </c>
      <c r="M2036" t="s">
        <v>146</v>
      </c>
      <c r="N2036">
        <v>543</v>
      </c>
      <c r="O2036" s="2">
        <v>46218</v>
      </c>
      <c r="P2036" s="2">
        <v>46263</v>
      </c>
      <c r="R2036" t="s">
        <v>5618</v>
      </c>
      <c r="S2036" t="str">
        <f>"00013141"</f>
        <v>00013141</v>
      </c>
      <c r="T2036" t="s">
        <v>41</v>
      </c>
      <c r="U2036">
        <v>3943.71</v>
      </c>
      <c r="V2036">
        <v>3943.71</v>
      </c>
      <c r="W2036">
        <v>3943.71</v>
      </c>
      <c r="X2036">
        <v>0</v>
      </c>
      <c r="Y2036">
        <v>0</v>
      </c>
      <c r="Z2036">
        <v>-488</v>
      </c>
      <c r="AA2036">
        <v>1068</v>
      </c>
      <c r="AD2036" t="s">
        <v>5614</v>
      </c>
      <c r="AE2036" t="s">
        <v>5615</v>
      </c>
      <c r="AF2036" t="s">
        <v>5614</v>
      </c>
      <c r="AG2036" s="1" t="s">
        <v>5616</v>
      </c>
      <c r="AH2036" t="s">
        <v>5569</v>
      </c>
    </row>
    <row r="2037" spans="1:34" x14ac:dyDescent="0.3">
      <c r="A2037">
        <v>101</v>
      </c>
      <c r="B2037" t="s">
        <v>34</v>
      </c>
      <c r="C2037">
        <v>2</v>
      </c>
      <c r="D2037" s="1" t="s">
        <v>5617</v>
      </c>
      <c r="E2037" s="1" t="s">
        <v>116</v>
      </c>
      <c r="G2037">
        <v>451921</v>
      </c>
      <c r="H2037" t="s">
        <v>5611</v>
      </c>
      <c r="I2037" t="s">
        <v>5612</v>
      </c>
      <c r="J2037">
        <v>15</v>
      </c>
      <c r="K2037">
        <v>10277</v>
      </c>
      <c r="L2037">
        <v>50341</v>
      </c>
      <c r="M2037" t="s">
        <v>146</v>
      </c>
      <c r="N2037">
        <v>543</v>
      </c>
      <c r="O2037" s="2">
        <v>46218</v>
      </c>
      <c r="P2037" s="2">
        <v>46278</v>
      </c>
      <c r="R2037" t="s">
        <v>5618</v>
      </c>
      <c r="S2037" t="str">
        <f>"00013142"</f>
        <v>00013142</v>
      </c>
      <c r="T2037" t="s">
        <v>41</v>
      </c>
      <c r="U2037">
        <v>3944.88</v>
      </c>
      <c r="V2037">
        <v>3944.88</v>
      </c>
      <c r="W2037">
        <v>3944.88</v>
      </c>
      <c r="X2037">
        <v>0</v>
      </c>
      <c r="Y2037">
        <v>0</v>
      </c>
      <c r="Z2037">
        <v>-503</v>
      </c>
      <c r="AA2037">
        <v>1068</v>
      </c>
      <c r="AD2037" t="s">
        <v>5614</v>
      </c>
      <c r="AE2037" t="s">
        <v>5615</v>
      </c>
      <c r="AF2037" t="s">
        <v>5614</v>
      </c>
      <c r="AG2037" s="1" t="s">
        <v>5616</v>
      </c>
      <c r="AH2037" t="s">
        <v>5569</v>
      </c>
    </row>
    <row r="2038" spans="1:34" x14ac:dyDescent="0.3">
      <c r="A2038">
        <v>101</v>
      </c>
      <c r="B2038" t="s">
        <v>34</v>
      </c>
      <c r="C2038">
        <v>2</v>
      </c>
      <c r="D2038" s="1" t="s">
        <v>5610</v>
      </c>
      <c r="E2038" s="1" t="s">
        <v>122</v>
      </c>
      <c r="G2038">
        <v>451921</v>
      </c>
      <c r="H2038" t="s">
        <v>5611</v>
      </c>
      <c r="I2038" t="s">
        <v>5612</v>
      </c>
      <c r="J2038">
        <v>15</v>
      </c>
      <c r="K2038">
        <v>10277</v>
      </c>
      <c r="L2038">
        <v>50341</v>
      </c>
      <c r="M2038" t="s">
        <v>146</v>
      </c>
      <c r="N2038">
        <v>543</v>
      </c>
      <c r="O2038" s="2">
        <v>46218</v>
      </c>
      <c r="P2038" s="2">
        <v>46263</v>
      </c>
      <c r="R2038" t="s">
        <v>5613</v>
      </c>
      <c r="S2038" t="str">
        <f>"00013138"</f>
        <v>00013138</v>
      </c>
      <c r="T2038" t="s">
        <v>41</v>
      </c>
      <c r="U2038">
        <v>351.74</v>
      </c>
      <c r="V2038">
        <v>351.74</v>
      </c>
      <c r="W2038">
        <v>351.74</v>
      </c>
      <c r="X2038">
        <v>0</v>
      </c>
      <c r="Y2038">
        <v>0</v>
      </c>
      <c r="Z2038">
        <v>-488</v>
      </c>
      <c r="AA2038">
        <v>1088</v>
      </c>
      <c r="AD2038" t="s">
        <v>5614</v>
      </c>
      <c r="AE2038" t="s">
        <v>5615</v>
      </c>
      <c r="AF2038" t="s">
        <v>5614</v>
      </c>
      <c r="AG2038" s="1" t="s">
        <v>5616</v>
      </c>
      <c r="AH2038" t="s">
        <v>5569</v>
      </c>
    </row>
    <row r="2039" spans="1:34" x14ac:dyDescent="0.3">
      <c r="A2039">
        <v>101</v>
      </c>
      <c r="B2039" t="s">
        <v>34</v>
      </c>
      <c r="C2039">
        <v>2</v>
      </c>
      <c r="D2039" s="1" t="s">
        <v>5619</v>
      </c>
      <c r="E2039" s="1" t="s">
        <v>116</v>
      </c>
      <c r="G2039">
        <v>451921</v>
      </c>
      <c r="H2039" t="s">
        <v>5611</v>
      </c>
      <c r="I2039" t="s">
        <v>5612</v>
      </c>
      <c r="J2039">
        <v>15</v>
      </c>
      <c r="K2039">
        <v>10277</v>
      </c>
      <c r="L2039">
        <v>50341</v>
      </c>
      <c r="M2039" t="s">
        <v>146</v>
      </c>
      <c r="N2039">
        <v>543</v>
      </c>
      <c r="O2039" s="2">
        <v>46136</v>
      </c>
      <c r="P2039" s="2">
        <v>46220</v>
      </c>
      <c r="R2039" t="s">
        <v>5620</v>
      </c>
      <c r="S2039" t="str">
        <f>"00011851"</f>
        <v>00011851</v>
      </c>
      <c r="T2039" t="s">
        <v>41</v>
      </c>
      <c r="U2039">
        <v>2134.81</v>
      </c>
      <c r="V2039">
        <v>675.85</v>
      </c>
      <c r="W2039">
        <v>675.85</v>
      </c>
      <c r="X2039">
        <v>0</v>
      </c>
      <c r="Y2039">
        <v>0</v>
      </c>
      <c r="Z2039">
        <v>-445</v>
      </c>
      <c r="AA2039">
        <v>686182</v>
      </c>
      <c r="AD2039" t="s">
        <v>5614</v>
      </c>
      <c r="AE2039" t="s">
        <v>5615</v>
      </c>
      <c r="AF2039" t="s">
        <v>5614</v>
      </c>
      <c r="AG2039" s="1" t="s">
        <v>5616</v>
      </c>
      <c r="AH2039" t="s">
        <v>5569</v>
      </c>
    </row>
    <row r="2040" spans="1:34" x14ac:dyDescent="0.3">
      <c r="A2040">
        <v>101</v>
      </c>
      <c r="B2040" t="s">
        <v>34</v>
      </c>
      <c r="C2040">
        <v>2</v>
      </c>
      <c r="D2040" s="1" t="s">
        <v>5621</v>
      </c>
      <c r="E2040" s="1" t="s">
        <v>116</v>
      </c>
      <c r="G2040">
        <v>453673</v>
      </c>
      <c r="H2040" t="s">
        <v>5622</v>
      </c>
      <c r="I2040" t="s">
        <v>5623</v>
      </c>
      <c r="J2040">
        <v>12</v>
      </c>
      <c r="K2040">
        <v>999002459</v>
      </c>
      <c r="L2040">
        <v>50001</v>
      </c>
      <c r="M2040" t="s">
        <v>39</v>
      </c>
      <c r="N2040">
        <v>543</v>
      </c>
      <c r="O2040" s="2">
        <v>46202</v>
      </c>
      <c r="P2040" s="2">
        <v>46262</v>
      </c>
      <c r="R2040" t="s">
        <v>5624</v>
      </c>
      <c r="S2040" t="str">
        <f>"25666160000051278"</f>
        <v>25666160000051278</v>
      </c>
      <c r="T2040" t="s">
        <v>41</v>
      </c>
      <c r="U2040">
        <v>2029.62</v>
      </c>
      <c r="V2040">
        <v>2029.62</v>
      </c>
      <c r="W2040">
        <v>2029.62</v>
      </c>
      <c r="X2040">
        <v>0</v>
      </c>
      <c r="Y2040">
        <v>0</v>
      </c>
      <c r="Z2040">
        <v>-487</v>
      </c>
      <c r="AA2040">
        <v>691765</v>
      </c>
      <c r="AD2040" t="s">
        <v>5567</v>
      </c>
      <c r="AE2040" t="s">
        <v>5625</v>
      </c>
      <c r="AF2040" t="s">
        <v>5567</v>
      </c>
      <c r="AG2040">
        <v>31404019000127</v>
      </c>
      <c r="AH2040" t="s">
        <v>5569</v>
      </c>
    </row>
    <row r="2041" spans="1:34" x14ac:dyDescent="0.3">
      <c r="A2041">
        <v>101</v>
      </c>
      <c r="B2041" t="s">
        <v>34</v>
      </c>
      <c r="C2041">
        <v>2</v>
      </c>
      <c r="D2041" s="1" t="s">
        <v>5626</v>
      </c>
      <c r="E2041" s="1" t="s">
        <v>116</v>
      </c>
      <c r="G2041">
        <v>469752</v>
      </c>
      <c r="H2041" t="s">
        <v>5627</v>
      </c>
      <c r="I2041" t="s">
        <v>5628</v>
      </c>
      <c r="J2041">
        <v>12</v>
      </c>
      <c r="K2041">
        <v>458796</v>
      </c>
      <c r="L2041">
        <v>50001</v>
      </c>
      <c r="M2041" t="s">
        <v>39</v>
      </c>
      <c r="N2041">
        <v>543</v>
      </c>
      <c r="O2041" s="2">
        <v>46202</v>
      </c>
      <c r="P2041" s="2">
        <v>46262</v>
      </c>
      <c r="R2041" t="s">
        <v>5629</v>
      </c>
      <c r="S2041" t="str">
        <f>"25666160000051285"</f>
        <v>25666160000051285</v>
      </c>
      <c r="T2041" t="s">
        <v>41</v>
      </c>
      <c r="U2041">
        <v>22871.97</v>
      </c>
      <c r="V2041">
        <v>22871.97</v>
      </c>
      <c r="W2041">
        <v>22871.97</v>
      </c>
      <c r="X2041">
        <v>0</v>
      </c>
      <c r="Y2041">
        <v>0</v>
      </c>
      <c r="Z2041">
        <v>-487</v>
      </c>
      <c r="AA2041">
        <v>927</v>
      </c>
      <c r="AD2041" t="s">
        <v>5614</v>
      </c>
      <c r="AE2041" t="s">
        <v>5630</v>
      </c>
      <c r="AF2041" t="s">
        <v>5614</v>
      </c>
      <c r="AG2041">
        <v>23245945000411</v>
      </c>
      <c r="AH2041" t="s">
        <v>5569</v>
      </c>
    </row>
    <row r="2042" spans="1:34" x14ac:dyDescent="0.3">
      <c r="A2042">
        <v>101</v>
      </c>
      <c r="B2042" t="s">
        <v>34</v>
      </c>
      <c r="C2042">
        <v>2</v>
      </c>
      <c r="D2042" s="1" t="s">
        <v>5631</v>
      </c>
      <c r="E2042" s="1" t="s">
        <v>116</v>
      </c>
      <c r="G2042">
        <v>470941</v>
      </c>
      <c r="H2042" t="s">
        <v>5632</v>
      </c>
      <c r="I2042" t="s">
        <v>5633</v>
      </c>
      <c r="J2042">
        <v>12</v>
      </c>
      <c r="K2042">
        <v>470941</v>
      </c>
      <c r="L2042">
        <v>50001</v>
      </c>
      <c r="M2042" t="s">
        <v>39</v>
      </c>
      <c r="N2042">
        <v>543</v>
      </c>
      <c r="O2042" s="2">
        <v>46204</v>
      </c>
      <c r="P2042" s="2">
        <v>46264</v>
      </c>
      <c r="R2042" t="s">
        <v>5634</v>
      </c>
      <c r="S2042" t="str">
        <f>"25666160000051356"</f>
        <v>25666160000051356</v>
      </c>
      <c r="T2042" t="s">
        <v>41</v>
      </c>
      <c r="U2042">
        <v>3496.39</v>
      </c>
      <c r="V2042">
        <v>3496.39</v>
      </c>
      <c r="W2042">
        <v>3496.39</v>
      </c>
      <c r="X2042">
        <v>0</v>
      </c>
      <c r="Y2042">
        <v>0</v>
      </c>
      <c r="Z2042">
        <v>-489</v>
      </c>
      <c r="AA2042">
        <v>988</v>
      </c>
      <c r="AD2042" t="s">
        <v>5635</v>
      </c>
      <c r="AE2042" t="s">
        <v>5636</v>
      </c>
      <c r="AF2042" t="s">
        <v>5635</v>
      </c>
      <c r="AG2042" s="1" t="s">
        <v>5637</v>
      </c>
      <c r="AH2042" t="s">
        <v>5569</v>
      </c>
    </row>
    <row r="2043" spans="1:34" x14ac:dyDescent="0.3">
      <c r="A2043">
        <v>101</v>
      </c>
      <c r="B2043" t="s">
        <v>34</v>
      </c>
      <c r="C2043">
        <v>2</v>
      </c>
      <c r="D2043" s="1" t="s">
        <v>5638</v>
      </c>
      <c r="E2043" s="1" t="s">
        <v>36</v>
      </c>
      <c r="G2043">
        <v>9945</v>
      </c>
      <c r="H2043" t="s">
        <v>5639</v>
      </c>
      <c r="I2043" t="s">
        <v>5640</v>
      </c>
      <c r="J2043">
        <v>12</v>
      </c>
      <c r="K2043">
        <v>1320</v>
      </c>
      <c r="L2043">
        <v>50001</v>
      </c>
      <c r="M2043" t="s">
        <v>39</v>
      </c>
      <c r="N2043">
        <v>544</v>
      </c>
      <c r="O2043" s="2">
        <v>46234</v>
      </c>
      <c r="P2043" s="2">
        <v>46279</v>
      </c>
      <c r="R2043" t="s">
        <v>5641</v>
      </c>
      <c r="S2043" t="str">
        <f>"25666160000051700"</f>
        <v>25666160000051700</v>
      </c>
      <c r="T2043" t="s">
        <v>41</v>
      </c>
      <c r="U2043">
        <v>15549.65</v>
      </c>
      <c r="V2043">
        <v>15549.65</v>
      </c>
      <c r="W2043">
        <v>15549.65</v>
      </c>
      <c r="X2043">
        <v>0</v>
      </c>
      <c r="Y2043">
        <v>0</v>
      </c>
      <c r="Z2043">
        <v>-504</v>
      </c>
      <c r="AA2043">
        <v>695835</v>
      </c>
      <c r="AD2043" t="s">
        <v>5642</v>
      </c>
      <c r="AE2043" t="s">
        <v>5643</v>
      </c>
      <c r="AF2043" t="s">
        <v>5642</v>
      </c>
      <c r="AG2043">
        <v>84308980000850</v>
      </c>
      <c r="AH2043" t="s">
        <v>5644</v>
      </c>
    </row>
    <row r="2044" spans="1:34" x14ac:dyDescent="0.3">
      <c r="A2044">
        <v>101</v>
      </c>
      <c r="B2044" t="s">
        <v>34</v>
      </c>
      <c r="C2044">
        <v>2</v>
      </c>
      <c r="D2044" s="1" t="s">
        <v>5645</v>
      </c>
      <c r="E2044" s="1" t="s">
        <v>36</v>
      </c>
      <c r="G2044">
        <v>9945</v>
      </c>
      <c r="H2044" t="s">
        <v>5639</v>
      </c>
      <c r="I2044" t="s">
        <v>5640</v>
      </c>
      <c r="J2044">
        <v>12</v>
      </c>
      <c r="K2044">
        <v>1320</v>
      </c>
      <c r="L2044">
        <v>50001</v>
      </c>
      <c r="M2044" t="s">
        <v>39</v>
      </c>
      <c r="N2044">
        <v>544</v>
      </c>
      <c r="O2044" s="2">
        <v>46234</v>
      </c>
      <c r="P2044" s="2">
        <v>46279</v>
      </c>
      <c r="R2044" t="s">
        <v>5646</v>
      </c>
      <c r="S2044" t="str">
        <f>"25666160000051699"</f>
        <v>25666160000051699</v>
      </c>
      <c r="T2044" t="s">
        <v>41</v>
      </c>
      <c r="U2044">
        <v>8001.3</v>
      </c>
      <c r="V2044">
        <v>8001.3</v>
      </c>
      <c r="W2044">
        <v>8001.3</v>
      </c>
      <c r="X2044">
        <v>0</v>
      </c>
      <c r="Y2044">
        <v>0</v>
      </c>
      <c r="Z2044">
        <v>-504</v>
      </c>
      <c r="AA2044">
        <v>695808</v>
      </c>
      <c r="AD2044" t="s">
        <v>5642</v>
      </c>
      <c r="AE2044" t="s">
        <v>5643</v>
      </c>
      <c r="AF2044" t="s">
        <v>5642</v>
      </c>
      <c r="AG2044">
        <v>84308980000850</v>
      </c>
      <c r="AH2044" t="s">
        <v>5644</v>
      </c>
    </row>
    <row r="2045" spans="1:34" x14ac:dyDescent="0.3">
      <c r="A2045">
        <v>101</v>
      </c>
      <c r="B2045" t="s">
        <v>34</v>
      </c>
      <c r="C2045">
        <v>2</v>
      </c>
      <c r="D2045" s="1" t="s">
        <v>5647</v>
      </c>
      <c r="E2045" s="1" t="s">
        <v>122</v>
      </c>
      <c r="G2045">
        <v>5871</v>
      </c>
      <c r="H2045" t="s">
        <v>5648</v>
      </c>
      <c r="I2045" t="s">
        <v>5649</v>
      </c>
      <c r="J2045">
        <v>12</v>
      </c>
      <c r="K2045">
        <v>5871</v>
      </c>
      <c r="L2045">
        <v>50033</v>
      </c>
      <c r="M2045" t="s">
        <v>39</v>
      </c>
      <c r="N2045">
        <v>551</v>
      </c>
      <c r="O2045" s="2">
        <v>46076</v>
      </c>
      <c r="P2045" s="2">
        <v>46126</v>
      </c>
      <c r="R2045" t="s">
        <v>5650</v>
      </c>
      <c r="S2045" t="str">
        <f>"0000050389076"</f>
        <v>0000050389076</v>
      </c>
      <c r="T2045" t="s">
        <v>41</v>
      </c>
      <c r="U2045">
        <v>737.79</v>
      </c>
      <c r="V2045">
        <v>737.79</v>
      </c>
      <c r="W2045">
        <v>737.79</v>
      </c>
      <c r="X2045">
        <v>0</v>
      </c>
      <c r="Y2045">
        <v>0</v>
      </c>
      <c r="Z2045">
        <v>-351</v>
      </c>
      <c r="AA2045">
        <v>679292</v>
      </c>
      <c r="AD2045" t="s">
        <v>665</v>
      </c>
      <c r="AE2045" t="s">
        <v>5651</v>
      </c>
      <c r="AF2045" t="s">
        <v>665</v>
      </c>
      <c r="AG2045" s="1" t="s">
        <v>5652</v>
      </c>
      <c r="AH2045" t="s">
        <v>311</v>
      </c>
    </row>
    <row r="2046" spans="1:34" x14ac:dyDescent="0.3">
      <c r="A2046">
        <v>101</v>
      </c>
      <c r="B2046" t="s">
        <v>34</v>
      </c>
      <c r="C2046">
        <v>2</v>
      </c>
      <c r="D2046" s="1" t="s">
        <v>5647</v>
      </c>
      <c r="E2046" s="1" t="s">
        <v>36</v>
      </c>
      <c r="G2046">
        <v>5871</v>
      </c>
      <c r="H2046" t="s">
        <v>5648</v>
      </c>
      <c r="I2046" t="s">
        <v>5649</v>
      </c>
      <c r="J2046">
        <v>12</v>
      </c>
      <c r="K2046">
        <v>5871</v>
      </c>
      <c r="L2046">
        <v>50033</v>
      </c>
      <c r="M2046" t="s">
        <v>39</v>
      </c>
      <c r="N2046">
        <v>551</v>
      </c>
      <c r="O2046" s="2">
        <v>46076</v>
      </c>
      <c r="P2046" s="2">
        <v>46121</v>
      </c>
      <c r="R2046" t="s">
        <v>5650</v>
      </c>
      <c r="S2046" t="str">
        <f>"0000050389068"</f>
        <v>0000050389068</v>
      </c>
      <c r="T2046" t="s">
        <v>41</v>
      </c>
      <c r="U2046">
        <v>737.79</v>
      </c>
      <c r="V2046">
        <v>737.79</v>
      </c>
      <c r="W2046">
        <v>737.79</v>
      </c>
      <c r="X2046">
        <v>0</v>
      </c>
      <c r="Y2046">
        <v>0</v>
      </c>
      <c r="Z2046">
        <v>-346</v>
      </c>
      <c r="AA2046">
        <v>679292</v>
      </c>
      <c r="AD2046" t="s">
        <v>665</v>
      </c>
      <c r="AE2046" t="s">
        <v>5651</v>
      </c>
      <c r="AF2046" t="s">
        <v>665</v>
      </c>
      <c r="AG2046" s="1" t="s">
        <v>5652</v>
      </c>
      <c r="AH2046" t="s">
        <v>311</v>
      </c>
    </row>
    <row r="2047" spans="1:34" x14ac:dyDescent="0.3">
      <c r="A2047">
        <v>101</v>
      </c>
      <c r="B2047" t="s">
        <v>34</v>
      </c>
      <c r="C2047">
        <v>2</v>
      </c>
      <c r="D2047" s="1" t="s">
        <v>5647</v>
      </c>
      <c r="E2047" s="1" t="s">
        <v>116</v>
      </c>
      <c r="G2047">
        <v>5871</v>
      </c>
      <c r="H2047" t="s">
        <v>5648</v>
      </c>
      <c r="I2047" t="s">
        <v>5649</v>
      </c>
      <c r="J2047">
        <v>12</v>
      </c>
      <c r="K2047">
        <v>5871</v>
      </c>
      <c r="L2047">
        <v>50033</v>
      </c>
      <c r="M2047" t="s">
        <v>39</v>
      </c>
      <c r="N2047">
        <v>551</v>
      </c>
      <c r="O2047" s="2">
        <v>46076</v>
      </c>
      <c r="P2047" s="2">
        <v>46131</v>
      </c>
      <c r="R2047" t="s">
        <v>5650</v>
      </c>
      <c r="S2047" t="str">
        <f>"0000050389084"</f>
        <v>0000050389084</v>
      </c>
      <c r="T2047" t="s">
        <v>41</v>
      </c>
      <c r="U2047">
        <v>738.02</v>
      </c>
      <c r="V2047">
        <v>738.02</v>
      </c>
      <c r="W2047">
        <v>738.02</v>
      </c>
      <c r="X2047">
        <v>0</v>
      </c>
      <c r="Y2047">
        <v>0</v>
      </c>
      <c r="Z2047">
        <v>-356</v>
      </c>
      <c r="AA2047">
        <v>679292</v>
      </c>
      <c r="AD2047" t="s">
        <v>665</v>
      </c>
      <c r="AE2047" t="s">
        <v>5651</v>
      </c>
      <c r="AF2047" t="s">
        <v>665</v>
      </c>
      <c r="AG2047" s="1" t="s">
        <v>5652</v>
      </c>
      <c r="AH2047" t="s">
        <v>311</v>
      </c>
    </row>
    <row r="2048" spans="1:34" x14ac:dyDescent="0.3">
      <c r="A2048">
        <v>101</v>
      </c>
      <c r="B2048" t="s">
        <v>34</v>
      </c>
      <c r="C2048">
        <v>2</v>
      </c>
      <c r="D2048" s="1" t="s">
        <v>5653</v>
      </c>
      <c r="E2048" s="1" t="s">
        <v>122</v>
      </c>
      <c r="G2048">
        <v>10604</v>
      </c>
      <c r="H2048" t="s">
        <v>5654</v>
      </c>
      <c r="I2048" t="s">
        <v>5655</v>
      </c>
      <c r="J2048">
        <v>12</v>
      </c>
      <c r="K2048">
        <v>10604</v>
      </c>
      <c r="L2048">
        <v>50033</v>
      </c>
      <c r="M2048" t="s">
        <v>39</v>
      </c>
      <c r="N2048">
        <v>551</v>
      </c>
      <c r="O2048" s="2">
        <v>46223</v>
      </c>
      <c r="P2048" s="2">
        <v>46283</v>
      </c>
      <c r="R2048" t="s">
        <v>5656</v>
      </c>
      <c r="S2048" t="str">
        <f>"0000050411187"</f>
        <v>0000050411187</v>
      </c>
      <c r="T2048" t="s">
        <v>41</v>
      </c>
      <c r="U2048">
        <v>5728.88</v>
      </c>
      <c r="V2048">
        <v>5728.88</v>
      </c>
      <c r="W2048">
        <v>5728.88</v>
      </c>
      <c r="X2048">
        <v>0</v>
      </c>
      <c r="Y2048">
        <v>0</v>
      </c>
      <c r="Z2048">
        <v>-508</v>
      </c>
      <c r="AA2048">
        <v>1007</v>
      </c>
      <c r="AD2048" t="s">
        <v>665</v>
      </c>
      <c r="AE2048" t="s">
        <v>5657</v>
      </c>
      <c r="AF2048" t="s">
        <v>665</v>
      </c>
      <c r="AG2048" s="1" t="s">
        <v>5658</v>
      </c>
      <c r="AH2048" t="s">
        <v>311</v>
      </c>
    </row>
    <row r="2049" spans="1:34" x14ac:dyDescent="0.3">
      <c r="A2049">
        <v>101</v>
      </c>
      <c r="B2049" t="s">
        <v>34</v>
      </c>
      <c r="C2049">
        <v>2</v>
      </c>
      <c r="D2049" s="1" t="s">
        <v>5659</v>
      </c>
      <c r="E2049" s="1" t="s">
        <v>36</v>
      </c>
      <c r="G2049">
        <v>436791</v>
      </c>
      <c r="H2049" t="s">
        <v>5660</v>
      </c>
      <c r="I2049" t="s">
        <v>2413</v>
      </c>
      <c r="J2049">
        <v>28</v>
      </c>
      <c r="K2049">
        <v>2695</v>
      </c>
      <c r="L2049">
        <v>95000</v>
      </c>
      <c r="M2049" t="s">
        <v>69</v>
      </c>
      <c r="N2049">
        <v>551</v>
      </c>
      <c r="O2049" s="2">
        <v>46168</v>
      </c>
      <c r="P2049" s="2">
        <v>46276</v>
      </c>
      <c r="R2049" t="s">
        <v>5661</v>
      </c>
      <c r="S2049" t="str">
        <f>""</f>
        <v/>
      </c>
      <c r="T2049" t="s">
        <v>41</v>
      </c>
      <c r="U2049">
        <v>9701.51</v>
      </c>
      <c r="V2049">
        <v>9594.7900000000009</v>
      </c>
      <c r="W2049">
        <v>9594.7900000000009</v>
      </c>
      <c r="X2049">
        <v>0</v>
      </c>
      <c r="Y2049">
        <v>0</v>
      </c>
      <c r="Z2049">
        <v>-501</v>
      </c>
      <c r="AA2049" t="s">
        <v>5662</v>
      </c>
      <c r="AD2049" t="s">
        <v>4751</v>
      </c>
      <c r="AF2049" t="s">
        <v>4751</v>
      </c>
      <c r="AG2049" s="1" t="s">
        <v>5663</v>
      </c>
      <c r="AH2049" t="s">
        <v>4754</v>
      </c>
    </row>
    <row r="2050" spans="1:34" x14ac:dyDescent="0.3">
      <c r="A2050">
        <v>101</v>
      </c>
      <c r="B2050" t="s">
        <v>34</v>
      </c>
      <c r="C2050">
        <v>2</v>
      </c>
      <c r="D2050" s="1" t="s">
        <v>5664</v>
      </c>
      <c r="E2050" s="1" t="s">
        <v>36</v>
      </c>
      <c r="G2050">
        <v>436791</v>
      </c>
      <c r="H2050" t="s">
        <v>5660</v>
      </c>
      <c r="I2050" t="s">
        <v>2413</v>
      </c>
      <c r="J2050">
        <v>28</v>
      </c>
      <c r="K2050">
        <v>2695</v>
      </c>
      <c r="L2050">
        <v>95000</v>
      </c>
      <c r="M2050" t="s">
        <v>69</v>
      </c>
      <c r="N2050">
        <v>551</v>
      </c>
      <c r="O2050" s="2">
        <v>46233</v>
      </c>
      <c r="P2050" s="2">
        <v>46328</v>
      </c>
      <c r="R2050" t="s">
        <v>5665</v>
      </c>
      <c r="S2050" t="str">
        <f>""</f>
        <v/>
      </c>
      <c r="T2050" t="s">
        <v>41</v>
      </c>
      <c r="U2050">
        <v>38723.980000000003</v>
      </c>
      <c r="V2050">
        <v>38298.019999999997</v>
      </c>
      <c r="W2050">
        <v>38298.019999999997</v>
      </c>
      <c r="X2050">
        <v>0</v>
      </c>
      <c r="Y2050">
        <v>0</v>
      </c>
      <c r="Z2050">
        <v>-553</v>
      </c>
      <c r="AA2050">
        <v>695638</v>
      </c>
      <c r="AD2050" t="s">
        <v>4751</v>
      </c>
      <c r="AF2050" t="s">
        <v>4751</v>
      </c>
      <c r="AG2050" s="1" t="s">
        <v>5663</v>
      </c>
      <c r="AH2050" t="s">
        <v>4754</v>
      </c>
    </row>
    <row r="2051" spans="1:34" x14ac:dyDescent="0.3">
      <c r="A2051">
        <v>101</v>
      </c>
      <c r="B2051" t="s">
        <v>34</v>
      </c>
      <c r="C2051">
        <v>2</v>
      </c>
      <c r="D2051" s="1" t="s">
        <v>5666</v>
      </c>
      <c r="E2051" s="1" t="s">
        <v>36</v>
      </c>
      <c r="G2051">
        <v>436791</v>
      </c>
      <c r="H2051" t="s">
        <v>5660</v>
      </c>
      <c r="I2051" t="s">
        <v>2413</v>
      </c>
      <c r="J2051">
        <v>28</v>
      </c>
      <c r="K2051">
        <v>2695</v>
      </c>
      <c r="L2051">
        <v>95080</v>
      </c>
      <c r="M2051" t="s">
        <v>83</v>
      </c>
      <c r="N2051">
        <v>551</v>
      </c>
      <c r="O2051" s="2">
        <v>46168</v>
      </c>
      <c r="P2051" s="2">
        <v>46263</v>
      </c>
      <c r="R2051" t="s">
        <v>5667</v>
      </c>
      <c r="S2051" t="str">
        <f>""</f>
        <v/>
      </c>
      <c r="T2051" t="s">
        <v>41</v>
      </c>
      <c r="U2051">
        <v>1404.25</v>
      </c>
      <c r="V2051">
        <v>1388.8</v>
      </c>
      <c r="W2051">
        <v>1388.8</v>
      </c>
      <c r="X2051">
        <v>0</v>
      </c>
      <c r="Y2051">
        <v>0</v>
      </c>
      <c r="Z2051">
        <v>-488</v>
      </c>
      <c r="AA2051" t="s">
        <v>5668</v>
      </c>
      <c r="AD2051" t="s">
        <v>4751</v>
      </c>
      <c r="AF2051" t="s">
        <v>4751</v>
      </c>
      <c r="AG2051" s="1" t="s">
        <v>5663</v>
      </c>
      <c r="AH2051" t="s">
        <v>4754</v>
      </c>
    </row>
    <row r="2052" spans="1:34" x14ac:dyDescent="0.3">
      <c r="A2052">
        <v>101</v>
      </c>
      <c r="B2052" t="s">
        <v>34</v>
      </c>
      <c r="C2052">
        <v>2</v>
      </c>
      <c r="D2052" s="1" t="s">
        <v>5669</v>
      </c>
      <c r="E2052" s="1" t="s">
        <v>36</v>
      </c>
      <c r="G2052">
        <v>436791</v>
      </c>
      <c r="H2052" t="s">
        <v>5660</v>
      </c>
      <c r="I2052" t="s">
        <v>2413</v>
      </c>
      <c r="J2052">
        <v>28</v>
      </c>
      <c r="K2052">
        <v>2695</v>
      </c>
      <c r="L2052">
        <v>95000</v>
      </c>
      <c r="M2052" t="s">
        <v>69</v>
      </c>
      <c r="N2052">
        <v>551</v>
      </c>
      <c r="O2052" s="2">
        <v>46209</v>
      </c>
      <c r="P2052" s="2">
        <v>46316</v>
      </c>
      <c r="R2052" t="s">
        <v>5670</v>
      </c>
      <c r="S2052" t="str">
        <f>""</f>
        <v/>
      </c>
      <c r="T2052" t="s">
        <v>41</v>
      </c>
      <c r="U2052">
        <v>3486.01</v>
      </c>
      <c r="V2052">
        <v>3447.66</v>
      </c>
      <c r="W2052">
        <v>3447.66</v>
      </c>
      <c r="X2052">
        <v>0</v>
      </c>
      <c r="Y2052">
        <v>0</v>
      </c>
      <c r="Z2052">
        <v>-541</v>
      </c>
      <c r="AA2052">
        <v>693701</v>
      </c>
      <c r="AD2052" t="s">
        <v>4751</v>
      </c>
      <c r="AF2052" t="s">
        <v>4751</v>
      </c>
      <c r="AG2052" s="1" t="s">
        <v>5663</v>
      </c>
      <c r="AH2052" t="s">
        <v>4754</v>
      </c>
    </row>
    <row r="2053" spans="1:34" x14ac:dyDescent="0.3">
      <c r="A2053">
        <v>101</v>
      </c>
      <c r="B2053" t="s">
        <v>34</v>
      </c>
      <c r="C2053">
        <v>2</v>
      </c>
      <c r="D2053" s="1" t="s">
        <v>5671</v>
      </c>
      <c r="E2053" s="1" t="s">
        <v>36</v>
      </c>
      <c r="G2053">
        <v>436791</v>
      </c>
      <c r="H2053" t="s">
        <v>5660</v>
      </c>
      <c r="I2053" t="s">
        <v>2413</v>
      </c>
      <c r="J2053">
        <v>28</v>
      </c>
      <c r="K2053">
        <v>2695</v>
      </c>
      <c r="L2053">
        <v>95000</v>
      </c>
      <c r="M2053" t="s">
        <v>69</v>
      </c>
      <c r="N2053">
        <v>551</v>
      </c>
      <c r="O2053" s="2">
        <v>46134</v>
      </c>
      <c r="P2053" s="2">
        <v>46255</v>
      </c>
      <c r="R2053" t="s">
        <v>5672</v>
      </c>
      <c r="S2053" t="str">
        <f>""</f>
        <v/>
      </c>
      <c r="T2053" t="s">
        <v>41</v>
      </c>
      <c r="U2053">
        <v>19602.599999999999</v>
      </c>
      <c r="V2053">
        <v>19386.97</v>
      </c>
      <c r="W2053">
        <v>19386.97</v>
      </c>
      <c r="X2053">
        <v>0</v>
      </c>
      <c r="Y2053">
        <v>0</v>
      </c>
      <c r="Z2053">
        <v>-480</v>
      </c>
      <c r="AA2053">
        <v>686001</v>
      </c>
      <c r="AD2053" t="s">
        <v>4751</v>
      </c>
      <c r="AF2053" t="s">
        <v>4751</v>
      </c>
      <c r="AG2053" s="1" t="s">
        <v>5663</v>
      </c>
      <c r="AH2053" t="s">
        <v>4754</v>
      </c>
    </row>
    <row r="2054" spans="1:34" x14ac:dyDescent="0.3">
      <c r="A2054">
        <v>101</v>
      </c>
      <c r="B2054" t="s">
        <v>34</v>
      </c>
      <c r="C2054">
        <v>2</v>
      </c>
      <c r="D2054" s="1" t="s">
        <v>5673</v>
      </c>
      <c r="E2054" s="1" t="s">
        <v>36</v>
      </c>
      <c r="G2054">
        <v>436791</v>
      </c>
      <c r="H2054" t="s">
        <v>5660</v>
      </c>
      <c r="I2054" t="s">
        <v>2413</v>
      </c>
      <c r="J2054">
        <v>28</v>
      </c>
      <c r="K2054">
        <v>2695</v>
      </c>
      <c r="L2054">
        <v>95000</v>
      </c>
      <c r="M2054" t="s">
        <v>69</v>
      </c>
      <c r="N2054">
        <v>551</v>
      </c>
      <c r="O2054" s="2">
        <v>46203</v>
      </c>
      <c r="P2054" s="2">
        <v>46337</v>
      </c>
      <c r="R2054" t="s">
        <v>5674</v>
      </c>
      <c r="S2054" t="str">
        <f>""</f>
        <v/>
      </c>
      <c r="T2054" t="s">
        <v>41</v>
      </c>
      <c r="U2054">
        <v>1578.7</v>
      </c>
      <c r="V2054">
        <v>1561.33</v>
      </c>
      <c r="W2054">
        <v>1561.33</v>
      </c>
      <c r="X2054">
        <v>0</v>
      </c>
      <c r="Y2054">
        <v>0</v>
      </c>
      <c r="Z2054">
        <v>-562</v>
      </c>
      <c r="AA2054">
        <v>693574</v>
      </c>
      <c r="AD2054" t="s">
        <v>4751</v>
      </c>
      <c r="AF2054" t="s">
        <v>4751</v>
      </c>
      <c r="AG2054" s="1" t="s">
        <v>5663</v>
      </c>
      <c r="AH2054" t="s">
        <v>4754</v>
      </c>
    </row>
    <row r="2055" spans="1:34" x14ac:dyDescent="0.3">
      <c r="A2055">
        <v>101</v>
      </c>
      <c r="B2055" t="s">
        <v>34</v>
      </c>
      <c r="C2055">
        <v>2</v>
      </c>
      <c r="D2055" s="1" t="s">
        <v>5675</v>
      </c>
      <c r="E2055" s="1" t="s">
        <v>36</v>
      </c>
      <c r="G2055">
        <v>436791</v>
      </c>
      <c r="H2055" t="s">
        <v>5660</v>
      </c>
      <c r="I2055" t="s">
        <v>2413</v>
      </c>
      <c r="J2055">
        <v>28</v>
      </c>
      <c r="K2055">
        <v>2695</v>
      </c>
      <c r="L2055">
        <v>95000</v>
      </c>
      <c r="M2055" t="s">
        <v>69</v>
      </c>
      <c r="N2055">
        <v>551</v>
      </c>
      <c r="O2055" s="2">
        <v>46185</v>
      </c>
      <c r="P2055" s="2">
        <v>46296</v>
      </c>
      <c r="R2055" t="s">
        <v>5676</v>
      </c>
      <c r="S2055" t="str">
        <f>""</f>
        <v/>
      </c>
      <c r="T2055" t="s">
        <v>41</v>
      </c>
      <c r="U2055">
        <v>2453.4499999999998</v>
      </c>
      <c r="V2055">
        <v>2426.46</v>
      </c>
      <c r="W2055">
        <v>2426.46</v>
      </c>
      <c r="X2055">
        <v>0</v>
      </c>
      <c r="Y2055">
        <v>0</v>
      </c>
      <c r="Z2055">
        <v>-521</v>
      </c>
      <c r="AA2055">
        <v>691089</v>
      </c>
      <c r="AD2055" t="s">
        <v>4751</v>
      </c>
      <c r="AF2055" t="s">
        <v>4751</v>
      </c>
      <c r="AG2055" s="1" t="s">
        <v>5663</v>
      </c>
      <c r="AH2055" t="s">
        <v>4754</v>
      </c>
    </row>
    <row r="2056" spans="1:34" x14ac:dyDescent="0.3">
      <c r="A2056">
        <v>101</v>
      </c>
      <c r="B2056" t="s">
        <v>34</v>
      </c>
      <c r="C2056">
        <v>2</v>
      </c>
      <c r="D2056" s="1" t="s">
        <v>5677</v>
      </c>
      <c r="E2056" s="1" t="s">
        <v>36</v>
      </c>
      <c r="G2056">
        <v>436792</v>
      </c>
      <c r="H2056" t="s">
        <v>5678</v>
      </c>
      <c r="I2056" t="s">
        <v>2413</v>
      </c>
      <c r="J2056">
        <v>28</v>
      </c>
      <c r="K2056">
        <v>2695</v>
      </c>
      <c r="L2056">
        <v>95000</v>
      </c>
      <c r="M2056" t="s">
        <v>69</v>
      </c>
      <c r="N2056">
        <v>551</v>
      </c>
      <c r="O2056" s="2">
        <v>46209</v>
      </c>
      <c r="P2056" s="2">
        <v>46316</v>
      </c>
      <c r="R2056" t="s">
        <v>5679</v>
      </c>
      <c r="S2056" t="str">
        <f>""</f>
        <v/>
      </c>
      <c r="T2056" t="s">
        <v>41</v>
      </c>
      <c r="U2056">
        <v>3486.01</v>
      </c>
      <c r="V2056">
        <v>3447.66</v>
      </c>
      <c r="W2056">
        <v>3447.66</v>
      </c>
      <c r="X2056">
        <v>0</v>
      </c>
      <c r="Y2056">
        <v>0</v>
      </c>
      <c r="Z2056">
        <v>-541</v>
      </c>
      <c r="AA2056">
        <v>693703</v>
      </c>
      <c r="AD2056" t="s">
        <v>4751</v>
      </c>
      <c r="AF2056" t="s">
        <v>4751</v>
      </c>
      <c r="AG2056" s="1" t="s">
        <v>5680</v>
      </c>
      <c r="AH2056" t="s">
        <v>4754</v>
      </c>
    </row>
    <row r="2057" spans="1:34" x14ac:dyDescent="0.3">
      <c r="A2057">
        <v>101</v>
      </c>
      <c r="B2057" t="s">
        <v>34</v>
      </c>
      <c r="C2057">
        <v>2</v>
      </c>
      <c r="D2057" s="1" t="s">
        <v>5681</v>
      </c>
      <c r="E2057" s="1" t="s">
        <v>36</v>
      </c>
      <c r="G2057">
        <v>436792</v>
      </c>
      <c r="H2057" t="s">
        <v>5678</v>
      </c>
      <c r="I2057" t="s">
        <v>2413</v>
      </c>
      <c r="J2057">
        <v>28</v>
      </c>
      <c r="K2057">
        <v>2695</v>
      </c>
      <c r="L2057">
        <v>95000</v>
      </c>
      <c r="M2057" t="s">
        <v>69</v>
      </c>
      <c r="N2057">
        <v>551</v>
      </c>
      <c r="O2057" s="2">
        <v>46185</v>
      </c>
      <c r="P2057" s="2">
        <v>46296</v>
      </c>
      <c r="R2057" t="s">
        <v>5682</v>
      </c>
      <c r="S2057" t="str">
        <f>""</f>
        <v/>
      </c>
      <c r="T2057" t="s">
        <v>41</v>
      </c>
      <c r="U2057">
        <v>16816.080000000002</v>
      </c>
      <c r="V2057">
        <v>16631.099999999999</v>
      </c>
      <c r="W2057">
        <v>16631.099999999999</v>
      </c>
      <c r="X2057">
        <v>0</v>
      </c>
      <c r="Y2057">
        <v>0</v>
      </c>
      <c r="Z2057">
        <v>-521</v>
      </c>
      <c r="AA2057">
        <v>691091</v>
      </c>
      <c r="AD2057" t="s">
        <v>4751</v>
      </c>
      <c r="AF2057" t="s">
        <v>4751</v>
      </c>
      <c r="AG2057" s="1" t="s">
        <v>5680</v>
      </c>
      <c r="AH2057" t="s">
        <v>4754</v>
      </c>
    </row>
    <row r="2058" spans="1:34" x14ac:dyDescent="0.3">
      <c r="A2058">
        <v>101</v>
      </c>
      <c r="B2058" t="s">
        <v>34</v>
      </c>
      <c r="C2058">
        <v>2</v>
      </c>
      <c r="D2058" s="1" t="s">
        <v>5683</v>
      </c>
      <c r="E2058" s="1" t="s">
        <v>36</v>
      </c>
      <c r="G2058">
        <v>436792</v>
      </c>
      <c r="H2058" t="s">
        <v>5678</v>
      </c>
      <c r="I2058" t="s">
        <v>2413</v>
      </c>
      <c r="J2058">
        <v>28</v>
      </c>
      <c r="K2058">
        <v>2695</v>
      </c>
      <c r="L2058">
        <v>95000</v>
      </c>
      <c r="M2058" t="s">
        <v>69</v>
      </c>
      <c r="N2058">
        <v>551</v>
      </c>
      <c r="O2058" s="2">
        <v>46203</v>
      </c>
      <c r="P2058" s="2">
        <v>46337</v>
      </c>
      <c r="R2058" t="s">
        <v>5684</v>
      </c>
      <c r="S2058" t="str">
        <f>""</f>
        <v/>
      </c>
      <c r="T2058" t="s">
        <v>41</v>
      </c>
      <c r="U2058">
        <v>1896.02</v>
      </c>
      <c r="V2058">
        <v>1875.16</v>
      </c>
      <c r="W2058">
        <v>1875.16</v>
      </c>
      <c r="X2058">
        <v>0</v>
      </c>
      <c r="Y2058">
        <v>0</v>
      </c>
      <c r="Z2058">
        <v>-562</v>
      </c>
      <c r="AA2058">
        <v>693576</v>
      </c>
      <c r="AD2058" t="s">
        <v>4751</v>
      </c>
      <c r="AF2058" t="s">
        <v>4751</v>
      </c>
      <c r="AG2058" s="1" t="s">
        <v>5680</v>
      </c>
      <c r="AH2058" t="s">
        <v>4754</v>
      </c>
    </row>
    <row r="2059" spans="1:34" x14ac:dyDescent="0.3">
      <c r="A2059">
        <v>101</v>
      </c>
      <c r="B2059" t="s">
        <v>34</v>
      </c>
      <c r="C2059">
        <v>2</v>
      </c>
      <c r="D2059" s="1" t="s">
        <v>5685</v>
      </c>
      <c r="E2059" s="1" t="s">
        <v>36</v>
      </c>
      <c r="G2059">
        <v>436792</v>
      </c>
      <c r="H2059" t="s">
        <v>5678</v>
      </c>
      <c r="I2059" t="s">
        <v>2413</v>
      </c>
      <c r="J2059">
        <v>28</v>
      </c>
      <c r="K2059">
        <v>2695</v>
      </c>
      <c r="L2059">
        <v>95000</v>
      </c>
      <c r="M2059" t="s">
        <v>69</v>
      </c>
      <c r="N2059">
        <v>551</v>
      </c>
      <c r="O2059" s="2">
        <v>46168</v>
      </c>
      <c r="P2059" s="2">
        <v>46286</v>
      </c>
      <c r="R2059" t="s">
        <v>5686</v>
      </c>
      <c r="S2059" t="str">
        <f>""</f>
        <v/>
      </c>
      <c r="T2059" t="s">
        <v>41</v>
      </c>
      <c r="U2059">
        <v>10155.77</v>
      </c>
      <c r="V2059">
        <v>10044.06</v>
      </c>
      <c r="W2059">
        <v>10044.06</v>
      </c>
      <c r="X2059">
        <v>0</v>
      </c>
      <c r="Y2059">
        <v>0</v>
      </c>
      <c r="Z2059">
        <v>-511</v>
      </c>
      <c r="AA2059" t="s">
        <v>5687</v>
      </c>
      <c r="AD2059" t="s">
        <v>4751</v>
      </c>
      <c r="AF2059" t="s">
        <v>4751</v>
      </c>
      <c r="AG2059" s="1" t="s">
        <v>5680</v>
      </c>
      <c r="AH2059" t="s">
        <v>4754</v>
      </c>
    </row>
    <row r="2060" spans="1:34" x14ac:dyDescent="0.3">
      <c r="A2060">
        <v>101</v>
      </c>
      <c r="B2060" t="s">
        <v>34</v>
      </c>
      <c r="C2060">
        <v>2</v>
      </c>
      <c r="D2060" s="1" t="s">
        <v>5688</v>
      </c>
      <c r="E2060" s="1" t="s">
        <v>36</v>
      </c>
      <c r="G2060">
        <v>436792</v>
      </c>
      <c r="H2060" t="s">
        <v>5678</v>
      </c>
      <c r="I2060" t="s">
        <v>2413</v>
      </c>
      <c r="J2060">
        <v>28</v>
      </c>
      <c r="K2060">
        <v>2695</v>
      </c>
      <c r="L2060">
        <v>95000</v>
      </c>
      <c r="M2060" t="s">
        <v>69</v>
      </c>
      <c r="N2060">
        <v>551</v>
      </c>
      <c r="O2060" s="2">
        <v>46233</v>
      </c>
      <c r="P2060" s="2">
        <v>46349</v>
      </c>
      <c r="R2060" t="s">
        <v>5689</v>
      </c>
      <c r="S2060" t="str">
        <f>""</f>
        <v/>
      </c>
      <c r="T2060" t="s">
        <v>41</v>
      </c>
      <c r="U2060">
        <v>33467.46</v>
      </c>
      <c r="V2060">
        <v>33099.32</v>
      </c>
      <c r="W2060">
        <v>33099.32</v>
      </c>
      <c r="X2060">
        <v>0</v>
      </c>
      <c r="Y2060">
        <v>0</v>
      </c>
      <c r="Z2060">
        <v>-574</v>
      </c>
      <c r="AA2060">
        <v>695640</v>
      </c>
      <c r="AD2060" t="s">
        <v>4751</v>
      </c>
      <c r="AF2060" t="s">
        <v>4751</v>
      </c>
      <c r="AG2060" s="1" t="s">
        <v>5680</v>
      </c>
      <c r="AH2060" t="s">
        <v>4754</v>
      </c>
    </row>
    <row r="2061" spans="1:34" x14ac:dyDescent="0.3">
      <c r="A2061">
        <v>101</v>
      </c>
      <c r="B2061" t="s">
        <v>34</v>
      </c>
      <c r="C2061">
        <v>2</v>
      </c>
      <c r="D2061" s="1" t="s">
        <v>5690</v>
      </c>
      <c r="E2061" s="1" t="s">
        <v>36</v>
      </c>
      <c r="G2061">
        <v>436800</v>
      </c>
      <c r="H2061" t="s">
        <v>5691</v>
      </c>
      <c r="I2061" t="s">
        <v>2413</v>
      </c>
      <c r="J2061">
        <v>28</v>
      </c>
      <c r="K2061">
        <v>2695</v>
      </c>
      <c r="L2061">
        <v>95000</v>
      </c>
      <c r="M2061" t="s">
        <v>69</v>
      </c>
      <c r="N2061">
        <v>551</v>
      </c>
      <c r="O2061" s="2">
        <v>46168</v>
      </c>
      <c r="P2061" s="2">
        <v>46296</v>
      </c>
      <c r="R2061" t="s">
        <v>5692</v>
      </c>
      <c r="S2061" t="str">
        <f>""</f>
        <v/>
      </c>
      <c r="T2061" t="s">
        <v>41</v>
      </c>
      <c r="U2061">
        <v>3578.8</v>
      </c>
      <c r="V2061">
        <v>3539.43</v>
      </c>
      <c r="W2061">
        <v>3539.43</v>
      </c>
      <c r="X2061">
        <v>0</v>
      </c>
      <c r="Y2061">
        <v>0</v>
      </c>
      <c r="Z2061">
        <v>-521</v>
      </c>
      <c r="AA2061" t="s">
        <v>5693</v>
      </c>
      <c r="AD2061" t="s">
        <v>665</v>
      </c>
      <c r="AF2061" t="s">
        <v>665</v>
      </c>
      <c r="AG2061" s="1" t="s">
        <v>5694</v>
      </c>
      <c r="AH2061" t="s">
        <v>311</v>
      </c>
    </row>
    <row r="2062" spans="1:34" x14ac:dyDescent="0.3">
      <c r="A2062">
        <v>101</v>
      </c>
      <c r="B2062" t="s">
        <v>34</v>
      </c>
      <c r="C2062">
        <v>2</v>
      </c>
      <c r="D2062" s="1" t="s">
        <v>5695</v>
      </c>
      <c r="E2062" s="1" t="s">
        <v>36</v>
      </c>
      <c r="G2062">
        <v>436800</v>
      </c>
      <c r="H2062" t="s">
        <v>5691</v>
      </c>
      <c r="I2062" t="s">
        <v>2413</v>
      </c>
      <c r="J2062">
        <v>28</v>
      </c>
      <c r="K2062">
        <v>2695</v>
      </c>
      <c r="L2062">
        <v>95000</v>
      </c>
      <c r="M2062" t="s">
        <v>69</v>
      </c>
      <c r="N2062">
        <v>551</v>
      </c>
      <c r="O2062" s="2">
        <v>46233</v>
      </c>
      <c r="P2062" s="2">
        <v>46349</v>
      </c>
      <c r="R2062" t="s">
        <v>5696</v>
      </c>
      <c r="S2062" t="str">
        <f>""</f>
        <v/>
      </c>
      <c r="T2062" t="s">
        <v>41</v>
      </c>
      <c r="U2062">
        <v>24495.27</v>
      </c>
      <c r="V2062">
        <v>24225.82</v>
      </c>
      <c r="W2062">
        <v>24225.82</v>
      </c>
      <c r="X2062">
        <v>0</v>
      </c>
      <c r="Y2062">
        <v>0</v>
      </c>
      <c r="Z2062">
        <v>-574</v>
      </c>
      <c r="AA2062">
        <v>695654</v>
      </c>
      <c r="AD2062" t="s">
        <v>665</v>
      </c>
      <c r="AF2062" t="s">
        <v>665</v>
      </c>
      <c r="AG2062" s="1" t="s">
        <v>5694</v>
      </c>
      <c r="AH2062" t="s">
        <v>311</v>
      </c>
    </row>
    <row r="2063" spans="1:34" x14ac:dyDescent="0.3">
      <c r="A2063">
        <v>101</v>
      </c>
      <c r="B2063" t="s">
        <v>34</v>
      </c>
      <c r="C2063">
        <v>2</v>
      </c>
      <c r="D2063" s="1" t="s">
        <v>5697</v>
      </c>
      <c r="E2063" s="1" t="s">
        <v>36</v>
      </c>
      <c r="G2063">
        <v>436800</v>
      </c>
      <c r="H2063" t="s">
        <v>5691</v>
      </c>
      <c r="I2063" t="s">
        <v>2413</v>
      </c>
      <c r="J2063">
        <v>28</v>
      </c>
      <c r="K2063">
        <v>2695</v>
      </c>
      <c r="L2063">
        <v>95000</v>
      </c>
      <c r="M2063" t="s">
        <v>69</v>
      </c>
      <c r="N2063">
        <v>551</v>
      </c>
      <c r="O2063" s="2">
        <v>46209</v>
      </c>
      <c r="P2063" s="2">
        <v>46329</v>
      </c>
      <c r="R2063" t="s">
        <v>5698</v>
      </c>
      <c r="S2063" t="str">
        <f>""</f>
        <v/>
      </c>
      <c r="T2063" t="s">
        <v>41</v>
      </c>
      <c r="U2063">
        <v>3360</v>
      </c>
      <c r="V2063">
        <v>3323.04</v>
      </c>
      <c r="W2063">
        <v>3323.04</v>
      </c>
      <c r="X2063">
        <v>0</v>
      </c>
      <c r="Y2063">
        <v>0</v>
      </c>
      <c r="Z2063">
        <v>-554</v>
      </c>
      <c r="AA2063">
        <v>693717</v>
      </c>
      <c r="AD2063" t="s">
        <v>665</v>
      </c>
      <c r="AF2063" t="s">
        <v>665</v>
      </c>
      <c r="AG2063" s="1" t="s">
        <v>5694</v>
      </c>
      <c r="AH2063" t="s">
        <v>311</v>
      </c>
    </row>
    <row r="2064" spans="1:34" x14ac:dyDescent="0.3">
      <c r="A2064">
        <v>101</v>
      </c>
      <c r="B2064" t="s">
        <v>34</v>
      </c>
      <c r="C2064">
        <v>2</v>
      </c>
      <c r="D2064" s="1" t="s">
        <v>5699</v>
      </c>
      <c r="E2064" s="1" t="s">
        <v>36</v>
      </c>
      <c r="G2064">
        <v>436800</v>
      </c>
      <c r="H2064" t="s">
        <v>5691</v>
      </c>
      <c r="I2064" t="s">
        <v>2413</v>
      </c>
      <c r="J2064">
        <v>28</v>
      </c>
      <c r="K2064">
        <v>2695</v>
      </c>
      <c r="L2064">
        <v>95000</v>
      </c>
      <c r="M2064" t="s">
        <v>69</v>
      </c>
      <c r="N2064">
        <v>551</v>
      </c>
      <c r="O2064" s="2">
        <v>46203</v>
      </c>
      <c r="P2064" s="2">
        <v>46329</v>
      </c>
      <c r="R2064" t="s">
        <v>5700</v>
      </c>
      <c r="S2064" t="str">
        <f>""</f>
        <v/>
      </c>
      <c r="T2064" t="s">
        <v>41</v>
      </c>
      <c r="U2064">
        <v>1016.2</v>
      </c>
      <c r="V2064">
        <v>1005.02</v>
      </c>
      <c r="W2064">
        <v>1005.02</v>
      </c>
      <c r="X2064">
        <v>0</v>
      </c>
      <c r="Y2064">
        <v>0</v>
      </c>
      <c r="Z2064">
        <v>-554</v>
      </c>
      <c r="AA2064">
        <v>693588</v>
      </c>
      <c r="AD2064" t="s">
        <v>665</v>
      </c>
      <c r="AF2064" t="s">
        <v>665</v>
      </c>
      <c r="AG2064" s="1" t="s">
        <v>5694</v>
      </c>
      <c r="AH2064" t="s">
        <v>311</v>
      </c>
    </row>
    <row r="2065" spans="1:34" x14ac:dyDescent="0.3">
      <c r="A2065">
        <v>101</v>
      </c>
      <c r="B2065" t="s">
        <v>34</v>
      </c>
      <c r="C2065">
        <v>2</v>
      </c>
      <c r="D2065" s="1" t="s">
        <v>5701</v>
      </c>
      <c r="E2065" s="1" t="s">
        <v>36</v>
      </c>
      <c r="G2065">
        <v>436800</v>
      </c>
      <c r="H2065" t="s">
        <v>5691</v>
      </c>
      <c r="I2065" t="s">
        <v>2413</v>
      </c>
      <c r="J2065">
        <v>28</v>
      </c>
      <c r="K2065">
        <v>2695</v>
      </c>
      <c r="L2065">
        <v>95000</v>
      </c>
      <c r="M2065" t="s">
        <v>69</v>
      </c>
      <c r="N2065">
        <v>551</v>
      </c>
      <c r="O2065" s="2">
        <v>46185</v>
      </c>
      <c r="P2065" s="2">
        <v>46296</v>
      </c>
      <c r="R2065" t="s">
        <v>5702</v>
      </c>
      <c r="S2065" t="str">
        <f>""</f>
        <v/>
      </c>
      <c r="T2065" t="s">
        <v>41</v>
      </c>
      <c r="U2065">
        <v>10212.5</v>
      </c>
      <c r="V2065">
        <v>10100.16</v>
      </c>
      <c r="W2065">
        <v>10100.16</v>
      </c>
      <c r="X2065">
        <v>0</v>
      </c>
      <c r="Y2065">
        <v>0</v>
      </c>
      <c r="Z2065">
        <v>-521</v>
      </c>
      <c r="AA2065">
        <v>691105</v>
      </c>
      <c r="AD2065" t="s">
        <v>665</v>
      </c>
      <c r="AF2065" t="s">
        <v>665</v>
      </c>
      <c r="AG2065" s="1" t="s">
        <v>5694</v>
      </c>
      <c r="AH2065" t="s">
        <v>311</v>
      </c>
    </row>
    <row r="2066" spans="1:34" x14ac:dyDescent="0.3">
      <c r="A2066">
        <v>101</v>
      </c>
      <c r="B2066" t="s">
        <v>34</v>
      </c>
      <c r="C2066">
        <v>2</v>
      </c>
      <c r="D2066" s="1" t="s">
        <v>5703</v>
      </c>
      <c r="E2066" s="1" t="s">
        <v>36</v>
      </c>
      <c r="G2066">
        <v>436801</v>
      </c>
      <c r="H2066" t="s">
        <v>5704</v>
      </c>
      <c r="I2066" t="s">
        <v>2413</v>
      </c>
      <c r="J2066">
        <v>28</v>
      </c>
      <c r="K2066">
        <v>2695</v>
      </c>
      <c r="L2066">
        <v>95000</v>
      </c>
      <c r="M2066" t="s">
        <v>69</v>
      </c>
      <c r="N2066">
        <v>551</v>
      </c>
      <c r="O2066" s="2">
        <v>46209</v>
      </c>
      <c r="P2066" s="2">
        <v>46329</v>
      </c>
      <c r="R2066" t="s">
        <v>5705</v>
      </c>
      <c r="S2066" t="str">
        <f>""</f>
        <v/>
      </c>
      <c r="T2066" t="s">
        <v>41</v>
      </c>
      <c r="U2066">
        <v>7392</v>
      </c>
      <c r="V2066">
        <v>7310.69</v>
      </c>
      <c r="W2066">
        <v>7310.69</v>
      </c>
      <c r="X2066">
        <v>0</v>
      </c>
      <c r="Y2066">
        <v>0</v>
      </c>
      <c r="Z2066">
        <v>-554</v>
      </c>
      <c r="AA2066">
        <v>693705</v>
      </c>
      <c r="AD2066" t="s">
        <v>665</v>
      </c>
      <c r="AF2066" t="s">
        <v>665</v>
      </c>
      <c r="AG2066" s="1" t="s">
        <v>5706</v>
      </c>
      <c r="AH2066" t="s">
        <v>311</v>
      </c>
    </row>
    <row r="2067" spans="1:34" x14ac:dyDescent="0.3">
      <c r="A2067">
        <v>101</v>
      </c>
      <c r="B2067" t="s">
        <v>34</v>
      </c>
      <c r="C2067">
        <v>2</v>
      </c>
      <c r="D2067" s="1" t="s">
        <v>5707</v>
      </c>
      <c r="E2067" s="1" t="s">
        <v>36</v>
      </c>
      <c r="G2067">
        <v>436801</v>
      </c>
      <c r="H2067" t="s">
        <v>5704</v>
      </c>
      <c r="I2067" t="s">
        <v>2413</v>
      </c>
      <c r="J2067">
        <v>28</v>
      </c>
      <c r="K2067">
        <v>2695</v>
      </c>
      <c r="L2067">
        <v>95000</v>
      </c>
      <c r="M2067" t="s">
        <v>69</v>
      </c>
      <c r="N2067">
        <v>551</v>
      </c>
      <c r="O2067" s="2">
        <v>46185</v>
      </c>
      <c r="P2067" s="2">
        <v>46296</v>
      </c>
      <c r="R2067" t="s">
        <v>5708</v>
      </c>
      <c r="S2067" t="str">
        <f>""</f>
        <v/>
      </c>
      <c r="T2067" t="s">
        <v>41</v>
      </c>
      <c r="U2067">
        <v>19024.349999999999</v>
      </c>
      <c r="V2067">
        <v>18815.080000000002</v>
      </c>
      <c r="W2067">
        <v>18815.080000000002</v>
      </c>
      <c r="X2067">
        <v>0</v>
      </c>
      <c r="Y2067">
        <v>0</v>
      </c>
      <c r="Z2067">
        <v>-521</v>
      </c>
      <c r="AA2067">
        <v>691093</v>
      </c>
      <c r="AD2067" t="s">
        <v>665</v>
      </c>
      <c r="AF2067" t="s">
        <v>665</v>
      </c>
      <c r="AG2067" s="1" t="s">
        <v>5706</v>
      </c>
      <c r="AH2067" t="s">
        <v>311</v>
      </c>
    </row>
    <row r="2068" spans="1:34" x14ac:dyDescent="0.3">
      <c r="A2068">
        <v>101</v>
      </c>
      <c r="B2068" t="s">
        <v>34</v>
      </c>
      <c r="C2068">
        <v>2</v>
      </c>
      <c r="D2068" s="1" t="s">
        <v>5709</v>
      </c>
      <c r="E2068" s="1" t="s">
        <v>36</v>
      </c>
      <c r="G2068">
        <v>436801</v>
      </c>
      <c r="H2068" t="s">
        <v>5704</v>
      </c>
      <c r="I2068" t="s">
        <v>2413</v>
      </c>
      <c r="J2068">
        <v>28</v>
      </c>
      <c r="K2068">
        <v>2695</v>
      </c>
      <c r="L2068">
        <v>95000</v>
      </c>
      <c r="M2068" t="s">
        <v>69</v>
      </c>
      <c r="N2068">
        <v>551</v>
      </c>
      <c r="O2068" s="2">
        <v>46203</v>
      </c>
      <c r="P2068" s="2">
        <v>46329</v>
      </c>
      <c r="R2068" t="s">
        <v>5710</v>
      </c>
      <c r="S2068" t="str">
        <f>""</f>
        <v/>
      </c>
      <c r="T2068" t="s">
        <v>41</v>
      </c>
      <c r="U2068">
        <v>11034.95</v>
      </c>
      <c r="V2068">
        <v>10913.57</v>
      </c>
      <c r="W2068">
        <v>10913.57</v>
      </c>
      <c r="X2068">
        <v>0</v>
      </c>
      <c r="Y2068">
        <v>0</v>
      </c>
      <c r="Z2068">
        <v>-554</v>
      </c>
      <c r="AA2068">
        <v>693578</v>
      </c>
      <c r="AD2068" t="s">
        <v>665</v>
      </c>
      <c r="AF2068" t="s">
        <v>665</v>
      </c>
      <c r="AG2068" s="1" t="s">
        <v>5706</v>
      </c>
      <c r="AH2068" t="s">
        <v>311</v>
      </c>
    </row>
    <row r="2069" spans="1:34" x14ac:dyDescent="0.3">
      <c r="A2069">
        <v>101</v>
      </c>
      <c r="B2069" t="s">
        <v>34</v>
      </c>
      <c r="C2069">
        <v>2</v>
      </c>
      <c r="D2069" s="1" t="s">
        <v>5711</v>
      </c>
      <c r="E2069" s="1" t="s">
        <v>36</v>
      </c>
      <c r="G2069">
        <v>436801</v>
      </c>
      <c r="H2069" t="s">
        <v>5704</v>
      </c>
      <c r="I2069" t="s">
        <v>2413</v>
      </c>
      <c r="J2069">
        <v>28</v>
      </c>
      <c r="K2069">
        <v>2695</v>
      </c>
      <c r="L2069">
        <v>95000</v>
      </c>
      <c r="M2069" t="s">
        <v>69</v>
      </c>
      <c r="N2069">
        <v>551</v>
      </c>
      <c r="O2069" s="2">
        <v>46233</v>
      </c>
      <c r="P2069" s="2">
        <v>46349</v>
      </c>
      <c r="R2069" t="s">
        <v>5712</v>
      </c>
      <c r="S2069" t="str">
        <f>""</f>
        <v/>
      </c>
      <c r="T2069" t="s">
        <v>41</v>
      </c>
      <c r="U2069">
        <v>38836.68</v>
      </c>
      <c r="V2069">
        <v>38409.480000000003</v>
      </c>
      <c r="W2069">
        <v>38409.480000000003</v>
      </c>
      <c r="X2069">
        <v>0</v>
      </c>
      <c r="Y2069">
        <v>0</v>
      </c>
      <c r="Z2069">
        <v>-574</v>
      </c>
      <c r="AA2069">
        <v>695642</v>
      </c>
      <c r="AD2069" t="s">
        <v>665</v>
      </c>
      <c r="AF2069" t="s">
        <v>665</v>
      </c>
      <c r="AG2069" s="1" t="s">
        <v>5706</v>
      </c>
      <c r="AH2069" t="s">
        <v>311</v>
      </c>
    </row>
    <row r="2070" spans="1:34" x14ac:dyDescent="0.3">
      <c r="A2070">
        <v>101</v>
      </c>
      <c r="B2070" t="s">
        <v>34</v>
      </c>
      <c r="C2070">
        <v>2</v>
      </c>
      <c r="D2070" s="1" t="s">
        <v>5713</v>
      </c>
      <c r="E2070" s="1" t="s">
        <v>36</v>
      </c>
      <c r="G2070">
        <v>436801</v>
      </c>
      <c r="H2070" t="s">
        <v>5704</v>
      </c>
      <c r="I2070" t="s">
        <v>2413</v>
      </c>
      <c r="J2070">
        <v>28</v>
      </c>
      <c r="K2070">
        <v>2695</v>
      </c>
      <c r="L2070">
        <v>95000</v>
      </c>
      <c r="M2070" t="s">
        <v>69</v>
      </c>
      <c r="N2070">
        <v>551</v>
      </c>
      <c r="O2070" s="2">
        <v>46168</v>
      </c>
      <c r="P2070" s="2">
        <v>46276</v>
      </c>
      <c r="R2070" t="s">
        <v>5714</v>
      </c>
      <c r="S2070" t="str">
        <f>""</f>
        <v/>
      </c>
      <c r="T2070" t="s">
        <v>41</v>
      </c>
      <c r="U2070">
        <v>15330.45</v>
      </c>
      <c r="V2070">
        <v>15161.82</v>
      </c>
      <c r="W2070">
        <v>15161.82</v>
      </c>
      <c r="X2070">
        <v>0</v>
      </c>
      <c r="Y2070">
        <v>0</v>
      </c>
      <c r="Z2070">
        <v>-501</v>
      </c>
      <c r="AA2070" t="s">
        <v>5715</v>
      </c>
      <c r="AD2070" t="s">
        <v>665</v>
      </c>
      <c r="AF2070" t="s">
        <v>665</v>
      </c>
      <c r="AG2070" s="1" t="s">
        <v>5706</v>
      </c>
      <c r="AH2070" t="s">
        <v>311</v>
      </c>
    </row>
    <row r="2071" spans="1:34" x14ac:dyDescent="0.3">
      <c r="A2071">
        <v>101</v>
      </c>
      <c r="B2071" t="s">
        <v>34</v>
      </c>
      <c r="C2071">
        <v>2</v>
      </c>
      <c r="D2071" s="1" t="s">
        <v>5716</v>
      </c>
      <c r="E2071" s="1" t="s">
        <v>36</v>
      </c>
      <c r="G2071">
        <v>438095</v>
      </c>
      <c r="H2071" t="s">
        <v>5717</v>
      </c>
      <c r="I2071" t="s">
        <v>2413</v>
      </c>
      <c r="J2071">
        <v>28</v>
      </c>
      <c r="K2071">
        <v>2695</v>
      </c>
      <c r="L2071">
        <v>95000</v>
      </c>
      <c r="M2071" t="s">
        <v>69</v>
      </c>
      <c r="N2071">
        <v>551</v>
      </c>
      <c r="O2071" s="2">
        <v>46233</v>
      </c>
      <c r="P2071" s="2">
        <v>46328</v>
      </c>
      <c r="R2071" t="s">
        <v>5718</v>
      </c>
      <c r="S2071" t="str">
        <f>""</f>
        <v/>
      </c>
      <c r="T2071" t="s">
        <v>41</v>
      </c>
      <c r="U2071">
        <v>22421.7</v>
      </c>
      <c r="V2071">
        <v>22175.06</v>
      </c>
      <c r="W2071">
        <v>22175.06</v>
      </c>
      <c r="X2071">
        <v>0</v>
      </c>
      <c r="Y2071">
        <v>0</v>
      </c>
      <c r="Z2071">
        <v>-553</v>
      </c>
      <c r="AA2071">
        <v>695652</v>
      </c>
      <c r="AD2071" t="s">
        <v>5719</v>
      </c>
      <c r="AE2071" t="s">
        <v>5720</v>
      </c>
      <c r="AF2071" t="s">
        <v>5719</v>
      </c>
      <c r="AG2071" s="1" t="s">
        <v>5721</v>
      </c>
      <c r="AH2071" t="s">
        <v>311</v>
      </c>
    </row>
    <row r="2072" spans="1:34" x14ac:dyDescent="0.3">
      <c r="A2072">
        <v>101</v>
      </c>
      <c r="B2072" t="s">
        <v>34</v>
      </c>
      <c r="C2072">
        <v>2</v>
      </c>
      <c r="D2072" s="1" t="s">
        <v>5722</v>
      </c>
      <c r="E2072" s="1" t="s">
        <v>36</v>
      </c>
      <c r="G2072">
        <v>438095</v>
      </c>
      <c r="H2072" t="s">
        <v>5717</v>
      </c>
      <c r="I2072" t="s">
        <v>2413</v>
      </c>
      <c r="J2072">
        <v>28</v>
      </c>
      <c r="K2072">
        <v>2695</v>
      </c>
      <c r="L2072">
        <v>95000</v>
      </c>
      <c r="M2072" t="s">
        <v>69</v>
      </c>
      <c r="N2072">
        <v>551</v>
      </c>
      <c r="O2072" s="2">
        <v>46168</v>
      </c>
      <c r="P2072" s="2">
        <v>46286</v>
      </c>
      <c r="R2072" t="s">
        <v>5723</v>
      </c>
      <c r="S2072" t="str">
        <f>""</f>
        <v/>
      </c>
      <c r="T2072" t="s">
        <v>41</v>
      </c>
      <c r="U2072">
        <v>20333.849999999999</v>
      </c>
      <c r="V2072">
        <v>20110.18</v>
      </c>
      <c r="W2072">
        <v>20110.18</v>
      </c>
      <c r="X2072">
        <v>0</v>
      </c>
      <c r="Y2072">
        <v>0</v>
      </c>
      <c r="Z2072">
        <v>-511</v>
      </c>
      <c r="AA2072" t="s">
        <v>5724</v>
      </c>
      <c r="AD2072" t="s">
        <v>5719</v>
      </c>
      <c r="AE2072" t="s">
        <v>5720</v>
      </c>
      <c r="AF2072" t="s">
        <v>5719</v>
      </c>
      <c r="AG2072" s="1" t="s">
        <v>5721</v>
      </c>
      <c r="AH2072" t="s">
        <v>311</v>
      </c>
    </row>
    <row r="2073" spans="1:34" x14ac:dyDescent="0.3">
      <c r="A2073">
        <v>101</v>
      </c>
      <c r="B2073" t="s">
        <v>34</v>
      </c>
      <c r="C2073">
        <v>2</v>
      </c>
      <c r="D2073" s="1" t="s">
        <v>5725</v>
      </c>
      <c r="E2073" s="1" t="s">
        <v>36</v>
      </c>
      <c r="G2073">
        <v>438095</v>
      </c>
      <c r="H2073" t="s">
        <v>5717</v>
      </c>
      <c r="I2073" t="s">
        <v>2413</v>
      </c>
      <c r="J2073">
        <v>28</v>
      </c>
      <c r="K2073">
        <v>2695</v>
      </c>
      <c r="L2073">
        <v>95000</v>
      </c>
      <c r="M2073" t="s">
        <v>69</v>
      </c>
      <c r="N2073">
        <v>551</v>
      </c>
      <c r="O2073" s="2">
        <v>46209</v>
      </c>
      <c r="P2073" s="2">
        <v>46316</v>
      </c>
      <c r="R2073" t="s">
        <v>5726</v>
      </c>
      <c r="S2073" t="str">
        <f>""</f>
        <v/>
      </c>
      <c r="T2073" t="s">
        <v>41</v>
      </c>
      <c r="U2073">
        <v>3360</v>
      </c>
      <c r="V2073">
        <v>3323.04</v>
      </c>
      <c r="W2073">
        <v>3323.04</v>
      </c>
      <c r="X2073">
        <v>0</v>
      </c>
      <c r="Y2073">
        <v>0</v>
      </c>
      <c r="Z2073">
        <v>-541</v>
      </c>
      <c r="AA2073">
        <v>693715</v>
      </c>
      <c r="AD2073" t="s">
        <v>5719</v>
      </c>
      <c r="AE2073" t="s">
        <v>5720</v>
      </c>
      <c r="AF2073" t="s">
        <v>5719</v>
      </c>
      <c r="AG2073" s="1" t="s">
        <v>5721</v>
      </c>
      <c r="AH2073" t="s">
        <v>311</v>
      </c>
    </row>
    <row r="2074" spans="1:34" x14ac:dyDescent="0.3">
      <c r="A2074">
        <v>101</v>
      </c>
      <c r="B2074" t="s">
        <v>34</v>
      </c>
      <c r="C2074">
        <v>2</v>
      </c>
      <c r="D2074" s="1" t="s">
        <v>5727</v>
      </c>
      <c r="E2074" s="1" t="s">
        <v>36</v>
      </c>
      <c r="G2074">
        <v>438095</v>
      </c>
      <c r="H2074" t="s">
        <v>5717</v>
      </c>
      <c r="I2074" t="s">
        <v>2413</v>
      </c>
      <c r="J2074">
        <v>28</v>
      </c>
      <c r="K2074">
        <v>2695</v>
      </c>
      <c r="L2074">
        <v>95000</v>
      </c>
      <c r="M2074" t="s">
        <v>69</v>
      </c>
      <c r="N2074">
        <v>551</v>
      </c>
      <c r="O2074" s="2">
        <v>46203</v>
      </c>
      <c r="P2074" s="2">
        <v>46316</v>
      </c>
      <c r="R2074" t="s">
        <v>5728</v>
      </c>
      <c r="S2074" t="str">
        <f>""</f>
        <v/>
      </c>
      <c r="T2074" t="s">
        <v>41</v>
      </c>
      <c r="U2074">
        <v>5933.5</v>
      </c>
      <c r="V2074">
        <v>5868.23</v>
      </c>
      <c r="W2074">
        <v>5868.23</v>
      </c>
      <c r="X2074">
        <v>0</v>
      </c>
      <c r="Y2074">
        <v>0</v>
      </c>
      <c r="Z2074">
        <v>-541</v>
      </c>
      <c r="AA2074">
        <v>693586</v>
      </c>
      <c r="AD2074" t="s">
        <v>5719</v>
      </c>
      <c r="AE2074" t="s">
        <v>5720</v>
      </c>
      <c r="AF2074" t="s">
        <v>5719</v>
      </c>
      <c r="AG2074" s="1" t="s">
        <v>5721</v>
      </c>
      <c r="AH2074" t="s">
        <v>311</v>
      </c>
    </row>
    <row r="2075" spans="1:34" x14ac:dyDescent="0.3">
      <c r="A2075">
        <v>101</v>
      </c>
      <c r="B2075" t="s">
        <v>34</v>
      </c>
      <c r="C2075">
        <v>2</v>
      </c>
      <c r="D2075" s="1" t="s">
        <v>5729</v>
      </c>
      <c r="E2075" s="1" t="s">
        <v>36</v>
      </c>
      <c r="G2075">
        <v>438095</v>
      </c>
      <c r="H2075" t="s">
        <v>5717</v>
      </c>
      <c r="I2075" t="s">
        <v>2413</v>
      </c>
      <c r="J2075">
        <v>28</v>
      </c>
      <c r="K2075">
        <v>2695</v>
      </c>
      <c r="L2075">
        <v>95000</v>
      </c>
      <c r="M2075" t="s">
        <v>69</v>
      </c>
      <c r="N2075">
        <v>551</v>
      </c>
      <c r="O2075" s="2">
        <v>46185</v>
      </c>
      <c r="P2075" s="2">
        <v>46296</v>
      </c>
      <c r="R2075" t="s">
        <v>5730</v>
      </c>
      <c r="S2075" t="str">
        <f>""</f>
        <v/>
      </c>
      <c r="T2075" t="s">
        <v>41</v>
      </c>
      <c r="U2075">
        <v>24991.05</v>
      </c>
      <c r="V2075">
        <v>24716.15</v>
      </c>
      <c r="W2075">
        <v>24716.15</v>
      </c>
      <c r="X2075">
        <v>0</v>
      </c>
      <c r="Y2075">
        <v>0</v>
      </c>
      <c r="Z2075">
        <v>-521</v>
      </c>
      <c r="AA2075">
        <v>691103</v>
      </c>
      <c r="AD2075" t="s">
        <v>5719</v>
      </c>
      <c r="AE2075" t="s">
        <v>5720</v>
      </c>
      <c r="AF2075" t="s">
        <v>5719</v>
      </c>
      <c r="AG2075" s="1" t="s">
        <v>5721</v>
      </c>
      <c r="AH2075" t="s">
        <v>311</v>
      </c>
    </row>
    <row r="2076" spans="1:34" x14ac:dyDescent="0.3">
      <c r="A2076">
        <v>101</v>
      </c>
      <c r="B2076" t="s">
        <v>34</v>
      </c>
      <c r="C2076">
        <v>2</v>
      </c>
      <c r="D2076" s="1" t="s">
        <v>5731</v>
      </c>
      <c r="E2076" s="1" t="s">
        <v>36</v>
      </c>
      <c r="G2076">
        <v>443327</v>
      </c>
      <c r="H2076" t="s">
        <v>5732</v>
      </c>
      <c r="I2076" t="s">
        <v>2413</v>
      </c>
      <c r="J2076">
        <v>28</v>
      </c>
      <c r="K2076">
        <v>2695</v>
      </c>
      <c r="L2076">
        <v>95000</v>
      </c>
      <c r="M2076" t="s">
        <v>69</v>
      </c>
      <c r="N2076">
        <v>551</v>
      </c>
      <c r="O2076" s="2">
        <v>46209</v>
      </c>
      <c r="P2076" s="2">
        <v>46337</v>
      </c>
      <c r="R2076" t="s">
        <v>5733</v>
      </c>
      <c r="S2076" t="str">
        <f>""</f>
        <v/>
      </c>
      <c r="T2076" t="s">
        <v>41</v>
      </c>
      <c r="U2076">
        <v>3360</v>
      </c>
      <c r="V2076">
        <v>3323.04</v>
      </c>
      <c r="W2076">
        <v>3323.04</v>
      </c>
      <c r="X2076">
        <v>0</v>
      </c>
      <c r="Y2076">
        <v>0</v>
      </c>
      <c r="Z2076">
        <v>-562</v>
      </c>
      <c r="AA2076">
        <v>693711</v>
      </c>
      <c r="AD2076" t="s">
        <v>665</v>
      </c>
      <c r="AE2076" t="s">
        <v>5734</v>
      </c>
      <c r="AF2076" t="s">
        <v>665</v>
      </c>
      <c r="AG2076" s="1" t="s">
        <v>5735</v>
      </c>
      <c r="AH2076" t="s">
        <v>311</v>
      </c>
    </row>
    <row r="2077" spans="1:34" x14ac:dyDescent="0.3">
      <c r="A2077">
        <v>101</v>
      </c>
      <c r="B2077" t="s">
        <v>34</v>
      </c>
      <c r="C2077">
        <v>2</v>
      </c>
      <c r="D2077" s="1" t="s">
        <v>5736</v>
      </c>
      <c r="E2077" s="1" t="s">
        <v>36</v>
      </c>
      <c r="G2077">
        <v>443327</v>
      </c>
      <c r="H2077" t="s">
        <v>5732</v>
      </c>
      <c r="I2077" t="s">
        <v>2413</v>
      </c>
      <c r="J2077">
        <v>28</v>
      </c>
      <c r="K2077">
        <v>2695</v>
      </c>
      <c r="L2077">
        <v>95000</v>
      </c>
      <c r="M2077" t="s">
        <v>69</v>
      </c>
      <c r="N2077">
        <v>551</v>
      </c>
      <c r="O2077" s="2">
        <v>46185</v>
      </c>
      <c r="P2077" s="2">
        <v>46337</v>
      </c>
      <c r="R2077" t="s">
        <v>5737</v>
      </c>
      <c r="S2077" t="str">
        <f>""</f>
        <v/>
      </c>
      <c r="T2077" t="s">
        <v>41</v>
      </c>
      <c r="U2077">
        <v>7151</v>
      </c>
      <c r="V2077">
        <v>7072.34</v>
      </c>
      <c r="W2077">
        <v>7072.34</v>
      </c>
      <c r="X2077">
        <v>0</v>
      </c>
      <c r="Y2077">
        <v>0</v>
      </c>
      <c r="Z2077">
        <v>-562</v>
      </c>
      <c r="AA2077">
        <v>691099</v>
      </c>
      <c r="AD2077" t="s">
        <v>665</v>
      </c>
      <c r="AE2077" t="s">
        <v>5734</v>
      </c>
      <c r="AF2077" t="s">
        <v>665</v>
      </c>
      <c r="AG2077" s="1" t="s">
        <v>5735</v>
      </c>
      <c r="AH2077" t="s">
        <v>311</v>
      </c>
    </row>
    <row r="2078" spans="1:34" x14ac:dyDescent="0.3">
      <c r="A2078">
        <v>101</v>
      </c>
      <c r="B2078" t="s">
        <v>34</v>
      </c>
      <c r="C2078">
        <v>2</v>
      </c>
      <c r="D2078" s="1" t="s">
        <v>5738</v>
      </c>
      <c r="E2078" s="1" t="s">
        <v>36</v>
      </c>
      <c r="G2078">
        <v>443327</v>
      </c>
      <c r="H2078" t="s">
        <v>5732</v>
      </c>
      <c r="I2078" t="s">
        <v>2413</v>
      </c>
      <c r="J2078">
        <v>28</v>
      </c>
      <c r="K2078">
        <v>2695</v>
      </c>
      <c r="L2078">
        <v>95000</v>
      </c>
      <c r="M2078" t="s">
        <v>69</v>
      </c>
      <c r="N2078">
        <v>551</v>
      </c>
      <c r="O2078" s="2">
        <v>46203</v>
      </c>
      <c r="P2078" s="2">
        <v>46337</v>
      </c>
      <c r="R2078" t="s">
        <v>5739</v>
      </c>
      <c r="S2078" t="str">
        <f>""</f>
        <v/>
      </c>
      <c r="T2078" t="s">
        <v>41</v>
      </c>
      <c r="U2078">
        <v>5307.2</v>
      </c>
      <c r="V2078">
        <v>5248.82</v>
      </c>
      <c r="W2078">
        <v>5248.82</v>
      </c>
      <c r="X2078">
        <v>0</v>
      </c>
      <c r="Y2078">
        <v>0</v>
      </c>
      <c r="Z2078">
        <v>-562</v>
      </c>
      <c r="AA2078">
        <v>693582</v>
      </c>
      <c r="AD2078" t="s">
        <v>665</v>
      </c>
      <c r="AE2078" t="s">
        <v>5734</v>
      </c>
      <c r="AF2078" t="s">
        <v>665</v>
      </c>
      <c r="AG2078" s="1" t="s">
        <v>5735</v>
      </c>
      <c r="AH2078" t="s">
        <v>311</v>
      </c>
    </row>
    <row r="2079" spans="1:34" x14ac:dyDescent="0.3">
      <c r="A2079">
        <v>101</v>
      </c>
      <c r="B2079" t="s">
        <v>34</v>
      </c>
      <c r="C2079">
        <v>2</v>
      </c>
      <c r="D2079" s="1" t="s">
        <v>5740</v>
      </c>
      <c r="E2079" s="1" t="s">
        <v>36</v>
      </c>
      <c r="G2079">
        <v>443327</v>
      </c>
      <c r="H2079" t="s">
        <v>5732</v>
      </c>
      <c r="I2079" t="s">
        <v>2413</v>
      </c>
      <c r="J2079">
        <v>28</v>
      </c>
      <c r="K2079">
        <v>2695</v>
      </c>
      <c r="L2079">
        <v>95000</v>
      </c>
      <c r="M2079" t="s">
        <v>69</v>
      </c>
      <c r="N2079">
        <v>551</v>
      </c>
      <c r="O2079" s="2">
        <v>46168</v>
      </c>
      <c r="P2079" s="2">
        <v>46337</v>
      </c>
      <c r="R2079" t="s">
        <v>5741</v>
      </c>
      <c r="S2079" t="str">
        <f>""</f>
        <v/>
      </c>
      <c r="T2079" t="s">
        <v>41</v>
      </c>
      <c r="U2079">
        <v>13660.55</v>
      </c>
      <c r="V2079">
        <v>13510.28</v>
      </c>
      <c r="W2079">
        <v>13510.28</v>
      </c>
      <c r="X2079">
        <v>0</v>
      </c>
      <c r="Y2079">
        <v>0</v>
      </c>
      <c r="Z2079">
        <v>-562</v>
      </c>
      <c r="AA2079" t="s">
        <v>5742</v>
      </c>
      <c r="AD2079" t="s">
        <v>665</v>
      </c>
      <c r="AE2079" t="s">
        <v>5734</v>
      </c>
      <c r="AF2079" t="s">
        <v>665</v>
      </c>
      <c r="AG2079" s="1" t="s">
        <v>5735</v>
      </c>
      <c r="AH2079" t="s">
        <v>311</v>
      </c>
    </row>
    <row r="2080" spans="1:34" x14ac:dyDescent="0.3">
      <c r="A2080">
        <v>101</v>
      </c>
      <c r="B2080" t="s">
        <v>34</v>
      </c>
      <c r="C2080">
        <v>2</v>
      </c>
      <c r="D2080" s="1" t="s">
        <v>5743</v>
      </c>
      <c r="E2080" s="1" t="s">
        <v>36</v>
      </c>
      <c r="G2080">
        <v>443327</v>
      </c>
      <c r="H2080" t="s">
        <v>5732</v>
      </c>
      <c r="I2080" t="s">
        <v>2413</v>
      </c>
      <c r="J2080">
        <v>28</v>
      </c>
      <c r="K2080">
        <v>2695</v>
      </c>
      <c r="L2080">
        <v>95000</v>
      </c>
      <c r="M2080" t="s">
        <v>69</v>
      </c>
      <c r="N2080">
        <v>551</v>
      </c>
      <c r="O2080" s="2">
        <v>46233</v>
      </c>
      <c r="P2080" s="2">
        <v>46337</v>
      </c>
      <c r="R2080" t="s">
        <v>5744</v>
      </c>
      <c r="S2080" t="str">
        <f>""</f>
        <v/>
      </c>
      <c r="T2080" t="s">
        <v>41</v>
      </c>
      <c r="U2080">
        <v>14594.22</v>
      </c>
      <c r="V2080">
        <v>14433.68</v>
      </c>
      <c r="W2080">
        <v>14433.68</v>
      </c>
      <c r="X2080">
        <v>0</v>
      </c>
      <c r="Y2080">
        <v>0</v>
      </c>
      <c r="Z2080">
        <v>-562</v>
      </c>
      <c r="AA2080">
        <v>695648</v>
      </c>
      <c r="AD2080" t="s">
        <v>665</v>
      </c>
      <c r="AE2080" t="s">
        <v>5734</v>
      </c>
      <c r="AF2080" t="s">
        <v>665</v>
      </c>
      <c r="AG2080" s="1" t="s">
        <v>5735</v>
      </c>
      <c r="AH2080" t="s">
        <v>311</v>
      </c>
    </row>
    <row r="2081" spans="1:34" x14ac:dyDescent="0.3">
      <c r="A2081">
        <v>101</v>
      </c>
      <c r="B2081" t="s">
        <v>34</v>
      </c>
      <c r="C2081">
        <v>2</v>
      </c>
      <c r="D2081" s="1" t="s">
        <v>5745</v>
      </c>
      <c r="E2081" s="1" t="s">
        <v>36</v>
      </c>
      <c r="G2081">
        <v>443328</v>
      </c>
      <c r="H2081" t="s">
        <v>5746</v>
      </c>
      <c r="I2081" t="s">
        <v>2413</v>
      </c>
      <c r="J2081">
        <v>28</v>
      </c>
      <c r="K2081">
        <v>2695</v>
      </c>
      <c r="L2081">
        <v>95000</v>
      </c>
      <c r="M2081" t="s">
        <v>69</v>
      </c>
      <c r="N2081">
        <v>551</v>
      </c>
      <c r="O2081" s="2">
        <v>46168</v>
      </c>
      <c r="P2081" s="2">
        <v>46286</v>
      </c>
      <c r="R2081" t="s">
        <v>5747</v>
      </c>
      <c r="S2081" t="str">
        <f>""</f>
        <v/>
      </c>
      <c r="T2081" t="s">
        <v>41</v>
      </c>
      <c r="U2081">
        <v>9080.5</v>
      </c>
      <c r="V2081">
        <v>8980.61</v>
      </c>
      <c r="W2081">
        <v>8980.61</v>
      </c>
      <c r="X2081">
        <v>0</v>
      </c>
      <c r="Y2081">
        <v>0</v>
      </c>
      <c r="Z2081">
        <v>-511</v>
      </c>
      <c r="AA2081" t="s">
        <v>5748</v>
      </c>
      <c r="AD2081" t="s">
        <v>665</v>
      </c>
      <c r="AE2081" t="s">
        <v>2533</v>
      </c>
      <c r="AF2081" t="s">
        <v>665</v>
      </c>
      <c r="AG2081" s="1" t="s">
        <v>5749</v>
      </c>
      <c r="AH2081" t="s">
        <v>311</v>
      </c>
    </row>
    <row r="2082" spans="1:34" x14ac:dyDescent="0.3">
      <c r="A2082">
        <v>101</v>
      </c>
      <c r="B2082" t="s">
        <v>34</v>
      </c>
      <c r="C2082">
        <v>2</v>
      </c>
      <c r="D2082" s="1" t="s">
        <v>5750</v>
      </c>
      <c r="E2082" s="1" t="s">
        <v>36</v>
      </c>
      <c r="G2082">
        <v>443328</v>
      </c>
      <c r="H2082" t="s">
        <v>5746</v>
      </c>
      <c r="I2082" t="s">
        <v>2413</v>
      </c>
      <c r="J2082">
        <v>28</v>
      </c>
      <c r="K2082">
        <v>2695</v>
      </c>
      <c r="L2082">
        <v>95000</v>
      </c>
      <c r="M2082" t="s">
        <v>69</v>
      </c>
      <c r="N2082">
        <v>551</v>
      </c>
      <c r="O2082" s="2">
        <v>46233</v>
      </c>
      <c r="P2082" s="2">
        <v>46328</v>
      </c>
      <c r="R2082" t="s">
        <v>5751</v>
      </c>
      <c r="S2082" t="str">
        <f>""</f>
        <v/>
      </c>
      <c r="T2082" t="s">
        <v>41</v>
      </c>
      <c r="U2082">
        <v>12798.85</v>
      </c>
      <c r="V2082">
        <v>12658.06</v>
      </c>
      <c r="W2082">
        <v>12658.06</v>
      </c>
      <c r="X2082">
        <v>0</v>
      </c>
      <c r="Y2082">
        <v>0</v>
      </c>
      <c r="Z2082">
        <v>-553</v>
      </c>
      <c r="AA2082">
        <v>695644</v>
      </c>
      <c r="AD2082" t="s">
        <v>665</v>
      </c>
      <c r="AE2082" t="s">
        <v>2533</v>
      </c>
      <c r="AF2082" t="s">
        <v>665</v>
      </c>
      <c r="AG2082" s="1" t="s">
        <v>5749</v>
      </c>
      <c r="AH2082" t="s">
        <v>311</v>
      </c>
    </row>
    <row r="2083" spans="1:34" x14ac:dyDescent="0.3">
      <c r="A2083">
        <v>101</v>
      </c>
      <c r="B2083" t="s">
        <v>34</v>
      </c>
      <c r="C2083">
        <v>2</v>
      </c>
      <c r="D2083" s="1" t="s">
        <v>5752</v>
      </c>
      <c r="E2083" s="1" t="s">
        <v>36</v>
      </c>
      <c r="G2083">
        <v>443328</v>
      </c>
      <c r="H2083" t="s">
        <v>5746</v>
      </c>
      <c r="I2083" t="s">
        <v>2413</v>
      </c>
      <c r="J2083">
        <v>28</v>
      </c>
      <c r="K2083">
        <v>2695</v>
      </c>
      <c r="L2083">
        <v>95000</v>
      </c>
      <c r="M2083" t="s">
        <v>69</v>
      </c>
      <c r="N2083">
        <v>551</v>
      </c>
      <c r="O2083" s="2">
        <v>46209</v>
      </c>
      <c r="P2083" s="2">
        <v>46329</v>
      </c>
      <c r="R2083" t="s">
        <v>5753</v>
      </c>
      <c r="S2083" t="str">
        <f>""</f>
        <v/>
      </c>
      <c r="T2083" t="s">
        <v>41</v>
      </c>
      <c r="U2083">
        <v>2016</v>
      </c>
      <c r="V2083">
        <v>1993.82</v>
      </c>
      <c r="W2083">
        <v>1993.82</v>
      </c>
      <c r="X2083">
        <v>0</v>
      </c>
      <c r="Y2083">
        <v>0</v>
      </c>
      <c r="Z2083">
        <v>-554</v>
      </c>
      <c r="AA2083">
        <v>693707</v>
      </c>
      <c r="AD2083" t="s">
        <v>665</v>
      </c>
      <c r="AE2083" t="s">
        <v>2533</v>
      </c>
      <c r="AF2083" t="s">
        <v>665</v>
      </c>
      <c r="AG2083" s="1" t="s">
        <v>5749</v>
      </c>
      <c r="AH2083" t="s">
        <v>311</v>
      </c>
    </row>
    <row r="2084" spans="1:34" x14ac:dyDescent="0.3">
      <c r="A2084">
        <v>101</v>
      </c>
      <c r="B2084" t="s">
        <v>34</v>
      </c>
      <c r="C2084">
        <v>2</v>
      </c>
      <c r="D2084" s="1" t="s">
        <v>5754</v>
      </c>
      <c r="E2084" s="1" t="s">
        <v>36</v>
      </c>
      <c r="G2084">
        <v>443328</v>
      </c>
      <c r="H2084" t="s">
        <v>5746</v>
      </c>
      <c r="I2084" t="s">
        <v>2413</v>
      </c>
      <c r="J2084">
        <v>28</v>
      </c>
      <c r="K2084">
        <v>2695</v>
      </c>
      <c r="L2084">
        <v>95000</v>
      </c>
      <c r="M2084" t="s">
        <v>69</v>
      </c>
      <c r="N2084">
        <v>551</v>
      </c>
      <c r="O2084" s="2">
        <v>46203</v>
      </c>
      <c r="P2084" s="2">
        <v>46329</v>
      </c>
      <c r="R2084" t="s">
        <v>5755</v>
      </c>
      <c r="S2084" t="str">
        <f>""</f>
        <v/>
      </c>
      <c r="T2084" t="s">
        <v>41</v>
      </c>
      <c r="U2084">
        <v>5289.5</v>
      </c>
      <c r="V2084">
        <v>5231.32</v>
      </c>
      <c r="W2084">
        <v>5231.32</v>
      </c>
      <c r="X2084">
        <v>0</v>
      </c>
      <c r="Y2084">
        <v>0</v>
      </c>
      <c r="Z2084">
        <v>-554</v>
      </c>
      <c r="AA2084">
        <v>693580</v>
      </c>
      <c r="AD2084" t="s">
        <v>665</v>
      </c>
      <c r="AE2084" t="s">
        <v>2533</v>
      </c>
      <c r="AF2084" t="s">
        <v>665</v>
      </c>
      <c r="AG2084" s="1" t="s">
        <v>5749</v>
      </c>
      <c r="AH2084" t="s">
        <v>311</v>
      </c>
    </row>
    <row r="2085" spans="1:34" x14ac:dyDescent="0.3">
      <c r="A2085">
        <v>101</v>
      </c>
      <c r="B2085" t="s">
        <v>34</v>
      </c>
      <c r="C2085">
        <v>2</v>
      </c>
      <c r="D2085" s="1" t="s">
        <v>5756</v>
      </c>
      <c r="E2085" s="1" t="s">
        <v>36</v>
      </c>
      <c r="G2085">
        <v>443328</v>
      </c>
      <c r="H2085" t="s">
        <v>5746</v>
      </c>
      <c r="I2085" t="s">
        <v>2413</v>
      </c>
      <c r="J2085">
        <v>28</v>
      </c>
      <c r="K2085">
        <v>2695</v>
      </c>
      <c r="L2085">
        <v>95000</v>
      </c>
      <c r="M2085" t="s">
        <v>69</v>
      </c>
      <c r="N2085">
        <v>551</v>
      </c>
      <c r="O2085" s="2">
        <v>46185</v>
      </c>
      <c r="P2085" s="2">
        <v>46308</v>
      </c>
      <c r="R2085" t="s">
        <v>5757</v>
      </c>
      <c r="S2085" t="str">
        <f>""</f>
        <v/>
      </c>
      <c r="T2085" t="s">
        <v>41</v>
      </c>
      <c r="U2085">
        <v>6637.6</v>
      </c>
      <c r="V2085">
        <v>6564.59</v>
      </c>
      <c r="W2085">
        <v>6564.59</v>
      </c>
      <c r="X2085">
        <v>0</v>
      </c>
      <c r="Y2085">
        <v>0</v>
      </c>
      <c r="Z2085">
        <v>-533</v>
      </c>
      <c r="AA2085">
        <v>691095</v>
      </c>
      <c r="AD2085" t="s">
        <v>665</v>
      </c>
      <c r="AE2085" t="s">
        <v>2533</v>
      </c>
      <c r="AF2085" t="s">
        <v>665</v>
      </c>
      <c r="AG2085" s="1" t="s">
        <v>5749</v>
      </c>
      <c r="AH2085" t="s">
        <v>311</v>
      </c>
    </row>
    <row r="2086" spans="1:34" x14ac:dyDescent="0.3">
      <c r="A2086">
        <v>101</v>
      </c>
      <c r="B2086" t="s">
        <v>34</v>
      </c>
      <c r="C2086">
        <v>2</v>
      </c>
      <c r="D2086" s="1" t="s">
        <v>5758</v>
      </c>
      <c r="E2086" s="1" t="s">
        <v>36</v>
      </c>
      <c r="G2086">
        <v>445798</v>
      </c>
      <c r="H2086" t="s">
        <v>5759</v>
      </c>
      <c r="I2086" t="s">
        <v>2413</v>
      </c>
      <c r="J2086">
        <v>28</v>
      </c>
      <c r="K2086">
        <v>2695</v>
      </c>
      <c r="L2086">
        <v>95000</v>
      </c>
      <c r="M2086" t="s">
        <v>69</v>
      </c>
      <c r="N2086">
        <v>551</v>
      </c>
      <c r="O2086" s="2">
        <v>46209</v>
      </c>
      <c r="P2086" s="2">
        <v>46316</v>
      </c>
      <c r="R2086" t="s">
        <v>5760</v>
      </c>
      <c r="S2086" t="str">
        <f>""</f>
        <v/>
      </c>
      <c r="T2086" t="s">
        <v>41</v>
      </c>
      <c r="U2086">
        <v>4357.5200000000004</v>
      </c>
      <c r="V2086">
        <v>4309.59</v>
      </c>
      <c r="W2086">
        <v>4309.59</v>
      </c>
      <c r="X2086">
        <v>0</v>
      </c>
      <c r="Y2086">
        <v>0</v>
      </c>
      <c r="Z2086">
        <v>-541</v>
      </c>
      <c r="AA2086">
        <v>693709</v>
      </c>
      <c r="AD2086" t="s">
        <v>4751</v>
      </c>
      <c r="AE2086" t="s">
        <v>2533</v>
      </c>
      <c r="AF2086" t="s">
        <v>4751</v>
      </c>
      <c r="AG2086" s="1" t="s">
        <v>5761</v>
      </c>
      <c r="AH2086" t="s">
        <v>4754</v>
      </c>
    </row>
    <row r="2087" spans="1:34" x14ac:dyDescent="0.3">
      <c r="A2087">
        <v>101</v>
      </c>
      <c r="B2087" t="s">
        <v>34</v>
      </c>
      <c r="C2087">
        <v>2</v>
      </c>
      <c r="D2087" s="1" t="s">
        <v>5762</v>
      </c>
      <c r="E2087" s="1" t="s">
        <v>36</v>
      </c>
      <c r="G2087">
        <v>445798</v>
      </c>
      <c r="H2087" t="s">
        <v>5759</v>
      </c>
      <c r="I2087" t="s">
        <v>2413</v>
      </c>
      <c r="J2087">
        <v>28</v>
      </c>
      <c r="K2087">
        <v>2695</v>
      </c>
      <c r="L2087">
        <v>95000</v>
      </c>
      <c r="M2087" t="s">
        <v>69</v>
      </c>
      <c r="N2087">
        <v>551</v>
      </c>
      <c r="O2087" s="2">
        <v>46185</v>
      </c>
      <c r="P2087" s="2">
        <v>46296</v>
      </c>
      <c r="R2087" t="s">
        <v>5763</v>
      </c>
      <c r="S2087" t="str">
        <f>""</f>
        <v/>
      </c>
      <c r="T2087" t="s">
        <v>41</v>
      </c>
      <c r="U2087">
        <v>14721.9</v>
      </c>
      <c r="V2087">
        <v>14559.96</v>
      </c>
      <c r="W2087">
        <v>14559.96</v>
      </c>
      <c r="X2087">
        <v>0</v>
      </c>
      <c r="Y2087">
        <v>0</v>
      </c>
      <c r="Z2087">
        <v>-521</v>
      </c>
      <c r="AA2087">
        <v>691097</v>
      </c>
      <c r="AD2087" t="s">
        <v>4751</v>
      </c>
      <c r="AE2087" t="s">
        <v>2533</v>
      </c>
      <c r="AF2087" t="s">
        <v>4751</v>
      </c>
      <c r="AG2087" s="1" t="s">
        <v>5761</v>
      </c>
      <c r="AH2087" t="s">
        <v>4754</v>
      </c>
    </row>
    <row r="2088" spans="1:34" x14ac:dyDescent="0.3">
      <c r="A2088">
        <v>101</v>
      </c>
      <c r="B2088" t="s">
        <v>34</v>
      </c>
      <c r="C2088">
        <v>2</v>
      </c>
      <c r="D2088" s="1" t="s">
        <v>5764</v>
      </c>
      <c r="E2088" s="1" t="s">
        <v>36</v>
      </c>
      <c r="G2088">
        <v>445798</v>
      </c>
      <c r="H2088" t="s">
        <v>5759</v>
      </c>
      <c r="I2088" t="s">
        <v>2413</v>
      </c>
      <c r="J2088">
        <v>28</v>
      </c>
      <c r="K2088">
        <v>2695</v>
      </c>
      <c r="L2088">
        <v>95000</v>
      </c>
      <c r="M2088" t="s">
        <v>69</v>
      </c>
      <c r="N2088">
        <v>551</v>
      </c>
      <c r="O2088" s="2">
        <v>46233</v>
      </c>
      <c r="P2088" s="2">
        <v>46328</v>
      </c>
      <c r="R2088" t="s">
        <v>5765</v>
      </c>
      <c r="S2088" t="str">
        <f>""</f>
        <v/>
      </c>
      <c r="T2088" t="s">
        <v>41</v>
      </c>
      <c r="U2088">
        <v>22051.83</v>
      </c>
      <c r="V2088">
        <v>21809.26</v>
      </c>
      <c r="W2088">
        <v>21809.26</v>
      </c>
      <c r="X2088">
        <v>0</v>
      </c>
      <c r="Y2088">
        <v>0</v>
      </c>
      <c r="Z2088">
        <v>-553</v>
      </c>
      <c r="AA2088">
        <v>695646</v>
      </c>
      <c r="AD2088" t="s">
        <v>4751</v>
      </c>
      <c r="AE2088" t="s">
        <v>2533</v>
      </c>
      <c r="AF2088" t="s">
        <v>4751</v>
      </c>
      <c r="AG2088" s="1" t="s">
        <v>5761</v>
      </c>
      <c r="AH2088" t="s">
        <v>4754</v>
      </c>
    </row>
    <row r="2089" spans="1:34" x14ac:dyDescent="0.3">
      <c r="A2089">
        <v>101</v>
      </c>
      <c r="B2089" t="s">
        <v>34</v>
      </c>
      <c r="C2089">
        <v>2</v>
      </c>
      <c r="D2089" s="1" t="s">
        <v>5766</v>
      </c>
      <c r="E2089" s="1" t="s">
        <v>36</v>
      </c>
      <c r="G2089">
        <v>445798</v>
      </c>
      <c r="H2089" t="s">
        <v>5759</v>
      </c>
      <c r="I2089" t="s">
        <v>2413</v>
      </c>
      <c r="J2089">
        <v>28</v>
      </c>
      <c r="K2089">
        <v>2695</v>
      </c>
      <c r="L2089">
        <v>95000</v>
      </c>
      <c r="M2089" t="s">
        <v>69</v>
      </c>
      <c r="N2089">
        <v>551</v>
      </c>
      <c r="O2089" s="2">
        <v>46168</v>
      </c>
      <c r="P2089" s="2">
        <v>46286</v>
      </c>
      <c r="R2089" t="s">
        <v>5767</v>
      </c>
      <c r="S2089" t="str">
        <f>""</f>
        <v/>
      </c>
      <c r="T2089" t="s">
        <v>41</v>
      </c>
      <c r="U2089">
        <v>10961.81</v>
      </c>
      <c r="V2089">
        <v>10841.23</v>
      </c>
      <c r="W2089">
        <v>10841.23</v>
      </c>
      <c r="X2089">
        <v>0</v>
      </c>
      <c r="Y2089">
        <v>0</v>
      </c>
      <c r="Z2089">
        <v>-511</v>
      </c>
      <c r="AA2089" t="s">
        <v>5768</v>
      </c>
      <c r="AD2089" t="s">
        <v>4751</v>
      </c>
      <c r="AE2089" t="s">
        <v>2533</v>
      </c>
      <c r="AF2089" t="s">
        <v>4751</v>
      </c>
      <c r="AG2089" s="1" t="s">
        <v>5761</v>
      </c>
      <c r="AH2089" t="s">
        <v>4754</v>
      </c>
    </row>
    <row r="2090" spans="1:34" x14ac:dyDescent="0.3">
      <c r="A2090">
        <v>106</v>
      </c>
      <c r="B2090" t="s">
        <v>34</v>
      </c>
      <c r="C2090">
        <v>2</v>
      </c>
      <c r="D2090" s="1" t="s">
        <v>5769</v>
      </c>
      <c r="E2090" s="1" t="s">
        <v>36</v>
      </c>
      <c r="G2090">
        <v>446086</v>
      </c>
      <c r="H2090" t="s">
        <v>5770</v>
      </c>
      <c r="I2090" t="s">
        <v>5771</v>
      </c>
      <c r="J2090">
        <v>15</v>
      </c>
      <c r="K2090">
        <v>446086</v>
      </c>
      <c r="L2090">
        <v>50001</v>
      </c>
      <c r="M2090" t="s">
        <v>39</v>
      </c>
      <c r="N2090">
        <v>551</v>
      </c>
      <c r="O2090" s="2">
        <v>46203</v>
      </c>
      <c r="P2090" s="2">
        <v>46263</v>
      </c>
      <c r="R2090" t="s">
        <v>5772</v>
      </c>
      <c r="S2090" t="str">
        <f>"25666160000051370"</f>
        <v>25666160000051370</v>
      </c>
      <c r="T2090" t="s">
        <v>41</v>
      </c>
      <c r="U2090">
        <v>21235.200000000001</v>
      </c>
      <c r="V2090">
        <v>16179.2</v>
      </c>
      <c r="W2090">
        <v>16179.2</v>
      </c>
      <c r="X2090">
        <v>0</v>
      </c>
      <c r="Y2090">
        <v>0</v>
      </c>
      <c r="Z2090">
        <v>-488</v>
      </c>
      <c r="AA2090">
        <v>989</v>
      </c>
      <c r="AD2090" t="s">
        <v>5463</v>
      </c>
      <c r="AE2090" t="s">
        <v>5773</v>
      </c>
      <c r="AF2090" t="s">
        <v>5463</v>
      </c>
      <c r="AG2090" s="1" t="s">
        <v>5774</v>
      </c>
      <c r="AH2090" t="s">
        <v>311</v>
      </c>
    </row>
    <row r="2091" spans="1:34" x14ac:dyDescent="0.3">
      <c r="A2091">
        <v>101</v>
      </c>
      <c r="B2091" t="s">
        <v>34</v>
      </c>
      <c r="C2091">
        <v>2</v>
      </c>
      <c r="D2091" s="1" t="s">
        <v>5775</v>
      </c>
      <c r="E2091" s="1" t="s">
        <v>36</v>
      </c>
      <c r="G2091">
        <v>450665</v>
      </c>
      <c r="H2091" t="s">
        <v>5776</v>
      </c>
      <c r="I2091" t="s">
        <v>2413</v>
      </c>
      <c r="J2091">
        <v>28</v>
      </c>
      <c r="K2091">
        <v>2695</v>
      </c>
      <c r="L2091">
        <v>95000</v>
      </c>
      <c r="M2091" t="s">
        <v>69</v>
      </c>
      <c r="N2091">
        <v>551</v>
      </c>
      <c r="O2091" s="2">
        <v>46185</v>
      </c>
      <c r="P2091" s="2">
        <v>46296</v>
      </c>
      <c r="R2091" t="s">
        <v>5777</v>
      </c>
      <c r="S2091" t="str">
        <f>""</f>
        <v/>
      </c>
      <c r="T2091" t="s">
        <v>41</v>
      </c>
      <c r="U2091">
        <v>32247.7</v>
      </c>
      <c r="V2091">
        <v>31892.98</v>
      </c>
      <c r="W2091">
        <v>31892.98</v>
      </c>
      <c r="X2091">
        <v>0</v>
      </c>
      <c r="Y2091">
        <v>0</v>
      </c>
      <c r="Z2091">
        <v>-521</v>
      </c>
      <c r="AA2091">
        <v>691101</v>
      </c>
      <c r="AD2091" t="s">
        <v>330</v>
      </c>
      <c r="AE2091" t="s">
        <v>5778</v>
      </c>
      <c r="AF2091" t="s">
        <v>330</v>
      </c>
      <c r="AG2091" s="1" t="s">
        <v>5779</v>
      </c>
      <c r="AH2091" t="s">
        <v>311</v>
      </c>
    </row>
    <row r="2092" spans="1:34" x14ac:dyDescent="0.3">
      <c r="A2092">
        <v>101</v>
      </c>
      <c r="B2092" t="s">
        <v>34</v>
      </c>
      <c r="C2092">
        <v>2</v>
      </c>
      <c r="D2092" s="1" t="s">
        <v>5780</v>
      </c>
      <c r="E2092" s="1" t="s">
        <v>36</v>
      </c>
      <c r="G2092">
        <v>450665</v>
      </c>
      <c r="H2092" t="s">
        <v>5776</v>
      </c>
      <c r="I2092" t="s">
        <v>2413</v>
      </c>
      <c r="J2092">
        <v>28</v>
      </c>
      <c r="K2092">
        <v>2695</v>
      </c>
      <c r="L2092">
        <v>95000</v>
      </c>
      <c r="M2092" t="s">
        <v>69</v>
      </c>
      <c r="N2092">
        <v>551</v>
      </c>
      <c r="O2092" s="2">
        <v>46233</v>
      </c>
      <c r="P2092" s="2">
        <v>46328</v>
      </c>
      <c r="R2092" t="s">
        <v>5781</v>
      </c>
      <c r="S2092" t="str">
        <f>""</f>
        <v/>
      </c>
      <c r="T2092" t="s">
        <v>41</v>
      </c>
      <c r="U2092">
        <v>28811.75</v>
      </c>
      <c r="V2092">
        <v>28494.82</v>
      </c>
      <c r="W2092">
        <v>28494.82</v>
      </c>
      <c r="X2092">
        <v>0</v>
      </c>
      <c r="Y2092">
        <v>0</v>
      </c>
      <c r="Z2092">
        <v>-553</v>
      </c>
      <c r="AA2092">
        <v>695650</v>
      </c>
      <c r="AD2092" t="s">
        <v>330</v>
      </c>
      <c r="AE2092" t="s">
        <v>5778</v>
      </c>
      <c r="AF2092" t="s">
        <v>330</v>
      </c>
      <c r="AG2092" s="1" t="s">
        <v>5779</v>
      </c>
      <c r="AH2092" t="s">
        <v>311</v>
      </c>
    </row>
    <row r="2093" spans="1:34" x14ac:dyDescent="0.3">
      <c r="A2093">
        <v>101</v>
      </c>
      <c r="B2093" t="s">
        <v>34</v>
      </c>
      <c r="C2093">
        <v>2</v>
      </c>
      <c r="D2093" s="1" t="s">
        <v>5782</v>
      </c>
      <c r="E2093" s="1" t="s">
        <v>36</v>
      </c>
      <c r="G2093">
        <v>450665</v>
      </c>
      <c r="H2093" t="s">
        <v>5776</v>
      </c>
      <c r="I2093" t="s">
        <v>2413</v>
      </c>
      <c r="J2093">
        <v>28</v>
      </c>
      <c r="K2093">
        <v>2695</v>
      </c>
      <c r="L2093">
        <v>95000</v>
      </c>
      <c r="M2093" t="s">
        <v>69</v>
      </c>
      <c r="N2093">
        <v>551</v>
      </c>
      <c r="O2093" s="2">
        <v>46168</v>
      </c>
      <c r="P2093" s="2">
        <v>46286</v>
      </c>
      <c r="R2093" t="s">
        <v>5783</v>
      </c>
      <c r="S2093" t="str">
        <f>""</f>
        <v/>
      </c>
      <c r="T2093" t="s">
        <v>41</v>
      </c>
      <c r="U2093">
        <v>39879.58</v>
      </c>
      <c r="V2093">
        <v>39440.9</v>
      </c>
      <c r="W2093">
        <v>39440.9</v>
      </c>
      <c r="X2093">
        <v>0</v>
      </c>
      <c r="Y2093">
        <v>0</v>
      </c>
      <c r="Z2093">
        <v>-511</v>
      </c>
      <c r="AA2093" t="s">
        <v>5784</v>
      </c>
      <c r="AD2093" t="s">
        <v>330</v>
      </c>
      <c r="AE2093" t="s">
        <v>5778</v>
      </c>
      <c r="AF2093" t="s">
        <v>330</v>
      </c>
      <c r="AG2093" s="1" t="s">
        <v>5779</v>
      </c>
      <c r="AH2093" t="s">
        <v>311</v>
      </c>
    </row>
    <row r="2094" spans="1:34" x14ac:dyDescent="0.3">
      <c r="A2094">
        <v>101</v>
      </c>
      <c r="B2094" t="s">
        <v>34</v>
      </c>
      <c r="C2094">
        <v>2</v>
      </c>
      <c r="D2094" s="1" t="s">
        <v>5785</v>
      </c>
      <c r="E2094" s="1" t="s">
        <v>36</v>
      </c>
      <c r="G2094">
        <v>450665</v>
      </c>
      <c r="H2094" t="s">
        <v>5776</v>
      </c>
      <c r="I2094" t="s">
        <v>2413</v>
      </c>
      <c r="J2094">
        <v>28</v>
      </c>
      <c r="K2094">
        <v>2695</v>
      </c>
      <c r="L2094">
        <v>95000</v>
      </c>
      <c r="M2094" t="s">
        <v>69</v>
      </c>
      <c r="N2094">
        <v>551</v>
      </c>
      <c r="O2094" s="2">
        <v>46209</v>
      </c>
      <c r="P2094" s="2">
        <v>46329</v>
      </c>
      <c r="R2094" t="s">
        <v>5786</v>
      </c>
      <c r="S2094" t="str">
        <f>""</f>
        <v/>
      </c>
      <c r="T2094" t="s">
        <v>41</v>
      </c>
      <c r="U2094">
        <v>3360</v>
      </c>
      <c r="V2094">
        <v>3323.04</v>
      </c>
      <c r="W2094">
        <v>3323.04</v>
      </c>
      <c r="X2094">
        <v>0</v>
      </c>
      <c r="Y2094">
        <v>0</v>
      </c>
      <c r="Z2094">
        <v>-554</v>
      </c>
      <c r="AA2094">
        <v>693713</v>
      </c>
      <c r="AD2094" t="s">
        <v>330</v>
      </c>
      <c r="AE2094" t="s">
        <v>5778</v>
      </c>
      <c r="AF2094" t="s">
        <v>330</v>
      </c>
      <c r="AG2094" s="1" t="s">
        <v>5779</v>
      </c>
      <c r="AH2094" t="s">
        <v>311</v>
      </c>
    </row>
    <row r="2095" spans="1:34" x14ac:dyDescent="0.3">
      <c r="A2095">
        <v>101</v>
      </c>
      <c r="B2095" t="s">
        <v>34</v>
      </c>
      <c r="C2095">
        <v>2</v>
      </c>
      <c r="D2095" s="1" t="s">
        <v>5787</v>
      </c>
      <c r="E2095" s="1" t="s">
        <v>36</v>
      </c>
      <c r="G2095">
        <v>450665</v>
      </c>
      <c r="H2095" t="s">
        <v>5776</v>
      </c>
      <c r="I2095" t="s">
        <v>2413</v>
      </c>
      <c r="J2095">
        <v>28</v>
      </c>
      <c r="K2095">
        <v>2695</v>
      </c>
      <c r="L2095">
        <v>95000</v>
      </c>
      <c r="M2095" t="s">
        <v>69</v>
      </c>
      <c r="N2095">
        <v>551</v>
      </c>
      <c r="O2095" s="2">
        <v>46203</v>
      </c>
      <c r="P2095" s="2">
        <v>46329</v>
      </c>
      <c r="R2095" t="s">
        <v>5788</v>
      </c>
      <c r="S2095" t="str">
        <f>""</f>
        <v/>
      </c>
      <c r="T2095" t="s">
        <v>41</v>
      </c>
      <c r="U2095">
        <v>12532.55</v>
      </c>
      <c r="V2095">
        <v>12394.69</v>
      </c>
      <c r="W2095">
        <v>12394.69</v>
      </c>
      <c r="X2095">
        <v>0</v>
      </c>
      <c r="Y2095">
        <v>0</v>
      </c>
      <c r="Z2095">
        <v>-554</v>
      </c>
      <c r="AA2095">
        <v>693584</v>
      </c>
      <c r="AD2095" t="s">
        <v>330</v>
      </c>
      <c r="AE2095" t="s">
        <v>5778</v>
      </c>
      <c r="AF2095" t="s">
        <v>330</v>
      </c>
      <c r="AG2095" s="1" t="s">
        <v>5779</v>
      </c>
      <c r="AH2095" t="s">
        <v>311</v>
      </c>
    </row>
    <row r="2096" spans="1:34" x14ac:dyDescent="0.3">
      <c r="A2096">
        <v>101</v>
      </c>
      <c r="B2096" t="s">
        <v>34</v>
      </c>
      <c r="C2096">
        <v>2</v>
      </c>
      <c r="D2096" s="1" t="s">
        <v>5789</v>
      </c>
      <c r="E2096" s="1" t="s">
        <v>36</v>
      </c>
      <c r="G2096">
        <v>451345</v>
      </c>
      <c r="H2096" t="s">
        <v>5790</v>
      </c>
      <c r="I2096" t="s">
        <v>5791</v>
      </c>
      <c r="J2096">
        <v>12</v>
      </c>
      <c r="K2096">
        <v>11459</v>
      </c>
      <c r="L2096">
        <v>50237</v>
      </c>
      <c r="M2096" t="s">
        <v>39</v>
      </c>
      <c r="N2096">
        <v>551</v>
      </c>
      <c r="O2096" s="2">
        <v>46254</v>
      </c>
      <c r="P2096" s="2">
        <v>46296</v>
      </c>
      <c r="R2096" t="s">
        <v>5792</v>
      </c>
      <c r="S2096" t="str">
        <f>"330000052283"</f>
        <v>330000052283</v>
      </c>
      <c r="T2096" t="s">
        <v>41</v>
      </c>
      <c r="U2096">
        <v>21404.91</v>
      </c>
      <c r="V2096">
        <v>20334.66</v>
      </c>
      <c r="W2096">
        <v>20334.66</v>
      </c>
      <c r="X2096">
        <v>0</v>
      </c>
      <c r="Y2096">
        <v>0</v>
      </c>
      <c r="Z2096">
        <v>-521</v>
      </c>
      <c r="AA2096">
        <v>4771</v>
      </c>
      <c r="AD2096" t="s">
        <v>4477</v>
      </c>
      <c r="AE2096" t="s">
        <v>5793</v>
      </c>
      <c r="AF2096" t="s">
        <v>4477</v>
      </c>
      <c r="AG2096" s="1" t="s">
        <v>5794</v>
      </c>
      <c r="AH2096" t="s">
        <v>311</v>
      </c>
    </row>
    <row r="2097" spans="1:34" x14ac:dyDescent="0.3">
      <c r="A2097">
        <v>101</v>
      </c>
      <c r="B2097" t="s">
        <v>34</v>
      </c>
      <c r="C2097">
        <v>2</v>
      </c>
      <c r="D2097" s="1" t="s">
        <v>5795</v>
      </c>
      <c r="E2097" s="1" t="s">
        <v>36</v>
      </c>
      <c r="G2097">
        <v>451513</v>
      </c>
      <c r="H2097" t="s">
        <v>5796</v>
      </c>
      <c r="I2097" t="s">
        <v>2413</v>
      </c>
      <c r="J2097">
        <v>28</v>
      </c>
      <c r="K2097">
        <v>2695</v>
      </c>
      <c r="L2097">
        <v>95000</v>
      </c>
      <c r="M2097" t="s">
        <v>69</v>
      </c>
      <c r="N2097">
        <v>551</v>
      </c>
      <c r="O2097" s="2">
        <v>46233</v>
      </c>
      <c r="P2097" s="2">
        <v>46328</v>
      </c>
      <c r="R2097" t="s">
        <v>5797</v>
      </c>
      <c r="S2097" t="str">
        <f>""</f>
        <v/>
      </c>
      <c r="T2097" t="s">
        <v>41</v>
      </c>
      <c r="U2097">
        <v>28366.05</v>
      </c>
      <c r="V2097">
        <v>28054.02</v>
      </c>
      <c r="W2097">
        <v>28054.02</v>
      </c>
      <c r="X2097">
        <v>0</v>
      </c>
      <c r="Y2097">
        <v>0</v>
      </c>
      <c r="Z2097">
        <v>-553</v>
      </c>
      <c r="AA2097">
        <v>695656</v>
      </c>
      <c r="AD2097" t="s">
        <v>2750</v>
      </c>
      <c r="AE2097" t="s">
        <v>2567</v>
      </c>
      <c r="AF2097" t="s">
        <v>2750</v>
      </c>
      <c r="AG2097" s="1" t="s">
        <v>5798</v>
      </c>
      <c r="AH2097" t="s">
        <v>2745</v>
      </c>
    </row>
    <row r="2098" spans="1:34" x14ac:dyDescent="0.3">
      <c r="A2098">
        <v>101</v>
      </c>
      <c r="B2098" t="s">
        <v>34</v>
      </c>
      <c r="C2098">
        <v>2</v>
      </c>
      <c r="D2098" s="1" t="s">
        <v>5799</v>
      </c>
      <c r="E2098" s="1" t="s">
        <v>36</v>
      </c>
      <c r="G2098">
        <v>451513</v>
      </c>
      <c r="H2098" t="s">
        <v>5796</v>
      </c>
      <c r="I2098" t="s">
        <v>2413</v>
      </c>
      <c r="J2098">
        <v>28</v>
      </c>
      <c r="K2098">
        <v>2695</v>
      </c>
      <c r="L2098">
        <v>95000</v>
      </c>
      <c r="M2098" t="s">
        <v>69</v>
      </c>
      <c r="N2098">
        <v>551</v>
      </c>
      <c r="O2098" s="2">
        <v>46147</v>
      </c>
      <c r="P2098" s="2">
        <v>46255</v>
      </c>
      <c r="R2098" t="s">
        <v>5800</v>
      </c>
      <c r="S2098" t="str">
        <f>""</f>
        <v/>
      </c>
      <c r="T2098" t="s">
        <v>41</v>
      </c>
      <c r="U2098">
        <v>33407.120000000003</v>
      </c>
      <c r="V2098">
        <v>33039.64</v>
      </c>
      <c r="W2098">
        <v>33039.64</v>
      </c>
      <c r="X2098">
        <v>0</v>
      </c>
      <c r="Y2098">
        <v>0</v>
      </c>
      <c r="Z2098">
        <v>-480</v>
      </c>
      <c r="AA2098">
        <v>687966</v>
      </c>
      <c r="AD2098" t="s">
        <v>2750</v>
      </c>
      <c r="AE2098" t="s">
        <v>2567</v>
      </c>
      <c r="AF2098" t="s">
        <v>2750</v>
      </c>
      <c r="AG2098" s="1" t="s">
        <v>5798</v>
      </c>
      <c r="AH2098" t="s">
        <v>2745</v>
      </c>
    </row>
    <row r="2099" spans="1:34" x14ac:dyDescent="0.3">
      <c r="A2099">
        <v>101</v>
      </c>
      <c r="B2099" t="s">
        <v>34</v>
      </c>
      <c r="C2099">
        <v>2</v>
      </c>
      <c r="D2099" s="1" t="s">
        <v>5801</v>
      </c>
      <c r="E2099" s="1" t="s">
        <v>36</v>
      </c>
      <c r="G2099">
        <v>451513</v>
      </c>
      <c r="H2099" t="s">
        <v>5796</v>
      </c>
      <c r="I2099" t="s">
        <v>2413</v>
      </c>
      <c r="J2099">
        <v>28</v>
      </c>
      <c r="K2099">
        <v>2695</v>
      </c>
      <c r="L2099">
        <v>95000</v>
      </c>
      <c r="M2099" t="s">
        <v>69</v>
      </c>
      <c r="N2099">
        <v>551</v>
      </c>
      <c r="O2099" s="2">
        <v>46203</v>
      </c>
      <c r="P2099" s="2">
        <v>46316</v>
      </c>
      <c r="R2099" t="s">
        <v>5802</v>
      </c>
      <c r="S2099" t="str">
        <f>""</f>
        <v/>
      </c>
      <c r="T2099" t="s">
        <v>41</v>
      </c>
      <c r="U2099">
        <v>8896.43</v>
      </c>
      <c r="V2099">
        <v>8798.57</v>
      </c>
      <c r="W2099">
        <v>8798.57</v>
      </c>
      <c r="X2099">
        <v>0</v>
      </c>
      <c r="Y2099">
        <v>0</v>
      </c>
      <c r="Z2099">
        <v>-541</v>
      </c>
      <c r="AA2099">
        <v>693590</v>
      </c>
      <c r="AD2099" t="s">
        <v>2750</v>
      </c>
      <c r="AE2099" t="s">
        <v>2567</v>
      </c>
      <c r="AF2099" t="s">
        <v>2750</v>
      </c>
      <c r="AG2099" s="1" t="s">
        <v>5798</v>
      </c>
      <c r="AH2099" t="s">
        <v>2745</v>
      </c>
    </row>
    <row r="2100" spans="1:34" x14ac:dyDescent="0.3">
      <c r="A2100">
        <v>101</v>
      </c>
      <c r="B2100" t="s">
        <v>34</v>
      </c>
      <c r="C2100">
        <v>2</v>
      </c>
      <c r="D2100" s="1" t="s">
        <v>5803</v>
      </c>
      <c r="E2100" s="1" t="s">
        <v>36</v>
      </c>
      <c r="G2100">
        <v>451513</v>
      </c>
      <c r="H2100" t="s">
        <v>5796</v>
      </c>
      <c r="I2100" t="s">
        <v>2413</v>
      </c>
      <c r="J2100">
        <v>28</v>
      </c>
      <c r="K2100">
        <v>2695</v>
      </c>
      <c r="L2100">
        <v>95000</v>
      </c>
      <c r="M2100" t="s">
        <v>69</v>
      </c>
      <c r="N2100">
        <v>551</v>
      </c>
      <c r="O2100" s="2">
        <v>46185</v>
      </c>
      <c r="P2100" s="2">
        <v>46296</v>
      </c>
      <c r="R2100" t="s">
        <v>5804</v>
      </c>
      <c r="S2100" t="str">
        <f>""</f>
        <v/>
      </c>
      <c r="T2100" t="s">
        <v>41</v>
      </c>
      <c r="U2100">
        <v>20734.25</v>
      </c>
      <c r="V2100">
        <v>20506.169999999998</v>
      </c>
      <c r="W2100">
        <v>20506.169999999998</v>
      </c>
      <c r="X2100">
        <v>0</v>
      </c>
      <c r="Y2100">
        <v>0</v>
      </c>
      <c r="Z2100">
        <v>-521</v>
      </c>
      <c r="AA2100">
        <v>691107</v>
      </c>
      <c r="AD2100" t="s">
        <v>2750</v>
      </c>
      <c r="AE2100" t="s">
        <v>2567</v>
      </c>
      <c r="AF2100" t="s">
        <v>2750</v>
      </c>
      <c r="AG2100" s="1" t="s">
        <v>5798</v>
      </c>
      <c r="AH2100" t="s">
        <v>2745</v>
      </c>
    </row>
    <row r="2101" spans="1:34" x14ac:dyDescent="0.3">
      <c r="A2101">
        <v>101</v>
      </c>
      <c r="B2101" t="s">
        <v>34</v>
      </c>
      <c r="C2101">
        <v>2</v>
      </c>
      <c r="D2101" s="1" t="s">
        <v>5805</v>
      </c>
      <c r="E2101" s="1" t="s">
        <v>36</v>
      </c>
      <c r="G2101">
        <v>451904</v>
      </c>
      <c r="H2101" t="s">
        <v>5806</v>
      </c>
      <c r="I2101" t="s">
        <v>2413</v>
      </c>
      <c r="J2101">
        <v>28</v>
      </c>
      <c r="K2101">
        <v>2695</v>
      </c>
      <c r="L2101">
        <v>95000</v>
      </c>
      <c r="M2101" t="s">
        <v>69</v>
      </c>
      <c r="N2101">
        <v>551</v>
      </c>
      <c r="O2101" s="2">
        <v>46203</v>
      </c>
      <c r="P2101" s="2">
        <v>46316</v>
      </c>
      <c r="R2101" t="s">
        <v>5807</v>
      </c>
      <c r="S2101" t="str">
        <f>""</f>
        <v/>
      </c>
      <c r="T2101" t="s">
        <v>41</v>
      </c>
      <c r="U2101">
        <v>1252.95</v>
      </c>
      <c r="V2101">
        <v>1239.17</v>
      </c>
      <c r="W2101">
        <v>1239.17</v>
      </c>
      <c r="X2101">
        <v>0</v>
      </c>
      <c r="Y2101">
        <v>0</v>
      </c>
      <c r="Z2101">
        <v>-541</v>
      </c>
      <c r="AA2101">
        <v>693592</v>
      </c>
      <c r="AD2101" t="s">
        <v>5808</v>
      </c>
      <c r="AE2101" t="s">
        <v>2567</v>
      </c>
      <c r="AF2101" t="s">
        <v>5808</v>
      </c>
      <c r="AG2101" s="1" t="s">
        <v>5809</v>
      </c>
      <c r="AH2101" t="s">
        <v>311</v>
      </c>
    </row>
    <row r="2102" spans="1:34" x14ac:dyDescent="0.3">
      <c r="A2102">
        <v>101</v>
      </c>
      <c r="B2102" t="s">
        <v>34</v>
      </c>
      <c r="C2102">
        <v>2</v>
      </c>
      <c r="D2102" s="1" t="s">
        <v>5810</v>
      </c>
      <c r="E2102" s="1" t="s">
        <v>36</v>
      </c>
      <c r="G2102">
        <v>451904</v>
      </c>
      <c r="H2102" t="s">
        <v>5806</v>
      </c>
      <c r="I2102" t="s">
        <v>2413</v>
      </c>
      <c r="J2102">
        <v>28</v>
      </c>
      <c r="K2102">
        <v>2695</v>
      </c>
      <c r="L2102">
        <v>95000</v>
      </c>
      <c r="M2102" t="s">
        <v>69</v>
      </c>
      <c r="N2102">
        <v>551</v>
      </c>
      <c r="O2102" s="2">
        <v>46185</v>
      </c>
      <c r="P2102" s="2">
        <v>46296</v>
      </c>
      <c r="R2102" t="s">
        <v>5811</v>
      </c>
      <c r="S2102" t="str">
        <f>""</f>
        <v/>
      </c>
      <c r="T2102" t="s">
        <v>41</v>
      </c>
      <c r="U2102">
        <v>14763.25</v>
      </c>
      <c r="V2102">
        <v>14600.85</v>
      </c>
      <c r="W2102">
        <v>14600.85</v>
      </c>
      <c r="X2102">
        <v>0</v>
      </c>
      <c r="Y2102">
        <v>0</v>
      </c>
      <c r="Z2102">
        <v>-521</v>
      </c>
      <c r="AA2102">
        <v>691109</v>
      </c>
      <c r="AD2102" t="s">
        <v>5808</v>
      </c>
      <c r="AE2102" t="s">
        <v>2567</v>
      </c>
      <c r="AF2102" t="s">
        <v>5808</v>
      </c>
      <c r="AG2102" s="1" t="s">
        <v>5809</v>
      </c>
      <c r="AH2102" t="s">
        <v>311</v>
      </c>
    </row>
    <row r="2103" spans="1:34" x14ac:dyDescent="0.3">
      <c r="A2103">
        <v>101</v>
      </c>
      <c r="B2103" t="s">
        <v>34</v>
      </c>
      <c r="C2103">
        <v>2</v>
      </c>
      <c r="D2103" s="1" t="s">
        <v>5812</v>
      </c>
      <c r="E2103" s="1" t="s">
        <v>36</v>
      </c>
      <c r="G2103">
        <v>451904</v>
      </c>
      <c r="H2103" t="s">
        <v>5806</v>
      </c>
      <c r="I2103" t="s">
        <v>2413</v>
      </c>
      <c r="J2103">
        <v>28</v>
      </c>
      <c r="K2103">
        <v>2695</v>
      </c>
      <c r="L2103">
        <v>95000</v>
      </c>
      <c r="M2103" t="s">
        <v>69</v>
      </c>
      <c r="N2103">
        <v>551</v>
      </c>
      <c r="O2103" s="2">
        <v>46209</v>
      </c>
      <c r="P2103" s="2">
        <v>46316</v>
      </c>
      <c r="R2103" t="s">
        <v>5813</v>
      </c>
      <c r="S2103" t="str">
        <f>""</f>
        <v/>
      </c>
      <c r="T2103" t="s">
        <v>41</v>
      </c>
      <c r="U2103">
        <v>2016</v>
      </c>
      <c r="V2103">
        <v>1993.82</v>
      </c>
      <c r="W2103">
        <v>1993.82</v>
      </c>
      <c r="X2103">
        <v>0</v>
      </c>
      <c r="Y2103">
        <v>0</v>
      </c>
      <c r="Z2103">
        <v>-541</v>
      </c>
      <c r="AA2103">
        <v>693719</v>
      </c>
      <c r="AD2103" t="s">
        <v>5808</v>
      </c>
      <c r="AE2103" t="s">
        <v>2567</v>
      </c>
      <c r="AF2103" t="s">
        <v>5808</v>
      </c>
      <c r="AG2103" s="1" t="s">
        <v>5809</v>
      </c>
      <c r="AH2103" t="s">
        <v>311</v>
      </c>
    </row>
    <row r="2104" spans="1:34" x14ac:dyDescent="0.3">
      <c r="A2104">
        <v>101</v>
      </c>
      <c r="B2104" t="s">
        <v>34</v>
      </c>
      <c r="C2104">
        <v>2</v>
      </c>
      <c r="D2104" s="1" t="s">
        <v>5814</v>
      </c>
      <c r="E2104" s="1" t="s">
        <v>36</v>
      </c>
      <c r="G2104">
        <v>451904</v>
      </c>
      <c r="H2104" t="s">
        <v>5806</v>
      </c>
      <c r="I2104" t="s">
        <v>2413</v>
      </c>
      <c r="J2104">
        <v>28</v>
      </c>
      <c r="K2104">
        <v>2695</v>
      </c>
      <c r="L2104">
        <v>95000</v>
      </c>
      <c r="M2104" t="s">
        <v>69</v>
      </c>
      <c r="N2104">
        <v>551</v>
      </c>
      <c r="O2104" s="2">
        <v>46168</v>
      </c>
      <c r="P2104" s="2">
        <v>46266</v>
      </c>
      <c r="R2104" t="s">
        <v>5815</v>
      </c>
      <c r="S2104" t="str">
        <f>""</f>
        <v/>
      </c>
      <c r="T2104" t="s">
        <v>41</v>
      </c>
      <c r="U2104">
        <v>6885.95</v>
      </c>
      <c r="V2104">
        <v>6810.2</v>
      </c>
      <c r="W2104">
        <v>6810.2</v>
      </c>
      <c r="X2104">
        <v>0</v>
      </c>
      <c r="Y2104">
        <v>0</v>
      </c>
      <c r="Z2104">
        <v>-491</v>
      </c>
      <c r="AA2104" t="s">
        <v>5816</v>
      </c>
      <c r="AD2104" t="s">
        <v>5808</v>
      </c>
      <c r="AE2104" t="s">
        <v>2567</v>
      </c>
      <c r="AF2104" t="s">
        <v>5808</v>
      </c>
      <c r="AG2104" s="1" t="s">
        <v>5809</v>
      </c>
      <c r="AH2104" t="s">
        <v>311</v>
      </c>
    </row>
    <row r="2105" spans="1:34" x14ac:dyDescent="0.3">
      <c r="A2105">
        <v>101</v>
      </c>
      <c r="B2105" t="s">
        <v>34</v>
      </c>
      <c r="C2105">
        <v>2</v>
      </c>
      <c r="D2105" s="1" t="s">
        <v>5817</v>
      </c>
      <c r="E2105" s="1" t="s">
        <v>36</v>
      </c>
      <c r="G2105">
        <v>451904</v>
      </c>
      <c r="H2105" t="s">
        <v>5806</v>
      </c>
      <c r="I2105" t="s">
        <v>2413</v>
      </c>
      <c r="J2105">
        <v>28</v>
      </c>
      <c r="K2105">
        <v>2695</v>
      </c>
      <c r="L2105">
        <v>95000</v>
      </c>
      <c r="M2105" t="s">
        <v>69</v>
      </c>
      <c r="N2105">
        <v>551</v>
      </c>
      <c r="O2105" s="2">
        <v>46233</v>
      </c>
      <c r="P2105" s="2">
        <v>46337</v>
      </c>
      <c r="R2105" t="s">
        <v>5818</v>
      </c>
      <c r="S2105" t="str">
        <f>""</f>
        <v/>
      </c>
      <c r="T2105" t="s">
        <v>41</v>
      </c>
      <c r="U2105">
        <v>40489.89</v>
      </c>
      <c r="V2105">
        <v>40044.5</v>
      </c>
      <c r="W2105">
        <v>40044.5</v>
      </c>
      <c r="X2105">
        <v>0</v>
      </c>
      <c r="Y2105">
        <v>0</v>
      </c>
      <c r="Z2105">
        <v>-562</v>
      </c>
      <c r="AA2105">
        <v>695658</v>
      </c>
      <c r="AD2105" t="s">
        <v>5808</v>
      </c>
      <c r="AE2105" t="s">
        <v>2567</v>
      </c>
      <c r="AF2105" t="s">
        <v>5808</v>
      </c>
      <c r="AG2105" s="1" t="s">
        <v>5809</v>
      </c>
      <c r="AH2105" t="s">
        <v>311</v>
      </c>
    </row>
    <row r="2106" spans="1:34" x14ac:dyDescent="0.3">
      <c r="A2106">
        <v>101</v>
      </c>
      <c r="B2106" t="s">
        <v>34</v>
      </c>
      <c r="C2106">
        <v>2</v>
      </c>
      <c r="D2106" s="1" t="s">
        <v>5819</v>
      </c>
      <c r="E2106" s="1" t="s">
        <v>36</v>
      </c>
      <c r="G2106">
        <v>454745</v>
      </c>
      <c r="H2106" t="s">
        <v>5820</v>
      </c>
      <c r="I2106" t="s">
        <v>5821</v>
      </c>
      <c r="J2106">
        <v>12</v>
      </c>
      <c r="K2106">
        <v>454745</v>
      </c>
      <c r="L2106">
        <v>50001</v>
      </c>
      <c r="M2106" t="s">
        <v>39</v>
      </c>
      <c r="N2106">
        <v>551</v>
      </c>
      <c r="O2106" s="2">
        <v>46234</v>
      </c>
      <c r="P2106" s="2">
        <v>46279</v>
      </c>
      <c r="R2106" t="s">
        <v>5822</v>
      </c>
      <c r="S2106" t="str">
        <f>"25666160000051742"</f>
        <v>25666160000051742</v>
      </c>
      <c r="T2106" t="s">
        <v>41</v>
      </c>
      <c r="U2106">
        <v>1781.32</v>
      </c>
      <c r="V2106">
        <v>1727.88</v>
      </c>
      <c r="W2106">
        <v>1727.88</v>
      </c>
      <c r="X2106">
        <v>0</v>
      </c>
      <c r="Y2106">
        <v>0</v>
      </c>
      <c r="Z2106">
        <v>-504</v>
      </c>
      <c r="AA2106">
        <v>1929</v>
      </c>
      <c r="AD2106" t="s">
        <v>5823</v>
      </c>
      <c r="AE2106">
        <v>6281150283</v>
      </c>
      <c r="AF2106" t="s">
        <v>5823</v>
      </c>
      <c r="AG2106">
        <v>40693341000104</v>
      </c>
      <c r="AH2106" t="s">
        <v>311</v>
      </c>
    </row>
    <row r="2107" spans="1:34" x14ac:dyDescent="0.3">
      <c r="A2107">
        <v>101</v>
      </c>
      <c r="B2107" t="s">
        <v>34</v>
      </c>
      <c r="C2107">
        <v>2</v>
      </c>
      <c r="D2107" s="1" t="s">
        <v>5824</v>
      </c>
      <c r="E2107" s="1" t="s">
        <v>36</v>
      </c>
      <c r="G2107">
        <v>454745</v>
      </c>
      <c r="H2107" t="s">
        <v>5820</v>
      </c>
      <c r="I2107" t="s">
        <v>5821</v>
      </c>
      <c r="J2107">
        <v>12</v>
      </c>
      <c r="K2107">
        <v>454745</v>
      </c>
      <c r="L2107">
        <v>50001</v>
      </c>
      <c r="M2107" t="s">
        <v>39</v>
      </c>
      <c r="N2107">
        <v>551</v>
      </c>
      <c r="O2107" s="2">
        <v>46234</v>
      </c>
      <c r="P2107" s="2">
        <v>46279</v>
      </c>
      <c r="R2107" t="s">
        <v>5825</v>
      </c>
      <c r="S2107" t="str">
        <f>"25666160000051741"</f>
        <v>25666160000051741</v>
      </c>
      <c r="T2107" t="s">
        <v>41</v>
      </c>
      <c r="U2107">
        <v>5944.83</v>
      </c>
      <c r="V2107">
        <v>5766.49</v>
      </c>
      <c r="W2107">
        <v>5766.49</v>
      </c>
      <c r="X2107">
        <v>0</v>
      </c>
      <c r="Y2107">
        <v>0</v>
      </c>
      <c r="Z2107">
        <v>-504</v>
      </c>
      <c r="AA2107">
        <v>1907</v>
      </c>
      <c r="AD2107" t="s">
        <v>5823</v>
      </c>
      <c r="AE2107">
        <v>6281150283</v>
      </c>
      <c r="AF2107" t="s">
        <v>5823</v>
      </c>
      <c r="AG2107">
        <v>40693341000104</v>
      </c>
      <c r="AH2107" t="s">
        <v>311</v>
      </c>
    </row>
    <row r="2108" spans="1:34" x14ac:dyDescent="0.3">
      <c r="A2108">
        <v>101</v>
      </c>
      <c r="B2108" t="s">
        <v>34</v>
      </c>
      <c r="C2108">
        <v>2</v>
      </c>
      <c r="D2108" s="1" t="s">
        <v>5826</v>
      </c>
      <c r="E2108" s="1" t="s">
        <v>36</v>
      </c>
      <c r="G2108">
        <v>454768</v>
      </c>
      <c r="H2108" t="s">
        <v>5827</v>
      </c>
      <c r="I2108" t="s">
        <v>5821</v>
      </c>
      <c r="J2108">
        <v>12</v>
      </c>
      <c r="K2108">
        <v>454745</v>
      </c>
      <c r="L2108">
        <v>50341</v>
      </c>
      <c r="M2108" t="s">
        <v>146</v>
      </c>
      <c r="N2108">
        <v>551</v>
      </c>
      <c r="O2108" s="2">
        <v>46234</v>
      </c>
      <c r="P2108" s="2">
        <v>46279</v>
      </c>
      <c r="R2108" t="s">
        <v>5828</v>
      </c>
      <c r="S2108" t="str">
        <f>"00013486"</f>
        <v>00013486</v>
      </c>
      <c r="T2108" t="s">
        <v>41</v>
      </c>
      <c r="U2108">
        <v>1774.29</v>
      </c>
      <c r="V2108">
        <v>1721.06</v>
      </c>
      <c r="W2108">
        <v>1721.06</v>
      </c>
      <c r="X2108">
        <v>0</v>
      </c>
      <c r="Y2108">
        <v>0</v>
      </c>
      <c r="Z2108">
        <v>-504</v>
      </c>
      <c r="AA2108">
        <v>1926</v>
      </c>
      <c r="AD2108" t="s">
        <v>5829</v>
      </c>
      <c r="AE2108">
        <v>6298150283</v>
      </c>
      <c r="AF2108" t="s">
        <v>5829</v>
      </c>
      <c r="AG2108">
        <v>40693341000376</v>
      </c>
      <c r="AH2108" t="s">
        <v>311</v>
      </c>
    </row>
    <row r="2109" spans="1:34" x14ac:dyDescent="0.3">
      <c r="A2109">
        <v>101</v>
      </c>
      <c r="B2109" t="s">
        <v>34</v>
      </c>
      <c r="C2109">
        <v>2</v>
      </c>
      <c r="D2109" s="1" t="s">
        <v>5830</v>
      </c>
      <c r="E2109" s="1" t="s">
        <v>36</v>
      </c>
      <c r="G2109">
        <v>454768</v>
      </c>
      <c r="H2109" t="s">
        <v>5827</v>
      </c>
      <c r="I2109" t="s">
        <v>5821</v>
      </c>
      <c r="J2109">
        <v>12</v>
      </c>
      <c r="K2109">
        <v>454745</v>
      </c>
      <c r="L2109">
        <v>50341</v>
      </c>
      <c r="M2109" t="s">
        <v>146</v>
      </c>
      <c r="N2109">
        <v>551</v>
      </c>
      <c r="O2109" s="2">
        <v>46234</v>
      </c>
      <c r="P2109" s="2">
        <v>46279</v>
      </c>
      <c r="R2109" t="s">
        <v>5831</v>
      </c>
      <c r="S2109" t="str">
        <f>"00013485"</f>
        <v>00013485</v>
      </c>
      <c r="T2109" t="s">
        <v>41</v>
      </c>
      <c r="U2109">
        <v>5963.46</v>
      </c>
      <c r="V2109">
        <v>5784.56</v>
      </c>
      <c r="W2109">
        <v>5784.56</v>
      </c>
      <c r="X2109">
        <v>0</v>
      </c>
      <c r="Y2109">
        <v>0</v>
      </c>
      <c r="Z2109">
        <v>-504</v>
      </c>
      <c r="AA2109">
        <v>1913</v>
      </c>
      <c r="AD2109" t="s">
        <v>5829</v>
      </c>
      <c r="AE2109">
        <v>6298150283</v>
      </c>
      <c r="AF2109" t="s">
        <v>5829</v>
      </c>
      <c r="AG2109">
        <v>40693341000376</v>
      </c>
      <c r="AH2109" t="s">
        <v>311</v>
      </c>
    </row>
    <row r="2110" spans="1:34" x14ac:dyDescent="0.3">
      <c r="A2110">
        <v>101</v>
      </c>
      <c r="B2110" t="s">
        <v>34</v>
      </c>
      <c r="C2110">
        <v>2</v>
      </c>
      <c r="D2110" s="1" t="s">
        <v>5832</v>
      </c>
      <c r="E2110" s="1" t="s">
        <v>36</v>
      </c>
      <c r="G2110">
        <v>454769</v>
      </c>
      <c r="H2110" t="s">
        <v>5833</v>
      </c>
      <c r="I2110" t="s">
        <v>5834</v>
      </c>
      <c r="J2110">
        <v>12</v>
      </c>
      <c r="K2110">
        <v>454745</v>
      </c>
      <c r="L2110">
        <v>50341</v>
      </c>
      <c r="M2110" t="s">
        <v>146</v>
      </c>
      <c r="N2110">
        <v>551</v>
      </c>
      <c r="O2110" s="2">
        <v>46234</v>
      </c>
      <c r="P2110" s="2">
        <v>46279</v>
      </c>
      <c r="R2110" t="s">
        <v>5835</v>
      </c>
      <c r="S2110" t="str">
        <f>"00013488"</f>
        <v>00013488</v>
      </c>
      <c r="T2110" t="s">
        <v>41</v>
      </c>
      <c r="U2110">
        <v>1723.95</v>
      </c>
      <c r="V2110">
        <v>1672.23</v>
      </c>
      <c r="W2110">
        <v>1672.23</v>
      </c>
      <c r="X2110">
        <v>0</v>
      </c>
      <c r="Y2110">
        <v>0</v>
      </c>
      <c r="Z2110">
        <v>-504</v>
      </c>
      <c r="AA2110">
        <v>1928</v>
      </c>
      <c r="AD2110" t="s">
        <v>5463</v>
      </c>
      <c r="AE2110">
        <v>62981150283</v>
      </c>
      <c r="AF2110" t="s">
        <v>5463</v>
      </c>
      <c r="AG2110">
        <v>40693341000295</v>
      </c>
      <c r="AH2110" t="s">
        <v>311</v>
      </c>
    </row>
    <row r="2111" spans="1:34" x14ac:dyDescent="0.3">
      <c r="A2111">
        <v>101</v>
      </c>
      <c r="B2111" t="s">
        <v>34</v>
      </c>
      <c r="C2111">
        <v>2</v>
      </c>
      <c r="D2111" s="1" t="s">
        <v>5836</v>
      </c>
      <c r="E2111" s="1" t="s">
        <v>36</v>
      </c>
      <c r="G2111">
        <v>454769</v>
      </c>
      <c r="H2111" t="s">
        <v>5833</v>
      </c>
      <c r="I2111" t="s">
        <v>5834</v>
      </c>
      <c r="J2111">
        <v>12</v>
      </c>
      <c r="K2111">
        <v>454745</v>
      </c>
      <c r="L2111">
        <v>50341</v>
      </c>
      <c r="M2111" t="s">
        <v>146</v>
      </c>
      <c r="N2111">
        <v>551</v>
      </c>
      <c r="O2111" s="2">
        <v>46234</v>
      </c>
      <c r="P2111" s="2">
        <v>46279</v>
      </c>
      <c r="R2111" t="s">
        <v>5837</v>
      </c>
      <c r="S2111" t="str">
        <f>"00013487"</f>
        <v>00013487</v>
      </c>
      <c r="T2111" t="s">
        <v>41</v>
      </c>
      <c r="U2111">
        <v>5453.81</v>
      </c>
      <c r="V2111">
        <v>5290.2</v>
      </c>
      <c r="W2111">
        <v>5290.2</v>
      </c>
      <c r="X2111">
        <v>0</v>
      </c>
      <c r="Y2111">
        <v>0</v>
      </c>
      <c r="Z2111">
        <v>-504</v>
      </c>
      <c r="AA2111">
        <v>1918</v>
      </c>
      <c r="AD2111" t="s">
        <v>5463</v>
      </c>
      <c r="AE2111">
        <v>62981150283</v>
      </c>
      <c r="AF2111" t="s">
        <v>5463</v>
      </c>
      <c r="AG2111">
        <v>40693341000295</v>
      </c>
      <c r="AH2111" t="s">
        <v>311</v>
      </c>
    </row>
    <row r="2112" spans="1:34" x14ac:dyDescent="0.3">
      <c r="A2112">
        <v>101</v>
      </c>
      <c r="B2112" t="s">
        <v>34</v>
      </c>
      <c r="C2112">
        <v>2</v>
      </c>
      <c r="D2112" s="1" t="s">
        <v>5838</v>
      </c>
      <c r="E2112" s="1" t="s">
        <v>36</v>
      </c>
      <c r="G2112">
        <v>454965</v>
      </c>
      <c r="H2112" t="s">
        <v>5839</v>
      </c>
      <c r="I2112" t="s">
        <v>2413</v>
      </c>
      <c r="J2112">
        <v>28</v>
      </c>
      <c r="K2112">
        <v>2695</v>
      </c>
      <c r="L2112">
        <v>95000</v>
      </c>
      <c r="M2112" t="s">
        <v>69</v>
      </c>
      <c r="N2112">
        <v>551</v>
      </c>
      <c r="O2112" s="2">
        <v>46168</v>
      </c>
      <c r="P2112" s="2">
        <v>46286</v>
      </c>
      <c r="R2112" t="s">
        <v>5840</v>
      </c>
      <c r="S2112" t="str">
        <f>""</f>
        <v/>
      </c>
      <c r="T2112" t="s">
        <v>41</v>
      </c>
      <c r="U2112">
        <v>6940.35</v>
      </c>
      <c r="V2112">
        <v>6864.01</v>
      </c>
      <c r="W2112">
        <v>6864.01</v>
      </c>
      <c r="X2112">
        <v>0</v>
      </c>
      <c r="Y2112">
        <v>0</v>
      </c>
      <c r="Z2112">
        <v>-511</v>
      </c>
      <c r="AA2112" t="s">
        <v>5841</v>
      </c>
      <c r="AD2112" t="s">
        <v>5842</v>
      </c>
      <c r="AE2112">
        <v>1134115000</v>
      </c>
      <c r="AF2112" t="s">
        <v>5842</v>
      </c>
      <c r="AG2112" s="1" t="s">
        <v>5843</v>
      </c>
      <c r="AH2112" t="s">
        <v>311</v>
      </c>
    </row>
    <row r="2113" spans="1:34" x14ac:dyDescent="0.3">
      <c r="A2113">
        <v>101</v>
      </c>
      <c r="B2113" t="s">
        <v>34</v>
      </c>
      <c r="C2113">
        <v>2</v>
      </c>
      <c r="D2113" s="1" t="s">
        <v>5844</v>
      </c>
      <c r="E2113" s="1" t="s">
        <v>36</v>
      </c>
      <c r="G2113">
        <v>454965</v>
      </c>
      <c r="H2113" t="s">
        <v>5839</v>
      </c>
      <c r="I2113" t="s">
        <v>2413</v>
      </c>
      <c r="J2113">
        <v>28</v>
      </c>
      <c r="K2113">
        <v>2695</v>
      </c>
      <c r="L2113">
        <v>95000</v>
      </c>
      <c r="M2113" t="s">
        <v>69</v>
      </c>
      <c r="N2113">
        <v>551</v>
      </c>
      <c r="O2113" s="2">
        <v>46233</v>
      </c>
      <c r="P2113" s="2">
        <v>46328</v>
      </c>
      <c r="R2113" t="s">
        <v>5845</v>
      </c>
      <c r="S2113" t="str">
        <f>""</f>
        <v/>
      </c>
      <c r="T2113" t="s">
        <v>41</v>
      </c>
      <c r="U2113">
        <v>21602.61</v>
      </c>
      <c r="V2113">
        <v>21364.98</v>
      </c>
      <c r="W2113">
        <v>21364.98</v>
      </c>
      <c r="X2113">
        <v>0</v>
      </c>
      <c r="Y2113">
        <v>0</v>
      </c>
      <c r="Z2113">
        <v>-553</v>
      </c>
      <c r="AA2113">
        <v>695660</v>
      </c>
      <c r="AD2113" t="s">
        <v>5842</v>
      </c>
      <c r="AE2113">
        <v>1134115000</v>
      </c>
      <c r="AF2113" t="s">
        <v>5842</v>
      </c>
      <c r="AG2113" s="1" t="s">
        <v>5843</v>
      </c>
      <c r="AH2113" t="s">
        <v>311</v>
      </c>
    </row>
    <row r="2114" spans="1:34" x14ac:dyDescent="0.3">
      <c r="A2114">
        <v>101</v>
      </c>
      <c r="B2114" t="s">
        <v>34</v>
      </c>
      <c r="C2114">
        <v>2</v>
      </c>
      <c r="D2114" s="1" t="s">
        <v>5846</v>
      </c>
      <c r="E2114" s="1" t="s">
        <v>36</v>
      </c>
      <c r="G2114">
        <v>454965</v>
      </c>
      <c r="H2114" t="s">
        <v>5839</v>
      </c>
      <c r="I2114" t="s">
        <v>2413</v>
      </c>
      <c r="J2114">
        <v>28</v>
      </c>
      <c r="K2114">
        <v>2695</v>
      </c>
      <c r="L2114">
        <v>95000</v>
      </c>
      <c r="M2114" t="s">
        <v>69</v>
      </c>
      <c r="N2114">
        <v>551</v>
      </c>
      <c r="O2114" s="2">
        <v>46209</v>
      </c>
      <c r="P2114" s="2">
        <v>46316</v>
      </c>
      <c r="R2114" t="s">
        <v>5847</v>
      </c>
      <c r="S2114" t="str">
        <f>""</f>
        <v/>
      </c>
      <c r="T2114" t="s">
        <v>41</v>
      </c>
      <c r="U2114">
        <v>3360</v>
      </c>
      <c r="V2114">
        <v>3323.04</v>
      </c>
      <c r="W2114">
        <v>3323.04</v>
      </c>
      <c r="X2114">
        <v>0</v>
      </c>
      <c r="Y2114">
        <v>0</v>
      </c>
      <c r="Z2114">
        <v>-541</v>
      </c>
      <c r="AA2114">
        <v>693721</v>
      </c>
      <c r="AD2114" t="s">
        <v>5842</v>
      </c>
      <c r="AE2114">
        <v>1134115000</v>
      </c>
      <c r="AF2114" t="s">
        <v>5842</v>
      </c>
      <c r="AG2114" s="1" t="s">
        <v>5843</v>
      </c>
      <c r="AH2114" t="s">
        <v>311</v>
      </c>
    </row>
    <row r="2115" spans="1:34" x14ac:dyDescent="0.3">
      <c r="A2115">
        <v>101</v>
      </c>
      <c r="B2115" t="s">
        <v>34</v>
      </c>
      <c r="C2115">
        <v>2</v>
      </c>
      <c r="D2115" s="1" t="s">
        <v>5848</v>
      </c>
      <c r="E2115" s="1" t="s">
        <v>36</v>
      </c>
      <c r="G2115">
        <v>454965</v>
      </c>
      <c r="H2115" t="s">
        <v>5839</v>
      </c>
      <c r="I2115" t="s">
        <v>2413</v>
      </c>
      <c r="J2115">
        <v>28</v>
      </c>
      <c r="K2115">
        <v>2695</v>
      </c>
      <c r="L2115">
        <v>95000</v>
      </c>
      <c r="M2115" t="s">
        <v>69</v>
      </c>
      <c r="N2115">
        <v>551</v>
      </c>
      <c r="O2115" s="2">
        <v>46203</v>
      </c>
      <c r="P2115" s="2">
        <v>46316</v>
      </c>
      <c r="R2115" t="s">
        <v>5849</v>
      </c>
      <c r="S2115" t="str">
        <f>""</f>
        <v/>
      </c>
      <c r="T2115" t="s">
        <v>41</v>
      </c>
      <c r="U2115">
        <v>5772.6</v>
      </c>
      <c r="V2115">
        <v>5709.1</v>
      </c>
      <c r="W2115">
        <v>5709.1</v>
      </c>
      <c r="X2115">
        <v>0</v>
      </c>
      <c r="Y2115">
        <v>0</v>
      </c>
      <c r="Z2115">
        <v>-541</v>
      </c>
      <c r="AA2115">
        <v>693594</v>
      </c>
      <c r="AD2115" t="s">
        <v>5842</v>
      </c>
      <c r="AE2115">
        <v>1134115000</v>
      </c>
      <c r="AF2115" t="s">
        <v>5842</v>
      </c>
      <c r="AG2115" s="1" t="s">
        <v>5843</v>
      </c>
      <c r="AH2115" t="s">
        <v>311</v>
      </c>
    </row>
    <row r="2116" spans="1:34" x14ac:dyDescent="0.3">
      <c r="A2116">
        <v>101</v>
      </c>
      <c r="B2116" t="s">
        <v>34</v>
      </c>
      <c r="C2116">
        <v>2</v>
      </c>
      <c r="D2116" s="1" t="s">
        <v>5850</v>
      </c>
      <c r="E2116" s="1" t="s">
        <v>36</v>
      </c>
      <c r="G2116">
        <v>454965</v>
      </c>
      <c r="H2116" t="s">
        <v>5839</v>
      </c>
      <c r="I2116" t="s">
        <v>2413</v>
      </c>
      <c r="J2116">
        <v>28</v>
      </c>
      <c r="K2116">
        <v>2695</v>
      </c>
      <c r="L2116">
        <v>95000</v>
      </c>
      <c r="M2116" t="s">
        <v>69</v>
      </c>
      <c r="N2116">
        <v>551</v>
      </c>
      <c r="O2116" s="2">
        <v>46185</v>
      </c>
      <c r="P2116" s="2">
        <v>46296</v>
      </c>
      <c r="R2116" t="s">
        <v>5851</v>
      </c>
      <c r="S2116" t="str">
        <f>""</f>
        <v/>
      </c>
      <c r="T2116" t="s">
        <v>41</v>
      </c>
      <c r="U2116">
        <v>8190.95</v>
      </c>
      <c r="V2116">
        <v>8100.85</v>
      </c>
      <c r="W2116">
        <v>8100.85</v>
      </c>
      <c r="X2116">
        <v>0</v>
      </c>
      <c r="Y2116">
        <v>0</v>
      </c>
      <c r="Z2116">
        <v>-521</v>
      </c>
      <c r="AA2116">
        <v>691111</v>
      </c>
      <c r="AD2116" t="s">
        <v>5842</v>
      </c>
      <c r="AE2116">
        <v>1134115000</v>
      </c>
      <c r="AF2116" t="s">
        <v>5842</v>
      </c>
      <c r="AG2116" s="1" t="s">
        <v>5843</v>
      </c>
      <c r="AH2116" t="s">
        <v>311</v>
      </c>
    </row>
    <row r="2117" spans="1:34" x14ac:dyDescent="0.3">
      <c r="A2117">
        <v>101</v>
      </c>
      <c r="B2117" t="s">
        <v>34</v>
      </c>
      <c r="C2117">
        <v>2</v>
      </c>
      <c r="D2117" s="1" t="s">
        <v>5852</v>
      </c>
      <c r="E2117" s="1" t="s">
        <v>36</v>
      </c>
      <c r="G2117">
        <v>459123</v>
      </c>
      <c r="H2117" t="s">
        <v>5853</v>
      </c>
      <c r="I2117" t="s">
        <v>5854</v>
      </c>
      <c r="J2117">
        <v>28</v>
      </c>
      <c r="K2117">
        <v>2695</v>
      </c>
      <c r="L2117">
        <v>95000</v>
      </c>
      <c r="M2117" t="s">
        <v>69</v>
      </c>
      <c r="N2117">
        <v>551</v>
      </c>
      <c r="O2117" s="2">
        <v>46203</v>
      </c>
      <c r="P2117" s="2">
        <v>46316</v>
      </c>
      <c r="R2117" t="s">
        <v>5855</v>
      </c>
      <c r="S2117" t="str">
        <f>""</f>
        <v/>
      </c>
      <c r="T2117" t="s">
        <v>41</v>
      </c>
      <c r="U2117">
        <v>1566.25</v>
      </c>
      <c r="V2117">
        <v>1549.02</v>
      </c>
      <c r="W2117">
        <v>1549.02</v>
      </c>
      <c r="X2117">
        <v>0</v>
      </c>
      <c r="Y2117">
        <v>0</v>
      </c>
      <c r="Z2117">
        <v>-541</v>
      </c>
      <c r="AA2117">
        <v>693598</v>
      </c>
      <c r="AD2117" t="s">
        <v>4751</v>
      </c>
      <c r="AE2117" t="s">
        <v>2567</v>
      </c>
      <c r="AF2117" t="s">
        <v>4751</v>
      </c>
      <c r="AG2117" s="1" t="s">
        <v>5856</v>
      </c>
      <c r="AH2117" t="s">
        <v>4754</v>
      </c>
    </row>
    <row r="2118" spans="1:34" x14ac:dyDescent="0.3">
      <c r="A2118">
        <v>101</v>
      </c>
      <c r="B2118" t="s">
        <v>34</v>
      </c>
      <c r="C2118">
        <v>2</v>
      </c>
      <c r="D2118" s="1" t="s">
        <v>5857</v>
      </c>
      <c r="E2118" s="1" t="s">
        <v>36</v>
      </c>
      <c r="G2118">
        <v>459123</v>
      </c>
      <c r="H2118" t="s">
        <v>5853</v>
      </c>
      <c r="I2118" t="s">
        <v>5854</v>
      </c>
      <c r="J2118">
        <v>28</v>
      </c>
      <c r="K2118">
        <v>2695</v>
      </c>
      <c r="L2118">
        <v>95000</v>
      </c>
      <c r="M2118" t="s">
        <v>69</v>
      </c>
      <c r="N2118">
        <v>551</v>
      </c>
      <c r="O2118" s="2">
        <v>46185</v>
      </c>
      <c r="P2118" s="2">
        <v>46296</v>
      </c>
      <c r="R2118" t="s">
        <v>5858</v>
      </c>
      <c r="S2118" t="str">
        <f>""</f>
        <v/>
      </c>
      <c r="T2118" t="s">
        <v>41</v>
      </c>
      <c r="U2118">
        <v>6321.5</v>
      </c>
      <c r="V2118">
        <v>6251.96</v>
      </c>
      <c r="W2118">
        <v>6251.96</v>
      </c>
      <c r="X2118">
        <v>0</v>
      </c>
      <c r="Y2118">
        <v>0</v>
      </c>
      <c r="Z2118">
        <v>-521</v>
      </c>
      <c r="AA2118">
        <v>691115</v>
      </c>
      <c r="AD2118" t="s">
        <v>4751</v>
      </c>
      <c r="AE2118" t="s">
        <v>2567</v>
      </c>
      <c r="AF2118" t="s">
        <v>4751</v>
      </c>
      <c r="AG2118" s="1" t="s">
        <v>5856</v>
      </c>
      <c r="AH2118" t="s">
        <v>4754</v>
      </c>
    </row>
    <row r="2119" spans="1:34" x14ac:dyDescent="0.3">
      <c r="A2119">
        <v>101</v>
      </c>
      <c r="B2119" t="s">
        <v>34</v>
      </c>
      <c r="C2119">
        <v>2</v>
      </c>
      <c r="D2119" s="1" t="s">
        <v>5859</v>
      </c>
      <c r="E2119" s="1" t="s">
        <v>36</v>
      </c>
      <c r="G2119">
        <v>459123</v>
      </c>
      <c r="H2119" t="s">
        <v>5853</v>
      </c>
      <c r="I2119" t="s">
        <v>5854</v>
      </c>
      <c r="J2119">
        <v>28</v>
      </c>
      <c r="K2119">
        <v>2695</v>
      </c>
      <c r="L2119">
        <v>95000</v>
      </c>
      <c r="M2119" t="s">
        <v>69</v>
      </c>
      <c r="N2119">
        <v>551</v>
      </c>
      <c r="O2119" s="2">
        <v>46209</v>
      </c>
      <c r="P2119" s="2">
        <v>46316</v>
      </c>
      <c r="R2119" t="s">
        <v>5860</v>
      </c>
      <c r="S2119" t="str">
        <f>""</f>
        <v/>
      </c>
      <c r="T2119" t="s">
        <v>41</v>
      </c>
      <c r="U2119">
        <v>4357.5200000000004</v>
      </c>
      <c r="V2119">
        <v>4309.59</v>
      </c>
      <c r="W2119">
        <v>4309.59</v>
      </c>
      <c r="X2119">
        <v>0</v>
      </c>
      <c r="Y2119">
        <v>0</v>
      </c>
      <c r="Z2119">
        <v>-541</v>
      </c>
      <c r="AA2119">
        <v>693725</v>
      </c>
      <c r="AD2119" t="s">
        <v>4751</v>
      </c>
      <c r="AE2119" t="s">
        <v>2567</v>
      </c>
      <c r="AF2119" t="s">
        <v>4751</v>
      </c>
      <c r="AG2119" s="1" t="s">
        <v>5856</v>
      </c>
      <c r="AH2119" t="s">
        <v>4754</v>
      </c>
    </row>
    <row r="2120" spans="1:34" x14ac:dyDescent="0.3">
      <c r="A2120">
        <v>101</v>
      </c>
      <c r="B2120" t="s">
        <v>34</v>
      </c>
      <c r="C2120">
        <v>2</v>
      </c>
      <c r="D2120" s="1" t="s">
        <v>5861</v>
      </c>
      <c r="E2120" s="1" t="s">
        <v>36</v>
      </c>
      <c r="G2120">
        <v>459123</v>
      </c>
      <c r="H2120" t="s">
        <v>5853</v>
      </c>
      <c r="I2120" t="s">
        <v>5854</v>
      </c>
      <c r="J2120">
        <v>28</v>
      </c>
      <c r="K2120">
        <v>2695</v>
      </c>
      <c r="L2120">
        <v>95000</v>
      </c>
      <c r="M2120" t="s">
        <v>69</v>
      </c>
      <c r="N2120">
        <v>551</v>
      </c>
      <c r="O2120" s="2">
        <v>46233</v>
      </c>
      <c r="P2120" s="2">
        <v>46323</v>
      </c>
      <c r="R2120" t="s">
        <v>5862</v>
      </c>
      <c r="S2120" t="str">
        <f>""</f>
        <v/>
      </c>
      <c r="T2120" t="s">
        <v>41</v>
      </c>
      <c r="U2120">
        <v>41622.43</v>
      </c>
      <c r="V2120">
        <v>41164.58</v>
      </c>
      <c r="W2120">
        <v>41164.58</v>
      </c>
      <c r="X2120">
        <v>0</v>
      </c>
      <c r="Y2120">
        <v>0</v>
      </c>
      <c r="Z2120">
        <v>-548</v>
      </c>
      <c r="AA2120">
        <v>695664</v>
      </c>
      <c r="AD2120" t="s">
        <v>4751</v>
      </c>
      <c r="AE2120" t="s">
        <v>2567</v>
      </c>
      <c r="AF2120" t="s">
        <v>4751</v>
      </c>
      <c r="AG2120" s="1" t="s">
        <v>5856</v>
      </c>
      <c r="AH2120" t="s">
        <v>4754</v>
      </c>
    </row>
    <row r="2121" spans="1:34" x14ac:dyDescent="0.3">
      <c r="A2121">
        <v>101</v>
      </c>
      <c r="B2121" t="s">
        <v>34</v>
      </c>
      <c r="C2121">
        <v>2</v>
      </c>
      <c r="D2121" s="1" t="s">
        <v>5863</v>
      </c>
      <c r="E2121" s="1" t="s">
        <v>36</v>
      </c>
      <c r="G2121">
        <v>459123</v>
      </c>
      <c r="H2121" t="s">
        <v>5853</v>
      </c>
      <c r="I2121" t="s">
        <v>5854</v>
      </c>
      <c r="J2121">
        <v>28</v>
      </c>
      <c r="K2121">
        <v>2695</v>
      </c>
      <c r="L2121">
        <v>95000</v>
      </c>
      <c r="M2121" t="s">
        <v>69</v>
      </c>
      <c r="N2121">
        <v>551</v>
      </c>
      <c r="O2121" s="2">
        <v>46168</v>
      </c>
      <c r="P2121" s="2">
        <v>46258</v>
      </c>
      <c r="R2121" t="s">
        <v>5864</v>
      </c>
      <c r="S2121" t="str">
        <f>""</f>
        <v/>
      </c>
      <c r="T2121" t="s">
        <v>41</v>
      </c>
      <c r="U2121">
        <v>10356.91</v>
      </c>
      <c r="V2121">
        <v>10242.98</v>
      </c>
      <c r="W2121">
        <v>10242.98</v>
      </c>
      <c r="X2121">
        <v>0</v>
      </c>
      <c r="Y2121">
        <v>0</v>
      </c>
      <c r="Z2121">
        <v>-483</v>
      </c>
      <c r="AA2121" t="s">
        <v>5865</v>
      </c>
      <c r="AD2121" t="s">
        <v>4751</v>
      </c>
      <c r="AE2121" t="s">
        <v>2567</v>
      </c>
      <c r="AF2121" t="s">
        <v>4751</v>
      </c>
      <c r="AG2121" s="1" t="s">
        <v>5856</v>
      </c>
      <c r="AH2121" t="s">
        <v>4754</v>
      </c>
    </row>
    <row r="2122" spans="1:34" x14ac:dyDescent="0.3">
      <c r="A2122">
        <v>101</v>
      </c>
      <c r="B2122" t="s">
        <v>34</v>
      </c>
      <c r="C2122">
        <v>2</v>
      </c>
      <c r="D2122" s="1" t="s">
        <v>5866</v>
      </c>
      <c r="E2122" s="1" t="s">
        <v>36</v>
      </c>
      <c r="G2122">
        <v>459124</v>
      </c>
      <c r="H2122" t="s">
        <v>5867</v>
      </c>
      <c r="I2122" t="s">
        <v>2413</v>
      </c>
      <c r="J2122">
        <v>28</v>
      </c>
      <c r="K2122">
        <v>2695</v>
      </c>
      <c r="L2122">
        <v>95000</v>
      </c>
      <c r="M2122" t="s">
        <v>69</v>
      </c>
      <c r="N2122">
        <v>551</v>
      </c>
      <c r="O2122" s="2">
        <v>46233</v>
      </c>
      <c r="P2122" s="2">
        <v>46328</v>
      </c>
      <c r="R2122" t="s">
        <v>5868</v>
      </c>
      <c r="S2122" t="str">
        <f>""</f>
        <v/>
      </c>
      <c r="T2122" t="s">
        <v>41</v>
      </c>
      <c r="U2122">
        <v>27695.78</v>
      </c>
      <c r="V2122">
        <v>27391.13</v>
      </c>
      <c r="W2122">
        <v>27391.13</v>
      </c>
      <c r="X2122">
        <v>0</v>
      </c>
      <c r="Y2122">
        <v>0</v>
      </c>
      <c r="Z2122">
        <v>-553</v>
      </c>
      <c r="AA2122">
        <v>695668</v>
      </c>
      <c r="AD2122" t="s">
        <v>665</v>
      </c>
      <c r="AE2122" t="s">
        <v>2567</v>
      </c>
      <c r="AF2122" t="s">
        <v>665</v>
      </c>
      <c r="AG2122" s="1" t="s">
        <v>5869</v>
      </c>
      <c r="AH2122" t="s">
        <v>311</v>
      </c>
    </row>
    <row r="2123" spans="1:34" x14ac:dyDescent="0.3">
      <c r="A2123">
        <v>101</v>
      </c>
      <c r="B2123" t="s">
        <v>34</v>
      </c>
      <c r="C2123">
        <v>2</v>
      </c>
      <c r="D2123" s="1" t="s">
        <v>5870</v>
      </c>
      <c r="E2123" s="1" t="s">
        <v>36</v>
      </c>
      <c r="G2123">
        <v>459124</v>
      </c>
      <c r="H2123" t="s">
        <v>5867</v>
      </c>
      <c r="I2123" t="s">
        <v>2413</v>
      </c>
      <c r="J2123">
        <v>28</v>
      </c>
      <c r="K2123">
        <v>2695</v>
      </c>
      <c r="L2123">
        <v>95000</v>
      </c>
      <c r="M2123" t="s">
        <v>69</v>
      </c>
      <c r="N2123">
        <v>551</v>
      </c>
      <c r="O2123" s="2">
        <v>46168</v>
      </c>
      <c r="P2123" s="2">
        <v>46276</v>
      </c>
      <c r="R2123" t="s">
        <v>5871</v>
      </c>
      <c r="S2123" t="str">
        <f>""</f>
        <v/>
      </c>
      <c r="T2123" t="s">
        <v>41</v>
      </c>
      <c r="U2123">
        <v>3264.7</v>
      </c>
      <c r="V2123">
        <v>1629.88</v>
      </c>
      <c r="W2123">
        <v>1629.88</v>
      </c>
      <c r="X2123">
        <v>0</v>
      </c>
      <c r="Y2123">
        <v>0</v>
      </c>
      <c r="Z2123">
        <v>-501</v>
      </c>
      <c r="AA2123" t="s">
        <v>5872</v>
      </c>
      <c r="AD2123" t="s">
        <v>665</v>
      </c>
      <c r="AE2123" t="s">
        <v>2567</v>
      </c>
      <c r="AF2123" t="s">
        <v>665</v>
      </c>
      <c r="AG2123" s="1" t="s">
        <v>5869</v>
      </c>
      <c r="AH2123" t="s">
        <v>311</v>
      </c>
    </row>
    <row r="2124" spans="1:34" x14ac:dyDescent="0.3">
      <c r="A2124">
        <v>101</v>
      </c>
      <c r="B2124" t="s">
        <v>34</v>
      </c>
      <c r="C2124">
        <v>2</v>
      </c>
      <c r="D2124" s="1" t="s">
        <v>5873</v>
      </c>
      <c r="E2124" s="1" t="s">
        <v>36</v>
      </c>
      <c r="G2124">
        <v>459124</v>
      </c>
      <c r="H2124" t="s">
        <v>5867</v>
      </c>
      <c r="I2124" t="s">
        <v>2413</v>
      </c>
      <c r="J2124">
        <v>28</v>
      </c>
      <c r="K2124">
        <v>2695</v>
      </c>
      <c r="L2124">
        <v>95000</v>
      </c>
      <c r="M2124" t="s">
        <v>69</v>
      </c>
      <c r="N2124">
        <v>551</v>
      </c>
      <c r="O2124" s="2">
        <v>46209</v>
      </c>
      <c r="P2124" s="2">
        <v>46329</v>
      </c>
      <c r="R2124" t="s">
        <v>5874</v>
      </c>
      <c r="S2124" t="str">
        <f>""</f>
        <v/>
      </c>
      <c r="T2124" t="s">
        <v>41</v>
      </c>
      <c r="U2124">
        <v>3360</v>
      </c>
      <c r="V2124">
        <v>3323.04</v>
      </c>
      <c r="W2124">
        <v>3323.04</v>
      </c>
      <c r="X2124">
        <v>0</v>
      </c>
      <c r="Y2124">
        <v>0</v>
      </c>
      <c r="Z2124">
        <v>-554</v>
      </c>
      <c r="AA2124">
        <v>693729</v>
      </c>
      <c r="AD2124" t="s">
        <v>665</v>
      </c>
      <c r="AE2124" t="s">
        <v>2567</v>
      </c>
      <c r="AF2124" t="s">
        <v>665</v>
      </c>
      <c r="AG2124" s="1" t="s">
        <v>5869</v>
      </c>
      <c r="AH2124" t="s">
        <v>311</v>
      </c>
    </row>
    <row r="2125" spans="1:34" x14ac:dyDescent="0.3">
      <c r="A2125">
        <v>101</v>
      </c>
      <c r="B2125" t="s">
        <v>34</v>
      </c>
      <c r="C2125">
        <v>2</v>
      </c>
      <c r="D2125" s="1" t="s">
        <v>5875</v>
      </c>
      <c r="E2125" s="1" t="s">
        <v>36</v>
      </c>
      <c r="G2125">
        <v>459124</v>
      </c>
      <c r="H2125" t="s">
        <v>5867</v>
      </c>
      <c r="I2125" t="s">
        <v>2413</v>
      </c>
      <c r="J2125">
        <v>28</v>
      </c>
      <c r="K2125">
        <v>2695</v>
      </c>
      <c r="L2125">
        <v>95000</v>
      </c>
      <c r="M2125" t="s">
        <v>69</v>
      </c>
      <c r="N2125">
        <v>551</v>
      </c>
      <c r="O2125" s="2">
        <v>46203</v>
      </c>
      <c r="P2125" s="2">
        <v>46329</v>
      </c>
      <c r="R2125" t="s">
        <v>5876</v>
      </c>
      <c r="S2125" t="str">
        <f>""</f>
        <v/>
      </c>
      <c r="T2125" t="s">
        <v>41</v>
      </c>
      <c r="U2125">
        <v>4749.95</v>
      </c>
      <c r="V2125">
        <v>4697.7</v>
      </c>
      <c r="W2125">
        <v>4697.7</v>
      </c>
      <c r="X2125">
        <v>0</v>
      </c>
      <c r="Y2125">
        <v>0</v>
      </c>
      <c r="Z2125">
        <v>-554</v>
      </c>
      <c r="AA2125">
        <v>693602</v>
      </c>
      <c r="AD2125" t="s">
        <v>665</v>
      </c>
      <c r="AE2125" t="s">
        <v>2567</v>
      </c>
      <c r="AF2125" t="s">
        <v>665</v>
      </c>
      <c r="AG2125" s="1" t="s">
        <v>5869</v>
      </c>
      <c r="AH2125" t="s">
        <v>311</v>
      </c>
    </row>
    <row r="2126" spans="1:34" x14ac:dyDescent="0.3">
      <c r="A2126">
        <v>101</v>
      </c>
      <c r="B2126" t="s">
        <v>34</v>
      </c>
      <c r="C2126">
        <v>2</v>
      </c>
      <c r="D2126" s="1" t="s">
        <v>5877</v>
      </c>
      <c r="E2126" s="1" t="s">
        <v>36</v>
      </c>
      <c r="G2126">
        <v>459124</v>
      </c>
      <c r="H2126" t="s">
        <v>5867</v>
      </c>
      <c r="I2126" t="s">
        <v>2413</v>
      </c>
      <c r="J2126">
        <v>28</v>
      </c>
      <c r="K2126">
        <v>2695</v>
      </c>
      <c r="L2126">
        <v>95000</v>
      </c>
      <c r="M2126" t="s">
        <v>69</v>
      </c>
      <c r="N2126">
        <v>551</v>
      </c>
      <c r="O2126" s="2">
        <v>46185</v>
      </c>
      <c r="P2126" s="2">
        <v>46296</v>
      </c>
      <c r="R2126" t="s">
        <v>5878</v>
      </c>
      <c r="S2126" t="str">
        <f>""</f>
        <v/>
      </c>
      <c r="T2126" t="s">
        <v>41</v>
      </c>
      <c r="U2126">
        <v>12040.9</v>
      </c>
      <c r="V2126">
        <v>11908.45</v>
      </c>
      <c r="W2126">
        <v>11908.45</v>
      </c>
      <c r="X2126">
        <v>0</v>
      </c>
      <c r="Y2126">
        <v>0</v>
      </c>
      <c r="Z2126">
        <v>-521</v>
      </c>
      <c r="AA2126">
        <v>691119</v>
      </c>
      <c r="AD2126" t="s">
        <v>665</v>
      </c>
      <c r="AE2126" t="s">
        <v>2567</v>
      </c>
      <c r="AF2126" t="s">
        <v>665</v>
      </c>
      <c r="AG2126" s="1" t="s">
        <v>5869</v>
      </c>
      <c r="AH2126" t="s">
        <v>311</v>
      </c>
    </row>
    <row r="2127" spans="1:34" x14ac:dyDescent="0.3">
      <c r="A2127">
        <v>101</v>
      </c>
      <c r="B2127" t="s">
        <v>34</v>
      </c>
      <c r="C2127">
        <v>2</v>
      </c>
      <c r="D2127" s="1" t="s">
        <v>5879</v>
      </c>
      <c r="E2127" s="1" t="s">
        <v>36</v>
      </c>
      <c r="G2127">
        <v>459125</v>
      </c>
      <c r="H2127" t="s">
        <v>5880</v>
      </c>
      <c r="I2127" t="s">
        <v>2413</v>
      </c>
      <c r="J2127">
        <v>28</v>
      </c>
      <c r="K2127">
        <v>2695</v>
      </c>
      <c r="L2127">
        <v>95000</v>
      </c>
      <c r="M2127" t="s">
        <v>69</v>
      </c>
      <c r="N2127">
        <v>551</v>
      </c>
      <c r="O2127" s="2">
        <v>46203</v>
      </c>
      <c r="P2127" s="2">
        <v>46329</v>
      </c>
      <c r="R2127" t="s">
        <v>5881</v>
      </c>
      <c r="S2127" t="str">
        <f>""</f>
        <v/>
      </c>
      <c r="T2127" t="s">
        <v>41</v>
      </c>
      <c r="U2127">
        <v>12942.75</v>
      </c>
      <c r="V2127">
        <v>12800.38</v>
      </c>
      <c r="W2127">
        <v>12800.38</v>
      </c>
      <c r="X2127">
        <v>0</v>
      </c>
      <c r="Y2127">
        <v>0</v>
      </c>
      <c r="Z2127">
        <v>-554</v>
      </c>
      <c r="AA2127">
        <v>693604</v>
      </c>
      <c r="AD2127" t="s">
        <v>2750</v>
      </c>
      <c r="AE2127" t="s">
        <v>2567</v>
      </c>
      <c r="AF2127" t="s">
        <v>2750</v>
      </c>
      <c r="AG2127" s="1" t="s">
        <v>5882</v>
      </c>
      <c r="AH2127" t="s">
        <v>2745</v>
      </c>
    </row>
    <row r="2128" spans="1:34" x14ac:dyDescent="0.3">
      <c r="A2128">
        <v>101</v>
      </c>
      <c r="B2128" t="s">
        <v>34</v>
      </c>
      <c r="C2128">
        <v>2</v>
      </c>
      <c r="D2128" s="1" t="s">
        <v>5883</v>
      </c>
      <c r="E2128" s="1" t="s">
        <v>36</v>
      </c>
      <c r="G2128">
        <v>459125</v>
      </c>
      <c r="H2128" t="s">
        <v>5880</v>
      </c>
      <c r="I2128" t="s">
        <v>2413</v>
      </c>
      <c r="J2128">
        <v>28</v>
      </c>
      <c r="K2128">
        <v>2695</v>
      </c>
      <c r="L2128">
        <v>95000</v>
      </c>
      <c r="M2128" t="s">
        <v>69</v>
      </c>
      <c r="N2128">
        <v>551</v>
      </c>
      <c r="O2128" s="2">
        <v>46185</v>
      </c>
      <c r="P2128" s="2">
        <v>46296</v>
      </c>
      <c r="R2128" t="s">
        <v>5884</v>
      </c>
      <c r="S2128" t="str">
        <f>""</f>
        <v/>
      </c>
      <c r="T2128" t="s">
        <v>41</v>
      </c>
      <c r="U2128">
        <v>27613.42</v>
      </c>
      <c r="V2128">
        <v>27309.67</v>
      </c>
      <c r="W2128">
        <v>27309.67</v>
      </c>
      <c r="X2128">
        <v>0</v>
      </c>
      <c r="Y2128">
        <v>0</v>
      </c>
      <c r="Z2128">
        <v>-521</v>
      </c>
      <c r="AA2128">
        <v>691121</v>
      </c>
      <c r="AD2128" t="s">
        <v>2750</v>
      </c>
      <c r="AE2128" t="s">
        <v>2567</v>
      </c>
      <c r="AF2128" t="s">
        <v>2750</v>
      </c>
      <c r="AG2128" s="1" t="s">
        <v>5882</v>
      </c>
      <c r="AH2128" t="s">
        <v>2745</v>
      </c>
    </row>
    <row r="2129" spans="1:34" x14ac:dyDescent="0.3">
      <c r="A2129">
        <v>101</v>
      </c>
      <c r="B2129" t="s">
        <v>34</v>
      </c>
      <c r="C2129">
        <v>2</v>
      </c>
      <c r="D2129" s="1" t="s">
        <v>5885</v>
      </c>
      <c r="E2129" s="1" t="s">
        <v>36</v>
      </c>
      <c r="G2129">
        <v>459125</v>
      </c>
      <c r="H2129" t="s">
        <v>5880</v>
      </c>
      <c r="I2129" t="s">
        <v>2413</v>
      </c>
      <c r="J2129">
        <v>28</v>
      </c>
      <c r="K2129">
        <v>2695</v>
      </c>
      <c r="L2129">
        <v>95000</v>
      </c>
      <c r="M2129" t="s">
        <v>69</v>
      </c>
      <c r="N2129">
        <v>551</v>
      </c>
      <c r="O2129" s="2">
        <v>46209</v>
      </c>
      <c r="P2129" s="2">
        <v>46337</v>
      </c>
      <c r="R2129" t="s">
        <v>5886</v>
      </c>
      <c r="S2129" t="str">
        <f>""</f>
        <v/>
      </c>
      <c r="T2129" t="s">
        <v>41</v>
      </c>
      <c r="U2129">
        <v>6720</v>
      </c>
      <c r="V2129">
        <v>6646.08</v>
      </c>
      <c r="W2129">
        <v>6646.08</v>
      </c>
      <c r="X2129">
        <v>0</v>
      </c>
      <c r="Y2129">
        <v>0</v>
      </c>
      <c r="Z2129">
        <v>-562</v>
      </c>
      <c r="AA2129">
        <v>693731</v>
      </c>
      <c r="AD2129" t="s">
        <v>2750</v>
      </c>
      <c r="AE2129" t="s">
        <v>2567</v>
      </c>
      <c r="AF2129" t="s">
        <v>2750</v>
      </c>
      <c r="AG2129" s="1" t="s">
        <v>5882</v>
      </c>
      <c r="AH2129" t="s">
        <v>2745</v>
      </c>
    </row>
    <row r="2130" spans="1:34" x14ac:dyDescent="0.3">
      <c r="A2130">
        <v>101</v>
      </c>
      <c r="B2130" t="s">
        <v>34</v>
      </c>
      <c r="C2130">
        <v>2</v>
      </c>
      <c r="D2130" s="1" t="s">
        <v>5887</v>
      </c>
      <c r="E2130" s="1" t="s">
        <v>36</v>
      </c>
      <c r="G2130">
        <v>459125</v>
      </c>
      <c r="H2130" t="s">
        <v>5880</v>
      </c>
      <c r="I2130" t="s">
        <v>2413</v>
      </c>
      <c r="J2130">
        <v>28</v>
      </c>
      <c r="K2130">
        <v>2695</v>
      </c>
      <c r="L2130">
        <v>95000</v>
      </c>
      <c r="M2130" t="s">
        <v>69</v>
      </c>
      <c r="N2130">
        <v>551</v>
      </c>
      <c r="O2130" s="2">
        <v>46147</v>
      </c>
      <c r="P2130" s="2">
        <v>46266</v>
      </c>
      <c r="R2130" t="s">
        <v>5888</v>
      </c>
      <c r="S2130" t="str">
        <f>""</f>
        <v/>
      </c>
      <c r="T2130" t="s">
        <v>41</v>
      </c>
      <c r="U2130">
        <v>16494.07</v>
      </c>
      <c r="V2130">
        <v>16312.64</v>
      </c>
      <c r="W2130">
        <v>16312.64</v>
      </c>
      <c r="X2130">
        <v>0</v>
      </c>
      <c r="Y2130">
        <v>0</v>
      </c>
      <c r="Z2130">
        <v>-491</v>
      </c>
      <c r="AA2130">
        <v>687980</v>
      </c>
      <c r="AD2130" t="s">
        <v>2750</v>
      </c>
      <c r="AE2130" t="s">
        <v>2567</v>
      </c>
      <c r="AF2130" t="s">
        <v>2750</v>
      </c>
      <c r="AG2130" s="1" t="s">
        <v>5882</v>
      </c>
      <c r="AH2130" t="s">
        <v>2745</v>
      </c>
    </row>
    <row r="2131" spans="1:34" x14ac:dyDescent="0.3">
      <c r="A2131">
        <v>101</v>
      </c>
      <c r="B2131" t="s">
        <v>34</v>
      </c>
      <c r="C2131">
        <v>2</v>
      </c>
      <c r="D2131" s="1" t="s">
        <v>5889</v>
      </c>
      <c r="E2131" s="1" t="s">
        <v>36</v>
      </c>
      <c r="G2131">
        <v>459125</v>
      </c>
      <c r="H2131" t="s">
        <v>5880</v>
      </c>
      <c r="I2131" t="s">
        <v>2413</v>
      </c>
      <c r="J2131">
        <v>28</v>
      </c>
      <c r="K2131">
        <v>2695</v>
      </c>
      <c r="L2131">
        <v>95000</v>
      </c>
      <c r="M2131" t="s">
        <v>69</v>
      </c>
      <c r="N2131">
        <v>551</v>
      </c>
      <c r="O2131" s="2">
        <v>46233</v>
      </c>
      <c r="P2131" s="2">
        <v>46328</v>
      </c>
      <c r="R2131" t="s">
        <v>5890</v>
      </c>
      <c r="S2131" t="str">
        <f>""</f>
        <v/>
      </c>
      <c r="T2131" t="s">
        <v>41</v>
      </c>
      <c r="U2131">
        <v>68298.100000000006</v>
      </c>
      <c r="V2131">
        <v>67546.820000000007</v>
      </c>
      <c r="W2131">
        <v>67546.820000000007</v>
      </c>
      <c r="X2131">
        <v>0</v>
      </c>
      <c r="Y2131">
        <v>0</v>
      </c>
      <c r="Z2131">
        <v>-553</v>
      </c>
      <c r="AA2131">
        <v>695670</v>
      </c>
      <c r="AD2131" t="s">
        <v>2750</v>
      </c>
      <c r="AE2131" t="s">
        <v>2567</v>
      </c>
      <c r="AF2131" t="s">
        <v>2750</v>
      </c>
      <c r="AG2131" s="1" t="s">
        <v>5882</v>
      </c>
      <c r="AH2131" t="s">
        <v>2745</v>
      </c>
    </row>
    <row r="2132" spans="1:34" x14ac:dyDescent="0.3">
      <c r="A2132">
        <v>101</v>
      </c>
      <c r="B2132" t="s">
        <v>34</v>
      </c>
      <c r="C2132">
        <v>2</v>
      </c>
      <c r="D2132" s="1" t="s">
        <v>5891</v>
      </c>
      <c r="E2132" s="1" t="s">
        <v>36</v>
      </c>
      <c r="G2132">
        <v>459728</v>
      </c>
      <c r="H2132" t="s">
        <v>5892</v>
      </c>
      <c r="I2132" t="s">
        <v>2413</v>
      </c>
      <c r="J2132">
        <v>28</v>
      </c>
      <c r="K2132">
        <v>2695</v>
      </c>
      <c r="L2132">
        <v>95000</v>
      </c>
      <c r="M2132" t="s">
        <v>69</v>
      </c>
      <c r="N2132">
        <v>551</v>
      </c>
      <c r="O2132" s="2">
        <v>46134</v>
      </c>
      <c r="P2132" s="2">
        <v>46255</v>
      </c>
      <c r="R2132" t="s">
        <v>5893</v>
      </c>
      <c r="S2132" t="str">
        <f>""</f>
        <v/>
      </c>
      <c r="T2132" t="s">
        <v>41</v>
      </c>
      <c r="U2132">
        <v>12260.97</v>
      </c>
      <c r="V2132">
        <v>12126.1</v>
      </c>
      <c r="W2132">
        <v>12126.1</v>
      </c>
      <c r="X2132">
        <v>0</v>
      </c>
      <c r="Y2132">
        <v>0</v>
      </c>
      <c r="Z2132">
        <v>-480</v>
      </c>
      <c r="AA2132">
        <v>686025</v>
      </c>
      <c r="AD2132" t="s">
        <v>4751</v>
      </c>
      <c r="AE2132" t="s">
        <v>2567</v>
      </c>
      <c r="AF2132" t="s">
        <v>4751</v>
      </c>
      <c r="AG2132" s="1" t="s">
        <v>5894</v>
      </c>
      <c r="AH2132" t="s">
        <v>4754</v>
      </c>
    </row>
    <row r="2133" spans="1:34" x14ac:dyDescent="0.3">
      <c r="A2133">
        <v>101</v>
      </c>
      <c r="B2133" t="s">
        <v>34</v>
      </c>
      <c r="C2133">
        <v>2</v>
      </c>
      <c r="D2133" s="1" t="s">
        <v>5895</v>
      </c>
      <c r="E2133" s="1" t="s">
        <v>36</v>
      </c>
      <c r="G2133">
        <v>459728</v>
      </c>
      <c r="H2133" t="s">
        <v>5892</v>
      </c>
      <c r="I2133" t="s">
        <v>2413</v>
      </c>
      <c r="J2133">
        <v>28</v>
      </c>
      <c r="K2133">
        <v>2695</v>
      </c>
      <c r="L2133">
        <v>95000</v>
      </c>
      <c r="M2133" t="s">
        <v>69</v>
      </c>
      <c r="N2133">
        <v>551</v>
      </c>
      <c r="O2133" s="2">
        <v>46233</v>
      </c>
      <c r="P2133" s="2">
        <v>46328</v>
      </c>
      <c r="R2133" t="s">
        <v>5896</v>
      </c>
      <c r="S2133" t="str">
        <f>""</f>
        <v/>
      </c>
      <c r="T2133" t="s">
        <v>41</v>
      </c>
      <c r="U2133">
        <v>24635.85</v>
      </c>
      <c r="V2133">
        <v>24364.86</v>
      </c>
      <c r="W2133">
        <v>24364.86</v>
      </c>
      <c r="X2133">
        <v>0</v>
      </c>
      <c r="Y2133">
        <v>0</v>
      </c>
      <c r="Z2133">
        <v>-553</v>
      </c>
      <c r="AA2133">
        <v>695662</v>
      </c>
      <c r="AD2133" t="s">
        <v>4751</v>
      </c>
      <c r="AE2133" t="s">
        <v>2567</v>
      </c>
      <c r="AF2133" t="s">
        <v>4751</v>
      </c>
      <c r="AG2133" s="1" t="s">
        <v>5894</v>
      </c>
      <c r="AH2133" t="s">
        <v>4754</v>
      </c>
    </row>
    <row r="2134" spans="1:34" x14ac:dyDescent="0.3">
      <c r="A2134">
        <v>101</v>
      </c>
      <c r="B2134" t="s">
        <v>34</v>
      </c>
      <c r="C2134">
        <v>2</v>
      </c>
      <c r="D2134" s="1" t="s">
        <v>5897</v>
      </c>
      <c r="E2134" s="1" t="s">
        <v>36</v>
      </c>
      <c r="G2134">
        <v>459728</v>
      </c>
      <c r="H2134" t="s">
        <v>5892</v>
      </c>
      <c r="I2134" t="s">
        <v>2413</v>
      </c>
      <c r="J2134">
        <v>28</v>
      </c>
      <c r="K2134">
        <v>2695</v>
      </c>
      <c r="L2134">
        <v>95000</v>
      </c>
      <c r="M2134" t="s">
        <v>69</v>
      </c>
      <c r="N2134">
        <v>551</v>
      </c>
      <c r="O2134" s="2">
        <v>46168</v>
      </c>
      <c r="P2134" s="2">
        <v>46276</v>
      </c>
      <c r="R2134" t="s">
        <v>5898</v>
      </c>
      <c r="S2134" t="str">
        <f>""</f>
        <v/>
      </c>
      <c r="T2134" t="s">
        <v>41</v>
      </c>
      <c r="U2134">
        <v>8507.51</v>
      </c>
      <c r="V2134">
        <v>8413.93</v>
      </c>
      <c r="W2134">
        <v>8413.93</v>
      </c>
      <c r="X2134">
        <v>0</v>
      </c>
      <c r="Y2134">
        <v>0</v>
      </c>
      <c r="Z2134">
        <v>-501</v>
      </c>
      <c r="AA2134" t="s">
        <v>5899</v>
      </c>
      <c r="AD2134" t="s">
        <v>4751</v>
      </c>
      <c r="AE2134" t="s">
        <v>2567</v>
      </c>
      <c r="AF2134" t="s">
        <v>4751</v>
      </c>
      <c r="AG2134" s="1" t="s">
        <v>5894</v>
      </c>
      <c r="AH2134" t="s">
        <v>4754</v>
      </c>
    </row>
    <row r="2135" spans="1:34" x14ac:dyDescent="0.3">
      <c r="A2135">
        <v>101</v>
      </c>
      <c r="B2135" t="s">
        <v>34</v>
      </c>
      <c r="C2135">
        <v>2</v>
      </c>
      <c r="D2135" s="1" t="s">
        <v>5900</v>
      </c>
      <c r="E2135" s="1" t="s">
        <v>36</v>
      </c>
      <c r="G2135">
        <v>459728</v>
      </c>
      <c r="H2135" t="s">
        <v>5892</v>
      </c>
      <c r="I2135" t="s">
        <v>2413</v>
      </c>
      <c r="J2135">
        <v>28</v>
      </c>
      <c r="K2135">
        <v>2695</v>
      </c>
      <c r="L2135">
        <v>95000</v>
      </c>
      <c r="M2135" t="s">
        <v>69</v>
      </c>
      <c r="N2135">
        <v>551</v>
      </c>
      <c r="O2135" s="2">
        <v>46210</v>
      </c>
      <c r="P2135" s="2">
        <v>46329</v>
      </c>
      <c r="R2135" t="s">
        <v>5901</v>
      </c>
      <c r="S2135" t="str">
        <f>""</f>
        <v/>
      </c>
      <c r="T2135" t="s">
        <v>41</v>
      </c>
      <c r="U2135">
        <v>4357.5200000000004</v>
      </c>
      <c r="V2135">
        <v>4309.59</v>
      </c>
      <c r="W2135">
        <v>4309.59</v>
      </c>
      <c r="X2135">
        <v>0</v>
      </c>
      <c r="Y2135">
        <v>0</v>
      </c>
      <c r="Z2135">
        <v>-554</v>
      </c>
      <c r="AA2135">
        <v>693723</v>
      </c>
      <c r="AD2135" t="s">
        <v>4751</v>
      </c>
      <c r="AE2135" t="s">
        <v>2567</v>
      </c>
      <c r="AF2135" t="s">
        <v>4751</v>
      </c>
      <c r="AG2135" s="1" t="s">
        <v>5894</v>
      </c>
      <c r="AH2135" t="s">
        <v>4754</v>
      </c>
    </row>
    <row r="2136" spans="1:34" x14ac:dyDescent="0.3">
      <c r="A2136">
        <v>101</v>
      </c>
      <c r="B2136" t="s">
        <v>34</v>
      </c>
      <c r="C2136">
        <v>2</v>
      </c>
      <c r="D2136" s="1" t="s">
        <v>5902</v>
      </c>
      <c r="E2136" s="1" t="s">
        <v>36</v>
      </c>
      <c r="G2136">
        <v>459728</v>
      </c>
      <c r="H2136" t="s">
        <v>5892</v>
      </c>
      <c r="I2136" t="s">
        <v>2413</v>
      </c>
      <c r="J2136">
        <v>28</v>
      </c>
      <c r="K2136">
        <v>2695</v>
      </c>
      <c r="L2136">
        <v>95000</v>
      </c>
      <c r="M2136" t="s">
        <v>69</v>
      </c>
      <c r="N2136">
        <v>551</v>
      </c>
      <c r="O2136" s="2">
        <v>46203</v>
      </c>
      <c r="P2136" s="2">
        <v>46329</v>
      </c>
      <c r="R2136" t="s">
        <v>5903</v>
      </c>
      <c r="S2136" t="str">
        <f>""</f>
        <v/>
      </c>
      <c r="T2136" t="s">
        <v>41</v>
      </c>
      <c r="U2136">
        <v>7576.7</v>
      </c>
      <c r="V2136">
        <v>7493.36</v>
      </c>
      <c r="W2136">
        <v>7493.36</v>
      </c>
      <c r="X2136">
        <v>0</v>
      </c>
      <c r="Y2136">
        <v>0</v>
      </c>
      <c r="Z2136">
        <v>-554</v>
      </c>
      <c r="AA2136">
        <v>693596</v>
      </c>
      <c r="AD2136" t="s">
        <v>4751</v>
      </c>
      <c r="AE2136" t="s">
        <v>2567</v>
      </c>
      <c r="AF2136" t="s">
        <v>4751</v>
      </c>
      <c r="AG2136" s="1" t="s">
        <v>5894</v>
      </c>
      <c r="AH2136" t="s">
        <v>4754</v>
      </c>
    </row>
    <row r="2137" spans="1:34" x14ac:dyDescent="0.3">
      <c r="A2137">
        <v>101</v>
      </c>
      <c r="B2137" t="s">
        <v>34</v>
      </c>
      <c r="C2137">
        <v>2</v>
      </c>
      <c r="D2137" s="1" t="s">
        <v>5904</v>
      </c>
      <c r="E2137" s="1" t="s">
        <v>36</v>
      </c>
      <c r="G2137">
        <v>459728</v>
      </c>
      <c r="H2137" t="s">
        <v>5892</v>
      </c>
      <c r="I2137" t="s">
        <v>2413</v>
      </c>
      <c r="J2137">
        <v>28</v>
      </c>
      <c r="K2137">
        <v>2695</v>
      </c>
      <c r="L2137">
        <v>95000</v>
      </c>
      <c r="M2137" t="s">
        <v>69</v>
      </c>
      <c r="N2137">
        <v>551</v>
      </c>
      <c r="O2137" s="2">
        <v>46185</v>
      </c>
      <c r="P2137" s="2">
        <v>46308</v>
      </c>
      <c r="R2137" t="s">
        <v>5905</v>
      </c>
      <c r="S2137" t="str">
        <f>""</f>
        <v/>
      </c>
      <c r="T2137" t="s">
        <v>41</v>
      </c>
      <c r="U2137">
        <v>5152.01</v>
      </c>
      <c r="V2137">
        <v>5095.34</v>
      </c>
      <c r="W2137">
        <v>5095.34</v>
      </c>
      <c r="X2137">
        <v>0</v>
      </c>
      <c r="Y2137">
        <v>0</v>
      </c>
      <c r="Z2137">
        <v>-533</v>
      </c>
      <c r="AA2137">
        <v>691113</v>
      </c>
      <c r="AD2137" t="s">
        <v>4751</v>
      </c>
      <c r="AE2137" t="s">
        <v>2567</v>
      </c>
      <c r="AF2137" t="s">
        <v>4751</v>
      </c>
      <c r="AG2137" s="1" t="s">
        <v>5894</v>
      </c>
      <c r="AH2137" t="s">
        <v>4754</v>
      </c>
    </row>
    <row r="2138" spans="1:34" x14ac:dyDescent="0.3">
      <c r="A2138">
        <v>101</v>
      </c>
      <c r="B2138" t="s">
        <v>34</v>
      </c>
      <c r="C2138">
        <v>2</v>
      </c>
      <c r="D2138" s="1" t="s">
        <v>5906</v>
      </c>
      <c r="E2138" s="1" t="s">
        <v>36</v>
      </c>
      <c r="G2138">
        <v>459729</v>
      </c>
      <c r="H2138" t="s">
        <v>5907</v>
      </c>
      <c r="I2138" t="s">
        <v>2413</v>
      </c>
      <c r="J2138">
        <v>28</v>
      </c>
      <c r="K2138">
        <v>2695</v>
      </c>
      <c r="L2138">
        <v>95000</v>
      </c>
      <c r="M2138" t="s">
        <v>69</v>
      </c>
      <c r="N2138">
        <v>551</v>
      </c>
      <c r="O2138" s="2">
        <v>46203</v>
      </c>
      <c r="P2138" s="2">
        <v>46329</v>
      </c>
      <c r="R2138" t="s">
        <v>5908</v>
      </c>
      <c r="S2138" t="str">
        <f>""</f>
        <v/>
      </c>
      <c r="T2138" t="s">
        <v>41</v>
      </c>
      <c r="U2138">
        <v>1932.3</v>
      </c>
      <c r="V2138">
        <v>1911.04</v>
      </c>
      <c r="W2138">
        <v>1911.04</v>
      </c>
      <c r="X2138">
        <v>0</v>
      </c>
      <c r="Y2138">
        <v>0</v>
      </c>
      <c r="Z2138">
        <v>-554</v>
      </c>
      <c r="AA2138">
        <v>693600</v>
      </c>
      <c r="AD2138" t="s">
        <v>4751</v>
      </c>
      <c r="AE2138" t="s">
        <v>2567</v>
      </c>
      <c r="AF2138" t="s">
        <v>4751</v>
      </c>
      <c r="AG2138" s="1" t="s">
        <v>5909</v>
      </c>
      <c r="AH2138" t="s">
        <v>4754</v>
      </c>
    </row>
    <row r="2139" spans="1:34" x14ac:dyDescent="0.3">
      <c r="A2139">
        <v>101</v>
      </c>
      <c r="B2139" t="s">
        <v>34</v>
      </c>
      <c r="C2139">
        <v>2</v>
      </c>
      <c r="D2139" s="1" t="s">
        <v>5910</v>
      </c>
      <c r="E2139" s="1" t="s">
        <v>36</v>
      </c>
      <c r="G2139">
        <v>459729</v>
      </c>
      <c r="H2139" t="s">
        <v>5907</v>
      </c>
      <c r="I2139" t="s">
        <v>2413</v>
      </c>
      <c r="J2139">
        <v>28</v>
      </c>
      <c r="K2139">
        <v>2695</v>
      </c>
      <c r="L2139">
        <v>95000</v>
      </c>
      <c r="M2139" t="s">
        <v>69</v>
      </c>
      <c r="N2139">
        <v>551</v>
      </c>
      <c r="O2139" s="2">
        <v>46185</v>
      </c>
      <c r="P2139" s="2">
        <v>46296</v>
      </c>
      <c r="R2139" t="s">
        <v>5911</v>
      </c>
      <c r="S2139" t="str">
        <f>""</f>
        <v/>
      </c>
      <c r="T2139" t="s">
        <v>41</v>
      </c>
      <c r="U2139">
        <v>1824.3</v>
      </c>
      <c r="V2139">
        <v>1804.23</v>
      </c>
      <c r="W2139">
        <v>1804.23</v>
      </c>
      <c r="X2139">
        <v>0</v>
      </c>
      <c r="Y2139">
        <v>0</v>
      </c>
      <c r="Z2139">
        <v>-521</v>
      </c>
      <c r="AA2139">
        <v>691117</v>
      </c>
      <c r="AD2139" t="s">
        <v>4751</v>
      </c>
      <c r="AE2139" t="s">
        <v>2567</v>
      </c>
      <c r="AF2139" t="s">
        <v>4751</v>
      </c>
      <c r="AG2139" s="1" t="s">
        <v>5909</v>
      </c>
      <c r="AH2139" t="s">
        <v>4754</v>
      </c>
    </row>
    <row r="2140" spans="1:34" x14ac:dyDescent="0.3">
      <c r="A2140">
        <v>101</v>
      </c>
      <c r="B2140" t="s">
        <v>34</v>
      </c>
      <c r="C2140">
        <v>2</v>
      </c>
      <c r="D2140" s="1" t="s">
        <v>5912</v>
      </c>
      <c r="E2140" s="1" t="s">
        <v>36</v>
      </c>
      <c r="G2140">
        <v>459729</v>
      </c>
      <c r="H2140" t="s">
        <v>5907</v>
      </c>
      <c r="I2140" t="s">
        <v>2413</v>
      </c>
      <c r="J2140">
        <v>28</v>
      </c>
      <c r="K2140">
        <v>2695</v>
      </c>
      <c r="L2140">
        <v>95000</v>
      </c>
      <c r="M2140" t="s">
        <v>69</v>
      </c>
      <c r="N2140">
        <v>551</v>
      </c>
      <c r="O2140" s="2">
        <v>46209</v>
      </c>
      <c r="P2140" s="2">
        <v>46316</v>
      </c>
      <c r="R2140" t="s">
        <v>5913</v>
      </c>
      <c r="S2140" t="str">
        <f>""</f>
        <v/>
      </c>
      <c r="T2140" t="s">
        <v>41</v>
      </c>
      <c r="U2140">
        <v>6100.52</v>
      </c>
      <c r="V2140">
        <v>6033.41</v>
      </c>
      <c r="W2140">
        <v>6033.41</v>
      </c>
      <c r="X2140">
        <v>0</v>
      </c>
      <c r="Y2140">
        <v>0</v>
      </c>
      <c r="Z2140">
        <v>-541</v>
      </c>
      <c r="AA2140">
        <v>693727</v>
      </c>
      <c r="AD2140" t="s">
        <v>4751</v>
      </c>
      <c r="AE2140" t="s">
        <v>2567</v>
      </c>
      <c r="AF2140" t="s">
        <v>4751</v>
      </c>
      <c r="AG2140" s="1" t="s">
        <v>5909</v>
      </c>
      <c r="AH2140" t="s">
        <v>4754</v>
      </c>
    </row>
    <row r="2141" spans="1:34" x14ac:dyDescent="0.3">
      <c r="A2141">
        <v>101</v>
      </c>
      <c r="B2141" t="s">
        <v>34</v>
      </c>
      <c r="C2141">
        <v>2</v>
      </c>
      <c r="D2141" s="1" t="s">
        <v>5914</v>
      </c>
      <c r="E2141" s="1" t="s">
        <v>36</v>
      </c>
      <c r="G2141">
        <v>459729</v>
      </c>
      <c r="H2141" t="s">
        <v>5907</v>
      </c>
      <c r="I2141" t="s">
        <v>2413</v>
      </c>
      <c r="J2141">
        <v>28</v>
      </c>
      <c r="K2141">
        <v>2695</v>
      </c>
      <c r="L2141">
        <v>95000</v>
      </c>
      <c r="M2141" t="s">
        <v>69</v>
      </c>
      <c r="N2141">
        <v>551</v>
      </c>
      <c r="O2141" s="2">
        <v>46168</v>
      </c>
      <c r="P2141" s="2">
        <v>46276</v>
      </c>
      <c r="R2141" t="s">
        <v>5915</v>
      </c>
      <c r="S2141" t="str">
        <f>""</f>
        <v/>
      </c>
      <c r="T2141" t="s">
        <v>41</v>
      </c>
      <c r="U2141">
        <v>24668.22</v>
      </c>
      <c r="V2141">
        <v>24293.83</v>
      </c>
      <c r="W2141">
        <v>24293.83</v>
      </c>
      <c r="X2141">
        <v>0</v>
      </c>
      <c r="Y2141">
        <v>0</v>
      </c>
      <c r="Z2141">
        <v>-501</v>
      </c>
      <c r="AA2141" t="s">
        <v>5916</v>
      </c>
      <c r="AD2141" t="s">
        <v>4751</v>
      </c>
      <c r="AE2141" t="s">
        <v>2567</v>
      </c>
      <c r="AF2141" t="s">
        <v>4751</v>
      </c>
      <c r="AG2141" s="1" t="s">
        <v>5909</v>
      </c>
      <c r="AH2141" t="s">
        <v>4754</v>
      </c>
    </row>
    <row r="2142" spans="1:34" x14ac:dyDescent="0.3">
      <c r="A2142">
        <v>101</v>
      </c>
      <c r="B2142" t="s">
        <v>34</v>
      </c>
      <c r="C2142">
        <v>2</v>
      </c>
      <c r="D2142" s="1" t="s">
        <v>5917</v>
      </c>
      <c r="E2142" s="1" t="s">
        <v>36</v>
      </c>
      <c r="G2142">
        <v>459729</v>
      </c>
      <c r="H2142" t="s">
        <v>5907</v>
      </c>
      <c r="I2142" t="s">
        <v>2413</v>
      </c>
      <c r="J2142">
        <v>28</v>
      </c>
      <c r="K2142">
        <v>2695</v>
      </c>
      <c r="L2142">
        <v>95000</v>
      </c>
      <c r="M2142" t="s">
        <v>69</v>
      </c>
      <c r="N2142">
        <v>551</v>
      </c>
      <c r="O2142" s="2">
        <v>46233</v>
      </c>
      <c r="P2142" s="2">
        <v>46328</v>
      </c>
      <c r="R2142" t="s">
        <v>5918</v>
      </c>
      <c r="S2142" t="str">
        <f>""</f>
        <v/>
      </c>
      <c r="T2142" t="s">
        <v>41</v>
      </c>
      <c r="U2142">
        <v>36415.51</v>
      </c>
      <c r="V2142">
        <v>36014.94</v>
      </c>
      <c r="W2142">
        <v>36014.94</v>
      </c>
      <c r="X2142">
        <v>0</v>
      </c>
      <c r="Y2142">
        <v>0</v>
      </c>
      <c r="Z2142">
        <v>-553</v>
      </c>
      <c r="AA2142">
        <v>695666</v>
      </c>
      <c r="AD2142" t="s">
        <v>4751</v>
      </c>
      <c r="AE2142" t="s">
        <v>2567</v>
      </c>
      <c r="AF2142" t="s">
        <v>4751</v>
      </c>
      <c r="AG2142" s="1" t="s">
        <v>5909</v>
      </c>
      <c r="AH2142" t="s">
        <v>4754</v>
      </c>
    </row>
    <row r="2143" spans="1:34" x14ac:dyDescent="0.3">
      <c r="A2143">
        <v>101</v>
      </c>
      <c r="B2143" t="s">
        <v>34</v>
      </c>
      <c r="C2143">
        <v>2</v>
      </c>
      <c r="D2143" s="1" t="s">
        <v>5919</v>
      </c>
      <c r="E2143" s="1" t="s">
        <v>36</v>
      </c>
      <c r="G2143">
        <v>469430</v>
      </c>
      <c r="H2143" t="s">
        <v>5920</v>
      </c>
      <c r="I2143" t="s">
        <v>502</v>
      </c>
      <c r="J2143">
        <v>15</v>
      </c>
      <c r="K2143">
        <v>9321</v>
      </c>
      <c r="L2143">
        <v>95000</v>
      </c>
      <c r="M2143" t="s">
        <v>69</v>
      </c>
      <c r="N2143">
        <v>551</v>
      </c>
      <c r="O2143" s="2">
        <v>46163</v>
      </c>
      <c r="P2143" s="2">
        <v>46274</v>
      </c>
      <c r="R2143" t="s">
        <v>5921</v>
      </c>
      <c r="S2143" t="str">
        <f>""</f>
        <v/>
      </c>
      <c r="T2143" t="s">
        <v>41</v>
      </c>
      <c r="U2143">
        <v>2229.39</v>
      </c>
      <c r="V2143">
        <v>2229.39</v>
      </c>
      <c r="W2143">
        <v>2229.39</v>
      </c>
      <c r="X2143">
        <v>0</v>
      </c>
      <c r="Y2143">
        <v>0</v>
      </c>
      <c r="Z2143">
        <v>-499</v>
      </c>
      <c r="AA2143">
        <v>688642</v>
      </c>
      <c r="AD2143" t="s">
        <v>5808</v>
      </c>
      <c r="AE2143">
        <v>3121917800</v>
      </c>
      <c r="AF2143" t="s">
        <v>5808</v>
      </c>
      <c r="AG2143" s="1" t="s">
        <v>5922</v>
      </c>
      <c r="AH2143" t="s">
        <v>311</v>
      </c>
    </row>
    <row r="2144" spans="1:34" x14ac:dyDescent="0.3">
      <c r="A2144">
        <v>101</v>
      </c>
      <c r="B2144" t="s">
        <v>34</v>
      </c>
      <c r="C2144">
        <v>2</v>
      </c>
      <c r="D2144" s="1" t="s">
        <v>5923</v>
      </c>
      <c r="E2144" s="1" t="s">
        <v>36</v>
      </c>
      <c r="G2144">
        <v>469430</v>
      </c>
      <c r="H2144" t="s">
        <v>5920</v>
      </c>
      <c r="I2144" t="s">
        <v>502</v>
      </c>
      <c r="J2144">
        <v>15</v>
      </c>
      <c r="K2144">
        <v>9321</v>
      </c>
      <c r="L2144">
        <v>95000</v>
      </c>
      <c r="M2144" t="s">
        <v>69</v>
      </c>
      <c r="N2144">
        <v>551</v>
      </c>
      <c r="O2144" s="2">
        <v>46188</v>
      </c>
      <c r="P2144" s="2">
        <v>46288</v>
      </c>
      <c r="R2144" t="s">
        <v>5924</v>
      </c>
      <c r="S2144" t="str">
        <f>""</f>
        <v/>
      </c>
      <c r="T2144" t="s">
        <v>41</v>
      </c>
      <c r="U2144">
        <v>2044.66</v>
      </c>
      <c r="V2144">
        <v>2044.66</v>
      </c>
      <c r="W2144">
        <v>2044.66</v>
      </c>
      <c r="X2144">
        <v>0</v>
      </c>
      <c r="Y2144">
        <v>0</v>
      </c>
      <c r="Z2144">
        <v>-513</v>
      </c>
      <c r="AA2144">
        <v>690997</v>
      </c>
      <c r="AD2144" t="s">
        <v>5808</v>
      </c>
      <c r="AE2144">
        <v>3121917800</v>
      </c>
      <c r="AF2144" t="s">
        <v>5808</v>
      </c>
      <c r="AG2144" s="1" t="s">
        <v>5922</v>
      </c>
      <c r="AH2144" t="s">
        <v>311</v>
      </c>
    </row>
    <row r="2145" spans="1:34" x14ac:dyDescent="0.3">
      <c r="A2145">
        <v>101</v>
      </c>
      <c r="B2145" t="s">
        <v>34</v>
      </c>
      <c r="C2145">
        <v>2</v>
      </c>
      <c r="D2145" s="1" t="s">
        <v>5925</v>
      </c>
      <c r="E2145" s="1" t="s">
        <v>122</v>
      </c>
      <c r="G2145">
        <v>469446</v>
      </c>
      <c r="H2145" t="s">
        <v>5926</v>
      </c>
      <c r="I2145" t="s">
        <v>5927</v>
      </c>
      <c r="J2145">
        <v>15</v>
      </c>
      <c r="K2145">
        <v>469446</v>
      </c>
      <c r="L2145">
        <v>50001</v>
      </c>
      <c r="M2145" t="s">
        <v>39</v>
      </c>
      <c r="N2145">
        <v>551</v>
      </c>
      <c r="O2145" s="2">
        <v>46254</v>
      </c>
      <c r="P2145" s="2">
        <v>46289</v>
      </c>
      <c r="R2145" t="s">
        <v>5928</v>
      </c>
      <c r="S2145" t="str">
        <f>"25666160000051947"</f>
        <v>25666160000051947</v>
      </c>
      <c r="T2145" t="s">
        <v>41</v>
      </c>
      <c r="U2145">
        <v>2182.9499999999998</v>
      </c>
      <c r="V2145">
        <v>2182.9499999999998</v>
      </c>
      <c r="W2145">
        <v>2182.9499999999998</v>
      </c>
      <c r="X2145">
        <v>0</v>
      </c>
      <c r="Y2145">
        <v>0</v>
      </c>
      <c r="Z2145">
        <v>-514</v>
      </c>
      <c r="AA2145">
        <v>4517</v>
      </c>
      <c r="AD2145" t="s">
        <v>4675</v>
      </c>
      <c r="AE2145" t="s">
        <v>5929</v>
      </c>
      <c r="AF2145" t="s">
        <v>4675</v>
      </c>
      <c r="AG2145" s="1" t="s">
        <v>5930</v>
      </c>
      <c r="AH2145" t="s">
        <v>311</v>
      </c>
    </row>
    <row r="2146" spans="1:34" x14ac:dyDescent="0.3">
      <c r="A2146">
        <v>101</v>
      </c>
      <c r="B2146" t="s">
        <v>34</v>
      </c>
      <c r="C2146">
        <v>2</v>
      </c>
      <c r="D2146" s="1" t="s">
        <v>5925</v>
      </c>
      <c r="E2146" s="1" t="s">
        <v>116</v>
      </c>
      <c r="G2146">
        <v>469446</v>
      </c>
      <c r="H2146" t="s">
        <v>5926</v>
      </c>
      <c r="I2146" t="s">
        <v>5927</v>
      </c>
      <c r="J2146">
        <v>15</v>
      </c>
      <c r="K2146">
        <v>469446</v>
      </c>
      <c r="L2146">
        <v>50001</v>
      </c>
      <c r="M2146" t="s">
        <v>39</v>
      </c>
      <c r="N2146">
        <v>551</v>
      </c>
      <c r="O2146" s="2">
        <v>46254</v>
      </c>
      <c r="P2146" s="2">
        <v>46296</v>
      </c>
      <c r="R2146" t="s">
        <v>5928</v>
      </c>
      <c r="S2146" t="str">
        <f>"25666160000051948"</f>
        <v>25666160000051948</v>
      </c>
      <c r="T2146" t="s">
        <v>41</v>
      </c>
      <c r="U2146">
        <v>2183.6</v>
      </c>
      <c r="V2146">
        <v>2183.6</v>
      </c>
      <c r="W2146">
        <v>2183.6</v>
      </c>
      <c r="X2146">
        <v>0</v>
      </c>
      <c r="Y2146">
        <v>0</v>
      </c>
      <c r="Z2146">
        <v>-521</v>
      </c>
      <c r="AA2146">
        <v>4517</v>
      </c>
      <c r="AD2146" t="s">
        <v>4675</v>
      </c>
      <c r="AE2146" t="s">
        <v>5929</v>
      </c>
      <c r="AF2146" t="s">
        <v>4675</v>
      </c>
      <c r="AG2146" s="1" t="s">
        <v>5930</v>
      </c>
      <c r="AH2146" t="s">
        <v>311</v>
      </c>
    </row>
    <row r="2147" spans="1:34" x14ac:dyDescent="0.3">
      <c r="A2147">
        <v>101</v>
      </c>
      <c r="B2147" t="s">
        <v>34</v>
      </c>
      <c r="C2147">
        <v>2</v>
      </c>
      <c r="D2147" s="1" t="s">
        <v>5925</v>
      </c>
      <c r="E2147" s="1" t="s">
        <v>36</v>
      </c>
      <c r="G2147">
        <v>469446</v>
      </c>
      <c r="H2147" t="s">
        <v>5926</v>
      </c>
      <c r="I2147" t="s">
        <v>5927</v>
      </c>
      <c r="J2147">
        <v>15</v>
      </c>
      <c r="K2147">
        <v>469446</v>
      </c>
      <c r="L2147">
        <v>50001</v>
      </c>
      <c r="M2147" t="s">
        <v>39</v>
      </c>
      <c r="N2147">
        <v>551</v>
      </c>
      <c r="O2147" s="2">
        <v>46254</v>
      </c>
      <c r="P2147" s="2">
        <v>46282</v>
      </c>
      <c r="R2147" t="s">
        <v>5928</v>
      </c>
      <c r="S2147" t="str">
        <f>"25666160000051946"</f>
        <v>25666160000051946</v>
      </c>
      <c r="T2147" t="s">
        <v>41</v>
      </c>
      <c r="U2147">
        <v>2296.69</v>
      </c>
      <c r="V2147">
        <v>2296.69</v>
      </c>
      <c r="W2147">
        <v>2296.69</v>
      </c>
      <c r="X2147">
        <v>0</v>
      </c>
      <c r="Y2147">
        <v>0</v>
      </c>
      <c r="Z2147">
        <v>-507</v>
      </c>
      <c r="AA2147">
        <v>4517</v>
      </c>
      <c r="AD2147" t="s">
        <v>4675</v>
      </c>
      <c r="AE2147" t="s">
        <v>5929</v>
      </c>
      <c r="AF2147" t="s">
        <v>4675</v>
      </c>
      <c r="AG2147" s="1" t="s">
        <v>5930</v>
      </c>
      <c r="AH2147" t="s">
        <v>311</v>
      </c>
    </row>
    <row r="2148" spans="1:34" x14ac:dyDescent="0.3">
      <c r="A2148">
        <v>101</v>
      </c>
      <c r="B2148" t="s">
        <v>34</v>
      </c>
      <c r="C2148">
        <v>2</v>
      </c>
      <c r="D2148" s="1" t="s">
        <v>5931</v>
      </c>
      <c r="E2148" s="1" t="s">
        <v>36</v>
      </c>
      <c r="G2148">
        <v>469446</v>
      </c>
      <c r="H2148" t="s">
        <v>5926</v>
      </c>
      <c r="I2148" t="s">
        <v>5927</v>
      </c>
      <c r="J2148">
        <v>15</v>
      </c>
      <c r="K2148">
        <v>469446</v>
      </c>
      <c r="L2148">
        <v>50001</v>
      </c>
      <c r="M2148" t="s">
        <v>39</v>
      </c>
      <c r="N2148">
        <v>551</v>
      </c>
      <c r="O2148" s="2">
        <v>46254</v>
      </c>
      <c r="P2148" s="2">
        <v>46282</v>
      </c>
      <c r="R2148" t="s">
        <v>5932</v>
      </c>
      <c r="S2148" t="str">
        <f>"25666160000051943"</f>
        <v>25666160000051943</v>
      </c>
      <c r="T2148" t="s">
        <v>41</v>
      </c>
      <c r="U2148">
        <v>649</v>
      </c>
      <c r="V2148">
        <v>649</v>
      </c>
      <c r="W2148">
        <v>649</v>
      </c>
      <c r="X2148">
        <v>0</v>
      </c>
      <c r="Y2148">
        <v>0</v>
      </c>
      <c r="Z2148">
        <v>-507</v>
      </c>
      <c r="AA2148">
        <v>4517</v>
      </c>
      <c r="AD2148" t="s">
        <v>4675</v>
      </c>
      <c r="AE2148" t="s">
        <v>5929</v>
      </c>
      <c r="AF2148" t="s">
        <v>4675</v>
      </c>
      <c r="AG2148" s="1" t="s">
        <v>5930</v>
      </c>
      <c r="AH2148" t="s">
        <v>311</v>
      </c>
    </row>
    <row r="2149" spans="1:34" x14ac:dyDescent="0.3">
      <c r="A2149">
        <v>101</v>
      </c>
      <c r="B2149" t="s">
        <v>34</v>
      </c>
      <c r="C2149">
        <v>2</v>
      </c>
      <c r="D2149" s="1" t="s">
        <v>5931</v>
      </c>
      <c r="E2149" s="1" t="s">
        <v>116</v>
      </c>
      <c r="G2149">
        <v>469446</v>
      </c>
      <c r="H2149" t="s">
        <v>5926</v>
      </c>
      <c r="I2149" t="s">
        <v>5927</v>
      </c>
      <c r="J2149">
        <v>15</v>
      </c>
      <c r="K2149">
        <v>469446</v>
      </c>
      <c r="L2149">
        <v>50001</v>
      </c>
      <c r="M2149" t="s">
        <v>39</v>
      </c>
      <c r="N2149">
        <v>551</v>
      </c>
      <c r="O2149" s="2">
        <v>46254</v>
      </c>
      <c r="P2149" s="2">
        <v>46296</v>
      </c>
      <c r="R2149" t="s">
        <v>5932</v>
      </c>
      <c r="S2149" t="str">
        <f>"25666160000051945"</f>
        <v>25666160000051945</v>
      </c>
      <c r="T2149" t="s">
        <v>41</v>
      </c>
      <c r="U2149">
        <v>649.20000000000005</v>
      </c>
      <c r="V2149">
        <v>649.20000000000005</v>
      </c>
      <c r="W2149">
        <v>649.20000000000005</v>
      </c>
      <c r="X2149">
        <v>0</v>
      </c>
      <c r="Y2149">
        <v>0</v>
      </c>
      <c r="Z2149">
        <v>-521</v>
      </c>
      <c r="AA2149">
        <v>4517</v>
      </c>
      <c r="AD2149" t="s">
        <v>4675</v>
      </c>
      <c r="AE2149" t="s">
        <v>5929</v>
      </c>
      <c r="AF2149" t="s">
        <v>4675</v>
      </c>
      <c r="AG2149" s="1" t="s">
        <v>5930</v>
      </c>
      <c r="AH2149" t="s">
        <v>311</v>
      </c>
    </row>
    <row r="2150" spans="1:34" x14ac:dyDescent="0.3">
      <c r="A2150">
        <v>101</v>
      </c>
      <c r="B2150" t="s">
        <v>34</v>
      </c>
      <c r="C2150">
        <v>2</v>
      </c>
      <c r="D2150" s="1" t="s">
        <v>5931</v>
      </c>
      <c r="E2150" s="1" t="s">
        <v>122</v>
      </c>
      <c r="G2150">
        <v>469446</v>
      </c>
      <c r="H2150" t="s">
        <v>5926</v>
      </c>
      <c r="I2150" t="s">
        <v>5927</v>
      </c>
      <c r="J2150">
        <v>15</v>
      </c>
      <c r="K2150">
        <v>469446</v>
      </c>
      <c r="L2150">
        <v>50001</v>
      </c>
      <c r="M2150" t="s">
        <v>39</v>
      </c>
      <c r="N2150">
        <v>551</v>
      </c>
      <c r="O2150" s="2">
        <v>46254</v>
      </c>
      <c r="P2150" s="2">
        <v>46289</v>
      </c>
      <c r="R2150" t="s">
        <v>5932</v>
      </c>
      <c r="S2150" t="str">
        <f>"25666160000051944"</f>
        <v>25666160000051944</v>
      </c>
      <c r="T2150" t="s">
        <v>41</v>
      </c>
      <c r="U2150">
        <v>649</v>
      </c>
      <c r="V2150">
        <v>649</v>
      </c>
      <c r="W2150">
        <v>649</v>
      </c>
      <c r="X2150">
        <v>0</v>
      </c>
      <c r="Y2150">
        <v>0</v>
      </c>
      <c r="Z2150">
        <v>-514</v>
      </c>
      <c r="AA2150">
        <v>4517</v>
      </c>
      <c r="AD2150" t="s">
        <v>4675</v>
      </c>
      <c r="AE2150" t="s">
        <v>5929</v>
      </c>
      <c r="AF2150" t="s">
        <v>4675</v>
      </c>
      <c r="AG2150" s="1" t="s">
        <v>5930</v>
      </c>
      <c r="AH2150" t="s">
        <v>311</v>
      </c>
    </row>
    <row r="2151" spans="1:34" x14ac:dyDescent="0.3">
      <c r="A2151">
        <v>101</v>
      </c>
      <c r="B2151" t="s">
        <v>34</v>
      </c>
      <c r="C2151">
        <v>2</v>
      </c>
      <c r="D2151" s="1" t="s">
        <v>5933</v>
      </c>
      <c r="E2151" s="1" t="s">
        <v>36</v>
      </c>
      <c r="G2151">
        <v>469525</v>
      </c>
      <c r="H2151" t="s">
        <v>5934</v>
      </c>
      <c r="I2151" t="s">
        <v>5821</v>
      </c>
      <c r="J2151">
        <v>12</v>
      </c>
      <c r="K2151">
        <v>454745</v>
      </c>
      <c r="L2151">
        <v>50341</v>
      </c>
      <c r="M2151" t="s">
        <v>146</v>
      </c>
      <c r="N2151">
        <v>551</v>
      </c>
      <c r="O2151" s="2">
        <v>46234</v>
      </c>
      <c r="P2151" s="2">
        <v>46279</v>
      </c>
      <c r="R2151" t="s">
        <v>5935</v>
      </c>
      <c r="S2151" t="str">
        <f>"00013530"</f>
        <v>00013530</v>
      </c>
      <c r="T2151" t="s">
        <v>41</v>
      </c>
      <c r="U2151">
        <v>1403.28</v>
      </c>
      <c r="V2151">
        <v>1361.18</v>
      </c>
      <c r="W2151">
        <v>1361.18</v>
      </c>
      <c r="X2151">
        <v>0</v>
      </c>
      <c r="Y2151">
        <v>0</v>
      </c>
      <c r="Z2151">
        <v>-504</v>
      </c>
      <c r="AA2151">
        <v>4089</v>
      </c>
      <c r="AD2151" t="s">
        <v>665</v>
      </c>
      <c r="AE2151" t="s">
        <v>5936</v>
      </c>
      <c r="AF2151" t="s">
        <v>665</v>
      </c>
      <c r="AG2151">
        <v>40693341000538</v>
      </c>
      <c r="AH2151" t="s">
        <v>311</v>
      </c>
    </row>
    <row r="2152" spans="1:34" x14ac:dyDescent="0.3">
      <c r="A2152">
        <v>101</v>
      </c>
      <c r="B2152" t="s">
        <v>34</v>
      </c>
      <c r="C2152">
        <v>2</v>
      </c>
      <c r="D2152" s="1" t="s">
        <v>5937</v>
      </c>
      <c r="E2152" s="1" t="s">
        <v>36</v>
      </c>
      <c r="G2152">
        <v>469525</v>
      </c>
      <c r="H2152" t="s">
        <v>5934</v>
      </c>
      <c r="I2152" t="s">
        <v>5821</v>
      </c>
      <c r="J2152">
        <v>12</v>
      </c>
      <c r="K2152">
        <v>454745</v>
      </c>
      <c r="L2152">
        <v>50341</v>
      </c>
      <c r="M2152" t="s">
        <v>146</v>
      </c>
      <c r="N2152">
        <v>551</v>
      </c>
      <c r="O2152" s="2">
        <v>46234</v>
      </c>
      <c r="P2152" s="2">
        <v>46279</v>
      </c>
      <c r="R2152" t="s">
        <v>5938</v>
      </c>
      <c r="S2152" t="str">
        <f>"00013529"</f>
        <v>00013529</v>
      </c>
      <c r="T2152" t="s">
        <v>41</v>
      </c>
      <c r="U2152">
        <v>5414.84</v>
      </c>
      <c r="V2152">
        <v>5252.39</v>
      </c>
      <c r="W2152">
        <v>5252.39</v>
      </c>
      <c r="X2152">
        <v>0</v>
      </c>
      <c r="Y2152">
        <v>0</v>
      </c>
      <c r="Z2152">
        <v>-504</v>
      </c>
      <c r="AA2152">
        <v>1920</v>
      </c>
      <c r="AD2152" t="s">
        <v>665</v>
      </c>
      <c r="AE2152" t="s">
        <v>5936</v>
      </c>
      <c r="AF2152" t="s">
        <v>665</v>
      </c>
      <c r="AG2152">
        <v>40693341000538</v>
      </c>
      <c r="AH2152" t="s">
        <v>311</v>
      </c>
    </row>
    <row r="2153" spans="1:34" x14ac:dyDescent="0.3">
      <c r="A2153">
        <v>101</v>
      </c>
      <c r="B2153" t="s">
        <v>34</v>
      </c>
      <c r="C2153">
        <v>2</v>
      </c>
      <c r="D2153" s="1" t="s">
        <v>5939</v>
      </c>
      <c r="E2153" s="1" t="s">
        <v>36</v>
      </c>
      <c r="G2153">
        <v>469955</v>
      </c>
      <c r="H2153" t="s">
        <v>5940</v>
      </c>
      <c r="I2153" t="s">
        <v>2413</v>
      </c>
      <c r="J2153">
        <v>28</v>
      </c>
      <c r="K2153">
        <v>2695</v>
      </c>
      <c r="L2153">
        <v>95000</v>
      </c>
      <c r="M2153" t="s">
        <v>69</v>
      </c>
      <c r="N2153">
        <v>551</v>
      </c>
      <c r="O2153" s="2">
        <v>46168</v>
      </c>
      <c r="P2153" s="2">
        <v>46286</v>
      </c>
      <c r="R2153" t="s">
        <v>5941</v>
      </c>
      <c r="S2153" t="str">
        <f>""</f>
        <v/>
      </c>
      <c r="T2153" t="s">
        <v>41</v>
      </c>
      <c r="U2153">
        <v>6049.4</v>
      </c>
      <c r="V2153">
        <v>5982.86</v>
      </c>
      <c r="W2153">
        <v>5982.86</v>
      </c>
      <c r="X2153">
        <v>0</v>
      </c>
      <c r="Y2153">
        <v>0</v>
      </c>
      <c r="Z2153">
        <v>-511</v>
      </c>
      <c r="AA2153" t="s">
        <v>5942</v>
      </c>
      <c r="AD2153" t="s">
        <v>5463</v>
      </c>
      <c r="AF2153" t="s">
        <v>5463</v>
      </c>
      <c r="AG2153" s="1" t="s">
        <v>5943</v>
      </c>
      <c r="AH2153" t="s">
        <v>311</v>
      </c>
    </row>
    <row r="2154" spans="1:34" x14ac:dyDescent="0.3">
      <c r="A2154">
        <v>101</v>
      </c>
      <c r="B2154" t="s">
        <v>34</v>
      </c>
      <c r="C2154">
        <v>2</v>
      </c>
      <c r="D2154" s="1" t="s">
        <v>5944</v>
      </c>
      <c r="E2154" s="1" t="s">
        <v>36</v>
      </c>
      <c r="G2154">
        <v>469955</v>
      </c>
      <c r="H2154" t="s">
        <v>5940</v>
      </c>
      <c r="I2154" t="s">
        <v>2413</v>
      </c>
      <c r="J2154">
        <v>28</v>
      </c>
      <c r="K2154">
        <v>2695</v>
      </c>
      <c r="L2154">
        <v>95000</v>
      </c>
      <c r="M2154" t="s">
        <v>69</v>
      </c>
      <c r="N2154">
        <v>551</v>
      </c>
      <c r="O2154" s="2">
        <v>46233</v>
      </c>
      <c r="P2154" s="2">
        <v>46337</v>
      </c>
      <c r="R2154" t="s">
        <v>5945</v>
      </c>
      <c r="S2154" t="str">
        <f>""</f>
        <v/>
      </c>
      <c r="T2154" t="s">
        <v>41</v>
      </c>
      <c r="U2154">
        <v>13075.02</v>
      </c>
      <c r="V2154">
        <v>12931.19</v>
      </c>
      <c r="W2154">
        <v>12931.19</v>
      </c>
      <c r="X2154">
        <v>0</v>
      </c>
      <c r="Y2154">
        <v>0</v>
      </c>
      <c r="Z2154">
        <v>-562</v>
      </c>
      <c r="AA2154">
        <v>695674</v>
      </c>
      <c r="AD2154" t="s">
        <v>5463</v>
      </c>
      <c r="AF2154" t="s">
        <v>5463</v>
      </c>
      <c r="AG2154" s="1" t="s">
        <v>5943</v>
      </c>
      <c r="AH2154" t="s">
        <v>311</v>
      </c>
    </row>
    <row r="2155" spans="1:34" x14ac:dyDescent="0.3">
      <c r="A2155">
        <v>101</v>
      </c>
      <c r="B2155" t="s">
        <v>34</v>
      </c>
      <c r="C2155">
        <v>2</v>
      </c>
      <c r="D2155" s="1" t="s">
        <v>5946</v>
      </c>
      <c r="E2155" s="1" t="s">
        <v>36</v>
      </c>
      <c r="G2155">
        <v>469955</v>
      </c>
      <c r="H2155" t="s">
        <v>5940</v>
      </c>
      <c r="I2155" t="s">
        <v>2413</v>
      </c>
      <c r="J2155">
        <v>28</v>
      </c>
      <c r="K2155">
        <v>2695</v>
      </c>
      <c r="L2155">
        <v>95000</v>
      </c>
      <c r="M2155" t="s">
        <v>69</v>
      </c>
      <c r="N2155">
        <v>551</v>
      </c>
      <c r="O2155" s="2">
        <v>46185</v>
      </c>
      <c r="P2155" s="2">
        <v>46308</v>
      </c>
      <c r="R2155" t="s">
        <v>5947</v>
      </c>
      <c r="S2155" t="str">
        <f>""</f>
        <v/>
      </c>
      <c r="T2155" t="s">
        <v>41</v>
      </c>
      <c r="U2155">
        <v>5345.85</v>
      </c>
      <c r="V2155">
        <v>5287.05</v>
      </c>
      <c r="W2155">
        <v>5287.05</v>
      </c>
      <c r="X2155">
        <v>0</v>
      </c>
      <c r="Y2155">
        <v>0</v>
      </c>
      <c r="Z2155">
        <v>-533</v>
      </c>
      <c r="AA2155">
        <v>691125</v>
      </c>
      <c r="AD2155" t="s">
        <v>5463</v>
      </c>
      <c r="AF2155" t="s">
        <v>5463</v>
      </c>
      <c r="AG2155" s="1" t="s">
        <v>5943</v>
      </c>
      <c r="AH2155" t="s">
        <v>311</v>
      </c>
    </row>
    <row r="2156" spans="1:34" x14ac:dyDescent="0.3">
      <c r="A2156">
        <v>101</v>
      </c>
      <c r="B2156" t="s">
        <v>34</v>
      </c>
      <c r="C2156">
        <v>2</v>
      </c>
      <c r="D2156" s="1" t="s">
        <v>5948</v>
      </c>
      <c r="E2156" s="1" t="s">
        <v>36</v>
      </c>
      <c r="G2156">
        <v>469955</v>
      </c>
      <c r="H2156" t="s">
        <v>5940</v>
      </c>
      <c r="I2156" t="s">
        <v>2413</v>
      </c>
      <c r="J2156">
        <v>28</v>
      </c>
      <c r="K2156">
        <v>2695</v>
      </c>
      <c r="L2156">
        <v>95000</v>
      </c>
      <c r="M2156" t="s">
        <v>69</v>
      </c>
      <c r="N2156">
        <v>551</v>
      </c>
      <c r="O2156" s="2">
        <v>46203</v>
      </c>
      <c r="P2156" s="2">
        <v>46337</v>
      </c>
      <c r="R2156" t="s">
        <v>5949</v>
      </c>
      <c r="S2156" t="str">
        <f>""</f>
        <v/>
      </c>
      <c r="T2156" t="s">
        <v>41</v>
      </c>
      <c r="U2156">
        <v>2238.25</v>
      </c>
      <c r="V2156">
        <v>2213.63</v>
      </c>
      <c r="W2156">
        <v>2213.63</v>
      </c>
      <c r="X2156">
        <v>0</v>
      </c>
      <c r="Y2156">
        <v>0</v>
      </c>
      <c r="Z2156">
        <v>-562</v>
      </c>
      <c r="AA2156">
        <v>693608</v>
      </c>
      <c r="AD2156" t="s">
        <v>5463</v>
      </c>
      <c r="AF2156" t="s">
        <v>5463</v>
      </c>
      <c r="AG2156" s="1" t="s">
        <v>5943</v>
      </c>
      <c r="AH2156" t="s">
        <v>311</v>
      </c>
    </row>
    <row r="2157" spans="1:34" x14ac:dyDescent="0.3">
      <c r="A2157">
        <v>101</v>
      </c>
      <c r="B2157" t="s">
        <v>34</v>
      </c>
      <c r="C2157">
        <v>2</v>
      </c>
      <c r="D2157" s="1" t="s">
        <v>5950</v>
      </c>
      <c r="E2157" s="1" t="s">
        <v>36</v>
      </c>
      <c r="G2157">
        <v>469955</v>
      </c>
      <c r="H2157" t="s">
        <v>5940</v>
      </c>
      <c r="I2157" t="s">
        <v>2413</v>
      </c>
      <c r="J2157">
        <v>28</v>
      </c>
      <c r="K2157">
        <v>2695</v>
      </c>
      <c r="L2157">
        <v>95000</v>
      </c>
      <c r="M2157" t="s">
        <v>69</v>
      </c>
      <c r="N2157">
        <v>551</v>
      </c>
      <c r="O2157" s="2">
        <v>46209</v>
      </c>
      <c r="P2157" s="2">
        <v>46337</v>
      </c>
      <c r="R2157" t="s">
        <v>5951</v>
      </c>
      <c r="S2157" t="str">
        <f>""</f>
        <v/>
      </c>
      <c r="T2157" t="s">
        <v>41</v>
      </c>
      <c r="U2157">
        <v>2016</v>
      </c>
      <c r="V2157">
        <v>1993.82</v>
      </c>
      <c r="W2157">
        <v>1993.82</v>
      </c>
      <c r="X2157">
        <v>0</v>
      </c>
      <c r="Y2157">
        <v>0</v>
      </c>
      <c r="Z2157">
        <v>-562</v>
      </c>
      <c r="AA2157">
        <v>693735</v>
      </c>
      <c r="AD2157" t="s">
        <v>5463</v>
      </c>
      <c r="AF2157" t="s">
        <v>5463</v>
      </c>
      <c r="AG2157" s="1" t="s">
        <v>5943</v>
      </c>
      <c r="AH2157" t="s">
        <v>311</v>
      </c>
    </row>
    <row r="2158" spans="1:34" x14ac:dyDescent="0.3">
      <c r="A2158">
        <v>101</v>
      </c>
      <c r="B2158" t="s">
        <v>34</v>
      </c>
      <c r="C2158">
        <v>2</v>
      </c>
      <c r="D2158" s="1" t="s">
        <v>5952</v>
      </c>
      <c r="E2158" s="1" t="s">
        <v>36</v>
      </c>
      <c r="G2158">
        <v>469956</v>
      </c>
      <c r="H2158" t="s">
        <v>5953</v>
      </c>
      <c r="I2158" t="s">
        <v>2413</v>
      </c>
      <c r="J2158">
        <v>28</v>
      </c>
      <c r="K2158">
        <v>2695</v>
      </c>
      <c r="L2158">
        <v>95000</v>
      </c>
      <c r="M2158" t="s">
        <v>69</v>
      </c>
      <c r="N2158">
        <v>551</v>
      </c>
      <c r="O2158" s="2">
        <v>46185</v>
      </c>
      <c r="P2158" s="2">
        <v>46308</v>
      </c>
      <c r="R2158" t="s">
        <v>5954</v>
      </c>
      <c r="S2158" t="str">
        <f>""</f>
        <v/>
      </c>
      <c r="T2158" t="s">
        <v>41</v>
      </c>
      <c r="U2158">
        <v>10358.950000000001</v>
      </c>
      <c r="V2158">
        <v>10245</v>
      </c>
      <c r="W2158">
        <v>10245</v>
      </c>
      <c r="X2158">
        <v>0</v>
      </c>
      <c r="Y2158">
        <v>0</v>
      </c>
      <c r="Z2158">
        <v>-533</v>
      </c>
      <c r="AA2158">
        <v>691123</v>
      </c>
      <c r="AD2158" t="s">
        <v>2792</v>
      </c>
      <c r="AE2158" t="s">
        <v>2567</v>
      </c>
      <c r="AF2158" t="s">
        <v>2792</v>
      </c>
      <c r="AG2158" s="1" t="s">
        <v>5955</v>
      </c>
      <c r="AH2158" t="s">
        <v>2745</v>
      </c>
    </row>
    <row r="2159" spans="1:34" x14ac:dyDescent="0.3">
      <c r="A2159">
        <v>101</v>
      </c>
      <c r="B2159" t="s">
        <v>34</v>
      </c>
      <c r="C2159">
        <v>2</v>
      </c>
      <c r="D2159" s="1" t="s">
        <v>5956</v>
      </c>
      <c r="E2159" s="1" t="s">
        <v>36</v>
      </c>
      <c r="G2159">
        <v>469956</v>
      </c>
      <c r="H2159" t="s">
        <v>5953</v>
      </c>
      <c r="I2159" t="s">
        <v>2413</v>
      </c>
      <c r="J2159">
        <v>28</v>
      </c>
      <c r="K2159">
        <v>2695</v>
      </c>
      <c r="L2159">
        <v>95000</v>
      </c>
      <c r="M2159" t="s">
        <v>69</v>
      </c>
      <c r="N2159">
        <v>551</v>
      </c>
      <c r="O2159" s="2">
        <v>46203</v>
      </c>
      <c r="P2159" s="2">
        <v>46329</v>
      </c>
      <c r="R2159" t="s">
        <v>5957</v>
      </c>
      <c r="S2159" t="str">
        <f>""</f>
        <v/>
      </c>
      <c r="T2159" t="s">
        <v>41</v>
      </c>
      <c r="U2159">
        <v>3976.2</v>
      </c>
      <c r="V2159">
        <v>3932.46</v>
      </c>
      <c r="W2159">
        <v>3932.46</v>
      </c>
      <c r="X2159">
        <v>0</v>
      </c>
      <c r="Y2159">
        <v>0</v>
      </c>
      <c r="Z2159">
        <v>-554</v>
      </c>
      <c r="AA2159">
        <v>693606</v>
      </c>
      <c r="AD2159" t="s">
        <v>2792</v>
      </c>
      <c r="AE2159" t="s">
        <v>2567</v>
      </c>
      <c r="AF2159" t="s">
        <v>2792</v>
      </c>
      <c r="AG2159" s="1" t="s">
        <v>5955</v>
      </c>
      <c r="AH2159" t="s">
        <v>2745</v>
      </c>
    </row>
    <row r="2160" spans="1:34" x14ac:dyDescent="0.3">
      <c r="A2160">
        <v>101</v>
      </c>
      <c r="B2160" t="s">
        <v>34</v>
      </c>
      <c r="C2160">
        <v>2</v>
      </c>
      <c r="D2160" s="1" t="s">
        <v>5958</v>
      </c>
      <c r="E2160" s="1" t="s">
        <v>36</v>
      </c>
      <c r="G2160">
        <v>469956</v>
      </c>
      <c r="H2160" t="s">
        <v>5953</v>
      </c>
      <c r="I2160" t="s">
        <v>2413</v>
      </c>
      <c r="J2160">
        <v>28</v>
      </c>
      <c r="K2160">
        <v>2695</v>
      </c>
      <c r="L2160">
        <v>95000</v>
      </c>
      <c r="M2160" t="s">
        <v>69</v>
      </c>
      <c r="N2160">
        <v>551</v>
      </c>
      <c r="O2160" s="2">
        <v>46233</v>
      </c>
      <c r="P2160" s="2">
        <v>46328</v>
      </c>
      <c r="R2160" t="s">
        <v>5959</v>
      </c>
      <c r="S2160" t="str">
        <f>""</f>
        <v/>
      </c>
      <c r="T2160" t="s">
        <v>41</v>
      </c>
      <c r="U2160">
        <v>25770.42</v>
      </c>
      <c r="V2160">
        <v>25486.95</v>
      </c>
      <c r="W2160">
        <v>25486.95</v>
      </c>
      <c r="X2160">
        <v>0</v>
      </c>
      <c r="Y2160">
        <v>0</v>
      </c>
      <c r="Z2160">
        <v>-553</v>
      </c>
      <c r="AA2160">
        <v>695672</v>
      </c>
      <c r="AD2160" t="s">
        <v>2792</v>
      </c>
      <c r="AE2160" t="s">
        <v>2567</v>
      </c>
      <c r="AF2160" t="s">
        <v>2792</v>
      </c>
      <c r="AG2160" s="1" t="s">
        <v>5955</v>
      </c>
      <c r="AH2160" t="s">
        <v>2745</v>
      </c>
    </row>
    <row r="2161" spans="1:34" x14ac:dyDescent="0.3">
      <c r="A2161">
        <v>101</v>
      </c>
      <c r="B2161" t="s">
        <v>34</v>
      </c>
      <c r="C2161">
        <v>2</v>
      </c>
      <c r="D2161" s="1" t="s">
        <v>5960</v>
      </c>
      <c r="E2161" s="1" t="s">
        <v>36</v>
      </c>
      <c r="G2161">
        <v>469956</v>
      </c>
      <c r="H2161" t="s">
        <v>5953</v>
      </c>
      <c r="I2161" t="s">
        <v>2413</v>
      </c>
      <c r="J2161">
        <v>28</v>
      </c>
      <c r="K2161">
        <v>2695</v>
      </c>
      <c r="L2161">
        <v>95000</v>
      </c>
      <c r="M2161" t="s">
        <v>69</v>
      </c>
      <c r="N2161">
        <v>551</v>
      </c>
      <c r="O2161" s="2">
        <v>46209</v>
      </c>
      <c r="P2161" s="2">
        <v>46329</v>
      </c>
      <c r="R2161" t="s">
        <v>5961</v>
      </c>
      <c r="S2161" t="str">
        <f>""</f>
        <v/>
      </c>
      <c r="T2161" t="s">
        <v>41</v>
      </c>
      <c r="U2161">
        <v>6720</v>
      </c>
      <c r="V2161">
        <v>6646.08</v>
      </c>
      <c r="W2161">
        <v>6646.08</v>
      </c>
      <c r="X2161">
        <v>0</v>
      </c>
      <c r="Y2161">
        <v>0</v>
      </c>
      <c r="Z2161">
        <v>-554</v>
      </c>
      <c r="AA2161">
        <v>693733</v>
      </c>
      <c r="AD2161" t="s">
        <v>2792</v>
      </c>
      <c r="AE2161" t="s">
        <v>2567</v>
      </c>
      <c r="AF2161" t="s">
        <v>2792</v>
      </c>
      <c r="AG2161" s="1" t="s">
        <v>5955</v>
      </c>
      <c r="AH2161" t="s">
        <v>2745</v>
      </c>
    </row>
    <row r="2162" spans="1:34" x14ac:dyDescent="0.3">
      <c r="A2162">
        <v>101</v>
      </c>
      <c r="B2162" t="s">
        <v>34</v>
      </c>
      <c r="C2162">
        <v>2</v>
      </c>
      <c r="D2162" s="1" t="s">
        <v>5962</v>
      </c>
      <c r="E2162" s="1" t="s">
        <v>36</v>
      </c>
      <c r="G2162">
        <v>469956</v>
      </c>
      <c r="H2162" t="s">
        <v>5953</v>
      </c>
      <c r="I2162" t="s">
        <v>2413</v>
      </c>
      <c r="J2162">
        <v>28</v>
      </c>
      <c r="K2162">
        <v>2695</v>
      </c>
      <c r="L2162">
        <v>95000</v>
      </c>
      <c r="M2162" t="s">
        <v>69</v>
      </c>
      <c r="N2162">
        <v>551</v>
      </c>
      <c r="O2162" s="2">
        <v>46147</v>
      </c>
      <c r="P2162" s="2">
        <v>46255</v>
      </c>
      <c r="R2162" t="s">
        <v>5963</v>
      </c>
      <c r="S2162" t="str">
        <f>""</f>
        <v/>
      </c>
      <c r="T2162" t="s">
        <v>41</v>
      </c>
      <c r="U2162">
        <v>9920.15</v>
      </c>
      <c r="V2162">
        <v>9811.0300000000007</v>
      </c>
      <c r="W2162">
        <v>9811.0300000000007</v>
      </c>
      <c r="X2162">
        <v>0</v>
      </c>
      <c r="Y2162">
        <v>0</v>
      </c>
      <c r="Z2162">
        <v>-480</v>
      </c>
      <c r="AA2162">
        <v>687982</v>
      </c>
      <c r="AD2162" t="s">
        <v>2792</v>
      </c>
      <c r="AE2162" t="s">
        <v>2567</v>
      </c>
      <c r="AF2162" t="s">
        <v>2792</v>
      </c>
      <c r="AG2162" s="1" t="s">
        <v>5955</v>
      </c>
      <c r="AH2162" t="s">
        <v>2745</v>
      </c>
    </row>
    <row r="2163" spans="1:34" x14ac:dyDescent="0.3">
      <c r="A2163">
        <v>101</v>
      </c>
      <c r="B2163" t="s">
        <v>34</v>
      </c>
      <c r="C2163">
        <v>2</v>
      </c>
      <c r="D2163" s="1" t="s">
        <v>5964</v>
      </c>
      <c r="E2163" s="1" t="s">
        <v>36</v>
      </c>
      <c r="G2163">
        <v>470066</v>
      </c>
      <c r="H2163" t="s">
        <v>5965</v>
      </c>
      <c r="I2163" t="s">
        <v>5966</v>
      </c>
      <c r="J2163">
        <v>12</v>
      </c>
      <c r="K2163">
        <v>470066</v>
      </c>
      <c r="L2163">
        <v>50033</v>
      </c>
      <c r="M2163" t="s">
        <v>39</v>
      </c>
      <c r="N2163">
        <v>551</v>
      </c>
      <c r="O2163" s="2">
        <v>46234</v>
      </c>
      <c r="P2163" s="2">
        <v>46279</v>
      </c>
      <c r="R2163" t="s">
        <v>5967</v>
      </c>
      <c r="S2163" t="str">
        <f>"0000050412183"</f>
        <v>0000050412183</v>
      </c>
      <c r="T2163" t="s">
        <v>41</v>
      </c>
      <c r="U2163">
        <v>12533.88</v>
      </c>
      <c r="V2163">
        <v>12533.88</v>
      </c>
      <c r="W2163">
        <v>12533.88</v>
      </c>
      <c r="X2163">
        <v>0</v>
      </c>
      <c r="Y2163">
        <v>0</v>
      </c>
      <c r="Z2163">
        <v>-504</v>
      </c>
      <c r="AA2163">
        <v>1788</v>
      </c>
      <c r="AD2163" t="s">
        <v>5968</v>
      </c>
      <c r="AE2163">
        <v>6136121982</v>
      </c>
      <c r="AF2163" t="s">
        <v>5968</v>
      </c>
      <c r="AG2163">
        <v>37881935000134</v>
      </c>
      <c r="AH2163" t="s">
        <v>311</v>
      </c>
    </row>
    <row r="2164" spans="1:34" x14ac:dyDescent="0.3">
      <c r="A2164">
        <v>101</v>
      </c>
      <c r="B2164" t="s">
        <v>34</v>
      </c>
      <c r="C2164">
        <v>2</v>
      </c>
      <c r="D2164" s="1" t="s">
        <v>5969</v>
      </c>
      <c r="E2164" s="1" t="s">
        <v>36</v>
      </c>
      <c r="G2164">
        <v>470066</v>
      </c>
      <c r="H2164" t="s">
        <v>5965</v>
      </c>
      <c r="I2164" t="s">
        <v>5966</v>
      </c>
      <c r="J2164">
        <v>12</v>
      </c>
      <c r="K2164">
        <v>470066</v>
      </c>
      <c r="L2164">
        <v>50033</v>
      </c>
      <c r="M2164" t="s">
        <v>39</v>
      </c>
      <c r="N2164">
        <v>551</v>
      </c>
      <c r="O2164" s="2">
        <v>46239</v>
      </c>
      <c r="P2164" s="2">
        <v>46284</v>
      </c>
      <c r="R2164" t="s">
        <v>5970</v>
      </c>
      <c r="S2164" t="str">
        <f>"0000050412680"</f>
        <v>0000050412680</v>
      </c>
      <c r="T2164" t="s">
        <v>41</v>
      </c>
      <c r="U2164">
        <v>2339.6</v>
      </c>
      <c r="V2164">
        <v>2339.6</v>
      </c>
      <c r="W2164">
        <v>2339.6</v>
      </c>
      <c r="X2164">
        <v>0</v>
      </c>
      <c r="Y2164">
        <v>0</v>
      </c>
      <c r="Z2164">
        <v>-509</v>
      </c>
      <c r="AA2164">
        <v>4250</v>
      </c>
      <c r="AD2164" t="s">
        <v>5968</v>
      </c>
      <c r="AE2164">
        <v>6136121982</v>
      </c>
      <c r="AF2164" t="s">
        <v>5968</v>
      </c>
      <c r="AG2164">
        <v>37881935000134</v>
      </c>
      <c r="AH2164" t="s">
        <v>311</v>
      </c>
    </row>
    <row r="2165" spans="1:34" x14ac:dyDescent="0.3">
      <c r="A2165">
        <v>101</v>
      </c>
      <c r="B2165" t="s">
        <v>34</v>
      </c>
      <c r="C2165">
        <v>2</v>
      </c>
      <c r="D2165" s="1" t="s">
        <v>5971</v>
      </c>
      <c r="E2165" s="1" t="s">
        <v>36</v>
      </c>
      <c r="G2165">
        <v>10942</v>
      </c>
      <c r="H2165" t="s">
        <v>5972</v>
      </c>
      <c r="I2165" t="s">
        <v>5973</v>
      </c>
      <c r="J2165">
        <v>15</v>
      </c>
      <c r="K2165">
        <v>460731</v>
      </c>
      <c r="L2165">
        <v>50001</v>
      </c>
      <c r="M2165" t="s">
        <v>39</v>
      </c>
      <c r="N2165">
        <v>558</v>
      </c>
      <c r="O2165" s="2">
        <v>46246</v>
      </c>
      <c r="P2165" s="2">
        <v>46291</v>
      </c>
      <c r="R2165" t="s">
        <v>5974</v>
      </c>
      <c r="S2165" t="str">
        <f>"25666160000051859"</f>
        <v>25666160000051859</v>
      </c>
      <c r="T2165" t="s">
        <v>41</v>
      </c>
      <c r="U2165">
        <v>7287.92</v>
      </c>
      <c r="V2165">
        <v>7287.92</v>
      </c>
      <c r="W2165">
        <v>7287.92</v>
      </c>
      <c r="X2165">
        <v>0</v>
      </c>
      <c r="Y2165">
        <v>0</v>
      </c>
      <c r="Z2165">
        <v>-516</v>
      </c>
      <c r="AA2165">
        <v>4438</v>
      </c>
      <c r="AD2165" t="s">
        <v>4997</v>
      </c>
      <c r="AE2165" t="s">
        <v>5975</v>
      </c>
      <c r="AF2165" t="s">
        <v>4997</v>
      </c>
      <c r="AG2165" s="1" t="s">
        <v>5976</v>
      </c>
      <c r="AH2165" t="s">
        <v>44</v>
      </c>
    </row>
    <row r="2166" spans="1:34" x14ac:dyDescent="0.3">
      <c r="A2166">
        <v>101</v>
      </c>
      <c r="B2166" t="s">
        <v>34</v>
      </c>
      <c r="C2166">
        <v>2</v>
      </c>
      <c r="D2166" s="1" t="s">
        <v>5977</v>
      </c>
      <c r="E2166" s="1" t="s">
        <v>36</v>
      </c>
      <c r="G2166">
        <v>464342</v>
      </c>
      <c r="H2166" t="s">
        <v>5978</v>
      </c>
      <c r="I2166" t="s">
        <v>5979</v>
      </c>
      <c r="J2166">
        <v>15</v>
      </c>
      <c r="K2166">
        <v>460731</v>
      </c>
      <c r="L2166">
        <v>50341</v>
      </c>
      <c r="M2166" t="s">
        <v>146</v>
      </c>
      <c r="N2166">
        <v>558</v>
      </c>
      <c r="O2166" s="2">
        <v>46239</v>
      </c>
      <c r="P2166" s="2">
        <v>46284</v>
      </c>
      <c r="R2166" t="s">
        <v>5980</v>
      </c>
      <c r="S2166" t="str">
        <f>"00013597"</f>
        <v>00013597</v>
      </c>
      <c r="T2166" t="s">
        <v>41</v>
      </c>
      <c r="U2166">
        <v>8045.12</v>
      </c>
      <c r="V2166">
        <v>8045.12</v>
      </c>
      <c r="W2166">
        <v>8045.12</v>
      </c>
      <c r="X2166">
        <v>0</v>
      </c>
      <c r="Y2166">
        <v>0</v>
      </c>
      <c r="Z2166">
        <v>-509</v>
      </c>
      <c r="AA2166">
        <v>4323</v>
      </c>
      <c r="AD2166" t="s">
        <v>5981</v>
      </c>
      <c r="AE2166" t="s">
        <v>5982</v>
      </c>
      <c r="AF2166" t="s">
        <v>5981</v>
      </c>
      <c r="AG2166">
        <v>80221013000553</v>
      </c>
      <c r="AH2166" t="s">
        <v>5494</v>
      </c>
    </row>
    <row r="2167" spans="1:34" x14ac:dyDescent="0.3">
      <c r="A2167">
        <v>101</v>
      </c>
      <c r="B2167" t="s">
        <v>34</v>
      </c>
      <c r="C2167">
        <v>2</v>
      </c>
      <c r="D2167" s="1" t="s">
        <v>5983</v>
      </c>
      <c r="E2167" s="1" t="s">
        <v>36</v>
      </c>
      <c r="G2167">
        <v>464342</v>
      </c>
      <c r="H2167" t="s">
        <v>5978</v>
      </c>
      <c r="I2167" t="s">
        <v>5979</v>
      </c>
      <c r="J2167">
        <v>15</v>
      </c>
      <c r="K2167">
        <v>460731</v>
      </c>
      <c r="L2167">
        <v>50341</v>
      </c>
      <c r="M2167" t="s">
        <v>146</v>
      </c>
      <c r="N2167">
        <v>558</v>
      </c>
      <c r="O2167" s="2">
        <v>46217</v>
      </c>
      <c r="P2167" s="2">
        <v>46262</v>
      </c>
      <c r="R2167" t="s">
        <v>5984</v>
      </c>
      <c r="S2167" t="str">
        <f>"00013113"</f>
        <v>00013113</v>
      </c>
      <c r="T2167" t="s">
        <v>41</v>
      </c>
      <c r="U2167">
        <v>21317.279999999999</v>
      </c>
      <c r="V2167">
        <v>21317.279999999999</v>
      </c>
      <c r="W2167">
        <v>21317.279999999999</v>
      </c>
      <c r="X2167">
        <v>0</v>
      </c>
      <c r="Y2167">
        <v>0</v>
      </c>
      <c r="Z2167">
        <v>-487</v>
      </c>
      <c r="AA2167">
        <v>693753</v>
      </c>
      <c r="AD2167" t="s">
        <v>5981</v>
      </c>
      <c r="AE2167" t="s">
        <v>5982</v>
      </c>
      <c r="AF2167" t="s">
        <v>5981</v>
      </c>
      <c r="AG2167">
        <v>80221013000553</v>
      </c>
      <c r="AH2167" t="s">
        <v>5494</v>
      </c>
    </row>
    <row r="2168" spans="1:34" x14ac:dyDescent="0.3">
      <c r="A2168">
        <v>101</v>
      </c>
      <c r="B2168" t="s">
        <v>34</v>
      </c>
      <c r="C2168">
        <v>2</v>
      </c>
      <c r="D2168" s="1" t="s">
        <v>5985</v>
      </c>
      <c r="E2168" s="1" t="s">
        <v>36</v>
      </c>
      <c r="G2168">
        <v>457715</v>
      </c>
      <c r="H2168" t="s">
        <v>5986</v>
      </c>
      <c r="I2168" t="s">
        <v>5987</v>
      </c>
      <c r="J2168">
        <v>15</v>
      </c>
      <c r="K2168">
        <v>457715</v>
      </c>
      <c r="L2168">
        <v>50033</v>
      </c>
      <c r="M2168" t="s">
        <v>39</v>
      </c>
      <c r="N2168">
        <v>574</v>
      </c>
      <c r="O2168" s="2">
        <v>46240</v>
      </c>
      <c r="P2168" s="2">
        <v>46268</v>
      </c>
      <c r="R2168" t="s">
        <v>5988</v>
      </c>
      <c r="S2168" t="str">
        <f>"0000050412990"</f>
        <v>0000050412990</v>
      </c>
      <c r="T2168" t="s">
        <v>41</v>
      </c>
      <c r="U2168">
        <v>3539.76</v>
      </c>
      <c r="V2168">
        <v>3539.76</v>
      </c>
      <c r="W2168">
        <v>3539.76</v>
      </c>
      <c r="X2168">
        <v>0</v>
      </c>
      <c r="Y2168">
        <v>0</v>
      </c>
      <c r="Z2168">
        <v>-493</v>
      </c>
      <c r="AA2168">
        <v>696357</v>
      </c>
      <c r="AD2168" t="s">
        <v>4897</v>
      </c>
      <c r="AE2168" t="s">
        <v>5989</v>
      </c>
      <c r="AF2168" t="s">
        <v>4897</v>
      </c>
      <c r="AG2168" s="1" t="s">
        <v>5990</v>
      </c>
      <c r="AH2168" t="s">
        <v>3698</v>
      </c>
    </row>
    <row r="2169" spans="1:34" x14ac:dyDescent="0.3">
      <c r="A2169">
        <v>101</v>
      </c>
      <c r="B2169" t="s">
        <v>34</v>
      </c>
      <c r="C2169">
        <v>2</v>
      </c>
      <c r="D2169" s="1" t="s">
        <v>5991</v>
      </c>
      <c r="E2169" s="1" t="s">
        <v>116</v>
      </c>
      <c r="G2169">
        <v>458536</v>
      </c>
      <c r="H2169" t="s">
        <v>5992</v>
      </c>
      <c r="I2169" t="s">
        <v>5993</v>
      </c>
      <c r="J2169">
        <v>15</v>
      </c>
      <c r="K2169">
        <v>458536</v>
      </c>
      <c r="L2169">
        <v>95080</v>
      </c>
      <c r="M2169" t="s">
        <v>83</v>
      </c>
      <c r="N2169">
        <v>574</v>
      </c>
      <c r="O2169" s="2">
        <v>46203</v>
      </c>
      <c r="P2169" s="2">
        <v>46278</v>
      </c>
      <c r="R2169" t="s">
        <v>5994</v>
      </c>
      <c r="S2169" t="str">
        <f>""</f>
        <v/>
      </c>
      <c r="T2169" t="s">
        <v>41</v>
      </c>
      <c r="U2169">
        <v>15003</v>
      </c>
      <c r="V2169">
        <v>15003</v>
      </c>
      <c r="W2169">
        <v>15003</v>
      </c>
      <c r="X2169">
        <v>0</v>
      </c>
      <c r="Y2169">
        <v>0</v>
      </c>
      <c r="Z2169">
        <v>-503</v>
      </c>
      <c r="AA2169">
        <v>692924</v>
      </c>
      <c r="AD2169" t="s">
        <v>5995</v>
      </c>
      <c r="AE2169">
        <v>2238520921</v>
      </c>
      <c r="AF2169" t="s">
        <v>5995</v>
      </c>
      <c r="AG2169">
        <v>36289668000148</v>
      </c>
      <c r="AH2169" t="s">
        <v>3698</v>
      </c>
    </row>
    <row r="2170" spans="1:34" x14ac:dyDescent="0.3">
      <c r="A2170">
        <v>101</v>
      </c>
      <c r="B2170" t="s">
        <v>34</v>
      </c>
      <c r="C2170">
        <v>2</v>
      </c>
      <c r="D2170" s="1" t="s">
        <v>5991</v>
      </c>
      <c r="E2170" s="1" t="s">
        <v>36</v>
      </c>
      <c r="G2170">
        <v>458536</v>
      </c>
      <c r="H2170" t="s">
        <v>5992</v>
      </c>
      <c r="I2170" t="s">
        <v>5993</v>
      </c>
      <c r="J2170">
        <v>15</v>
      </c>
      <c r="K2170">
        <v>458536</v>
      </c>
      <c r="L2170">
        <v>95080</v>
      </c>
      <c r="M2170" t="s">
        <v>83</v>
      </c>
      <c r="N2170">
        <v>574</v>
      </c>
      <c r="O2170" s="2">
        <v>46203</v>
      </c>
      <c r="P2170" s="2">
        <v>46248</v>
      </c>
      <c r="R2170" t="s">
        <v>5994</v>
      </c>
      <c r="S2170" t="str">
        <f>""</f>
        <v/>
      </c>
      <c r="T2170" t="s">
        <v>41</v>
      </c>
      <c r="U2170">
        <v>14998.5</v>
      </c>
      <c r="V2170">
        <v>14998.5</v>
      </c>
      <c r="W2170">
        <v>14998.5</v>
      </c>
      <c r="X2170">
        <v>0</v>
      </c>
      <c r="Y2170">
        <v>0</v>
      </c>
      <c r="Z2170">
        <v>-473</v>
      </c>
      <c r="AA2170">
        <v>692924</v>
      </c>
      <c r="AD2170" t="s">
        <v>5995</v>
      </c>
      <c r="AE2170">
        <v>2238520921</v>
      </c>
      <c r="AF2170" t="s">
        <v>5995</v>
      </c>
      <c r="AG2170">
        <v>36289668000148</v>
      </c>
      <c r="AH2170" t="s">
        <v>3698</v>
      </c>
    </row>
    <row r="2171" spans="1:34" x14ac:dyDescent="0.3">
      <c r="A2171">
        <v>101</v>
      </c>
      <c r="B2171" t="s">
        <v>34</v>
      </c>
      <c r="C2171">
        <v>2</v>
      </c>
      <c r="D2171" s="1" t="s">
        <v>5991</v>
      </c>
      <c r="E2171" s="1" t="s">
        <v>122</v>
      </c>
      <c r="G2171">
        <v>458536</v>
      </c>
      <c r="H2171" t="s">
        <v>5992</v>
      </c>
      <c r="I2171" t="s">
        <v>5993</v>
      </c>
      <c r="J2171">
        <v>15</v>
      </c>
      <c r="K2171">
        <v>458536</v>
      </c>
      <c r="L2171">
        <v>95080</v>
      </c>
      <c r="M2171" t="s">
        <v>83</v>
      </c>
      <c r="N2171">
        <v>574</v>
      </c>
      <c r="O2171" s="2">
        <v>46203</v>
      </c>
      <c r="P2171" s="2">
        <v>46263</v>
      </c>
      <c r="R2171" t="s">
        <v>5994</v>
      </c>
      <c r="S2171" t="str">
        <f>""</f>
        <v/>
      </c>
      <c r="T2171" t="s">
        <v>41</v>
      </c>
      <c r="U2171">
        <v>14998.5</v>
      </c>
      <c r="V2171">
        <v>14998.5</v>
      </c>
      <c r="W2171">
        <v>14998.5</v>
      </c>
      <c r="X2171">
        <v>0</v>
      </c>
      <c r="Y2171">
        <v>0</v>
      </c>
      <c r="Z2171">
        <v>-488</v>
      </c>
      <c r="AA2171">
        <v>692924</v>
      </c>
      <c r="AD2171" t="s">
        <v>5995</v>
      </c>
      <c r="AE2171">
        <v>2238520921</v>
      </c>
      <c r="AF2171" t="s">
        <v>5995</v>
      </c>
      <c r="AG2171">
        <v>36289668000148</v>
      </c>
      <c r="AH2171" t="s">
        <v>3698</v>
      </c>
    </row>
    <row r="2172" spans="1:34" x14ac:dyDescent="0.3">
      <c r="A2172">
        <v>101</v>
      </c>
      <c r="B2172" t="s">
        <v>34</v>
      </c>
      <c r="C2172">
        <v>2</v>
      </c>
      <c r="D2172" s="1" t="s">
        <v>5996</v>
      </c>
      <c r="E2172" s="1" t="s">
        <v>122</v>
      </c>
      <c r="G2172">
        <v>458536</v>
      </c>
      <c r="H2172" t="s">
        <v>5992</v>
      </c>
      <c r="I2172" t="s">
        <v>5993</v>
      </c>
      <c r="J2172">
        <v>15</v>
      </c>
      <c r="K2172">
        <v>458536</v>
      </c>
      <c r="L2172">
        <v>50001</v>
      </c>
      <c r="M2172" t="s">
        <v>39</v>
      </c>
      <c r="N2172">
        <v>574</v>
      </c>
      <c r="O2172" s="2">
        <v>46198</v>
      </c>
      <c r="P2172" s="2">
        <v>46258</v>
      </c>
      <c r="R2172" t="s">
        <v>5997</v>
      </c>
      <c r="S2172" t="str">
        <f>"25666160000051235"</f>
        <v>25666160000051235</v>
      </c>
      <c r="T2172" t="s">
        <v>41</v>
      </c>
      <c r="U2172">
        <v>14998.5</v>
      </c>
      <c r="V2172">
        <v>14998.5</v>
      </c>
      <c r="W2172">
        <v>14998.5</v>
      </c>
      <c r="X2172">
        <v>0</v>
      </c>
      <c r="Y2172">
        <v>0</v>
      </c>
      <c r="Z2172">
        <v>-483</v>
      </c>
      <c r="AA2172">
        <v>692704</v>
      </c>
      <c r="AD2172" t="s">
        <v>5995</v>
      </c>
      <c r="AE2172">
        <v>2238520921</v>
      </c>
      <c r="AF2172" t="s">
        <v>5995</v>
      </c>
      <c r="AG2172">
        <v>36289668000148</v>
      </c>
      <c r="AH2172" t="s">
        <v>3698</v>
      </c>
    </row>
    <row r="2173" spans="1:34" x14ac:dyDescent="0.3">
      <c r="A2173">
        <v>101</v>
      </c>
      <c r="B2173" t="s">
        <v>34</v>
      </c>
      <c r="C2173">
        <v>2</v>
      </c>
      <c r="D2173" s="1" t="s">
        <v>5996</v>
      </c>
      <c r="E2173" s="1" t="s">
        <v>116</v>
      </c>
      <c r="G2173">
        <v>458536</v>
      </c>
      <c r="H2173" t="s">
        <v>5992</v>
      </c>
      <c r="I2173" t="s">
        <v>5993</v>
      </c>
      <c r="J2173">
        <v>15</v>
      </c>
      <c r="K2173">
        <v>458536</v>
      </c>
      <c r="L2173">
        <v>50001</v>
      </c>
      <c r="M2173" t="s">
        <v>39</v>
      </c>
      <c r="N2173">
        <v>574</v>
      </c>
      <c r="O2173" s="2">
        <v>46198</v>
      </c>
      <c r="P2173" s="2">
        <v>46273</v>
      </c>
      <c r="R2173" t="s">
        <v>5997</v>
      </c>
      <c r="S2173" t="str">
        <f>"25666160000051236"</f>
        <v>25666160000051236</v>
      </c>
      <c r="T2173" t="s">
        <v>41</v>
      </c>
      <c r="U2173">
        <v>15003</v>
      </c>
      <c r="V2173">
        <v>15003</v>
      </c>
      <c r="W2173">
        <v>15003</v>
      </c>
      <c r="X2173">
        <v>0</v>
      </c>
      <c r="Y2173">
        <v>0</v>
      </c>
      <c r="Z2173">
        <v>-498</v>
      </c>
      <c r="AA2173">
        <v>692704</v>
      </c>
      <c r="AD2173" t="s">
        <v>5995</v>
      </c>
      <c r="AE2173">
        <v>2238520921</v>
      </c>
      <c r="AF2173" t="s">
        <v>5995</v>
      </c>
      <c r="AG2173">
        <v>36289668000148</v>
      </c>
      <c r="AH2173" t="s">
        <v>3698</v>
      </c>
    </row>
    <row r="2174" spans="1:34" x14ac:dyDescent="0.3">
      <c r="A2174">
        <v>101</v>
      </c>
      <c r="B2174" t="s">
        <v>34</v>
      </c>
      <c r="C2174">
        <v>2</v>
      </c>
      <c r="D2174" s="1" t="s">
        <v>5998</v>
      </c>
      <c r="E2174" s="1" t="s">
        <v>122</v>
      </c>
      <c r="G2174">
        <v>458536</v>
      </c>
      <c r="H2174" t="s">
        <v>5992</v>
      </c>
      <c r="I2174" t="s">
        <v>5993</v>
      </c>
      <c r="J2174">
        <v>15</v>
      </c>
      <c r="K2174">
        <v>458536</v>
      </c>
      <c r="L2174">
        <v>50001</v>
      </c>
      <c r="M2174" t="s">
        <v>39</v>
      </c>
      <c r="N2174">
        <v>574</v>
      </c>
      <c r="O2174" s="2">
        <v>46198</v>
      </c>
      <c r="P2174" s="2">
        <v>46258</v>
      </c>
      <c r="R2174" t="s">
        <v>5999</v>
      </c>
      <c r="S2174" t="str">
        <f>"25666160000051238"</f>
        <v>25666160000051238</v>
      </c>
      <c r="T2174" t="s">
        <v>41</v>
      </c>
      <c r="U2174">
        <v>703.13</v>
      </c>
      <c r="V2174">
        <v>703.13</v>
      </c>
      <c r="W2174">
        <v>703.13</v>
      </c>
      <c r="X2174">
        <v>0</v>
      </c>
      <c r="Y2174">
        <v>0</v>
      </c>
      <c r="Z2174">
        <v>-483</v>
      </c>
      <c r="AA2174">
        <v>692720</v>
      </c>
      <c r="AD2174" t="s">
        <v>5995</v>
      </c>
      <c r="AE2174">
        <v>2238520921</v>
      </c>
      <c r="AF2174" t="s">
        <v>5995</v>
      </c>
      <c r="AG2174">
        <v>36289668000148</v>
      </c>
      <c r="AH2174" t="s">
        <v>3698</v>
      </c>
    </row>
    <row r="2175" spans="1:34" x14ac:dyDescent="0.3">
      <c r="A2175">
        <v>101</v>
      </c>
      <c r="B2175" t="s">
        <v>34</v>
      </c>
      <c r="C2175">
        <v>2</v>
      </c>
      <c r="D2175" s="1" t="s">
        <v>5998</v>
      </c>
      <c r="E2175" s="1" t="s">
        <v>116</v>
      </c>
      <c r="G2175">
        <v>458536</v>
      </c>
      <c r="H2175" t="s">
        <v>5992</v>
      </c>
      <c r="I2175" t="s">
        <v>5993</v>
      </c>
      <c r="J2175">
        <v>15</v>
      </c>
      <c r="K2175">
        <v>458536</v>
      </c>
      <c r="L2175">
        <v>50001</v>
      </c>
      <c r="M2175" t="s">
        <v>39</v>
      </c>
      <c r="N2175">
        <v>574</v>
      </c>
      <c r="O2175" s="2">
        <v>46198</v>
      </c>
      <c r="P2175" s="2">
        <v>46273</v>
      </c>
      <c r="R2175" t="s">
        <v>5999</v>
      </c>
      <c r="S2175" t="str">
        <f>"25666160000051239"</f>
        <v>25666160000051239</v>
      </c>
      <c r="T2175" t="s">
        <v>41</v>
      </c>
      <c r="U2175">
        <v>703.34</v>
      </c>
      <c r="V2175">
        <v>703.34</v>
      </c>
      <c r="W2175">
        <v>703.34</v>
      </c>
      <c r="X2175">
        <v>0</v>
      </c>
      <c r="Y2175">
        <v>0</v>
      </c>
      <c r="Z2175">
        <v>-498</v>
      </c>
      <c r="AA2175">
        <v>692720</v>
      </c>
      <c r="AD2175" t="s">
        <v>5995</v>
      </c>
      <c r="AE2175">
        <v>2238520921</v>
      </c>
      <c r="AF2175" t="s">
        <v>5995</v>
      </c>
      <c r="AG2175">
        <v>36289668000148</v>
      </c>
      <c r="AH2175" t="s">
        <v>3698</v>
      </c>
    </row>
    <row r="2176" spans="1:34" x14ac:dyDescent="0.3">
      <c r="A2176">
        <v>101</v>
      </c>
      <c r="B2176" t="s">
        <v>34</v>
      </c>
      <c r="C2176">
        <v>2</v>
      </c>
      <c r="D2176" s="1" t="s">
        <v>6000</v>
      </c>
      <c r="E2176" s="1" t="s">
        <v>36</v>
      </c>
      <c r="G2176">
        <v>460283</v>
      </c>
      <c r="H2176" t="s">
        <v>6001</v>
      </c>
      <c r="I2176" t="s">
        <v>2413</v>
      </c>
      <c r="J2176">
        <v>28</v>
      </c>
      <c r="K2176">
        <v>2695</v>
      </c>
      <c r="L2176">
        <v>95000</v>
      </c>
      <c r="M2176" t="s">
        <v>69</v>
      </c>
      <c r="N2176">
        <v>574</v>
      </c>
      <c r="O2176" s="2">
        <v>46234</v>
      </c>
      <c r="P2176" s="2">
        <v>46349</v>
      </c>
      <c r="R2176" t="s">
        <v>6002</v>
      </c>
      <c r="S2176" t="str">
        <f>""</f>
        <v/>
      </c>
      <c r="T2176" t="s">
        <v>41</v>
      </c>
      <c r="U2176">
        <v>68421.119999999995</v>
      </c>
      <c r="V2176">
        <v>64315.85</v>
      </c>
      <c r="W2176">
        <v>64315.85</v>
      </c>
      <c r="X2176">
        <v>0</v>
      </c>
      <c r="Y2176">
        <v>0</v>
      </c>
      <c r="Z2176">
        <v>-574</v>
      </c>
      <c r="AA2176" t="s">
        <v>6003</v>
      </c>
      <c r="AD2176" t="s">
        <v>4897</v>
      </c>
      <c r="AE2176" t="s">
        <v>2567</v>
      </c>
      <c r="AF2176" t="s">
        <v>4897</v>
      </c>
      <c r="AG2176" s="1" t="s">
        <v>6004</v>
      </c>
      <c r="AH2176" t="s">
        <v>3698</v>
      </c>
    </row>
    <row r="2177" spans="1:34" x14ac:dyDescent="0.3">
      <c r="A2177">
        <v>101</v>
      </c>
      <c r="B2177" t="s">
        <v>34</v>
      </c>
      <c r="C2177">
        <v>2</v>
      </c>
      <c r="D2177" s="1" t="s">
        <v>6005</v>
      </c>
      <c r="E2177" s="1" t="s">
        <v>36</v>
      </c>
      <c r="G2177">
        <v>460283</v>
      </c>
      <c r="H2177" t="s">
        <v>6001</v>
      </c>
      <c r="I2177" t="s">
        <v>2413</v>
      </c>
      <c r="J2177">
        <v>28</v>
      </c>
      <c r="K2177">
        <v>2695</v>
      </c>
      <c r="L2177">
        <v>95000</v>
      </c>
      <c r="M2177" t="s">
        <v>69</v>
      </c>
      <c r="N2177">
        <v>574</v>
      </c>
      <c r="O2177" s="2">
        <v>46252</v>
      </c>
      <c r="P2177" s="2">
        <v>46349</v>
      </c>
      <c r="R2177" t="s">
        <v>6006</v>
      </c>
      <c r="S2177" t="str">
        <f>""</f>
        <v/>
      </c>
      <c r="T2177" t="s">
        <v>41</v>
      </c>
      <c r="U2177">
        <v>86469.18</v>
      </c>
      <c r="V2177">
        <v>81281.03</v>
      </c>
      <c r="W2177">
        <v>81281.03</v>
      </c>
      <c r="X2177">
        <v>0</v>
      </c>
      <c r="Y2177">
        <v>0</v>
      </c>
      <c r="Z2177">
        <v>-574</v>
      </c>
      <c r="AA2177" t="s">
        <v>6007</v>
      </c>
      <c r="AD2177" t="s">
        <v>4897</v>
      </c>
      <c r="AE2177" t="s">
        <v>2567</v>
      </c>
      <c r="AF2177" t="s">
        <v>4897</v>
      </c>
      <c r="AG2177" s="1" t="s">
        <v>6004</v>
      </c>
      <c r="AH2177" t="s">
        <v>3698</v>
      </c>
    </row>
    <row r="2178" spans="1:34" x14ac:dyDescent="0.3">
      <c r="A2178">
        <v>101</v>
      </c>
      <c r="B2178" t="s">
        <v>34</v>
      </c>
      <c r="C2178">
        <v>2</v>
      </c>
      <c r="D2178" s="1" t="s">
        <v>6008</v>
      </c>
      <c r="E2178" s="1" t="s">
        <v>36</v>
      </c>
      <c r="G2178">
        <v>460283</v>
      </c>
      <c r="H2178" t="s">
        <v>6001</v>
      </c>
      <c r="I2178" t="s">
        <v>2413</v>
      </c>
      <c r="J2178">
        <v>28</v>
      </c>
      <c r="K2178">
        <v>2695</v>
      </c>
      <c r="L2178">
        <v>95000</v>
      </c>
      <c r="M2178" t="s">
        <v>69</v>
      </c>
      <c r="N2178">
        <v>574</v>
      </c>
      <c r="O2178" s="2">
        <v>46234</v>
      </c>
      <c r="P2178" s="2">
        <v>46349</v>
      </c>
      <c r="R2178" t="s">
        <v>6009</v>
      </c>
      <c r="S2178" t="str">
        <f>""</f>
        <v/>
      </c>
      <c r="T2178" t="s">
        <v>41</v>
      </c>
      <c r="U2178">
        <v>121894.32</v>
      </c>
      <c r="V2178">
        <v>114580.66</v>
      </c>
      <c r="W2178">
        <v>114580.66</v>
      </c>
      <c r="X2178">
        <v>0</v>
      </c>
      <c r="Y2178">
        <v>0</v>
      </c>
      <c r="Z2178">
        <v>-574</v>
      </c>
      <c r="AA2178" t="s">
        <v>6003</v>
      </c>
      <c r="AD2178" t="s">
        <v>4897</v>
      </c>
      <c r="AE2178" t="s">
        <v>2567</v>
      </c>
      <c r="AF2178" t="s">
        <v>4897</v>
      </c>
      <c r="AG2178" s="1" t="s">
        <v>6004</v>
      </c>
      <c r="AH2178" t="s">
        <v>3698</v>
      </c>
    </row>
    <row r="2179" spans="1:34" x14ac:dyDescent="0.3">
      <c r="A2179">
        <v>101</v>
      </c>
      <c r="B2179" t="s">
        <v>34</v>
      </c>
      <c r="C2179">
        <v>2</v>
      </c>
      <c r="D2179" s="1" t="s">
        <v>6010</v>
      </c>
      <c r="E2179" s="1" t="s">
        <v>36</v>
      </c>
      <c r="G2179">
        <v>460283</v>
      </c>
      <c r="H2179" t="s">
        <v>6001</v>
      </c>
      <c r="I2179" t="s">
        <v>2413</v>
      </c>
      <c r="J2179">
        <v>28</v>
      </c>
      <c r="K2179">
        <v>2695</v>
      </c>
      <c r="L2179">
        <v>95000</v>
      </c>
      <c r="M2179" t="s">
        <v>69</v>
      </c>
      <c r="N2179">
        <v>574</v>
      </c>
      <c r="O2179" s="2">
        <v>46252</v>
      </c>
      <c r="P2179" s="2">
        <v>46342</v>
      </c>
      <c r="R2179" t="s">
        <v>6011</v>
      </c>
      <c r="S2179" t="str">
        <f>""</f>
        <v/>
      </c>
      <c r="T2179" t="s">
        <v>41</v>
      </c>
      <c r="U2179">
        <v>33945.599999999999</v>
      </c>
      <c r="V2179">
        <v>31908.86</v>
      </c>
      <c r="W2179">
        <v>31908.86</v>
      </c>
      <c r="X2179">
        <v>0</v>
      </c>
      <c r="Y2179">
        <v>0</v>
      </c>
      <c r="Z2179">
        <v>-567</v>
      </c>
      <c r="AA2179" t="s">
        <v>6007</v>
      </c>
      <c r="AD2179" t="s">
        <v>4897</v>
      </c>
      <c r="AE2179" t="s">
        <v>2567</v>
      </c>
      <c r="AF2179" t="s">
        <v>4897</v>
      </c>
      <c r="AG2179" s="1" t="s">
        <v>6004</v>
      </c>
      <c r="AH2179" t="s">
        <v>3698</v>
      </c>
    </row>
    <row r="2180" spans="1:34" x14ac:dyDescent="0.3">
      <c r="A2180">
        <v>101</v>
      </c>
      <c r="B2180" t="s">
        <v>34</v>
      </c>
      <c r="C2180">
        <v>2</v>
      </c>
      <c r="D2180" s="1" t="s">
        <v>6012</v>
      </c>
      <c r="E2180" s="1" t="s">
        <v>36</v>
      </c>
      <c r="G2180">
        <v>460283</v>
      </c>
      <c r="H2180" t="s">
        <v>6001</v>
      </c>
      <c r="I2180" t="s">
        <v>2413</v>
      </c>
      <c r="J2180">
        <v>28</v>
      </c>
      <c r="K2180">
        <v>2695</v>
      </c>
      <c r="L2180">
        <v>95000</v>
      </c>
      <c r="M2180" t="s">
        <v>69</v>
      </c>
      <c r="N2180">
        <v>574</v>
      </c>
      <c r="O2180" s="2">
        <v>46163</v>
      </c>
      <c r="P2180" s="2">
        <v>46286</v>
      </c>
      <c r="R2180" t="s">
        <v>6013</v>
      </c>
      <c r="S2180" t="str">
        <f>""</f>
        <v/>
      </c>
      <c r="T2180" t="s">
        <v>41</v>
      </c>
      <c r="U2180">
        <v>57185.599999999999</v>
      </c>
      <c r="V2180">
        <v>53754.46</v>
      </c>
      <c r="W2180">
        <v>53754.46</v>
      </c>
      <c r="X2180">
        <v>0</v>
      </c>
      <c r="Y2180">
        <v>0</v>
      </c>
      <c r="Z2180">
        <v>-511</v>
      </c>
      <c r="AA2180" t="s">
        <v>6014</v>
      </c>
      <c r="AD2180" t="s">
        <v>4897</v>
      </c>
      <c r="AE2180" t="s">
        <v>2567</v>
      </c>
      <c r="AF2180" t="s">
        <v>4897</v>
      </c>
      <c r="AG2180" s="1" t="s">
        <v>6004</v>
      </c>
      <c r="AH2180" t="s">
        <v>3698</v>
      </c>
    </row>
    <row r="2181" spans="1:34" x14ac:dyDescent="0.3">
      <c r="A2181">
        <v>101</v>
      </c>
      <c r="B2181" t="s">
        <v>34</v>
      </c>
      <c r="C2181">
        <v>2</v>
      </c>
      <c r="D2181" s="1" t="s">
        <v>6015</v>
      </c>
      <c r="E2181" s="1" t="s">
        <v>36</v>
      </c>
      <c r="G2181">
        <v>460283</v>
      </c>
      <c r="H2181" t="s">
        <v>6001</v>
      </c>
      <c r="I2181" t="s">
        <v>2413</v>
      </c>
      <c r="J2181">
        <v>28</v>
      </c>
      <c r="K2181">
        <v>2695</v>
      </c>
      <c r="L2181">
        <v>95000</v>
      </c>
      <c r="M2181" t="s">
        <v>69</v>
      </c>
      <c r="N2181">
        <v>574</v>
      </c>
      <c r="O2181" s="2">
        <v>46163</v>
      </c>
      <c r="P2181" s="2">
        <v>46286</v>
      </c>
      <c r="R2181" t="s">
        <v>6016</v>
      </c>
      <c r="S2181" t="str">
        <f>""</f>
        <v/>
      </c>
      <c r="T2181" t="s">
        <v>41</v>
      </c>
      <c r="U2181">
        <v>95082.31</v>
      </c>
      <c r="V2181">
        <v>89377.37</v>
      </c>
      <c r="W2181">
        <v>89377.37</v>
      </c>
      <c r="X2181">
        <v>0</v>
      </c>
      <c r="Y2181">
        <v>0</v>
      </c>
      <c r="Z2181">
        <v>-511</v>
      </c>
      <c r="AA2181" t="s">
        <v>6014</v>
      </c>
      <c r="AD2181" t="s">
        <v>4897</v>
      </c>
      <c r="AE2181" t="s">
        <v>2567</v>
      </c>
      <c r="AF2181" t="s">
        <v>4897</v>
      </c>
      <c r="AG2181" s="1" t="s">
        <v>6004</v>
      </c>
      <c r="AH2181" t="s">
        <v>3698</v>
      </c>
    </row>
    <row r="2182" spans="1:34" x14ac:dyDescent="0.3">
      <c r="A2182">
        <v>106</v>
      </c>
      <c r="B2182" t="s">
        <v>34</v>
      </c>
      <c r="C2182">
        <v>2</v>
      </c>
      <c r="D2182" s="1" t="s">
        <v>6017</v>
      </c>
      <c r="E2182" s="1" t="s">
        <v>36</v>
      </c>
      <c r="G2182">
        <v>460283</v>
      </c>
      <c r="H2182" t="s">
        <v>6001</v>
      </c>
      <c r="I2182" t="s">
        <v>2413</v>
      </c>
      <c r="J2182">
        <v>28</v>
      </c>
      <c r="K2182">
        <v>2695</v>
      </c>
      <c r="L2182">
        <v>95000</v>
      </c>
      <c r="M2182" t="s">
        <v>69</v>
      </c>
      <c r="N2182">
        <v>574</v>
      </c>
      <c r="O2182" s="2">
        <v>46234</v>
      </c>
      <c r="P2182" s="2">
        <v>46324</v>
      </c>
      <c r="R2182" t="s">
        <v>6018</v>
      </c>
      <c r="S2182" t="str">
        <f>""</f>
        <v/>
      </c>
      <c r="T2182" t="s">
        <v>41</v>
      </c>
      <c r="U2182">
        <v>60208.480000000003</v>
      </c>
      <c r="V2182">
        <v>56595.97</v>
      </c>
      <c r="W2182">
        <v>56595.97</v>
      </c>
      <c r="X2182">
        <v>0</v>
      </c>
      <c r="Y2182">
        <v>0</v>
      </c>
      <c r="Z2182">
        <v>-549</v>
      </c>
      <c r="AA2182" t="s">
        <v>6019</v>
      </c>
      <c r="AD2182" t="s">
        <v>4897</v>
      </c>
      <c r="AE2182" t="s">
        <v>2567</v>
      </c>
      <c r="AF2182" t="s">
        <v>4897</v>
      </c>
      <c r="AG2182" s="1" t="s">
        <v>6004</v>
      </c>
      <c r="AH2182" t="s">
        <v>3698</v>
      </c>
    </row>
    <row r="2183" spans="1:34" x14ac:dyDescent="0.3">
      <c r="A2183">
        <v>106</v>
      </c>
      <c r="B2183" t="s">
        <v>34</v>
      </c>
      <c r="C2183">
        <v>2</v>
      </c>
      <c r="D2183" s="1" t="s">
        <v>6020</v>
      </c>
      <c r="E2183" s="1" t="s">
        <v>36</v>
      </c>
      <c r="G2183">
        <v>460283</v>
      </c>
      <c r="H2183" t="s">
        <v>6001</v>
      </c>
      <c r="I2183" t="s">
        <v>2413</v>
      </c>
      <c r="J2183">
        <v>28</v>
      </c>
      <c r="K2183">
        <v>2695</v>
      </c>
      <c r="L2183">
        <v>95000</v>
      </c>
      <c r="M2183" t="s">
        <v>69</v>
      </c>
      <c r="N2183">
        <v>574</v>
      </c>
      <c r="O2183" s="2">
        <v>46164</v>
      </c>
      <c r="P2183" s="2">
        <v>46296</v>
      </c>
      <c r="R2183" t="s">
        <v>6021</v>
      </c>
      <c r="S2183" t="str">
        <f>""</f>
        <v/>
      </c>
      <c r="T2183" t="s">
        <v>41</v>
      </c>
      <c r="U2183">
        <v>46536.800000000003</v>
      </c>
      <c r="V2183">
        <v>43744.59</v>
      </c>
      <c r="W2183">
        <v>43744.59</v>
      </c>
      <c r="X2183">
        <v>0</v>
      </c>
      <c r="Y2183">
        <v>0</v>
      </c>
      <c r="Z2183">
        <v>-521</v>
      </c>
      <c r="AA2183" t="s">
        <v>6022</v>
      </c>
      <c r="AD2183" t="s">
        <v>4897</v>
      </c>
      <c r="AE2183" t="s">
        <v>2567</v>
      </c>
      <c r="AF2183" t="s">
        <v>4897</v>
      </c>
      <c r="AG2183" s="1" t="s">
        <v>6004</v>
      </c>
      <c r="AH2183" t="s">
        <v>3698</v>
      </c>
    </row>
    <row r="2184" spans="1:34" x14ac:dyDescent="0.3">
      <c r="A2184">
        <v>106</v>
      </c>
      <c r="B2184" t="s">
        <v>34</v>
      </c>
      <c r="C2184">
        <v>2</v>
      </c>
      <c r="D2184" s="1" t="s">
        <v>6023</v>
      </c>
      <c r="E2184" s="1" t="s">
        <v>36</v>
      </c>
      <c r="G2184">
        <v>460283</v>
      </c>
      <c r="H2184" t="s">
        <v>6001</v>
      </c>
      <c r="I2184" t="s">
        <v>2413</v>
      </c>
      <c r="J2184">
        <v>28</v>
      </c>
      <c r="K2184">
        <v>2695</v>
      </c>
      <c r="L2184">
        <v>95000</v>
      </c>
      <c r="M2184" t="s">
        <v>69</v>
      </c>
      <c r="N2184">
        <v>574</v>
      </c>
      <c r="O2184" s="2">
        <v>46112</v>
      </c>
      <c r="P2184" s="2">
        <v>46255</v>
      </c>
      <c r="R2184" t="s">
        <v>6024</v>
      </c>
      <c r="S2184" t="str">
        <f>""</f>
        <v/>
      </c>
      <c r="T2184" t="s">
        <v>41</v>
      </c>
      <c r="U2184">
        <v>32483.200000000001</v>
      </c>
      <c r="V2184">
        <v>30534.21</v>
      </c>
      <c r="W2184">
        <v>30534.21</v>
      </c>
      <c r="X2184">
        <v>0</v>
      </c>
      <c r="Y2184">
        <v>0</v>
      </c>
      <c r="Z2184">
        <v>-480</v>
      </c>
      <c r="AA2184" t="s">
        <v>6025</v>
      </c>
      <c r="AD2184" t="s">
        <v>4897</v>
      </c>
      <c r="AE2184" t="s">
        <v>2567</v>
      </c>
      <c r="AF2184" t="s">
        <v>4897</v>
      </c>
      <c r="AG2184" s="1" t="s">
        <v>6004</v>
      </c>
      <c r="AH2184" t="s">
        <v>3698</v>
      </c>
    </row>
    <row r="2185" spans="1:34" x14ac:dyDescent="0.3">
      <c r="A2185">
        <v>104</v>
      </c>
      <c r="B2185" t="s">
        <v>34</v>
      </c>
      <c r="C2185">
        <v>4</v>
      </c>
      <c r="D2185" s="1" t="s">
        <v>6026</v>
      </c>
      <c r="E2185" s="1" t="s">
        <v>36</v>
      </c>
      <c r="G2185">
        <v>463699</v>
      </c>
      <c r="H2185" t="s">
        <v>6027</v>
      </c>
      <c r="I2185" t="s">
        <v>2413</v>
      </c>
      <c r="J2185">
        <v>28</v>
      </c>
      <c r="K2185">
        <v>2695</v>
      </c>
      <c r="L2185">
        <v>95000</v>
      </c>
      <c r="M2185" t="s">
        <v>69</v>
      </c>
      <c r="N2185">
        <v>574</v>
      </c>
      <c r="O2185" s="2">
        <v>46234</v>
      </c>
      <c r="P2185" s="2">
        <v>46337</v>
      </c>
      <c r="R2185" t="s">
        <v>6028</v>
      </c>
      <c r="S2185" t="str">
        <f>""</f>
        <v/>
      </c>
      <c r="T2185" t="s">
        <v>41</v>
      </c>
      <c r="U2185">
        <v>6729.58</v>
      </c>
      <c r="V2185">
        <v>6655.55</v>
      </c>
      <c r="W2185">
        <v>6655.55</v>
      </c>
      <c r="X2185">
        <v>0</v>
      </c>
      <c r="Y2185">
        <v>0</v>
      </c>
      <c r="Z2185">
        <v>-562</v>
      </c>
      <c r="AA2185">
        <v>695706</v>
      </c>
      <c r="AD2185" t="s">
        <v>6029</v>
      </c>
      <c r="AE2185" t="s">
        <v>6030</v>
      </c>
      <c r="AF2185" t="s">
        <v>6029</v>
      </c>
      <c r="AG2185" s="1" t="s">
        <v>6031</v>
      </c>
      <c r="AH2185" t="s">
        <v>4686</v>
      </c>
    </row>
    <row r="2186" spans="1:34" x14ac:dyDescent="0.3">
      <c r="A2186">
        <v>104</v>
      </c>
      <c r="B2186" t="s">
        <v>34</v>
      </c>
      <c r="C2186">
        <v>4</v>
      </c>
      <c r="D2186" s="1" t="s">
        <v>6032</v>
      </c>
      <c r="E2186" s="1" t="s">
        <v>36</v>
      </c>
      <c r="G2186">
        <v>463699</v>
      </c>
      <c r="H2186" t="s">
        <v>6027</v>
      </c>
      <c r="I2186" t="s">
        <v>2413</v>
      </c>
      <c r="J2186">
        <v>28</v>
      </c>
      <c r="K2186">
        <v>2695</v>
      </c>
      <c r="L2186">
        <v>95000</v>
      </c>
      <c r="M2186" t="s">
        <v>69</v>
      </c>
      <c r="N2186">
        <v>574</v>
      </c>
      <c r="O2186" s="2">
        <v>46172</v>
      </c>
      <c r="P2186" s="2">
        <v>46276</v>
      </c>
      <c r="R2186" t="s">
        <v>6033</v>
      </c>
      <c r="S2186" t="str">
        <f>""</f>
        <v/>
      </c>
      <c r="T2186" t="s">
        <v>41</v>
      </c>
      <c r="U2186">
        <v>2246.16</v>
      </c>
      <c r="V2186">
        <v>2221.4499999999998</v>
      </c>
      <c r="W2186">
        <v>2221.4499999999998</v>
      </c>
      <c r="X2186">
        <v>0</v>
      </c>
      <c r="Y2186">
        <v>0</v>
      </c>
      <c r="Z2186">
        <v>-501</v>
      </c>
      <c r="AA2186">
        <v>688582</v>
      </c>
      <c r="AD2186" t="s">
        <v>6029</v>
      </c>
      <c r="AE2186" t="s">
        <v>6030</v>
      </c>
      <c r="AF2186" t="s">
        <v>6029</v>
      </c>
      <c r="AG2186" s="1" t="s">
        <v>6031</v>
      </c>
      <c r="AH2186" t="s">
        <v>4686</v>
      </c>
    </row>
    <row r="2187" spans="1:34" x14ac:dyDescent="0.3">
      <c r="A2187">
        <v>104</v>
      </c>
      <c r="B2187" t="s">
        <v>34</v>
      </c>
      <c r="C2187">
        <v>4</v>
      </c>
      <c r="D2187" s="1" t="s">
        <v>6034</v>
      </c>
      <c r="E2187" s="1" t="s">
        <v>36</v>
      </c>
      <c r="G2187">
        <v>466765</v>
      </c>
      <c r="H2187" t="s">
        <v>6035</v>
      </c>
      <c r="I2187" t="s">
        <v>2413</v>
      </c>
      <c r="J2187">
        <v>28</v>
      </c>
      <c r="K2187">
        <v>2695</v>
      </c>
      <c r="L2187">
        <v>95000</v>
      </c>
      <c r="M2187" t="s">
        <v>69</v>
      </c>
      <c r="N2187">
        <v>574</v>
      </c>
      <c r="O2187" s="2">
        <v>46234</v>
      </c>
      <c r="P2187" s="2">
        <v>46324</v>
      </c>
      <c r="R2187" t="s">
        <v>6036</v>
      </c>
      <c r="S2187" t="str">
        <f>""</f>
        <v/>
      </c>
      <c r="T2187" t="s">
        <v>41</v>
      </c>
      <c r="U2187">
        <v>5731.69</v>
      </c>
      <c r="V2187">
        <v>5668.64</v>
      </c>
      <c r="W2187">
        <v>5668.64</v>
      </c>
      <c r="X2187">
        <v>0</v>
      </c>
      <c r="Y2187">
        <v>0</v>
      </c>
      <c r="Z2187">
        <v>-549</v>
      </c>
      <c r="AA2187">
        <v>695616</v>
      </c>
      <c r="AD2187" t="s">
        <v>6037</v>
      </c>
      <c r="AF2187" t="s">
        <v>6037</v>
      </c>
      <c r="AG2187" s="1" t="s">
        <v>6038</v>
      </c>
      <c r="AH2187" t="s">
        <v>4686</v>
      </c>
    </row>
    <row r="2188" spans="1:34" x14ac:dyDescent="0.3">
      <c r="A2188">
        <v>104</v>
      </c>
      <c r="B2188" t="s">
        <v>34</v>
      </c>
      <c r="C2188">
        <v>4</v>
      </c>
      <c r="D2188" s="1" t="s">
        <v>6039</v>
      </c>
      <c r="E2188" s="1" t="s">
        <v>36</v>
      </c>
      <c r="G2188">
        <v>466765</v>
      </c>
      <c r="H2188" t="s">
        <v>6035</v>
      </c>
      <c r="I2188" t="s">
        <v>2413</v>
      </c>
      <c r="J2188">
        <v>28</v>
      </c>
      <c r="K2188">
        <v>2695</v>
      </c>
      <c r="L2188">
        <v>95000</v>
      </c>
      <c r="M2188" t="s">
        <v>69</v>
      </c>
      <c r="N2188">
        <v>574</v>
      </c>
      <c r="O2188" s="2">
        <v>46172</v>
      </c>
      <c r="P2188" s="2">
        <v>46276</v>
      </c>
      <c r="R2188" t="s">
        <v>6040</v>
      </c>
      <c r="S2188" t="str">
        <f>""</f>
        <v/>
      </c>
      <c r="T2188" t="s">
        <v>41</v>
      </c>
      <c r="U2188">
        <v>2237.71</v>
      </c>
      <c r="V2188">
        <v>2213.1</v>
      </c>
      <c r="W2188">
        <v>2213.1</v>
      </c>
      <c r="X2188">
        <v>0</v>
      </c>
      <c r="Y2188">
        <v>0</v>
      </c>
      <c r="Z2188">
        <v>-501</v>
      </c>
      <c r="AA2188">
        <v>688580</v>
      </c>
      <c r="AD2188" t="s">
        <v>6037</v>
      </c>
      <c r="AF2188" t="s">
        <v>6037</v>
      </c>
      <c r="AG2188" s="1" t="s">
        <v>6038</v>
      </c>
      <c r="AH2188" t="s">
        <v>4686</v>
      </c>
    </row>
    <row r="2189" spans="1:34" x14ac:dyDescent="0.3">
      <c r="A2189">
        <v>104</v>
      </c>
      <c r="B2189" t="s">
        <v>34</v>
      </c>
      <c r="C2189">
        <v>4</v>
      </c>
      <c r="D2189" s="1" t="s">
        <v>6041</v>
      </c>
      <c r="E2189" s="1" t="s">
        <v>36</v>
      </c>
      <c r="G2189">
        <v>469807</v>
      </c>
      <c r="H2189" t="s">
        <v>6042</v>
      </c>
      <c r="I2189" t="s">
        <v>2413</v>
      </c>
      <c r="J2189">
        <v>28</v>
      </c>
      <c r="K2189">
        <v>2695</v>
      </c>
      <c r="L2189">
        <v>95000</v>
      </c>
      <c r="M2189" t="s">
        <v>69</v>
      </c>
      <c r="N2189">
        <v>574</v>
      </c>
      <c r="O2189" s="2">
        <v>46234</v>
      </c>
      <c r="P2189" s="2">
        <v>46324</v>
      </c>
      <c r="R2189" t="s">
        <v>6043</v>
      </c>
      <c r="S2189" t="str">
        <f>""</f>
        <v/>
      </c>
      <c r="T2189" t="s">
        <v>41</v>
      </c>
      <c r="U2189">
        <v>5831.23</v>
      </c>
      <c r="V2189">
        <v>5767.09</v>
      </c>
      <c r="W2189">
        <v>5767.09</v>
      </c>
      <c r="X2189">
        <v>0</v>
      </c>
      <c r="Y2189">
        <v>0</v>
      </c>
      <c r="Z2189">
        <v>-549</v>
      </c>
      <c r="AA2189">
        <v>695708</v>
      </c>
      <c r="AD2189" t="s">
        <v>6044</v>
      </c>
      <c r="AE2189">
        <v>1134115000</v>
      </c>
      <c r="AF2189" t="s">
        <v>6044</v>
      </c>
      <c r="AG2189" s="1" t="s">
        <v>6045</v>
      </c>
      <c r="AH2189" t="s">
        <v>4686</v>
      </c>
    </row>
    <row r="2190" spans="1:34" x14ac:dyDescent="0.3">
      <c r="A2190">
        <v>104</v>
      </c>
      <c r="B2190" t="s">
        <v>34</v>
      </c>
      <c r="C2190">
        <v>4</v>
      </c>
      <c r="D2190" s="1" t="s">
        <v>6046</v>
      </c>
      <c r="E2190" s="1" t="s">
        <v>36</v>
      </c>
      <c r="G2190">
        <v>469807</v>
      </c>
      <c r="H2190" t="s">
        <v>6042</v>
      </c>
      <c r="I2190" t="s">
        <v>2413</v>
      </c>
      <c r="J2190">
        <v>28</v>
      </c>
      <c r="K2190">
        <v>2695</v>
      </c>
      <c r="L2190">
        <v>95000</v>
      </c>
      <c r="M2190" t="s">
        <v>69</v>
      </c>
      <c r="N2190">
        <v>574</v>
      </c>
      <c r="O2190" s="2">
        <v>46172</v>
      </c>
      <c r="P2190" s="2">
        <v>46276</v>
      </c>
      <c r="R2190" t="s">
        <v>6047</v>
      </c>
      <c r="S2190" t="str">
        <f>""</f>
        <v/>
      </c>
      <c r="T2190" t="s">
        <v>41</v>
      </c>
      <c r="U2190">
        <v>2447.58</v>
      </c>
      <c r="V2190">
        <v>2420.66</v>
      </c>
      <c r="W2190">
        <v>2420.66</v>
      </c>
      <c r="X2190">
        <v>0</v>
      </c>
      <c r="Y2190">
        <v>0</v>
      </c>
      <c r="Z2190">
        <v>-501</v>
      </c>
      <c r="AA2190">
        <v>688583</v>
      </c>
      <c r="AD2190" t="s">
        <v>6044</v>
      </c>
      <c r="AE2190">
        <v>1134115000</v>
      </c>
      <c r="AF2190" t="s">
        <v>6044</v>
      </c>
      <c r="AG2190" s="1" t="s">
        <v>6045</v>
      </c>
      <c r="AH2190" t="s">
        <v>4686</v>
      </c>
    </row>
    <row r="2191" spans="1:34" x14ac:dyDescent="0.3">
      <c r="A2191">
        <v>101</v>
      </c>
      <c r="B2191" t="s">
        <v>34</v>
      </c>
      <c r="C2191">
        <v>2</v>
      </c>
      <c r="D2191" s="1" t="s">
        <v>6048</v>
      </c>
      <c r="E2191" s="1" t="s">
        <v>36</v>
      </c>
      <c r="G2191">
        <v>2796</v>
      </c>
      <c r="H2191" t="s">
        <v>6049</v>
      </c>
      <c r="I2191" t="s">
        <v>6050</v>
      </c>
      <c r="J2191">
        <v>12</v>
      </c>
      <c r="K2191">
        <v>10947</v>
      </c>
      <c r="L2191">
        <v>50341</v>
      </c>
      <c r="M2191" t="s">
        <v>146</v>
      </c>
      <c r="N2191">
        <v>583</v>
      </c>
      <c r="O2191" s="2">
        <v>46239</v>
      </c>
      <c r="P2191" s="2">
        <v>46299</v>
      </c>
      <c r="R2191" t="s">
        <v>6051</v>
      </c>
      <c r="S2191" t="str">
        <f>"00013594"</f>
        <v>00013594</v>
      </c>
      <c r="T2191" t="s">
        <v>41</v>
      </c>
      <c r="U2191">
        <v>12414.23</v>
      </c>
      <c r="V2191">
        <v>11793.52</v>
      </c>
      <c r="W2191">
        <v>11793.52</v>
      </c>
      <c r="X2191">
        <v>0</v>
      </c>
      <c r="Y2191">
        <v>0</v>
      </c>
      <c r="Z2191">
        <v>-524</v>
      </c>
      <c r="AA2191">
        <v>4281</v>
      </c>
      <c r="AD2191" t="s">
        <v>6052</v>
      </c>
      <c r="AE2191" t="s">
        <v>6053</v>
      </c>
      <c r="AF2191" t="s">
        <v>6052</v>
      </c>
      <c r="AG2191" s="1" t="s">
        <v>6054</v>
      </c>
      <c r="AH2191" t="s">
        <v>714</v>
      </c>
    </row>
    <row r="2192" spans="1:34" x14ac:dyDescent="0.3">
      <c r="A2192">
        <v>101</v>
      </c>
      <c r="B2192" t="s">
        <v>34</v>
      </c>
      <c r="C2192">
        <v>2</v>
      </c>
      <c r="D2192" s="1" t="s">
        <v>6055</v>
      </c>
      <c r="E2192" s="1" t="s">
        <v>36</v>
      </c>
      <c r="G2192">
        <v>3058</v>
      </c>
      <c r="H2192" t="s">
        <v>6056</v>
      </c>
      <c r="I2192" t="s">
        <v>6057</v>
      </c>
      <c r="J2192">
        <v>12</v>
      </c>
      <c r="K2192">
        <v>10947</v>
      </c>
      <c r="L2192">
        <v>50033</v>
      </c>
      <c r="M2192" t="s">
        <v>39</v>
      </c>
      <c r="N2192">
        <v>583</v>
      </c>
      <c r="O2192" s="2">
        <v>46239</v>
      </c>
      <c r="P2192" s="2">
        <v>46299</v>
      </c>
      <c r="R2192" t="s">
        <v>6058</v>
      </c>
      <c r="S2192" t="str">
        <f>"0000050412450"</f>
        <v>0000050412450</v>
      </c>
      <c r="T2192" t="s">
        <v>41</v>
      </c>
      <c r="U2192">
        <v>8350.26</v>
      </c>
      <c r="V2192">
        <v>7932.75</v>
      </c>
      <c r="W2192">
        <v>7932.75</v>
      </c>
      <c r="X2192">
        <v>0</v>
      </c>
      <c r="Y2192">
        <v>0</v>
      </c>
      <c r="Z2192">
        <v>-524</v>
      </c>
      <c r="AA2192">
        <v>4288</v>
      </c>
      <c r="AD2192" t="s">
        <v>6052</v>
      </c>
      <c r="AE2192" t="s">
        <v>6059</v>
      </c>
      <c r="AF2192" t="s">
        <v>6052</v>
      </c>
      <c r="AG2192">
        <v>37193828000113</v>
      </c>
      <c r="AH2192" t="s">
        <v>714</v>
      </c>
    </row>
    <row r="2193" spans="1:34" x14ac:dyDescent="0.3">
      <c r="A2193">
        <v>101</v>
      </c>
      <c r="B2193" t="s">
        <v>34</v>
      </c>
      <c r="C2193">
        <v>2</v>
      </c>
      <c r="D2193" s="1" t="s">
        <v>6060</v>
      </c>
      <c r="E2193" s="1" t="s">
        <v>122</v>
      </c>
      <c r="G2193">
        <v>8595</v>
      </c>
      <c r="H2193" t="s">
        <v>6061</v>
      </c>
      <c r="I2193" t="s">
        <v>6062</v>
      </c>
      <c r="J2193">
        <v>12</v>
      </c>
      <c r="K2193">
        <v>8595</v>
      </c>
      <c r="L2193">
        <v>50033</v>
      </c>
      <c r="M2193" t="s">
        <v>39</v>
      </c>
      <c r="N2193">
        <v>583</v>
      </c>
      <c r="O2193" s="2">
        <v>46239</v>
      </c>
      <c r="P2193" s="2">
        <v>46284</v>
      </c>
      <c r="R2193" t="s">
        <v>6063</v>
      </c>
      <c r="S2193" t="str">
        <f>"0000050412477"</f>
        <v>0000050412477</v>
      </c>
      <c r="T2193" t="s">
        <v>41</v>
      </c>
      <c r="U2193">
        <v>1760.59</v>
      </c>
      <c r="V2193">
        <v>1760.59</v>
      </c>
      <c r="W2193">
        <v>1760.59</v>
      </c>
      <c r="X2193">
        <v>0</v>
      </c>
      <c r="Y2193">
        <v>0</v>
      </c>
      <c r="Z2193">
        <v>-509</v>
      </c>
      <c r="AA2193">
        <v>4286</v>
      </c>
      <c r="AD2193" t="s">
        <v>6064</v>
      </c>
      <c r="AE2193" t="s">
        <v>6065</v>
      </c>
      <c r="AF2193" t="s">
        <v>6064</v>
      </c>
      <c r="AG2193" s="1" t="s">
        <v>6066</v>
      </c>
      <c r="AH2193" t="s">
        <v>714</v>
      </c>
    </row>
    <row r="2194" spans="1:34" x14ac:dyDescent="0.3">
      <c r="A2194">
        <v>101</v>
      </c>
      <c r="B2194" t="s">
        <v>34</v>
      </c>
      <c r="C2194">
        <v>2</v>
      </c>
      <c r="D2194" s="1" t="s">
        <v>6060</v>
      </c>
      <c r="E2194" s="1" t="s">
        <v>36</v>
      </c>
      <c r="G2194">
        <v>8595</v>
      </c>
      <c r="H2194" t="s">
        <v>6061</v>
      </c>
      <c r="I2194" t="s">
        <v>6062</v>
      </c>
      <c r="J2194">
        <v>12</v>
      </c>
      <c r="K2194">
        <v>8595</v>
      </c>
      <c r="L2194">
        <v>50033</v>
      </c>
      <c r="M2194" t="s">
        <v>39</v>
      </c>
      <c r="N2194">
        <v>583</v>
      </c>
      <c r="O2194" s="2">
        <v>46239</v>
      </c>
      <c r="P2194" s="2">
        <v>46274</v>
      </c>
      <c r="R2194" t="s">
        <v>6063</v>
      </c>
      <c r="S2194" t="str">
        <f>"0000050412469"</f>
        <v>0000050412469</v>
      </c>
      <c r="T2194" t="s">
        <v>41</v>
      </c>
      <c r="U2194">
        <v>1890.18</v>
      </c>
      <c r="V2194">
        <v>1890.18</v>
      </c>
      <c r="W2194">
        <v>1890.18</v>
      </c>
      <c r="X2194">
        <v>0</v>
      </c>
      <c r="Y2194">
        <v>0</v>
      </c>
      <c r="Z2194">
        <v>-499</v>
      </c>
      <c r="AA2194">
        <v>4286</v>
      </c>
      <c r="AD2194" t="s">
        <v>6064</v>
      </c>
      <c r="AE2194" t="s">
        <v>6065</v>
      </c>
      <c r="AF2194" t="s">
        <v>6064</v>
      </c>
      <c r="AG2194" s="1" t="s">
        <v>6066</v>
      </c>
      <c r="AH2194" t="s">
        <v>714</v>
      </c>
    </row>
    <row r="2195" spans="1:34" x14ac:dyDescent="0.3">
      <c r="A2195">
        <v>101</v>
      </c>
      <c r="B2195" t="s">
        <v>34</v>
      </c>
      <c r="C2195">
        <v>2</v>
      </c>
      <c r="D2195" s="1" t="s">
        <v>6060</v>
      </c>
      <c r="E2195" s="1" t="s">
        <v>116</v>
      </c>
      <c r="G2195">
        <v>8595</v>
      </c>
      <c r="H2195" t="s">
        <v>6061</v>
      </c>
      <c r="I2195" t="s">
        <v>6062</v>
      </c>
      <c r="J2195">
        <v>12</v>
      </c>
      <c r="K2195">
        <v>8595</v>
      </c>
      <c r="L2195">
        <v>50033</v>
      </c>
      <c r="M2195" t="s">
        <v>39</v>
      </c>
      <c r="N2195">
        <v>583</v>
      </c>
      <c r="O2195" s="2">
        <v>46239</v>
      </c>
      <c r="P2195" s="2">
        <v>46294</v>
      </c>
      <c r="R2195" t="s">
        <v>6063</v>
      </c>
      <c r="S2195" t="str">
        <f>"0000050412485"</f>
        <v>0000050412485</v>
      </c>
      <c r="T2195" t="s">
        <v>41</v>
      </c>
      <c r="U2195">
        <v>1761.13</v>
      </c>
      <c r="V2195">
        <v>1761.13</v>
      </c>
      <c r="W2195">
        <v>1761.13</v>
      </c>
      <c r="X2195">
        <v>0</v>
      </c>
      <c r="Y2195">
        <v>0</v>
      </c>
      <c r="Z2195">
        <v>-519</v>
      </c>
      <c r="AA2195">
        <v>4286</v>
      </c>
      <c r="AD2195" t="s">
        <v>6064</v>
      </c>
      <c r="AE2195" t="s">
        <v>6065</v>
      </c>
      <c r="AF2195" t="s">
        <v>6064</v>
      </c>
      <c r="AG2195" s="1" t="s">
        <v>6066</v>
      </c>
      <c r="AH2195" t="s">
        <v>714</v>
      </c>
    </row>
    <row r="2196" spans="1:34" x14ac:dyDescent="0.3">
      <c r="A2196">
        <v>101</v>
      </c>
      <c r="B2196" t="s">
        <v>34</v>
      </c>
      <c r="C2196">
        <v>2</v>
      </c>
      <c r="D2196" s="1" t="s">
        <v>6067</v>
      </c>
      <c r="E2196" s="1" t="s">
        <v>36</v>
      </c>
      <c r="G2196">
        <v>9317</v>
      </c>
      <c r="H2196" t="s">
        <v>6068</v>
      </c>
      <c r="I2196" t="s">
        <v>6069</v>
      </c>
      <c r="J2196">
        <v>15</v>
      </c>
      <c r="K2196">
        <v>9317</v>
      </c>
      <c r="L2196">
        <v>50033</v>
      </c>
      <c r="M2196" t="s">
        <v>39</v>
      </c>
      <c r="N2196">
        <v>583</v>
      </c>
      <c r="O2196" s="2">
        <v>46225</v>
      </c>
      <c r="P2196" s="2">
        <v>46260</v>
      </c>
      <c r="R2196" t="s">
        <v>6070</v>
      </c>
      <c r="S2196" t="str">
        <f>"0000050410504"</f>
        <v>0000050410504</v>
      </c>
      <c r="T2196" t="s">
        <v>41</v>
      </c>
      <c r="U2196">
        <v>2452.06</v>
      </c>
      <c r="V2196">
        <v>2378.5</v>
      </c>
      <c r="W2196">
        <v>2378.5</v>
      </c>
      <c r="X2196">
        <v>0</v>
      </c>
      <c r="Y2196">
        <v>0</v>
      </c>
      <c r="Z2196">
        <v>-485</v>
      </c>
      <c r="AA2196">
        <v>1510</v>
      </c>
      <c r="AD2196" t="s">
        <v>6071</v>
      </c>
      <c r="AE2196" t="s">
        <v>6072</v>
      </c>
      <c r="AF2196" t="s">
        <v>6071</v>
      </c>
      <c r="AG2196" s="1" t="s">
        <v>6073</v>
      </c>
      <c r="AH2196" t="s">
        <v>714</v>
      </c>
    </row>
    <row r="2197" spans="1:34" x14ac:dyDescent="0.3">
      <c r="A2197">
        <v>101</v>
      </c>
      <c r="B2197" t="s">
        <v>34</v>
      </c>
      <c r="C2197">
        <v>2</v>
      </c>
      <c r="D2197" s="1" t="s">
        <v>6074</v>
      </c>
      <c r="E2197" s="1" t="s">
        <v>36</v>
      </c>
      <c r="G2197">
        <v>10934</v>
      </c>
      <c r="H2197" t="s">
        <v>6075</v>
      </c>
      <c r="I2197" t="s">
        <v>6069</v>
      </c>
      <c r="J2197">
        <v>15</v>
      </c>
      <c r="K2197">
        <v>9317</v>
      </c>
      <c r="L2197">
        <v>50341</v>
      </c>
      <c r="M2197" t="s">
        <v>146</v>
      </c>
      <c r="N2197">
        <v>583</v>
      </c>
      <c r="O2197" s="2">
        <v>46225</v>
      </c>
      <c r="P2197" s="2">
        <v>46260</v>
      </c>
      <c r="R2197" t="s">
        <v>6076</v>
      </c>
      <c r="S2197" t="str">
        <f>"00013189"</f>
        <v>00013189</v>
      </c>
      <c r="T2197" t="s">
        <v>41</v>
      </c>
      <c r="U2197">
        <v>7621.68</v>
      </c>
      <c r="V2197">
        <v>7393.03</v>
      </c>
      <c r="W2197">
        <v>7393.03</v>
      </c>
      <c r="X2197">
        <v>0</v>
      </c>
      <c r="Y2197">
        <v>0</v>
      </c>
      <c r="Z2197">
        <v>-485</v>
      </c>
      <c r="AA2197">
        <v>1512</v>
      </c>
      <c r="AD2197" t="s">
        <v>1426</v>
      </c>
      <c r="AE2197" t="s">
        <v>6077</v>
      </c>
      <c r="AF2197" t="s">
        <v>1426</v>
      </c>
      <c r="AG2197" s="1" t="s">
        <v>6078</v>
      </c>
      <c r="AH2197" t="s">
        <v>714</v>
      </c>
    </row>
    <row r="2198" spans="1:34" x14ac:dyDescent="0.3">
      <c r="A2198">
        <v>101</v>
      </c>
      <c r="B2198" t="s">
        <v>34</v>
      </c>
      <c r="C2198">
        <v>2</v>
      </c>
      <c r="D2198" s="1" t="s">
        <v>6079</v>
      </c>
      <c r="E2198" s="1" t="s">
        <v>36</v>
      </c>
      <c r="G2198">
        <v>11407</v>
      </c>
      <c r="H2198" t="s">
        <v>6080</v>
      </c>
      <c r="I2198" t="s">
        <v>6069</v>
      </c>
      <c r="J2198">
        <v>15</v>
      </c>
      <c r="K2198">
        <v>9317</v>
      </c>
      <c r="L2198">
        <v>50341</v>
      </c>
      <c r="M2198" t="s">
        <v>146</v>
      </c>
      <c r="N2198">
        <v>583</v>
      </c>
      <c r="O2198" s="2">
        <v>46230</v>
      </c>
      <c r="P2198" s="2">
        <v>46265</v>
      </c>
      <c r="R2198" t="s">
        <v>6081</v>
      </c>
      <c r="S2198" t="str">
        <f>"00013326"</f>
        <v>00013326</v>
      </c>
      <c r="T2198" t="s">
        <v>41</v>
      </c>
      <c r="U2198">
        <v>5194.3</v>
      </c>
      <c r="V2198">
        <v>5038.47</v>
      </c>
      <c r="W2198">
        <v>5038.47</v>
      </c>
      <c r="X2198">
        <v>0</v>
      </c>
      <c r="Y2198">
        <v>0</v>
      </c>
      <c r="Z2198">
        <v>-490</v>
      </c>
      <c r="AA2198">
        <v>1515</v>
      </c>
      <c r="AD2198" t="s">
        <v>818</v>
      </c>
      <c r="AE2198" t="s">
        <v>6082</v>
      </c>
      <c r="AF2198" t="s">
        <v>818</v>
      </c>
      <c r="AG2198" s="1" t="s">
        <v>6083</v>
      </c>
      <c r="AH2198" t="s">
        <v>714</v>
      </c>
    </row>
    <row r="2199" spans="1:34" x14ac:dyDescent="0.3">
      <c r="A2199">
        <v>101</v>
      </c>
      <c r="B2199" t="s">
        <v>34</v>
      </c>
      <c r="C2199">
        <v>2</v>
      </c>
      <c r="D2199" s="1" t="s">
        <v>6084</v>
      </c>
      <c r="E2199" s="1" t="s">
        <v>36</v>
      </c>
      <c r="G2199">
        <v>409726</v>
      </c>
      <c r="H2199" t="s">
        <v>6085</v>
      </c>
      <c r="I2199" t="s">
        <v>6086</v>
      </c>
      <c r="J2199">
        <v>12</v>
      </c>
      <c r="K2199">
        <v>409726</v>
      </c>
      <c r="L2199">
        <v>50033</v>
      </c>
      <c r="M2199" t="s">
        <v>39</v>
      </c>
      <c r="N2199">
        <v>583</v>
      </c>
      <c r="O2199" s="2">
        <v>46239</v>
      </c>
      <c r="P2199" s="2">
        <v>46279</v>
      </c>
      <c r="R2199" t="s">
        <v>6087</v>
      </c>
      <c r="S2199" t="str">
        <f>"0000050412493"</f>
        <v>0000050412493</v>
      </c>
      <c r="T2199" t="s">
        <v>41</v>
      </c>
      <c r="U2199">
        <v>6790.74</v>
      </c>
      <c r="V2199">
        <v>6790.74</v>
      </c>
      <c r="W2199">
        <v>6790.74</v>
      </c>
      <c r="X2199">
        <v>0</v>
      </c>
      <c r="Y2199">
        <v>0</v>
      </c>
      <c r="Z2199">
        <v>-504</v>
      </c>
      <c r="AA2199">
        <v>4284</v>
      </c>
      <c r="AD2199" t="s">
        <v>6088</v>
      </c>
      <c r="AE2199" t="s">
        <v>6089</v>
      </c>
      <c r="AF2199" t="s">
        <v>6088</v>
      </c>
      <c r="AG2199" s="1" t="s">
        <v>6090</v>
      </c>
      <c r="AH2199" t="s">
        <v>714</v>
      </c>
    </row>
    <row r="2200" spans="1:34" x14ac:dyDescent="0.3">
      <c r="A2200">
        <v>101</v>
      </c>
      <c r="B2200" t="s">
        <v>34</v>
      </c>
      <c r="C2200">
        <v>2</v>
      </c>
      <c r="D2200" s="1" t="s">
        <v>6091</v>
      </c>
      <c r="E2200" s="1" t="s">
        <v>36</v>
      </c>
      <c r="G2200">
        <v>436022</v>
      </c>
      <c r="H2200" t="s">
        <v>6092</v>
      </c>
      <c r="I2200" t="s">
        <v>6093</v>
      </c>
      <c r="J2200">
        <v>12</v>
      </c>
      <c r="K2200">
        <v>10947</v>
      </c>
      <c r="L2200">
        <v>50033</v>
      </c>
      <c r="M2200" t="s">
        <v>39</v>
      </c>
      <c r="N2200">
        <v>583</v>
      </c>
      <c r="O2200" s="2">
        <v>46239</v>
      </c>
      <c r="P2200" s="2">
        <v>46299</v>
      </c>
      <c r="R2200" t="s">
        <v>6094</v>
      </c>
      <c r="S2200" t="str">
        <f>"0000050412507"</f>
        <v>0000050412507</v>
      </c>
      <c r="T2200" t="s">
        <v>41</v>
      </c>
      <c r="U2200">
        <v>10804.41</v>
      </c>
      <c r="V2200">
        <v>10264.19</v>
      </c>
      <c r="W2200">
        <v>10264.19</v>
      </c>
      <c r="X2200">
        <v>0</v>
      </c>
      <c r="Y2200">
        <v>0</v>
      </c>
      <c r="Z2200">
        <v>-524</v>
      </c>
      <c r="AA2200">
        <v>4280</v>
      </c>
      <c r="AD2200" t="s">
        <v>6052</v>
      </c>
      <c r="AE2200" t="s">
        <v>6095</v>
      </c>
      <c r="AF2200" t="s">
        <v>6052</v>
      </c>
      <c r="AG2200">
        <v>19088260000199</v>
      </c>
      <c r="AH2200" t="s">
        <v>714</v>
      </c>
    </row>
    <row r="2201" spans="1:34" x14ac:dyDescent="0.3">
      <c r="A2201">
        <v>101</v>
      </c>
      <c r="B2201" t="s">
        <v>34</v>
      </c>
      <c r="C2201">
        <v>2</v>
      </c>
      <c r="D2201" s="1" t="s">
        <v>6096</v>
      </c>
      <c r="E2201" s="1" t="s">
        <v>36</v>
      </c>
      <c r="G2201">
        <v>436895</v>
      </c>
      <c r="H2201" t="s">
        <v>6097</v>
      </c>
      <c r="I2201" t="s">
        <v>2413</v>
      </c>
      <c r="J2201">
        <v>28</v>
      </c>
      <c r="K2201">
        <v>2695</v>
      </c>
      <c r="L2201">
        <v>95000</v>
      </c>
      <c r="M2201" t="s">
        <v>69</v>
      </c>
      <c r="N2201">
        <v>583</v>
      </c>
      <c r="O2201" s="2">
        <v>46231</v>
      </c>
      <c r="P2201" s="2">
        <v>46337</v>
      </c>
      <c r="R2201" t="s">
        <v>6098</v>
      </c>
      <c r="S2201" t="str">
        <f>""</f>
        <v/>
      </c>
      <c r="T2201" t="s">
        <v>41</v>
      </c>
      <c r="U2201">
        <v>11839.61</v>
      </c>
      <c r="V2201">
        <v>11709.37</v>
      </c>
      <c r="W2201">
        <v>11709.37</v>
      </c>
      <c r="X2201">
        <v>0</v>
      </c>
      <c r="Y2201">
        <v>0</v>
      </c>
      <c r="Z2201">
        <v>-562</v>
      </c>
      <c r="AA2201">
        <v>695355</v>
      </c>
      <c r="AD2201" t="s">
        <v>1089</v>
      </c>
      <c r="AF2201" t="s">
        <v>1089</v>
      </c>
      <c r="AG2201" s="1" t="s">
        <v>6099</v>
      </c>
      <c r="AH2201" t="s">
        <v>714</v>
      </c>
    </row>
    <row r="2202" spans="1:34" x14ac:dyDescent="0.3">
      <c r="A2202">
        <v>101</v>
      </c>
      <c r="B2202" t="s">
        <v>34</v>
      </c>
      <c r="C2202">
        <v>2</v>
      </c>
      <c r="D2202" s="1" t="s">
        <v>6100</v>
      </c>
      <c r="E2202" s="1" t="s">
        <v>36</v>
      </c>
      <c r="G2202">
        <v>436895</v>
      </c>
      <c r="H2202" t="s">
        <v>6097</v>
      </c>
      <c r="I2202" t="s">
        <v>2413</v>
      </c>
      <c r="J2202">
        <v>28</v>
      </c>
      <c r="K2202">
        <v>2695</v>
      </c>
      <c r="L2202">
        <v>95000</v>
      </c>
      <c r="M2202" t="s">
        <v>69</v>
      </c>
      <c r="N2202">
        <v>583</v>
      </c>
      <c r="O2202" s="2">
        <v>46188</v>
      </c>
      <c r="P2202" s="2">
        <v>46296</v>
      </c>
      <c r="R2202" t="s">
        <v>6101</v>
      </c>
      <c r="S2202" t="str">
        <f>""</f>
        <v/>
      </c>
      <c r="T2202" t="s">
        <v>41</v>
      </c>
      <c r="U2202">
        <v>10105.65</v>
      </c>
      <c r="V2202">
        <v>9994.49</v>
      </c>
      <c r="W2202">
        <v>9994.49</v>
      </c>
      <c r="X2202">
        <v>0</v>
      </c>
      <c r="Y2202">
        <v>0</v>
      </c>
      <c r="Z2202">
        <v>-521</v>
      </c>
      <c r="AA2202">
        <v>691177</v>
      </c>
      <c r="AD2202" t="s">
        <v>1089</v>
      </c>
      <c r="AF2202" t="s">
        <v>1089</v>
      </c>
      <c r="AG2202" s="1" t="s">
        <v>6099</v>
      </c>
      <c r="AH2202" t="s">
        <v>714</v>
      </c>
    </row>
    <row r="2203" spans="1:34" x14ac:dyDescent="0.3">
      <c r="A2203">
        <v>101</v>
      </c>
      <c r="B2203" t="s">
        <v>34</v>
      </c>
      <c r="C2203">
        <v>2</v>
      </c>
      <c r="D2203" s="1" t="s">
        <v>6102</v>
      </c>
      <c r="E2203" s="1" t="s">
        <v>36</v>
      </c>
      <c r="G2203">
        <v>436895</v>
      </c>
      <c r="H2203" t="s">
        <v>6097</v>
      </c>
      <c r="I2203" t="s">
        <v>2413</v>
      </c>
      <c r="J2203">
        <v>28</v>
      </c>
      <c r="K2203">
        <v>2695</v>
      </c>
      <c r="L2203">
        <v>95000</v>
      </c>
      <c r="M2203" t="s">
        <v>69</v>
      </c>
      <c r="N2203">
        <v>583</v>
      </c>
      <c r="O2203" s="2">
        <v>46199</v>
      </c>
      <c r="P2203" s="2">
        <v>46308</v>
      </c>
      <c r="R2203" t="s">
        <v>6103</v>
      </c>
      <c r="S2203" t="str">
        <f>""</f>
        <v/>
      </c>
      <c r="T2203" t="s">
        <v>41</v>
      </c>
      <c r="U2203">
        <v>14162.39</v>
      </c>
      <c r="V2203">
        <v>14006.6</v>
      </c>
      <c r="W2203">
        <v>14006.6</v>
      </c>
      <c r="X2203">
        <v>0</v>
      </c>
      <c r="Y2203">
        <v>0</v>
      </c>
      <c r="Z2203">
        <v>-533</v>
      </c>
      <c r="AA2203">
        <v>692898</v>
      </c>
      <c r="AD2203" t="s">
        <v>1089</v>
      </c>
      <c r="AF2203" t="s">
        <v>1089</v>
      </c>
      <c r="AG2203" s="1" t="s">
        <v>6099</v>
      </c>
      <c r="AH2203" t="s">
        <v>714</v>
      </c>
    </row>
    <row r="2204" spans="1:34" x14ac:dyDescent="0.3">
      <c r="A2204">
        <v>101</v>
      </c>
      <c r="B2204" t="s">
        <v>34</v>
      </c>
      <c r="C2204">
        <v>2</v>
      </c>
      <c r="D2204" s="1" t="s">
        <v>6104</v>
      </c>
      <c r="E2204" s="1" t="s">
        <v>36</v>
      </c>
      <c r="G2204">
        <v>436896</v>
      </c>
      <c r="H2204" t="s">
        <v>6105</v>
      </c>
      <c r="I2204" t="s">
        <v>2413</v>
      </c>
      <c r="J2204">
        <v>28</v>
      </c>
      <c r="K2204">
        <v>2695</v>
      </c>
      <c r="L2204">
        <v>95000</v>
      </c>
      <c r="M2204" t="s">
        <v>69</v>
      </c>
      <c r="N2204">
        <v>583</v>
      </c>
      <c r="O2204" s="2">
        <v>46199</v>
      </c>
      <c r="P2204" s="2">
        <v>46308</v>
      </c>
      <c r="R2204" t="s">
        <v>6106</v>
      </c>
      <c r="S2204" t="str">
        <f>""</f>
        <v/>
      </c>
      <c r="T2204" t="s">
        <v>41</v>
      </c>
      <c r="U2204">
        <v>15857.63</v>
      </c>
      <c r="V2204">
        <v>15683.2</v>
      </c>
      <c r="W2204">
        <v>15683.2</v>
      </c>
      <c r="X2204">
        <v>0</v>
      </c>
      <c r="Y2204">
        <v>0</v>
      </c>
      <c r="Z2204">
        <v>-533</v>
      </c>
      <c r="AA2204">
        <v>692900</v>
      </c>
      <c r="AD2204" t="s">
        <v>1089</v>
      </c>
      <c r="AF2204" t="s">
        <v>1089</v>
      </c>
      <c r="AG2204" s="1" t="s">
        <v>6107</v>
      </c>
      <c r="AH2204" t="s">
        <v>714</v>
      </c>
    </row>
    <row r="2205" spans="1:34" x14ac:dyDescent="0.3">
      <c r="A2205">
        <v>101</v>
      </c>
      <c r="B2205" t="s">
        <v>34</v>
      </c>
      <c r="C2205">
        <v>2</v>
      </c>
      <c r="D2205" s="1" t="s">
        <v>6108</v>
      </c>
      <c r="E2205" s="1" t="s">
        <v>36</v>
      </c>
      <c r="G2205">
        <v>436896</v>
      </c>
      <c r="H2205" t="s">
        <v>6105</v>
      </c>
      <c r="I2205" t="s">
        <v>2413</v>
      </c>
      <c r="J2205">
        <v>28</v>
      </c>
      <c r="K2205">
        <v>2695</v>
      </c>
      <c r="L2205">
        <v>95000</v>
      </c>
      <c r="M2205" t="s">
        <v>69</v>
      </c>
      <c r="N2205">
        <v>583</v>
      </c>
      <c r="O2205" s="2">
        <v>46188</v>
      </c>
      <c r="P2205" s="2">
        <v>46308</v>
      </c>
      <c r="R2205" t="s">
        <v>6109</v>
      </c>
      <c r="S2205" t="str">
        <f>""</f>
        <v/>
      </c>
      <c r="T2205" t="s">
        <v>41</v>
      </c>
      <c r="U2205">
        <v>8480.56</v>
      </c>
      <c r="V2205">
        <v>8387.27</v>
      </c>
      <c r="W2205">
        <v>8387.27</v>
      </c>
      <c r="X2205">
        <v>0</v>
      </c>
      <c r="Y2205">
        <v>0</v>
      </c>
      <c r="Z2205">
        <v>-533</v>
      </c>
      <c r="AA2205">
        <v>691179</v>
      </c>
      <c r="AD2205" t="s">
        <v>1089</v>
      </c>
      <c r="AF2205" t="s">
        <v>1089</v>
      </c>
      <c r="AG2205" s="1" t="s">
        <v>6107</v>
      </c>
      <c r="AH2205" t="s">
        <v>714</v>
      </c>
    </row>
    <row r="2206" spans="1:34" x14ac:dyDescent="0.3">
      <c r="A2206">
        <v>101</v>
      </c>
      <c r="B2206" t="s">
        <v>34</v>
      </c>
      <c r="C2206">
        <v>2</v>
      </c>
      <c r="D2206" s="1" t="s">
        <v>6110</v>
      </c>
      <c r="E2206" s="1" t="s">
        <v>36</v>
      </c>
      <c r="G2206">
        <v>436896</v>
      </c>
      <c r="H2206" t="s">
        <v>6105</v>
      </c>
      <c r="I2206" t="s">
        <v>2413</v>
      </c>
      <c r="J2206">
        <v>28</v>
      </c>
      <c r="K2206">
        <v>2695</v>
      </c>
      <c r="L2206">
        <v>95000</v>
      </c>
      <c r="M2206" t="s">
        <v>69</v>
      </c>
      <c r="N2206">
        <v>583</v>
      </c>
      <c r="O2206" s="2">
        <v>46231</v>
      </c>
      <c r="P2206" s="2">
        <v>46337</v>
      </c>
      <c r="R2206" t="s">
        <v>6111</v>
      </c>
      <c r="S2206" t="str">
        <f>""</f>
        <v/>
      </c>
      <c r="T2206" t="s">
        <v>41</v>
      </c>
      <c r="U2206">
        <v>1784.83</v>
      </c>
      <c r="V2206">
        <v>1765.2</v>
      </c>
      <c r="W2206">
        <v>1765.2</v>
      </c>
      <c r="X2206">
        <v>0</v>
      </c>
      <c r="Y2206">
        <v>0</v>
      </c>
      <c r="Z2206">
        <v>-562</v>
      </c>
      <c r="AA2206">
        <v>695357</v>
      </c>
      <c r="AD2206" t="s">
        <v>1089</v>
      </c>
      <c r="AF2206" t="s">
        <v>1089</v>
      </c>
      <c r="AG2206" s="1" t="s">
        <v>6107</v>
      </c>
      <c r="AH2206" t="s">
        <v>714</v>
      </c>
    </row>
    <row r="2207" spans="1:34" x14ac:dyDescent="0.3">
      <c r="A2207">
        <v>101</v>
      </c>
      <c r="B2207" t="s">
        <v>34</v>
      </c>
      <c r="C2207">
        <v>2</v>
      </c>
      <c r="D2207" s="1" t="s">
        <v>6112</v>
      </c>
      <c r="E2207" s="1" t="s">
        <v>36</v>
      </c>
      <c r="G2207">
        <v>436897</v>
      </c>
      <c r="H2207" t="s">
        <v>6113</v>
      </c>
      <c r="I2207" t="s">
        <v>2413</v>
      </c>
      <c r="J2207">
        <v>28</v>
      </c>
      <c r="K2207">
        <v>2695</v>
      </c>
      <c r="L2207">
        <v>95000</v>
      </c>
      <c r="M2207" t="s">
        <v>69</v>
      </c>
      <c r="N2207">
        <v>583</v>
      </c>
      <c r="O2207" s="2">
        <v>46188</v>
      </c>
      <c r="P2207" s="2">
        <v>46296</v>
      </c>
      <c r="R2207" t="s">
        <v>6114</v>
      </c>
      <c r="S2207" t="str">
        <f>""</f>
        <v/>
      </c>
      <c r="T2207" t="s">
        <v>41</v>
      </c>
      <c r="U2207">
        <v>31629.72</v>
      </c>
      <c r="V2207">
        <v>31281.79</v>
      </c>
      <c r="W2207">
        <v>31281.79</v>
      </c>
      <c r="X2207">
        <v>0</v>
      </c>
      <c r="Y2207">
        <v>0</v>
      </c>
      <c r="Z2207">
        <v>-521</v>
      </c>
      <c r="AA2207">
        <v>691183</v>
      </c>
      <c r="AD2207" t="s">
        <v>731</v>
      </c>
      <c r="AF2207" t="s">
        <v>731</v>
      </c>
      <c r="AG2207" s="1" t="s">
        <v>6115</v>
      </c>
      <c r="AH2207" t="s">
        <v>714</v>
      </c>
    </row>
    <row r="2208" spans="1:34" x14ac:dyDescent="0.3">
      <c r="A2208">
        <v>101</v>
      </c>
      <c r="B2208" t="s">
        <v>34</v>
      </c>
      <c r="C2208">
        <v>2</v>
      </c>
      <c r="D2208" s="1" t="s">
        <v>6116</v>
      </c>
      <c r="E2208" s="1" t="s">
        <v>36</v>
      </c>
      <c r="G2208">
        <v>436897</v>
      </c>
      <c r="H2208" t="s">
        <v>6113</v>
      </c>
      <c r="I2208" t="s">
        <v>2413</v>
      </c>
      <c r="J2208">
        <v>28</v>
      </c>
      <c r="K2208">
        <v>2695</v>
      </c>
      <c r="L2208">
        <v>95000</v>
      </c>
      <c r="M2208" t="s">
        <v>69</v>
      </c>
      <c r="N2208">
        <v>583</v>
      </c>
      <c r="O2208" s="2">
        <v>46231</v>
      </c>
      <c r="P2208" s="2">
        <v>46337</v>
      </c>
      <c r="R2208" t="s">
        <v>6117</v>
      </c>
      <c r="S2208" t="str">
        <f>""</f>
        <v/>
      </c>
      <c r="T2208" t="s">
        <v>41</v>
      </c>
      <c r="U2208">
        <v>32571.68</v>
      </c>
      <c r="V2208">
        <v>32213.39</v>
      </c>
      <c r="W2208">
        <v>32213.39</v>
      </c>
      <c r="X2208">
        <v>0</v>
      </c>
      <c r="Y2208">
        <v>0</v>
      </c>
      <c r="Z2208">
        <v>-562</v>
      </c>
      <c r="AA2208">
        <v>695361</v>
      </c>
      <c r="AD2208" t="s">
        <v>731</v>
      </c>
      <c r="AF2208" t="s">
        <v>731</v>
      </c>
      <c r="AG2208" s="1" t="s">
        <v>6115</v>
      </c>
      <c r="AH2208" t="s">
        <v>714</v>
      </c>
    </row>
    <row r="2209" spans="1:34" x14ac:dyDescent="0.3">
      <c r="A2209">
        <v>101</v>
      </c>
      <c r="B2209" t="s">
        <v>34</v>
      </c>
      <c r="C2209">
        <v>2</v>
      </c>
      <c r="D2209" s="1" t="s">
        <v>6118</v>
      </c>
      <c r="E2209" s="1" t="s">
        <v>36</v>
      </c>
      <c r="G2209">
        <v>436897</v>
      </c>
      <c r="H2209" t="s">
        <v>6113</v>
      </c>
      <c r="I2209" t="s">
        <v>2413</v>
      </c>
      <c r="J2209">
        <v>28</v>
      </c>
      <c r="K2209">
        <v>2695</v>
      </c>
      <c r="L2209">
        <v>95000</v>
      </c>
      <c r="M2209" t="s">
        <v>69</v>
      </c>
      <c r="N2209">
        <v>583</v>
      </c>
      <c r="O2209" s="2">
        <v>46199</v>
      </c>
      <c r="P2209" s="2">
        <v>46308</v>
      </c>
      <c r="R2209" t="s">
        <v>6119</v>
      </c>
      <c r="S2209" t="str">
        <f>""</f>
        <v/>
      </c>
      <c r="T2209" t="s">
        <v>41</v>
      </c>
      <c r="U2209">
        <v>25842.06</v>
      </c>
      <c r="V2209">
        <v>25557.8</v>
      </c>
      <c r="W2209">
        <v>25557.8</v>
      </c>
      <c r="X2209">
        <v>0</v>
      </c>
      <c r="Y2209">
        <v>0</v>
      </c>
      <c r="Z2209">
        <v>-533</v>
      </c>
      <c r="AA2209">
        <v>692904</v>
      </c>
      <c r="AD2209" t="s">
        <v>731</v>
      </c>
      <c r="AF2209" t="s">
        <v>731</v>
      </c>
      <c r="AG2209" s="1" t="s">
        <v>6115</v>
      </c>
      <c r="AH2209" t="s">
        <v>714</v>
      </c>
    </row>
    <row r="2210" spans="1:34" x14ac:dyDescent="0.3">
      <c r="A2210">
        <v>101</v>
      </c>
      <c r="B2210" t="s">
        <v>34</v>
      </c>
      <c r="C2210">
        <v>2</v>
      </c>
      <c r="D2210" s="1" t="s">
        <v>6120</v>
      </c>
      <c r="E2210" s="1" t="s">
        <v>36</v>
      </c>
      <c r="G2210">
        <v>436897</v>
      </c>
      <c r="H2210" t="s">
        <v>6113</v>
      </c>
      <c r="I2210" t="s">
        <v>2413</v>
      </c>
      <c r="J2210">
        <v>28</v>
      </c>
      <c r="K2210">
        <v>2695</v>
      </c>
      <c r="L2210">
        <v>95000</v>
      </c>
      <c r="M2210" t="s">
        <v>69</v>
      </c>
      <c r="N2210">
        <v>583</v>
      </c>
      <c r="O2210" s="2">
        <v>46142</v>
      </c>
      <c r="P2210" s="2">
        <v>46255</v>
      </c>
      <c r="R2210" t="s">
        <v>6121</v>
      </c>
      <c r="S2210" t="str">
        <f>""</f>
        <v/>
      </c>
      <c r="T2210" t="s">
        <v>41</v>
      </c>
      <c r="U2210">
        <v>25277.97</v>
      </c>
      <c r="V2210">
        <v>24999.91</v>
      </c>
      <c r="W2210">
        <v>24999.91</v>
      </c>
      <c r="X2210">
        <v>0</v>
      </c>
      <c r="Y2210">
        <v>0</v>
      </c>
      <c r="Z2210">
        <v>-480</v>
      </c>
      <c r="AA2210">
        <v>687511</v>
      </c>
      <c r="AD2210" t="s">
        <v>731</v>
      </c>
      <c r="AF2210" t="s">
        <v>731</v>
      </c>
      <c r="AG2210" s="1" t="s">
        <v>6115</v>
      </c>
      <c r="AH2210" t="s">
        <v>714</v>
      </c>
    </row>
    <row r="2211" spans="1:34" x14ac:dyDescent="0.3">
      <c r="A2211">
        <v>101</v>
      </c>
      <c r="B2211" t="s">
        <v>34</v>
      </c>
      <c r="C2211">
        <v>2</v>
      </c>
      <c r="D2211" s="1" t="s">
        <v>6122</v>
      </c>
      <c r="E2211" s="1" t="s">
        <v>36</v>
      </c>
      <c r="G2211">
        <v>446370</v>
      </c>
      <c r="H2211" t="s">
        <v>6123</v>
      </c>
      <c r="I2211" t="s">
        <v>6069</v>
      </c>
      <c r="J2211">
        <v>15</v>
      </c>
      <c r="K2211">
        <v>9317</v>
      </c>
      <c r="L2211">
        <v>50341</v>
      </c>
      <c r="M2211" t="s">
        <v>146</v>
      </c>
      <c r="N2211">
        <v>583</v>
      </c>
      <c r="O2211" s="2">
        <v>46225</v>
      </c>
      <c r="P2211" s="2">
        <v>46260</v>
      </c>
      <c r="R2211" t="s">
        <v>6124</v>
      </c>
      <c r="S2211" t="str">
        <f>"00013214"</f>
        <v>00013214</v>
      </c>
      <c r="T2211" t="s">
        <v>41</v>
      </c>
      <c r="U2211">
        <v>4309.59</v>
      </c>
      <c r="V2211">
        <v>4180.3</v>
      </c>
      <c r="W2211">
        <v>4180.3</v>
      </c>
      <c r="X2211">
        <v>0</v>
      </c>
      <c r="Y2211">
        <v>0</v>
      </c>
      <c r="Z2211">
        <v>-485</v>
      </c>
      <c r="AA2211">
        <v>1517</v>
      </c>
      <c r="AD2211" t="s">
        <v>6125</v>
      </c>
      <c r="AE2211" t="s">
        <v>6126</v>
      </c>
      <c r="AF2211" t="s">
        <v>6125</v>
      </c>
      <c r="AG2211" s="1" t="s">
        <v>6127</v>
      </c>
      <c r="AH2211" t="s">
        <v>714</v>
      </c>
    </row>
    <row r="2212" spans="1:34" x14ac:dyDescent="0.3">
      <c r="A2212">
        <v>101</v>
      </c>
      <c r="B2212" t="s">
        <v>34</v>
      </c>
      <c r="C2212">
        <v>2</v>
      </c>
      <c r="D2212" s="1" t="s">
        <v>6128</v>
      </c>
      <c r="E2212" s="1" t="s">
        <v>116</v>
      </c>
      <c r="G2212">
        <v>451693</v>
      </c>
      <c r="H2212" t="s">
        <v>6129</v>
      </c>
      <c r="I2212" t="s">
        <v>753</v>
      </c>
      <c r="J2212">
        <v>15</v>
      </c>
      <c r="K2212">
        <v>4967</v>
      </c>
      <c r="L2212">
        <v>50341</v>
      </c>
      <c r="M2212" t="s">
        <v>146</v>
      </c>
      <c r="N2212">
        <v>583</v>
      </c>
      <c r="O2212" s="2">
        <v>46218</v>
      </c>
      <c r="P2212" s="2">
        <v>46298</v>
      </c>
      <c r="R2212" t="s">
        <v>6130</v>
      </c>
      <c r="S2212" t="str">
        <f>"00013136"</f>
        <v>00013136</v>
      </c>
      <c r="T2212" t="s">
        <v>41</v>
      </c>
      <c r="U2212">
        <v>2248.1</v>
      </c>
      <c r="V2212">
        <v>2248.1</v>
      </c>
      <c r="W2212">
        <v>2248.1</v>
      </c>
      <c r="X2212">
        <v>0</v>
      </c>
      <c r="Y2212">
        <v>0</v>
      </c>
      <c r="Z2212">
        <v>-523</v>
      </c>
      <c r="AA2212">
        <v>1156</v>
      </c>
      <c r="AD2212" t="s">
        <v>4202</v>
      </c>
      <c r="AE2212" t="s">
        <v>6131</v>
      </c>
      <c r="AF2212" t="s">
        <v>4202</v>
      </c>
      <c r="AG2212" s="1" t="s">
        <v>6132</v>
      </c>
      <c r="AH2212" t="s">
        <v>44</v>
      </c>
    </row>
    <row r="2213" spans="1:34" x14ac:dyDescent="0.3">
      <c r="A2213">
        <v>101</v>
      </c>
      <c r="B2213" t="s">
        <v>34</v>
      </c>
      <c r="C2213">
        <v>2</v>
      </c>
      <c r="D2213" s="1" t="s">
        <v>6128</v>
      </c>
      <c r="E2213" s="1" t="s">
        <v>36</v>
      </c>
      <c r="G2213">
        <v>451693</v>
      </c>
      <c r="H2213" t="s">
        <v>6129</v>
      </c>
      <c r="I2213" t="s">
        <v>753</v>
      </c>
      <c r="J2213">
        <v>15</v>
      </c>
      <c r="K2213">
        <v>4967</v>
      </c>
      <c r="L2213">
        <v>50341</v>
      </c>
      <c r="M2213" t="s">
        <v>146</v>
      </c>
      <c r="N2213">
        <v>583</v>
      </c>
      <c r="O2213" s="2">
        <v>46218</v>
      </c>
      <c r="P2213" s="2">
        <v>46258</v>
      </c>
      <c r="R2213" t="s">
        <v>6130</v>
      </c>
      <c r="S2213" t="str">
        <f>"00013134"</f>
        <v>00013134</v>
      </c>
      <c r="T2213" t="s">
        <v>41</v>
      </c>
      <c r="U2213">
        <v>2398.0300000000002</v>
      </c>
      <c r="V2213">
        <v>2398.0300000000002</v>
      </c>
      <c r="W2213">
        <v>2398.0300000000002</v>
      </c>
      <c r="X2213">
        <v>0</v>
      </c>
      <c r="Y2213">
        <v>0</v>
      </c>
      <c r="Z2213">
        <v>-483</v>
      </c>
      <c r="AA2213">
        <v>1156</v>
      </c>
      <c r="AD2213" t="s">
        <v>4202</v>
      </c>
      <c r="AE2213" t="s">
        <v>6131</v>
      </c>
      <c r="AF2213" t="s">
        <v>4202</v>
      </c>
      <c r="AG2213" s="1" t="s">
        <v>6132</v>
      </c>
      <c r="AH2213" t="s">
        <v>44</v>
      </c>
    </row>
    <row r="2214" spans="1:34" x14ac:dyDescent="0.3">
      <c r="A2214">
        <v>101</v>
      </c>
      <c r="B2214" t="s">
        <v>34</v>
      </c>
      <c r="C2214">
        <v>2</v>
      </c>
      <c r="D2214" s="1" t="s">
        <v>6128</v>
      </c>
      <c r="E2214" s="1" t="s">
        <v>122</v>
      </c>
      <c r="G2214">
        <v>451693</v>
      </c>
      <c r="H2214" t="s">
        <v>6129</v>
      </c>
      <c r="I2214" t="s">
        <v>753</v>
      </c>
      <c r="J2214">
        <v>15</v>
      </c>
      <c r="K2214">
        <v>4967</v>
      </c>
      <c r="L2214">
        <v>50341</v>
      </c>
      <c r="M2214" t="s">
        <v>146</v>
      </c>
      <c r="N2214">
        <v>583</v>
      </c>
      <c r="O2214" s="2">
        <v>46218</v>
      </c>
      <c r="P2214" s="2">
        <v>46278</v>
      </c>
      <c r="R2214" t="s">
        <v>6130</v>
      </c>
      <c r="S2214" t="str">
        <f>"00013135"</f>
        <v>00013135</v>
      </c>
      <c r="T2214" t="s">
        <v>41</v>
      </c>
      <c r="U2214">
        <v>2247.4299999999998</v>
      </c>
      <c r="V2214">
        <v>2247.4299999999998</v>
      </c>
      <c r="W2214">
        <v>2247.4299999999998</v>
      </c>
      <c r="X2214">
        <v>0</v>
      </c>
      <c r="Y2214">
        <v>0</v>
      </c>
      <c r="Z2214">
        <v>-503</v>
      </c>
      <c r="AA2214">
        <v>1156</v>
      </c>
      <c r="AD2214" t="s">
        <v>4202</v>
      </c>
      <c r="AE2214" t="s">
        <v>6131</v>
      </c>
      <c r="AF2214" t="s">
        <v>4202</v>
      </c>
      <c r="AG2214" s="1" t="s">
        <v>6132</v>
      </c>
      <c r="AH2214" t="s">
        <v>44</v>
      </c>
    </row>
    <row r="2215" spans="1:34" x14ac:dyDescent="0.3">
      <c r="A2215">
        <v>101</v>
      </c>
      <c r="B2215" t="s">
        <v>34</v>
      </c>
      <c r="C2215">
        <v>2</v>
      </c>
      <c r="D2215" s="1" t="s">
        <v>6133</v>
      </c>
      <c r="E2215" s="1" t="s">
        <v>36</v>
      </c>
      <c r="G2215">
        <v>452580</v>
      </c>
      <c r="H2215" t="s">
        <v>6134</v>
      </c>
      <c r="I2215" t="s">
        <v>2413</v>
      </c>
      <c r="J2215">
        <v>28</v>
      </c>
      <c r="K2215">
        <v>2695</v>
      </c>
      <c r="L2215">
        <v>95000</v>
      </c>
      <c r="M2215" t="s">
        <v>69</v>
      </c>
      <c r="N2215">
        <v>583</v>
      </c>
      <c r="O2215" s="2">
        <v>46231</v>
      </c>
      <c r="P2215" s="2">
        <v>46337</v>
      </c>
      <c r="R2215" t="s">
        <v>6135</v>
      </c>
      <c r="S2215" t="str">
        <f>""</f>
        <v/>
      </c>
      <c r="T2215" t="s">
        <v>41</v>
      </c>
      <c r="U2215">
        <v>34010.43</v>
      </c>
      <c r="V2215">
        <v>33636.32</v>
      </c>
      <c r="W2215">
        <v>33636.32</v>
      </c>
      <c r="X2215">
        <v>0</v>
      </c>
      <c r="Y2215">
        <v>0</v>
      </c>
      <c r="Z2215">
        <v>-562</v>
      </c>
      <c r="AA2215">
        <v>695359</v>
      </c>
      <c r="AD2215" t="s">
        <v>1089</v>
      </c>
      <c r="AE2215" t="s">
        <v>2567</v>
      </c>
      <c r="AF2215" t="s">
        <v>1089</v>
      </c>
      <c r="AG2215" s="1" t="s">
        <v>6136</v>
      </c>
      <c r="AH2215" t="s">
        <v>714</v>
      </c>
    </row>
    <row r="2216" spans="1:34" x14ac:dyDescent="0.3">
      <c r="A2216">
        <v>101</v>
      </c>
      <c r="B2216" t="s">
        <v>34</v>
      </c>
      <c r="C2216">
        <v>2</v>
      </c>
      <c r="D2216" s="1" t="s">
        <v>6137</v>
      </c>
      <c r="E2216" s="1" t="s">
        <v>36</v>
      </c>
      <c r="G2216">
        <v>452580</v>
      </c>
      <c r="H2216" t="s">
        <v>6134</v>
      </c>
      <c r="I2216" t="s">
        <v>2413</v>
      </c>
      <c r="J2216">
        <v>28</v>
      </c>
      <c r="K2216">
        <v>2695</v>
      </c>
      <c r="L2216">
        <v>95000</v>
      </c>
      <c r="M2216" t="s">
        <v>69</v>
      </c>
      <c r="N2216">
        <v>583</v>
      </c>
      <c r="O2216" s="2">
        <v>46188</v>
      </c>
      <c r="P2216" s="2">
        <v>46296</v>
      </c>
      <c r="R2216" t="s">
        <v>6138</v>
      </c>
      <c r="S2216" t="str">
        <f>""</f>
        <v/>
      </c>
      <c r="T2216" t="s">
        <v>41</v>
      </c>
      <c r="U2216">
        <v>3565.55</v>
      </c>
      <c r="V2216">
        <v>3526.33</v>
      </c>
      <c r="W2216">
        <v>3526.33</v>
      </c>
      <c r="X2216">
        <v>0</v>
      </c>
      <c r="Y2216">
        <v>0</v>
      </c>
      <c r="Z2216">
        <v>-521</v>
      </c>
      <c r="AA2216">
        <v>691181</v>
      </c>
      <c r="AD2216" t="s">
        <v>1089</v>
      </c>
      <c r="AE2216" t="s">
        <v>2567</v>
      </c>
      <c r="AF2216" t="s">
        <v>1089</v>
      </c>
      <c r="AG2216" s="1" t="s">
        <v>6136</v>
      </c>
      <c r="AH2216" t="s">
        <v>714</v>
      </c>
    </row>
    <row r="2217" spans="1:34" x14ac:dyDescent="0.3">
      <c r="A2217">
        <v>101</v>
      </c>
      <c r="B2217" t="s">
        <v>34</v>
      </c>
      <c r="C2217">
        <v>2</v>
      </c>
      <c r="D2217" s="1" t="s">
        <v>6139</v>
      </c>
      <c r="E2217" s="1" t="s">
        <v>36</v>
      </c>
      <c r="G2217">
        <v>452580</v>
      </c>
      <c r="H2217" t="s">
        <v>6134</v>
      </c>
      <c r="I2217" t="s">
        <v>2413</v>
      </c>
      <c r="J2217">
        <v>28</v>
      </c>
      <c r="K2217">
        <v>2695</v>
      </c>
      <c r="L2217">
        <v>95000</v>
      </c>
      <c r="M2217" t="s">
        <v>69</v>
      </c>
      <c r="N2217">
        <v>583</v>
      </c>
      <c r="O2217" s="2">
        <v>46199</v>
      </c>
      <c r="P2217" s="2">
        <v>46308</v>
      </c>
      <c r="R2217" t="s">
        <v>6140</v>
      </c>
      <c r="S2217" t="str">
        <f>""</f>
        <v/>
      </c>
      <c r="T2217" t="s">
        <v>41</v>
      </c>
      <c r="U2217">
        <v>2890.84</v>
      </c>
      <c r="V2217">
        <v>2859.04</v>
      </c>
      <c r="W2217">
        <v>2859.04</v>
      </c>
      <c r="X2217">
        <v>0</v>
      </c>
      <c r="Y2217">
        <v>0</v>
      </c>
      <c r="Z2217">
        <v>-533</v>
      </c>
      <c r="AA2217">
        <v>692902</v>
      </c>
      <c r="AD2217" t="s">
        <v>1089</v>
      </c>
      <c r="AE2217" t="s">
        <v>2567</v>
      </c>
      <c r="AF2217" t="s">
        <v>1089</v>
      </c>
      <c r="AG2217" s="1" t="s">
        <v>6136</v>
      </c>
      <c r="AH2217" t="s">
        <v>714</v>
      </c>
    </row>
    <row r="2218" spans="1:34" x14ac:dyDescent="0.3">
      <c r="A2218">
        <v>101</v>
      </c>
      <c r="B2218" t="s">
        <v>34</v>
      </c>
      <c r="C2218">
        <v>2</v>
      </c>
      <c r="D2218" s="1" t="s">
        <v>6141</v>
      </c>
      <c r="E2218" s="1" t="s">
        <v>36</v>
      </c>
      <c r="G2218">
        <v>463690</v>
      </c>
      <c r="H2218" t="s">
        <v>6142</v>
      </c>
      <c r="I2218" t="s">
        <v>6069</v>
      </c>
      <c r="J2218">
        <v>15</v>
      </c>
      <c r="K2218">
        <v>9317</v>
      </c>
      <c r="L2218">
        <v>50341</v>
      </c>
      <c r="M2218" t="s">
        <v>146</v>
      </c>
      <c r="N2218">
        <v>583</v>
      </c>
      <c r="O2218" s="2">
        <v>46225</v>
      </c>
      <c r="P2218" s="2">
        <v>46260</v>
      </c>
      <c r="R2218" t="s">
        <v>6143</v>
      </c>
      <c r="S2218" t="str">
        <f>"00013215"</f>
        <v>00013215</v>
      </c>
      <c r="T2218" t="s">
        <v>41</v>
      </c>
      <c r="U2218">
        <v>2664.38</v>
      </c>
      <c r="V2218">
        <v>2584.4499999999998</v>
      </c>
      <c r="W2218">
        <v>2584.4499999999998</v>
      </c>
      <c r="X2218">
        <v>0</v>
      </c>
      <c r="Y2218">
        <v>0</v>
      </c>
      <c r="Z2218">
        <v>-485</v>
      </c>
      <c r="AA2218">
        <v>1520</v>
      </c>
      <c r="AD2218" t="s">
        <v>6144</v>
      </c>
      <c r="AE2218" t="s">
        <v>6145</v>
      </c>
      <c r="AF2218" t="s">
        <v>6144</v>
      </c>
      <c r="AG2218" s="1" t="s">
        <v>6146</v>
      </c>
      <c r="AH2218" t="s">
        <v>714</v>
      </c>
    </row>
    <row r="2219" spans="1:34" x14ac:dyDescent="0.3">
      <c r="A2219">
        <v>101</v>
      </c>
      <c r="B2219" t="s">
        <v>34</v>
      </c>
      <c r="C2219">
        <v>2</v>
      </c>
      <c r="D2219" s="1" t="s">
        <v>6147</v>
      </c>
      <c r="E2219" s="1" t="s">
        <v>36</v>
      </c>
      <c r="G2219">
        <v>463691</v>
      </c>
      <c r="H2219" t="s">
        <v>6148</v>
      </c>
      <c r="I2219" t="s">
        <v>6069</v>
      </c>
      <c r="J2219">
        <v>15</v>
      </c>
      <c r="K2219">
        <v>9317</v>
      </c>
      <c r="L2219">
        <v>50033</v>
      </c>
      <c r="M2219" t="s">
        <v>39</v>
      </c>
      <c r="N2219">
        <v>583</v>
      </c>
      <c r="O2219" s="2">
        <v>46225</v>
      </c>
      <c r="P2219" s="2">
        <v>46260</v>
      </c>
      <c r="R2219" t="s">
        <v>6149</v>
      </c>
      <c r="S2219" t="str">
        <f>"0000050410520"</f>
        <v>0000050410520</v>
      </c>
      <c r="T2219" t="s">
        <v>41</v>
      </c>
      <c r="U2219">
        <v>2246.71</v>
      </c>
      <c r="V2219">
        <v>2179.31</v>
      </c>
      <c r="W2219">
        <v>2179.31</v>
      </c>
      <c r="X2219">
        <v>0</v>
      </c>
      <c r="Y2219">
        <v>0</v>
      </c>
      <c r="Z2219">
        <v>-485</v>
      </c>
      <c r="AA2219">
        <v>1587</v>
      </c>
      <c r="AD2219" t="s">
        <v>6144</v>
      </c>
      <c r="AE2219" t="s">
        <v>6150</v>
      </c>
      <c r="AF2219" t="s">
        <v>6144</v>
      </c>
      <c r="AG2219" s="1" t="s">
        <v>6151</v>
      </c>
      <c r="AH2219" t="s">
        <v>714</v>
      </c>
    </row>
    <row r="2220" spans="1:34" x14ac:dyDescent="0.3">
      <c r="A2220">
        <v>101</v>
      </c>
      <c r="B2220" t="s">
        <v>34</v>
      </c>
      <c r="C2220">
        <v>2</v>
      </c>
      <c r="D2220" s="1" t="s">
        <v>6152</v>
      </c>
      <c r="E2220" s="1" t="s">
        <v>36</v>
      </c>
      <c r="G2220">
        <v>464383</v>
      </c>
      <c r="H2220" t="s">
        <v>6153</v>
      </c>
      <c r="I2220" t="s">
        <v>2413</v>
      </c>
      <c r="J2220">
        <v>28</v>
      </c>
      <c r="K2220">
        <v>2695</v>
      </c>
      <c r="L2220">
        <v>95000</v>
      </c>
      <c r="M2220" t="s">
        <v>69</v>
      </c>
      <c r="N2220">
        <v>583</v>
      </c>
      <c r="O2220" s="2">
        <v>46231</v>
      </c>
      <c r="P2220" s="2">
        <v>46337</v>
      </c>
      <c r="R2220" t="s">
        <v>6154</v>
      </c>
      <c r="S2220" t="str">
        <f>""</f>
        <v/>
      </c>
      <c r="T2220" t="s">
        <v>41</v>
      </c>
      <c r="U2220">
        <v>9523.82</v>
      </c>
      <c r="V2220">
        <v>9419.06</v>
      </c>
      <c r="W2220">
        <v>9419.06</v>
      </c>
      <c r="X2220">
        <v>0</v>
      </c>
      <c r="Y2220">
        <v>0</v>
      </c>
      <c r="Z2220">
        <v>-562</v>
      </c>
      <c r="AA2220">
        <v>695363</v>
      </c>
      <c r="AD2220" t="s">
        <v>1089</v>
      </c>
      <c r="AF2220" t="s">
        <v>1089</v>
      </c>
      <c r="AG2220" s="1" t="s">
        <v>6155</v>
      </c>
      <c r="AH2220" t="s">
        <v>714</v>
      </c>
    </row>
    <row r="2221" spans="1:34" x14ac:dyDescent="0.3">
      <c r="A2221">
        <v>101</v>
      </c>
      <c r="B2221" t="s">
        <v>34</v>
      </c>
      <c r="C2221">
        <v>2</v>
      </c>
      <c r="D2221" s="1" t="s">
        <v>6156</v>
      </c>
      <c r="E2221" s="1" t="s">
        <v>36</v>
      </c>
      <c r="G2221">
        <v>464383</v>
      </c>
      <c r="H2221" t="s">
        <v>6153</v>
      </c>
      <c r="I2221" t="s">
        <v>2413</v>
      </c>
      <c r="J2221">
        <v>28</v>
      </c>
      <c r="K2221">
        <v>2695</v>
      </c>
      <c r="L2221">
        <v>95000</v>
      </c>
      <c r="M2221" t="s">
        <v>69</v>
      </c>
      <c r="N2221">
        <v>583</v>
      </c>
      <c r="O2221" s="2">
        <v>46199</v>
      </c>
      <c r="P2221" s="2">
        <v>46316</v>
      </c>
      <c r="R2221" t="s">
        <v>6157</v>
      </c>
      <c r="S2221" t="str">
        <f>""</f>
        <v/>
      </c>
      <c r="T2221" t="s">
        <v>41</v>
      </c>
      <c r="U2221">
        <v>15916.72</v>
      </c>
      <c r="V2221">
        <v>15741.64</v>
      </c>
      <c r="W2221">
        <v>15741.64</v>
      </c>
      <c r="X2221">
        <v>0</v>
      </c>
      <c r="Y2221">
        <v>0</v>
      </c>
      <c r="Z2221">
        <v>-541</v>
      </c>
      <c r="AA2221">
        <v>692906</v>
      </c>
      <c r="AD2221" t="s">
        <v>1089</v>
      </c>
      <c r="AF2221" t="s">
        <v>1089</v>
      </c>
      <c r="AG2221" s="1" t="s">
        <v>6155</v>
      </c>
      <c r="AH2221" t="s">
        <v>714</v>
      </c>
    </row>
    <row r="2222" spans="1:34" x14ac:dyDescent="0.3">
      <c r="A2222">
        <v>101</v>
      </c>
      <c r="B2222" t="s">
        <v>34</v>
      </c>
      <c r="C2222">
        <v>2</v>
      </c>
      <c r="D2222" s="1" t="s">
        <v>6158</v>
      </c>
      <c r="E2222" s="1" t="s">
        <v>36</v>
      </c>
      <c r="G2222">
        <v>464383</v>
      </c>
      <c r="H2222" t="s">
        <v>6153</v>
      </c>
      <c r="I2222" t="s">
        <v>2413</v>
      </c>
      <c r="J2222">
        <v>28</v>
      </c>
      <c r="K2222">
        <v>2695</v>
      </c>
      <c r="L2222">
        <v>95000</v>
      </c>
      <c r="M2222" t="s">
        <v>69</v>
      </c>
      <c r="N2222">
        <v>583</v>
      </c>
      <c r="O2222" s="2">
        <v>46188</v>
      </c>
      <c r="P2222" s="2">
        <v>46308</v>
      </c>
      <c r="R2222" t="s">
        <v>6159</v>
      </c>
      <c r="S2222" t="str">
        <f>""</f>
        <v/>
      </c>
      <c r="T2222" t="s">
        <v>41</v>
      </c>
      <c r="U2222">
        <v>16378.75</v>
      </c>
      <c r="V2222">
        <v>16198.58</v>
      </c>
      <c r="W2222">
        <v>16198.58</v>
      </c>
      <c r="X2222">
        <v>0</v>
      </c>
      <c r="Y2222">
        <v>0</v>
      </c>
      <c r="Z2222">
        <v>-533</v>
      </c>
      <c r="AA2222">
        <v>691185</v>
      </c>
      <c r="AD2222" t="s">
        <v>1089</v>
      </c>
      <c r="AF2222" t="s">
        <v>1089</v>
      </c>
      <c r="AG2222" s="1" t="s">
        <v>6155</v>
      </c>
      <c r="AH2222" t="s">
        <v>714</v>
      </c>
    </row>
    <row r="2223" spans="1:34" x14ac:dyDescent="0.3">
      <c r="A2223">
        <v>101</v>
      </c>
      <c r="B2223" t="s">
        <v>34</v>
      </c>
      <c r="C2223">
        <v>2</v>
      </c>
      <c r="D2223" s="1" t="s">
        <v>6160</v>
      </c>
      <c r="E2223" s="1" t="s">
        <v>36</v>
      </c>
      <c r="G2223">
        <v>465029</v>
      </c>
      <c r="H2223" t="s">
        <v>6161</v>
      </c>
      <c r="I2223" t="s">
        <v>2413</v>
      </c>
      <c r="J2223">
        <v>28</v>
      </c>
      <c r="K2223">
        <v>2695</v>
      </c>
      <c r="L2223">
        <v>95000</v>
      </c>
      <c r="M2223" t="s">
        <v>69</v>
      </c>
      <c r="N2223">
        <v>583</v>
      </c>
      <c r="O2223" s="2">
        <v>46188</v>
      </c>
      <c r="P2223" s="2">
        <v>46296</v>
      </c>
      <c r="R2223" t="s">
        <v>6162</v>
      </c>
      <c r="S2223" t="str">
        <f>""</f>
        <v/>
      </c>
      <c r="T2223" t="s">
        <v>41</v>
      </c>
      <c r="U2223">
        <v>9925.4599999999991</v>
      </c>
      <c r="V2223">
        <v>9816.2800000000007</v>
      </c>
      <c r="W2223">
        <v>9816.2800000000007</v>
      </c>
      <c r="X2223">
        <v>0</v>
      </c>
      <c r="Y2223">
        <v>0</v>
      </c>
      <c r="Z2223">
        <v>-521</v>
      </c>
      <c r="AA2223">
        <v>691187</v>
      </c>
      <c r="AD2223" t="s">
        <v>1089</v>
      </c>
      <c r="AE2223" t="s">
        <v>6163</v>
      </c>
      <c r="AF2223" t="s">
        <v>1089</v>
      </c>
      <c r="AG2223" s="1" t="s">
        <v>6164</v>
      </c>
      <c r="AH2223" t="s">
        <v>714</v>
      </c>
    </row>
    <row r="2224" spans="1:34" x14ac:dyDescent="0.3">
      <c r="A2224">
        <v>101</v>
      </c>
      <c r="B2224" t="s">
        <v>34</v>
      </c>
      <c r="C2224">
        <v>2</v>
      </c>
      <c r="D2224" s="1" t="s">
        <v>6165</v>
      </c>
      <c r="E2224" s="1" t="s">
        <v>36</v>
      </c>
      <c r="G2224">
        <v>465029</v>
      </c>
      <c r="H2224" t="s">
        <v>6161</v>
      </c>
      <c r="I2224" t="s">
        <v>2413</v>
      </c>
      <c r="J2224">
        <v>28</v>
      </c>
      <c r="K2224">
        <v>2695</v>
      </c>
      <c r="L2224">
        <v>95000</v>
      </c>
      <c r="M2224" t="s">
        <v>69</v>
      </c>
      <c r="N2224">
        <v>583</v>
      </c>
      <c r="O2224" s="2">
        <v>46199</v>
      </c>
      <c r="P2224" s="2">
        <v>46316</v>
      </c>
      <c r="R2224" t="s">
        <v>6166</v>
      </c>
      <c r="S2224" t="str">
        <f>""</f>
        <v/>
      </c>
      <c r="T2224" t="s">
        <v>41</v>
      </c>
      <c r="U2224">
        <v>3422.71</v>
      </c>
      <c r="V2224">
        <v>3385.06</v>
      </c>
      <c r="W2224">
        <v>3385.06</v>
      </c>
      <c r="X2224">
        <v>0</v>
      </c>
      <c r="Y2224">
        <v>0</v>
      </c>
      <c r="Z2224">
        <v>-541</v>
      </c>
      <c r="AA2224">
        <v>692908</v>
      </c>
      <c r="AD2224" t="s">
        <v>1089</v>
      </c>
      <c r="AE2224" t="s">
        <v>6163</v>
      </c>
      <c r="AF2224" t="s">
        <v>1089</v>
      </c>
      <c r="AG2224" s="1" t="s">
        <v>6164</v>
      </c>
      <c r="AH2224" t="s">
        <v>714</v>
      </c>
    </row>
    <row r="2225" spans="1:34" x14ac:dyDescent="0.3">
      <c r="A2225">
        <v>101</v>
      </c>
      <c r="B2225" t="s">
        <v>34</v>
      </c>
      <c r="C2225">
        <v>2</v>
      </c>
      <c r="D2225" s="1" t="s">
        <v>6167</v>
      </c>
      <c r="E2225" s="1" t="s">
        <v>116</v>
      </c>
      <c r="G2225">
        <v>465687</v>
      </c>
      <c r="H2225" t="s">
        <v>6168</v>
      </c>
      <c r="I2225" t="s">
        <v>753</v>
      </c>
      <c r="J2225">
        <v>15</v>
      </c>
      <c r="K2225">
        <v>4967</v>
      </c>
      <c r="L2225">
        <v>50341</v>
      </c>
      <c r="M2225" t="s">
        <v>146</v>
      </c>
      <c r="N2225">
        <v>583</v>
      </c>
      <c r="O2225" s="2">
        <v>46218</v>
      </c>
      <c r="P2225" s="2">
        <v>46298</v>
      </c>
      <c r="R2225" t="s">
        <v>6169</v>
      </c>
      <c r="S2225" t="str">
        <f>"00013147"</f>
        <v>00013147</v>
      </c>
      <c r="T2225" t="s">
        <v>41</v>
      </c>
      <c r="U2225">
        <v>1824.35</v>
      </c>
      <c r="V2225">
        <v>1824.35</v>
      </c>
      <c r="W2225">
        <v>1824.35</v>
      </c>
      <c r="X2225">
        <v>0</v>
      </c>
      <c r="Y2225">
        <v>0</v>
      </c>
      <c r="Z2225">
        <v>-523</v>
      </c>
      <c r="AA2225">
        <v>1157</v>
      </c>
      <c r="AD2225" t="s">
        <v>3817</v>
      </c>
      <c r="AE2225" t="s">
        <v>755</v>
      </c>
      <c r="AF2225" t="s">
        <v>3817</v>
      </c>
      <c r="AG2225" s="1" t="s">
        <v>6170</v>
      </c>
      <c r="AH2225" t="s">
        <v>44</v>
      </c>
    </row>
    <row r="2226" spans="1:34" x14ac:dyDescent="0.3">
      <c r="A2226">
        <v>101</v>
      </c>
      <c r="B2226" t="s">
        <v>34</v>
      </c>
      <c r="C2226">
        <v>2</v>
      </c>
      <c r="D2226" s="1" t="s">
        <v>6167</v>
      </c>
      <c r="E2226" s="1" t="s">
        <v>36</v>
      </c>
      <c r="G2226">
        <v>465687</v>
      </c>
      <c r="H2226" t="s">
        <v>6168</v>
      </c>
      <c r="I2226" t="s">
        <v>753</v>
      </c>
      <c r="J2226">
        <v>15</v>
      </c>
      <c r="K2226">
        <v>4967</v>
      </c>
      <c r="L2226">
        <v>50341</v>
      </c>
      <c r="M2226" t="s">
        <v>146</v>
      </c>
      <c r="N2226">
        <v>583</v>
      </c>
      <c r="O2226" s="2">
        <v>46218</v>
      </c>
      <c r="P2226" s="2">
        <v>46258</v>
      </c>
      <c r="R2226" t="s">
        <v>6169</v>
      </c>
      <c r="S2226" t="str">
        <f>"00013145"</f>
        <v>00013145</v>
      </c>
      <c r="T2226" t="s">
        <v>41</v>
      </c>
      <c r="U2226">
        <v>2007.19</v>
      </c>
      <c r="V2226">
        <v>2007.19</v>
      </c>
      <c r="W2226">
        <v>2007.19</v>
      </c>
      <c r="X2226">
        <v>0</v>
      </c>
      <c r="Y2226">
        <v>0</v>
      </c>
      <c r="Z2226">
        <v>-483</v>
      </c>
      <c r="AA2226">
        <v>1157</v>
      </c>
      <c r="AD2226" t="s">
        <v>3817</v>
      </c>
      <c r="AE2226" t="s">
        <v>755</v>
      </c>
      <c r="AF2226" t="s">
        <v>3817</v>
      </c>
      <c r="AG2226" s="1" t="s">
        <v>6170</v>
      </c>
      <c r="AH2226" t="s">
        <v>44</v>
      </c>
    </row>
    <row r="2227" spans="1:34" x14ac:dyDescent="0.3">
      <c r="A2227">
        <v>101</v>
      </c>
      <c r="B2227" t="s">
        <v>34</v>
      </c>
      <c r="C2227">
        <v>2</v>
      </c>
      <c r="D2227" s="1" t="s">
        <v>6167</v>
      </c>
      <c r="E2227" s="1" t="s">
        <v>122</v>
      </c>
      <c r="G2227">
        <v>465687</v>
      </c>
      <c r="H2227" t="s">
        <v>6168</v>
      </c>
      <c r="I2227" t="s">
        <v>753</v>
      </c>
      <c r="J2227">
        <v>15</v>
      </c>
      <c r="K2227">
        <v>4967</v>
      </c>
      <c r="L2227">
        <v>50341</v>
      </c>
      <c r="M2227" t="s">
        <v>146</v>
      </c>
      <c r="N2227">
        <v>583</v>
      </c>
      <c r="O2227" s="2">
        <v>46218</v>
      </c>
      <c r="P2227" s="2">
        <v>46278</v>
      </c>
      <c r="R2227" t="s">
        <v>6169</v>
      </c>
      <c r="S2227" t="str">
        <f>"00013146"</f>
        <v>00013146</v>
      </c>
      <c r="T2227" t="s">
        <v>41</v>
      </c>
      <c r="U2227">
        <v>1823.8</v>
      </c>
      <c r="V2227">
        <v>1823.8</v>
      </c>
      <c r="W2227">
        <v>1823.8</v>
      </c>
      <c r="X2227">
        <v>0</v>
      </c>
      <c r="Y2227">
        <v>0</v>
      </c>
      <c r="Z2227">
        <v>-503</v>
      </c>
      <c r="AA2227">
        <v>1157</v>
      </c>
      <c r="AD2227" t="s">
        <v>3817</v>
      </c>
      <c r="AE2227" t="s">
        <v>755</v>
      </c>
      <c r="AF2227" t="s">
        <v>3817</v>
      </c>
      <c r="AG2227" s="1" t="s">
        <v>6170</v>
      </c>
      <c r="AH2227" t="s">
        <v>44</v>
      </c>
    </row>
    <row r="2228" spans="1:34" x14ac:dyDescent="0.3">
      <c r="A2228">
        <v>101</v>
      </c>
      <c r="B2228" t="s">
        <v>34</v>
      </c>
      <c r="C2228">
        <v>2</v>
      </c>
      <c r="D2228" s="1" t="s">
        <v>6171</v>
      </c>
      <c r="E2228" s="1" t="s">
        <v>36</v>
      </c>
      <c r="G2228">
        <v>465688</v>
      </c>
      <c r="H2228" t="s">
        <v>6172</v>
      </c>
      <c r="I2228" t="s">
        <v>753</v>
      </c>
      <c r="J2228">
        <v>15</v>
      </c>
      <c r="K2228">
        <v>4967</v>
      </c>
      <c r="L2228">
        <v>50341</v>
      </c>
      <c r="M2228" t="s">
        <v>146</v>
      </c>
      <c r="N2228">
        <v>583</v>
      </c>
      <c r="O2228" s="2">
        <v>46218</v>
      </c>
      <c r="P2228" s="2">
        <v>46258</v>
      </c>
      <c r="R2228" t="s">
        <v>6173</v>
      </c>
      <c r="S2228" t="str">
        <f>"00013148"</f>
        <v>00013148</v>
      </c>
      <c r="T2228" t="s">
        <v>41</v>
      </c>
      <c r="U2228">
        <v>1636.89</v>
      </c>
      <c r="V2228">
        <v>1636.89</v>
      </c>
      <c r="W2228">
        <v>1636.89</v>
      </c>
      <c r="X2228">
        <v>0</v>
      </c>
      <c r="Y2228">
        <v>0</v>
      </c>
      <c r="Z2228">
        <v>-483</v>
      </c>
      <c r="AA2228">
        <v>1158</v>
      </c>
      <c r="AD2228" t="s">
        <v>6174</v>
      </c>
      <c r="AE2228" t="s">
        <v>6175</v>
      </c>
      <c r="AF2228" t="s">
        <v>6174</v>
      </c>
      <c r="AG2228" s="1" t="s">
        <v>6176</v>
      </c>
      <c r="AH2228" t="s">
        <v>44</v>
      </c>
    </row>
    <row r="2229" spans="1:34" x14ac:dyDescent="0.3">
      <c r="A2229">
        <v>101</v>
      </c>
      <c r="B2229" t="s">
        <v>34</v>
      </c>
      <c r="C2229">
        <v>2</v>
      </c>
      <c r="D2229" s="1" t="s">
        <v>6171</v>
      </c>
      <c r="E2229" s="1" t="s">
        <v>122</v>
      </c>
      <c r="G2229">
        <v>465688</v>
      </c>
      <c r="H2229" t="s">
        <v>6172</v>
      </c>
      <c r="I2229" t="s">
        <v>753</v>
      </c>
      <c r="J2229">
        <v>15</v>
      </c>
      <c r="K2229">
        <v>4967</v>
      </c>
      <c r="L2229">
        <v>50341</v>
      </c>
      <c r="M2229" t="s">
        <v>146</v>
      </c>
      <c r="N2229">
        <v>583</v>
      </c>
      <c r="O2229" s="2">
        <v>46218</v>
      </c>
      <c r="P2229" s="2">
        <v>46278</v>
      </c>
      <c r="R2229" t="s">
        <v>6173</v>
      </c>
      <c r="S2229" t="str">
        <f>"00013149"</f>
        <v>00013149</v>
      </c>
      <c r="T2229" t="s">
        <v>41</v>
      </c>
      <c r="U2229">
        <v>1532.17</v>
      </c>
      <c r="V2229">
        <v>1532.17</v>
      </c>
      <c r="W2229">
        <v>1532.17</v>
      </c>
      <c r="X2229">
        <v>0</v>
      </c>
      <c r="Y2229">
        <v>0</v>
      </c>
      <c r="Z2229">
        <v>-503</v>
      </c>
      <c r="AA2229">
        <v>1158</v>
      </c>
      <c r="AD2229" t="s">
        <v>6174</v>
      </c>
      <c r="AE2229" t="s">
        <v>6175</v>
      </c>
      <c r="AF2229" t="s">
        <v>6174</v>
      </c>
      <c r="AG2229" s="1" t="s">
        <v>6176</v>
      </c>
      <c r="AH2229" t="s">
        <v>44</v>
      </c>
    </row>
    <row r="2230" spans="1:34" x14ac:dyDescent="0.3">
      <c r="A2230">
        <v>101</v>
      </c>
      <c r="B2230" t="s">
        <v>34</v>
      </c>
      <c r="C2230">
        <v>2</v>
      </c>
      <c r="D2230" s="1" t="s">
        <v>6171</v>
      </c>
      <c r="E2230" s="1" t="s">
        <v>116</v>
      </c>
      <c r="G2230">
        <v>465688</v>
      </c>
      <c r="H2230" t="s">
        <v>6172</v>
      </c>
      <c r="I2230" t="s">
        <v>753</v>
      </c>
      <c r="J2230">
        <v>15</v>
      </c>
      <c r="K2230">
        <v>4967</v>
      </c>
      <c r="L2230">
        <v>50341</v>
      </c>
      <c r="M2230" t="s">
        <v>146</v>
      </c>
      <c r="N2230">
        <v>583</v>
      </c>
      <c r="O2230" s="2">
        <v>46218</v>
      </c>
      <c r="P2230" s="2">
        <v>46298</v>
      </c>
      <c r="R2230" t="s">
        <v>6173</v>
      </c>
      <c r="S2230" t="str">
        <f>"00013150"</f>
        <v>00013150</v>
      </c>
      <c r="T2230" t="s">
        <v>41</v>
      </c>
      <c r="U2230">
        <v>1532.62</v>
      </c>
      <c r="V2230">
        <v>1532.62</v>
      </c>
      <c r="W2230">
        <v>1532.62</v>
      </c>
      <c r="X2230">
        <v>0</v>
      </c>
      <c r="Y2230">
        <v>0</v>
      </c>
      <c r="Z2230">
        <v>-523</v>
      </c>
      <c r="AA2230">
        <v>1158</v>
      </c>
      <c r="AD2230" t="s">
        <v>6174</v>
      </c>
      <c r="AE2230" t="s">
        <v>6175</v>
      </c>
      <c r="AF2230" t="s">
        <v>6174</v>
      </c>
      <c r="AG2230" s="1" t="s">
        <v>6176</v>
      </c>
      <c r="AH2230" t="s">
        <v>44</v>
      </c>
    </row>
    <row r="2231" spans="1:34" x14ac:dyDescent="0.3">
      <c r="A2231">
        <v>101</v>
      </c>
      <c r="B2231" t="s">
        <v>34</v>
      </c>
      <c r="C2231">
        <v>2</v>
      </c>
      <c r="D2231" s="1" t="s">
        <v>6177</v>
      </c>
      <c r="E2231" s="1" t="s">
        <v>122</v>
      </c>
      <c r="G2231">
        <v>465851</v>
      </c>
      <c r="H2231" t="s">
        <v>6178</v>
      </c>
      <c r="I2231" t="s">
        <v>753</v>
      </c>
      <c r="J2231">
        <v>15</v>
      </c>
      <c r="K2231">
        <v>4967</v>
      </c>
      <c r="L2231">
        <v>50341</v>
      </c>
      <c r="M2231" t="s">
        <v>146</v>
      </c>
      <c r="N2231">
        <v>583</v>
      </c>
      <c r="O2231" s="2">
        <v>46196</v>
      </c>
      <c r="P2231" s="2">
        <v>46256</v>
      </c>
      <c r="R2231" t="s">
        <v>6179</v>
      </c>
      <c r="S2231" t="str">
        <f>"00012728"</f>
        <v>00012728</v>
      </c>
      <c r="T2231" t="s">
        <v>41</v>
      </c>
      <c r="U2231">
        <v>1965.11</v>
      </c>
      <c r="V2231">
        <v>1965.11</v>
      </c>
      <c r="W2231">
        <v>1965.11</v>
      </c>
      <c r="X2231">
        <v>0</v>
      </c>
      <c r="Y2231">
        <v>0</v>
      </c>
      <c r="Z2231">
        <v>-481</v>
      </c>
      <c r="AA2231">
        <v>860</v>
      </c>
      <c r="AD2231" t="s">
        <v>6180</v>
      </c>
      <c r="AE2231" t="s">
        <v>850</v>
      </c>
      <c r="AF2231" t="s">
        <v>6180</v>
      </c>
      <c r="AG2231" s="1" t="s">
        <v>6181</v>
      </c>
      <c r="AH2231" t="s">
        <v>714</v>
      </c>
    </row>
    <row r="2232" spans="1:34" x14ac:dyDescent="0.3">
      <c r="A2232">
        <v>101</v>
      </c>
      <c r="B2232" t="s">
        <v>34</v>
      </c>
      <c r="C2232">
        <v>2</v>
      </c>
      <c r="D2232" s="1" t="s">
        <v>6177</v>
      </c>
      <c r="E2232" s="1" t="s">
        <v>116</v>
      </c>
      <c r="G2232">
        <v>465851</v>
      </c>
      <c r="H2232" t="s">
        <v>6178</v>
      </c>
      <c r="I2232" t="s">
        <v>753</v>
      </c>
      <c r="J2232">
        <v>15</v>
      </c>
      <c r="K2232">
        <v>4967</v>
      </c>
      <c r="L2232">
        <v>50341</v>
      </c>
      <c r="M2232" t="s">
        <v>146</v>
      </c>
      <c r="N2232">
        <v>583</v>
      </c>
      <c r="O2232" s="2">
        <v>46196</v>
      </c>
      <c r="P2232" s="2">
        <v>46276</v>
      </c>
      <c r="R2232" t="s">
        <v>6179</v>
      </c>
      <c r="S2232" t="str">
        <f>"00012729"</f>
        <v>00012729</v>
      </c>
      <c r="T2232" t="s">
        <v>41</v>
      </c>
      <c r="U2232">
        <v>1965.69</v>
      </c>
      <c r="V2232">
        <v>1965.69</v>
      </c>
      <c r="W2232">
        <v>1965.69</v>
      </c>
      <c r="X2232">
        <v>0</v>
      </c>
      <c r="Y2232">
        <v>0</v>
      </c>
      <c r="Z2232">
        <v>-501</v>
      </c>
      <c r="AA2232">
        <v>860</v>
      </c>
      <c r="AD2232" t="s">
        <v>6180</v>
      </c>
      <c r="AE2232" t="s">
        <v>850</v>
      </c>
      <c r="AF2232" t="s">
        <v>6180</v>
      </c>
      <c r="AG2232" s="1" t="s">
        <v>6181</v>
      </c>
      <c r="AH2232" t="s">
        <v>714</v>
      </c>
    </row>
    <row r="2233" spans="1:34" x14ac:dyDescent="0.3">
      <c r="A2233">
        <v>101</v>
      </c>
      <c r="B2233" t="s">
        <v>34</v>
      </c>
      <c r="C2233">
        <v>2</v>
      </c>
      <c r="D2233" s="1" t="s">
        <v>6182</v>
      </c>
      <c r="E2233" s="1" t="s">
        <v>122</v>
      </c>
      <c r="G2233">
        <v>465851</v>
      </c>
      <c r="H2233" t="s">
        <v>6178</v>
      </c>
      <c r="I2233" t="s">
        <v>753</v>
      </c>
      <c r="J2233">
        <v>15</v>
      </c>
      <c r="K2233">
        <v>4967</v>
      </c>
      <c r="L2233">
        <v>50341</v>
      </c>
      <c r="M2233" t="s">
        <v>146</v>
      </c>
      <c r="N2233">
        <v>583</v>
      </c>
      <c r="O2233" s="2">
        <v>46196</v>
      </c>
      <c r="P2233" s="2">
        <v>46256</v>
      </c>
      <c r="R2233" t="s">
        <v>6183</v>
      </c>
      <c r="S2233" t="str">
        <f>"00012731"</f>
        <v>00012731</v>
      </c>
      <c r="T2233" t="s">
        <v>41</v>
      </c>
      <c r="U2233">
        <v>186.97</v>
      </c>
      <c r="V2233">
        <v>186.97</v>
      </c>
      <c r="W2233">
        <v>186.97</v>
      </c>
      <c r="X2233">
        <v>0</v>
      </c>
      <c r="Y2233">
        <v>0</v>
      </c>
      <c r="Z2233">
        <v>-481</v>
      </c>
      <c r="AA2233">
        <v>864</v>
      </c>
      <c r="AD2233" t="s">
        <v>6180</v>
      </c>
      <c r="AE2233" t="s">
        <v>850</v>
      </c>
      <c r="AF2233" t="s">
        <v>6180</v>
      </c>
      <c r="AG2233" s="1" t="s">
        <v>6181</v>
      </c>
      <c r="AH2233" t="s">
        <v>714</v>
      </c>
    </row>
    <row r="2234" spans="1:34" x14ac:dyDescent="0.3">
      <c r="A2234">
        <v>101</v>
      </c>
      <c r="B2234" t="s">
        <v>34</v>
      </c>
      <c r="C2234">
        <v>2</v>
      </c>
      <c r="D2234" s="1" t="s">
        <v>6182</v>
      </c>
      <c r="E2234" s="1" t="s">
        <v>116</v>
      </c>
      <c r="G2234">
        <v>465851</v>
      </c>
      <c r="H2234" t="s">
        <v>6178</v>
      </c>
      <c r="I2234" t="s">
        <v>753</v>
      </c>
      <c r="J2234">
        <v>15</v>
      </c>
      <c r="K2234">
        <v>4967</v>
      </c>
      <c r="L2234">
        <v>50341</v>
      </c>
      <c r="M2234" t="s">
        <v>146</v>
      </c>
      <c r="N2234">
        <v>583</v>
      </c>
      <c r="O2234" s="2">
        <v>46196</v>
      </c>
      <c r="P2234" s="2">
        <v>46276</v>
      </c>
      <c r="R2234" t="s">
        <v>6183</v>
      </c>
      <c r="S2234" t="str">
        <f>"00012732"</f>
        <v>00012732</v>
      </c>
      <c r="T2234" t="s">
        <v>41</v>
      </c>
      <c r="U2234">
        <v>187.03</v>
      </c>
      <c r="V2234">
        <v>187.03</v>
      </c>
      <c r="W2234">
        <v>187.03</v>
      </c>
      <c r="X2234">
        <v>0</v>
      </c>
      <c r="Y2234">
        <v>0</v>
      </c>
      <c r="Z2234">
        <v>-501</v>
      </c>
      <c r="AA2234">
        <v>864</v>
      </c>
      <c r="AD2234" t="s">
        <v>6180</v>
      </c>
      <c r="AE2234" t="s">
        <v>850</v>
      </c>
      <c r="AF2234" t="s">
        <v>6180</v>
      </c>
      <c r="AG2234" s="1" t="s">
        <v>6181</v>
      </c>
      <c r="AH2234" t="s">
        <v>714</v>
      </c>
    </row>
    <row r="2235" spans="1:34" x14ac:dyDescent="0.3">
      <c r="A2235">
        <v>101</v>
      </c>
      <c r="B2235" t="s">
        <v>34</v>
      </c>
      <c r="C2235">
        <v>2</v>
      </c>
      <c r="D2235" s="1" t="s">
        <v>6184</v>
      </c>
      <c r="E2235" s="1" t="s">
        <v>122</v>
      </c>
      <c r="G2235">
        <v>465877</v>
      </c>
      <c r="H2235" t="s">
        <v>6185</v>
      </c>
      <c r="I2235" t="s">
        <v>753</v>
      </c>
      <c r="J2235">
        <v>15</v>
      </c>
      <c r="K2235">
        <v>4967</v>
      </c>
      <c r="L2235">
        <v>50341</v>
      </c>
      <c r="M2235" t="s">
        <v>146</v>
      </c>
      <c r="N2235">
        <v>583</v>
      </c>
      <c r="O2235" s="2">
        <v>46196</v>
      </c>
      <c r="P2235" s="2">
        <v>46256</v>
      </c>
      <c r="R2235" t="s">
        <v>6186</v>
      </c>
      <c r="S2235" t="str">
        <f>"00012758"</f>
        <v>00012758</v>
      </c>
      <c r="T2235" t="s">
        <v>41</v>
      </c>
      <c r="U2235">
        <v>1692.98</v>
      </c>
      <c r="V2235">
        <v>1692.98</v>
      </c>
      <c r="W2235">
        <v>1692.98</v>
      </c>
      <c r="X2235">
        <v>0</v>
      </c>
      <c r="Y2235">
        <v>0</v>
      </c>
      <c r="Z2235">
        <v>-481</v>
      </c>
      <c r="AA2235">
        <v>861</v>
      </c>
      <c r="AD2235" t="s">
        <v>1069</v>
      </c>
      <c r="AE2235" t="s">
        <v>850</v>
      </c>
      <c r="AF2235" t="s">
        <v>1069</v>
      </c>
      <c r="AG2235" s="1" t="s">
        <v>6187</v>
      </c>
      <c r="AH2235" t="s">
        <v>714</v>
      </c>
    </row>
    <row r="2236" spans="1:34" x14ac:dyDescent="0.3">
      <c r="A2236">
        <v>101</v>
      </c>
      <c r="B2236" t="s">
        <v>34</v>
      </c>
      <c r="C2236">
        <v>2</v>
      </c>
      <c r="D2236" s="1" t="s">
        <v>6184</v>
      </c>
      <c r="E2236" s="1" t="s">
        <v>116</v>
      </c>
      <c r="G2236">
        <v>465877</v>
      </c>
      <c r="H2236" t="s">
        <v>6185</v>
      </c>
      <c r="I2236" t="s">
        <v>753</v>
      </c>
      <c r="J2236">
        <v>15</v>
      </c>
      <c r="K2236">
        <v>4967</v>
      </c>
      <c r="L2236">
        <v>50341</v>
      </c>
      <c r="M2236" t="s">
        <v>146</v>
      </c>
      <c r="N2236">
        <v>583</v>
      </c>
      <c r="O2236" s="2">
        <v>46196</v>
      </c>
      <c r="P2236" s="2">
        <v>46276</v>
      </c>
      <c r="R2236" t="s">
        <v>6186</v>
      </c>
      <c r="S2236" t="str">
        <f>"00012759"</f>
        <v>00012759</v>
      </c>
      <c r="T2236" t="s">
        <v>41</v>
      </c>
      <c r="U2236">
        <v>1693.49</v>
      </c>
      <c r="V2236">
        <v>1693.49</v>
      </c>
      <c r="W2236">
        <v>1693.49</v>
      </c>
      <c r="X2236">
        <v>0</v>
      </c>
      <c r="Y2236">
        <v>0</v>
      </c>
      <c r="Z2236">
        <v>-501</v>
      </c>
      <c r="AA2236">
        <v>861</v>
      </c>
      <c r="AD2236" t="s">
        <v>1069</v>
      </c>
      <c r="AE2236" t="s">
        <v>850</v>
      </c>
      <c r="AF2236" t="s">
        <v>1069</v>
      </c>
      <c r="AG2236" s="1" t="s">
        <v>6187</v>
      </c>
      <c r="AH2236" t="s">
        <v>714</v>
      </c>
    </row>
    <row r="2237" spans="1:34" x14ac:dyDescent="0.3">
      <c r="A2237">
        <v>101</v>
      </c>
      <c r="B2237" t="s">
        <v>34</v>
      </c>
      <c r="C2237">
        <v>2</v>
      </c>
      <c r="D2237" s="1" t="s">
        <v>6188</v>
      </c>
      <c r="E2237" s="1" t="s">
        <v>122</v>
      </c>
      <c r="G2237">
        <v>465877</v>
      </c>
      <c r="H2237" t="s">
        <v>6185</v>
      </c>
      <c r="I2237" t="s">
        <v>753</v>
      </c>
      <c r="J2237">
        <v>15</v>
      </c>
      <c r="K2237">
        <v>4967</v>
      </c>
      <c r="L2237">
        <v>50341</v>
      </c>
      <c r="M2237" t="s">
        <v>146</v>
      </c>
      <c r="N2237">
        <v>583</v>
      </c>
      <c r="O2237" s="2">
        <v>46196</v>
      </c>
      <c r="P2237" s="2">
        <v>46256</v>
      </c>
      <c r="R2237" t="s">
        <v>6189</v>
      </c>
      <c r="S2237" t="str">
        <f>"00012761"</f>
        <v>00012761</v>
      </c>
      <c r="T2237" t="s">
        <v>41</v>
      </c>
      <c r="U2237">
        <v>498.59</v>
      </c>
      <c r="V2237">
        <v>498.59</v>
      </c>
      <c r="W2237">
        <v>498.59</v>
      </c>
      <c r="X2237">
        <v>0</v>
      </c>
      <c r="Y2237">
        <v>0</v>
      </c>
      <c r="Z2237">
        <v>-481</v>
      </c>
      <c r="AA2237">
        <v>865</v>
      </c>
      <c r="AD2237" t="s">
        <v>1069</v>
      </c>
      <c r="AE2237" t="s">
        <v>850</v>
      </c>
      <c r="AF2237" t="s">
        <v>1069</v>
      </c>
      <c r="AG2237" s="1" t="s">
        <v>6187</v>
      </c>
      <c r="AH2237" t="s">
        <v>714</v>
      </c>
    </row>
    <row r="2238" spans="1:34" x14ac:dyDescent="0.3">
      <c r="A2238">
        <v>101</v>
      </c>
      <c r="B2238" t="s">
        <v>34</v>
      </c>
      <c r="C2238">
        <v>2</v>
      </c>
      <c r="D2238" s="1" t="s">
        <v>6188</v>
      </c>
      <c r="E2238" s="1" t="s">
        <v>116</v>
      </c>
      <c r="G2238">
        <v>465877</v>
      </c>
      <c r="H2238" t="s">
        <v>6185</v>
      </c>
      <c r="I2238" t="s">
        <v>753</v>
      </c>
      <c r="J2238">
        <v>15</v>
      </c>
      <c r="K2238">
        <v>4967</v>
      </c>
      <c r="L2238">
        <v>50341</v>
      </c>
      <c r="M2238" t="s">
        <v>146</v>
      </c>
      <c r="N2238">
        <v>583</v>
      </c>
      <c r="O2238" s="2">
        <v>46196</v>
      </c>
      <c r="P2238" s="2">
        <v>46276</v>
      </c>
      <c r="R2238" t="s">
        <v>6189</v>
      </c>
      <c r="S2238" t="str">
        <f>"00012762"</f>
        <v>00012762</v>
      </c>
      <c r="T2238" t="s">
        <v>41</v>
      </c>
      <c r="U2238">
        <v>498.74</v>
      </c>
      <c r="V2238">
        <v>498.74</v>
      </c>
      <c r="W2238">
        <v>498.74</v>
      </c>
      <c r="X2238">
        <v>0</v>
      </c>
      <c r="Y2238">
        <v>0</v>
      </c>
      <c r="Z2238">
        <v>-501</v>
      </c>
      <c r="AA2238">
        <v>865</v>
      </c>
      <c r="AD2238" t="s">
        <v>1069</v>
      </c>
      <c r="AE2238" t="s">
        <v>850</v>
      </c>
      <c r="AF2238" t="s">
        <v>1069</v>
      </c>
      <c r="AG2238" s="1" t="s">
        <v>6187</v>
      </c>
      <c r="AH2238" t="s">
        <v>714</v>
      </c>
    </row>
    <row r="2239" spans="1:34" x14ac:dyDescent="0.3">
      <c r="A2239">
        <v>101</v>
      </c>
      <c r="B2239" t="s">
        <v>34</v>
      </c>
      <c r="C2239">
        <v>2</v>
      </c>
      <c r="D2239" s="1" t="s">
        <v>6190</v>
      </c>
      <c r="E2239" s="1" t="s">
        <v>116</v>
      </c>
      <c r="G2239">
        <v>465877</v>
      </c>
      <c r="H2239" t="s">
        <v>6185</v>
      </c>
      <c r="I2239" t="s">
        <v>753</v>
      </c>
      <c r="J2239">
        <v>15</v>
      </c>
      <c r="K2239">
        <v>4967</v>
      </c>
      <c r="L2239">
        <v>50341</v>
      </c>
      <c r="M2239" t="s">
        <v>146</v>
      </c>
      <c r="N2239">
        <v>583</v>
      </c>
      <c r="O2239" s="2">
        <v>46225</v>
      </c>
      <c r="P2239" s="2">
        <v>46305</v>
      </c>
      <c r="R2239" t="s">
        <v>6191</v>
      </c>
      <c r="S2239" t="str">
        <f>"00013248"</f>
        <v>00013248</v>
      </c>
      <c r="T2239" t="s">
        <v>41</v>
      </c>
      <c r="U2239">
        <v>2381.13</v>
      </c>
      <c r="V2239">
        <v>2381.13</v>
      </c>
      <c r="W2239">
        <v>2381.13</v>
      </c>
      <c r="X2239">
        <v>0</v>
      </c>
      <c r="Y2239">
        <v>0</v>
      </c>
      <c r="Z2239">
        <v>-530</v>
      </c>
      <c r="AA2239">
        <v>1407</v>
      </c>
      <c r="AD2239" t="s">
        <v>1069</v>
      </c>
      <c r="AE2239" t="s">
        <v>850</v>
      </c>
      <c r="AF2239" t="s">
        <v>1069</v>
      </c>
      <c r="AG2239" s="1" t="s">
        <v>6187</v>
      </c>
      <c r="AH2239" t="s">
        <v>714</v>
      </c>
    </row>
    <row r="2240" spans="1:34" x14ac:dyDescent="0.3">
      <c r="A2240">
        <v>101</v>
      </c>
      <c r="B2240" t="s">
        <v>34</v>
      </c>
      <c r="C2240">
        <v>2</v>
      </c>
      <c r="D2240" s="1" t="s">
        <v>6190</v>
      </c>
      <c r="E2240" s="1" t="s">
        <v>122</v>
      </c>
      <c r="G2240">
        <v>465877</v>
      </c>
      <c r="H2240" t="s">
        <v>6185</v>
      </c>
      <c r="I2240" t="s">
        <v>753</v>
      </c>
      <c r="J2240">
        <v>15</v>
      </c>
      <c r="K2240">
        <v>4967</v>
      </c>
      <c r="L2240">
        <v>50341</v>
      </c>
      <c r="M2240" t="s">
        <v>146</v>
      </c>
      <c r="N2240">
        <v>583</v>
      </c>
      <c r="O2240" s="2">
        <v>46225</v>
      </c>
      <c r="P2240" s="2">
        <v>46285</v>
      </c>
      <c r="R2240" t="s">
        <v>6191</v>
      </c>
      <c r="S2240" t="str">
        <f>"00013247"</f>
        <v>00013247</v>
      </c>
      <c r="T2240" t="s">
        <v>41</v>
      </c>
      <c r="U2240">
        <v>2380.41</v>
      </c>
      <c r="V2240">
        <v>2380.41</v>
      </c>
      <c r="W2240">
        <v>2380.41</v>
      </c>
      <c r="X2240">
        <v>0</v>
      </c>
      <c r="Y2240">
        <v>0</v>
      </c>
      <c r="Z2240">
        <v>-510</v>
      </c>
      <c r="AA2240">
        <v>1407</v>
      </c>
      <c r="AD2240" t="s">
        <v>1069</v>
      </c>
      <c r="AE2240" t="s">
        <v>850</v>
      </c>
      <c r="AF2240" t="s">
        <v>1069</v>
      </c>
      <c r="AG2240" s="1" t="s">
        <v>6187</v>
      </c>
      <c r="AH2240" t="s">
        <v>714</v>
      </c>
    </row>
    <row r="2241" spans="1:34" x14ac:dyDescent="0.3">
      <c r="A2241">
        <v>101</v>
      </c>
      <c r="B2241" t="s">
        <v>34</v>
      </c>
      <c r="C2241">
        <v>2</v>
      </c>
      <c r="D2241" s="1" t="s">
        <v>6190</v>
      </c>
      <c r="E2241" s="1" t="s">
        <v>36</v>
      </c>
      <c r="G2241">
        <v>465877</v>
      </c>
      <c r="H2241" t="s">
        <v>6185</v>
      </c>
      <c r="I2241" t="s">
        <v>753</v>
      </c>
      <c r="J2241">
        <v>15</v>
      </c>
      <c r="K2241">
        <v>4967</v>
      </c>
      <c r="L2241">
        <v>50341</v>
      </c>
      <c r="M2241" t="s">
        <v>146</v>
      </c>
      <c r="N2241">
        <v>583</v>
      </c>
      <c r="O2241" s="2">
        <v>46225</v>
      </c>
      <c r="P2241" s="2">
        <v>46265</v>
      </c>
      <c r="R2241" t="s">
        <v>6191</v>
      </c>
      <c r="S2241" t="str">
        <f>"00013246"</f>
        <v>00013246</v>
      </c>
      <c r="T2241" t="s">
        <v>41</v>
      </c>
      <c r="U2241">
        <v>2565.29</v>
      </c>
      <c r="V2241">
        <v>2565.29</v>
      </c>
      <c r="W2241">
        <v>2565.29</v>
      </c>
      <c r="X2241">
        <v>0</v>
      </c>
      <c r="Y2241">
        <v>0</v>
      </c>
      <c r="Z2241">
        <v>-490</v>
      </c>
      <c r="AA2241">
        <v>1407</v>
      </c>
      <c r="AD2241" t="s">
        <v>1069</v>
      </c>
      <c r="AE2241" t="s">
        <v>850</v>
      </c>
      <c r="AF2241" t="s">
        <v>1069</v>
      </c>
      <c r="AG2241" s="1" t="s">
        <v>6187</v>
      </c>
      <c r="AH2241" t="s">
        <v>714</v>
      </c>
    </row>
    <row r="2242" spans="1:34" x14ac:dyDescent="0.3">
      <c r="A2242">
        <v>101</v>
      </c>
      <c r="B2242" t="s">
        <v>34</v>
      </c>
      <c r="C2242">
        <v>2</v>
      </c>
      <c r="D2242" s="1" t="s">
        <v>6192</v>
      </c>
      <c r="E2242" s="1" t="s">
        <v>122</v>
      </c>
      <c r="G2242">
        <v>465878</v>
      </c>
      <c r="H2242" t="s">
        <v>6193</v>
      </c>
      <c r="I2242" t="s">
        <v>753</v>
      </c>
      <c r="J2242">
        <v>15</v>
      </c>
      <c r="K2242">
        <v>4967</v>
      </c>
      <c r="L2242">
        <v>50341</v>
      </c>
      <c r="M2242" t="s">
        <v>146</v>
      </c>
      <c r="N2242">
        <v>583</v>
      </c>
      <c r="O2242" s="2">
        <v>46196</v>
      </c>
      <c r="P2242" s="2">
        <v>46256</v>
      </c>
      <c r="R2242" t="s">
        <v>6194</v>
      </c>
      <c r="S2242" t="str">
        <f>"00012764"</f>
        <v>00012764</v>
      </c>
      <c r="T2242" t="s">
        <v>41</v>
      </c>
      <c r="U2242">
        <v>4886.12</v>
      </c>
      <c r="V2242">
        <v>4886.12</v>
      </c>
      <c r="W2242">
        <v>4886.12</v>
      </c>
      <c r="X2242">
        <v>0</v>
      </c>
      <c r="Y2242">
        <v>0</v>
      </c>
      <c r="Z2242">
        <v>-481</v>
      </c>
      <c r="AA2242">
        <v>862</v>
      </c>
      <c r="AD2242" t="s">
        <v>6052</v>
      </c>
      <c r="AE2242" t="s">
        <v>850</v>
      </c>
      <c r="AF2242" t="s">
        <v>6052</v>
      </c>
      <c r="AG2242" s="1" t="s">
        <v>6195</v>
      </c>
      <c r="AH2242" t="s">
        <v>714</v>
      </c>
    </row>
    <row r="2243" spans="1:34" x14ac:dyDescent="0.3">
      <c r="A2243">
        <v>101</v>
      </c>
      <c r="B2243" t="s">
        <v>34</v>
      </c>
      <c r="C2243">
        <v>2</v>
      </c>
      <c r="D2243" s="1" t="s">
        <v>6196</v>
      </c>
      <c r="E2243" s="1" t="s">
        <v>122</v>
      </c>
      <c r="G2243">
        <v>465878</v>
      </c>
      <c r="H2243" t="s">
        <v>6193</v>
      </c>
      <c r="I2243" t="s">
        <v>753</v>
      </c>
      <c r="J2243">
        <v>15</v>
      </c>
      <c r="K2243">
        <v>4967</v>
      </c>
      <c r="L2243">
        <v>50341</v>
      </c>
      <c r="M2243" t="s">
        <v>146</v>
      </c>
      <c r="N2243">
        <v>583</v>
      </c>
      <c r="O2243" s="2">
        <v>46225</v>
      </c>
      <c r="P2243" s="2">
        <v>46285</v>
      </c>
      <c r="R2243" t="s">
        <v>6197</v>
      </c>
      <c r="S2243" t="str">
        <f>"00013250"</f>
        <v>00013250</v>
      </c>
      <c r="T2243" t="s">
        <v>41</v>
      </c>
      <c r="U2243">
        <v>2746.55</v>
      </c>
      <c r="V2243">
        <v>2746.55</v>
      </c>
      <c r="W2243">
        <v>2746.55</v>
      </c>
      <c r="X2243">
        <v>0</v>
      </c>
      <c r="Y2243">
        <v>0</v>
      </c>
      <c r="Z2243">
        <v>-510</v>
      </c>
      <c r="AA2243">
        <v>1408</v>
      </c>
      <c r="AD2243" t="s">
        <v>6052</v>
      </c>
      <c r="AE2243" t="s">
        <v>850</v>
      </c>
      <c r="AF2243" t="s">
        <v>6052</v>
      </c>
      <c r="AG2243" s="1" t="s">
        <v>6195</v>
      </c>
      <c r="AH2243" t="s">
        <v>714</v>
      </c>
    </row>
    <row r="2244" spans="1:34" x14ac:dyDescent="0.3">
      <c r="A2244">
        <v>101</v>
      </c>
      <c r="B2244" t="s">
        <v>34</v>
      </c>
      <c r="C2244">
        <v>2</v>
      </c>
      <c r="D2244" s="1" t="s">
        <v>6198</v>
      </c>
      <c r="E2244" s="1" t="s">
        <v>116</v>
      </c>
      <c r="G2244">
        <v>465878</v>
      </c>
      <c r="H2244" t="s">
        <v>6193</v>
      </c>
      <c r="I2244" t="s">
        <v>753</v>
      </c>
      <c r="J2244">
        <v>15</v>
      </c>
      <c r="K2244">
        <v>4967</v>
      </c>
      <c r="L2244">
        <v>50341</v>
      </c>
      <c r="M2244" t="s">
        <v>146</v>
      </c>
      <c r="N2244">
        <v>583</v>
      </c>
      <c r="O2244" s="2">
        <v>46196</v>
      </c>
      <c r="P2244" s="2">
        <v>46276</v>
      </c>
      <c r="R2244" t="s">
        <v>6199</v>
      </c>
      <c r="S2244" t="str">
        <f>"00012768"</f>
        <v>00012768</v>
      </c>
      <c r="T2244" t="s">
        <v>41</v>
      </c>
      <c r="U2244">
        <v>436.39</v>
      </c>
      <c r="V2244">
        <v>436.39</v>
      </c>
      <c r="W2244">
        <v>436.39</v>
      </c>
      <c r="X2244">
        <v>0</v>
      </c>
      <c r="Y2244">
        <v>0</v>
      </c>
      <c r="Z2244">
        <v>-501</v>
      </c>
      <c r="AA2244">
        <v>866</v>
      </c>
      <c r="AD2244" t="s">
        <v>6052</v>
      </c>
      <c r="AE2244" t="s">
        <v>850</v>
      </c>
      <c r="AF2244" t="s">
        <v>6052</v>
      </c>
      <c r="AG2244" s="1" t="s">
        <v>6195</v>
      </c>
      <c r="AH2244" t="s">
        <v>714</v>
      </c>
    </row>
    <row r="2245" spans="1:34" x14ac:dyDescent="0.3">
      <c r="A2245">
        <v>101</v>
      </c>
      <c r="B2245" t="s">
        <v>34</v>
      </c>
      <c r="C2245">
        <v>2</v>
      </c>
      <c r="D2245" s="1" t="s">
        <v>6196</v>
      </c>
      <c r="E2245" s="1" t="s">
        <v>36</v>
      </c>
      <c r="G2245">
        <v>465878</v>
      </c>
      <c r="H2245" t="s">
        <v>6193</v>
      </c>
      <c r="I2245" t="s">
        <v>753</v>
      </c>
      <c r="J2245">
        <v>15</v>
      </c>
      <c r="K2245">
        <v>4967</v>
      </c>
      <c r="L2245">
        <v>50341</v>
      </c>
      <c r="M2245" t="s">
        <v>146</v>
      </c>
      <c r="N2245">
        <v>583</v>
      </c>
      <c r="O2245" s="2">
        <v>46225</v>
      </c>
      <c r="P2245" s="2">
        <v>46265</v>
      </c>
      <c r="R2245" t="s">
        <v>6197</v>
      </c>
      <c r="S2245" t="str">
        <f>"00013249"</f>
        <v>00013249</v>
      </c>
      <c r="T2245" t="s">
        <v>41</v>
      </c>
      <c r="U2245">
        <v>2889.75</v>
      </c>
      <c r="V2245">
        <v>2889.75</v>
      </c>
      <c r="W2245">
        <v>2889.75</v>
      </c>
      <c r="X2245">
        <v>0</v>
      </c>
      <c r="Y2245">
        <v>0</v>
      </c>
      <c r="Z2245">
        <v>-490</v>
      </c>
      <c r="AA2245">
        <v>1408</v>
      </c>
      <c r="AD2245" t="s">
        <v>6052</v>
      </c>
      <c r="AE2245" t="s">
        <v>850</v>
      </c>
      <c r="AF2245" t="s">
        <v>6052</v>
      </c>
      <c r="AG2245" s="1" t="s">
        <v>6195</v>
      </c>
      <c r="AH2245" t="s">
        <v>714</v>
      </c>
    </row>
    <row r="2246" spans="1:34" x14ac:dyDescent="0.3">
      <c r="A2246">
        <v>101</v>
      </c>
      <c r="B2246" t="s">
        <v>34</v>
      </c>
      <c r="C2246">
        <v>2</v>
      </c>
      <c r="D2246" s="1" t="s">
        <v>6198</v>
      </c>
      <c r="E2246" s="1" t="s">
        <v>122</v>
      </c>
      <c r="G2246">
        <v>465878</v>
      </c>
      <c r="H2246" t="s">
        <v>6193</v>
      </c>
      <c r="I2246" t="s">
        <v>753</v>
      </c>
      <c r="J2246">
        <v>15</v>
      </c>
      <c r="K2246">
        <v>4967</v>
      </c>
      <c r="L2246">
        <v>50341</v>
      </c>
      <c r="M2246" t="s">
        <v>146</v>
      </c>
      <c r="N2246">
        <v>583</v>
      </c>
      <c r="O2246" s="2">
        <v>46196</v>
      </c>
      <c r="P2246" s="2">
        <v>46256</v>
      </c>
      <c r="R2246" t="s">
        <v>6199</v>
      </c>
      <c r="S2246" t="str">
        <f>"00012767"</f>
        <v>00012767</v>
      </c>
      <c r="T2246" t="s">
        <v>41</v>
      </c>
      <c r="U2246">
        <v>436.27</v>
      </c>
      <c r="V2246">
        <v>436.27</v>
      </c>
      <c r="W2246">
        <v>436.27</v>
      </c>
      <c r="X2246">
        <v>0</v>
      </c>
      <c r="Y2246">
        <v>0</v>
      </c>
      <c r="Z2246">
        <v>-481</v>
      </c>
      <c r="AA2246">
        <v>866</v>
      </c>
      <c r="AD2246" t="s">
        <v>6052</v>
      </c>
      <c r="AE2246" t="s">
        <v>850</v>
      </c>
      <c r="AF2246" t="s">
        <v>6052</v>
      </c>
      <c r="AG2246" s="1" t="s">
        <v>6195</v>
      </c>
      <c r="AH2246" t="s">
        <v>714</v>
      </c>
    </row>
    <row r="2247" spans="1:34" x14ac:dyDescent="0.3">
      <c r="A2247">
        <v>101</v>
      </c>
      <c r="B2247" t="s">
        <v>34</v>
      </c>
      <c r="C2247">
        <v>2</v>
      </c>
      <c r="D2247" s="1" t="s">
        <v>6196</v>
      </c>
      <c r="E2247" s="1" t="s">
        <v>116</v>
      </c>
      <c r="G2247">
        <v>465878</v>
      </c>
      <c r="H2247" t="s">
        <v>6193</v>
      </c>
      <c r="I2247" t="s">
        <v>753</v>
      </c>
      <c r="J2247">
        <v>15</v>
      </c>
      <c r="K2247">
        <v>4967</v>
      </c>
      <c r="L2247">
        <v>50341</v>
      </c>
      <c r="M2247" t="s">
        <v>146</v>
      </c>
      <c r="N2247">
        <v>583</v>
      </c>
      <c r="O2247" s="2">
        <v>46225</v>
      </c>
      <c r="P2247" s="2">
        <v>46305</v>
      </c>
      <c r="R2247" t="s">
        <v>6197</v>
      </c>
      <c r="S2247" t="str">
        <f>"00013251"</f>
        <v>00013251</v>
      </c>
      <c r="T2247" t="s">
        <v>41</v>
      </c>
      <c r="U2247">
        <v>2747.38</v>
      </c>
      <c r="V2247">
        <v>2747.38</v>
      </c>
      <c r="W2247">
        <v>2747.38</v>
      </c>
      <c r="X2247">
        <v>0</v>
      </c>
      <c r="Y2247">
        <v>0</v>
      </c>
      <c r="Z2247">
        <v>-530</v>
      </c>
      <c r="AA2247">
        <v>1408</v>
      </c>
      <c r="AD2247" t="s">
        <v>6052</v>
      </c>
      <c r="AE2247" t="s">
        <v>850</v>
      </c>
      <c r="AF2247" t="s">
        <v>6052</v>
      </c>
      <c r="AG2247" s="1" t="s">
        <v>6195</v>
      </c>
      <c r="AH2247" t="s">
        <v>714</v>
      </c>
    </row>
    <row r="2248" spans="1:34" x14ac:dyDescent="0.3">
      <c r="A2248">
        <v>101</v>
      </c>
      <c r="B2248" t="s">
        <v>34</v>
      </c>
      <c r="C2248">
        <v>2</v>
      </c>
      <c r="D2248" s="1" t="s">
        <v>6192</v>
      </c>
      <c r="E2248" s="1" t="s">
        <v>116</v>
      </c>
      <c r="G2248">
        <v>465878</v>
      </c>
      <c r="H2248" t="s">
        <v>6193</v>
      </c>
      <c r="I2248" t="s">
        <v>753</v>
      </c>
      <c r="J2248">
        <v>15</v>
      </c>
      <c r="K2248">
        <v>4967</v>
      </c>
      <c r="L2248">
        <v>50341</v>
      </c>
      <c r="M2248" t="s">
        <v>146</v>
      </c>
      <c r="N2248">
        <v>583</v>
      </c>
      <c r="O2248" s="2">
        <v>46196</v>
      </c>
      <c r="P2248" s="2">
        <v>46276</v>
      </c>
      <c r="R2248" t="s">
        <v>6194</v>
      </c>
      <c r="S2248" t="str">
        <f>"00012765"</f>
        <v>00012765</v>
      </c>
      <c r="T2248" t="s">
        <v>41</v>
      </c>
      <c r="U2248">
        <v>4887.6000000000004</v>
      </c>
      <c r="V2248">
        <v>4887.6000000000004</v>
      </c>
      <c r="W2248">
        <v>4887.6000000000004</v>
      </c>
      <c r="X2248">
        <v>0</v>
      </c>
      <c r="Y2248">
        <v>0</v>
      </c>
      <c r="Z2248">
        <v>-501</v>
      </c>
      <c r="AA2248">
        <v>862</v>
      </c>
      <c r="AD2248" t="s">
        <v>6052</v>
      </c>
      <c r="AE2248" t="s">
        <v>850</v>
      </c>
      <c r="AF2248" t="s">
        <v>6052</v>
      </c>
      <c r="AG2248" s="1" t="s">
        <v>6195</v>
      </c>
      <c r="AH2248" t="s">
        <v>714</v>
      </c>
    </row>
    <row r="2249" spans="1:34" x14ac:dyDescent="0.3">
      <c r="A2249">
        <v>101</v>
      </c>
      <c r="B2249" t="s">
        <v>34</v>
      </c>
      <c r="C2249">
        <v>2</v>
      </c>
      <c r="D2249" s="1" t="s">
        <v>6200</v>
      </c>
      <c r="E2249" s="1" t="s">
        <v>116</v>
      </c>
      <c r="G2249">
        <v>465878</v>
      </c>
      <c r="H2249" t="s">
        <v>6193</v>
      </c>
      <c r="I2249" t="s">
        <v>753</v>
      </c>
      <c r="J2249">
        <v>15</v>
      </c>
      <c r="K2249">
        <v>4967</v>
      </c>
      <c r="L2249">
        <v>50341</v>
      </c>
      <c r="M2249" t="s">
        <v>146</v>
      </c>
      <c r="N2249">
        <v>583</v>
      </c>
      <c r="O2249" s="2">
        <v>46167</v>
      </c>
      <c r="P2249" s="2">
        <v>46279</v>
      </c>
      <c r="R2249" t="s">
        <v>6201</v>
      </c>
      <c r="S2249" t="str">
        <f>"00012281"</f>
        <v>00012281</v>
      </c>
      <c r="T2249" t="s">
        <v>41</v>
      </c>
      <c r="U2249">
        <v>995.86</v>
      </c>
      <c r="V2249">
        <v>995.86</v>
      </c>
      <c r="W2249">
        <v>995.86</v>
      </c>
      <c r="X2249">
        <v>0</v>
      </c>
      <c r="Y2249">
        <v>0</v>
      </c>
      <c r="Z2249">
        <v>-504</v>
      </c>
      <c r="AA2249">
        <v>579</v>
      </c>
      <c r="AD2249" t="s">
        <v>6052</v>
      </c>
      <c r="AE2249" t="s">
        <v>850</v>
      </c>
      <c r="AF2249" t="s">
        <v>6052</v>
      </c>
      <c r="AG2249" s="1" t="s">
        <v>6195</v>
      </c>
      <c r="AH2249" t="s">
        <v>714</v>
      </c>
    </row>
    <row r="2250" spans="1:34" x14ac:dyDescent="0.3">
      <c r="A2250">
        <v>101</v>
      </c>
      <c r="B2250" t="s">
        <v>34</v>
      </c>
      <c r="C2250">
        <v>2</v>
      </c>
      <c r="D2250" s="1" t="s">
        <v>6200</v>
      </c>
      <c r="E2250" s="1" t="s">
        <v>122</v>
      </c>
      <c r="G2250">
        <v>465878</v>
      </c>
      <c r="H2250" t="s">
        <v>6193</v>
      </c>
      <c r="I2250" t="s">
        <v>753</v>
      </c>
      <c r="J2250">
        <v>15</v>
      </c>
      <c r="K2250">
        <v>4967</v>
      </c>
      <c r="L2250">
        <v>50341</v>
      </c>
      <c r="M2250" t="s">
        <v>146</v>
      </c>
      <c r="N2250">
        <v>583</v>
      </c>
      <c r="O2250" s="2">
        <v>46167</v>
      </c>
      <c r="P2250" s="2">
        <v>46259</v>
      </c>
      <c r="R2250" t="s">
        <v>6201</v>
      </c>
      <c r="S2250" t="str">
        <f>"00012280"</f>
        <v>00012280</v>
      </c>
      <c r="T2250" t="s">
        <v>41</v>
      </c>
      <c r="U2250">
        <v>995.57</v>
      </c>
      <c r="V2250">
        <v>995.57</v>
      </c>
      <c r="W2250">
        <v>995.57</v>
      </c>
      <c r="X2250">
        <v>0</v>
      </c>
      <c r="Y2250">
        <v>0</v>
      </c>
      <c r="Z2250">
        <v>-484</v>
      </c>
      <c r="AA2250">
        <v>579</v>
      </c>
      <c r="AD2250" t="s">
        <v>6052</v>
      </c>
      <c r="AE2250" t="s">
        <v>850</v>
      </c>
      <c r="AF2250" t="s">
        <v>6052</v>
      </c>
      <c r="AG2250" s="1" t="s">
        <v>6195</v>
      </c>
      <c r="AH2250" t="s">
        <v>714</v>
      </c>
    </row>
    <row r="2251" spans="1:34" x14ac:dyDescent="0.3">
      <c r="A2251">
        <v>101</v>
      </c>
      <c r="B2251" t="s">
        <v>34</v>
      </c>
      <c r="C2251">
        <v>2</v>
      </c>
      <c r="D2251" s="1" t="s">
        <v>6202</v>
      </c>
      <c r="E2251" s="1" t="s">
        <v>36</v>
      </c>
      <c r="G2251">
        <v>467064</v>
      </c>
      <c r="H2251" t="s">
        <v>6203</v>
      </c>
      <c r="I2251" t="s">
        <v>6204</v>
      </c>
      <c r="J2251">
        <v>12</v>
      </c>
      <c r="K2251">
        <v>467064</v>
      </c>
      <c r="L2251">
        <v>50237</v>
      </c>
      <c r="M2251" t="s">
        <v>39</v>
      </c>
      <c r="N2251">
        <v>583</v>
      </c>
      <c r="O2251" s="2">
        <v>46240</v>
      </c>
      <c r="P2251" s="2">
        <v>46280</v>
      </c>
      <c r="R2251" t="s">
        <v>6205</v>
      </c>
      <c r="S2251" t="str">
        <f>"330000052038"</f>
        <v>330000052038</v>
      </c>
      <c r="T2251" t="s">
        <v>41</v>
      </c>
      <c r="U2251">
        <v>9957.7099999999991</v>
      </c>
      <c r="V2251">
        <v>9957.7099999999991</v>
      </c>
      <c r="W2251">
        <v>9957.7099999999991</v>
      </c>
      <c r="X2251">
        <v>0</v>
      </c>
      <c r="Y2251">
        <v>0</v>
      </c>
      <c r="Z2251">
        <v>-505</v>
      </c>
      <c r="AA2251">
        <v>4278</v>
      </c>
      <c r="AD2251" t="s">
        <v>6052</v>
      </c>
      <c r="AE2251" t="s">
        <v>6206</v>
      </c>
      <c r="AF2251" t="s">
        <v>6052</v>
      </c>
      <c r="AG2251" s="1" t="s">
        <v>6207</v>
      </c>
      <c r="AH2251" t="s">
        <v>714</v>
      </c>
    </row>
    <row r="2252" spans="1:34" x14ac:dyDescent="0.3">
      <c r="A2252">
        <v>101</v>
      </c>
      <c r="B2252" t="s">
        <v>34</v>
      </c>
      <c r="C2252">
        <v>2</v>
      </c>
      <c r="D2252" s="1" t="s">
        <v>6208</v>
      </c>
      <c r="E2252" s="1" t="s">
        <v>36</v>
      </c>
      <c r="G2252">
        <v>467857</v>
      </c>
      <c r="H2252" t="s">
        <v>6209</v>
      </c>
      <c r="I2252" t="s">
        <v>6210</v>
      </c>
      <c r="J2252">
        <v>24</v>
      </c>
      <c r="K2252">
        <v>467857</v>
      </c>
      <c r="L2252">
        <v>50001</v>
      </c>
      <c r="M2252" t="s">
        <v>39</v>
      </c>
      <c r="N2252">
        <v>583</v>
      </c>
      <c r="O2252" s="2">
        <v>46239</v>
      </c>
      <c r="P2252" s="2">
        <v>46269</v>
      </c>
      <c r="R2252" t="s">
        <v>6211</v>
      </c>
      <c r="S2252" t="str">
        <f>"25666160000051806"</f>
        <v>25666160000051806</v>
      </c>
      <c r="T2252" t="s">
        <v>41</v>
      </c>
      <c r="U2252">
        <v>4980.0600000000004</v>
      </c>
      <c r="V2252">
        <v>4980.0600000000004</v>
      </c>
      <c r="W2252">
        <v>4980.0600000000004</v>
      </c>
      <c r="X2252">
        <v>0</v>
      </c>
      <c r="Y2252">
        <v>0</v>
      </c>
      <c r="Z2252">
        <v>-494</v>
      </c>
      <c r="AA2252">
        <v>4245</v>
      </c>
      <c r="AD2252" t="s">
        <v>6125</v>
      </c>
      <c r="AE2252" t="s">
        <v>6212</v>
      </c>
      <c r="AF2252" t="s">
        <v>6125</v>
      </c>
      <c r="AG2252" s="1" t="s">
        <v>6213</v>
      </c>
      <c r="AH2252" t="s">
        <v>714</v>
      </c>
    </row>
    <row r="2253" spans="1:34" x14ac:dyDescent="0.3">
      <c r="A2253">
        <v>101</v>
      </c>
      <c r="B2253" t="s">
        <v>34</v>
      </c>
      <c r="C2253">
        <v>2</v>
      </c>
      <c r="D2253" s="1" t="s">
        <v>6208</v>
      </c>
      <c r="E2253" s="1" t="s">
        <v>116</v>
      </c>
      <c r="G2253">
        <v>467857</v>
      </c>
      <c r="H2253" t="s">
        <v>6209</v>
      </c>
      <c r="I2253" t="s">
        <v>6210</v>
      </c>
      <c r="J2253">
        <v>24</v>
      </c>
      <c r="K2253">
        <v>467857</v>
      </c>
      <c r="L2253">
        <v>50001</v>
      </c>
      <c r="M2253" t="s">
        <v>39</v>
      </c>
      <c r="N2253">
        <v>583</v>
      </c>
      <c r="O2253" s="2">
        <v>46239</v>
      </c>
      <c r="P2253" s="2">
        <v>46299</v>
      </c>
      <c r="R2253" t="s">
        <v>6211</v>
      </c>
      <c r="S2253" t="str">
        <f>"25666160000051808"</f>
        <v>25666160000051808</v>
      </c>
      <c r="T2253" t="s">
        <v>41</v>
      </c>
      <c r="U2253">
        <v>4558.68</v>
      </c>
      <c r="V2253">
        <v>4558.68</v>
      </c>
      <c r="W2253">
        <v>4558.68</v>
      </c>
      <c r="X2253">
        <v>0</v>
      </c>
      <c r="Y2253">
        <v>0</v>
      </c>
      <c r="Z2253">
        <v>-524</v>
      </c>
      <c r="AA2253">
        <v>4245</v>
      </c>
      <c r="AD2253" t="s">
        <v>6125</v>
      </c>
      <c r="AE2253" t="s">
        <v>6212</v>
      </c>
      <c r="AF2253" t="s">
        <v>6125</v>
      </c>
      <c r="AG2253" s="1" t="s">
        <v>6213</v>
      </c>
      <c r="AH2253" t="s">
        <v>714</v>
      </c>
    </row>
    <row r="2254" spans="1:34" x14ac:dyDescent="0.3">
      <c r="A2254">
        <v>101</v>
      </c>
      <c r="B2254" t="s">
        <v>34</v>
      </c>
      <c r="C2254">
        <v>2</v>
      </c>
      <c r="D2254" s="1" t="s">
        <v>6208</v>
      </c>
      <c r="E2254" s="1" t="s">
        <v>122</v>
      </c>
      <c r="G2254">
        <v>467857</v>
      </c>
      <c r="H2254" t="s">
        <v>6209</v>
      </c>
      <c r="I2254" t="s">
        <v>6210</v>
      </c>
      <c r="J2254">
        <v>24</v>
      </c>
      <c r="K2254">
        <v>467857</v>
      </c>
      <c r="L2254">
        <v>50001</v>
      </c>
      <c r="M2254" t="s">
        <v>39</v>
      </c>
      <c r="N2254">
        <v>583</v>
      </c>
      <c r="O2254" s="2">
        <v>46239</v>
      </c>
      <c r="P2254" s="2">
        <v>46284</v>
      </c>
      <c r="R2254" t="s">
        <v>6211</v>
      </c>
      <c r="S2254" t="str">
        <f>"25666160000051807"</f>
        <v>25666160000051807</v>
      </c>
      <c r="T2254" t="s">
        <v>41</v>
      </c>
      <c r="U2254">
        <v>4557.3</v>
      </c>
      <c r="V2254">
        <v>4557.3</v>
      </c>
      <c r="W2254">
        <v>4557.3</v>
      </c>
      <c r="X2254">
        <v>0</v>
      </c>
      <c r="Y2254">
        <v>0</v>
      </c>
      <c r="Z2254">
        <v>-509</v>
      </c>
      <c r="AA2254">
        <v>4245</v>
      </c>
      <c r="AD2254" t="s">
        <v>6125</v>
      </c>
      <c r="AE2254" t="s">
        <v>6212</v>
      </c>
      <c r="AF2254" t="s">
        <v>6125</v>
      </c>
      <c r="AG2254" s="1" t="s">
        <v>6213</v>
      </c>
      <c r="AH2254" t="s">
        <v>714</v>
      </c>
    </row>
    <row r="2255" spans="1:34" x14ac:dyDescent="0.3">
      <c r="A2255">
        <v>101</v>
      </c>
      <c r="B2255" t="s">
        <v>34</v>
      </c>
      <c r="C2255">
        <v>2</v>
      </c>
      <c r="D2255" s="1" t="s">
        <v>6214</v>
      </c>
      <c r="E2255" s="1" t="s">
        <v>116</v>
      </c>
      <c r="G2255">
        <v>467866</v>
      </c>
      <c r="H2255" t="s">
        <v>6215</v>
      </c>
      <c r="I2255" t="s">
        <v>6216</v>
      </c>
      <c r="J2255">
        <v>24</v>
      </c>
      <c r="K2255">
        <v>467857</v>
      </c>
      <c r="L2255">
        <v>50001</v>
      </c>
      <c r="M2255" t="s">
        <v>39</v>
      </c>
      <c r="N2255">
        <v>583</v>
      </c>
      <c r="O2255" s="2">
        <v>46239</v>
      </c>
      <c r="P2255" s="2">
        <v>46299</v>
      </c>
      <c r="R2255" t="s">
        <v>6217</v>
      </c>
      <c r="S2255" t="str">
        <f>"25666160000051811"</f>
        <v>25666160000051811</v>
      </c>
      <c r="T2255" t="s">
        <v>41</v>
      </c>
      <c r="U2255">
        <v>7644.02</v>
      </c>
      <c r="V2255">
        <v>7644.02</v>
      </c>
      <c r="W2255">
        <v>7644.02</v>
      </c>
      <c r="X2255">
        <v>0</v>
      </c>
      <c r="Y2255">
        <v>0</v>
      </c>
      <c r="Z2255">
        <v>-524</v>
      </c>
      <c r="AA2255">
        <v>4247</v>
      </c>
      <c r="AD2255" t="s">
        <v>6218</v>
      </c>
      <c r="AE2255" t="s">
        <v>6219</v>
      </c>
      <c r="AF2255" t="s">
        <v>6218</v>
      </c>
      <c r="AG2255" s="1" t="s">
        <v>6220</v>
      </c>
      <c r="AH2255" t="s">
        <v>714</v>
      </c>
    </row>
    <row r="2256" spans="1:34" x14ac:dyDescent="0.3">
      <c r="A2256">
        <v>101</v>
      </c>
      <c r="B2256" t="s">
        <v>34</v>
      </c>
      <c r="C2256">
        <v>2</v>
      </c>
      <c r="D2256" s="1" t="s">
        <v>6214</v>
      </c>
      <c r="E2256" s="1" t="s">
        <v>122</v>
      </c>
      <c r="G2256">
        <v>467866</v>
      </c>
      <c r="H2256" t="s">
        <v>6215</v>
      </c>
      <c r="I2256" t="s">
        <v>6216</v>
      </c>
      <c r="J2256">
        <v>24</v>
      </c>
      <c r="K2256">
        <v>467857</v>
      </c>
      <c r="L2256">
        <v>50001</v>
      </c>
      <c r="M2256" t="s">
        <v>39</v>
      </c>
      <c r="N2256">
        <v>583</v>
      </c>
      <c r="O2256" s="2">
        <v>46239</v>
      </c>
      <c r="P2256" s="2">
        <v>46284</v>
      </c>
      <c r="R2256" t="s">
        <v>6217</v>
      </c>
      <c r="S2256" t="str">
        <f>"25666160000051810"</f>
        <v>25666160000051810</v>
      </c>
      <c r="T2256" t="s">
        <v>41</v>
      </c>
      <c r="U2256">
        <v>7641.73</v>
      </c>
      <c r="V2256">
        <v>7641.73</v>
      </c>
      <c r="W2256">
        <v>7641.73</v>
      </c>
      <c r="X2256">
        <v>0</v>
      </c>
      <c r="Y2256">
        <v>0</v>
      </c>
      <c r="Z2256">
        <v>-509</v>
      </c>
      <c r="AA2256">
        <v>4247</v>
      </c>
      <c r="AD2256" t="s">
        <v>6218</v>
      </c>
      <c r="AE2256" t="s">
        <v>6219</v>
      </c>
      <c r="AF2256" t="s">
        <v>6218</v>
      </c>
      <c r="AG2256" s="1" t="s">
        <v>6220</v>
      </c>
      <c r="AH2256" t="s">
        <v>714</v>
      </c>
    </row>
    <row r="2257" spans="1:34" x14ac:dyDescent="0.3">
      <c r="A2257">
        <v>101</v>
      </c>
      <c r="B2257" t="s">
        <v>34</v>
      </c>
      <c r="C2257">
        <v>2</v>
      </c>
      <c r="D2257" s="1" t="s">
        <v>6214</v>
      </c>
      <c r="E2257" s="1" t="s">
        <v>36</v>
      </c>
      <c r="G2257">
        <v>467866</v>
      </c>
      <c r="H2257" t="s">
        <v>6215</v>
      </c>
      <c r="I2257" t="s">
        <v>6216</v>
      </c>
      <c r="J2257">
        <v>24</v>
      </c>
      <c r="K2257">
        <v>467857</v>
      </c>
      <c r="L2257">
        <v>50001</v>
      </c>
      <c r="M2257" t="s">
        <v>39</v>
      </c>
      <c r="N2257">
        <v>583</v>
      </c>
      <c r="O2257" s="2">
        <v>46239</v>
      </c>
      <c r="P2257" s="2">
        <v>46269</v>
      </c>
      <c r="R2257" t="s">
        <v>6217</v>
      </c>
      <c r="S2257" t="str">
        <f>"25666160000051809"</f>
        <v>25666160000051809</v>
      </c>
      <c r="T2257" t="s">
        <v>41</v>
      </c>
      <c r="U2257">
        <v>8329.26</v>
      </c>
      <c r="V2257">
        <v>8329.26</v>
      </c>
      <c r="W2257">
        <v>8329.26</v>
      </c>
      <c r="X2257">
        <v>0</v>
      </c>
      <c r="Y2257">
        <v>0</v>
      </c>
      <c r="Z2257">
        <v>-494</v>
      </c>
      <c r="AA2257">
        <v>4247</v>
      </c>
      <c r="AD2257" t="s">
        <v>6218</v>
      </c>
      <c r="AE2257" t="s">
        <v>6219</v>
      </c>
      <c r="AF2257" t="s">
        <v>6218</v>
      </c>
      <c r="AG2257" s="1" t="s">
        <v>6220</v>
      </c>
      <c r="AH2257" t="s">
        <v>714</v>
      </c>
    </row>
    <row r="2258" spans="1:34" x14ac:dyDescent="0.3">
      <c r="A2258">
        <v>101</v>
      </c>
      <c r="B2258" t="s">
        <v>34</v>
      </c>
      <c r="C2258">
        <v>2</v>
      </c>
      <c r="D2258" s="1" t="s">
        <v>6221</v>
      </c>
      <c r="E2258" s="1" t="s">
        <v>36</v>
      </c>
      <c r="G2258">
        <v>469505</v>
      </c>
      <c r="H2258" t="s">
        <v>6222</v>
      </c>
      <c r="I2258" t="s">
        <v>6069</v>
      </c>
      <c r="J2258">
        <v>15</v>
      </c>
      <c r="K2258">
        <v>9317</v>
      </c>
      <c r="L2258">
        <v>50237</v>
      </c>
      <c r="M2258" t="s">
        <v>39</v>
      </c>
      <c r="N2258">
        <v>583</v>
      </c>
      <c r="O2258" s="2">
        <v>46225</v>
      </c>
      <c r="P2258" s="2">
        <v>46260</v>
      </c>
      <c r="R2258" t="s">
        <v>6223</v>
      </c>
      <c r="S2258" t="str">
        <f>"330000051600"</f>
        <v>330000051600</v>
      </c>
      <c r="T2258" t="s">
        <v>41</v>
      </c>
      <c r="U2258">
        <v>2802.68</v>
      </c>
      <c r="V2258">
        <v>2718.6</v>
      </c>
      <c r="W2258">
        <v>2718.6</v>
      </c>
      <c r="X2258">
        <v>0</v>
      </c>
      <c r="Y2258">
        <v>0</v>
      </c>
      <c r="Z2258">
        <v>-485</v>
      </c>
      <c r="AA2258">
        <v>1522</v>
      </c>
      <c r="AD2258" t="s">
        <v>1426</v>
      </c>
      <c r="AE2258" t="s">
        <v>6224</v>
      </c>
      <c r="AF2258" t="s">
        <v>1426</v>
      </c>
      <c r="AG2258" s="1" t="s">
        <v>6225</v>
      </c>
      <c r="AH2258" t="s">
        <v>714</v>
      </c>
    </row>
    <row r="2259" spans="1:34" x14ac:dyDescent="0.3">
      <c r="A2259">
        <v>101</v>
      </c>
      <c r="B2259" t="s">
        <v>34</v>
      </c>
      <c r="C2259">
        <v>2</v>
      </c>
      <c r="D2259" s="1" t="s">
        <v>6226</v>
      </c>
      <c r="E2259" s="1" t="s">
        <v>36</v>
      </c>
      <c r="G2259">
        <v>469949</v>
      </c>
      <c r="H2259" t="s">
        <v>6227</v>
      </c>
      <c r="I2259" t="s">
        <v>6069</v>
      </c>
      <c r="J2259">
        <v>15</v>
      </c>
      <c r="K2259">
        <v>9317</v>
      </c>
      <c r="L2259">
        <v>50033</v>
      </c>
      <c r="M2259" t="s">
        <v>39</v>
      </c>
      <c r="N2259">
        <v>583</v>
      </c>
      <c r="O2259" s="2">
        <v>46225</v>
      </c>
      <c r="P2259" s="2">
        <v>46260</v>
      </c>
      <c r="R2259" t="s">
        <v>6228</v>
      </c>
      <c r="S2259" t="str">
        <f>"0000050410539"</f>
        <v>0000050410539</v>
      </c>
      <c r="T2259" t="s">
        <v>41</v>
      </c>
      <c r="U2259">
        <v>11508.49</v>
      </c>
      <c r="V2259">
        <v>11163.24</v>
      </c>
      <c r="W2259">
        <v>11163.24</v>
      </c>
      <c r="X2259">
        <v>0</v>
      </c>
      <c r="Y2259">
        <v>0</v>
      </c>
      <c r="Z2259">
        <v>-485</v>
      </c>
      <c r="AA2259">
        <v>1525</v>
      </c>
      <c r="AD2259" t="s">
        <v>6125</v>
      </c>
      <c r="AE2259" t="s">
        <v>6229</v>
      </c>
      <c r="AF2259" t="s">
        <v>6125</v>
      </c>
      <c r="AG2259" s="1" t="s">
        <v>6230</v>
      </c>
      <c r="AH2259" t="s">
        <v>714</v>
      </c>
    </row>
    <row r="2260" spans="1:34" x14ac:dyDescent="0.3">
      <c r="A2260">
        <v>101</v>
      </c>
      <c r="B2260" t="s">
        <v>34</v>
      </c>
      <c r="C2260">
        <v>2</v>
      </c>
      <c r="D2260" s="1" t="s">
        <v>6231</v>
      </c>
      <c r="E2260" s="1" t="s">
        <v>116</v>
      </c>
      <c r="G2260">
        <v>470571</v>
      </c>
      <c r="H2260" t="s">
        <v>6232</v>
      </c>
      <c r="I2260" t="s">
        <v>753</v>
      </c>
      <c r="J2260">
        <v>15</v>
      </c>
      <c r="K2260">
        <v>4967</v>
      </c>
      <c r="L2260">
        <v>50001</v>
      </c>
      <c r="M2260" t="s">
        <v>39</v>
      </c>
      <c r="N2260">
        <v>583</v>
      </c>
      <c r="O2260" s="2">
        <v>46163</v>
      </c>
      <c r="P2260" s="2">
        <v>46261</v>
      </c>
      <c r="R2260" t="s">
        <v>6233</v>
      </c>
      <c r="S2260" t="str">
        <f>"25666160000050665"</f>
        <v>25666160000050665</v>
      </c>
      <c r="T2260" t="s">
        <v>41</v>
      </c>
      <c r="U2260">
        <v>646.12</v>
      </c>
      <c r="V2260">
        <v>646.12</v>
      </c>
      <c r="W2260">
        <v>646.12</v>
      </c>
      <c r="X2260">
        <v>0</v>
      </c>
      <c r="Y2260">
        <v>0</v>
      </c>
      <c r="Z2260">
        <v>-486</v>
      </c>
      <c r="AA2260">
        <v>581</v>
      </c>
      <c r="AD2260" t="s">
        <v>6180</v>
      </c>
      <c r="AE2260" t="s">
        <v>6234</v>
      </c>
      <c r="AF2260" t="s">
        <v>6180</v>
      </c>
      <c r="AG2260" s="1" t="s">
        <v>6235</v>
      </c>
      <c r="AH2260" t="s">
        <v>714</v>
      </c>
    </row>
    <row r="2261" spans="1:34" x14ac:dyDescent="0.3">
      <c r="A2261">
        <v>101</v>
      </c>
      <c r="B2261" t="s">
        <v>34</v>
      </c>
      <c r="C2261">
        <v>2</v>
      </c>
      <c r="D2261" s="1" t="s">
        <v>6236</v>
      </c>
      <c r="E2261" s="1" t="s">
        <v>116</v>
      </c>
      <c r="G2261">
        <v>470571</v>
      </c>
      <c r="H2261" t="s">
        <v>6232</v>
      </c>
      <c r="I2261" t="s">
        <v>753</v>
      </c>
      <c r="J2261">
        <v>15</v>
      </c>
      <c r="K2261">
        <v>4967</v>
      </c>
      <c r="L2261">
        <v>50001</v>
      </c>
      <c r="M2261" t="s">
        <v>39</v>
      </c>
      <c r="N2261">
        <v>583</v>
      </c>
      <c r="O2261" s="2">
        <v>46225</v>
      </c>
      <c r="P2261" s="2">
        <v>46305</v>
      </c>
      <c r="R2261" t="s">
        <v>6237</v>
      </c>
      <c r="S2261" t="str">
        <f>"25666160000051551"</f>
        <v>25666160000051551</v>
      </c>
      <c r="T2261" t="s">
        <v>41</v>
      </c>
      <c r="U2261">
        <v>311.70999999999998</v>
      </c>
      <c r="V2261">
        <v>311.70999999999998</v>
      </c>
      <c r="W2261">
        <v>311.70999999999998</v>
      </c>
      <c r="X2261">
        <v>0</v>
      </c>
      <c r="Y2261">
        <v>0</v>
      </c>
      <c r="Z2261">
        <v>-530</v>
      </c>
      <c r="AA2261">
        <v>1591</v>
      </c>
      <c r="AD2261" t="s">
        <v>6180</v>
      </c>
      <c r="AE2261" t="s">
        <v>6234</v>
      </c>
      <c r="AF2261" t="s">
        <v>6180</v>
      </c>
      <c r="AG2261" s="1" t="s">
        <v>6235</v>
      </c>
      <c r="AH2261" t="s">
        <v>714</v>
      </c>
    </row>
    <row r="2262" spans="1:34" x14ac:dyDescent="0.3">
      <c r="A2262">
        <v>101</v>
      </c>
      <c r="B2262" t="s">
        <v>34</v>
      </c>
      <c r="C2262">
        <v>2</v>
      </c>
      <c r="D2262" s="1" t="s">
        <v>6238</v>
      </c>
      <c r="E2262" s="1" t="s">
        <v>116</v>
      </c>
      <c r="G2262">
        <v>470571</v>
      </c>
      <c r="H2262" t="s">
        <v>6232</v>
      </c>
      <c r="I2262" t="s">
        <v>753</v>
      </c>
      <c r="J2262">
        <v>15</v>
      </c>
      <c r="K2262">
        <v>4967</v>
      </c>
      <c r="L2262">
        <v>50001</v>
      </c>
      <c r="M2262" t="s">
        <v>39</v>
      </c>
      <c r="N2262">
        <v>583</v>
      </c>
      <c r="O2262" s="2">
        <v>46136</v>
      </c>
      <c r="P2262" s="2">
        <v>46250</v>
      </c>
      <c r="R2262" t="s">
        <v>6239</v>
      </c>
      <c r="S2262" t="str">
        <f>"25666160000050275"</f>
        <v>25666160000050275</v>
      </c>
      <c r="T2262" t="s">
        <v>41</v>
      </c>
      <c r="U2262">
        <v>15739.56</v>
      </c>
      <c r="V2262">
        <v>15739.56</v>
      </c>
      <c r="W2262">
        <v>15739.56</v>
      </c>
      <c r="X2262">
        <v>0</v>
      </c>
      <c r="Y2262">
        <v>0</v>
      </c>
      <c r="Z2262">
        <v>-475</v>
      </c>
      <c r="AA2262">
        <v>686083</v>
      </c>
      <c r="AD2262" t="s">
        <v>6180</v>
      </c>
      <c r="AE2262" t="s">
        <v>6234</v>
      </c>
      <c r="AF2262" t="s">
        <v>6180</v>
      </c>
      <c r="AG2262" s="1" t="s">
        <v>6235</v>
      </c>
      <c r="AH2262" t="s">
        <v>714</v>
      </c>
    </row>
    <row r="2263" spans="1:34" x14ac:dyDescent="0.3">
      <c r="A2263">
        <v>101</v>
      </c>
      <c r="B2263" t="s">
        <v>34</v>
      </c>
      <c r="C2263">
        <v>2</v>
      </c>
      <c r="D2263" s="1" t="s">
        <v>6240</v>
      </c>
      <c r="E2263" s="1" t="s">
        <v>36</v>
      </c>
      <c r="G2263">
        <v>470571</v>
      </c>
      <c r="H2263" t="s">
        <v>6232</v>
      </c>
      <c r="I2263" t="s">
        <v>753</v>
      </c>
      <c r="J2263">
        <v>15</v>
      </c>
      <c r="K2263">
        <v>4967</v>
      </c>
      <c r="L2263">
        <v>50001</v>
      </c>
      <c r="M2263" t="s">
        <v>39</v>
      </c>
      <c r="N2263">
        <v>583</v>
      </c>
      <c r="O2263" s="2">
        <v>46225</v>
      </c>
      <c r="P2263" s="2">
        <v>46265</v>
      </c>
      <c r="R2263" t="s">
        <v>6241</v>
      </c>
      <c r="S2263" t="str">
        <f>"25666160000051546"</f>
        <v>25666160000051546</v>
      </c>
      <c r="T2263" t="s">
        <v>41</v>
      </c>
      <c r="U2263">
        <v>2606.0700000000002</v>
      </c>
      <c r="V2263">
        <v>2606.0700000000002</v>
      </c>
      <c r="W2263">
        <v>2606.0700000000002</v>
      </c>
      <c r="X2263">
        <v>0</v>
      </c>
      <c r="Y2263">
        <v>0</v>
      </c>
      <c r="Z2263">
        <v>-490</v>
      </c>
      <c r="AA2263">
        <v>1409</v>
      </c>
      <c r="AD2263" t="s">
        <v>6180</v>
      </c>
      <c r="AE2263" t="s">
        <v>6234</v>
      </c>
      <c r="AF2263" t="s">
        <v>6180</v>
      </c>
      <c r="AG2263" s="1" t="s">
        <v>6235</v>
      </c>
      <c r="AH2263" t="s">
        <v>714</v>
      </c>
    </row>
    <row r="2264" spans="1:34" x14ac:dyDescent="0.3">
      <c r="A2264">
        <v>101</v>
      </c>
      <c r="B2264" t="s">
        <v>34</v>
      </c>
      <c r="C2264">
        <v>2</v>
      </c>
      <c r="D2264" s="1" t="s">
        <v>6240</v>
      </c>
      <c r="E2264" s="1" t="s">
        <v>116</v>
      </c>
      <c r="G2264">
        <v>470571</v>
      </c>
      <c r="H2264" t="s">
        <v>6232</v>
      </c>
      <c r="I2264" t="s">
        <v>753</v>
      </c>
      <c r="J2264">
        <v>15</v>
      </c>
      <c r="K2264">
        <v>4967</v>
      </c>
      <c r="L2264">
        <v>50001</v>
      </c>
      <c r="M2264" t="s">
        <v>39</v>
      </c>
      <c r="N2264">
        <v>583</v>
      </c>
      <c r="O2264" s="2">
        <v>46225</v>
      </c>
      <c r="P2264" s="2">
        <v>46305</v>
      </c>
      <c r="R2264" t="s">
        <v>6241</v>
      </c>
      <c r="S2264" t="str">
        <f>"25666160000051548"</f>
        <v>25666160000051548</v>
      </c>
      <c r="T2264" t="s">
        <v>41</v>
      </c>
      <c r="U2264">
        <v>2606.86</v>
      </c>
      <c r="V2264">
        <v>2606.86</v>
      </c>
      <c r="W2264">
        <v>2606.86</v>
      </c>
      <c r="X2264">
        <v>0</v>
      </c>
      <c r="Y2264">
        <v>0</v>
      </c>
      <c r="Z2264">
        <v>-530</v>
      </c>
      <c r="AA2264">
        <v>1409</v>
      </c>
      <c r="AD2264" t="s">
        <v>6180</v>
      </c>
      <c r="AE2264" t="s">
        <v>6234</v>
      </c>
      <c r="AF2264" t="s">
        <v>6180</v>
      </c>
      <c r="AG2264" s="1" t="s">
        <v>6235</v>
      </c>
      <c r="AH2264" t="s">
        <v>714</v>
      </c>
    </row>
    <row r="2265" spans="1:34" x14ac:dyDescent="0.3">
      <c r="A2265">
        <v>101</v>
      </c>
      <c r="B2265" t="s">
        <v>34</v>
      </c>
      <c r="C2265">
        <v>2</v>
      </c>
      <c r="D2265" s="1" t="s">
        <v>6240</v>
      </c>
      <c r="E2265" s="1" t="s">
        <v>122</v>
      </c>
      <c r="G2265">
        <v>470571</v>
      </c>
      <c r="H2265" t="s">
        <v>6232</v>
      </c>
      <c r="I2265" t="s">
        <v>753</v>
      </c>
      <c r="J2265">
        <v>15</v>
      </c>
      <c r="K2265">
        <v>4967</v>
      </c>
      <c r="L2265">
        <v>50001</v>
      </c>
      <c r="M2265" t="s">
        <v>39</v>
      </c>
      <c r="N2265">
        <v>583</v>
      </c>
      <c r="O2265" s="2">
        <v>46225</v>
      </c>
      <c r="P2265" s="2">
        <v>46285</v>
      </c>
      <c r="R2265" t="s">
        <v>6241</v>
      </c>
      <c r="S2265" t="str">
        <f>"25666160000051547"</f>
        <v>25666160000051547</v>
      </c>
      <c r="T2265" t="s">
        <v>41</v>
      </c>
      <c r="U2265">
        <v>2606.0700000000002</v>
      </c>
      <c r="V2265">
        <v>2606.0700000000002</v>
      </c>
      <c r="W2265">
        <v>2606.0700000000002</v>
      </c>
      <c r="X2265">
        <v>0</v>
      </c>
      <c r="Y2265">
        <v>0</v>
      </c>
      <c r="Z2265">
        <v>-510</v>
      </c>
      <c r="AA2265">
        <v>1409</v>
      </c>
      <c r="AD2265" t="s">
        <v>6180</v>
      </c>
      <c r="AE2265" t="s">
        <v>6234</v>
      </c>
      <c r="AF2265" t="s">
        <v>6180</v>
      </c>
      <c r="AG2265" s="1" t="s">
        <v>6235</v>
      </c>
      <c r="AH2265" t="s">
        <v>714</v>
      </c>
    </row>
    <row r="2266" spans="1:34" x14ac:dyDescent="0.3">
      <c r="A2266">
        <v>101</v>
      </c>
      <c r="B2266" t="s">
        <v>34</v>
      </c>
      <c r="C2266">
        <v>2</v>
      </c>
      <c r="D2266" s="1" t="s">
        <v>6236</v>
      </c>
      <c r="E2266" s="1" t="s">
        <v>36</v>
      </c>
      <c r="G2266">
        <v>470571</v>
      </c>
      <c r="H2266" t="s">
        <v>6232</v>
      </c>
      <c r="I2266" t="s">
        <v>753</v>
      </c>
      <c r="J2266">
        <v>15</v>
      </c>
      <c r="K2266">
        <v>4967</v>
      </c>
      <c r="L2266">
        <v>50001</v>
      </c>
      <c r="M2266" t="s">
        <v>39</v>
      </c>
      <c r="N2266">
        <v>583</v>
      </c>
      <c r="O2266" s="2">
        <v>46225</v>
      </c>
      <c r="P2266" s="2">
        <v>46265</v>
      </c>
      <c r="R2266" t="s">
        <v>6237</v>
      </c>
      <c r="S2266" t="str">
        <f>"25666160000051549"</f>
        <v>25666160000051549</v>
      </c>
      <c r="T2266" t="s">
        <v>41</v>
      </c>
      <c r="U2266">
        <v>311.62</v>
      </c>
      <c r="V2266">
        <v>311.62</v>
      </c>
      <c r="W2266">
        <v>311.62</v>
      </c>
      <c r="X2266">
        <v>0</v>
      </c>
      <c r="Y2266">
        <v>0</v>
      </c>
      <c r="Z2266">
        <v>-490</v>
      </c>
      <c r="AA2266">
        <v>1591</v>
      </c>
      <c r="AD2266" t="s">
        <v>6180</v>
      </c>
      <c r="AE2266" t="s">
        <v>6234</v>
      </c>
      <c r="AF2266" t="s">
        <v>6180</v>
      </c>
      <c r="AG2266" s="1" t="s">
        <v>6235</v>
      </c>
      <c r="AH2266" t="s">
        <v>714</v>
      </c>
    </row>
    <row r="2267" spans="1:34" x14ac:dyDescent="0.3">
      <c r="A2267">
        <v>101</v>
      </c>
      <c r="B2267" t="s">
        <v>34</v>
      </c>
      <c r="C2267">
        <v>2</v>
      </c>
      <c r="D2267" s="1" t="s">
        <v>6236</v>
      </c>
      <c r="E2267" s="1" t="s">
        <v>122</v>
      </c>
      <c r="G2267">
        <v>470571</v>
      </c>
      <c r="H2267" t="s">
        <v>6232</v>
      </c>
      <c r="I2267" t="s">
        <v>753</v>
      </c>
      <c r="J2267">
        <v>15</v>
      </c>
      <c r="K2267">
        <v>4967</v>
      </c>
      <c r="L2267">
        <v>50001</v>
      </c>
      <c r="M2267" t="s">
        <v>39</v>
      </c>
      <c r="N2267">
        <v>583</v>
      </c>
      <c r="O2267" s="2">
        <v>46225</v>
      </c>
      <c r="P2267" s="2">
        <v>46285</v>
      </c>
      <c r="R2267" t="s">
        <v>6237</v>
      </c>
      <c r="S2267" t="str">
        <f>"25666160000051550"</f>
        <v>25666160000051550</v>
      </c>
      <c r="T2267" t="s">
        <v>41</v>
      </c>
      <c r="U2267">
        <v>311.62</v>
      </c>
      <c r="V2267">
        <v>311.62</v>
      </c>
      <c r="W2267">
        <v>311.62</v>
      </c>
      <c r="X2267">
        <v>0</v>
      </c>
      <c r="Y2267">
        <v>0</v>
      </c>
      <c r="Z2267">
        <v>-510</v>
      </c>
      <c r="AA2267">
        <v>1591</v>
      </c>
      <c r="AD2267" t="s">
        <v>6180</v>
      </c>
      <c r="AE2267" t="s">
        <v>6234</v>
      </c>
      <c r="AF2267" t="s">
        <v>6180</v>
      </c>
      <c r="AG2267" s="1" t="s">
        <v>6235</v>
      </c>
      <c r="AH2267" t="s">
        <v>714</v>
      </c>
    </row>
    <row r="2268" spans="1:34" x14ac:dyDescent="0.3">
      <c r="A2268">
        <v>101</v>
      </c>
      <c r="B2268" t="s">
        <v>34</v>
      </c>
      <c r="C2268">
        <v>2</v>
      </c>
      <c r="D2268" s="1" t="s">
        <v>6242</v>
      </c>
      <c r="E2268" s="1" t="s">
        <v>116</v>
      </c>
      <c r="G2268">
        <v>470571</v>
      </c>
      <c r="H2268" t="s">
        <v>6232</v>
      </c>
      <c r="I2268" t="s">
        <v>753</v>
      </c>
      <c r="J2268">
        <v>15</v>
      </c>
      <c r="K2268">
        <v>4967</v>
      </c>
      <c r="L2268">
        <v>50001</v>
      </c>
      <c r="M2268" t="s">
        <v>39</v>
      </c>
      <c r="N2268">
        <v>583</v>
      </c>
      <c r="O2268" s="2">
        <v>46181</v>
      </c>
      <c r="P2268" s="2">
        <v>46261</v>
      </c>
      <c r="R2268" s="1" t="s">
        <v>6243</v>
      </c>
      <c r="S2268" t="str">
        <f>"25666160000050922"</f>
        <v>25666160000050922</v>
      </c>
      <c r="T2268" t="s">
        <v>41</v>
      </c>
      <c r="U2268">
        <v>623.41999999999996</v>
      </c>
      <c r="V2268">
        <v>623.41999999999996</v>
      </c>
      <c r="W2268">
        <v>623.41999999999996</v>
      </c>
      <c r="X2268">
        <v>0</v>
      </c>
      <c r="Y2268">
        <v>0</v>
      </c>
      <c r="Z2268">
        <v>-486</v>
      </c>
      <c r="AA2268">
        <v>690660</v>
      </c>
      <c r="AD2268" t="s">
        <v>6180</v>
      </c>
      <c r="AE2268" t="s">
        <v>6234</v>
      </c>
      <c r="AF2268" t="s">
        <v>6180</v>
      </c>
      <c r="AG2268" s="1" t="s">
        <v>6235</v>
      </c>
      <c r="AH2268" t="s">
        <v>714</v>
      </c>
    </row>
    <row r="2269" spans="1:34" x14ac:dyDescent="0.3">
      <c r="A2269">
        <v>101</v>
      </c>
      <c r="B2269" t="s">
        <v>34</v>
      </c>
      <c r="C2269">
        <v>2</v>
      </c>
      <c r="D2269" s="1" t="s">
        <v>6244</v>
      </c>
      <c r="E2269" s="1" t="s">
        <v>122</v>
      </c>
      <c r="G2269">
        <v>470571</v>
      </c>
      <c r="H2269" t="s">
        <v>6232</v>
      </c>
      <c r="I2269" t="s">
        <v>753</v>
      </c>
      <c r="J2269">
        <v>15</v>
      </c>
      <c r="K2269">
        <v>4967</v>
      </c>
      <c r="L2269">
        <v>50001</v>
      </c>
      <c r="M2269" t="s">
        <v>39</v>
      </c>
      <c r="N2269">
        <v>583</v>
      </c>
      <c r="O2269" s="2">
        <v>46196</v>
      </c>
      <c r="P2269" s="2">
        <v>46275</v>
      </c>
      <c r="R2269" t="s">
        <v>6245</v>
      </c>
      <c r="S2269" t="str">
        <f>"25666160000051201"</f>
        <v>25666160000051201</v>
      </c>
      <c r="T2269" t="s">
        <v>41</v>
      </c>
      <c r="U2269">
        <v>1680.17</v>
      </c>
      <c r="V2269">
        <v>1680.17</v>
      </c>
      <c r="W2269">
        <v>1680.17</v>
      </c>
      <c r="X2269">
        <v>0</v>
      </c>
      <c r="Y2269">
        <v>0</v>
      </c>
      <c r="Z2269">
        <v>-500</v>
      </c>
      <c r="AA2269">
        <v>863</v>
      </c>
      <c r="AD2269" t="s">
        <v>6180</v>
      </c>
      <c r="AE2269" t="s">
        <v>6234</v>
      </c>
      <c r="AF2269" t="s">
        <v>6180</v>
      </c>
      <c r="AG2269" s="1" t="s">
        <v>6235</v>
      </c>
      <c r="AH2269" t="s">
        <v>714</v>
      </c>
    </row>
    <row r="2270" spans="1:34" x14ac:dyDescent="0.3">
      <c r="A2270">
        <v>101</v>
      </c>
      <c r="B2270" t="s">
        <v>34</v>
      </c>
      <c r="C2270">
        <v>2</v>
      </c>
      <c r="D2270" s="1" t="s">
        <v>6244</v>
      </c>
      <c r="E2270" s="1" t="s">
        <v>116</v>
      </c>
      <c r="G2270">
        <v>470571</v>
      </c>
      <c r="H2270" t="s">
        <v>6232</v>
      </c>
      <c r="I2270" t="s">
        <v>753</v>
      </c>
      <c r="J2270">
        <v>15</v>
      </c>
      <c r="K2270">
        <v>4967</v>
      </c>
      <c r="L2270">
        <v>50001</v>
      </c>
      <c r="M2270" t="s">
        <v>39</v>
      </c>
      <c r="N2270">
        <v>583</v>
      </c>
      <c r="O2270" s="2">
        <v>46196</v>
      </c>
      <c r="P2270" s="2">
        <v>46295</v>
      </c>
      <c r="R2270" t="s">
        <v>6245</v>
      </c>
      <c r="S2270" t="str">
        <f>"25666160000051202"</f>
        <v>25666160000051202</v>
      </c>
      <c r="T2270" t="s">
        <v>41</v>
      </c>
      <c r="U2270">
        <v>1680.66</v>
      </c>
      <c r="V2270">
        <v>1680.66</v>
      </c>
      <c r="W2270">
        <v>1680.66</v>
      </c>
      <c r="X2270">
        <v>0</v>
      </c>
      <c r="Y2270">
        <v>0</v>
      </c>
      <c r="Z2270">
        <v>-520</v>
      </c>
      <c r="AA2270">
        <v>863</v>
      </c>
      <c r="AD2270" t="s">
        <v>6180</v>
      </c>
      <c r="AE2270" t="s">
        <v>6234</v>
      </c>
      <c r="AF2270" t="s">
        <v>6180</v>
      </c>
      <c r="AG2270" s="1" t="s">
        <v>6235</v>
      </c>
      <c r="AH2270" t="s">
        <v>714</v>
      </c>
    </row>
    <row r="2271" spans="1:34" x14ac:dyDescent="0.3">
      <c r="A2271">
        <v>101</v>
      </c>
      <c r="B2271" t="s">
        <v>34</v>
      </c>
      <c r="C2271">
        <v>2</v>
      </c>
      <c r="D2271" s="1" t="s">
        <v>6246</v>
      </c>
      <c r="E2271" s="1" t="s">
        <v>36</v>
      </c>
      <c r="G2271">
        <v>999002507</v>
      </c>
      <c r="H2271" t="s">
        <v>6247</v>
      </c>
      <c r="I2271" t="s">
        <v>6069</v>
      </c>
      <c r="J2271">
        <v>15</v>
      </c>
      <c r="K2271">
        <v>9317</v>
      </c>
      <c r="L2271">
        <v>50341</v>
      </c>
      <c r="M2271" t="s">
        <v>146</v>
      </c>
      <c r="N2271">
        <v>583</v>
      </c>
      <c r="O2271" s="2">
        <v>46225</v>
      </c>
      <c r="P2271" s="2">
        <v>46260</v>
      </c>
      <c r="R2271" t="s">
        <v>6248</v>
      </c>
      <c r="S2271" t="str">
        <f>"00013265"</f>
        <v>00013265</v>
      </c>
      <c r="T2271" t="s">
        <v>41</v>
      </c>
      <c r="U2271">
        <v>4939.37</v>
      </c>
      <c r="V2271">
        <v>4791.1899999999996</v>
      </c>
      <c r="W2271">
        <v>4791.1899999999996</v>
      </c>
      <c r="X2271">
        <v>0</v>
      </c>
      <c r="Y2271">
        <v>0</v>
      </c>
      <c r="Z2271">
        <v>-485</v>
      </c>
      <c r="AA2271">
        <v>1529</v>
      </c>
      <c r="AD2271" t="s">
        <v>6071</v>
      </c>
      <c r="AE2271" t="s">
        <v>6072</v>
      </c>
      <c r="AF2271" t="s">
        <v>6071</v>
      </c>
      <c r="AG2271" s="1" t="s">
        <v>6249</v>
      </c>
      <c r="AH2271" t="s">
        <v>714</v>
      </c>
    </row>
    <row r="2272" spans="1:34" x14ac:dyDescent="0.3">
      <c r="A2272">
        <v>101</v>
      </c>
      <c r="B2272" t="s">
        <v>34</v>
      </c>
      <c r="C2272">
        <v>4</v>
      </c>
      <c r="D2272" s="1" t="s">
        <v>6250</v>
      </c>
      <c r="E2272" t="s">
        <v>3134</v>
      </c>
      <c r="G2272">
        <v>10768</v>
      </c>
      <c r="H2272" t="s">
        <v>6251</v>
      </c>
      <c r="I2272" t="s">
        <v>3131</v>
      </c>
      <c r="J2272">
        <v>26</v>
      </c>
      <c r="K2272">
        <v>4716</v>
      </c>
      <c r="L2272">
        <v>10001</v>
      </c>
      <c r="M2272" t="s">
        <v>3135</v>
      </c>
      <c r="N2272">
        <v>584</v>
      </c>
      <c r="O2272" s="2">
        <v>46171</v>
      </c>
      <c r="P2272" s="2">
        <v>46266</v>
      </c>
      <c r="R2272" t="s">
        <v>3136</v>
      </c>
      <c r="S2272" t="str">
        <f>"07.0572790"</f>
        <v>07.0572790</v>
      </c>
      <c r="T2272" t="s">
        <v>41</v>
      </c>
      <c r="U2272">
        <v>11704.92</v>
      </c>
      <c r="V2272">
        <v>11704.92</v>
      </c>
      <c r="W2272">
        <v>11704.92</v>
      </c>
      <c r="X2272">
        <v>0</v>
      </c>
      <c r="Y2272">
        <v>0</v>
      </c>
      <c r="Z2272">
        <v>-491</v>
      </c>
      <c r="AA2272">
        <v>688840</v>
      </c>
      <c r="AD2272" t="s">
        <v>1089</v>
      </c>
      <c r="AE2272" t="s">
        <v>6252</v>
      </c>
      <c r="AF2272" t="s">
        <v>1089</v>
      </c>
      <c r="AG2272">
        <v>75315333000370</v>
      </c>
      <c r="AH2272" t="s">
        <v>714</v>
      </c>
    </row>
    <row r="2273" spans="1:34" x14ac:dyDescent="0.3">
      <c r="A2273">
        <v>101</v>
      </c>
      <c r="B2273" t="s">
        <v>34</v>
      </c>
      <c r="C2273">
        <v>4</v>
      </c>
      <c r="D2273" s="1" t="s">
        <v>6253</v>
      </c>
      <c r="E2273" t="s">
        <v>3134</v>
      </c>
      <c r="G2273">
        <v>10768</v>
      </c>
      <c r="H2273" t="s">
        <v>6251</v>
      </c>
      <c r="I2273" t="s">
        <v>3131</v>
      </c>
      <c r="J2273">
        <v>26</v>
      </c>
      <c r="K2273">
        <v>4716</v>
      </c>
      <c r="L2273">
        <v>10001</v>
      </c>
      <c r="M2273" t="s">
        <v>3135</v>
      </c>
      <c r="N2273">
        <v>584</v>
      </c>
      <c r="O2273" s="2">
        <v>46231</v>
      </c>
      <c r="P2273" s="2">
        <v>46329</v>
      </c>
      <c r="R2273" t="s">
        <v>3187</v>
      </c>
      <c r="S2273" t="str">
        <f>"08.0579034"</f>
        <v>08.0579034</v>
      </c>
      <c r="T2273" t="s">
        <v>41</v>
      </c>
      <c r="U2273">
        <v>22751.040000000001</v>
      </c>
      <c r="V2273">
        <v>22751.040000000001</v>
      </c>
      <c r="W2273">
        <v>22751.040000000001</v>
      </c>
      <c r="X2273">
        <v>0</v>
      </c>
      <c r="Y2273">
        <v>0</v>
      </c>
      <c r="Z2273">
        <v>-554</v>
      </c>
      <c r="AA2273">
        <v>695229</v>
      </c>
      <c r="AD2273" t="s">
        <v>1089</v>
      </c>
      <c r="AE2273" t="s">
        <v>6252</v>
      </c>
      <c r="AF2273" t="s">
        <v>1089</v>
      </c>
      <c r="AG2273">
        <v>75315333000370</v>
      </c>
      <c r="AH2273" t="s">
        <v>714</v>
      </c>
    </row>
    <row r="2274" spans="1:34" x14ac:dyDescent="0.3">
      <c r="A2274">
        <v>104</v>
      </c>
      <c r="B2274" t="s">
        <v>34</v>
      </c>
      <c r="C2274">
        <v>4</v>
      </c>
      <c r="D2274" s="1" t="s">
        <v>6254</v>
      </c>
      <c r="E2274" s="1" t="s">
        <v>36</v>
      </c>
      <c r="G2274">
        <v>10770</v>
      </c>
      <c r="H2274" t="s">
        <v>6255</v>
      </c>
      <c r="I2274" t="s">
        <v>3131</v>
      </c>
      <c r="J2274">
        <v>26</v>
      </c>
      <c r="K2274">
        <v>4716</v>
      </c>
      <c r="L2274">
        <v>95000</v>
      </c>
      <c r="M2274" t="s">
        <v>69</v>
      </c>
      <c r="N2274">
        <v>584</v>
      </c>
      <c r="O2274" s="2">
        <v>46233</v>
      </c>
      <c r="P2274" s="2">
        <v>46303</v>
      </c>
      <c r="R2274" t="s">
        <v>6256</v>
      </c>
      <c r="S2274" t="str">
        <f>""</f>
        <v/>
      </c>
      <c r="T2274" t="s">
        <v>41</v>
      </c>
      <c r="U2274">
        <v>7309</v>
      </c>
      <c r="V2274">
        <v>6760.83</v>
      </c>
      <c r="W2274">
        <v>6760.83</v>
      </c>
      <c r="X2274">
        <v>0</v>
      </c>
      <c r="Y2274">
        <v>0</v>
      </c>
      <c r="Z2274">
        <v>-528</v>
      </c>
      <c r="AA2274">
        <v>695519</v>
      </c>
      <c r="AD2274" t="s">
        <v>4751</v>
      </c>
      <c r="AE2274" t="s">
        <v>6257</v>
      </c>
      <c r="AF2274" t="s">
        <v>4751</v>
      </c>
      <c r="AG2274">
        <v>75315333000885</v>
      </c>
      <c r="AH2274" t="s">
        <v>4754</v>
      </c>
    </row>
    <row r="2275" spans="1:34" x14ac:dyDescent="0.3">
      <c r="A2275">
        <v>104</v>
      </c>
      <c r="B2275" t="s">
        <v>34</v>
      </c>
      <c r="C2275">
        <v>4</v>
      </c>
      <c r="D2275" s="1" t="s">
        <v>6258</v>
      </c>
      <c r="E2275" s="1" t="s">
        <v>36</v>
      </c>
      <c r="G2275">
        <v>10771</v>
      </c>
      <c r="H2275" t="s">
        <v>6259</v>
      </c>
      <c r="I2275" t="s">
        <v>3131</v>
      </c>
      <c r="J2275">
        <v>26</v>
      </c>
      <c r="K2275">
        <v>4716</v>
      </c>
      <c r="L2275">
        <v>95000</v>
      </c>
      <c r="M2275" t="s">
        <v>69</v>
      </c>
      <c r="N2275">
        <v>584</v>
      </c>
      <c r="O2275" s="2">
        <v>46238</v>
      </c>
      <c r="P2275" s="2">
        <v>46329</v>
      </c>
      <c r="R2275" t="s">
        <v>6260</v>
      </c>
      <c r="S2275" t="str">
        <f>""</f>
        <v/>
      </c>
      <c r="T2275" t="s">
        <v>41</v>
      </c>
      <c r="U2275">
        <v>12358.03</v>
      </c>
      <c r="V2275">
        <v>11431.18</v>
      </c>
      <c r="W2275">
        <v>11431.18</v>
      </c>
      <c r="X2275">
        <v>0</v>
      </c>
      <c r="Y2275">
        <v>0</v>
      </c>
      <c r="Z2275">
        <v>-554</v>
      </c>
      <c r="AA2275">
        <v>696109</v>
      </c>
      <c r="AD2275" t="s">
        <v>6261</v>
      </c>
      <c r="AE2275" t="s">
        <v>6262</v>
      </c>
      <c r="AF2275" t="s">
        <v>6261</v>
      </c>
      <c r="AG2275">
        <v>75315333000966</v>
      </c>
      <c r="AH2275" t="s">
        <v>5494</v>
      </c>
    </row>
    <row r="2276" spans="1:34" x14ac:dyDescent="0.3">
      <c r="A2276">
        <v>104</v>
      </c>
      <c r="B2276" t="s">
        <v>34</v>
      </c>
      <c r="C2276">
        <v>4</v>
      </c>
      <c r="D2276" s="1" t="s">
        <v>6263</v>
      </c>
      <c r="E2276" s="1" t="s">
        <v>36</v>
      </c>
      <c r="G2276">
        <v>10889</v>
      </c>
      <c r="H2276" t="s">
        <v>6264</v>
      </c>
      <c r="I2276" t="s">
        <v>3131</v>
      </c>
      <c r="J2276">
        <v>26</v>
      </c>
      <c r="K2276">
        <v>4716</v>
      </c>
      <c r="L2276">
        <v>95000</v>
      </c>
      <c r="M2276" t="s">
        <v>69</v>
      </c>
      <c r="N2276">
        <v>584</v>
      </c>
      <c r="O2276" s="2">
        <v>46211</v>
      </c>
      <c r="P2276" s="2">
        <v>46328</v>
      </c>
      <c r="R2276" t="s">
        <v>6265</v>
      </c>
      <c r="S2276" t="str">
        <f>""</f>
        <v/>
      </c>
      <c r="T2276" t="s">
        <v>41</v>
      </c>
      <c r="U2276">
        <v>2233.77</v>
      </c>
      <c r="V2276">
        <v>2155.59</v>
      </c>
      <c r="W2276">
        <v>2155.59</v>
      </c>
      <c r="X2276">
        <v>0</v>
      </c>
      <c r="Y2276">
        <v>0</v>
      </c>
      <c r="Z2276">
        <v>-553</v>
      </c>
      <c r="AA2276">
        <v>693911</v>
      </c>
      <c r="AD2276" t="s">
        <v>4897</v>
      </c>
      <c r="AF2276" t="s">
        <v>64</v>
      </c>
      <c r="AG2276">
        <v>75315333006573</v>
      </c>
      <c r="AH2276" t="s">
        <v>44</v>
      </c>
    </row>
    <row r="2277" spans="1:34" x14ac:dyDescent="0.3">
      <c r="A2277">
        <v>104</v>
      </c>
      <c r="B2277" t="s">
        <v>34</v>
      </c>
      <c r="C2277">
        <v>4</v>
      </c>
      <c r="D2277" s="1" t="s">
        <v>6266</v>
      </c>
      <c r="E2277" s="1" t="s">
        <v>36</v>
      </c>
      <c r="G2277">
        <v>10889</v>
      </c>
      <c r="H2277" t="s">
        <v>6264</v>
      </c>
      <c r="I2277" t="s">
        <v>3131</v>
      </c>
      <c r="J2277">
        <v>26</v>
      </c>
      <c r="K2277">
        <v>4716</v>
      </c>
      <c r="L2277">
        <v>95000</v>
      </c>
      <c r="M2277" t="s">
        <v>69</v>
      </c>
      <c r="N2277">
        <v>584</v>
      </c>
      <c r="O2277" s="2">
        <v>46211</v>
      </c>
      <c r="P2277" s="2">
        <v>46328</v>
      </c>
      <c r="R2277" t="s">
        <v>6267</v>
      </c>
      <c r="S2277" t="str">
        <f>""</f>
        <v/>
      </c>
      <c r="T2277" t="s">
        <v>41</v>
      </c>
      <c r="U2277">
        <v>24889.46</v>
      </c>
      <c r="V2277">
        <v>24018.33</v>
      </c>
      <c r="W2277">
        <v>24018.33</v>
      </c>
      <c r="X2277">
        <v>0</v>
      </c>
      <c r="Y2277">
        <v>0</v>
      </c>
      <c r="Z2277">
        <v>-553</v>
      </c>
      <c r="AA2277">
        <v>693969</v>
      </c>
      <c r="AD2277" t="s">
        <v>4897</v>
      </c>
      <c r="AF2277" t="s">
        <v>64</v>
      </c>
      <c r="AG2277">
        <v>75315333006573</v>
      </c>
      <c r="AH2277" t="s">
        <v>44</v>
      </c>
    </row>
    <row r="2278" spans="1:34" x14ac:dyDescent="0.3">
      <c r="A2278">
        <v>104</v>
      </c>
      <c r="B2278" t="s">
        <v>34</v>
      </c>
      <c r="C2278">
        <v>4</v>
      </c>
      <c r="D2278" s="1" t="s">
        <v>6263</v>
      </c>
      <c r="E2278" s="1" t="s">
        <v>122</v>
      </c>
      <c r="G2278">
        <v>10889</v>
      </c>
      <c r="H2278" t="s">
        <v>6264</v>
      </c>
      <c r="I2278" t="s">
        <v>3131</v>
      </c>
      <c r="J2278">
        <v>26</v>
      </c>
      <c r="K2278">
        <v>4716</v>
      </c>
      <c r="L2278">
        <v>95000</v>
      </c>
      <c r="M2278" t="s">
        <v>69</v>
      </c>
      <c r="N2278">
        <v>584</v>
      </c>
      <c r="O2278" s="2">
        <v>46223</v>
      </c>
      <c r="P2278" s="2">
        <v>46328</v>
      </c>
      <c r="R2278" t="s">
        <v>6268</v>
      </c>
      <c r="S2278" t="str">
        <f>""</f>
        <v/>
      </c>
      <c r="T2278" t="s">
        <v>41</v>
      </c>
      <c r="U2278">
        <v>484.09</v>
      </c>
      <c r="V2278">
        <v>484.09</v>
      </c>
      <c r="W2278">
        <v>484.09</v>
      </c>
      <c r="X2278">
        <v>0</v>
      </c>
      <c r="Y2278">
        <v>0</v>
      </c>
      <c r="Z2278">
        <v>-553</v>
      </c>
      <c r="AC2278" t="s">
        <v>6269</v>
      </c>
      <c r="AD2278" t="s">
        <v>4897</v>
      </c>
      <c r="AF2278" t="s">
        <v>64</v>
      </c>
      <c r="AG2278">
        <v>75315333006573</v>
      </c>
      <c r="AH2278" t="s">
        <v>44</v>
      </c>
    </row>
    <row r="2279" spans="1:34" x14ac:dyDescent="0.3">
      <c r="A2279">
        <v>101</v>
      </c>
      <c r="B2279" t="s">
        <v>34</v>
      </c>
      <c r="C2279">
        <v>4</v>
      </c>
      <c r="D2279" s="1" t="s">
        <v>6270</v>
      </c>
      <c r="E2279" t="s">
        <v>3134</v>
      </c>
      <c r="G2279">
        <v>10890</v>
      </c>
      <c r="H2279" t="s">
        <v>6271</v>
      </c>
      <c r="I2279" t="s">
        <v>3131</v>
      </c>
      <c r="J2279">
        <v>26</v>
      </c>
      <c r="K2279">
        <v>4716</v>
      </c>
      <c r="L2279">
        <v>10001</v>
      </c>
      <c r="M2279" t="s">
        <v>3135</v>
      </c>
      <c r="N2279">
        <v>584</v>
      </c>
      <c r="O2279" s="2">
        <v>46231</v>
      </c>
      <c r="P2279" s="2">
        <v>46329</v>
      </c>
      <c r="R2279" t="s">
        <v>3187</v>
      </c>
      <c r="S2279" t="str">
        <f>"08.0579034"</f>
        <v>08.0579034</v>
      </c>
      <c r="T2279" t="s">
        <v>41</v>
      </c>
      <c r="U2279">
        <v>22075.08</v>
      </c>
      <c r="V2279">
        <v>22075.08</v>
      </c>
      <c r="W2279">
        <v>22075.08</v>
      </c>
      <c r="X2279">
        <v>0</v>
      </c>
      <c r="Y2279">
        <v>0</v>
      </c>
      <c r="Z2279">
        <v>-554</v>
      </c>
      <c r="AA2279">
        <v>695227</v>
      </c>
      <c r="AD2279" t="s">
        <v>1089</v>
      </c>
      <c r="AE2279" t="s">
        <v>6272</v>
      </c>
      <c r="AF2279" t="s">
        <v>64</v>
      </c>
      <c r="AG2279">
        <v>75315333000290</v>
      </c>
      <c r="AH2279" t="s">
        <v>44</v>
      </c>
    </row>
    <row r="2280" spans="1:34" x14ac:dyDescent="0.3">
      <c r="A2280">
        <v>101</v>
      </c>
      <c r="B2280" t="s">
        <v>34</v>
      </c>
      <c r="C2280">
        <v>4</v>
      </c>
      <c r="D2280" s="1" t="s">
        <v>6273</v>
      </c>
      <c r="E2280" t="s">
        <v>3134</v>
      </c>
      <c r="G2280">
        <v>10890</v>
      </c>
      <c r="H2280" t="s">
        <v>6271</v>
      </c>
      <c r="I2280" t="s">
        <v>3131</v>
      </c>
      <c r="J2280">
        <v>26</v>
      </c>
      <c r="K2280">
        <v>4716</v>
      </c>
      <c r="L2280">
        <v>10001</v>
      </c>
      <c r="M2280" t="s">
        <v>3135</v>
      </c>
      <c r="N2280">
        <v>584</v>
      </c>
      <c r="O2280" s="2">
        <v>46171</v>
      </c>
      <c r="P2280" s="2">
        <v>46266</v>
      </c>
      <c r="R2280" t="s">
        <v>3136</v>
      </c>
      <c r="S2280" t="str">
        <f>"07.0572790"</f>
        <v>07.0572790</v>
      </c>
      <c r="T2280" t="s">
        <v>41</v>
      </c>
      <c r="U2280">
        <v>26112.82</v>
      </c>
      <c r="V2280">
        <v>26112.82</v>
      </c>
      <c r="W2280">
        <v>26112.82</v>
      </c>
      <c r="X2280">
        <v>0</v>
      </c>
      <c r="Y2280">
        <v>0</v>
      </c>
      <c r="Z2280">
        <v>-491</v>
      </c>
      <c r="AA2280">
        <v>688838</v>
      </c>
      <c r="AD2280" t="s">
        <v>1089</v>
      </c>
      <c r="AE2280" t="s">
        <v>6272</v>
      </c>
      <c r="AF2280" t="s">
        <v>64</v>
      </c>
      <c r="AG2280">
        <v>75315333000290</v>
      </c>
      <c r="AH2280" t="s">
        <v>44</v>
      </c>
    </row>
    <row r="2281" spans="1:34" x14ac:dyDescent="0.3">
      <c r="A2281">
        <v>101</v>
      </c>
      <c r="B2281" t="s">
        <v>34</v>
      </c>
      <c r="C2281">
        <v>4</v>
      </c>
      <c r="D2281" s="1" t="s">
        <v>6274</v>
      </c>
      <c r="E2281" t="s">
        <v>3134</v>
      </c>
      <c r="G2281">
        <v>10907</v>
      </c>
      <c r="H2281" t="s">
        <v>6275</v>
      </c>
      <c r="I2281" t="s">
        <v>3131</v>
      </c>
      <c r="J2281">
        <v>26</v>
      </c>
      <c r="K2281">
        <v>4716</v>
      </c>
      <c r="L2281">
        <v>10001</v>
      </c>
      <c r="M2281" t="s">
        <v>3135</v>
      </c>
      <c r="N2281">
        <v>584</v>
      </c>
      <c r="O2281" s="2">
        <v>46190</v>
      </c>
      <c r="P2281" s="2">
        <v>46281</v>
      </c>
      <c r="R2281" t="s">
        <v>3144</v>
      </c>
      <c r="S2281" t="str">
        <f>"07.0574661"</f>
        <v>07.0574661</v>
      </c>
      <c r="T2281" t="s">
        <v>41</v>
      </c>
      <c r="U2281">
        <v>636.9</v>
      </c>
      <c r="V2281">
        <v>636.9</v>
      </c>
      <c r="W2281">
        <v>636.9</v>
      </c>
      <c r="X2281">
        <v>0</v>
      </c>
      <c r="Y2281">
        <v>0</v>
      </c>
      <c r="Z2281">
        <v>-506</v>
      </c>
      <c r="AA2281">
        <v>691653</v>
      </c>
      <c r="AD2281" t="s">
        <v>6276</v>
      </c>
      <c r="AE2281" t="s">
        <v>6277</v>
      </c>
      <c r="AF2281" t="s">
        <v>64</v>
      </c>
      <c r="AG2281">
        <v>75315333007545</v>
      </c>
      <c r="AH2281" t="s">
        <v>44</v>
      </c>
    </row>
    <row r="2282" spans="1:34" x14ac:dyDescent="0.3">
      <c r="A2282">
        <v>101</v>
      </c>
      <c r="B2282" t="s">
        <v>34</v>
      </c>
      <c r="C2282">
        <v>4</v>
      </c>
      <c r="D2282" s="1" t="s">
        <v>6278</v>
      </c>
      <c r="E2282" t="s">
        <v>3134</v>
      </c>
      <c r="G2282">
        <v>10907</v>
      </c>
      <c r="H2282" t="s">
        <v>6275</v>
      </c>
      <c r="I2282" t="s">
        <v>3131</v>
      </c>
      <c r="J2282">
        <v>26</v>
      </c>
      <c r="K2282">
        <v>4716</v>
      </c>
      <c r="L2282">
        <v>10001</v>
      </c>
      <c r="M2282" t="s">
        <v>3135</v>
      </c>
      <c r="N2282">
        <v>584</v>
      </c>
      <c r="O2282" s="2">
        <v>46190</v>
      </c>
      <c r="P2282" s="2">
        <v>46281</v>
      </c>
      <c r="R2282" t="s">
        <v>3144</v>
      </c>
      <c r="S2282" t="str">
        <f>"07.0574661"</f>
        <v>07.0574661</v>
      </c>
      <c r="T2282" t="s">
        <v>41</v>
      </c>
      <c r="U2282">
        <v>18074.57</v>
      </c>
      <c r="V2282">
        <v>18074.57</v>
      </c>
      <c r="W2282">
        <v>18074.57</v>
      </c>
      <c r="X2282">
        <v>0</v>
      </c>
      <c r="Y2282">
        <v>0</v>
      </c>
      <c r="Z2282">
        <v>-506</v>
      </c>
      <c r="AA2282">
        <v>691595</v>
      </c>
      <c r="AD2282" t="s">
        <v>6276</v>
      </c>
      <c r="AE2282" t="s">
        <v>6277</v>
      </c>
      <c r="AF2282" t="s">
        <v>64</v>
      </c>
      <c r="AG2282">
        <v>75315333007545</v>
      </c>
      <c r="AH2282" t="s">
        <v>44</v>
      </c>
    </row>
    <row r="2283" spans="1:34" x14ac:dyDescent="0.3">
      <c r="A2283">
        <v>101</v>
      </c>
      <c r="B2283" t="s">
        <v>34</v>
      </c>
      <c r="C2283">
        <v>4</v>
      </c>
      <c r="D2283" s="1" t="s">
        <v>6279</v>
      </c>
      <c r="E2283" t="s">
        <v>3134</v>
      </c>
      <c r="G2283">
        <v>10967</v>
      </c>
      <c r="H2283" t="s">
        <v>6280</v>
      </c>
      <c r="I2283" t="s">
        <v>3131</v>
      </c>
      <c r="J2283">
        <v>26</v>
      </c>
      <c r="K2283">
        <v>4716</v>
      </c>
      <c r="L2283">
        <v>10001</v>
      </c>
      <c r="M2283" t="s">
        <v>3135</v>
      </c>
      <c r="N2283">
        <v>584</v>
      </c>
      <c r="O2283" s="2">
        <v>46171</v>
      </c>
      <c r="P2283" s="2">
        <v>46266</v>
      </c>
      <c r="R2283" t="s">
        <v>3136</v>
      </c>
      <c r="S2283" t="str">
        <f>"07.0572790"</f>
        <v>07.0572790</v>
      </c>
      <c r="T2283" t="s">
        <v>41</v>
      </c>
      <c r="U2283">
        <v>32584.66</v>
      </c>
      <c r="V2283">
        <v>32584.66</v>
      </c>
      <c r="W2283">
        <v>32584.66</v>
      </c>
      <c r="X2283">
        <v>0</v>
      </c>
      <c r="Y2283">
        <v>0</v>
      </c>
      <c r="Z2283">
        <v>-491</v>
      </c>
      <c r="AA2283">
        <v>688842</v>
      </c>
      <c r="AD2283" t="s">
        <v>731</v>
      </c>
      <c r="AE2283" t="s">
        <v>6281</v>
      </c>
      <c r="AF2283" t="s">
        <v>731</v>
      </c>
      <c r="AG2283">
        <v>75315333000702</v>
      </c>
      <c r="AH2283" t="s">
        <v>714</v>
      </c>
    </row>
    <row r="2284" spans="1:34" x14ac:dyDescent="0.3">
      <c r="A2284">
        <v>101</v>
      </c>
      <c r="B2284" t="s">
        <v>34</v>
      </c>
      <c r="C2284">
        <v>4</v>
      </c>
      <c r="D2284" s="1" t="s">
        <v>6282</v>
      </c>
      <c r="E2284" t="s">
        <v>3134</v>
      </c>
      <c r="G2284">
        <v>10967</v>
      </c>
      <c r="H2284" t="s">
        <v>6280</v>
      </c>
      <c r="I2284" t="s">
        <v>3131</v>
      </c>
      <c r="J2284">
        <v>26</v>
      </c>
      <c r="K2284">
        <v>4716</v>
      </c>
      <c r="L2284">
        <v>10001</v>
      </c>
      <c r="M2284" t="s">
        <v>3135</v>
      </c>
      <c r="N2284">
        <v>584</v>
      </c>
      <c r="O2284" s="2">
        <v>46231</v>
      </c>
      <c r="P2284" s="2">
        <v>46329</v>
      </c>
      <c r="R2284" t="s">
        <v>3187</v>
      </c>
      <c r="S2284" t="str">
        <f>"08.0579034"</f>
        <v>08.0579034</v>
      </c>
      <c r="T2284" t="s">
        <v>41</v>
      </c>
      <c r="U2284">
        <v>33488.53</v>
      </c>
      <c r="V2284">
        <v>33488.53</v>
      </c>
      <c r="W2284">
        <v>33488.53</v>
      </c>
      <c r="X2284">
        <v>0</v>
      </c>
      <c r="Y2284">
        <v>0</v>
      </c>
      <c r="Z2284">
        <v>-554</v>
      </c>
      <c r="AA2284">
        <v>695231</v>
      </c>
      <c r="AD2284" t="s">
        <v>731</v>
      </c>
      <c r="AE2284" t="s">
        <v>6281</v>
      </c>
      <c r="AF2284" t="s">
        <v>731</v>
      </c>
      <c r="AG2284">
        <v>75315333000702</v>
      </c>
      <c r="AH2284" t="s">
        <v>714</v>
      </c>
    </row>
    <row r="2285" spans="1:34" x14ac:dyDescent="0.3">
      <c r="A2285">
        <v>101</v>
      </c>
      <c r="B2285" t="s">
        <v>34</v>
      </c>
      <c r="C2285">
        <v>4</v>
      </c>
      <c r="D2285" s="1" t="s">
        <v>6283</v>
      </c>
      <c r="E2285" t="s">
        <v>3134</v>
      </c>
      <c r="G2285">
        <v>10968</v>
      </c>
      <c r="H2285" t="s">
        <v>6284</v>
      </c>
      <c r="I2285" t="s">
        <v>3131</v>
      </c>
      <c r="J2285">
        <v>26</v>
      </c>
      <c r="K2285">
        <v>4716</v>
      </c>
      <c r="L2285">
        <v>10001</v>
      </c>
      <c r="M2285" t="s">
        <v>3135</v>
      </c>
      <c r="N2285">
        <v>584</v>
      </c>
      <c r="O2285" s="2">
        <v>46231</v>
      </c>
      <c r="P2285" s="2">
        <v>46329</v>
      </c>
      <c r="R2285" t="s">
        <v>3187</v>
      </c>
      <c r="S2285" t="str">
        <f>"08.0579034"</f>
        <v>08.0579034</v>
      </c>
      <c r="T2285" t="s">
        <v>41</v>
      </c>
      <c r="U2285">
        <v>21499.62</v>
      </c>
      <c r="V2285">
        <v>21499.62</v>
      </c>
      <c r="W2285">
        <v>21499.62</v>
      </c>
      <c r="X2285">
        <v>0</v>
      </c>
      <c r="Y2285">
        <v>0</v>
      </c>
      <c r="Z2285">
        <v>-554</v>
      </c>
      <c r="AA2285">
        <v>695233</v>
      </c>
      <c r="AD2285" t="s">
        <v>1089</v>
      </c>
      <c r="AE2285" t="s">
        <v>6285</v>
      </c>
      <c r="AF2285" t="s">
        <v>1089</v>
      </c>
      <c r="AG2285">
        <v>75315333003124</v>
      </c>
      <c r="AH2285" t="s">
        <v>714</v>
      </c>
    </row>
    <row r="2286" spans="1:34" x14ac:dyDescent="0.3">
      <c r="A2286">
        <v>101</v>
      </c>
      <c r="B2286" t="s">
        <v>34</v>
      </c>
      <c r="C2286">
        <v>4</v>
      </c>
      <c r="D2286" s="1" t="s">
        <v>6286</v>
      </c>
      <c r="E2286" t="s">
        <v>3134</v>
      </c>
      <c r="G2286">
        <v>10968</v>
      </c>
      <c r="H2286" t="s">
        <v>6284</v>
      </c>
      <c r="I2286" t="s">
        <v>3131</v>
      </c>
      <c r="J2286">
        <v>26</v>
      </c>
      <c r="K2286">
        <v>4716</v>
      </c>
      <c r="L2286">
        <v>10001</v>
      </c>
      <c r="M2286" t="s">
        <v>3135</v>
      </c>
      <c r="N2286">
        <v>584</v>
      </c>
      <c r="O2286" s="2">
        <v>46171</v>
      </c>
      <c r="P2286" s="2">
        <v>46266</v>
      </c>
      <c r="R2286" t="s">
        <v>3136</v>
      </c>
      <c r="S2286" t="str">
        <f>"07.0572790"</f>
        <v>07.0572790</v>
      </c>
      <c r="T2286" t="s">
        <v>41</v>
      </c>
      <c r="U2286">
        <v>26553.21</v>
      </c>
      <c r="V2286">
        <v>26553.21</v>
      </c>
      <c r="W2286">
        <v>26553.21</v>
      </c>
      <c r="X2286">
        <v>0</v>
      </c>
      <c r="Y2286">
        <v>0</v>
      </c>
      <c r="Z2286">
        <v>-491</v>
      </c>
      <c r="AA2286">
        <v>688844</v>
      </c>
      <c r="AD2286" t="s">
        <v>1089</v>
      </c>
      <c r="AE2286" t="s">
        <v>6285</v>
      </c>
      <c r="AF2286" t="s">
        <v>1089</v>
      </c>
      <c r="AG2286">
        <v>75315333003124</v>
      </c>
      <c r="AH2286" t="s">
        <v>714</v>
      </c>
    </row>
    <row r="2287" spans="1:34" x14ac:dyDescent="0.3">
      <c r="A2287">
        <v>104</v>
      </c>
      <c r="B2287" t="s">
        <v>34</v>
      </c>
      <c r="C2287">
        <v>4</v>
      </c>
      <c r="D2287" s="1" t="s">
        <v>6287</v>
      </c>
      <c r="E2287" s="1" t="s">
        <v>36</v>
      </c>
      <c r="G2287">
        <v>11052</v>
      </c>
      <c r="H2287" t="s">
        <v>6288</v>
      </c>
      <c r="I2287" t="s">
        <v>3131</v>
      </c>
      <c r="J2287">
        <v>26</v>
      </c>
      <c r="K2287">
        <v>4716</v>
      </c>
      <c r="L2287">
        <v>95000</v>
      </c>
      <c r="M2287" t="s">
        <v>69</v>
      </c>
      <c r="N2287">
        <v>584</v>
      </c>
      <c r="O2287" s="2">
        <v>46238</v>
      </c>
      <c r="P2287" s="2">
        <v>46328</v>
      </c>
      <c r="R2287" t="s">
        <v>6289</v>
      </c>
      <c r="S2287" t="str">
        <f>""</f>
        <v/>
      </c>
      <c r="T2287" t="s">
        <v>41</v>
      </c>
      <c r="U2287">
        <v>5935.21</v>
      </c>
      <c r="V2287">
        <v>5727.48</v>
      </c>
      <c r="W2287">
        <v>5727.48</v>
      </c>
      <c r="X2287">
        <v>0</v>
      </c>
      <c r="Y2287">
        <v>0</v>
      </c>
      <c r="Z2287">
        <v>-553</v>
      </c>
      <c r="AA2287">
        <v>696111</v>
      </c>
      <c r="AD2287" t="s">
        <v>6290</v>
      </c>
      <c r="AE2287" t="s">
        <v>6291</v>
      </c>
      <c r="AF2287" t="s">
        <v>6290</v>
      </c>
      <c r="AG2287">
        <v>75315333003981</v>
      </c>
      <c r="AH2287" t="s">
        <v>5494</v>
      </c>
    </row>
    <row r="2288" spans="1:34" x14ac:dyDescent="0.3">
      <c r="A2288">
        <v>104</v>
      </c>
      <c r="B2288" t="s">
        <v>34</v>
      </c>
      <c r="C2288">
        <v>4</v>
      </c>
      <c r="D2288" s="1" t="s">
        <v>6292</v>
      </c>
      <c r="E2288" s="1" t="s">
        <v>36</v>
      </c>
      <c r="G2288">
        <v>11053</v>
      </c>
      <c r="H2288" t="s">
        <v>6293</v>
      </c>
      <c r="I2288" t="s">
        <v>3131</v>
      </c>
      <c r="J2288">
        <v>26</v>
      </c>
      <c r="K2288">
        <v>4716</v>
      </c>
      <c r="L2288">
        <v>95000</v>
      </c>
      <c r="M2288" t="s">
        <v>69</v>
      </c>
      <c r="N2288">
        <v>584</v>
      </c>
      <c r="O2288" s="2">
        <v>46238</v>
      </c>
      <c r="P2288" s="2">
        <v>46328</v>
      </c>
      <c r="R2288" t="s">
        <v>6294</v>
      </c>
      <c r="S2288" t="str">
        <f>""</f>
        <v/>
      </c>
      <c r="T2288" t="s">
        <v>41</v>
      </c>
      <c r="U2288">
        <v>4236.4399999999996</v>
      </c>
      <c r="V2288">
        <v>4088.16</v>
      </c>
      <c r="W2288">
        <v>4088.16</v>
      </c>
      <c r="X2288">
        <v>0</v>
      </c>
      <c r="Y2288">
        <v>0</v>
      </c>
      <c r="Z2288">
        <v>-553</v>
      </c>
      <c r="AA2288">
        <v>696113</v>
      </c>
      <c r="AD2288" t="s">
        <v>6261</v>
      </c>
      <c r="AE2288" t="s">
        <v>6295</v>
      </c>
      <c r="AF2288" t="s">
        <v>6261</v>
      </c>
      <c r="AG2288">
        <v>75315333004287</v>
      </c>
      <c r="AH2288" t="s">
        <v>5494</v>
      </c>
    </row>
    <row r="2289" spans="1:34" x14ac:dyDescent="0.3">
      <c r="A2289">
        <v>104</v>
      </c>
      <c r="B2289" t="s">
        <v>34</v>
      </c>
      <c r="C2289">
        <v>4</v>
      </c>
      <c r="D2289" s="1" t="s">
        <v>6296</v>
      </c>
      <c r="E2289" s="1" t="s">
        <v>122</v>
      </c>
      <c r="G2289">
        <v>11056</v>
      </c>
      <c r="H2289" t="s">
        <v>6297</v>
      </c>
      <c r="I2289" t="s">
        <v>3131</v>
      </c>
      <c r="J2289">
        <v>26</v>
      </c>
      <c r="K2289">
        <v>4716</v>
      </c>
      <c r="L2289">
        <v>95000</v>
      </c>
      <c r="M2289" t="s">
        <v>69</v>
      </c>
      <c r="N2289">
        <v>584</v>
      </c>
      <c r="O2289" s="2">
        <v>46223</v>
      </c>
      <c r="P2289" s="2">
        <v>46305</v>
      </c>
      <c r="R2289" t="s">
        <v>6268</v>
      </c>
      <c r="S2289" t="str">
        <f>""</f>
        <v/>
      </c>
      <c r="T2289" t="s">
        <v>41</v>
      </c>
      <c r="U2289">
        <v>276.87</v>
      </c>
      <c r="V2289">
        <v>276.87</v>
      </c>
      <c r="W2289">
        <v>276.87</v>
      </c>
      <c r="X2289">
        <v>0</v>
      </c>
      <c r="Y2289">
        <v>0</v>
      </c>
      <c r="Z2289">
        <v>-530</v>
      </c>
      <c r="AC2289" t="s">
        <v>6269</v>
      </c>
      <c r="AD2289" t="s">
        <v>4897</v>
      </c>
      <c r="AE2289" t="s">
        <v>6298</v>
      </c>
      <c r="AF2289" t="s">
        <v>4897</v>
      </c>
      <c r="AG2289">
        <v>75315333006301</v>
      </c>
      <c r="AH2289" t="s">
        <v>3698</v>
      </c>
    </row>
    <row r="2290" spans="1:34" x14ac:dyDescent="0.3">
      <c r="A2290">
        <v>104</v>
      </c>
      <c r="B2290" t="s">
        <v>34</v>
      </c>
      <c r="C2290">
        <v>4</v>
      </c>
      <c r="D2290" s="1" t="s">
        <v>6299</v>
      </c>
      <c r="E2290" s="1" t="s">
        <v>36</v>
      </c>
      <c r="G2290">
        <v>11056</v>
      </c>
      <c r="H2290" t="s">
        <v>6297</v>
      </c>
      <c r="I2290" t="s">
        <v>3131</v>
      </c>
      <c r="J2290">
        <v>26</v>
      </c>
      <c r="K2290">
        <v>4716</v>
      </c>
      <c r="L2290">
        <v>95000</v>
      </c>
      <c r="M2290" t="s">
        <v>69</v>
      </c>
      <c r="N2290">
        <v>584</v>
      </c>
      <c r="O2290" s="2">
        <v>46211</v>
      </c>
      <c r="P2290" s="2">
        <v>46311</v>
      </c>
      <c r="R2290" t="s">
        <v>6300</v>
      </c>
      <c r="S2290" t="str">
        <f>""</f>
        <v/>
      </c>
      <c r="T2290" t="s">
        <v>41</v>
      </c>
      <c r="U2290">
        <v>13397.38</v>
      </c>
      <c r="V2290">
        <v>12928.47</v>
      </c>
      <c r="W2290">
        <v>12928.47</v>
      </c>
      <c r="X2290">
        <v>0</v>
      </c>
      <c r="Y2290">
        <v>0</v>
      </c>
      <c r="Z2290">
        <v>-536</v>
      </c>
      <c r="AA2290">
        <v>693967</v>
      </c>
      <c r="AD2290" t="s">
        <v>4897</v>
      </c>
      <c r="AE2290" t="s">
        <v>6298</v>
      </c>
      <c r="AF2290" t="s">
        <v>4897</v>
      </c>
      <c r="AG2290">
        <v>75315333006301</v>
      </c>
      <c r="AH2290" t="s">
        <v>3698</v>
      </c>
    </row>
    <row r="2291" spans="1:34" x14ac:dyDescent="0.3">
      <c r="A2291">
        <v>104</v>
      </c>
      <c r="B2291" t="s">
        <v>34</v>
      </c>
      <c r="C2291">
        <v>4</v>
      </c>
      <c r="D2291" s="1" t="s">
        <v>6296</v>
      </c>
      <c r="E2291" s="1" t="s">
        <v>36</v>
      </c>
      <c r="G2291">
        <v>11056</v>
      </c>
      <c r="H2291" t="s">
        <v>6297</v>
      </c>
      <c r="I2291" t="s">
        <v>3131</v>
      </c>
      <c r="J2291">
        <v>26</v>
      </c>
      <c r="K2291">
        <v>4716</v>
      </c>
      <c r="L2291">
        <v>95000</v>
      </c>
      <c r="M2291" t="s">
        <v>69</v>
      </c>
      <c r="N2291">
        <v>584</v>
      </c>
      <c r="O2291" s="2">
        <v>46211</v>
      </c>
      <c r="P2291" s="2">
        <v>46311</v>
      </c>
      <c r="R2291" t="s">
        <v>6301</v>
      </c>
      <c r="S2291" t="str">
        <f>""</f>
        <v/>
      </c>
      <c r="T2291" t="s">
        <v>41</v>
      </c>
      <c r="U2291">
        <v>1132.81</v>
      </c>
      <c r="V2291">
        <v>1093.1600000000001</v>
      </c>
      <c r="W2291">
        <v>1093.1600000000001</v>
      </c>
      <c r="X2291">
        <v>0</v>
      </c>
      <c r="Y2291">
        <v>0</v>
      </c>
      <c r="Z2291">
        <v>-536</v>
      </c>
      <c r="AA2291">
        <v>693909</v>
      </c>
      <c r="AD2291" t="s">
        <v>4897</v>
      </c>
      <c r="AE2291" t="s">
        <v>6298</v>
      </c>
      <c r="AF2291" t="s">
        <v>4897</v>
      </c>
      <c r="AG2291">
        <v>75315333006301</v>
      </c>
      <c r="AH2291" t="s">
        <v>3698</v>
      </c>
    </row>
    <row r="2292" spans="1:34" x14ac:dyDescent="0.3">
      <c r="A2292">
        <v>101</v>
      </c>
      <c r="B2292" t="s">
        <v>34</v>
      </c>
      <c r="C2292">
        <v>4</v>
      </c>
      <c r="D2292" s="1" t="s">
        <v>6302</v>
      </c>
      <c r="E2292" t="s">
        <v>3134</v>
      </c>
      <c r="G2292">
        <v>11057</v>
      </c>
      <c r="H2292" t="s">
        <v>6303</v>
      </c>
      <c r="I2292" t="s">
        <v>3131</v>
      </c>
      <c r="J2292">
        <v>26</v>
      </c>
      <c r="K2292">
        <v>4716</v>
      </c>
      <c r="L2292">
        <v>10001</v>
      </c>
      <c r="M2292" t="s">
        <v>3135</v>
      </c>
      <c r="N2292">
        <v>584</v>
      </c>
      <c r="O2292" s="2">
        <v>46211</v>
      </c>
      <c r="P2292" s="2">
        <v>46329</v>
      </c>
      <c r="R2292" t="s">
        <v>3187</v>
      </c>
      <c r="S2292" t="str">
        <f>"08.0579034"</f>
        <v>08.0579034</v>
      </c>
      <c r="T2292" t="s">
        <v>41</v>
      </c>
      <c r="U2292">
        <v>22179.45</v>
      </c>
      <c r="V2292">
        <v>22179.45</v>
      </c>
      <c r="W2292">
        <v>22179.45</v>
      </c>
      <c r="X2292">
        <v>0</v>
      </c>
      <c r="Y2292">
        <v>0</v>
      </c>
      <c r="Z2292">
        <v>-554</v>
      </c>
      <c r="AA2292">
        <v>693971</v>
      </c>
      <c r="AD2292" t="s">
        <v>6304</v>
      </c>
      <c r="AF2292" t="s">
        <v>6304</v>
      </c>
      <c r="AG2292">
        <v>75315333006735</v>
      </c>
      <c r="AH2292" t="s">
        <v>3698</v>
      </c>
    </row>
    <row r="2293" spans="1:34" x14ac:dyDescent="0.3">
      <c r="A2293">
        <v>101</v>
      </c>
      <c r="B2293" t="s">
        <v>34</v>
      </c>
      <c r="C2293">
        <v>4</v>
      </c>
      <c r="D2293" s="1" t="s">
        <v>6305</v>
      </c>
      <c r="E2293" t="s">
        <v>4694</v>
      </c>
      <c r="G2293">
        <v>11057</v>
      </c>
      <c r="H2293" t="s">
        <v>6303</v>
      </c>
      <c r="I2293" t="s">
        <v>3131</v>
      </c>
      <c r="J2293">
        <v>26</v>
      </c>
      <c r="K2293">
        <v>4716</v>
      </c>
      <c r="L2293">
        <v>10001</v>
      </c>
      <c r="M2293" t="s">
        <v>3135</v>
      </c>
      <c r="N2293">
        <v>584</v>
      </c>
      <c r="O2293" s="2">
        <v>46223</v>
      </c>
      <c r="P2293" s="2">
        <v>46329</v>
      </c>
      <c r="R2293" t="s">
        <v>3187</v>
      </c>
      <c r="S2293" t="str">
        <f>"08.0579034"</f>
        <v>08.0579034</v>
      </c>
      <c r="T2293" t="s">
        <v>41</v>
      </c>
      <c r="U2293">
        <v>369.05</v>
      </c>
      <c r="V2293">
        <v>369.05</v>
      </c>
      <c r="W2293">
        <v>369.05</v>
      </c>
      <c r="X2293">
        <v>0</v>
      </c>
      <c r="Y2293">
        <v>0</v>
      </c>
      <c r="Z2293">
        <v>-554</v>
      </c>
      <c r="AC2293" t="s">
        <v>6269</v>
      </c>
      <c r="AD2293" t="s">
        <v>6304</v>
      </c>
      <c r="AF2293" t="s">
        <v>6304</v>
      </c>
      <c r="AG2293">
        <v>75315333006735</v>
      </c>
      <c r="AH2293" t="s">
        <v>3698</v>
      </c>
    </row>
    <row r="2294" spans="1:34" x14ac:dyDescent="0.3">
      <c r="A2294">
        <v>101</v>
      </c>
      <c r="B2294" t="s">
        <v>34</v>
      </c>
      <c r="C2294">
        <v>4</v>
      </c>
      <c r="D2294" s="1" t="s">
        <v>6305</v>
      </c>
      <c r="E2294" t="s">
        <v>3134</v>
      </c>
      <c r="G2294">
        <v>11057</v>
      </c>
      <c r="H2294" t="s">
        <v>6303</v>
      </c>
      <c r="I2294" t="s">
        <v>3131</v>
      </c>
      <c r="J2294">
        <v>26</v>
      </c>
      <c r="K2294">
        <v>4716</v>
      </c>
      <c r="L2294">
        <v>10001</v>
      </c>
      <c r="M2294" t="s">
        <v>3135</v>
      </c>
      <c r="N2294">
        <v>584</v>
      </c>
      <c r="O2294" s="2">
        <v>46211</v>
      </c>
      <c r="P2294" s="2">
        <v>46329</v>
      </c>
      <c r="R2294" t="s">
        <v>3187</v>
      </c>
      <c r="S2294" t="str">
        <f>"08.0579034"</f>
        <v>08.0579034</v>
      </c>
      <c r="T2294" t="s">
        <v>41</v>
      </c>
      <c r="U2294">
        <v>2055.79</v>
      </c>
      <c r="V2294">
        <v>2055.79</v>
      </c>
      <c r="W2294">
        <v>2055.79</v>
      </c>
      <c r="X2294">
        <v>0</v>
      </c>
      <c r="Y2294">
        <v>0</v>
      </c>
      <c r="Z2294">
        <v>-554</v>
      </c>
      <c r="AA2294">
        <v>693913</v>
      </c>
      <c r="AD2294" t="s">
        <v>6304</v>
      </c>
      <c r="AF2294" t="s">
        <v>6304</v>
      </c>
      <c r="AG2294">
        <v>75315333006735</v>
      </c>
      <c r="AH2294" t="s">
        <v>3698</v>
      </c>
    </row>
    <row r="2295" spans="1:34" x14ac:dyDescent="0.3">
      <c r="A2295">
        <v>104</v>
      </c>
      <c r="B2295" t="s">
        <v>34</v>
      </c>
      <c r="C2295">
        <v>4</v>
      </c>
      <c r="D2295" s="1" t="s">
        <v>6306</v>
      </c>
      <c r="E2295" s="1" t="s">
        <v>36</v>
      </c>
      <c r="G2295">
        <v>11372</v>
      </c>
      <c r="H2295" t="s">
        <v>6307</v>
      </c>
      <c r="I2295" t="s">
        <v>3131</v>
      </c>
      <c r="J2295">
        <v>26</v>
      </c>
      <c r="K2295">
        <v>4716</v>
      </c>
      <c r="L2295">
        <v>95000</v>
      </c>
      <c r="M2295" t="s">
        <v>69</v>
      </c>
      <c r="N2295">
        <v>584</v>
      </c>
      <c r="O2295" s="2">
        <v>46233</v>
      </c>
      <c r="P2295" s="2">
        <v>46303</v>
      </c>
      <c r="R2295" t="s">
        <v>6308</v>
      </c>
      <c r="S2295" t="str">
        <f>""</f>
        <v/>
      </c>
      <c r="T2295" t="s">
        <v>41</v>
      </c>
      <c r="U2295">
        <v>46107.72</v>
      </c>
      <c r="V2295">
        <v>44493.95</v>
      </c>
      <c r="W2295">
        <v>44493.95</v>
      </c>
      <c r="X2295">
        <v>0</v>
      </c>
      <c r="Y2295">
        <v>0</v>
      </c>
      <c r="Z2295">
        <v>-528</v>
      </c>
      <c r="AA2295">
        <v>695521</v>
      </c>
      <c r="AD2295" t="s">
        <v>4751</v>
      </c>
      <c r="AE2295" t="s">
        <v>6309</v>
      </c>
      <c r="AF2295" t="s">
        <v>4751</v>
      </c>
      <c r="AG2295">
        <v>75315333001423</v>
      </c>
      <c r="AH2295" t="s">
        <v>4754</v>
      </c>
    </row>
    <row r="2296" spans="1:34" x14ac:dyDescent="0.3">
      <c r="A2296">
        <v>101</v>
      </c>
      <c r="B2296" t="s">
        <v>34</v>
      </c>
      <c r="C2296">
        <v>4</v>
      </c>
      <c r="D2296" s="1" t="s">
        <v>6310</v>
      </c>
      <c r="E2296" t="s">
        <v>3134</v>
      </c>
      <c r="G2296">
        <v>11372</v>
      </c>
      <c r="H2296" t="s">
        <v>6307</v>
      </c>
      <c r="I2296" t="s">
        <v>3131</v>
      </c>
      <c r="J2296">
        <v>26</v>
      </c>
      <c r="K2296">
        <v>4716</v>
      </c>
      <c r="L2296">
        <v>10001</v>
      </c>
      <c r="M2296" t="s">
        <v>3135</v>
      </c>
      <c r="N2296">
        <v>584</v>
      </c>
      <c r="O2296" s="2">
        <v>46172</v>
      </c>
      <c r="P2296" s="2">
        <v>46266</v>
      </c>
      <c r="R2296" t="s">
        <v>3136</v>
      </c>
      <c r="S2296" t="str">
        <f>"07.0572790"</f>
        <v>07.0572790</v>
      </c>
      <c r="T2296" t="s">
        <v>41</v>
      </c>
      <c r="U2296">
        <v>27404.880000000001</v>
      </c>
      <c r="V2296">
        <v>27404.880000000001</v>
      </c>
      <c r="W2296">
        <v>27404.880000000001</v>
      </c>
      <c r="X2296">
        <v>0</v>
      </c>
      <c r="Y2296">
        <v>0</v>
      </c>
      <c r="Z2296">
        <v>-491</v>
      </c>
      <c r="AA2296">
        <v>689368</v>
      </c>
      <c r="AD2296" t="s">
        <v>4751</v>
      </c>
      <c r="AE2296" t="s">
        <v>6309</v>
      </c>
      <c r="AF2296" t="s">
        <v>4751</v>
      </c>
      <c r="AG2296">
        <v>75315333001423</v>
      </c>
      <c r="AH2296" t="s">
        <v>4754</v>
      </c>
    </row>
    <row r="2297" spans="1:34" x14ac:dyDescent="0.3">
      <c r="A2297">
        <v>101</v>
      </c>
      <c r="B2297" t="s">
        <v>34</v>
      </c>
      <c r="C2297">
        <v>4</v>
      </c>
      <c r="D2297" s="1" t="s">
        <v>6311</v>
      </c>
      <c r="E2297" t="s">
        <v>3134</v>
      </c>
      <c r="G2297">
        <v>11373</v>
      </c>
      <c r="H2297" t="s">
        <v>6312</v>
      </c>
      <c r="I2297" t="s">
        <v>3131</v>
      </c>
      <c r="J2297">
        <v>26</v>
      </c>
      <c r="K2297">
        <v>4716</v>
      </c>
      <c r="L2297">
        <v>10001</v>
      </c>
      <c r="M2297" t="s">
        <v>3135</v>
      </c>
      <c r="N2297">
        <v>584</v>
      </c>
      <c r="O2297" s="2">
        <v>46172</v>
      </c>
      <c r="P2297" s="2">
        <v>46266</v>
      </c>
      <c r="R2297" t="s">
        <v>3136</v>
      </c>
      <c r="S2297" t="str">
        <f>"07.0572790"</f>
        <v>07.0572790</v>
      </c>
      <c r="T2297" t="s">
        <v>41</v>
      </c>
      <c r="U2297">
        <v>16410.91</v>
      </c>
      <c r="V2297">
        <v>16410.91</v>
      </c>
      <c r="W2297">
        <v>16410.91</v>
      </c>
      <c r="X2297">
        <v>0</v>
      </c>
      <c r="Y2297">
        <v>0</v>
      </c>
      <c r="Z2297">
        <v>-491</v>
      </c>
      <c r="AA2297">
        <v>689370</v>
      </c>
      <c r="AD2297" t="s">
        <v>4751</v>
      </c>
      <c r="AE2297" t="s">
        <v>6313</v>
      </c>
      <c r="AF2297" t="s">
        <v>4751</v>
      </c>
      <c r="AG2297">
        <v>75315333006140</v>
      </c>
      <c r="AH2297" t="s">
        <v>4754</v>
      </c>
    </row>
    <row r="2298" spans="1:34" x14ac:dyDescent="0.3">
      <c r="A2298">
        <v>101</v>
      </c>
      <c r="B2298" t="s">
        <v>34</v>
      </c>
      <c r="C2298">
        <v>4</v>
      </c>
      <c r="D2298" s="1" t="s">
        <v>6314</v>
      </c>
      <c r="E2298" t="s">
        <v>3134</v>
      </c>
      <c r="G2298">
        <v>11373</v>
      </c>
      <c r="H2298" t="s">
        <v>6312</v>
      </c>
      <c r="I2298" t="s">
        <v>3131</v>
      </c>
      <c r="J2298">
        <v>26</v>
      </c>
      <c r="K2298">
        <v>4716</v>
      </c>
      <c r="L2298">
        <v>10001</v>
      </c>
      <c r="M2298" t="s">
        <v>3135</v>
      </c>
      <c r="N2298">
        <v>584</v>
      </c>
      <c r="O2298" s="2">
        <v>46172</v>
      </c>
      <c r="P2298" s="2">
        <v>46266</v>
      </c>
      <c r="R2298" t="s">
        <v>3136</v>
      </c>
      <c r="S2298" t="str">
        <f>"07.0572790"</f>
        <v>07.0572790</v>
      </c>
      <c r="T2298" t="s">
        <v>41</v>
      </c>
      <c r="U2298">
        <v>22029.48</v>
      </c>
      <c r="V2298">
        <v>22029.48</v>
      </c>
      <c r="W2298">
        <v>22029.48</v>
      </c>
      <c r="X2298">
        <v>0</v>
      </c>
      <c r="Y2298">
        <v>0</v>
      </c>
      <c r="Z2298">
        <v>-491</v>
      </c>
      <c r="AA2298" t="s">
        <v>6315</v>
      </c>
      <c r="AD2298" t="s">
        <v>4751</v>
      </c>
      <c r="AE2298" t="s">
        <v>6313</v>
      </c>
      <c r="AF2298" t="s">
        <v>4751</v>
      </c>
      <c r="AG2298">
        <v>75315333006140</v>
      </c>
      <c r="AH2298" t="s">
        <v>4754</v>
      </c>
    </row>
    <row r="2299" spans="1:34" x14ac:dyDescent="0.3">
      <c r="A2299">
        <v>104</v>
      </c>
      <c r="B2299" t="s">
        <v>34</v>
      </c>
      <c r="C2299">
        <v>4</v>
      </c>
      <c r="D2299" s="1" t="s">
        <v>6316</v>
      </c>
      <c r="E2299" s="1" t="s">
        <v>36</v>
      </c>
      <c r="G2299">
        <v>11373</v>
      </c>
      <c r="H2299" t="s">
        <v>6312</v>
      </c>
      <c r="I2299" t="s">
        <v>3131</v>
      </c>
      <c r="J2299">
        <v>26</v>
      </c>
      <c r="K2299">
        <v>4716</v>
      </c>
      <c r="L2299">
        <v>95000</v>
      </c>
      <c r="M2299" t="s">
        <v>69</v>
      </c>
      <c r="N2299">
        <v>584</v>
      </c>
      <c r="O2299" s="2">
        <v>46233</v>
      </c>
      <c r="P2299" s="2">
        <v>46303</v>
      </c>
      <c r="R2299" t="s">
        <v>6317</v>
      </c>
      <c r="S2299" t="str">
        <f>""</f>
        <v/>
      </c>
      <c r="T2299" t="s">
        <v>41</v>
      </c>
      <c r="U2299">
        <v>24485.93</v>
      </c>
      <c r="V2299">
        <v>23628.92</v>
      </c>
      <c r="W2299">
        <v>23628.92</v>
      </c>
      <c r="X2299">
        <v>0</v>
      </c>
      <c r="Y2299">
        <v>0</v>
      </c>
      <c r="Z2299">
        <v>-528</v>
      </c>
      <c r="AA2299">
        <v>695523</v>
      </c>
      <c r="AD2299" t="s">
        <v>4751</v>
      </c>
      <c r="AE2299" t="s">
        <v>6313</v>
      </c>
      <c r="AF2299" t="s">
        <v>4751</v>
      </c>
      <c r="AG2299">
        <v>75315333006140</v>
      </c>
      <c r="AH2299" t="s">
        <v>4754</v>
      </c>
    </row>
    <row r="2300" spans="1:34" x14ac:dyDescent="0.3">
      <c r="A2300">
        <v>101</v>
      </c>
      <c r="B2300" t="s">
        <v>34</v>
      </c>
      <c r="C2300">
        <v>4</v>
      </c>
      <c r="D2300" s="1" t="s">
        <v>6318</v>
      </c>
      <c r="E2300" t="s">
        <v>3134</v>
      </c>
      <c r="G2300">
        <v>11468</v>
      </c>
      <c r="H2300" t="s">
        <v>6319</v>
      </c>
      <c r="I2300" t="s">
        <v>3131</v>
      </c>
      <c r="J2300">
        <v>26</v>
      </c>
      <c r="K2300">
        <v>4716</v>
      </c>
      <c r="L2300">
        <v>10001</v>
      </c>
      <c r="M2300" t="s">
        <v>3135</v>
      </c>
      <c r="N2300">
        <v>584</v>
      </c>
      <c r="O2300" s="2">
        <v>46160</v>
      </c>
      <c r="P2300" s="2">
        <v>46266</v>
      </c>
      <c r="R2300" t="s">
        <v>3136</v>
      </c>
      <c r="S2300" t="str">
        <f>"07.0572790"</f>
        <v>07.0572790</v>
      </c>
      <c r="T2300" t="s">
        <v>41</v>
      </c>
      <c r="U2300">
        <v>55566.39</v>
      </c>
      <c r="V2300">
        <v>55566.39</v>
      </c>
      <c r="W2300">
        <v>55566.39</v>
      </c>
      <c r="X2300">
        <v>0</v>
      </c>
      <c r="Y2300">
        <v>0</v>
      </c>
      <c r="Z2300">
        <v>-491</v>
      </c>
      <c r="AA2300">
        <v>688509</v>
      </c>
      <c r="AD2300" t="s">
        <v>6320</v>
      </c>
      <c r="AE2300" t="s">
        <v>6321</v>
      </c>
      <c r="AF2300" t="s">
        <v>64</v>
      </c>
      <c r="AG2300">
        <v>75315333008274</v>
      </c>
      <c r="AH2300" t="s">
        <v>44</v>
      </c>
    </row>
    <row r="2301" spans="1:34" x14ac:dyDescent="0.3">
      <c r="A2301">
        <v>101</v>
      </c>
      <c r="B2301" t="s">
        <v>34</v>
      </c>
      <c r="C2301">
        <v>4</v>
      </c>
      <c r="D2301" s="1" t="s">
        <v>6322</v>
      </c>
      <c r="E2301" t="s">
        <v>3134</v>
      </c>
      <c r="G2301">
        <v>11468</v>
      </c>
      <c r="H2301" t="s">
        <v>6319</v>
      </c>
      <c r="I2301" t="s">
        <v>3131</v>
      </c>
      <c r="J2301">
        <v>26</v>
      </c>
      <c r="K2301">
        <v>4716</v>
      </c>
      <c r="L2301">
        <v>10001</v>
      </c>
      <c r="M2301" t="s">
        <v>3135</v>
      </c>
      <c r="N2301">
        <v>584</v>
      </c>
      <c r="O2301" s="2">
        <v>46183</v>
      </c>
      <c r="P2301" s="2">
        <v>46296</v>
      </c>
      <c r="R2301" t="s">
        <v>3144</v>
      </c>
      <c r="S2301" t="str">
        <f>"07.0574661"</f>
        <v>07.0574661</v>
      </c>
      <c r="T2301" t="s">
        <v>41</v>
      </c>
      <c r="U2301">
        <v>3057.12</v>
      </c>
      <c r="V2301">
        <v>3057.12</v>
      </c>
      <c r="W2301">
        <v>3057.12</v>
      </c>
      <c r="X2301">
        <v>0</v>
      </c>
      <c r="Y2301">
        <v>0</v>
      </c>
      <c r="Z2301">
        <v>-521</v>
      </c>
      <c r="AA2301">
        <v>688509</v>
      </c>
      <c r="AD2301" t="s">
        <v>6320</v>
      </c>
      <c r="AE2301" t="s">
        <v>6321</v>
      </c>
      <c r="AF2301" t="s">
        <v>64</v>
      </c>
      <c r="AG2301">
        <v>75315333008274</v>
      </c>
      <c r="AH2301" t="s">
        <v>44</v>
      </c>
    </row>
    <row r="2302" spans="1:34" x14ac:dyDescent="0.3">
      <c r="A2302">
        <v>104</v>
      </c>
      <c r="B2302" t="s">
        <v>34</v>
      </c>
      <c r="C2302">
        <v>4</v>
      </c>
      <c r="D2302" s="1" t="s">
        <v>6323</v>
      </c>
      <c r="E2302" s="1" t="s">
        <v>36</v>
      </c>
      <c r="G2302">
        <v>11468</v>
      </c>
      <c r="H2302" t="s">
        <v>6319</v>
      </c>
      <c r="I2302" t="s">
        <v>3131</v>
      </c>
      <c r="J2302">
        <v>26</v>
      </c>
      <c r="K2302">
        <v>4716</v>
      </c>
      <c r="L2302">
        <v>95000</v>
      </c>
      <c r="M2302" t="s">
        <v>69</v>
      </c>
      <c r="N2302">
        <v>584</v>
      </c>
      <c r="O2302" s="2">
        <v>46251</v>
      </c>
      <c r="P2302" s="2">
        <v>46321</v>
      </c>
      <c r="R2302" t="s">
        <v>6324</v>
      </c>
      <c r="S2302" t="str">
        <f>""</f>
        <v/>
      </c>
      <c r="T2302" t="s">
        <v>41</v>
      </c>
      <c r="U2302">
        <v>54360.93</v>
      </c>
      <c r="V2302">
        <v>50283.86</v>
      </c>
      <c r="W2302">
        <v>50283.86</v>
      </c>
      <c r="X2302">
        <v>0</v>
      </c>
      <c r="Y2302">
        <v>0</v>
      </c>
      <c r="Z2302">
        <v>-546</v>
      </c>
      <c r="AA2302">
        <v>696851</v>
      </c>
      <c r="AD2302" t="s">
        <v>6320</v>
      </c>
      <c r="AE2302" t="s">
        <v>6321</v>
      </c>
      <c r="AF2302" t="s">
        <v>64</v>
      </c>
      <c r="AG2302">
        <v>75315333008274</v>
      </c>
      <c r="AH2302" t="s">
        <v>44</v>
      </c>
    </row>
    <row r="2303" spans="1:34" x14ac:dyDescent="0.3">
      <c r="A2303">
        <v>104</v>
      </c>
      <c r="B2303" t="s">
        <v>34</v>
      </c>
      <c r="C2303">
        <v>4</v>
      </c>
      <c r="D2303" s="1" t="s">
        <v>6325</v>
      </c>
      <c r="E2303" s="1" t="s">
        <v>36</v>
      </c>
      <c r="G2303">
        <v>12155</v>
      </c>
      <c r="H2303" t="s">
        <v>6326</v>
      </c>
      <c r="I2303" t="s">
        <v>3131</v>
      </c>
      <c r="J2303">
        <v>26</v>
      </c>
      <c r="K2303">
        <v>4716</v>
      </c>
      <c r="L2303">
        <v>95000</v>
      </c>
      <c r="M2303" t="s">
        <v>69</v>
      </c>
      <c r="N2303">
        <v>584</v>
      </c>
      <c r="O2303" s="2">
        <v>46234</v>
      </c>
      <c r="P2303" s="2">
        <v>46329</v>
      </c>
      <c r="R2303" t="s">
        <v>6327</v>
      </c>
      <c r="S2303" t="str">
        <f>""</f>
        <v/>
      </c>
      <c r="T2303" t="s">
        <v>41</v>
      </c>
      <c r="U2303">
        <v>7309</v>
      </c>
      <c r="V2303">
        <v>6760.83</v>
      </c>
      <c r="W2303">
        <v>6760.83</v>
      </c>
      <c r="X2303">
        <v>0</v>
      </c>
      <c r="Y2303">
        <v>0</v>
      </c>
      <c r="Z2303">
        <v>-554</v>
      </c>
      <c r="AA2303">
        <v>695525</v>
      </c>
      <c r="AD2303" t="s">
        <v>2750</v>
      </c>
      <c r="AE2303" t="s">
        <v>6328</v>
      </c>
      <c r="AF2303" t="s">
        <v>64</v>
      </c>
      <c r="AG2303">
        <v>75315333010171</v>
      </c>
      <c r="AH2303" t="s">
        <v>44</v>
      </c>
    </row>
    <row r="2304" spans="1:34" x14ac:dyDescent="0.3">
      <c r="A2304">
        <v>101</v>
      </c>
      <c r="B2304" t="s">
        <v>34</v>
      </c>
      <c r="C2304">
        <v>4</v>
      </c>
      <c r="D2304" s="1" t="s">
        <v>6329</v>
      </c>
      <c r="E2304" t="s">
        <v>3134</v>
      </c>
      <c r="G2304">
        <v>12155</v>
      </c>
      <c r="H2304" t="s">
        <v>6326</v>
      </c>
      <c r="I2304" t="s">
        <v>3131</v>
      </c>
      <c r="J2304">
        <v>26</v>
      </c>
      <c r="K2304">
        <v>4716</v>
      </c>
      <c r="L2304">
        <v>10001</v>
      </c>
      <c r="M2304" t="s">
        <v>3135</v>
      </c>
      <c r="N2304">
        <v>584</v>
      </c>
      <c r="O2304" s="2">
        <v>46172</v>
      </c>
      <c r="P2304" s="2">
        <v>46266</v>
      </c>
      <c r="R2304" t="s">
        <v>3179</v>
      </c>
      <c r="S2304" t="str">
        <f>"08.0576919"</f>
        <v>08.0576919</v>
      </c>
      <c r="T2304" t="s">
        <v>41</v>
      </c>
      <c r="U2304">
        <v>13521.65</v>
      </c>
      <c r="V2304">
        <v>13521.65</v>
      </c>
      <c r="W2304">
        <v>13521.65</v>
      </c>
      <c r="X2304">
        <v>0</v>
      </c>
      <c r="Y2304">
        <v>0</v>
      </c>
      <c r="Z2304">
        <v>-491</v>
      </c>
      <c r="AA2304">
        <v>689372</v>
      </c>
      <c r="AD2304" t="s">
        <v>2750</v>
      </c>
      <c r="AE2304" t="s">
        <v>6328</v>
      </c>
      <c r="AF2304" t="s">
        <v>64</v>
      </c>
      <c r="AG2304">
        <v>75315333010171</v>
      </c>
      <c r="AH2304" t="s">
        <v>44</v>
      </c>
    </row>
    <row r="2305" spans="1:34" x14ac:dyDescent="0.3">
      <c r="A2305">
        <v>104</v>
      </c>
      <c r="B2305" t="s">
        <v>34</v>
      </c>
      <c r="C2305">
        <v>4</v>
      </c>
      <c r="D2305" s="1" t="s">
        <v>6330</v>
      </c>
      <c r="E2305" s="1" t="s">
        <v>36</v>
      </c>
      <c r="G2305">
        <v>12189</v>
      </c>
      <c r="H2305" t="s">
        <v>6331</v>
      </c>
      <c r="I2305" t="s">
        <v>3131</v>
      </c>
      <c r="J2305">
        <v>26</v>
      </c>
      <c r="K2305">
        <v>4716</v>
      </c>
      <c r="L2305">
        <v>95000</v>
      </c>
      <c r="M2305" t="s">
        <v>69</v>
      </c>
      <c r="N2305">
        <v>584</v>
      </c>
      <c r="O2305" s="2">
        <v>46251</v>
      </c>
      <c r="P2305" s="2">
        <v>46321</v>
      </c>
      <c r="R2305" t="s">
        <v>6332</v>
      </c>
      <c r="S2305" t="str">
        <f>""</f>
        <v/>
      </c>
      <c r="T2305" t="s">
        <v>41</v>
      </c>
      <c r="U2305">
        <v>28267.79</v>
      </c>
      <c r="V2305">
        <v>26147.71</v>
      </c>
      <c r="W2305">
        <v>26147.71</v>
      </c>
      <c r="X2305">
        <v>0</v>
      </c>
      <c r="Y2305">
        <v>0</v>
      </c>
      <c r="Z2305">
        <v>-546</v>
      </c>
      <c r="AA2305">
        <v>696849</v>
      </c>
      <c r="AD2305" t="s">
        <v>4310</v>
      </c>
      <c r="AE2305" t="s">
        <v>6333</v>
      </c>
      <c r="AF2305" t="s">
        <v>64</v>
      </c>
      <c r="AG2305">
        <v>75315333008002</v>
      </c>
      <c r="AH2305" t="s">
        <v>44</v>
      </c>
    </row>
    <row r="2306" spans="1:34" x14ac:dyDescent="0.3">
      <c r="A2306">
        <v>101</v>
      </c>
      <c r="B2306" t="s">
        <v>34</v>
      </c>
      <c r="C2306">
        <v>4</v>
      </c>
      <c r="D2306" s="1" t="s">
        <v>6334</v>
      </c>
      <c r="E2306" t="s">
        <v>3134</v>
      </c>
      <c r="G2306">
        <v>12189</v>
      </c>
      <c r="H2306" t="s">
        <v>6331</v>
      </c>
      <c r="I2306" t="s">
        <v>3131</v>
      </c>
      <c r="J2306">
        <v>26</v>
      </c>
      <c r="K2306">
        <v>4716</v>
      </c>
      <c r="L2306">
        <v>10001</v>
      </c>
      <c r="M2306" t="s">
        <v>3135</v>
      </c>
      <c r="N2306">
        <v>584</v>
      </c>
      <c r="O2306" s="2">
        <v>46183</v>
      </c>
      <c r="P2306" s="2">
        <v>46281</v>
      </c>
      <c r="R2306" t="s">
        <v>3144</v>
      </c>
      <c r="S2306" t="str">
        <f t="shared" ref="S2306:S2313" si="2">"07.0574661"</f>
        <v>07.0574661</v>
      </c>
      <c r="T2306" t="s">
        <v>41</v>
      </c>
      <c r="U2306">
        <v>3057.12</v>
      </c>
      <c r="V2306">
        <v>3057.12</v>
      </c>
      <c r="W2306">
        <v>3057.12</v>
      </c>
      <c r="X2306">
        <v>0</v>
      </c>
      <c r="Y2306">
        <v>0</v>
      </c>
      <c r="Z2306">
        <v>-506</v>
      </c>
      <c r="AA2306">
        <v>688507</v>
      </c>
      <c r="AD2306" t="s">
        <v>4310</v>
      </c>
      <c r="AE2306" t="s">
        <v>6333</v>
      </c>
      <c r="AF2306" t="s">
        <v>64</v>
      </c>
      <c r="AG2306">
        <v>75315333008002</v>
      </c>
      <c r="AH2306" t="s">
        <v>44</v>
      </c>
    </row>
    <row r="2307" spans="1:34" x14ac:dyDescent="0.3">
      <c r="A2307">
        <v>101</v>
      </c>
      <c r="B2307" t="s">
        <v>34</v>
      </c>
      <c r="C2307">
        <v>4</v>
      </c>
      <c r="D2307" s="1" t="s">
        <v>6335</v>
      </c>
      <c r="E2307" t="s">
        <v>3134</v>
      </c>
      <c r="G2307">
        <v>12601</v>
      </c>
      <c r="H2307" t="s">
        <v>6336</v>
      </c>
      <c r="I2307" t="s">
        <v>3131</v>
      </c>
      <c r="J2307">
        <v>26</v>
      </c>
      <c r="K2307">
        <v>4716</v>
      </c>
      <c r="L2307">
        <v>10001</v>
      </c>
      <c r="M2307" t="s">
        <v>3135</v>
      </c>
      <c r="N2307">
        <v>584</v>
      </c>
      <c r="O2307" s="2">
        <v>46183</v>
      </c>
      <c r="P2307" s="2">
        <v>46281</v>
      </c>
      <c r="R2307" t="s">
        <v>3144</v>
      </c>
      <c r="S2307" t="str">
        <f t="shared" si="2"/>
        <v>07.0574661</v>
      </c>
      <c r="T2307" t="s">
        <v>41</v>
      </c>
      <c r="U2307">
        <v>3057.12</v>
      </c>
      <c r="V2307">
        <v>3057.12</v>
      </c>
      <c r="W2307">
        <v>3057.12</v>
      </c>
      <c r="X2307">
        <v>0</v>
      </c>
      <c r="Y2307">
        <v>0</v>
      </c>
      <c r="Z2307">
        <v>-506</v>
      </c>
      <c r="AA2307">
        <v>688511</v>
      </c>
      <c r="AD2307" t="s">
        <v>5008</v>
      </c>
      <c r="AE2307" t="s">
        <v>6337</v>
      </c>
      <c r="AF2307" t="s">
        <v>64</v>
      </c>
      <c r="AG2307">
        <v>75315333012620</v>
      </c>
      <c r="AH2307" t="s">
        <v>44</v>
      </c>
    </row>
    <row r="2308" spans="1:34" x14ac:dyDescent="0.3">
      <c r="A2308">
        <v>101</v>
      </c>
      <c r="B2308" t="s">
        <v>34</v>
      </c>
      <c r="C2308">
        <v>4</v>
      </c>
      <c r="D2308" s="1" t="s">
        <v>6338</v>
      </c>
      <c r="E2308" t="s">
        <v>3134</v>
      </c>
      <c r="G2308">
        <v>12641</v>
      </c>
      <c r="H2308" t="s">
        <v>6339</v>
      </c>
      <c r="I2308" t="s">
        <v>3131</v>
      </c>
      <c r="J2308">
        <v>26</v>
      </c>
      <c r="K2308">
        <v>4716</v>
      </c>
      <c r="L2308">
        <v>10001</v>
      </c>
      <c r="M2308" t="s">
        <v>3135</v>
      </c>
      <c r="N2308">
        <v>584</v>
      </c>
      <c r="O2308" s="2">
        <v>46190</v>
      </c>
      <c r="P2308" s="2">
        <v>46281</v>
      </c>
      <c r="R2308" t="s">
        <v>3144</v>
      </c>
      <c r="S2308" t="str">
        <f t="shared" si="2"/>
        <v>07.0574661</v>
      </c>
      <c r="T2308" t="s">
        <v>41</v>
      </c>
      <c r="U2308">
        <v>9585.2800000000007</v>
      </c>
      <c r="V2308">
        <v>9585.2800000000007</v>
      </c>
      <c r="W2308">
        <v>9585.2800000000007</v>
      </c>
      <c r="X2308">
        <v>0</v>
      </c>
      <c r="Y2308">
        <v>0</v>
      </c>
      <c r="Z2308">
        <v>-506</v>
      </c>
      <c r="AA2308">
        <v>691605</v>
      </c>
      <c r="AD2308" t="s">
        <v>6340</v>
      </c>
      <c r="AE2308" t="s">
        <v>6341</v>
      </c>
      <c r="AF2308" t="s">
        <v>64</v>
      </c>
      <c r="AG2308">
        <v>75315333012387</v>
      </c>
      <c r="AH2308" t="s">
        <v>44</v>
      </c>
    </row>
    <row r="2309" spans="1:34" x14ac:dyDescent="0.3">
      <c r="A2309">
        <v>101</v>
      </c>
      <c r="B2309" t="s">
        <v>34</v>
      </c>
      <c r="C2309">
        <v>4</v>
      </c>
      <c r="D2309" s="1" t="s">
        <v>6342</v>
      </c>
      <c r="E2309" t="s">
        <v>3134</v>
      </c>
      <c r="G2309">
        <v>12641</v>
      </c>
      <c r="H2309" t="s">
        <v>6339</v>
      </c>
      <c r="I2309" t="s">
        <v>3131</v>
      </c>
      <c r="J2309">
        <v>26</v>
      </c>
      <c r="K2309">
        <v>4716</v>
      </c>
      <c r="L2309">
        <v>10001</v>
      </c>
      <c r="M2309" t="s">
        <v>3135</v>
      </c>
      <c r="N2309">
        <v>584</v>
      </c>
      <c r="O2309" s="2">
        <v>46190</v>
      </c>
      <c r="P2309" s="2">
        <v>46281</v>
      </c>
      <c r="R2309" t="s">
        <v>3144</v>
      </c>
      <c r="S2309" t="str">
        <f t="shared" si="2"/>
        <v>07.0574661</v>
      </c>
      <c r="T2309" t="s">
        <v>41</v>
      </c>
      <c r="U2309">
        <v>636.9</v>
      </c>
      <c r="V2309">
        <v>636.9</v>
      </c>
      <c r="W2309">
        <v>636.9</v>
      </c>
      <c r="X2309">
        <v>0</v>
      </c>
      <c r="Y2309">
        <v>0</v>
      </c>
      <c r="Z2309">
        <v>-506</v>
      </c>
      <c r="AA2309">
        <v>691663</v>
      </c>
      <c r="AD2309" t="s">
        <v>6340</v>
      </c>
      <c r="AE2309" t="s">
        <v>6341</v>
      </c>
      <c r="AF2309" t="s">
        <v>64</v>
      </c>
      <c r="AG2309">
        <v>75315333012387</v>
      </c>
      <c r="AH2309" t="s">
        <v>44</v>
      </c>
    </row>
    <row r="2310" spans="1:34" x14ac:dyDescent="0.3">
      <c r="A2310">
        <v>101</v>
      </c>
      <c r="B2310" t="s">
        <v>34</v>
      </c>
      <c r="C2310">
        <v>4</v>
      </c>
      <c r="D2310" s="1" t="s">
        <v>6343</v>
      </c>
      <c r="E2310" t="s">
        <v>3134</v>
      </c>
      <c r="G2310">
        <v>12779</v>
      </c>
      <c r="H2310" t="s">
        <v>6344</v>
      </c>
      <c r="I2310" t="s">
        <v>3131</v>
      </c>
      <c r="J2310">
        <v>26</v>
      </c>
      <c r="K2310">
        <v>4716</v>
      </c>
      <c r="L2310">
        <v>10001</v>
      </c>
      <c r="M2310" t="s">
        <v>3135</v>
      </c>
      <c r="N2310">
        <v>584</v>
      </c>
      <c r="O2310" s="2">
        <v>46190</v>
      </c>
      <c r="P2310" s="2">
        <v>46281</v>
      </c>
      <c r="R2310" t="s">
        <v>3144</v>
      </c>
      <c r="S2310" t="str">
        <f t="shared" si="2"/>
        <v>07.0574661</v>
      </c>
      <c r="T2310" t="s">
        <v>41</v>
      </c>
      <c r="U2310">
        <v>21408.21</v>
      </c>
      <c r="V2310">
        <v>21408.21</v>
      </c>
      <c r="W2310">
        <v>21408.21</v>
      </c>
      <c r="X2310">
        <v>0</v>
      </c>
      <c r="Y2310">
        <v>0</v>
      </c>
      <c r="Z2310">
        <v>-506</v>
      </c>
      <c r="AA2310">
        <v>691603</v>
      </c>
      <c r="AD2310" t="s">
        <v>6345</v>
      </c>
      <c r="AF2310" t="s">
        <v>64</v>
      </c>
      <c r="AG2310">
        <v>75315333012204</v>
      </c>
      <c r="AH2310" t="s">
        <v>44</v>
      </c>
    </row>
    <row r="2311" spans="1:34" x14ac:dyDescent="0.3">
      <c r="A2311">
        <v>101</v>
      </c>
      <c r="B2311" t="s">
        <v>34</v>
      </c>
      <c r="C2311">
        <v>4</v>
      </c>
      <c r="D2311" s="1" t="s">
        <v>6346</v>
      </c>
      <c r="E2311" t="s">
        <v>3134</v>
      </c>
      <c r="G2311">
        <v>12779</v>
      </c>
      <c r="H2311" t="s">
        <v>6344</v>
      </c>
      <c r="I2311" t="s">
        <v>3131</v>
      </c>
      <c r="J2311">
        <v>26</v>
      </c>
      <c r="K2311">
        <v>4716</v>
      </c>
      <c r="L2311">
        <v>10001</v>
      </c>
      <c r="M2311" t="s">
        <v>3135</v>
      </c>
      <c r="N2311">
        <v>584</v>
      </c>
      <c r="O2311" s="2">
        <v>46190</v>
      </c>
      <c r="P2311" s="2">
        <v>46281</v>
      </c>
      <c r="R2311" t="s">
        <v>3144</v>
      </c>
      <c r="S2311" t="str">
        <f t="shared" si="2"/>
        <v>07.0574661</v>
      </c>
      <c r="T2311" t="s">
        <v>41</v>
      </c>
      <c r="U2311">
        <v>636.9</v>
      </c>
      <c r="V2311">
        <v>636.9</v>
      </c>
      <c r="W2311">
        <v>636.9</v>
      </c>
      <c r="X2311">
        <v>0</v>
      </c>
      <c r="Y2311">
        <v>0</v>
      </c>
      <c r="Z2311">
        <v>-506</v>
      </c>
      <c r="AA2311">
        <v>691661</v>
      </c>
      <c r="AD2311" t="s">
        <v>6345</v>
      </c>
      <c r="AF2311" t="s">
        <v>64</v>
      </c>
      <c r="AG2311">
        <v>75315333012204</v>
      </c>
      <c r="AH2311" t="s">
        <v>44</v>
      </c>
    </row>
    <row r="2312" spans="1:34" x14ac:dyDescent="0.3">
      <c r="A2312">
        <v>101</v>
      </c>
      <c r="B2312" t="s">
        <v>34</v>
      </c>
      <c r="C2312">
        <v>4</v>
      </c>
      <c r="D2312" s="1" t="s">
        <v>6347</v>
      </c>
      <c r="E2312" t="s">
        <v>3134</v>
      </c>
      <c r="G2312">
        <v>12780</v>
      </c>
      <c r="H2312" t="s">
        <v>6348</v>
      </c>
      <c r="I2312" t="s">
        <v>3131</v>
      </c>
      <c r="J2312">
        <v>26</v>
      </c>
      <c r="K2312">
        <v>4716</v>
      </c>
      <c r="L2312">
        <v>10001</v>
      </c>
      <c r="M2312" t="s">
        <v>3135</v>
      </c>
      <c r="N2312">
        <v>584</v>
      </c>
      <c r="O2312" s="2">
        <v>46190</v>
      </c>
      <c r="P2312" s="2">
        <v>46281</v>
      </c>
      <c r="R2312" t="s">
        <v>3144</v>
      </c>
      <c r="S2312" t="str">
        <f t="shared" si="2"/>
        <v>07.0574661</v>
      </c>
      <c r="T2312" t="s">
        <v>41</v>
      </c>
      <c r="U2312">
        <v>3886.86</v>
      </c>
      <c r="V2312">
        <v>3886.86</v>
      </c>
      <c r="W2312">
        <v>3886.86</v>
      </c>
      <c r="X2312">
        <v>0</v>
      </c>
      <c r="Y2312">
        <v>0</v>
      </c>
      <c r="Z2312">
        <v>-506</v>
      </c>
      <c r="AA2312">
        <v>691607</v>
      </c>
      <c r="AD2312" t="s">
        <v>6349</v>
      </c>
      <c r="AF2312" t="s">
        <v>64</v>
      </c>
      <c r="AG2312">
        <v>75315333013278</v>
      </c>
      <c r="AH2312" t="s">
        <v>44</v>
      </c>
    </row>
    <row r="2313" spans="1:34" x14ac:dyDescent="0.3">
      <c r="A2313">
        <v>101</v>
      </c>
      <c r="B2313" t="s">
        <v>34</v>
      </c>
      <c r="C2313">
        <v>4</v>
      </c>
      <c r="D2313" s="1" t="s">
        <v>6350</v>
      </c>
      <c r="E2313" t="s">
        <v>3134</v>
      </c>
      <c r="G2313">
        <v>12780</v>
      </c>
      <c r="H2313" t="s">
        <v>6348</v>
      </c>
      <c r="I2313" t="s">
        <v>3131</v>
      </c>
      <c r="J2313">
        <v>26</v>
      </c>
      <c r="K2313">
        <v>4716</v>
      </c>
      <c r="L2313">
        <v>10001</v>
      </c>
      <c r="M2313" t="s">
        <v>3135</v>
      </c>
      <c r="N2313">
        <v>584</v>
      </c>
      <c r="O2313" s="2">
        <v>46190</v>
      </c>
      <c r="P2313" s="2">
        <v>46281</v>
      </c>
      <c r="R2313" t="s">
        <v>3144</v>
      </c>
      <c r="S2313" t="str">
        <f t="shared" si="2"/>
        <v>07.0574661</v>
      </c>
      <c r="T2313" t="s">
        <v>41</v>
      </c>
      <c r="U2313">
        <v>636.9</v>
      </c>
      <c r="V2313">
        <v>636.9</v>
      </c>
      <c r="W2313">
        <v>636.9</v>
      </c>
      <c r="X2313">
        <v>0</v>
      </c>
      <c r="Y2313">
        <v>0</v>
      </c>
      <c r="Z2313">
        <v>-506</v>
      </c>
      <c r="AA2313">
        <v>691665</v>
      </c>
      <c r="AD2313" t="s">
        <v>6349</v>
      </c>
      <c r="AF2313" t="s">
        <v>64</v>
      </c>
      <c r="AG2313">
        <v>75315333013278</v>
      </c>
      <c r="AH2313" t="s">
        <v>44</v>
      </c>
    </row>
    <row r="2314" spans="1:34" x14ac:dyDescent="0.3">
      <c r="A2314">
        <v>104</v>
      </c>
      <c r="B2314" t="s">
        <v>34</v>
      </c>
      <c r="C2314">
        <v>4</v>
      </c>
      <c r="D2314" s="1" t="s">
        <v>6351</v>
      </c>
      <c r="E2314" s="1" t="s">
        <v>36</v>
      </c>
      <c r="G2314">
        <v>12781</v>
      </c>
      <c r="H2314" t="s">
        <v>6352</v>
      </c>
      <c r="I2314" t="s">
        <v>3131</v>
      </c>
      <c r="J2314">
        <v>26</v>
      </c>
      <c r="K2314">
        <v>4716</v>
      </c>
      <c r="L2314">
        <v>95000</v>
      </c>
      <c r="M2314" t="s">
        <v>69</v>
      </c>
      <c r="N2314">
        <v>584</v>
      </c>
      <c r="O2314" s="2">
        <v>46238</v>
      </c>
      <c r="P2314" s="2">
        <v>46328</v>
      </c>
      <c r="R2314" t="s">
        <v>6353</v>
      </c>
      <c r="S2314" t="str">
        <f>""</f>
        <v/>
      </c>
      <c r="T2314" t="s">
        <v>41</v>
      </c>
      <c r="U2314">
        <v>4766.28</v>
      </c>
      <c r="V2314">
        <v>4599.46</v>
      </c>
      <c r="W2314">
        <v>4599.46</v>
      </c>
      <c r="X2314">
        <v>0</v>
      </c>
      <c r="Y2314">
        <v>0</v>
      </c>
      <c r="Z2314">
        <v>-553</v>
      </c>
      <c r="AA2314">
        <v>696115</v>
      </c>
      <c r="AD2314" t="s">
        <v>5981</v>
      </c>
      <c r="AF2314" t="s">
        <v>64</v>
      </c>
      <c r="AG2314">
        <v>75315333013510</v>
      </c>
      <c r="AH2314" t="s">
        <v>44</v>
      </c>
    </row>
    <row r="2315" spans="1:34" x14ac:dyDescent="0.3">
      <c r="A2315">
        <v>101</v>
      </c>
      <c r="B2315" t="s">
        <v>34</v>
      </c>
      <c r="C2315">
        <v>4</v>
      </c>
      <c r="D2315" s="1" t="s">
        <v>6354</v>
      </c>
      <c r="E2315" t="s">
        <v>3134</v>
      </c>
      <c r="G2315">
        <v>12821</v>
      </c>
      <c r="H2315" t="s">
        <v>6355</v>
      </c>
      <c r="I2315" t="s">
        <v>3131</v>
      </c>
      <c r="J2315">
        <v>26</v>
      </c>
      <c r="K2315">
        <v>4716</v>
      </c>
      <c r="L2315">
        <v>10001</v>
      </c>
      <c r="M2315" t="s">
        <v>3135</v>
      </c>
      <c r="N2315">
        <v>584</v>
      </c>
      <c r="O2315" s="2">
        <v>46190</v>
      </c>
      <c r="P2315" s="2">
        <v>46296</v>
      </c>
      <c r="R2315" t="s">
        <v>3144</v>
      </c>
      <c r="S2315" t="str">
        <f>"07.0574661"</f>
        <v>07.0574661</v>
      </c>
      <c r="T2315" t="s">
        <v>41</v>
      </c>
      <c r="U2315">
        <v>636.9</v>
      </c>
      <c r="V2315">
        <v>636.9</v>
      </c>
      <c r="W2315">
        <v>636.9</v>
      </c>
      <c r="X2315">
        <v>0</v>
      </c>
      <c r="Y2315">
        <v>0</v>
      </c>
      <c r="Z2315">
        <v>-521</v>
      </c>
      <c r="AA2315">
        <v>691655</v>
      </c>
      <c r="AD2315" t="s">
        <v>6356</v>
      </c>
      <c r="AF2315" t="s">
        <v>64</v>
      </c>
      <c r="AG2315">
        <v>75315333008860</v>
      </c>
      <c r="AH2315" t="s">
        <v>44</v>
      </c>
    </row>
    <row r="2316" spans="1:34" x14ac:dyDescent="0.3">
      <c r="A2316">
        <v>101</v>
      </c>
      <c r="B2316" t="s">
        <v>34</v>
      </c>
      <c r="C2316">
        <v>4</v>
      </c>
      <c r="D2316" s="1" t="s">
        <v>6357</v>
      </c>
      <c r="E2316" t="s">
        <v>3134</v>
      </c>
      <c r="G2316">
        <v>12821</v>
      </c>
      <c r="H2316" t="s">
        <v>6355</v>
      </c>
      <c r="I2316" t="s">
        <v>3131</v>
      </c>
      <c r="J2316">
        <v>26</v>
      </c>
      <c r="K2316">
        <v>4716</v>
      </c>
      <c r="L2316">
        <v>10001</v>
      </c>
      <c r="M2316" t="s">
        <v>3135</v>
      </c>
      <c r="N2316">
        <v>584</v>
      </c>
      <c r="O2316" s="2">
        <v>46190</v>
      </c>
      <c r="P2316" s="2">
        <v>46296</v>
      </c>
      <c r="R2316" t="s">
        <v>3144</v>
      </c>
      <c r="S2316" t="str">
        <f>"07.0574661"</f>
        <v>07.0574661</v>
      </c>
      <c r="T2316" t="s">
        <v>41</v>
      </c>
      <c r="U2316">
        <v>14271.89</v>
      </c>
      <c r="V2316">
        <v>14271.89</v>
      </c>
      <c r="W2316">
        <v>14271.89</v>
      </c>
      <c r="X2316">
        <v>0</v>
      </c>
      <c r="Y2316">
        <v>0</v>
      </c>
      <c r="Z2316">
        <v>-521</v>
      </c>
      <c r="AA2316">
        <v>691597</v>
      </c>
      <c r="AD2316" t="s">
        <v>6356</v>
      </c>
      <c r="AF2316" t="s">
        <v>64</v>
      </c>
      <c r="AG2316">
        <v>75315333008860</v>
      </c>
      <c r="AH2316" t="s">
        <v>44</v>
      </c>
    </row>
    <row r="2317" spans="1:34" x14ac:dyDescent="0.3">
      <c r="A2317">
        <v>104</v>
      </c>
      <c r="B2317" t="s">
        <v>34</v>
      </c>
      <c r="C2317">
        <v>4</v>
      </c>
      <c r="D2317" s="1" t="s">
        <v>6358</v>
      </c>
      <c r="E2317" s="1" t="s">
        <v>36</v>
      </c>
      <c r="G2317">
        <v>12822</v>
      </c>
      <c r="H2317" t="s">
        <v>6359</v>
      </c>
      <c r="I2317" t="s">
        <v>3131</v>
      </c>
      <c r="J2317">
        <v>26</v>
      </c>
      <c r="K2317">
        <v>4716</v>
      </c>
      <c r="L2317">
        <v>95000</v>
      </c>
      <c r="M2317" t="s">
        <v>69</v>
      </c>
      <c r="N2317">
        <v>584</v>
      </c>
      <c r="O2317" s="2">
        <v>46211</v>
      </c>
      <c r="P2317" s="2">
        <v>46328</v>
      </c>
      <c r="R2317" t="s">
        <v>6360</v>
      </c>
      <c r="S2317" t="str">
        <f>""</f>
        <v/>
      </c>
      <c r="T2317" t="s">
        <v>41</v>
      </c>
      <c r="U2317">
        <v>36249.769999999997</v>
      </c>
      <c r="V2317">
        <v>34981.03</v>
      </c>
      <c r="W2317">
        <v>34981.03</v>
      </c>
      <c r="X2317">
        <v>0</v>
      </c>
      <c r="Y2317">
        <v>0</v>
      </c>
      <c r="Z2317">
        <v>-553</v>
      </c>
      <c r="AA2317">
        <v>693975</v>
      </c>
      <c r="AD2317" t="s">
        <v>6361</v>
      </c>
      <c r="AF2317" t="s">
        <v>6361</v>
      </c>
      <c r="AG2317">
        <v>75315333013006</v>
      </c>
      <c r="AH2317" t="s">
        <v>3698</v>
      </c>
    </row>
    <row r="2318" spans="1:34" x14ac:dyDescent="0.3">
      <c r="A2318">
        <v>104</v>
      </c>
      <c r="B2318" t="s">
        <v>34</v>
      </c>
      <c r="C2318">
        <v>4</v>
      </c>
      <c r="D2318" s="1" t="s">
        <v>6362</v>
      </c>
      <c r="E2318" s="1" t="s">
        <v>36</v>
      </c>
      <c r="G2318">
        <v>12822</v>
      </c>
      <c r="H2318" t="s">
        <v>6359</v>
      </c>
      <c r="I2318" t="s">
        <v>3131</v>
      </c>
      <c r="J2318">
        <v>26</v>
      </c>
      <c r="K2318">
        <v>4716</v>
      </c>
      <c r="L2318">
        <v>95000</v>
      </c>
      <c r="M2318" t="s">
        <v>69</v>
      </c>
      <c r="N2318">
        <v>584</v>
      </c>
      <c r="O2318" s="2">
        <v>46211</v>
      </c>
      <c r="P2318" s="2">
        <v>46328</v>
      </c>
      <c r="R2318" t="s">
        <v>6363</v>
      </c>
      <c r="S2318" t="str">
        <f>""</f>
        <v/>
      </c>
      <c r="T2318" t="s">
        <v>41</v>
      </c>
      <c r="U2318">
        <v>3199.98</v>
      </c>
      <c r="V2318">
        <v>3087.98</v>
      </c>
      <c r="W2318">
        <v>3087.98</v>
      </c>
      <c r="X2318">
        <v>0</v>
      </c>
      <c r="Y2318">
        <v>0</v>
      </c>
      <c r="Z2318">
        <v>-553</v>
      </c>
      <c r="AA2318">
        <v>693917</v>
      </c>
      <c r="AD2318" t="s">
        <v>6361</v>
      </c>
      <c r="AF2318" t="s">
        <v>6361</v>
      </c>
      <c r="AG2318">
        <v>75315333013006</v>
      </c>
      <c r="AH2318" t="s">
        <v>3698</v>
      </c>
    </row>
    <row r="2319" spans="1:34" x14ac:dyDescent="0.3">
      <c r="A2319">
        <v>104</v>
      </c>
      <c r="B2319" t="s">
        <v>34</v>
      </c>
      <c r="C2319">
        <v>4</v>
      </c>
      <c r="D2319" s="1" t="s">
        <v>6362</v>
      </c>
      <c r="E2319" s="1" t="s">
        <v>122</v>
      </c>
      <c r="G2319">
        <v>12822</v>
      </c>
      <c r="H2319" t="s">
        <v>6359</v>
      </c>
      <c r="I2319" t="s">
        <v>3131</v>
      </c>
      <c r="J2319">
        <v>26</v>
      </c>
      <c r="K2319">
        <v>4716</v>
      </c>
      <c r="L2319">
        <v>95000</v>
      </c>
      <c r="M2319" t="s">
        <v>69</v>
      </c>
      <c r="N2319">
        <v>584</v>
      </c>
      <c r="O2319" s="2">
        <v>46223</v>
      </c>
      <c r="P2319" s="2">
        <v>46305</v>
      </c>
      <c r="R2319" t="s">
        <v>6268</v>
      </c>
      <c r="S2319" t="str">
        <f>""</f>
        <v/>
      </c>
      <c r="T2319" t="s">
        <v>41</v>
      </c>
      <c r="U2319">
        <v>655.26</v>
      </c>
      <c r="V2319">
        <v>655.26</v>
      </c>
      <c r="W2319">
        <v>655.26</v>
      </c>
      <c r="X2319">
        <v>0</v>
      </c>
      <c r="Y2319">
        <v>0</v>
      </c>
      <c r="Z2319">
        <v>-530</v>
      </c>
      <c r="AC2319" t="s">
        <v>6269</v>
      </c>
      <c r="AD2319" t="s">
        <v>6361</v>
      </c>
      <c r="AF2319" t="s">
        <v>6361</v>
      </c>
      <c r="AG2319">
        <v>75315333013006</v>
      </c>
      <c r="AH2319" t="s">
        <v>3698</v>
      </c>
    </row>
    <row r="2320" spans="1:34" x14ac:dyDescent="0.3">
      <c r="A2320">
        <v>101</v>
      </c>
      <c r="B2320" t="s">
        <v>34</v>
      </c>
      <c r="C2320">
        <v>4</v>
      </c>
      <c r="D2320" s="1" t="s">
        <v>6364</v>
      </c>
      <c r="E2320" t="s">
        <v>3134</v>
      </c>
      <c r="G2320">
        <v>12846</v>
      </c>
      <c r="H2320" t="s">
        <v>6365</v>
      </c>
      <c r="I2320" t="s">
        <v>3131</v>
      </c>
      <c r="J2320">
        <v>26</v>
      </c>
      <c r="K2320">
        <v>4716</v>
      </c>
      <c r="L2320">
        <v>10001</v>
      </c>
      <c r="M2320" t="s">
        <v>3135</v>
      </c>
      <c r="N2320">
        <v>584</v>
      </c>
      <c r="O2320" s="2">
        <v>46172</v>
      </c>
      <c r="P2320" s="2">
        <v>46296</v>
      </c>
      <c r="R2320" t="s">
        <v>3144</v>
      </c>
      <c r="S2320" t="str">
        <f>"07.0574661"</f>
        <v>07.0574661</v>
      </c>
      <c r="T2320" t="s">
        <v>41</v>
      </c>
      <c r="U2320">
        <v>70508.2</v>
      </c>
      <c r="V2320">
        <v>70508.2</v>
      </c>
      <c r="W2320">
        <v>70508.2</v>
      </c>
      <c r="X2320">
        <v>0</v>
      </c>
      <c r="Y2320">
        <v>0</v>
      </c>
      <c r="Z2320">
        <v>-521</v>
      </c>
      <c r="AA2320">
        <v>689558</v>
      </c>
      <c r="AD2320" t="s">
        <v>5642</v>
      </c>
      <c r="AF2320" t="s">
        <v>5642</v>
      </c>
      <c r="AG2320">
        <v>75315333014169</v>
      </c>
      <c r="AH2320" t="s">
        <v>5644</v>
      </c>
    </row>
    <row r="2321" spans="1:34" x14ac:dyDescent="0.3">
      <c r="A2321">
        <v>101</v>
      </c>
      <c r="B2321" t="s">
        <v>34</v>
      </c>
      <c r="C2321">
        <v>4</v>
      </c>
      <c r="D2321" s="1" t="s">
        <v>6366</v>
      </c>
      <c r="E2321" t="s">
        <v>3134</v>
      </c>
      <c r="G2321">
        <v>12853</v>
      </c>
      <c r="H2321" t="s">
        <v>6367</v>
      </c>
      <c r="I2321" t="s">
        <v>3131</v>
      </c>
      <c r="J2321">
        <v>26</v>
      </c>
      <c r="K2321">
        <v>4716</v>
      </c>
      <c r="L2321">
        <v>10001</v>
      </c>
      <c r="M2321" t="s">
        <v>3135</v>
      </c>
      <c r="N2321">
        <v>584</v>
      </c>
      <c r="O2321" s="2">
        <v>46171</v>
      </c>
      <c r="P2321" s="2">
        <v>46266</v>
      </c>
      <c r="R2321" t="s">
        <v>3136</v>
      </c>
      <c r="S2321" t="str">
        <f>"07.0572790"</f>
        <v>07.0572790</v>
      </c>
      <c r="T2321" t="s">
        <v>41</v>
      </c>
      <c r="U2321">
        <v>11145.51</v>
      </c>
      <c r="V2321">
        <v>11145.51</v>
      </c>
      <c r="W2321">
        <v>11145.51</v>
      </c>
      <c r="X2321">
        <v>0</v>
      </c>
      <c r="Y2321">
        <v>0</v>
      </c>
      <c r="Z2321">
        <v>-491</v>
      </c>
      <c r="AA2321">
        <v>688846</v>
      </c>
      <c r="AD2321" t="s">
        <v>1089</v>
      </c>
      <c r="AF2321" t="s">
        <v>64</v>
      </c>
      <c r="AG2321">
        <v>75315333013782</v>
      </c>
      <c r="AH2321" t="s">
        <v>44</v>
      </c>
    </row>
    <row r="2322" spans="1:34" x14ac:dyDescent="0.3">
      <c r="A2322">
        <v>104</v>
      </c>
      <c r="B2322" t="s">
        <v>34</v>
      </c>
      <c r="C2322">
        <v>4</v>
      </c>
      <c r="D2322" s="1" t="s">
        <v>6368</v>
      </c>
      <c r="E2322" s="1" t="s">
        <v>36</v>
      </c>
      <c r="G2322">
        <v>12853</v>
      </c>
      <c r="H2322" t="s">
        <v>6367</v>
      </c>
      <c r="I2322" t="s">
        <v>3131</v>
      </c>
      <c r="J2322">
        <v>26</v>
      </c>
      <c r="K2322">
        <v>4716</v>
      </c>
      <c r="L2322">
        <v>95000</v>
      </c>
      <c r="M2322" t="s">
        <v>69</v>
      </c>
      <c r="N2322">
        <v>584</v>
      </c>
      <c r="O2322" s="2">
        <v>46231</v>
      </c>
      <c r="P2322" s="2">
        <v>46328</v>
      </c>
      <c r="R2322" t="s">
        <v>6369</v>
      </c>
      <c r="S2322" t="str">
        <f>""</f>
        <v/>
      </c>
      <c r="T2322" t="s">
        <v>41</v>
      </c>
      <c r="U2322">
        <v>12638.04</v>
      </c>
      <c r="V2322">
        <v>12195.71</v>
      </c>
      <c r="W2322">
        <v>12195.71</v>
      </c>
      <c r="X2322">
        <v>0</v>
      </c>
      <c r="Y2322">
        <v>0</v>
      </c>
      <c r="Z2322">
        <v>-553</v>
      </c>
      <c r="AA2322">
        <v>695235</v>
      </c>
      <c r="AD2322" t="s">
        <v>1089</v>
      </c>
      <c r="AF2322" t="s">
        <v>64</v>
      </c>
      <c r="AG2322">
        <v>75315333013782</v>
      </c>
      <c r="AH2322" t="s">
        <v>44</v>
      </c>
    </row>
    <row r="2323" spans="1:34" x14ac:dyDescent="0.3">
      <c r="A2323">
        <v>101</v>
      </c>
      <c r="B2323" t="s">
        <v>34</v>
      </c>
      <c r="C2323">
        <v>4</v>
      </c>
      <c r="D2323" s="1" t="s">
        <v>6370</v>
      </c>
      <c r="E2323" t="s">
        <v>3134</v>
      </c>
      <c r="G2323">
        <v>405590</v>
      </c>
      <c r="H2323" t="s">
        <v>6371</v>
      </c>
      <c r="I2323" t="s">
        <v>3131</v>
      </c>
      <c r="J2323">
        <v>26</v>
      </c>
      <c r="K2323">
        <v>4716</v>
      </c>
      <c r="L2323">
        <v>10001</v>
      </c>
      <c r="M2323" t="s">
        <v>3135</v>
      </c>
      <c r="N2323">
        <v>584</v>
      </c>
      <c r="O2323" s="2">
        <v>46190</v>
      </c>
      <c r="P2323" s="2">
        <v>46281</v>
      </c>
      <c r="R2323" t="s">
        <v>3144</v>
      </c>
      <c r="S2323" t="str">
        <f>"07.0574661"</f>
        <v>07.0574661</v>
      </c>
      <c r="T2323" t="s">
        <v>41</v>
      </c>
      <c r="U2323">
        <v>13425.45</v>
      </c>
      <c r="V2323">
        <v>13425.45</v>
      </c>
      <c r="W2323">
        <v>13425.45</v>
      </c>
      <c r="X2323">
        <v>0</v>
      </c>
      <c r="Y2323">
        <v>0</v>
      </c>
      <c r="Z2323">
        <v>-506</v>
      </c>
      <c r="AA2323">
        <v>691609</v>
      </c>
      <c r="AD2323" t="s">
        <v>6276</v>
      </c>
      <c r="AE2323" t="s">
        <v>6372</v>
      </c>
      <c r="AF2323" t="s">
        <v>64</v>
      </c>
      <c r="AG2323">
        <v>75315333014240</v>
      </c>
      <c r="AH2323" t="s">
        <v>44</v>
      </c>
    </row>
    <row r="2324" spans="1:34" x14ac:dyDescent="0.3">
      <c r="A2324">
        <v>104</v>
      </c>
      <c r="B2324" t="s">
        <v>34</v>
      </c>
      <c r="C2324">
        <v>4</v>
      </c>
      <c r="D2324" s="1" t="s">
        <v>6373</v>
      </c>
      <c r="E2324" s="1" t="s">
        <v>36</v>
      </c>
      <c r="G2324">
        <v>405611</v>
      </c>
      <c r="H2324" t="s">
        <v>6374</v>
      </c>
      <c r="I2324" t="s">
        <v>3131</v>
      </c>
      <c r="J2324">
        <v>26</v>
      </c>
      <c r="K2324">
        <v>4716</v>
      </c>
      <c r="L2324">
        <v>95000</v>
      </c>
      <c r="M2324" t="s">
        <v>69</v>
      </c>
      <c r="N2324">
        <v>584</v>
      </c>
      <c r="O2324" s="2">
        <v>46234</v>
      </c>
      <c r="P2324" s="2">
        <v>46304</v>
      </c>
      <c r="R2324" t="s">
        <v>6375</v>
      </c>
      <c r="S2324" t="str">
        <f>""</f>
        <v/>
      </c>
      <c r="T2324" t="s">
        <v>41</v>
      </c>
      <c r="U2324">
        <v>3178.96</v>
      </c>
      <c r="V2324">
        <v>3067.7</v>
      </c>
      <c r="W2324">
        <v>3067.7</v>
      </c>
      <c r="X2324">
        <v>0</v>
      </c>
      <c r="Y2324">
        <v>0</v>
      </c>
      <c r="Z2324">
        <v>-529</v>
      </c>
      <c r="AA2324">
        <v>695961</v>
      </c>
      <c r="AD2324" t="s">
        <v>6376</v>
      </c>
      <c r="AE2324" t="s">
        <v>6377</v>
      </c>
      <c r="AF2324" t="s">
        <v>64</v>
      </c>
      <c r="AG2324">
        <v>75315333011810</v>
      </c>
      <c r="AH2324" t="s">
        <v>44</v>
      </c>
    </row>
    <row r="2325" spans="1:34" x14ac:dyDescent="0.3">
      <c r="A2325">
        <v>101</v>
      </c>
      <c r="B2325" t="s">
        <v>34</v>
      </c>
      <c r="C2325">
        <v>4</v>
      </c>
      <c r="D2325" s="1" t="s">
        <v>6378</v>
      </c>
      <c r="E2325" t="s">
        <v>3134</v>
      </c>
      <c r="G2325">
        <v>405611</v>
      </c>
      <c r="H2325" t="s">
        <v>6374</v>
      </c>
      <c r="I2325" t="s">
        <v>3131</v>
      </c>
      <c r="J2325">
        <v>26</v>
      </c>
      <c r="K2325">
        <v>4716</v>
      </c>
      <c r="L2325">
        <v>10001</v>
      </c>
      <c r="M2325" t="s">
        <v>3135</v>
      </c>
      <c r="N2325">
        <v>584</v>
      </c>
      <c r="O2325" s="2">
        <v>46162</v>
      </c>
      <c r="P2325" s="2">
        <v>46296</v>
      </c>
      <c r="R2325" t="s">
        <v>3144</v>
      </c>
      <c r="S2325" t="str">
        <f>"07.0574661"</f>
        <v>07.0574661</v>
      </c>
      <c r="T2325" t="s">
        <v>41</v>
      </c>
      <c r="U2325">
        <v>23177.67</v>
      </c>
      <c r="V2325">
        <v>23177.67</v>
      </c>
      <c r="W2325">
        <v>23177.67</v>
      </c>
      <c r="X2325">
        <v>0</v>
      </c>
      <c r="Y2325">
        <v>0</v>
      </c>
      <c r="Z2325">
        <v>-521</v>
      </c>
      <c r="AA2325">
        <v>688469</v>
      </c>
      <c r="AD2325" t="s">
        <v>6376</v>
      </c>
      <c r="AE2325" t="s">
        <v>6377</v>
      </c>
      <c r="AF2325" t="s">
        <v>64</v>
      </c>
      <c r="AG2325">
        <v>75315333011810</v>
      </c>
      <c r="AH2325" t="s">
        <v>44</v>
      </c>
    </row>
    <row r="2326" spans="1:34" x14ac:dyDescent="0.3">
      <c r="A2326">
        <v>101</v>
      </c>
      <c r="B2326" t="s">
        <v>34</v>
      </c>
      <c r="C2326">
        <v>4</v>
      </c>
      <c r="D2326" s="1" t="s">
        <v>6379</v>
      </c>
      <c r="E2326" t="s">
        <v>3134</v>
      </c>
      <c r="G2326">
        <v>405611</v>
      </c>
      <c r="H2326" t="s">
        <v>6374</v>
      </c>
      <c r="I2326" t="s">
        <v>3131</v>
      </c>
      <c r="J2326">
        <v>26</v>
      </c>
      <c r="K2326">
        <v>4716</v>
      </c>
      <c r="L2326">
        <v>10001</v>
      </c>
      <c r="M2326" t="s">
        <v>3135</v>
      </c>
      <c r="N2326">
        <v>584</v>
      </c>
      <c r="O2326" s="2">
        <v>46197</v>
      </c>
      <c r="P2326" s="2">
        <v>46311</v>
      </c>
      <c r="R2326" t="s">
        <v>3187</v>
      </c>
      <c r="S2326" t="str">
        <f>"08.0579034"</f>
        <v>08.0579034</v>
      </c>
      <c r="T2326" t="s">
        <v>41</v>
      </c>
      <c r="U2326">
        <v>38738.76</v>
      </c>
      <c r="V2326">
        <v>38738.76</v>
      </c>
      <c r="W2326">
        <v>38738.76</v>
      </c>
      <c r="X2326">
        <v>0</v>
      </c>
      <c r="Y2326">
        <v>0</v>
      </c>
      <c r="Z2326">
        <v>-536</v>
      </c>
      <c r="AA2326">
        <v>691960</v>
      </c>
      <c r="AD2326" t="s">
        <v>6376</v>
      </c>
      <c r="AE2326" t="s">
        <v>6377</v>
      </c>
      <c r="AF2326" t="s">
        <v>64</v>
      </c>
      <c r="AG2326">
        <v>75315333011810</v>
      </c>
      <c r="AH2326" t="s">
        <v>44</v>
      </c>
    </row>
    <row r="2327" spans="1:34" x14ac:dyDescent="0.3">
      <c r="A2327">
        <v>101</v>
      </c>
      <c r="B2327" t="s">
        <v>34</v>
      </c>
      <c r="C2327">
        <v>4</v>
      </c>
      <c r="D2327" s="1" t="s">
        <v>6380</v>
      </c>
      <c r="E2327" t="s">
        <v>3134</v>
      </c>
      <c r="G2327">
        <v>405611</v>
      </c>
      <c r="H2327" t="s">
        <v>6374</v>
      </c>
      <c r="I2327" t="s">
        <v>3131</v>
      </c>
      <c r="J2327">
        <v>26</v>
      </c>
      <c r="K2327">
        <v>4716</v>
      </c>
      <c r="L2327">
        <v>10001</v>
      </c>
      <c r="M2327" t="s">
        <v>3135</v>
      </c>
      <c r="N2327">
        <v>584</v>
      </c>
      <c r="O2327" s="2">
        <v>46197</v>
      </c>
      <c r="P2327" s="2">
        <v>46329</v>
      </c>
      <c r="R2327" t="s">
        <v>3187</v>
      </c>
      <c r="S2327" t="str">
        <f>"08.0579034"</f>
        <v>08.0579034</v>
      </c>
      <c r="T2327" t="s">
        <v>41</v>
      </c>
      <c r="U2327">
        <v>310.07</v>
      </c>
      <c r="V2327">
        <v>310.07</v>
      </c>
      <c r="W2327">
        <v>310.07</v>
      </c>
      <c r="X2327">
        <v>0</v>
      </c>
      <c r="Y2327">
        <v>0</v>
      </c>
      <c r="Z2327">
        <v>-554</v>
      </c>
      <c r="AA2327">
        <v>692010</v>
      </c>
      <c r="AD2327" t="s">
        <v>6376</v>
      </c>
      <c r="AE2327" t="s">
        <v>6377</v>
      </c>
      <c r="AF2327" t="s">
        <v>64</v>
      </c>
      <c r="AG2327">
        <v>75315333011810</v>
      </c>
      <c r="AH2327" t="s">
        <v>44</v>
      </c>
    </row>
    <row r="2328" spans="1:34" x14ac:dyDescent="0.3">
      <c r="A2328">
        <v>101</v>
      </c>
      <c r="B2328" t="s">
        <v>34</v>
      </c>
      <c r="C2328">
        <v>4</v>
      </c>
      <c r="D2328" s="1" t="s">
        <v>6381</v>
      </c>
      <c r="E2328" t="s">
        <v>3134</v>
      </c>
      <c r="G2328">
        <v>433466</v>
      </c>
      <c r="H2328" t="s">
        <v>6382</v>
      </c>
      <c r="I2328" t="s">
        <v>3131</v>
      </c>
      <c r="J2328">
        <v>26</v>
      </c>
      <c r="K2328">
        <v>4716</v>
      </c>
      <c r="L2328">
        <v>10001</v>
      </c>
      <c r="M2328" t="s">
        <v>3135</v>
      </c>
      <c r="N2328">
        <v>584</v>
      </c>
      <c r="O2328" s="2">
        <v>46162</v>
      </c>
      <c r="P2328" s="2">
        <v>46296</v>
      </c>
      <c r="R2328" t="s">
        <v>3144</v>
      </c>
      <c r="S2328" t="str">
        <f>"07.0574661"</f>
        <v>07.0574661</v>
      </c>
      <c r="T2328" t="s">
        <v>41</v>
      </c>
      <c r="U2328">
        <v>19848.05</v>
      </c>
      <c r="V2328">
        <v>19848.05</v>
      </c>
      <c r="W2328">
        <v>19848.05</v>
      </c>
      <c r="X2328">
        <v>0</v>
      </c>
      <c r="Y2328">
        <v>0</v>
      </c>
      <c r="Z2328">
        <v>-521</v>
      </c>
      <c r="AA2328">
        <v>688473</v>
      </c>
      <c r="AD2328" t="s">
        <v>6376</v>
      </c>
      <c r="AF2328" t="s">
        <v>64</v>
      </c>
      <c r="AG2328">
        <v>75315333014916</v>
      </c>
      <c r="AH2328" t="s">
        <v>44</v>
      </c>
    </row>
    <row r="2329" spans="1:34" x14ac:dyDescent="0.3">
      <c r="A2329">
        <v>104</v>
      </c>
      <c r="B2329" t="s">
        <v>34</v>
      </c>
      <c r="C2329">
        <v>4</v>
      </c>
      <c r="D2329" s="1" t="s">
        <v>6383</v>
      </c>
      <c r="E2329" s="1" t="s">
        <v>36</v>
      </c>
      <c r="G2329">
        <v>433466</v>
      </c>
      <c r="H2329" t="s">
        <v>6382</v>
      </c>
      <c r="I2329" t="s">
        <v>3131</v>
      </c>
      <c r="J2329">
        <v>26</v>
      </c>
      <c r="K2329">
        <v>4716</v>
      </c>
      <c r="L2329">
        <v>95000</v>
      </c>
      <c r="M2329" t="s">
        <v>69</v>
      </c>
      <c r="N2329">
        <v>584</v>
      </c>
      <c r="O2329" s="2">
        <v>46197</v>
      </c>
      <c r="P2329" s="2">
        <v>46328</v>
      </c>
      <c r="R2329" t="s">
        <v>6384</v>
      </c>
      <c r="S2329" t="str">
        <f>""</f>
        <v/>
      </c>
      <c r="T2329" t="s">
        <v>41</v>
      </c>
      <c r="U2329">
        <v>48840.2</v>
      </c>
      <c r="V2329">
        <v>47130.79</v>
      </c>
      <c r="W2329">
        <v>47130.79</v>
      </c>
      <c r="X2329">
        <v>0</v>
      </c>
      <c r="Y2329">
        <v>0</v>
      </c>
      <c r="Z2329">
        <v>-553</v>
      </c>
      <c r="AA2329">
        <v>691966</v>
      </c>
      <c r="AD2329" t="s">
        <v>6376</v>
      </c>
      <c r="AF2329" t="s">
        <v>64</v>
      </c>
      <c r="AG2329">
        <v>75315333014916</v>
      </c>
      <c r="AH2329" t="s">
        <v>44</v>
      </c>
    </row>
    <row r="2330" spans="1:34" x14ac:dyDescent="0.3">
      <c r="A2330">
        <v>104</v>
      </c>
      <c r="B2330" t="s">
        <v>34</v>
      </c>
      <c r="C2330">
        <v>4</v>
      </c>
      <c r="D2330" s="1" t="s">
        <v>6385</v>
      </c>
      <c r="E2330" s="1" t="s">
        <v>36</v>
      </c>
      <c r="G2330">
        <v>433466</v>
      </c>
      <c r="H2330" t="s">
        <v>6382</v>
      </c>
      <c r="I2330" t="s">
        <v>3131</v>
      </c>
      <c r="J2330">
        <v>26</v>
      </c>
      <c r="K2330">
        <v>4716</v>
      </c>
      <c r="L2330">
        <v>95000</v>
      </c>
      <c r="M2330" t="s">
        <v>69</v>
      </c>
      <c r="N2330">
        <v>584</v>
      </c>
      <c r="O2330" s="2">
        <v>46234</v>
      </c>
      <c r="P2330" s="2">
        <v>46304</v>
      </c>
      <c r="R2330" t="s">
        <v>6386</v>
      </c>
      <c r="S2330" t="str">
        <f>""</f>
        <v/>
      </c>
      <c r="T2330" t="s">
        <v>41</v>
      </c>
      <c r="U2330">
        <v>2203.7199999999998</v>
      </c>
      <c r="V2330">
        <v>2126.59</v>
      </c>
      <c r="W2330">
        <v>2126.59</v>
      </c>
      <c r="X2330">
        <v>0</v>
      </c>
      <c r="Y2330">
        <v>0</v>
      </c>
      <c r="Z2330">
        <v>-529</v>
      </c>
      <c r="AA2330">
        <v>695965</v>
      </c>
      <c r="AD2330" t="s">
        <v>6376</v>
      </c>
      <c r="AF2330" t="s">
        <v>64</v>
      </c>
      <c r="AG2330">
        <v>75315333014916</v>
      </c>
      <c r="AH2330" t="s">
        <v>44</v>
      </c>
    </row>
    <row r="2331" spans="1:34" x14ac:dyDescent="0.3">
      <c r="A2331">
        <v>104</v>
      </c>
      <c r="B2331" t="s">
        <v>34</v>
      </c>
      <c r="C2331">
        <v>4</v>
      </c>
      <c r="D2331" s="1" t="s">
        <v>6387</v>
      </c>
      <c r="E2331" s="1" t="s">
        <v>36</v>
      </c>
      <c r="G2331">
        <v>433466</v>
      </c>
      <c r="H2331" t="s">
        <v>6382</v>
      </c>
      <c r="I2331" t="s">
        <v>3131</v>
      </c>
      <c r="J2331">
        <v>26</v>
      </c>
      <c r="K2331">
        <v>4716</v>
      </c>
      <c r="L2331">
        <v>95000</v>
      </c>
      <c r="M2331" t="s">
        <v>69</v>
      </c>
      <c r="N2331">
        <v>584</v>
      </c>
      <c r="O2331" s="2">
        <v>46197</v>
      </c>
      <c r="P2331" s="2">
        <v>46328</v>
      </c>
      <c r="R2331" t="s">
        <v>6388</v>
      </c>
      <c r="S2331" t="str">
        <f>""</f>
        <v/>
      </c>
      <c r="T2331" t="s">
        <v>41</v>
      </c>
      <c r="U2331">
        <v>321.3</v>
      </c>
      <c r="V2331">
        <v>310.05</v>
      </c>
      <c r="W2331">
        <v>310.05</v>
      </c>
      <c r="X2331">
        <v>0</v>
      </c>
      <c r="Y2331">
        <v>0</v>
      </c>
      <c r="Z2331">
        <v>-553</v>
      </c>
      <c r="AA2331">
        <v>692016</v>
      </c>
      <c r="AD2331" t="s">
        <v>6376</v>
      </c>
      <c r="AF2331" t="s">
        <v>64</v>
      </c>
      <c r="AG2331">
        <v>75315333014916</v>
      </c>
      <c r="AH2331" t="s">
        <v>44</v>
      </c>
    </row>
    <row r="2332" spans="1:34" x14ac:dyDescent="0.3">
      <c r="A2332">
        <v>101</v>
      </c>
      <c r="B2332" t="s">
        <v>34</v>
      </c>
      <c r="C2332">
        <v>4</v>
      </c>
      <c r="D2332" s="1" t="s">
        <v>6389</v>
      </c>
      <c r="E2332" t="s">
        <v>3134</v>
      </c>
      <c r="G2332">
        <v>433570</v>
      </c>
      <c r="H2332" t="s">
        <v>6390</v>
      </c>
      <c r="I2332" t="s">
        <v>3131</v>
      </c>
      <c r="J2332">
        <v>26</v>
      </c>
      <c r="K2332">
        <v>4716</v>
      </c>
      <c r="L2332">
        <v>10001</v>
      </c>
      <c r="M2332" t="s">
        <v>3135</v>
      </c>
      <c r="N2332">
        <v>584</v>
      </c>
      <c r="O2332" s="2">
        <v>46162</v>
      </c>
      <c r="P2332" s="2">
        <v>46266</v>
      </c>
      <c r="R2332" t="s">
        <v>3136</v>
      </c>
      <c r="S2332" t="str">
        <f>"07.0572790"</f>
        <v>07.0572790</v>
      </c>
      <c r="T2332" t="s">
        <v>41</v>
      </c>
      <c r="U2332">
        <v>68288.77</v>
      </c>
      <c r="V2332">
        <v>68288.77</v>
      </c>
      <c r="W2332">
        <v>68288.77</v>
      </c>
      <c r="X2332">
        <v>0</v>
      </c>
      <c r="Y2332">
        <v>0</v>
      </c>
      <c r="Z2332">
        <v>-491</v>
      </c>
      <c r="AA2332">
        <v>688464</v>
      </c>
      <c r="AD2332" t="s">
        <v>3022</v>
      </c>
      <c r="AE2332" s="1" t="s">
        <v>6391</v>
      </c>
      <c r="AF2332" t="s">
        <v>64</v>
      </c>
      <c r="AG2332">
        <v>75315333015483</v>
      </c>
      <c r="AH2332" t="s">
        <v>44</v>
      </c>
    </row>
    <row r="2333" spans="1:34" x14ac:dyDescent="0.3">
      <c r="A2333">
        <v>104</v>
      </c>
      <c r="B2333" t="s">
        <v>34</v>
      </c>
      <c r="C2333">
        <v>4</v>
      </c>
      <c r="D2333" s="1" t="s">
        <v>6392</v>
      </c>
      <c r="E2333" s="1" t="s">
        <v>36</v>
      </c>
      <c r="G2333">
        <v>433570</v>
      </c>
      <c r="H2333" t="s">
        <v>6390</v>
      </c>
      <c r="I2333" t="s">
        <v>3131</v>
      </c>
      <c r="J2333">
        <v>26</v>
      </c>
      <c r="K2333">
        <v>4716</v>
      </c>
      <c r="L2333">
        <v>95000</v>
      </c>
      <c r="M2333" t="s">
        <v>69</v>
      </c>
      <c r="N2333">
        <v>584</v>
      </c>
      <c r="O2333" s="2">
        <v>46234</v>
      </c>
      <c r="P2333" s="2">
        <v>46304</v>
      </c>
      <c r="R2333" t="s">
        <v>6393</v>
      </c>
      <c r="S2333" t="str">
        <f>""</f>
        <v/>
      </c>
      <c r="T2333" t="s">
        <v>41</v>
      </c>
      <c r="U2333">
        <v>17116.09</v>
      </c>
      <c r="V2333">
        <v>15832.38</v>
      </c>
      <c r="W2333">
        <v>15832.38</v>
      </c>
      <c r="X2333">
        <v>0</v>
      </c>
      <c r="Y2333">
        <v>0</v>
      </c>
      <c r="Z2333">
        <v>-529</v>
      </c>
      <c r="AA2333">
        <v>695959</v>
      </c>
      <c r="AD2333" t="s">
        <v>3022</v>
      </c>
      <c r="AE2333" s="1" t="s">
        <v>6391</v>
      </c>
      <c r="AF2333" t="s">
        <v>64</v>
      </c>
      <c r="AG2333">
        <v>75315333015483</v>
      </c>
      <c r="AH2333" t="s">
        <v>44</v>
      </c>
    </row>
    <row r="2334" spans="1:34" x14ac:dyDescent="0.3">
      <c r="A2334">
        <v>101</v>
      </c>
      <c r="B2334" t="s">
        <v>34</v>
      </c>
      <c r="C2334">
        <v>4</v>
      </c>
      <c r="D2334" s="1" t="s">
        <v>6394</v>
      </c>
      <c r="E2334" t="s">
        <v>3134</v>
      </c>
      <c r="G2334">
        <v>433570</v>
      </c>
      <c r="H2334" t="s">
        <v>6390</v>
      </c>
      <c r="I2334" t="s">
        <v>3131</v>
      </c>
      <c r="J2334">
        <v>26</v>
      </c>
      <c r="K2334">
        <v>4716</v>
      </c>
      <c r="L2334">
        <v>10001</v>
      </c>
      <c r="M2334" t="s">
        <v>3135</v>
      </c>
      <c r="N2334">
        <v>584</v>
      </c>
      <c r="O2334" s="2">
        <v>46197</v>
      </c>
      <c r="P2334" s="2">
        <v>46311</v>
      </c>
      <c r="R2334" t="s">
        <v>3179</v>
      </c>
      <c r="S2334" t="str">
        <f>"08.0576919"</f>
        <v>08.0576919</v>
      </c>
      <c r="T2334" t="s">
        <v>41</v>
      </c>
      <c r="U2334">
        <v>23816.31</v>
      </c>
      <c r="V2334">
        <v>23816.31</v>
      </c>
      <c r="W2334">
        <v>23816.31</v>
      </c>
      <c r="X2334">
        <v>0</v>
      </c>
      <c r="Y2334">
        <v>0</v>
      </c>
      <c r="Z2334">
        <v>-536</v>
      </c>
      <c r="AA2334">
        <v>691970</v>
      </c>
      <c r="AD2334" t="s">
        <v>3022</v>
      </c>
      <c r="AE2334" s="1" t="s">
        <v>6391</v>
      </c>
      <c r="AF2334" t="s">
        <v>64</v>
      </c>
      <c r="AG2334">
        <v>75315333015483</v>
      </c>
      <c r="AH2334" t="s">
        <v>44</v>
      </c>
    </row>
    <row r="2335" spans="1:34" x14ac:dyDescent="0.3">
      <c r="A2335">
        <v>101</v>
      </c>
      <c r="B2335" t="s">
        <v>34</v>
      </c>
      <c r="C2335">
        <v>4</v>
      </c>
      <c r="D2335" s="1" t="s">
        <v>6395</v>
      </c>
      <c r="E2335" t="s">
        <v>3134</v>
      </c>
      <c r="G2335">
        <v>433582</v>
      </c>
      <c r="H2335" t="s">
        <v>6396</v>
      </c>
      <c r="I2335" t="s">
        <v>3131</v>
      </c>
      <c r="J2335">
        <v>26</v>
      </c>
      <c r="K2335">
        <v>4716</v>
      </c>
      <c r="L2335">
        <v>10001</v>
      </c>
      <c r="M2335" t="s">
        <v>3135</v>
      </c>
      <c r="N2335">
        <v>584</v>
      </c>
      <c r="O2335" s="2">
        <v>46162</v>
      </c>
      <c r="P2335" s="2">
        <v>46266</v>
      </c>
      <c r="R2335" t="s">
        <v>3136</v>
      </c>
      <c r="S2335" t="str">
        <f>"07.0572790"</f>
        <v>07.0572790</v>
      </c>
      <c r="T2335" t="s">
        <v>41</v>
      </c>
      <c r="U2335">
        <v>6760.83</v>
      </c>
      <c r="V2335">
        <v>6760.83</v>
      </c>
      <c r="W2335">
        <v>6760.83</v>
      </c>
      <c r="X2335">
        <v>0</v>
      </c>
      <c r="Y2335">
        <v>0</v>
      </c>
      <c r="Z2335">
        <v>-491</v>
      </c>
      <c r="AA2335">
        <v>688515</v>
      </c>
      <c r="AD2335" t="s">
        <v>5164</v>
      </c>
      <c r="AE2335" s="1" t="s">
        <v>6391</v>
      </c>
      <c r="AF2335" t="s">
        <v>64</v>
      </c>
      <c r="AG2335">
        <v>75315333015564</v>
      </c>
      <c r="AH2335" t="s">
        <v>44</v>
      </c>
    </row>
    <row r="2336" spans="1:34" x14ac:dyDescent="0.3">
      <c r="A2336">
        <v>101</v>
      </c>
      <c r="B2336" t="s">
        <v>34</v>
      </c>
      <c r="C2336">
        <v>4</v>
      </c>
      <c r="D2336" s="1" t="s">
        <v>6397</v>
      </c>
      <c r="E2336" t="s">
        <v>3134</v>
      </c>
      <c r="G2336">
        <v>433847</v>
      </c>
      <c r="H2336" t="s">
        <v>6398</v>
      </c>
      <c r="I2336" t="s">
        <v>3131</v>
      </c>
      <c r="J2336">
        <v>26</v>
      </c>
      <c r="K2336">
        <v>4716</v>
      </c>
      <c r="L2336">
        <v>10001</v>
      </c>
      <c r="M2336" t="s">
        <v>3135</v>
      </c>
      <c r="N2336">
        <v>584</v>
      </c>
      <c r="O2336" s="2">
        <v>46197</v>
      </c>
      <c r="P2336" s="2">
        <v>46311</v>
      </c>
      <c r="R2336" t="s">
        <v>3179</v>
      </c>
      <c r="S2336" t="str">
        <f>"08.0576919"</f>
        <v>08.0576919</v>
      </c>
      <c r="T2336" t="s">
        <v>41</v>
      </c>
      <c r="U2336">
        <v>1574.88</v>
      </c>
      <c r="V2336">
        <v>1574.88</v>
      </c>
      <c r="W2336">
        <v>1574.88</v>
      </c>
      <c r="X2336">
        <v>0</v>
      </c>
      <c r="Y2336">
        <v>0</v>
      </c>
      <c r="Z2336">
        <v>-536</v>
      </c>
      <c r="AA2336">
        <v>692018</v>
      </c>
      <c r="AD2336" t="s">
        <v>3022</v>
      </c>
      <c r="AE2336" s="1" t="s">
        <v>6399</v>
      </c>
      <c r="AF2336" t="s">
        <v>64</v>
      </c>
      <c r="AG2336">
        <v>75315333015300</v>
      </c>
      <c r="AH2336" t="s">
        <v>44</v>
      </c>
    </row>
    <row r="2337" spans="1:34" x14ac:dyDescent="0.3">
      <c r="A2337">
        <v>101</v>
      </c>
      <c r="B2337" t="s">
        <v>34</v>
      </c>
      <c r="C2337">
        <v>4</v>
      </c>
      <c r="D2337" s="1" t="s">
        <v>6400</v>
      </c>
      <c r="E2337" t="s">
        <v>3134</v>
      </c>
      <c r="G2337">
        <v>433847</v>
      </c>
      <c r="H2337" t="s">
        <v>6398</v>
      </c>
      <c r="I2337" t="s">
        <v>3131</v>
      </c>
      <c r="J2337">
        <v>26</v>
      </c>
      <c r="K2337">
        <v>4716</v>
      </c>
      <c r="L2337">
        <v>10001</v>
      </c>
      <c r="M2337" t="s">
        <v>3135</v>
      </c>
      <c r="N2337">
        <v>584</v>
      </c>
      <c r="O2337" s="2">
        <v>46197</v>
      </c>
      <c r="P2337" s="2">
        <v>46311</v>
      </c>
      <c r="R2337" t="s">
        <v>3179</v>
      </c>
      <c r="S2337" t="str">
        <f>"08.0576919"</f>
        <v>08.0576919</v>
      </c>
      <c r="T2337" t="s">
        <v>41</v>
      </c>
      <c r="U2337">
        <v>29084.73</v>
      </c>
      <c r="V2337">
        <v>29084.73</v>
      </c>
      <c r="W2337">
        <v>29084.73</v>
      </c>
      <c r="X2337">
        <v>0</v>
      </c>
      <c r="Y2337">
        <v>0</v>
      </c>
      <c r="Z2337">
        <v>-536</v>
      </c>
      <c r="AA2337">
        <v>691968</v>
      </c>
      <c r="AD2337" t="s">
        <v>3022</v>
      </c>
      <c r="AE2337" s="1" t="s">
        <v>6399</v>
      </c>
      <c r="AF2337" t="s">
        <v>64</v>
      </c>
      <c r="AG2337">
        <v>75315333015300</v>
      </c>
      <c r="AH2337" t="s">
        <v>44</v>
      </c>
    </row>
    <row r="2338" spans="1:34" x14ac:dyDescent="0.3">
      <c r="A2338">
        <v>104</v>
      </c>
      <c r="B2338" t="s">
        <v>34</v>
      </c>
      <c r="C2338">
        <v>4</v>
      </c>
      <c r="D2338" s="1" t="s">
        <v>6401</v>
      </c>
      <c r="E2338" s="1" t="s">
        <v>36</v>
      </c>
      <c r="G2338">
        <v>433847</v>
      </c>
      <c r="H2338" t="s">
        <v>6398</v>
      </c>
      <c r="I2338" t="s">
        <v>3131</v>
      </c>
      <c r="J2338">
        <v>26</v>
      </c>
      <c r="K2338">
        <v>4716</v>
      </c>
      <c r="L2338">
        <v>95000</v>
      </c>
      <c r="M2338" t="s">
        <v>69</v>
      </c>
      <c r="N2338">
        <v>584</v>
      </c>
      <c r="O2338" s="2">
        <v>46234</v>
      </c>
      <c r="P2338" s="2">
        <v>46304</v>
      </c>
      <c r="R2338" t="s">
        <v>6402</v>
      </c>
      <c r="S2338" t="str">
        <f>""</f>
        <v/>
      </c>
      <c r="T2338" t="s">
        <v>41</v>
      </c>
      <c r="U2338">
        <v>32551.8</v>
      </c>
      <c r="V2338">
        <v>31412.49</v>
      </c>
      <c r="W2338">
        <v>31412.49</v>
      </c>
      <c r="X2338">
        <v>0</v>
      </c>
      <c r="Y2338">
        <v>0</v>
      </c>
      <c r="Z2338">
        <v>-529</v>
      </c>
      <c r="AA2338">
        <v>695967</v>
      </c>
      <c r="AD2338" t="s">
        <v>3022</v>
      </c>
      <c r="AE2338" s="1" t="s">
        <v>6399</v>
      </c>
      <c r="AF2338" t="s">
        <v>64</v>
      </c>
      <c r="AG2338">
        <v>75315333015300</v>
      </c>
      <c r="AH2338" t="s">
        <v>44</v>
      </c>
    </row>
    <row r="2339" spans="1:34" x14ac:dyDescent="0.3">
      <c r="A2339">
        <v>104</v>
      </c>
      <c r="B2339" t="s">
        <v>34</v>
      </c>
      <c r="C2339">
        <v>4</v>
      </c>
      <c r="D2339" s="1" t="s">
        <v>6403</v>
      </c>
      <c r="E2339" s="1" t="s">
        <v>36</v>
      </c>
      <c r="G2339">
        <v>434264</v>
      </c>
      <c r="H2339" t="s">
        <v>6404</v>
      </c>
      <c r="I2339" t="s">
        <v>3131</v>
      </c>
      <c r="J2339">
        <v>26</v>
      </c>
      <c r="K2339">
        <v>4716</v>
      </c>
      <c r="L2339">
        <v>95000</v>
      </c>
      <c r="M2339" t="s">
        <v>69</v>
      </c>
      <c r="N2339">
        <v>584</v>
      </c>
      <c r="O2339" s="2">
        <v>46211</v>
      </c>
      <c r="P2339" s="2">
        <v>46311</v>
      </c>
      <c r="R2339" t="s">
        <v>6405</v>
      </c>
      <c r="S2339" t="str">
        <f>""</f>
        <v/>
      </c>
      <c r="T2339" t="s">
        <v>41</v>
      </c>
      <c r="U2339">
        <v>2015.75</v>
      </c>
      <c r="V2339">
        <v>1945.2</v>
      </c>
      <c r="W2339">
        <v>1945.2</v>
      </c>
      <c r="X2339">
        <v>0</v>
      </c>
      <c r="Y2339">
        <v>0</v>
      </c>
      <c r="Z2339">
        <v>-536</v>
      </c>
      <c r="AA2339">
        <v>693921</v>
      </c>
      <c r="AD2339" t="s">
        <v>6406</v>
      </c>
      <c r="AE2339" s="1" t="s">
        <v>6407</v>
      </c>
      <c r="AF2339" t="s">
        <v>6406</v>
      </c>
      <c r="AG2339">
        <v>75315333015726</v>
      </c>
      <c r="AH2339" t="s">
        <v>3698</v>
      </c>
    </row>
    <row r="2340" spans="1:34" x14ac:dyDescent="0.3">
      <c r="A2340">
        <v>104</v>
      </c>
      <c r="B2340" t="s">
        <v>34</v>
      </c>
      <c r="C2340">
        <v>4</v>
      </c>
      <c r="D2340" s="1" t="s">
        <v>6403</v>
      </c>
      <c r="E2340" s="1" t="s">
        <v>122</v>
      </c>
      <c r="G2340">
        <v>434264</v>
      </c>
      <c r="H2340" t="s">
        <v>6404</v>
      </c>
      <c r="I2340" t="s">
        <v>3131</v>
      </c>
      <c r="J2340">
        <v>26</v>
      </c>
      <c r="K2340">
        <v>4716</v>
      </c>
      <c r="L2340">
        <v>95000</v>
      </c>
      <c r="M2340" t="s">
        <v>69</v>
      </c>
      <c r="N2340">
        <v>584</v>
      </c>
      <c r="O2340" s="2">
        <v>46223</v>
      </c>
      <c r="P2340" s="2">
        <v>46305</v>
      </c>
      <c r="R2340" t="s">
        <v>6268</v>
      </c>
      <c r="S2340" t="str">
        <f>""</f>
        <v/>
      </c>
      <c r="T2340" t="s">
        <v>41</v>
      </c>
      <c r="U2340">
        <v>425.77</v>
      </c>
      <c r="V2340">
        <v>425.77</v>
      </c>
      <c r="W2340">
        <v>425.77</v>
      </c>
      <c r="X2340">
        <v>0</v>
      </c>
      <c r="Y2340">
        <v>0</v>
      </c>
      <c r="Z2340">
        <v>-530</v>
      </c>
      <c r="AC2340" t="s">
        <v>6269</v>
      </c>
      <c r="AD2340" t="s">
        <v>6406</v>
      </c>
      <c r="AE2340" s="1" t="s">
        <v>6407</v>
      </c>
      <c r="AF2340" t="s">
        <v>6406</v>
      </c>
      <c r="AG2340">
        <v>75315333015726</v>
      </c>
      <c r="AH2340" t="s">
        <v>3698</v>
      </c>
    </row>
    <row r="2341" spans="1:34" x14ac:dyDescent="0.3">
      <c r="A2341">
        <v>104</v>
      </c>
      <c r="B2341" t="s">
        <v>34</v>
      </c>
      <c r="C2341">
        <v>4</v>
      </c>
      <c r="D2341" s="1" t="s">
        <v>6408</v>
      </c>
      <c r="E2341" s="1" t="s">
        <v>36</v>
      </c>
      <c r="G2341">
        <v>434264</v>
      </c>
      <c r="H2341" t="s">
        <v>6404</v>
      </c>
      <c r="I2341" t="s">
        <v>3131</v>
      </c>
      <c r="J2341">
        <v>26</v>
      </c>
      <c r="K2341">
        <v>4716</v>
      </c>
      <c r="L2341">
        <v>95000</v>
      </c>
      <c r="M2341" t="s">
        <v>69</v>
      </c>
      <c r="N2341">
        <v>584</v>
      </c>
      <c r="O2341" s="2">
        <v>46211</v>
      </c>
      <c r="P2341" s="2">
        <v>46311</v>
      </c>
      <c r="R2341" t="s">
        <v>6409</v>
      </c>
      <c r="S2341" t="str">
        <f>""</f>
        <v/>
      </c>
      <c r="T2341" t="s">
        <v>41</v>
      </c>
      <c r="U2341">
        <v>11992.48</v>
      </c>
      <c r="V2341">
        <v>11572.74</v>
      </c>
      <c r="W2341">
        <v>11572.74</v>
      </c>
      <c r="X2341">
        <v>0</v>
      </c>
      <c r="Y2341">
        <v>0</v>
      </c>
      <c r="Z2341">
        <v>-536</v>
      </c>
      <c r="AA2341">
        <v>693979</v>
      </c>
      <c r="AD2341" t="s">
        <v>6406</v>
      </c>
      <c r="AE2341" s="1" t="s">
        <v>6407</v>
      </c>
      <c r="AF2341" t="s">
        <v>6406</v>
      </c>
      <c r="AG2341">
        <v>75315333015726</v>
      </c>
      <c r="AH2341" t="s">
        <v>3698</v>
      </c>
    </row>
    <row r="2342" spans="1:34" x14ac:dyDescent="0.3">
      <c r="A2342">
        <v>101</v>
      </c>
      <c r="B2342" t="s">
        <v>34</v>
      </c>
      <c r="C2342">
        <v>4</v>
      </c>
      <c r="D2342" s="1" t="s">
        <v>6410</v>
      </c>
      <c r="E2342" t="s">
        <v>3134</v>
      </c>
      <c r="G2342">
        <v>434414</v>
      </c>
      <c r="H2342" t="s">
        <v>6411</v>
      </c>
      <c r="I2342" t="s">
        <v>3131</v>
      </c>
      <c r="J2342">
        <v>26</v>
      </c>
      <c r="K2342">
        <v>4716</v>
      </c>
      <c r="L2342">
        <v>10001</v>
      </c>
      <c r="M2342" t="s">
        <v>3135</v>
      </c>
      <c r="N2342">
        <v>584</v>
      </c>
      <c r="O2342" s="2">
        <v>46183</v>
      </c>
      <c r="P2342" s="2">
        <v>46281</v>
      </c>
      <c r="R2342" t="s">
        <v>3144</v>
      </c>
      <c r="S2342" t="str">
        <f>"07.0574661"</f>
        <v>07.0574661</v>
      </c>
      <c r="T2342" t="s">
        <v>41</v>
      </c>
      <c r="U2342">
        <v>3057.12</v>
      </c>
      <c r="V2342">
        <v>3057.12</v>
      </c>
      <c r="W2342">
        <v>3057.12</v>
      </c>
      <c r="X2342">
        <v>0</v>
      </c>
      <c r="Y2342">
        <v>0</v>
      </c>
      <c r="Z2342">
        <v>-506</v>
      </c>
      <c r="AA2342">
        <v>688517</v>
      </c>
      <c r="AD2342" t="s">
        <v>6412</v>
      </c>
      <c r="AE2342">
        <v>8532526471</v>
      </c>
      <c r="AF2342" t="s">
        <v>6412</v>
      </c>
      <c r="AG2342">
        <v>75315333015807</v>
      </c>
      <c r="AH2342" t="s">
        <v>3520</v>
      </c>
    </row>
    <row r="2343" spans="1:34" x14ac:dyDescent="0.3">
      <c r="A2343">
        <v>104</v>
      </c>
      <c r="B2343" t="s">
        <v>34</v>
      </c>
      <c r="C2343">
        <v>4</v>
      </c>
      <c r="D2343" s="1" t="s">
        <v>6413</v>
      </c>
      <c r="E2343" s="1" t="s">
        <v>36</v>
      </c>
      <c r="G2343">
        <v>434414</v>
      </c>
      <c r="H2343" t="s">
        <v>6411</v>
      </c>
      <c r="I2343" t="s">
        <v>3131</v>
      </c>
      <c r="J2343">
        <v>26</v>
      </c>
      <c r="K2343">
        <v>4716</v>
      </c>
      <c r="L2343">
        <v>95000</v>
      </c>
      <c r="M2343" t="s">
        <v>69</v>
      </c>
      <c r="N2343">
        <v>584</v>
      </c>
      <c r="O2343" s="2">
        <v>46251</v>
      </c>
      <c r="P2343" s="2">
        <v>46321</v>
      </c>
      <c r="R2343" t="s">
        <v>6414</v>
      </c>
      <c r="S2343" t="str">
        <f>""</f>
        <v/>
      </c>
      <c r="T2343" t="s">
        <v>41</v>
      </c>
      <c r="U2343">
        <v>37982.639999999999</v>
      </c>
      <c r="V2343">
        <v>35133.94</v>
      </c>
      <c r="W2343">
        <v>35133.94</v>
      </c>
      <c r="X2343">
        <v>0</v>
      </c>
      <c r="Y2343">
        <v>0</v>
      </c>
      <c r="Z2343">
        <v>-546</v>
      </c>
      <c r="AA2343">
        <v>696859</v>
      </c>
      <c r="AD2343" t="s">
        <v>6412</v>
      </c>
      <c r="AE2343">
        <v>8532526471</v>
      </c>
      <c r="AF2343" t="s">
        <v>6412</v>
      </c>
      <c r="AG2343">
        <v>75315333015807</v>
      </c>
      <c r="AH2343" t="s">
        <v>3520</v>
      </c>
    </row>
    <row r="2344" spans="1:34" x14ac:dyDescent="0.3">
      <c r="A2344">
        <v>101</v>
      </c>
      <c r="B2344" t="s">
        <v>34</v>
      </c>
      <c r="C2344">
        <v>4</v>
      </c>
      <c r="D2344" s="1" t="s">
        <v>6415</v>
      </c>
      <c r="E2344" t="s">
        <v>3134</v>
      </c>
      <c r="G2344">
        <v>434774</v>
      </c>
      <c r="H2344" t="s">
        <v>6416</v>
      </c>
      <c r="I2344" t="s">
        <v>3131</v>
      </c>
      <c r="J2344">
        <v>26</v>
      </c>
      <c r="K2344">
        <v>4716</v>
      </c>
      <c r="L2344">
        <v>10001</v>
      </c>
      <c r="M2344" t="s">
        <v>3135</v>
      </c>
      <c r="N2344">
        <v>584</v>
      </c>
      <c r="O2344" s="2">
        <v>46162</v>
      </c>
      <c r="P2344" s="2">
        <v>46296</v>
      </c>
      <c r="R2344" t="s">
        <v>3144</v>
      </c>
      <c r="S2344" t="str">
        <f>"07.0574661"</f>
        <v>07.0574661</v>
      </c>
      <c r="T2344" t="s">
        <v>41</v>
      </c>
      <c r="U2344">
        <v>24725.69</v>
      </c>
      <c r="V2344">
        <v>24725.69</v>
      </c>
      <c r="W2344">
        <v>24725.69</v>
      </c>
      <c r="X2344">
        <v>0</v>
      </c>
      <c r="Y2344">
        <v>0</v>
      </c>
      <c r="Z2344">
        <v>-521</v>
      </c>
      <c r="AA2344">
        <v>688477</v>
      </c>
      <c r="AD2344" t="s">
        <v>6417</v>
      </c>
      <c r="AE2344" t="s">
        <v>6418</v>
      </c>
      <c r="AF2344" t="s">
        <v>6417</v>
      </c>
      <c r="AG2344">
        <v>75315333015998</v>
      </c>
      <c r="AH2344" t="s">
        <v>6419</v>
      </c>
    </row>
    <row r="2345" spans="1:34" x14ac:dyDescent="0.3">
      <c r="A2345">
        <v>104</v>
      </c>
      <c r="B2345" t="s">
        <v>34</v>
      </c>
      <c r="C2345">
        <v>4</v>
      </c>
      <c r="D2345" s="1" t="s">
        <v>6420</v>
      </c>
      <c r="E2345" s="1" t="s">
        <v>36</v>
      </c>
      <c r="G2345">
        <v>434774</v>
      </c>
      <c r="H2345" t="s">
        <v>6416</v>
      </c>
      <c r="I2345" t="s">
        <v>3131</v>
      </c>
      <c r="J2345">
        <v>26</v>
      </c>
      <c r="K2345">
        <v>4716</v>
      </c>
      <c r="L2345">
        <v>95000</v>
      </c>
      <c r="M2345" t="s">
        <v>69</v>
      </c>
      <c r="N2345">
        <v>584</v>
      </c>
      <c r="O2345" s="2">
        <v>46234</v>
      </c>
      <c r="P2345" s="2">
        <v>46304</v>
      </c>
      <c r="R2345" t="s">
        <v>6421</v>
      </c>
      <c r="S2345" t="str">
        <f>""</f>
        <v/>
      </c>
      <c r="T2345" t="s">
        <v>41</v>
      </c>
      <c r="U2345">
        <v>16295.63</v>
      </c>
      <c r="V2345">
        <v>15725.28</v>
      </c>
      <c r="W2345">
        <v>15725.28</v>
      </c>
      <c r="X2345">
        <v>0</v>
      </c>
      <c r="Y2345">
        <v>0</v>
      </c>
      <c r="Z2345">
        <v>-529</v>
      </c>
      <c r="AA2345">
        <v>695969</v>
      </c>
      <c r="AD2345" t="s">
        <v>6417</v>
      </c>
      <c r="AE2345" t="s">
        <v>6418</v>
      </c>
      <c r="AF2345" t="s">
        <v>6417</v>
      </c>
      <c r="AG2345">
        <v>75315333015998</v>
      </c>
      <c r="AH2345" t="s">
        <v>6419</v>
      </c>
    </row>
    <row r="2346" spans="1:34" x14ac:dyDescent="0.3">
      <c r="A2346">
        <v>101</v>
      </c>
      <c r="B2346" t="s">
        <v>34</v>
      </c>
      <c r="C2346">
        <v>4</v>
      </c>
      <c r="D2346" s="1" t="s">
        <v>6422</v>
      </c>
      <c r="E2346" t="s">
        <v>3134</v>
      </c>
      <c r="G2346">
        <v>434774</v>
      </c>
      <c r="H2346" t="s">
        <v>6416</v>
      </c>
      <c r="I2346" t="s">
        <v>3131</v>
      </c>
      <c r="J2346">
        <v>26</v>
      </c>
      <c r="K2346">
        <v>4716</v>
      </c>
      <c r="L2346">
        <v>10001</v>
      </c>
      <c r="M2346" t="s">
        <v>3135</v>
      </c>
      <c r="N2346">
        <v>584</v>
      </c>
      <c r="O2346" s="2">
        <v>46197</v>
      </c>
      <c r="P2346" s="2">
        <v>46329</v>
      </c>
      <c r="R2346" t="s">
        <v>3187</v>
      </c>
      <c r="S2346" t="str">
        <f>"08.0579034"</f>
        <v>08.0579034</v>
      </c>
      <c r="T2346" t="s">
        <v>41</v>
      </c>
      <c r="U2346">
        <v>346.48</v>
      </c>
      <c r="V2346">
        <v>346.48</v>
      </c>
      <c r="W2346">
        <v>346.48</v>
      </c>
      <c r="X2346">
        <v>0</v>
      </c>
      <c r="Y2346">
        <v>0</v>
      </c>
      <c r="Z2346">
        <v>-554</v>
      </c>
      <c r="AA2346">
        <v>692020</v>
      </c>
      <c r="AD2346" t="s">
        <v>6417</v>
      </c>
      <c r="AE2346" t="s">
        <v>6418</v>
      </c>
      <c r="AF2346" t="s">
        <v>6417</v>
      </c>
      <c r="AG2346">
        <v>75315333015998</v>
      </c>
      <c r="AH2346" t="s">
        <v>6419</v>
      </c>
    </row>
    <row r="2347" spans="1:34" x14ac:dyDescent="0.3">
      <c r="A2347">
        <v>101</v>
      </c>
      <c r="B2347" t="s">
        <v>34</v>
      </c>
      <c r="C2347">
        <v>4</v>
      </c>
      <c r="D2347" s="1" t="s">
        <v>6423</v>
      </c>
      <c r="E2347" t="s">
        <v>3134</v>
      </c>
      <c r="G2347">
        <v>434774</v>
      </c>
      <c r="H2347" t="s">
        <v>6416</v>
      </c>
      <c r="I2347" t="s">
        <v>3131</v>
      </c>
      <c r="J2347">
        <v>26</v>
      </c>
      <c r="K2347">
        <v>4716</v>
      </c>
      <c r="L2347">
        <v>10001</v>
      </c>
      <c r="M2347" t="s">
        <v>3135</v>
      </c>
      <c r="N2347">
        <v>584</v>
      </c>
      <c r="O2347" s="2">
        <v>46197</v>
      </c>
      <c r="P2347" s="2">
        <v>46329</v>
      </c>
      <c r="R2347" t="s">
        <v>3187</v>
      </c>
      <c r="S2347" t="str">
        <f>"08.0579034"</f>
        <v>08.0579034</v>
      </c>
      <c r="T2347" t="s">
        <v>41</v>
      </c>
      <c r="U2347">
        <v>29588.76</v>
      </c>
      <c r="V2347">
        <v>29588.76</v>
      </c>
      <c r="W2347">
        <v>29588.76</v>
      </c>
      <c r="X2347">
        <v>0</v>
      </c>
      <c r="Y2347">
        <v>0</v>
      </c>
      <c r="Z2347">
        <v>-554</v>
      </c>
      <c r="AA2347">
        <v>691972</v>
      </c>
      <c r="AD2347" t="s">
        <v>6417</v>
      </c>
      <c r="AE2347" t="s">
        <v>6418</v>
      </c>
      <c r="AF2347" t="s">
        <v>6417</v>
      </c>
      <c r="AG2347">
        <v>75315333015998</v>
      </c>
      <c r="AH2347" t="s">
        <v>6419</v>
      </c>
    </row>
    <row r="2348" spans="1:34" x14ac:dyDescent="0.3">
      <c r="A2348">
        <v>101</v>
      </c>
      <c r="B2348" t="s">
        <v>34</v>
      </c>
      <c r="C2348">
        <v>4</v>
      </c>
      <c r="D2348" s="1" t="s">
        <v>6424</v>
      </c>
      <c r="E2348" t="s">
        <v>3134</v>
      </c>
      <c r="G2348">
        <v>435002</v>
      </c>
      <c r="H2348" t="s">
        <v>6425</v>
      </c>
      <c r="I2348" t="s">
        <v>3131</v>
      </c>
      <c r="J2348">
        <v>26</v>
      </c>
      <c r="K2348">
        <v>4716</v>
      </c>
      <c r="L2348">
        <v>10001</v>
      </c>
      <c r="M2348" t="s">
        <v>3135</v>
      </c>
      <c r="N2348">
        <v>584</v>
      </c>
      <c r="O2348" s="2">
        <v>46197</v>
      </c>
      <c r="P2348" s="2">
        <v>46296</v>
      </c>
      <c r="R2348" t="s">
        <v>3179</v>
      </c>
      <c r="S2348" t="str">
        <f>"08.0576919"</f>
        <v>08.0576919</v>
      </c>
      <c r="T2348" t="s">
        <v>41</v>
      </c>
      <c r="U2348">
        <v>787.44</v>
      </c>
      <c r="V2348">
        <v>787.44</v>
      </c>
      <c r="W2348">
        <v>787.44</v>
      </c>
      <c r="X2348">
        <v>0</v>
      </c>
      <c r="Y2348">
        <v>0</v>
      </c>
      <c r="Z2348">
        <v>-521</v>
      </c>
      <c r="AA2348">
        <v>692014</v>
      </c>
      <c r="AD2348" t="s">
        <v>3042</v>
      </c>
      <c r="AE2348" t="s">
        <v>6418</v>
      </c>
      <c r="AF2348" t="s">
        <v>3042</v>
      </c>
      <c r="AG2348">
        <v>75315333013863</v>
      </c>
      <c r="AH2348" t="s">
        <v>3024</v>
      </c>
    </row>
    <row r="2349" spans="1:34" x14ac:dyDescent="0.3">
      <c r="A2349">
        <v>101</v>
      </c>
      <c r="B2349" t="s">
        <v>34</v>
      </c>
      <c r="C2349">
        <v>4</v>
      </c>
      <c r="D2349" s="1" t="s">
        <v>6426</v>
      </c>
      <c r="E2349" t="s">
        <v>3134</v>
      </c>
      <c r="G2349">
        <v>435002</v>
      </c>
      <c r="H2349" t="s">
        <v>6425</v>
      </c>
      <c r="I2349" t="s">
        <v>3131</v>
      </c>
      <c r="J2349">
        <v>26</v>
      </c>
      <c r="K2349">
        <v>4716</v>
      </c>
      <c r="L2349">
        <v>10001</v>
      </c>
      <c r="M2349" t="s">
        <v>3135</v>
      </c>
      <c r="N2349">
        <v>584</v>
      </c>
      <c r="O2349" s="2">
        <v>46197</v>
      </c>
      <c r="P2349" s="2">
        <v>46296</v>
      </c>
      <c r="R2349" t="s">
        <v>3179</v>
      </c>
      <c r="S2349" t="str">
        <f>"08.0576919"</f>
        <v>08.0576919</v>
      </c>
      <c r="T2349" t="s">
        <v>41</v>
      </c>
      <c r="U2349">
        <v>16032.73</v>
      </c>
      <c r="V2349">
        <v>16032.73</v>
      </c>
      <c r="W2349">
        <v>16032.73</v>
      </c>
      <c r="X2349">
        <v>0</v>
      </c>
      <c r="Y2349">
        <v>0</v>
      </c>
      <c r="Z2349">
        <v>-521</v>
      </c>
      <c r="AA2349">
        <v>691964</v>
      </c>
      <c r="AD2349" t="s">
        <v>3042</v>
      </c>
      <c r="AE2349" t="s">
        <v>6418</v>
      </c>
      <c r="AF2349" t="s">
        <v>3042</v>
      </c>
      <c r="AG2349">
        <v>75315333013863</v>
      </c>
      <c r="AH2349" t="s">
        <v>3024</v>
      </c>
    </row>
    <row r="2350" spans="1:34" x14ac:dyDescent="0.3">
      <c r="A2350">
        <v>104</v>
      </c>
      <c r="B2350" t="s">
        <v>34</v>
      </c>
      <c r="C2350">
        <v>4</v>
      </c>
      <c r="D2350" s="1" t="s">
        <v>6427</v>
      </c>
      <c r="E2350" s="1" t="s">
        <v>36</v>
      </c>
      <c r="G2350">
        <v>435002</v>
      </c>
      <c r="H2350" t="s">
        <v>6425</v>
      </c>
      <c r="I2350" t="s">
        <v>3131</v>
      </c>
      <c r="J2350">
        <v>26</v>
      </c>
      <c r="K2350">
        <v>4716</v>
      </c>
      <c r="L2350">
        <v>95000</v>
      </c>
      <c r="M2350" t="s">
        <v>69</v>
      </c>
      <c r="N2350">
        <v>584</v>
      </c>
      <c r="O2350" s="2">
        <v>46234</v>
      </c>
      <c r="P2350" s="2">
        <v>46304</v>
      </c>
      <c r="R2350" t="s">
        <v>6428</v>
      </c>
      <c r="S2350" t="str">
        <f>""</f>
        <v/>
      </c>
      <c r="T2350" t="s">
        <v>41</v>
      </c>
      <c r="U2350">
        <v>16122.49</v>
      </c>
      <c r="V2350">
        <v>15558.2</v>
      </c>
      <c r="W2350">
        <v>15558.2</v>
      </c>
      <c r="X2350">
        <v>0</v>
      </c>
      <c r="Y2350">
        <v>0</v>
      </c>
      <c r="Z2350">
        <v>-529</v>
      </c>
      <c r="AA2350">
        <v>695963</v>
      </c>
      <c r="AD2350" t="s">
        <v>3042</v>
      </c>
      <c r="AE2350" t="s">
        <v>6418</v>
      </c>
      <c r="AF2350" t="s">
        <v>3042</v>
      </c>
      <c r="AG2350">
        <v>75315333013863</v>
      </c>
      <c r="AH2350" t="s">
        <v>3024</v>
      </c>
    </row>
    <row r="2351" spans="1:34" x14ac:dyDescent="0.3">
      <c r="A2351">
        <v>101</v>
      </c>
      <c r="B2351" t="s">
        <v>34</v>
      </c>
      <c r="C2351">
        <v>4</v>
      </c>
      <c r="D2351" s="1" t="s">
        <v>6429</v>
      </c>
      <c r="E2351" t="s">
        <v>3134</v>
      </c>
      <c r="G2351">
        <v>435325</v>
      </c>
      <c r="H2351" t="s">
        <v>6430</v>
      </c>
      <c r="I2351" t="s">
        <v>6431</v>
      </c>
      <c r="J2351">
        <v>26</v>
      </c>
      <c r="K2351">
        <v>4716</v>
      </c>
      <c r="L2351">
        <v>10001</v>
      </c>
      <c r="M2351" t="s">
        <v>3135</v>
      </c>
      <c r="N2351">
        <v>584</v>
      </c>
      <c r="O2351" s="2">
        <v>46172</v>
      </c>
      <c r="P2351" s="2">
        <v>46296</v>
      </c>
      <c r="R2351" t="s">
        <v>3144</v>
      </c>
      <c r="S2351" t="str">
        <f>"07.0574661"</f>
        <v>07.0574661</v>
      </c>
      <c r="T2351" t="s">
        <v>41</v>
      </c>
      <c r="U2351">
        <v>27100.21</v>
      </c>
      <c r="V2351">
        <v>27100.21</v>
      </c>
      <c r="W2351">
        <v>27100.21</v>
      </c>
      <c r="X2351">
        <v>0</v>
      </c>
      <c r="Y2351">
        <v>0</v>
      </c>
      <c r="Z2351">
        <v>-521</v>
      </c>
      <c r="AA2351">
        <v>688521</v>
      </c>
      <c r="AD2351" t="s">
        <v>6432</v>
      </c>
      <c r="AE2351">
        <v>8833126998</v>
      </c>
      <c r="AF2351" t="s">
        <v>6432</v>
      </c>
      <c r="AG2351">
        <v>75315333017346</v>
      </c>
      <c r="AH2351" t="s">
        <v>3520</v>
      </c>
    </row>
    <row r="2352" spans="1:34" x14ac:dyDescent="0.3">
      <c r="A2352">
        <v>104</v>
      </c>
      <c r="B2352" t="s">
        <v>34</v>
      </c>
      <c r="C2352">
        <v>4</v>
      </c>
      <c r="D2352" s="1" t="s">
        <v>6433</v>
      </c>
      <c r="E2352" s="1" t="s">
        <v>36</v>
      </c>
      <c r="G2352">
        <v>435325</v>
      </c>
      <c r="H2352" t="s">
        <v>6430</v>
      </c>
      <c r="I2352" t="s">
        <v>6431</v>
      </c>
      <c r="J2352">
        <v>26</v>
      </c>
      <c r="K2352">
        <v>4716</v>
      </c>
      <c r="L2352">
        <v>95000</v>
      </c>
      <c r="M2352" t="s">
        <v>69</v>
      </c>
      <c r="N2352">
        <v>584</v>
      </c>
      <c r="O2352" s="2">
        <v>46251</v>
      </c>
      <c r="P2352" s="2">
        <v>46321</v>
      </c>
      <c r="R2352" t="s">
        <v>6434</v>
      </c>
      <c r="S2352" t="str">
        <f>""</f>
        <v/>
      </c>
      <c r="T2352" t="s">
        <v>41</v>
      </c>
      <c r="U2352">
        <v>21268.560000000001</v>
      </c>
      <c r="V2352">
        <v>19673.419999999998</v>
      </c>
      <c r="W2352">
        <v>19673.419999999998</v>
      </c>
      <c r="X2352">
        <v>0</v>
      </c>
      <c r="Y2352">
        <v>0</v>
      </c>
      <c r="Z2352">
        <v>-546</v>
      </c>
      <c r="AA2352">
        <v>696863</v>
      </c>
      <c r="AD2352" t="s">
        <v>6432</v>
      </c>
      <c r="AE2352">
        <v>8833126998</v>
      </c>
      <c r="AF2352" t="s">
        <v>6432</v>
      </c>
      <c r="AG2352">
        <v>75315333017346</v>
      </c>
      <c r="AH2352" t="s">
        <v>3520</v>
      </c>
    </row>
    <row r="2353" spans="1:34" x14ac:dyDescent="0.3">
      <c r="A2353">
        <v>101</v>
      </c>
      <c r="B2353" t="s">
        <v>34</v>
      </c>
      <c r="C2353">
        <v>4</v>
      </c>
      <c r="D2353" s="1" t="s">
        <v>6435</v>
      </c>
      <c r="E2353" t="s">
        <v>3134</v>
      </c>
      <c r="G2353">
        <v>435585</v>
      </c>
      <c r="H2353" t="s">
        <v>6436</v>
      </c>
      <c r="I2353" t="s">
        <v>3131</v>
      </c>
      <c r="J2353">
        <v>26</v>
      </c>
      <c r="K2353">
        <v>4716</v>
      </c>
      <c r="L2353">
        <v>10001</v>
      </c>
      <c r="M2353" t="s">
        <v>3135</v>
      </c>
      <c r="N2353">
        <v>584</v>
      </c>
      <c r="O2353" s="2">
        <v>46160</v>
      </c>
      <c r="P2353" s="2">
        <v>46266</v>
      </c>
      <c r="R2353" t="s">
        <v>3136</v>
      </c>
      <c r="S2353" t="str">
        <f>"07.0572790"</f>
        <v>07.0572790</v>
      </c>
      <c r="T2353" t="s">
        <v>41</v>
      </c>
      <c r="U2353">
        <v>39242.31</v>
      </c>
      <c r="V2353">
        <v>39242.31</v>
      </c>
      <c r="W2353">
        <v>39242.31</v>
      </c>
      <c r="X2353">
        <v>0</v>
      </c>
      <c r="Y2353">
        <v>0</v>
      </c>
      <c r="Z2353">
        <v>-491</v>
      </c>
      <c r="AA2353">
        <v>688519</v>
      </c>
      <c r="AD2353" t="s">
        <v>5008</v>
      </c>
      <c r="AE2353" t="s">
        <v>6418</v>
      </c>
      <c r="AF2353" t="s">
        <v>5008</v>
      </c>
      <c r="AG2353">
        <v>75315333016021</v>
      </c>
      <c r="AH2353" t="s">
        <v>3530</v>
      </c>
    </row>
    <row r="2354" spans="1:34" x14ac:dyDescent="0.3">
      <c r="A2354">
        <v>101</v>
      </c>
      <c r="B2354" t="s">
        <v>34</v>
      </c>
      <c r="C2354">
        <v>4</v>
      </c>
      <c r="D2354" s="1" t="s">
        <v>6437</v>
      </c>
      <c r="E2354" t="s">
        <v>3134</v>
      </c>
      <c r="G2354">
        <v>435585</v>
      </c>
      <c r="H2354" t="s">
        <v>6436</v>
      </c>
      <c r="I2354" t="s">
        <v>3131</v>
      </c>
      <c r="J2354">
        <v>26</v>
      </c>
      <c r="K2354">
        <v>4716</v>
      </c>
      <c r="L2354">
        <v>10001</v>
      </c>
      <c r="M2354" t="s">
        <v>3135</v>
      </c>
      <c r="N2354">
        <v>584</v>
      </c>
      <c r="O2354" s="2">
        <v>46183</v>
      </c>
      <c r="P2354" s="2">
        <v>46296</v>
      </c>
      <c r="R2354" t="s">
        <v>3144</v>
      </c>
      <c r="S2354" t="str">
        <f>"07.0574661"</f>
        <v>07.0574661</v>
      </c>
      <c r="T2354" t="s">
        <v>41</v>
      </c>
      <c r="U2354">
        <v>3057.12</v>
      </c>
      <c r="V2354">
        <v>3057.12</v>
      </c>
      <c r="W2354">
        <v>3057.12</v>
      </c>
      <c r="X2354">
        <v>0</v>
      </c>
      <c r="Y2354">
        <v>0</v>
      </c>
      <c r="Z2354">
        <v>-521</v>
      </c>
      <c r="AA2354">
        <v>688519</v>
      </c>
      <c r="AD2354" t="s">
        <v>5008</v>
      </c>
      <c r="AE2354" t="s">
        <v>6418</v>
      </c>
      <c r="AF2354" t="s">
        <v>5008</v>
      </c>
      <c r="AG2354">
        <v>75315333016021</v>
      </c>
      <c r="AH2354" t="s">
        <v>3530</v>
      </c>
    </row>
    <row r="2355" spans="1:34" x14ac:dyDescent="0.3">
      <c r="A2355">
        <v>104</v>
      </c>
      <c r="B2355" t="s">
        <v>34</v>
      </c>
      <c r="C2355">
        <v>4</v>
      </c>
      <c r="D2355" s="1" t="s">
        <v>6438</v>
      </c>
      <c r="E2355" s="1" t="s">
        <v>36</v>
      </c>
      <c r="G2355">
        <v>435634</v>
      </c>
      <c r="H2355" t="s">
        <v>6439</v>
      </c>
      <c r="I2355" t="s">
        <v>6440</v>
      </c>
      <c r="J2355">
        <v>26</v>
      </c>
      <c r="K2355">
        <v>4716</v>
      </c>
      <c r="L2355">
        <v>95000</v>
      </c>
      <c r="M2355" t="s">
        <v>69</v>
      </c>
      <c r="N2355">
        <v>584</v>
      </c>
      <c r="O2355" s="2">
        <v>46238</v>
      </c>
      <c r="P2355" s="2">
        <v>46328</v>
      </c>
      <c r="R2355" t="s">
        <v>6441</v>
      </c>
      <c r="S2355" t="str">
        <f>""</f>
        <v/>
      </c>
      <c r="T2355" t="s">
        <v>41</v>
      </c>
      <c r="U2355">
        <v>4823.18</v>
      </c>
      <c r="V2355">
        <v>4654.37</v>
      </c>
      <c r="W2355">
        <v>4654.37</v>
      </c>
      <c r="X2355">
        <v>0</v>
      </c>
      <c r="Y2355">
        <v>0</v>
      </c>
      <c r="Z2355">
        <v>-553</v>
      </c>
      <c r="AA2355">
        <v>696117</v>
      </c>
      <c r="AD2355" t="s">
        <v>6290</v>
      </c>
      <c r="AE2355" t="s">
        <v>6442</v>
      </c>
      <c r="AF2355" t="s">
        <v>6290</v>
      </c>
      <c r="AG2355">
        <v>75315333017184</v>
      </c>
      <c r="AH2355" t="s">
        <v>5494</v>
      </c>
    </row>
    <row r="2356" spans="1:34" x14ac:dyDescent="0.3">
      <c r="A2356">
        <v>104</v>
      </c>
      <c r="B2356" t="s">
        <v>34</v>
      </c>
      <c r="C2356">
        <v>4</v>
      </c>
      <c r="D2356" s="1" t="s">
        <v>6443</v>
      </c>
      <c r="E2356" s="1" t="s">
        <v>36</v>
      </c>
      <c r="G2356">
        <v>435718</v>
      </c>
      <c r="H2356" t="s">
        <v>6444</v>
      </c>
      <c r="I2356" t="s">
        <v>3131</v>
      </c>
      <c r="J2356">
        <v>26</v>
      </c>
      <c r="K2356">
        <v>4716</v>
      </c>
      <c r="L2356">
        <v>95000</v>
      </c>
      <c r="M2356" t="s">
        <v>69</v>
      </c>
      <c r="N2356">
        <v>584</v>
      </c>
      <c r="O2356" s="2">
        <v>46238</v>
      </c>
      <c r="P2356" s="2">
        <v>46328</v>
      </c>
      <c r="R2356" t="s">
        <v>6445</v>
      </c>
      <c r="S2356" t="str">
        <f>""</f>
        <v/>
      </c>
      <c r="T2356" t="s">
        <v>41</v>
      </c>
      <c r="U2356">
        <v>4674.04</v>
      </c>
      <c r="V2356">
        <v>4510.45</v>
      </c>
      <c r="W2356">
        <v>4510.45</v>
      </c>
      <c r="X2356">
        <v>0</v>
      </c>
      <c r="Y2356">
        <v>0</v>
      </c>
      <c r="Z2356">
        <v>-553</v>
      </c>
      <c r="AA2356">
        <v>696119</v>
      </c>
      <c r="AD2356" t="s">
        <v>6446</v>
      </c>
      <c r="AE2356" t="s">
        <v>6418</v>
      </c>
      <c r="AF2356" t="s">
        <v>6446</v>
      </c>
      <c r="AG2356">
        <v>75315333017265</v>
      </c>
      <c r="AH2356" t="s">
        <v>5494</v>
      </c>
    </row>
    <row r="2357" spans="1:34" x14ac:dyDescent="0.3">
      <c r="A2357">
        <v>104</v>
      </c>
      <c r="B2357" t="s">
        <v>34</v>
      </c>
      <c r="C2357">
        <v>4</v>
      </c>
      <c r="D2357" s="1" t="s">
        <v>6447</v>
      </c>
      <c r="E2357" s="1" t="s">
        <v>36</v>
      </c>
      <c r="G2357">
        <v>435841</v>
      </c>
      <c r="H2357" t="s">
        <v>6448</v>
      </c>
      <c r="I2357" t="s">
        <v>3131</v>
      </c>
      <c r="J2357">
        <v>26</v>
      </c>
      <c r="K2357">
        <v>4716</v>
      </c>
      <c r="L2357">
        <v>95000</v>
      </c>
      <c r="M2357" t="s">
        <v>69</v>
      </c>
      <c r="N2357">
        <v>584</v>
      </c>
      <c r="O2357" s="2">
        <v>46238</v>
      </c>
      <c r="P2357" s="2">
        <v>46329</v>
      </c>
      <c r="R2357" t="s">
        <v>6449</v>
      </c>
      <c r="S2357" t="str">
        <f>""</f>
        <v/>
      </c>
      <c r="T2357" t="s">
        <v>41</v>
      </c>
      <c r="U2357">
        <v>17012.03</v>
      </c>
      <c r="V2357">
        <v>15736.13</v>
      </c>
      <c r="W2357">
        <v>15736.13</v>
      </c>
      <c r="X2357">
        <v>0</v>
      </c>
      <c r="Y2357">
        <v>0</v>
      </c>
      <c r="Z2357">
        <v>-554</v>
      </c>
      <c r="AA2357">
        <v>696121</v>
      </c>
      <c r="AD2357" t="s">
        <v>6450</v>
      </c>
      <c r="AE2357">
        <v>1129679517</v>
      </c>
      <c r="AF2357" t="s">
        <v>6450</v>
      </c>
      <c r="AG2357">
        <v>75315333017770</v>
      </c>
      <c r="AH2357" t="s">
        <v>5494</v>
      </c>
    </row>
    <row r="2358" spans="1:34" x14ac:dyDescent="0.3">
      <c r="A2358">
        <v>104</v>
      </c>
      <c r="B2358" t="s">
        <v>34</v>
      </c>
      <c r="C2358">
        <v>4</v>
      </c>
      <c r="D2358" s="1" t="s">
        <v>6451</v>
      </c>
      <c r="E2358" s="1" t="s">
        <v>36</v>
      </c>
      <c r="G2358">
        <v>436118</v>
      </c>
      <c r="H2358" t="s">
        <v>6452</v>
      </c>
      <c r="I2358" t="s">
        <v>3131</v>
      </c>
      <c r="J2358">
        <v>26</v>
      </c>
      <c r="K2358">
        <v>4716</v>
      </c>
      <c r="L2358">
        <v>95000</v>
      </c>
      <c r="M2358" t="s">
        <v>69</v>
      </c>
      <c r="N2358">
        <v>584</v>
      </c>
      <c r="O2358" s="2">
        <v>46197</v>
      </c>
      <c r="P2358" s="2">
        <v>46329</v>
      </c>
      <c r="R2358" t="s">
        <v>6453</v>
      </c>
      <c r="S2358" t="str">
        <f>""</f>
        <v/>
      </c>
      <c r="T2358" t="s">
        <v>41</v>
      </c>
      <c r="U2358">
        <v>57476.4</v>
      </c>
      <c r="V2358">
        <v>55464.73</v>
      </c>
      <c r="W2358">
        <v>55464.73</v>
      </c>
      <c r="X2358">
        <v>0</v>
      </c>
      <c r="Y2358">
        <v>0</v>
      </c>
      <c r="Z2358">
        <v>-554</v>
      </c>
      <c r="AA2358">
        <v>691974</v>
      </c>
      <c r="AD2358" t="s">
        <v>6454</v>
      </c>
      <c r="AE2358" t="s">
        <v>6455</v>
      </c>
      <c r="AF2358" t="s">
        <v>64</v>
      </c>
      <c r="AG2358">
        <v>75315333017931</v>
      </c>
      <c r="AH2358" t="s">
        <v>44</v>
      </c>
    </row>
    <row r="2359" spans="1:34" x14ac:dyDescent="0.3">
      <c r="A2359">
        <v>104</v>
      </c>
      <c r="B2359" t="s">
        <v>34</v>
      </c>
      <c r="C2359">
        <v>4</v>
      </c>
      <c r="D2359" s="1" t="s">
        <v>6456</v>
      </c>
      <c r="E2359" s="1" t="s">
        <v>36</v>
      </c>
      <c r="G2359">
        <v>436118</v>
      </c>
      <c r="H2359" t="s">
        <v>6452</v>
      </c>
      <c r="I2359" t="s">
        <v>3131</v>
      </c>
      <c r="J2359">
        <v>26</v>
      </c>
      <c r="K2359">
        <v>4716</v>
      </c>
      <c r="L2359">
        <v>95000</v>
      </c>
      <c r="M2359" t="s">
        <v>69</v>
      </c>
      <c r="N2359">
        <v>584</v>
      </c>
      <c r="O2359" s="2">
        <v>46197</v>
      </c>
      <c r="P2359" s="2">
        <v>46329</v>
      </c>
      <c r="R2359" t="s">
        <v>6457</v>
      </c>
      <c r="S2359" t="str">
        <f>""</f>
        <v/>
      </c>
      <c r="T2359" t="s">
        <v>41</v>
      </c>
      <c r="U2359">
        <v>1077.1199999999999</v>
      </c>
      <c r="V2359">
        <v>1039.42</v>
      </c>
      <c r="W2359">
        <v>1039.42</v>
      </c>
      <c r="X2359">
        <v>0</v>
      </c>
      <c r="Y2359">
        <v>0</v>
      </c>
      <c r="Z2359">
        <v>-554</v>
      </c>
      <c r="AA2359">
        <v>692022</v>
      </c>
      <c r="AD2359" t="s">
        <v>6454</v>
      </c>
      <c r="AE2359" t="s">
        <v>6455</v>
      </c>
      <c r="AF2359" t="s">
        <v>64</v>
      </c>
      <c r="AG2359">
        <v>75315333017931</v>
      </c>
      <c r="AH2359" t="s">
        <v>44</v>
      </c>
    </row>
    <row r="2360" spans="1:34" x14ac:dyDescent="0.3">
      <c r="A2360">
        <v>104</v>
      </c>
      <c r="B2360" t="s">
        <v>34</v>
      </c>
      <c r="C2360">
        <v>4</v>
      </c>
      <c r="D2360" s="1" t="s">
        <v>6458</v>
      </c>
      <c r="E2360" s="1" t="s">
        <v>36</v>
      </c>
      <c r="G2360">
        <v>436118</v>
      </c>
      <c r="H2360" t="s">
        <v>6452</v>
      </c>
      <c r="I2360" t="s">
        <v>3131</v>
      </c>
      <c r="J2360">
        <v>26</v>
      </c>
      <c r="K2360">
        <v>4716</v>
      </c>
      <c r="L2360">
        <v>95000</v>
      </c>
      <c r="M2360" t="s">
        <v>69</v>
      </c>
      <c r="N2360">
        <v>584</v>
      </c>
      <c r="O2360" s="2">
        <v>46234</v>
      </c>
      <c r="P2360" s="2">
        <v>46304</v>
      </c>
      <c r="R2360" t="s">
        <v>6459</v>
      </c>
      <c r="S2360" t="str">
        <f>""</f>
        <v/>
      </c>
      <c r="T2360" t="s">
        <v>41</v>
      </c>
      <c r="U2360">
        <v>35057.839999999997</v>
      </c>
      <c r="V2360">
        <v>33830.82</v>
      </c>
      <c r="W2360">
        <v>33830.82</v>
      </c>
      <c r="X2360">
        <v>0</v>
      </c>
      <c r="Y2360">
        <v>0</v>
      </c>
      <c r="Z2360">
        <v>-529</v>
      </c>
      <c r="AA2360">
        <v>695971</v>
      </c>
      <c r="AD2360" t="s">
        <v>6454</v>
      </c>
      <c r="AE2360" t="s">
        <v>6455</v>
      </c>
      <c r="AF2360" t="s">
        <v>64</v>
      </c>
      <c r="AG2360">
        <v>75315333017931</v>
      </c>
      <c r="AH2360" t="s">
        <v>44</v>
      </c>
    </row>
    <row r="2361" spans="1:34" x14ac:dyDescent="0.3">
      <c r="A2361">
        <v>101</v>
      </c>
      <c r="B2361" t="s">
        <v>34</v>
      </c>
      <c r="C2361">
        <v>4</v>
      </c>
      <c r="D2361" s="1" t="s">
        <v>6460</v>
      </c>
      <c r="E2361" t="s">
        <v>3134</v>
      </c>
      <c r="G2361">
        <v>436118</v>
      </c>
      <c r="H2361" t="s">
        <v>6452</v>
      </c>
      <c r="I2361" t="s">
        <v>3131</v>
      </c>
      <c r="J2361">
        <v>26</v>
      </c>
      <c r="K2361">
        <v>4716</v>
      </c>
      <c r="L2361">
        <v>10001</v>
      </c>
      <c r="M2361" t="s">
        <v>3135</v>
      </c>
      <c r="N2361">
        <v>584</v>
      </c>
      <c r="O2361" s="2">
        <v>46162</v>
      </c>
      <c r="P2361" s="2">
        <v>46296</v>
      </c>
      <c r="R2361" t="s">
        <v>3144</v>
      </c>
      <c r="S2361" t="str">
        <f>"07.0574661"</f>
        <v>07.0574661</v>
      </c>
      <c r="T2361" t="s">
        <v>41</v>
      </c>
      <c r="U2361">
        <v>31552.880000000001</v>
      </c>
      <c r="V2361">
        <v>31552.880000000001</v>
      </c>
      <c r="W2361">
        <v>31552.880000000001</v>
      </c>
      <c r="X2361">
        <v>0</v>
      </c>
      <c r="Y2361">
        <v>0</v>
      </c>
      <c r="Z2361">
        <v>-521</v>
      </c>
      <c r="AA2361">
        <v>688479</v>
      </c>
      <c r="AD2361" t="s">
        <v>6454</v>
      </c>
      <c r="AE2361" t="s">
        <v>6455</v>
      </c>
      <c r="AF2361" t="s">
        <v>64</v>
      </c>
      <c r="AG2361">
        <v>75315333017931</v>
      </c>
      <c r="AH2361" t="s">
        <v>44</v>
      </c>
    </row>
    <row r="2362" spans="1:34" x14ac:dyDescent="0.3">
      <c r="A2362">
        <v>101</v>
      </c>
      <c r="B2362" t="s">
        <v>34</v>
      </c>
      <c r="C2362">
        <v>4</v>
      </c>
      <c r="D2362" s="1" t="s">
        <v>6461</v>
      </c>
      <c r="E2362" t="s">
        <v>3134</v>
      </c>
      <c r="G2362">
        <v>436263</v>
      </c>
      <c r="H2362" t="s">
        <v>6462</v>
      </c>
      <c r="I2362" t="s">
        <v>3131</v>
      </c>
      <c r="J2362">
        <v>26</v>
      </c>
      <c r="K2362">
        <v>4716</v>
      </c>
      <c r="L2362">
        <v>10001</v>
      </c>
      <c r="M2362" t="s">
        <v>3135</v>
      </c>
      <c r="N2362">
        <v>584</v>
      </c>
      <c r="O2362" s="2">
        <v>46211</v>
      </c>
      <c r="P2362" s="2">
        <v>46329</v>
      </c>
      <c r="R2362" t="s">
        <v>3187</v>
      </c>
      <c r="S2362" t="str">
        <f>"08.0579034"</f>
        <v>08.0579034</v>
      </c>
      <c r="T2362" t="s">
        <v>41</v>
      </c>
      <c r="U2362">
        <v>24172.15</v>
      </c>
      <c r="V2362">
        <v>24172.15</v>
      </c>
      <c r="W2362">
        <v>24172.15</v>
      </c>
      <c r="X2362">
        <v>0</v>
      </c>
      <c r="Y2362">
        <v>0</v>
      </c>
      <c r="Z2362">
        <v>-554</v>
      </c>
      <c r="AA2362">
        <v>693981</v>
      </c>
      <c r="AD2362" t="s">
        <v>5313</v>
      </c>
      <c r="AE2362" t="s">
        <v>6455</v>
      </c>
      <c r="AF2362" t="s">
        <v>5313</v>
      </c>
      <c r="AG2362">
        <v>75315333017427</v>
      </c>
      <c r="AH2362" t="s">
        <v>3698</v>
      </c>
    </row>
    <row r="2363" spans="1:34" x14ac:dyDescent="0.3">
      <c r="A2363">
        <v>101</v>
      </c>
      <c r="B2363" t="s">
        <v>34</v>
      </c>
      <c r="C2363">
        <v>4</v>
      </c>
      <c r="D2363" s="1" t="s">
        <v>6463</v>
      </c>
      <c r="E2363" t="s">
        <v>4694</v>
      </c>
      <c r="G2363">
        <v>436263</v>
      </c>
      <c r="H2363" t="s">
        <v>6462</v>
      </c>
      <c r="I2363" t="s">
        <v>3131</v>
      </c>
      <c r="J2363">
        <v>26</v>
      </c>
      <c r="K2363">
        <v>4716</v>
      </c>
      <c r="L2363">
        <v>10001</v>
      </c>
      <c r="M2363" t="s">
        <v>3135</v>
      </c>
      <c r="N2363">
        <v>584</v>
      </c>
      <c r="O2363" s="2">
        <v>46223</v>
      </c>
      <c r="P2363" s="2">
        <v>46329</v>
      </c>
      <c r="R2363" t="s">
        <v>3187</v>
      </c>
      <c r="S2363" t="str">
        <f>"08.0579034"</f>
        <v>08.0579034</v>
      </c>
      <c r="T2363" t="s">
        <v>41</v>
      </c>
      <c r="U2363">
        <v>328.56</v>
      </c>
      <c r="V2363">
        <v>328.56</v>
      </c>
      <c r="W2363">
        <v>328.56</v>
      </c>
      <c r="X2363">
        <v>0</v>
      </c>
      <c r="Y2363">
        <v>0</v>
      </c>
      <c r="Z2363">
        <v>-554</v>
      </c>
      <c r="AC2363" t="s">
        <v>6269</v>
      </c>
      <c r="AD2363" t="s">
        <v>5313</v>
      </c>
      <c r="AE2363" t="s">
        <v>6455</v>
      </c>
      <c r="AF2363" t="s">
        <v>5313</v>
      </c>
      <c r="AG2363">
        <v>75315333017427</v>
      </c>
      <c r="AH2363" t="s">
        <v>3698</v>
      </c>
    </row>
    <row r="2364" spans="1:34" x14ac:dyDescent="0.3">
      <c r="A2364">
        <v>101</v>
      </c>
      <c r="B2364" t="s">
        <v>34</v>
      </c>
      <c r="C2364">
        <v>4</v>
      </c>
      <c r="D2364" s="1" t="s">
        <v>6463</v>
      </c>
      <c r="E2364" t="s">
        <v>3134</v>
      </c>
      <c r="G2364">
        <v>436263</v>
      </c>
      <c r="H2364" t="s">
        <v>6462</v>
      </c>
      <c r="I2364" t="s">
        <v>3131</v>
      </c>
      <c r="J2364">
        <v>26</v>
      </c>
      <c r="K2364">
        <v>4716</v>
      </c>
      <c r="L2364">
        <v>10001</v>
      </c>
      <c r="M2364" t="s">
        <v>3135</v>
      </c>
      <c r="N2364">
        <v>584</v>
      </c>
      <c r="O2364" s="2">
        <v>46211</v>
      </c>
      <c r="P2364" s="2">
        <v>46329</v>
      </c>
      <c r="R2364" t="s">
        <v>3187</v>
      </c>
      <c r="S2364" t="str">
        <f>"08.0579034"</f>
        <v>08.0579034</v>
      </c>
      <c r="T2364" t="s">
        <v>41</v>
      </c>
      <c r="U2364">
        <v>2162.3000000000002</v>
      </c>
      <c r="V2364">
        <v>2162.3000000000002</v>
      </c>
      <c r="W2364">
        <v>2162.3000000000002</v>
      </c>
      <c r="X2364">
        <v>0</v>
      </c>
      <c r="Y2364">
        <v>0</v>
      </c>
      <c r="Z2364">
        <v>-554</v>
      </c>
      <c r="AA2364">
        <v>693923</v>
      </c>
      <c r="AD2364" t="s">
        <v>5313</v>
      </c>
      <c r="AE2364" t="s">
        <v>6455</v>
      </c>
      <c r="AF2364" t="s">
        <v>5313</v>
      </c>
      <c r="AG2364">
        <v>75315333017427</v>
      </c>
      <c r="AH2364" t="s">
        <v>3698</v>
      </c>
    </row>
    <row r="2365" spans="1:34" x14ac:dyDescent="0.3">
      <c r="A2365">
        <v>101</v>
      </c>
      <c r="B2365" t="s">
        <v>34</v>
      </c>
      <c r="C2365">
        <v>4</v>
      </c>
      <c r="D2365" s="1" t="s">
        <v>6464</v>
      </c>
      <c r="E2365" t="s">
        <v>3134</v>
      </c>
      <c r="G2365">
        <v>436551</v>
      </c>
      <c r="H2365" t="s">
        <v>6465</v>
      </c>
      <c r="I2365" t="s">
        <v>3131</v>
      </c>
      <c r="J2365">
        <v>26</v>
      </c>
      <c r="K2365">
        <v>4716</v>
      </c>
      <c r="L2365">
        <v>10001</v>
      </c>
      <c r="M2365" t="s">
        <v>3135</v>
      </c>
      <c r="N2365">
        <v>584</v>
      </c>
      <c r="O2365" s="2">
        <v>46162</v>
      </c>
      <c r="P2365" s="2">
        <v>46266</v>
      </c>
      <c r="R2365" t="s">
        <v>3136</v>
      </c>
      <c r="S2365" t="str">
        <f>"07.0572790"</f>
        <v>07.0572790</v>
      </c>
      <c r="T2365" t="s">
        <v>41</v>
      </c>
      <c r="U2365">
        <v>38154.89</v>
      </c>
      <c r="V2365">
        <v>38154.89</v>
      </c>
      <c r="W2365">
        <v>38154.89</v>
      </c>
      <c r="X2365">
        <v>0</v>
      </c>
      <c r="Y2365">
        <v>0</v>
      </c>
      <c r="Z2365">
        <v>-491</v>
      </c>
      <c r="AA2365">
        <v>688481</v>
      </c>
      <c r="AD2365" t="s">
        <v>5440</v>
      </c>
      <c r="AE2365">
        <v>1129678735</v>
      </c>
      <c r="AF2365" t="s">
        <v>5440</v>
      </c>
      <c r="AG2365">
        <v>75315333018237</v>
      </c>
      <c r="AH2365" t="s">
        <v>3024</v>
      </c>
    </row>
    <row r="2366" spans="1:34" x14ac:dyDescent="0.3">
      <c r="A2366">
        <v>101</v>
      </c>
      <c r="B2366" t="s">
        <v>34</v>
      </c>
      <c r="C2366">
        <v>4</v>
      </c>
      <c r="D2366" s="1" t="s">
        <v>6466</v>
      </c>
      <c r="E2366" t="s">
        <v>3134</v>
      </c>
      <c r="G2366">
        <v>436551</v>
      </c>
      <c r="H2366" t="s">
        <v>6465</v>
      </c>
      <c r="I2366" t="s">
        <v>3131</v>
      </c>
      <c r="J2366">
        <v>26</v>
      </c>
      <c r="K2366">
        <v>4716</v>
      </c>
      <c r="L2366">
        <v>10001</v>
      </c>
      <c r="M2366" t="s">
        <v>3135</v>
      </c>
      <c r="N2366">
        <v>584</v>
      </c>
      <c r="O2366" s="2">
        <v>46197</v>
      </c>
      <c r="P2366" s="2">
        <v>46311</v>
      </c>
      <c r="R2366" t="s">
        <v>3187</v>
      </c>
      <c r="S2366" t="str">
        <f>"08.0579034"</f>
        <v>08.0579034</v>
      </c>
      <c r="T2366" t="s">
        <v>41</v>
      </c>
      <c r="U2366">
        <v>1181.1600000000001</v>
      </c>
      <c r="V2366">
        <v>1181.1600000000001</v>
      </c>
      <c r="W2366">
        <v>1181.1600000000001</v>
      </c>
      <c r="X2366">
        <v>0</v>
      </c>
      <c r="Y2366">
        <v>0</v>
      </c>
      <c r="Z2366">
        <v>-536</v>
      </c>
      <c r="AA2366">
        <v>692024</v>
      </c>
      <c r="AD2366" t="s">
        <v>5440</v>
      </c>
      <c r="AE2366">
        <v>1129678735</v>
      </c>
      <c r="AF2366" t="s">
        <v>5440</v>
      </c>
      <c r="AG2366">
        <v>75315333018237</v>
      </c>
      <c r="AH2366" t="s">
        <v>3024</v>
      </c>
    </row>
    <row r="2367" spans="1:34" x14ac:dyDescent="0.3">
      <c r="A2367">
        <v>101</v>
      </c>
      <c r="B2367" t="s">
        <v>34</v>
      </c>
      <c r="C2367">
        <v>4</v>
      </c>
      <c r="D2367" s="1" t="s">
        <v>6467</v>
      </c>
      <c r="E2367" t="s">
        <v>3134</v>
      </c>
      <c r="G2367">
        <v>436551</v>
      </c>
      <c r="H2367" t="s">
        <v>6465</v>
      </c>
      <c r="I2367" t="s">
        <v>3131</v>
      </c>
      <c r="J2367">
        <v>26</v>
      </c>
      <c r="K2367">
        <v>4716</v>
      </c>
      <c r="L2367">
        <v>10001</v>
      </c>
      <c r="M2367" t="s">
        <v>3135</v>
      </c>
      <c r="N2367">
        <v>584</v>
      </c>
      <c r="O2367" s="2">
        <v>46197</v>
      </c>
      <c r="P2367" s="2">
        <v>46311</v>
      </c>
      <c r="R2367" t="s">
        <v>3187</v>
      </c>
      <c r="S2367" t="str">
        <f>"08.0579034"</f>
        <v>08.0579034</v>
      </c>
      <c r="T2367" t="s">
        <v>41</v>
      </c>
      <c r="U2367">
        <v>21065.38</v>
      </c>
      <c r="V2367">
        <v>21065.38</v>
      </c>
      <c r="W2367">
        <v>21065.38</v>
      </c>
      <c r="X2367">
        <v>0</v>
      </c>
      <c r="Y2367">
        <v>0</v>
      </c>
      <c r="Z2367">
        <v>-536</v>
      </c>
      <c r="AA2367">
        <v>691976</v>
      </c>
      <c r="AD2367" t="s">
        <v>5440</v>
      </c>
      <c r="AE2367">
        <v>1129678735</v>
      </c>
      <c r="AF2367" t="s">
        <v>5440</v>
      </c>
      <c r="AG2367">
        <v>75315333018237</v>
      </c>
      <c r="AH2367" t="s">
        <v>3024</v>
      </c>
    </row>
    <row r="2368" spans="1:34" x14ac:dyDescent="0.3">
      <c r="A2368">
        <v>104</v>
      </c>
      <c r="B2368" t="s">
        <v>34</v>
      </c>
      <c r="C2368">
        <v>4</v>
      </c>
      <c r="D2368" s="1" t="s">
        <v>6468</v>
      </c>
      <c r="E2368" s="1" t="s">
        <v>36</v>
      </c>
      <c r="G2368">
        <v>436551</v>
      </c>
      <c r="H2368" t="s">
        <v>6465</v>
      </c>
      <c r="I2368" t="s">
        <v>3131</v>
      </c>
      <c r="J2368">
        <v>26</v>
      </c>
      <c r="K2368">
        <v>4716</v>
      </c>
      <c r="L2368">
        <v>95000</v>
      </c>
      <c r="M2368" t="s">
        <v>69</v>
      </c>
      <c r="N2368">
        <v>584</v>
      </c>
      <c r="O2368" s="2">
        <v>46234</v>
      </c>
      <c r="P2368" s="2">
        <v>46329</v>
      </c>
      <c r="R2368" t="s">
        <v>6469</v>
      </c>
      <c r="S2368" t="str">
        <f>""</f>
        <v/>
      </c>
      <c r="T2368" t="s">
        <v>41</v>
      </c>
      <c r="U2368">
        <v>13292.35</v>
      </c>
      <c r="V2368">
        <v>12827.12</v>
      </c>
      <c r="W2368">
        <v>12827.12</v>
      </c>
      <c r="X2368">
        <v>0</v>
      </c>
      <c r="Y2368">
        <v>0</v>
      </c>
      <c r="Z2368">
        <v>-554</v>
      </c>
      <c r="AA2368">
        <v>695973</v>
      </c>
      <c r="AD2368" t="s">
        <v>5440</v>
      </c>
      <c r="AE2368">
        <v>1129678735</v>
      </c>
      <c r="AF2368" t="s">
        <v>5440</v>
      </c>
      <c r="AG2368">
        <v>75315333018237</v>
      </c>
      <c r="AH2368" t="s">
        <v>3024</v>
      </c>
    </row>
    <row r="2369" spans="1:34" x14ac:dyDescent="0.3">
      <c r="A2369">
        <v>101</v>
      </c>
      <c r="B2369" t="s">
        <v>34</v>
      </c>
      <c r="C2369">
        <v>4</v>
      </c>
      <c r="D2369" s="1" t="s">
        <v>6470</v>
      </c>
      <c r="E2369" t="s">
        <v>3134</v>
      </c>
      <c r="G2369">
        <v>436813</v>
      </c>
      <c r="H2369" t="s">
        <v>6471</v>
      </c>
      <c r="I2369" t="s">
        <v>3131</v>
      </c>
      <c r="J2369">
        <v>26</v>
      </c>
      <c r="K2369">
        <v>4716</v>
      </c>
      <c r="L2369">
        <v>10001</v>
      </c>
      <c r="M2369" t="s">
        <v>3135</v>
      </c>
      <c r="N2369">
        <v>584</v>
      </c>
      <c r="O2369" s="2">
        <v>46172</v>
      </c>
      <c r="P2369" s="2">
        <v>46266</v>
      </c>
      <c r="R2369" t="s">
        <v>3179</v>
      </c>
      <c r="S2369" t="str">
        <f>"08.0576919"</f>
        <v>08.0576919</v>
      </c>
      <c r="T2369" t="s">
        <v>41</v>
      </c>
      <c r="U2369">
        <v>33736.15</v>
      </c>
      <c r="V2369">
        <v>33736.15</v>
      </c>
      <c r="W2369">
        <v>33736.15</v>
      </c>
      <c r="X2369">
        <v>0</v>
      </c>
      <c r="Y2369">
        <v>0</v>
      </c>
      <c r="Z2369">
        <v>-491</v>
      </c>
      <c r="AA2369">
        <v>689560</v>
      </c>
      <c r="AD2369" t="s">
        <v>6472</v>
      </c>
      <c r="AE2369">
        <v>1129678735</v>
      </c>
      <c r="AF2369" t="s">
        <v>6472</v>
      </c>
      <c r="AG2369">
        <v>75315333018660</v>
      </c>
      <c r="AH2369" t="s">
        <v>5569</v>
      </c>
    </row>
    <row r="2370" spans="1:34" x14ac:dyDescent="0.3">
      <c r="A2370">
        <v>101</v>
      </c>
      <c r="B2370" t="s">
        <v>34</v>
      </c>
      <c r="C2370">
        <v>4</v>
      </c>
      <c r="D2370" s="1" t="s">
        <v>6473</v>
      </c>
      <c r="E2370" t="s">
        <v>3134</v>
      </c>
      <c r="G2370">
        <v>438729</v>
      </c>
      <c r="H2370" t="s">
        <v>6474</v>
      </c>
      <c r="I2370" t="s">
        <v>3131</v>
      </c>
      <c r="J2370">
        <v>26</v>
      </c>
      <c r="K2370">
        <v>4716</v>
      </c>
      <c r="L2370">
        <v>10001</v>
      </c>
      <c r="M2370" t="s">
        <v>3135</v>
      </c>
      <c r="N2370">
        <v>584</v>
      </c>
      <c r="O2370" s="2">
        <v>46211</v>
      </c>
      <c r="P2370" s="2">
        <v>46311</v>
      </c>
      <c r="R2370" t="s">
        <v>3187</v>
      </c>
      <c r="S2370" t="str">
        <f>"08.0579034"</f>
        <v>08.0579034</v>
      </c>
      <c r="T2370" t="s">
        <v>41</v>
      </c>
      <c r="U2370">
        <v>1524.34</v>
      </c>
      <c r="V2370">
        <v>1524.34</v>
      </c>
      <c r="W2370">
        <v>1524.34</v>
      </c>
      <c r="X2370">
        <v>0</v>
      </c>
      <c r="Y2370">
        <v>0</v>
      </c>
      <c r="Z2370">
        <v>-536</v>
      </c>
      <c r="AA2370">
        <v>693925</v>
      </c>
      <c r="AD2370" t="s">
        <v>6475</v>
      </c>
      <c r="AE2370">
        <v>1129678735</v>
      </c>
      <c r="AF2370" t="s">
        <v>6475</v>
      </c>
      <c r="AG2370">
        <v>75315333019390</v>
      </c>
      <c r="AH2370" t="s">
        <v>3698</v>
      </c>
    </row>
    <row r="2371" spans="1:34" x14ac:dyDescent="0.3">
      <c r="A2371">
        <v>101</v>
      </c>
      <c r="B2371" t="s">
        <v>34</v>
      </c>
      <c r="C2371">
        <v>4</v>
      </c>
      <c r="D2371" s="1" t="s">
        <v>6473</v>
      </c>
      <c r="E2371" t="s">
        <v>4694</v>
      </c>
      <c r="G2371">
        <v>438729</v>
      </c>
      <c r="H2371" t="s">
        <v>6474</v>
      </c>
      <c r="I2371" t="s">
        <v>3131</v>
      </c>
      <c r="J2371">
        <v>26</v>
      </c>
      <c r="K2371">
        <v>4716</v>
      </c>
      <c r="L2371">
        <v>10001</v>
      </c>
      <c r="M2371" t="s">
        <v>3135</v>
      </c>
      <c r="N2371">
        <v>584</v>
      </c>
      <c r="O2371" s="2">
        <v>46223</v>
      </c>
      <c r="P2371" s="2">
        <v>46311</v>
      </c>
      <c r="R2371" t="s">
        <v>3187</v>
      </c>
      <c r="S2371" t="str">
        <f>"08.0579034"</f>
        <v>08.0579034</v>
      </c>
      <c r="T2371" t="s">
        <v>41</v>
      </c>
      <c r="U2371">
        <v>260.83999999999997</v>
      </c>
      <c r="V2371">
        <v>260.83999999999997</v>
      </c>
      <c r="W2371">
        <v>260.83999999999997</v>
      </c>
      <c r="X2371">
        <v>0</v>
      </c>
      <c r="Y2371">
        <v>0</v>
      </c>
      <c r="Z2371">
        <v>-536</v>
      </c>
      <c r="AC2371" t="s">
        <v>6269</v>
      </c>
      <c r="AD2371" t="s">
        <v>6475</v>
      </c>
      <c r="AE2371">
        <v>1129678735</v>
      </c>
      <c r="AF2371" t="s">
        <v>6475</v>
      </c>
      <c r="AG2371">
        <v>75315333019390</v>
      </c>
      <c r="AH2371" t="s">
        <v>3698</v>
      </c>
    </row>
    <row r="2372" spans="1:34" x14ac:dyDescent="0.3">
      <c r="A2372">
        <v>101</v>
      </c>
      <c r="B2372" t="s">
        <v>34</v>
      </c>
      <c r="C2372">
        <v>4</v>
      </c>
      <c r="D2372" s="1" t="s">
        <v>6476</v>
      </c>
      <c r="E2372" t="s">
        <v>3134</v>
      </c>
      <c r="G2372">
        <v>438729</v>
      </c>
      <c r="H2372" t="s">
        <v>6474</v>
      </c>
      <c r="I2372" t="s">
        <v>3131</v>
      </c>
      <c r="J2372">
        <v>26</v>
      </c>
      <c r="K2372">
        <v>4716</v>
      </c>
      <c r="L2372">
        <v>10001</v>
      </c>
      <c r="M2372" t="s">
        <v>3135</v>
      </c>
      <c r="N2372">
        <v>584</v>
      </c>
      <c r="O2372" s="2">
        <v>46211</v>
      </c>
      <c r="P2372" s="2">
        <v>46311</v>
      </c>
      <c r="R2372" t="s">
        <v>3187</v>
      </c>
      <c r="S2372" t="str">
        <f>"08.0579034"</f>
        <v>08.0579034</v>
      </c>
      <c r="T2372" t="s">
        <v>41</v>
      </c>
      <c r="U2372">
        <v>19197.939999999999</v>
      </c>
      <c r="V2372">
        <v>19197.939999999999</v>
      </c>
      <c r="W2372">
        <v>19197.939999999999</v>
      </c>
      <c r="X2372">
        <v>0</v>
      </c>
      <c r="Y2372">
        <v>0</v>
      </c>
      <c r="Z2372">
        <v>-536</v>
      </c>
      <c r="AA2372">
        <v>693983</v>
      </c>
      <c r="AD2372" t="s">
        <v>6475</v>
      </c>
      <c r="AE2372">
        <v>1129678735</v>
      </c>
      <c r="AF2372" t="s">
        <v>6475</v>
      </c>
      <c r="AG2372">
        <v>75315333019390</v>
      </c>
      <c r="AH2372" t="s">
        <v>3698</v>
      </c>
    </row>
    <row r="2373" spans="1:34" x14ac:dyDescent="0.3">
      <c r="A2373">
        <v>104</v>
      </c>
      <c r="B2373" t="s">
        <v>34</v>
      </c>
      <c r="C2373">
        <v>4</v>
      </c>
      <c r="D2373" s="1" t="s">
        <v>6477</v>
      </c>
      <c r="E2373" s="1" t="s">
        <v>36</v>
      </c>
      <c r="G2373">
        <v>438977</v>
      </c>
      <c r="H2373" t="s">
        <v>6478</v>
      </c>
      <c r="I2373" t="s">
        <v>3131</v>
      </c>
      <c r="J2373">
        <v>26</v>
      </c>
      <c r="K2373">
        <v>4716</v>
      </c>
      <c r="L2373">
        <v>95000</v>
      </c>
      <c r="M2373" t="s">
        <v>69</v>
      </c>
      <c r="N2373">
        <v>584</v>
      </c>
      <c r="O2373" s="2">
        <v>46197</v>
      </c>
      <c r="P2373" s="2">
        <v>46327</v>
      </c>
      <c r="R2373" t="s">
        <v>6479</v>
      </c>
      <c r="S2373" t="str">
        <f>""</f>
        <v/>
      </c>
      <c r="T2373" t="s">
        <v>41</v>
      </c>
      <c r="U2373">
        <v>321.3</v>
      </c>
      <c r="V2373">
        <v>310.05</v>
      </c>
      <c r="W2373">
        <v>310.05</v>
      </c>
      <c r="X2373">
        <v>0</v>
      </c>
      <c r="Y2373">
        <v>0</v>
      </c>
      <c r="Z2373">
        <v>-552</v>
      </c>
      <c r="AA2373">
        <v>692026</v>
      </c>
      <c r="AD2373" t="s">
        <v>6376</v>
      </c>
      <c r="AE2373">
        <v>1129678537</v>
      </c>
      <c r="AF2373" t="s">
        <v>6376</v>
      </c>
      <c r="AG2373">
        <v>75315333018822</v>
      </c>
      <c r="AH2373" t="s">
        <v>6480</v>
      </c>
    </row>
    <row r="2374" spans="1:34" x14ac:dyDescent="0.3">
      <c r="A2374">
        <v>104</v>
      </c>
      <c r="B2374" t="s">
        <v>34</v>
      </c>
      <c r="C2374">
        <v>4</v>
      </c>
      <c r="D2374" s="1" t="s">
        <v>6481</v>
      </c>
      <c r="E2374" s="1" t="s">
        <v>36</v>
      </c>
      <c r="G2374">
        <v>438977</v>
      </c>
      <c r="H2374" t="s">
        <v>6478</v>
      </c>
      <c r="I2374" t="s">
        <v>3131</v>
      </c>
      <c r="J2374">
        <v>26</v>
      </c>
      <c r="K2374">
        <v>4716</v>
      </c>
      <c r="L2374">
        <v>95000</v>
      </c>
      <c r="M2374" t="s">
        <v>69</v>
      </c>
      <c r="N2374">
        <v>584</v>
      </c>
      <c r="O2374" s="2">
        <v>46197</v>
      </c>
      <c r="P2374" s="2">
        <v>46327</v>
      </c>
      <c r="R2374" t="s">
        <v>6482</v>
      </c>
      <c r="S2374" t="str">
        <f>""</f>
        <v/>
      </c>
      <c r="T2374" t="s">
        <v>41</v>
      </c>
      <c r="U2374">
        <v>36681.279999999999</v>
      </c>
      <c r="V2374">
        <v>35397.440000000002</v>
      </c>
      <c r="W2374">
        <v>35397.440000000002</v>
      </c>
      <c r="X2374">
        <v>0</v>
      </c>
      <c r="Y2374">
        <v>0</v>
      </c>
      <c r="Z2374">
        <v>-552</v>
      </c>
      <c r="AA2374">
        <v>691978</v>
      </c>
      <c r="AD2374" t="s">
        <v>6376</v>
      </c>
      <c r="AE2374">
        <v>1129678537</v>
      </c>
      <c r="AF2374" t="s">
        <v>6376</v>
      </c>
      <c r="AG2374">
        <v>75315333018822</v>
      </c>
      <c r="AH2374" t="s">
        <v>6480</v>
      </c>
    </row>
    <row r="2375" spans="1:34" x14ac:dyDescent="0.3">
      <c r="A2375">
        <v>104</v>
      </c>
      <c r="B2375" t="s">
        <v>34</v>
      </c>
      <c r="C2375">
        <v>4</v>
      </c>
      <c r="D2375" s="1" t="s">
        <v>6483</v>
      </c>
      <c r="E2375" s="1" t="s">
        <v>36</v>
      </c>
      <c r="G2375">
        <v>438977</v>
      </c>
      <c r="H2375" t="s">
        <v>6478</v>
      </c>
      <c r="I2375" t="s">
        <v>3131</v>
      </c>
      <c r="J2375">
        <v>26</v>
      </c>
      <c r="K2375">
        <v>4716</v>
      </c>
      <c r="L2375">
        <v>95000</v>
      </c>
      <c r="M2375" t="s">
        <v>69</v>
      </c>
      <c r="N2375">
        <v>584</v>
      </c>
      <c r="O2375" s="2">
        <v>46234</v>
      </c>
      <c r="P2375" s="2">
        <v>46304</v>
      </c>
      <c r="R2375" t="s">
        <v>6484</v>
      </c>
      <c r="S2375" t="str">
        <f>""</f>
        <v/>
      </c>
      <c r="T2375" t="s">
        <v>41</v>
      </c>
      <c r="U2375">
        <v>2203.7199999999998</v>
      </c>
      <c r="V2375">
        <v>2126.59</v>
      </c>
      <c r="W2375">
        <v>2126.59</v>
      </c>
      <c r="X2375">
        <v>0</v>
      </c>
      <c r="Y2375">
        <v>0</v>
      </c>
      <c r="Z2375">
        <v>-529</v>
      </c>
      <c r="AA2375">
        <v>695975</v>
      </c>
      <c r="AD2375" t="s">
        <v>6376</v>
      </c>
      <c r="AE2375">
        <v>1129678537</v>
      </c>
      <c r="AF2375" t="s">
        <v>6376</v>
      </c>
      <c r="AG2375">
        <v>75315333018822</v>
      </c>
      <c r="AH2375" t="s">
        <v>6480</v>
      </c>
    </row>
    <row r="2376" spans="1:34" x14ac:dyDescent="0.3">
      <c r="A2376">
        <v>101</v>
      </c>
      <c r="B2376" t="s">
        <v>34</v>
      </c>
      <c r="C2376">
        <v>4</v>
      </c>
      <c r="D2376" s="1" t="s">
        <v>6485</v>
      </c>
      <c r="E2376" t="s">
        <v>3134</v>
      </c>
      <c r="G2376">
        <v>438977</v>
      </c>
      <c r="H2376" t="s">
        <v>6478</v>
      </c>
      <c r="I2376" t="s">
        <v>3131</v>
      </c>
      <c r="J2376">
        <v>26</v>
      </c>
      <c r="K2376">
        <v>4716</v>
      </c>
      <c r="L2376">
        <v>10001</v>
      </c>
      <c r="M2376" t="s">
        <v>3135</v>
      </c>
      <c r="N2376">
        <v>584</v>
      </c>
      <c r="O2376" s="2">
        <v>46162</v>
      </c>
      <c r="P2376" s="2">
        <v>46296</v>
      </c>
      <c r="R2376" t="s">
        <v>3144</v>
      </c>
      <c r="S2376" t="str">
        <f>"07.0574661"</f>
        <v>07.0574661</v>
      </c>
      <c r="T2376" t="s">
        <v>41</v>
      </c>
      <c r="U2376">
        <v>17110.03</v>
      </c>
      <c r="V2376">
        <v>17110.03</v>
      </c>
      <c r="W2376">
        <v>17110.03</v>
      </c>
      <c r="X2376">
        <v>0</v>
      </c>
      <c r="Y2376">
        <v>0</v>
      </c>
      <c r="Z2376">
        <v>-521</v>
      </c>
      <c r="AA2376">
        <v>688483</v>
      </c>
      <c r="AD2376" t="s">
        <v>6376</v>
      </c>
      <c r="AE2376">
        <v>1129678537</v>
      </c>
      <c r="AF2376" t="s">
        <v>6376</v>
      </c>
      <c r="AG2376">
        <v>75315333018822</v>
      </c>
      <c r="AH2376" t="s">
        <v>6480</v>
      </c>
    </row>
    <row r="2377" spans="1:34" x14ac:dyDescent="0.3">
      <c r="A2377">
        <v>101</v>
      </c>
      <c r="B2377" t="s">
        <v>34</v>
      </c>
      <c r="C2377">
        <v>4</v>
      </c>
      <c r="D2377" s="1" t="s">
        <v>6486</v>
      </c>
      <c r="E2377" t="s">
        <v>3134</v>
      </c>
      <c r="G2377">
        <v>441491</v>
      </c>
      <c r="H2377" t="s">
        <v>6487</v>
      </c>
      <c r="I2377" t="s">
        <v>3131</v>
      </c>
      <c r="J2377">
        <v>26</v>
      </c>
      <c r="K2377">
        <v>4716</v>
      </c>
      <c r="L2377">
        <v>10001</v>
      </c>
      <c r="M2377" t="s">
        <v>3135</v>
      </c>
      <c r="N2377">
        <v>584</v>
      </c>
      <c r="O2377" s="2">
        <v>46190</v>
      </c>
      <c r="P2377" s="2">
        <v>46281</v>
      </c>
      <c r="R2377" t="s">
        <v>3144</v>
      </c>
      <c r="S2377" t="str">
        <f>"07.0574661"</f>
        <v>07.0574661</v>
      </c>
      <c r="T2377" t="s">
        <v>41</v>
      </c>
      <c r="U2377">
        <v>7188.88</v>
      </c>
      <c r="V2377">
        <v>7188.88</v>
      </c>
      <c r="W2377">
        <v>7188.88</v>
      </c>
      <c r="X2377">
        <v>0</v>
      </c>
      <c r="Y2377">
        <v>0</v>
      </c>
      <c r="Z2377">
        <v>-506</v>
      </c>
      <c r="AA2377">
        <v>691611</v>
      </c>
      <c r="AD2377" t="s">
        <v>6488</v>
      </c>
      <c r="AE2377" t="s">
        <v>3197</v>
      </c>
      <c r="AF2377" t="s">
        <v>6488</v>
      </c>
      <c r="AG2377">
        <v>75315333019802</v>
      </c>
      <c r="AH2377" t="s">
        <v>4609</v>
      </c>
    </row>
    <row r="2378" spans="1:34" x14ac:dyDescent="0.3">
      <c r="A2378">
        <v>101</v>
      </c>
      <c r="B2378" t="s">
        <v>34</v>
      </c>
      <c r="C2378">
        <v>4</v>
      </c>
      <c r="D2378" s="1" t="s">
        <v>6489</v>
      </c>
      <c r="E2378" t="s">
        <v>3134</v>
      </c>
      <c r="G2378">
        <v>441491</v>
      </c>
      <c r="H2378" t="s">
        <v>6487</v>
      </c>
      <c r="I2378" t="s">
        <v>3131</v>
      </c>
      <c r="J2378">
        <v>26</v>
      </c>
      <c r="K2378">
        <v>4716</v>
      </c>
      <c r="L2378">
        <v>10001</v>
      </c>
      <c r="M2378" t="s">
        <v>3135</v>
      </c>
      <c r="N2378">
        <v>584</v>
      </c>
      <c r="O2378" s="2">
        <v>46190</v>
      </c>
      <c r="P2378" s="2">
        <v>46281</v>
      </c>
      <c r="R2378" t="s">
        <v>3144</v>
      </c>
      <c r="S2378" t="str">
        <f>"07.0574661"</f>
        <v>07.0574661</v>
      </c>
      <c r="T2378" t="s">
        <v>41</v>
      </c>
      <c r="U2378">
        <v>318.45</v>
      </c>
      <c r="V2378">
        <v>318.45</v>
      </c>
      <c r="W2378">
        <v>318.45</v>
      </c>
      <c r="X2378">
        <v>0</v>
      </c>
      <c r="Y2378">
        <v>0</v>
      </c>
      <c r="Z2378">
        <v>-506</v>
      </c>
      <c r="AA2378">
        <v>691667</v>
      </c>
      <c r="AD2378" t="s">
        <v>6488</v>
      </c>
      <c r="AE2378" t="s">
        <v>3197</v>
      </c>
      <c r="AF2378" t="s">
        <v>6488</v>
      </c>
      <c r="AG2378">
        <v>75315333019802</v>
      </c>
      <c r="AH2378" t="s">
        <v>4609</v>
      </c>
    </row>
    <row r="2379" spans="1:34" x14ac:dyDescent="0.3">
      <c r="A2379">
        <v>104</v>
      </c>
      <c r="B2379" t="s">
        <v>34</v>
      </c>
      <c r="C2379">
        <v>4</v>
      </c>
      <c r="D2379" s="1" t="s">
        <v>6490</v>
      </c>
      <c r="E2379" s="1" t="s">
        <v>36</v>
      </c>
      <c r="G2379">
        <v>443465</v>
      </c>
      <c r="H2379" t="s">
        <v>6491</v>
      </c>
      <c r="I2379" t="s">
        <v>3131</v>
      </c>
      <c r="J2379">
        <v>26</v>
      </c>
      <c r="K2379">
        <v>4716</v>
      </c>
      <c r="L2379">
        <v>95000</v>
      </c>
      <c r="M2379" t="s">
        <v>69</v>
      </c>
      <c r="N2379">
        <v>584</v>
      </c>
      <c r="O2379" s="2">
        <v>46234</v>
      </c>
      <c r="P2379" s="2">
        <v>46328</v>
      </c>
      <c r="R2379" t="s">
        <v>6492</v>
      </c>
      <c r="S2379" t="str">
        <f>""</f>
        <v/>
      </c>
      <c r="T2379" t="s">
        <v>41</v>
      </c>
      <c r="U2379">
        <v>28014.57</v>
      </c>
      <c r="V2379">
        <v>27034.06</v>
      </c>
      <c r="W2379">
        <v>27034.06</v>
      </c>
      <c r="X2379">
        <v>0</v>
      </c>
      <c r="Y2379">
        <v>0</v>
      </c>
      <c r="Z2379">
        <v>-553</v>
      </c>
      <c r="AA2379">
        <v>695977</v>
      </c>
      <c r="AD2379" t="s">
        <v>6493</v>
      </c>
      <c r="AE2379" t="s">
        <v>6494</v>
      </c>
      <c r="AF2379" t="s">
        <v>64</v>
      </c>
      <c r="AG2379">
        <v>75315333020053</v>
      </c>
      <c r="AH2379" t="s">
        <v>44</v>
      </c>
    </row>
    <row r="2380" spans="1:34" x14ac:dyDescent="0.3">
      <c r="A2380">
        <v>101</v>
      </c>
      <c r="B2380" t="s">
        <v>34</v>
      </c>
      <c r="C2380">
        <v>4</v>
      </c>
      <c r="D2380" s="1" t="s">
        <v>6495</v>
      </c>
      <c r="E2380" t="s">
        <v>3134</v>
      </c>
      <c r="G2380">
        <v>443465</v>
      </c>
      <c r="H2380" t="s">
        <v>6491</v>
      </c>
      <c r="I2380" t="s">
        <v>3131</v>
      </c>
      <c r="J2380">
        <v>26</v>
      </c>
      <c r="K2380">
        <v>4716</v>
      </c>
      <c r="L2380">
        <v>10001</v>
      </c>
      <c r="M2380" t="s">
        <v>3135</v>
      </c>
      <c r="N2380">
        <v>584</v>
      </c>
      <c r="O2380" s="2">
        <v>46162</v>
      </c>
      <c r="P2380" s="2">
        <v>46266</v>
      </c>
      <c r="R2380" t="s">
        <v>3136</v>
      </c>
      <c r="S2380" t="str">
        <f>"07.0572790"</f>
        <v>07.0572790</v>
      </c>
      <c r="T2380" t="s">
        <v>41</v>
      </c>
      <c r="U2380">
        <v>29957.31</v>
      </c>
      <c r="V2380">
        <v>29957.31</v>
      </c>
      <c r="W2380">
        <v>29957.31</v>
      </c>
      <c r="X2380">
        <v>0</v>
      </c>
      <c r="Y2380">
        <v>0</v>
      </c>
      <c r="Z2380">
        <v>-491</v>
      </c>
      <c r="AA2380">
        <v>688485</v>
      </c>
      <c r="AD2380" t="s">
        <v>6493</v>
      </c>
      <c r="AE2380" t="s">
        <v>6494</v>
      </c>
      <c r="AF2380" t="s">
        <v>64</v>
      </c>
      <c r="AG2380">
        <v>75315333020053</v>
      </c>
      <c r="AH2380" t="s">
        <v>44</v>
      </c>
    </row>
    <row r="2381" spans="1:34" x14ac:dyDescent="0.3">
      <c r="A2381">
        <v>101</v>
      </c>
      <c r="B2381" t="s">
        <v>34</v>
      </c>
      <c r="C2381">
        <v>4</v>
      </c>
      <c r="D2381" s="1" t="s">
        <v>6496</v>
      </c>
      <c r="E2381" t="s">
        <v>3134</v>
      </c>
      <c r="G2381">
        <v>443465</v>
      </c>
      <c r="H2381" t="s">
        <v>6491</v>
      </c>
      <c r="I2381" t="s">
        <v>3131</v>
      </c>
      <c r="J2381">
        <v>26</v>
      </c>
      <c r="K2381">
        <v>4716</v>
      </c>
      <c r="L2381">
        <v>10001</v>
      </c>
      <c r="M2381" t="s">
        <v>3135</v>
      </c>
      <c r="N2381">
        <v>584</v>
      </c>
      <c r="O2381" s="2">
        <v>46197</v>
      </c>
      <c r="P2381" s="2">
        <v>46296</v>
      </c>
      <c r="R2381" t="s">
        <v>3179</v>
      </c>
      <c r="S2381" t="str">
        <f>"08.0576919"</f>
        <v>08.0576919</v>
      </c>
      <c r="T2381" t="s">
        <v>41</v>
      </c>
      <c r="U2381">
        <v>1574.88</v>
      </c>
      <c r="V2381">
        <v>1574.88</v>
      </c>
      <c r="W2381">
        <v>1574.88</v>
      </c>
      <c r="X2381">
        <v>0</v>
      </c>
      <c r="Y2381">
        <v>0</v>
      </c>
      <c r="Z2381">
        <v>-521</v>
      </c>
      <c r="AA2381">
        <v>692028</v>
      </c>
      <c r="AD2381" t="s">
        <v>6493</v>
      </c>
      <c r="AE2381" t="s">
        <v>6494</v>
      </c>
      <c r="AF2381" t="s">
        <v>64</v>
      </c>
      <c r="AG2381">
        <v>75315333020053</v>
      </c>
      <c r="AH2381" t="s">
        <v>44</v>
      </c>
    </row>
    <row r="2382" spans="1:34" x14ac:dyDescent="0.3">
      <c r="A2382">
        <v>101</v>
      </c>
      <c r="B2382" t="s">
        <v>34</v>
      </c>
      <c r="C2382">
        <v>4</v>
      </c>
      <c r="D2382" s="1" t="s">
        <v>6497</v>
      </c>
      <c r="E2382" t="s">
        <v>3134</v>
      </c>
      <c r="G2382">
        <v>443465</v>
      </c>
      <c r="H2382" t="s">
        <v>6491</v>
      </c>
      <c r="I2382" t="s">
        <v>3131</v>
      </c>
      <c r="J2382">
        <v>26</v>
      </c>
      <c r="K2382">
        <v>4716</v>
      </c>
      <c r="L2382">
        <v>10001</v>
      </c>
      <c r="M2382" t="s">
        <v>3135</v>
      </c>
      <c r="N2382">
        <v>584</v>
      </c>
      <c r="O2382" s="2">
        <v>46197</v>
      </c>
      <c r="P2382" s="2">
        <v>46296</v>
      </c>
      <c r="R2382" t="s">
        <v>3179</v>
      </c>
      <c r="S2382" t="str">
        <f>"08.0576919"</f>
        <v>08.0576919</v>
      </c>
      <c r="T2382" t="s">
        <v>41</v>
      </c>
      <c r="U2382">
        <v>20068.240000000002</v>
      </c>
      <c r="V2382">
        <v>20068.240000000002</v>
      </c>
      <c r="W2382">
        <v>20068.240000000002</v>
      </c>
      <c r="X2382">
        <v>0</v>
      </c>
      <c r="Y2382">
        <v>0</v>
      </c>
      <c r="Z2382">
        <v>-521</v>
      </c>
      <c r="AA2382">
        <v>691980</v>
      </c>
      <c r="AD2382" t="s">
        <v>6493</v>
      </c>
      <c r="AE2382" t="s">
        <v>6494</v>
      </c>
      <c r="AF2382" t="s">
        <v>64</v>
      </c>
      <c r="AG2382">
        <v>75315333020053</v>
      </c>
      <c r="AH2382" t="s">
        <v>44</v>
      </c>
    </row>
    <row r="2383" spans="1:34" x14ac:dyDescent="0.3">
      <c r="A2383">
        <v>104</v>
      </c>
      <c r="B2383" t="s">
        <v>34</v>
      </c>
      <c r="C2383">
        <v>4</v>
      </c>
      <c r="D2383" s="1" t="s">
        <v>6498</v>
      </c>
      <c r="E2383" s="1" t="s">
        <v>36</v>
      </c>
      <c r="G2383">
        <v>445521</v>
      </c>
      <c r="H2383" t="s">
        <v>6499</v>
      </c>
      <c r="I2383" t="s">
        <v>3131</v>
      </c>
      <c r="J2383">
        <v>26</v>
      </c>
      <c r="K2383">
        <v>4716</v>
      </c>
      <c r="L2383">
        <v>95000</v>
      </c>
      <c r="M2383" t="s">
        <v>69</v>
      </c>
      <c r="N2383">
        <v>584</v>
      </c>
      <c r="O2383" s="2">
        <v>46211</v>
      </c>
      <c r="P2383" s="2">
        <v>46311</v>
      </c>
      <c r="R2383" t="s">
        <v>6500</v>
      </c>
      <c r="S2383" t="str">
        <f>""</f>
        <v/>
      </c>
      <c r="T2383" t="s">
        <v>41</v>
      </c>
      <c r="U2383">
        <v>1386.41</v>
      </c>
      <c r="V2383">
        <v>1337.89</v>
      </c>
      <c r="W2383">
        <v>1337.89</v>
      </c>
      <c r="X2383">
        <v>0</v>
      </c>
      <c r="Y2383">
        <v>0</v>
      </c>
      <c r="Z2383">
        <v>-536</v>
      </c>
      <c r="AA2383">
        <v>693927</v>
      </c>
      <c r="AD2383" t="s">
        <v>6501</v>
      </c>
      <c r="AE2383" t="s">
        <v>6494</v>
      </c>
      <c r="AF2383" t="s">
        <v>64</v>
      </c>
      <c r="AG2383">
        <v>75315333020215</v>
      </c>
      <c r="AH2383" t="s">
        <v>44</v>
      </c>
    </row>
    <row r="2384" spans="1:34" x14ac:dyDescent="0.3">
      <c r="A2384">
        <v>104</v>
      </c>
      <c r="B2384" t="s">
        <v>34</v>
      </c>
      <c r="C2384">
        <v>4</v>
      </c>
      <c r="D2384" s="1" t="s">
        <v>6502</v>
      </c>
      <c r="E2384" s="1" t="s">
        <v>36</v>
      </c>
      <c r="G2384">
        <v>445521</v>
      </c>
      <c r="H2384" t="s">
        <v>6499</v>
      </c>
      <c r="I2384" t="s">
        <v>3131</v>
      </c>
      <c r="J2384">
        <v>26</v>
      </c>
      <c r="K2384">
        <v>4716</v>
      </c>
      <c r="L2384">
        <v>95000</v>
      </c>
      <c r="M2384" t="s">
        <v>69</v>
      </c>
      <c r="N2384">
        <v>584</v>
      </c>
      <c r="O2384" s="2">
        <v>46211</v>
      </c>
      <c r="P2384" s="2">
        <v>46311</v>
      </c>
      <c r="R2384" t="s">
        <v>6503</v>
      </c>
      <c r="S2384" t="str">
        <f>""</f>
        <v/>
      </c>
      <c r="T2384" t="s">
        <v>41</v>
      </c>
      <c r="U2384">
        <v>17562.580000000002</v>
      </c>
      <c r="V2384">
        <v>16947.89</v>
      </c>
      <c r="W2384">
        <v>16947.89</v>
      </c>
      <c r="X2384">
        <v>0</v>
      </c>
      <c r="Y2384">
        <v>0</v>
      </c>
      <c r="Z2384">
        <v>-536</v>
      </c>
      <c r="AA2384">
        <v>693985</v>
      </c>
      <c r="AD2384" t="s">
        <v>6501</v>
      </c>
      <c r="AE2384" t="s">
        <v>6494</v>
      </c>
      <c r="AF2384" t="s">
        <v>64</v>
      </c>
      <c r="AG2384">
        <v>75315333020215</v>
      </c>
      <c r="AH2384" t="s">
        <v>44</v>
      </c>
    </row>
    <row r="2385" spans="1:34" x14ac:dyDescent="0.3">
      <c r="A2385">
        <v>104</v>
      </c>
      <c r="B2385" t="s">
        <v>34</v>
      </c>
      <c r="C2385">
        <v>4</v>
      </c>
      <c r="D2385" s="1" t="s">
        <v>6498</v>
      </c>
      <c r="E2385" s="1" t="s">
        <v>122</v>
      </c>
      <c r="G2385">
        <v>445521</v>
      </c>
      <c r="H2385" t="s">
        <v>6499</v>
      </c>
      <c r="I2385" t="s">
        <v>3131</v>
      </c>
      <c r="J2385">
        <v>26</v>
      </c>
      <c r="K2385">
        <v>4716</v>
      </c>
      <c r="L2385">
        <v>95000</v>
      </c>
      <c r="M2385" t="s">
        <v>69</v>
      </c>
      <c r="N2385">
        <v>584</v>
      </c>
      <c r="O2385" s="2">
        <v>46223</v>
      </c>
      <c r="P2385" s="2">
        <v>46311</v>
      </c>
      <c r="R2385" t="s">
        <v>6268</v>
      </c>
      <c r="S2385" t="str">
        <f>""</f>
        <v/>
      </c>
      <c r="T2385" t="s">
        <v>41</v>
      </c>
      <c r="U2385">
        <v>209.25</v>
      </c>
      <c r="V2385">
        <v>209.25</v>
      </c>
      <c r="W2385">
        <v>209.25</v>
      </c>
      <c r="X2385">
        <v>0</v>
      </c>
      <c r="Y2385">
        <v>0</v>
      </c>
      <c r="Z2385">
        <v>-536</v>
      </c>
      <c r="AC2385" t="s">
        <v>6269</v>
      </c>
      <c r="AD2385" t="s">
        <v>6501</v>
      </c>
      <c r="AE2385" t="s">
        <v>6494</v>
      </c>
      <c r="AF2385" t="s">
        <v>64</v>
      </c>
      <c r="AG2385">
        <v>75315333020215</v>
      </c>
      <c r="AH2385" t="s">
        <v>44</v>
      </c>
    </row>
    <row r="2386" spans="1:34" x14ac:dyDescent="0.3">
      <c r="A2386">
        <v>101</v>
      </c>
      <c r="B2386" t="s">
        <v>34</v>
      </c>
      <c r="C2386">
        <v>4</v>
      </c>
      <c r="D2386" s="1" t="s">
        <v>6504</v>
      </c>
      <c r="E2386" t="s">
        <v>3134</v>
      </c>
      <c r="G2386">
        <v>446614</v>
      </c>
      <c r="H2386" t="s">
        <v>6505</v>
      </c>
      <c r="I2386" t="s">
        <v>3131</v>
      </c>
      <c r="J2386">
        <v>26</v>
      </c>
      <c r="K2386">
        <v>4716</v>
      </c>
      <c r="L2386">
        <v>10001</v>
      </c>
      <c r="M2386" t="s">
        <v>3135</v>
      </c>
      <c r="N2386">
        <v>584</v>
      </c>
      <c r="O2386" s="2">
        <v>46183</v>
      </c>
      <c r="P2386" s="2">
        <v>46281</v>
      </c>
      <c r="R2386" t="s">
        <v>3144</v>
      </c>
      <c r="S2386" t="str">
        <f>"07.0574661"</f>
        <v>07.0574661</v>
      </c>
      <c r="T2386" t="s">
        <v>41</v>
      </c>
      <c r="U2386">
        <v>3057.12</v>
      </c>
      <c r="V2386">
        <v>3057.12</v>
      </c>
      <c r="W2386">
        <v>3057.12</v>
      </c>
      <c r="X2386">
        <v>0</v>
      </c>
      <c r="Y2386">
        <v>0</v>
      </c>
      <c r="Z2386">
        <v>-506</v>
      </c>
      <c r="AA2386">
        <v>688523</v>
      </c>
      <c r="AD2386" t="s">
        <v>4310</v>
      </c>
      <c r="AE2386" t="s">
        <v>6506</v>
      </c>
      <c r="AF2386" t="s">
        <v>64</v>
      </c>
      <c r="AG2386">
        <v>75315333018903</v>
      </c>
      <c r="AH2386" t="s">
        <v>44</v>
      </c>
    </row>
    <row r="2387" spans="1:34" x14ac:dyDescent="0.3">
      <c r="A2387">
        <v>104</v>
      </c>
      <c r="B2387" t="s">
        <v>34</v>
      </c>
      <c r="C2387">
        <v>4</v>
      </c>
      <c r="D2387" s="1" t="s">
        <v>6507</v>
      </c>
      <c r="E2387" s="1" t="s">
        <v>36</v>
      </c>
      <c r="G2387">
        <v>446614</v>
      </c>
      <c r="H2387" t="s">
        <v>6505</v>
      </c>
      <c r="I2387" t="s">
        <v>3131</v>
      </c>
      <c r="J2387">
        <v>26</v>
      </c>
      <c r="K2387">
        <v>4716</v>
      </c>
      <c r="L2387">
        <v>95000</v>
      </c>
      <c r="M2387" t="s">
        <v>69</v>
      </c>
      <c r="N2387">
        <v>584</v>
      </c>
      <c r="O2387" s="2">
        <v>46251</v>
      </c>
      <c r="P2387" s="2">
        <v>46321</v>
      </c>
      <c r="R2387" t="s">
        <v>6508</v>
      </c>
      <c r="S2387" t="str">
        <f>""</f>
        <v/>
      </c>
      <c r="T2387" t="s">
        <v>41</v>
      </c>
      <c r="U2387">
        <v>31095.11</v>
      </c>
      <c r="V2387">
        <v>28762.98</v>
      </c>
      <c r="W2387">
        <v>28762.98</v>
      </c>
      <c r="X2387">
        <v>0</v>
      </c>
      <c r="Y2387">
        <v>0</v>
      </c>
      <c r="Z2387">
        <v>-546</v>
      </c>
      <c r="AA2387">
        <v>696865</v>
      </c>
      <c r="AD2387" t="s">
        <v>4310</v>
      </c>
      <c r="AE2387" t="s">
        <v>6506</v>
      </c>
      <c r="AF2387" t="s">
        <v>64</v>
      </c>
      <c r="AG2387">
        <v>75315333018903</v>
      </c>
      <c r="AH2387" t="s">
        <v>44</v>
      </c>
    </row>
    <row r="2388" spans="1:34" x14ac:dyDescent="0.3">
      <c r="A2388">
        <v>101</v>
      </c>
      <c r="B2388" t="s">
        <v>34</v>
      </c>
      <c r="C2388">
        <v>4</v>
      </c>
      <c r="D2388" s="1" t="s">
        <v>6509</v>
      </c>
      <c r="E2388" t="s">
        <v>3134</v>
      </c>
      <c r="G2388">
        <v>448256</v>
      </c>
      <c r="H2388" t="s">
        <v>6510</v>
      </c>
      <c r="I2388" t="s">
        <v>3131</v>
      </c>
      <c r="J2388">
        <v>26</v>
      </c>
      <c r="K2388">
        <v>4716</v>
      </c>
      <c r="L2388">
        <v>10001</v>
      </c>
      <c r="M2388" t="s">
        <v>3135</v>
      </c>
      <c r="N2388">
        <v>584</v>
      </c>
      <c r="O2388" s="2">
        <v>46172</v>
      </c>
      <c r="P2388" s="2">
        <v>46281</v>
      </c>
      <c r="R2388" t="s">
        <v>3144</v>
      </c>
      <c r="S2388" t="str">
        <f>"07.0574661"</f>
        <v>07.0574661</v>
      </c>
      <c r="T2388" t="s">
        <v>41</v>
      </c>
      <c r="U2388">
        <v>37389.78</v>
      </c>
      <c r="V2388">
        <v>37389.78</v>
      </c>
      <c r="W2388">
        <v>37389.78</v>
      </c>
      <c r="X2388">
        <v>0</v>
      </c>
      <c r="Y2388">
        <v>0</v>
      </c>
      <c r="Z2388">
        <v>-506</v>
      </c>
      <c r="AA2388">
        <v>689562</v>
      </c>
      <c r="AD2388" t="s">
        <v>5592</v>
      </c>
      <c r="AE2388" t="s">
        <v>3197</v>
      </c>
      <c r="AF2388" t="s">
        <v>64</v>
      </c>
      <c r="AG2388">
        <v>75315333020134</v>
      </c>
      <c r="AH2388" t="s">
        <v>44</v>
      </c>
    </row>
    <row r="2389" spans="1:34" x14ac:dyDescent="0.3">
      <c r="A2389">
        <v>101</v>
      </c>
      <c r="B2389" t="s">
        <v>34</v>
      </c>
      <c r="C2389">
        <v>4</v>
      </c>
      <c r="D2389" s="1" t="s">
        <v>6511</v>
      </c>
      <c r="E2389" t="s">
        <v>4694</v>
      </c>
      <c r="G2389">
        <v>449542</v>
      </c>
      <c r="H2389" t="s">
        <v>6512</v>
      </c>
      <c r="I2389" t="s">
        <v>3131</v>
      </c>
      <c r="J2389">
        <v>26</v>
      </c>
      <c r="K2389">
        <v>4716</v>
      </c>
      <c r="L2389">
        <v>10001</v>
      </c>
      <c r="M2389" t="s">
        <v>3135</v>
      </c>
      <c r="N2389">
        <v>584</v>
      </c>
      <c r="O2389" s="2">
        <v>46223</v>
      </c>
      <c r="P2389" s="2">
        <v>46311</v>
      </c>
      <c r="R2389" t="s">
        <v>3187</v>
      </c>
      <c r="S2389" t="str">
        <f>"08.0579034"</f>
        <v>08.0579034</v>
      </c>
      <c r="T2389" t="s">
        <v>41</v>
      </c>
      <c r="U2389">
        <v>543.75</v>
      </c>
      <c r="V2389">
        <v>543.75</v>
      </c>
      <c r="W2389">
        <v>543.75</v>
      </c>
      <c r="X2389">
        <v>0</v>
      </c>
      <c r="Y2389">
        <v>0</v>
      </c>
      <c r="Z2389">
        <v>-536</v>
      </c>
      <c r="AC2389" t="s">
        <v>6269</v>
      </c>
      <c r="AD2389" t="s">
        <v>3696</v>
      </c>
      <c r="AE2389">
        <v>1129678535</v>
      </c>
      <c r="AF2389" t="s">
        <v>64</v>
      </c>
      <c r="AG2389">
        <v>75315333020720</v>
      </c>
      <c r="AH2389" t="s">
        <v>44</v>
      </c>
    </row>
    <row r="2390" spans="1:34" x14ac:dyDescent="0.3">
      <c r="A2390">
        <v>101</v>
      </c>
      <c r="B2390" t="s">
        <v>34</v>
      </c>
      <c r="C2390">
        <v>4</v>
      </c>
      <c r="D2390" s="1" t="s">
        <v>6511</v>
      </c>
      <c r="E2390" t="s">
        <v>3134</v>
      </c>
      <c r="G2390">
        <v>449542</v>
      </c>
      <c r="H2390" t="s">
        <v>6512</v>
      </c>
      <c r="I2390" t="s">
        <v>3131</v>
      </c>
      <c r="J2390">
        <v>26</v>
      </c>
      <c r="K2390">
        <v>4716</v>
      </c>
      <c r="L2390">
        <v>10001</v>
      </c>
      <c r="M2390" t="s">
        <v>3135</v>
      </c>
      <c r="N2390">
        <v>584</v>
      </c>
      <c r="O2390" s="2">
        <v>46211</v>
      </c>
      <c r="P2390" s="2">
        <v>46311</v>
      </c>
      <c r="R2390" t="s">
        <v>3187</v>
      </c>
      <c r="S2390" t="str">
        <f>"08.0579034"</f>
        <v>08.0579034</v>
      </c>
      <c r="T2390" t="s">
        <v>41</v>
      </c>
      <c r="U2390">
        <v>2882.91</v>
      </c>
      <c r="V2390">
        <v>2882.91</v>
      </c>
      <c r="W2390">
        <v>2882.91</v>
      </c>
      <c r="X2390">
        <v>0</v>
      </c>
      <c r="Y2390">
        <v>0</v>
      </c>
      <c r="Z2390">
        <v>-536</v>
      </c>
      <c r="AA2390">
        <v>693929</v>
      </c>
      <c r="AD2390" t="s">
        <v>3696</v>
      </c>
      <c r="AE2390">
        <v>1129678535</v>
      </c>
      <c r="AF2390" t="s">
        <v>64</v>
      </c>
      <c r="AG2390">
        <v>75315333020720</v>
      </c>
      <c r="AH2390" t="s">
        <v>44</v>
      </c>
    </row>
    <row r="2391" spans="1:34" x14ac:dyDescent="0.3">
      <c r="A2391">
        <v>101</v>
      </c>
      <c r="B2391" t="s">
        <v>34</v>
      </c>
      <c r="C2391">
        <v>4</v>
      </c>
      <c r="D2391" s="1" t="s">
        <v>6513</v>
      </c>
      <c r="E2391" t="s">
        <v>3134</v>
      </c>
      <c r="G2391">
        <v>449542</v>
      </c>
      <c r="H2391" t="s">
        <v>6512</v>
      </c>
      <c r="I2391" t="s">
        <v>3131</v>
      </c>
      <c r="J2391">
        <v>26</v>
      </c>
      <c r="K2391">
        <v>4716</v>
      </c>
      <c r="L2391">
        <v>10001</v>
      </c>
      <c r="M2391" t="s">
        <v>3135</v>
      </c>
      <c r="N2391">
        <v>584</v>
      </c>
      <c r="O2391" s="2">
        <v>46211</v>
      </c>
      <c r="P2391" s="2">
        <v>46311</v>
      </c>
      <c r="R2391" t="s">
        <v>3187</v>
      </c>
      <c r="S2391" t="str">
        <f>"08.0579034"</f>
        <v>08.0579034</v>
      </c>
      <c r="T2391" t="s">
        <v>41</v>
      </c>
      <c r="U2391">
        <v>34960.800000000003</v>
      </c>
      <c r="V2391">
        <v>34960.800000000003</v>
      </c>
      <c r="W2391">
        <v>34960.800000000003</v>
      </c>
      <c r="X2391">
        <v>0</v>
      </c>
      <c r="Y2391">
        <v>0</v>
      </c>
      <c r="Z2391">
        <v>-536</v>
      </c>
      <c r="AA2391">
        <v>693987</v>
      </c>
      <c r="AD2391" t="s">
        <v>3696</v>
      </c>
      <c r="AE2391">
        <v>1129678535</v>
      </c>
      <c r="AF2391" t="s">
        <v>64</v>
      </c>
      <c r="AG2391">
        <v>75315333020720</v>
      </c>
      <c r="AH2391" t="s">
        <v>44</v>
      </c>
    </row>
    <row r="2392" spans="1:34" x14ac:dyDescent="0.3">
      <c r="A2392">
        <v>104</v>
      </c>
      <c r="B2392" t="s">
        <v>34</v>
      </c>
      <c r="C2392">
        <v>4</v>
      </c>
      <c r="D2392" s="1" t="s">
        <v>6514</v>
      </c>
      <c r="E2392" s="1" t="s">
        <v>122</v>
      </c>
      <c r="G2392">
        <v>449883</v>
      </c>
      <c r="H2392" t="s">
        <v>6515</v>
      </c>
      <c r="I2392" t="s">
        <v>3131</v>
      </c>
      <c r="J2392">
        <v>26</v>
      </c>
      <c r="K2392">
        <v>4716</v>
      </c>
      <c r="L2392">
        <v>95000</v>
      </c>
      <c r="M2392" t="s">
        <v>69</v>
      </c>
      <c r="N2392">
        <v>584</v>
      </c>
      <c r="O2392" s="2">
        <v>46223</v>
      </c>
      <c r="P2392" s="2">
        <v>46305</v>
      </c>
      <c r="R2392" t="s">
        <v>6268</v>
      </c>
      <c r="S2392" t="str">
        <f>""</f>
        <v/>
      </c>
      <c r="T2392" t="s">
        <v>41</v>
      </c>
      <c r="U2392">
        <v>302.67</v>
      </c>
      <c r="V2392">
        <v>302.67</v>
      </c>
      <c r="W2392">
        <v>302.67</v>
      </c>
      <c r="X2392">
        <v>0</v>
      </c>
      <c r="Y2392">
        <v>0</v>
      </c>
      <c r="Z2392">
        <v>-530</v>
      </c>
      <c r="AC2392" t="s">
        <v>6269</v>
      </c>
      <c r="AD2392" t="s">
        <v>4897</v>
      </c>
      <c r="AE2392" t="s">
        <v>6494</v>
      </c>
      <c r="AF2392" t="s">
        <v>64</v>
      </c>
      <c r="AG2392">
        <v>75315333021025</v>
      </c>
      <c r="AH2392" t="s">
        <v>44</v>
      </c>
    </row>
    <row r="2393" spans="1:34" x14ac:dyDescent="0.3">
      <c r="A2393">
        <v>104</v>
      </c>
      <c r="B2393" t="s">
        <v>34</v>
      </c>
      <c r="C2393">
        <v>4</v>
      </c>
      <c r="D2393" s="1" t="s">
        <v>6514</v>
      </c>
      <c r="E2393" s="1" t="s">
        <v>36</v>
      </c>
      <c r="G2393">
        <v>449883</v>
      </c>
      <c r="H2393" t="s">
        <v>6515</v>
      </c>
      <c r="I2393" t="s">
        <v>3131</v>
      </c>
      <c r="J2393">
        <v>26</v>
      </c>
      <c r="K2393">
        <v>4716</v>
      </c>
      <c r="L2393">
        <v>95000</v>
      </c>
      <c r="M2393" t="s">
        <v>69</v>
      </c>
      <c r="N2393">
        <v>584</v>
      </c>
      <c r="O2393" s="2">
        <v>46211</v>
      </c>
      <c r="P2393" s="2">
        <v>46327</v>
      </c>
      <c r="R2393" t="s">
        <v>6516</v>
      </c>
      <c r="S2393" t="str">
        <f>""</f>
        <v/>
      </c>
      <c r="T2393" t="s">
        <v>41</v>
      </c>
      <c r="U2393">
        <v>1677.82</v>
      </c>
      <c r="V2393">
        <v>1619.1</v>
      </c>
      <c r="W2393">
        <v>1619.1</v>
      </c>
      <c r="X2393">
        <v>0</v>
      </c>
      <c r="Y2393">
        <v>0</v>
      </c>
      <c r="Z2393">
        <v>-552</v>
      </c>
      <c r="AA2393">
        <v>693931</v>
      </c>
      <c r="AD2393" t="s">
        <v>4897</v>
      </c>
      <c r="AE2393" t="s">
        <v>6494</v>
      </c>
      <c r="AF2393" t="s">
        <v>64</v>
      </c>
      <c r="AG2393">
        <v>75315333021025</v>
      </c>
      <c r="AH2393" t="s">
        <v>44</v>
      </c>
    </row>
    <row r="2394" spans="1:34" x14ac:dyDescent="0.3">
      <c r="A2394">
        <v>104</v>
      </c>
      <c r="B2394" t="s">
        <v>34</v>
      </c>
      <c r="C2394">
        <v>4</v>
      </c>
      <c r="D2394" s="1" t="s">
        <v>6517</v>
      </c>
      <c r="E2394" s="1" t="s">
        <v>36</v>
      </c>
      <c r="G2394">
        <v>449883</v>
      </c>
      <c r="H2394" t="s">
        <v>6515</v>
      </c>
      <c r="I2394" t="s">
        <v>3131</v>
      </c>
      <c r="J2394">
        <v>26</v>
      </c>
      <c r="K2394">
        <v>4716</v>
      </c>
      <c r="L2394">
        <v>95000</v>
      </c>
      <c r="M2394" t="s">
        <v>69</v>
      </c>
      <c r="N2394">
        <v>584</v>
      </c>
      <c r="O2394" s="2">
        <v>46211</v>
      </c>
      <c r="P2394" s="2">
        <v>46327</v>
      </c>
      <c r="R2394" t="s">
        <v>6518</v>
      </c>
      <c r="S2394" t="str">
        <f>""</f>
        <v/>
      </c>
      <c r="T2394" t="s">
        <v>41</v>
      </c>
      <c r="U2394">
        <v>19611.36</v>
      </c>
      <c r="V2394">
        <v>18924.96</v>
      </c>
      <c r="W2394">
        <v>18924.96</v>
      </c>
      <c r="X2394">
        <v>0</v>
      </c>
      <c r="Y2394">
        <v>0</v>
      </c>
      <c r="Z2394">
        <v>-552</v>
      </c>
      <c r="AA2394">
        <v>693989</v>
      </c>
      <c r="AD2394" t="s">
        <v>4897</v>
      </c>
      <c r="AE2394" t="s">
        <v>6494</v>
      </c>
      <c r="AF2394" t="s">
        <v>64</v>
      </c>
      <c r="AG2394">
        <v>75315333021025</v>
      </c>
      <c r="AH2394" t="s">
        <v>44</v>
      </c>
    </row>
    <row r="2395" spans="1:34" x14ac:dyDescent="0.3">
      <c r="A2395">
        <v>104</v>
      </c>
      <c r="B2395" t="s">
        <v>34</v>
      </c>
      <c r="C2395">
        <v>4</v>
      </c>
      <c r="D2395" s="1" t="s">
        <v>6519</v>
      </c>
      <c r="E2395" s="1" t="s">
        <v>36</v>
      </c>
      <c r="G2395">
        <v>450814</v>
      </c>
      <c r="H2395" t="s">
        <v>6520</v>
      </c>
      <c r="I2395" t="s">
        <v>3131</v>
      </c>
      <c r="J2395">
        <v>26</v>
      </c>
      <c r="K2395">
        <v>4716</v>
      </c>
      <c r="L2395">
        <v>95000</v>
      </c>
      <c r="M2395" t="s">
        <v>69</v>
      </c>
      <c r="N2395">
        <v>584</v>
      </c>
      <c r="O2395" s="2">
        <v>46238</v>
      </c>
      <c r="P2395" s="2">
        <v>46328</v>
      </c>
      <c r="R2395" t="s">
        <v>6521</v>
      </c>
      <c r="S2395" t="str">
        <f>""</f>
        <v/>
      </c>
      <c r="T2395" t="s">
        <v>41</v>
      </c>
      <c r="U2395">
        <v>6848.9</v>
      </c>
      <c r="V2395">
        <v>6609.19</v>
      </c>
      <c r="W2395">
        <v>6609.19</v>
      </c>
      <c r="X2395">
        <v>0</v>
      </c>
      <c r="Y2395">
        <v>0</v>
      </c>
      <c r="Z2395">
        <v>-553</v>
      </c>
      <c r="AA2395">
        <v>696123</v>
      </c>
      <c r="AD2395" t="s">
        <v>5493</v>
      </c>
      <c r="AE2395" t="s">
        <v>3197</v>
      </c>
      <c r="AF2395" t="s">
        <v>64</v>
      </c>
      <c r="AG2395">
        <v>75315333022269</v>
      </c>
      <c r="AH2395" t="s">
        <v>44</v>
      </c>
    </row>
    <row r="2396" spans="1:34" x14ac:dyDescent="0.3">
      <c r="A2396">
        <v>101</v>
      </c>
      <c r="B2396" t="s">
        <v>34</v>
      </c>
      <c r="C2396">
        <v>4</v>
      </c>
      <c r="D2396" s="1" t="s">
        <v>6522</v>
      </c>
      <c r="E2396" t="s">
        <v>3134</v>
      </c>
      <c r="G2396">
        <v>450819</v>
      </c>
      <c r="H2396" t="s">
        <v>6523</v>
      </c>
      <c r="I2396" t="s">
        <v>3131</v>
      </c>
      <c r="J2396">
        <v>26</v>
      </c>
      <c r="K2396">
        <v>4716</v>
      </c>
      <c r="L2396">
        <v>10001</v>
      </c>
      <c r="M2396" t="s">
        <v>3135</v>
      </c>
      <c r="N2396">
        <v>584</v>
      </c>
      <c r="O2396" s="2">
        <v>46172</v>
      </c>
      <c r="P2396" s="2">
        <v>46281</v>
      </c>
      <c r="R2396" t="s">
        <v>3144</v>
      </c>
      <c r="S2396" t="str">
        <f>"07.0574661"</f>
        <v>07.0574661</v>
      </c>
      <c r="T2396" t="s">
        <v>41</v>
      </c>
      <c r="U2396">
        <v>22910.28</v>
      </c>
      <c r="V2396">
        <v>22910.28</v>
      </c>
      <c r="W2396">
        <v>22910.28</v>
      </c>
      <c r="X2396">
        <v>0</v>
      </c>
      <c r="Y2396">
        <v>0</v>
      </c>
      <c r="Z2396">
        <v>-506</v>
      </c>
      <c r="AA2396">
        <v>689564</v>
      </c>
      <c r="AD2396" t="s">
        <v>5614</v>
      </c>
      <c r="AE2396" t="s">
        <v>3197</v>
      </c>
      <c r="AF2396" t="s">
        <v>64</v>
      </c>
      <c r="AG2396">
        <v>75315333021378</v>
      </c>
      <c r="AH2396" t="s">
        <v>44</v>
      </c>
    </row>
    <row r="2397" spans="1:34" x14ac:dyDescent="0.3">
      <c r="A2397">
        <v>104</v>
      </c>
      <c r="B2397" t="s">
        <v>34</v>
      </c>
      <c r="C2397">
        <v>4</v>
      </c>
      <c r="D2397" s="1" t="s">
        <v>6524</v>
      </c>
      <c r="E2397" s="1" t="s">
        <v>36</v>
      </c>
      <c r="G2397">
        <v>450819</v>
      </c>
      <c r="H2397" t="s">
        <v>6523</v>
      </c>
      <c r="I2397" t="s">
        <v>3131</v>
      </c>
      <c r="J2397">
        <v>26</v>
      </c>
      <c r="K2397">
        <v>4716</v>
      </c>
      <c r="L2397">
        <v>95000</v>
      </c>
      <c r="M2397" t="s">
        <v>69</v>
      </c>
      <c r="N2397">
        <v>584</v>
      </c>
      <c r="O2397" s="2">
        <v>46245</v>
      </c>
      <c r="P2397" s="2">
        <v>46329</v>
      </c>
      <c r="R2397" t="s">
        <v>6525</v>
      </c>
      <c r="S2397" t="str">
        <f>""</f>
        <v/>
      </c>
      <c r="T2397" t="s">
        <v>41</v>
      </c>
      <c r="U2397">
        <v>115648.98</v>
      </c>
      <c r="V2397">
        <v>102349.35</v>
      </c>
      <c r="W2397">
        <v>102349.35</v>
      </c>
      <c r="X2397">
        <v>0</v>
      </c>
      <c r="Y2397">
        <v>0</v>
      </c>
      <c r="Z2397">
        <v>-554</v>
      </c>
      <c r="AA2397">
        <v>696571</v>
      </c>
      <c r="AD2397" t="s">
        <v>5614</v>
      </c>
      <c r="AE2397" t="s">
        <v>3197</v>
      </c>
      <c r="AF2397" t="s">
        <v>64</v>
      </c>
      <c r="AG2397">
        <v>75315333021378</v>
      </c>
      <c r="AH2397" t="s">
        <v>44</v>
      </c>
    </row>
    <row r="2398" spans="1:34" x14ac:dyDescent="0.3">
      <c r="A2398">
        <v>104</v>
      </c>
      <c r="B2398" t="s">
        <v>4016</v>
      </c>
      <c r="C2398">
        <v>4</v>
      </c>
      <c r="D2398" s="1" t="s">
        <v>6524</v>
      </c>
      <c r="E2398" s="1" t="s">
        <v>36</v>
      </c>
      <c r="G2398">
        <v>450819</v>
      </c>
      <c r="H2398" t="s">
        <v>6523</v>
      </c>
      <c r="I2398" t="s">
        <v>3131</v>
      </c>
      <c r="J2398">
        <v>26</v>
      </c>
      <c r="K2398">
        <v>4716</v>
      </c>
      <c r="N2398">
        <v>584</v>
      </c>
      <c r="O2398" s="2">
        <v>46255</v>
      </c>
      <c r="P2398" s="2">
        <v>46255</v>
      </c>
      <c r="R2398" t="s">
        <v>6526</v>
      </c>
      <c r="S2398" t="str">
        <f>""</f>
        <v/>
      </c>
      <c r="T2398" t="s">
        <v>41</v>
      </c>
      <c r="U2398">
        <v>-7435.68</v>
      </c>
      <c r="V2398">
        <v>-7435.68</v>
      </c>
      <c r="W2398">
        <v>-7435.68</v>
      </c>
      <c r="X2398">
        <v>0</v>
      </c>
      <c r="Y2398">
        <v>0</v>
      </c>
      <c r="Z2398">
        <v>-480</v>
      </c>
      <c r="AD2398" t="s">
        <v>5614</v>
      </c>
      <c r="AE2398" t="s">
        <v>3197</v>
      </c>
      <c r="AF2398" t="s">
        <v>64</v>
      </c>
      <c r="AG2398">
        <v>75315333021378</v>
      </c>
      <c r="AH2398" t="s">
        <v>44</v>
      </c>
    </row>
    <row r="2399" spans="1:34" x14ac:dyDescent="0.3">
      <c r="A2399">
        <v>104</v>
      </c>
      <c r="B2399" t="s">
        <v>34</v>
      </c>
      <c r="C2399">
        <v>4</v>
      </c>
      <c r="D2399" s="1" t="s">
        <v>6527</v>
      </c>
      <c r="E2399" s="1" t="s">
        <v>36</v>
      </c>
      <c r="G2399">
        <v>450931</v>
      </c>
      <c r="H2399" t="s">
        <v>6528</v>
      </c>
      <c r="I2399" t="s">
        <v>3131</v>
      </c>
      <c r="J2399">
        <v>26</v>
      </c>
      <c r="K2399">
        <v>4716</v>
      </c>
      <c r="L2399">
        <v>95000</v>
      </c>
      <c r="M2399" t="s">
        <v>69</v>
      </c>
      <c r="N2399">
        <v>584</v>
      </c>
      <c r="O2399" s="2">
        <v>46234</v>
      </c>
      <c r="P2399" s="2">
        <v>46304</v>
      </c>
      <c r="R2399" t="s">
        <v>6529</v>
      </c>
      <c r="S2399" t="str">
        <f>""</f>
        <v/>
      </c>
      <c r="T2399" t="s">
        <v>41</v>
      </c>
      <c r="U2399">
        <v>19799.240000000002</v>
      </c>
      <c r="V2399">
        <v>19106.27</v>
      </c>
      <c r="W2399">
        <v>19106.27</v>
      </c>
      <c r="X2399">
        <v>0</v>
      </c>
      <c r="Y2399">
        <v>0</v>
      </c>
      <c r="Z2399">
        <v>-529</v>
      </c>
      <c r="AA2399">
        <v>695979</v>
      </c>
      <c r="AD2399" t="s">
        <v>3022</v>
      </c>
      <c r="AE2399" t="s">
        <v>3197</v>
      </c>
      <c r="AF2399" t="s">
        <v>64</v>
      </c>
      <c r="AG2399">
        <v>75315333021530</v>
      </c>
      <c r="AH2399" t="s">
        <v>44</v>
      </c>
    </row>
    <row r="2400" spans="1:34" x14ac:dyDescent="0.3">
      <c r="A2400">
        <v>101</v>
      </c>
      <c r="B2400" t="s">
        <v>34</v>
      </c>
      <c r="C2400">
        <v>4</v>
      </c>
      <c r="D2400" s="1" t="s">
        <v>6530</v>
      </c>
      <c r="E2400" t="s">
        <v>3134</v>
      </c>
      <c r="G2400">
        <v>450931</v>
      </c>
      <c r="H2400" t="s">
        <v>6528</v>
      </c>
      <c r="I2400" t="s">
        <v>3131</v>
      </c>
      <c r="J2400">
        <v>26</v>
      </c>
      <c r="K2400">
        <v>4716</v>
      </c>
      <c r="L2400">
        <v>10001</v>
      </c>
      <c r="M2400" t="s">
        <v>3135</v>
      </c>
      <c r="N2400">
        <v>584</v>
      </c>
      <c r="O2400" s="2">
        <v>46197</v>
      </c>
      <c r="P2400" s="2">
        <v>46311</v>
      </c>
      <c r="R2400" t="s">
        <v>3179</v>
      </c>
      <c r="S2400" t="str">
        <f>"08.0576919"</f>
        <v>08.0576919</v>
      </c>
      <c r="T2400" t="s">
        <v>41</v>
      </c>
      <c r="U2400">
        <v>11561.61</v>
      </c>
      <c r="V2400">
        <v>11561.61</v>
      </c>
      <c r="W2400">
        <v>11561.61</v>
      </c>
      <c r="X2400">
        <v>0</v>
      </c>
      <c r="Y2400">
        <v>0</v>
      </c>
      <c r="Z2400">
        <v>-536</v>
      </c>
      <c r="AA2400">
        <v>691982</v>
      </c>
      <c r="AD2400" t="s">
        <v>3022</v>
      </c>
      <c r="AE2400" t="s">
        <v>3197</v>
      </c>
      <c r="AF2400" t="s">
        <v>64</v>
      </c>
      <c r="AG2400">
        <v>75315333021530</v>
      </c>
      <c r="AH2400" t="s">
        <v>44</v>
      </c>
    </row>
    <row r="2401" spans="1:34" x14ac:dyDescent="0.3">
      <c r="A2401">
        <v>101</v>
      </c>
      <c r="B2401" t="s">
        <v>34</v>
      </c>
      <c r="C2401">
        <v>4</v>
      </c>
      <c r="D2401" s="1" t="s">
        <v>6531</v>
      </c>
      <c r="E2401" t="s">
        <v>3134</v>
      </c>
      <c r="G2401">
        <v>450931</v>
      </c>
      <c r="H2401" t="s">
        <v>6528</v>
      </c>
      <c r="I2401" t="s">
        <v>3131</v>
      </c>
      <c r="J2401">
        <v>26</v>
      </c>
      <c r="K2401">
        <v>4716</v>
      </c>
      <c r="L2401">
        <v>10001</v>
      </c>
      <c r="M2401" t="s">
        <v>3135</v>
      </c>
      <c r="N2401">
        <v>584</v>
      </c>
      <c r="O2401" s="2">
        <v>46197</v>
      </c>
      <c r="P2401" s="2">
        <v>46311</v>
      </c>
      <c r="R2401" t="s">
        <v>3179</v>
      </c>
      <c r="S2401" t="str">
        <f>"08.0576919"</f>
        <v>08.0576919</v>
      </c>
      <c r="T2401" t="s">
        <v>41</v>
      </c>
      <c r="U2401">
        <v>1574.88</v>
      </c>
      <c r="V2401">
        <v>1574.88</v>
      </c>
      <c r="W2401">
        <v>1574.88</v>
      </c>
      <c r="X2401">
        <v>0</v>
      </c>
      <c r="Y2401">
        <v>0</v>
      </c>
      <c r="Z2401">
        <v>-536</v>
      </c>
      <c r="AA2401">
        <v>692030</v>
      </c>
      <c r="AD2401" t="s">
        <v>3022</v>
      </c>
      <c r="AE2401" t="s">
        <v>3197</v>
      </c>
      <c r="AF2401" t="s">
        <v>64</v>
      </c>
      <c r="AG2401">
        <v>75315333021530</v>
      </c>
      <c r="AH2401" t="s">
        <v>44</v>
      </c>
    </row>
    <row r="2402" spans="1:34" x14ac:dyDescent="0.3">
      <c r="A2402">
        <v>104</v>
      </c>
      <c r="B2402" t="s">
        <v>34</v>
      </c>
      <c r="C2402">
        <v>4</v>
      </c>
      <c r="D2402" s="1" t="s">
        <v>6532</v>
      </c>
      <c r="E2402" s="1" t="s">
        <v>36</v>
      </c>
      <c r="G2402">
        <v>451167</v>
      </c>
      <c r="H2402" t="s">
        <v>6533</v>
      </c>
      <c r="I2402" t="s">
        <v>3131</v>
      </c>
      <c r="J2402">
        <v>26</v>
      </c>
      <c r="K2402">
        <v>4716</v>
      </c>
      <c r="L2402">
        <v>95000</v>
      </c>
      <c r="M2402" t="s">
        <v>69</v>
      </c>
      <c r="N2402">
        <v>584</v>
      </c>
      <c r="O2402" s="2">
        <v>46238</v>
      </c>
      <c r="P2402" s="2">
        <v>46328</v>
      </c>
      <c r="R2402" t="s">
        <v>6534</v>
      </c>
      <c r="S2402" t="str">
        <f>""</f>
        <v/>
      </c>
      <c r="T2402" t="s">
        <v>41</v>
      </c>
      <c r="U2402">
        <v>3932.52</v>
      </c>
      <c r="V2402">
        <v>3794.88</v>
      </c>
      <c r="W2402">
        <v>3794.88</v>
      </c>
      <c r="X2402">
        <v>0</v>
      </c>
      <c r="Y2402">
        <v>0</v>
      </c>
      <c r="Z2402">
        <v>-553</v>
      </c>
      <c r="AA2402">
        <v>696125</v>
      </c>
      <c r="AD2402" t="s">
        <v>6261</v>
      </c>
      <c r="AE2402" t="s">
        <v>3197</v>
      </c>
      <c r="AF2402" t="s">
        <v>64</v>
      </c>
      <c r="AG2402">
        <v>75315333022773</v>
      </c>
      <c r="AH2402" t="s">
        <v>44</v>
      </c>
    </row>
    <row r="2403" spans="1:34" x14ac:dyDescent="0.3">
      <c r="A2403">
        <v>104</v>
      </c>
      <c r="B2403" t="s">
        <v>34</v>
      </c>
      <c r="C2403">
        <v>4</v>
      </c>
      <c r="D2403" s="1" t="s">
        <v>6535</v>
      </c>
      <c r="E2403" s="1" t="s">
        <v>36</v>
      </c>
      <c r="G2403">
        <v>451211</v>
      </c>
      <c r="H2403" t="s">
        <v>6536</v>
      </c>
      <c r="I2403" t="s">
        <v>3131</v>
      </c>
      <c r="J2403">
        <v>26</v>
      </c>
      <c r="K2403">
        <v>4716</v>
      </c>
      <c r="L2403">
        <v>95000</v>
      </c>
      <c r="M2403" t="s">
        <v>69</v>
      </c>
      <c r="N2403">
        <v>584</v>
      </c>
      <c r="O2403" s="2">
        <v>46234</v>
      </c>
      <c r="P2403" s="2">
        <v>46304</v>
      </c>
      <c r="R2403" t="s">
        <v>6537</v>
      </c>
      <c r="S2403" t="str">
        <f>""</f>
        <v/>
      </c>
      <c r="T2403" t="s">
        <v>41</v>
      </c>
      <c r="U2403">
        <v>23596.81</v>
      </c>
      <c r="V2403">
        <v>22770.92</v>
      </c>
      <c r="W2403">
        <v>22770.92</v>
      </c>
      <c r="X2403">
        <v>0</v>
      </c>
      <c r="Y2403">
        <v>0</v>
      </c>
      <c r="Z2403">
        <v>-529</v>
      </c>
      <c r="AA2403">
        <v>695981</v>
      </c>
      <c r="AD2403" t="s">
        <v>6538</v>
      </c>
      <c r="AE2403" t="s">
        <v>3197</v>
      </c>
      <c r="AF2403" t="s">
        <v>64</v>
      </c>
      <c r="AG2403">
        <v>75315333023079</v>
      </c>
      <c r="AH2403" t="s">
        <v>44</v>
      </c>
    </row>
    <row r="2404" spans="1:34" x14ac:dyDescent="0.3">
      <c r="A2404">
        <v>101</v>
      </c>
      <c r="B2404" t="s">
        <v>34</v>
      </c>
      <c r="C2404">
        <v>4</v>
      </c>
      <c r="D2404" s="1" t="s">
        <v>6539</v>
      </c>
      <c r="E2404" t="s">
        <v>3134</v>
      </c>
      <c r="G2404">
        <v>451211</v>
      </c>
      <c r="H2404" t="s">
        <v>6536</v>
      </c>
      <c r="I2404" t="s">
        <v>3131</v>
      </c>
      <c r="J2404">
        <v>26</v>
      </c>
      <c r="K2404">
        <v>4716</v>
      </c>
      <c r="L2404">
        <v>10001</v>
      </c>
      <c r="M2404" t="s">
        <v>3135</v>
      </c>
      <c r="N2404">
        <v>584</v>
      </c>
      <c r="O2404" s="2">
        <v>46197</v>
      </c>
      <c r="P2404" s="2">
        <v>46296</v>
      </c>
      <c r="R2404" t="s">
        <v>3179</v>
      </c>
      <c r="S2404" t="str">
        <f>"08.0576919"</f>
        <v>08.0576919</v>
      </c>
      <c r="T2404" t="s">
        <v>41</v>
      </c>
      <c r="U2404">
        <v>13515.8</v>
      </c>
      <c r="V2404">
        <v>13515.8</v>
      </c>
      <c r="W2404">
        <v>13515.8</v>
      </c>
      <c r="X2404">
        <v>0</v>
      </c>
      <c r="Y2404">
        <v>0</v>
      </c>
      <c r="Z2404">
        <v>-521</v>
      </c>
      <c r="AA2404">
        <v>691984</v>
      </c>
      <c r="AD2404" t="s">
        <v>6538</v>
      </c>
      <c r="AE2404" t="s">
        <v>3197</v>
      </c>
      <c r="AF2404" t="s">
        <v>64</v>
      </c>
      <c r="AG2404">
        <v>75315333023079</v>
      </c>
      <c r="AH2404" t="s">
        <v>44</v>
      </c>
    </row>
    <row r="2405" spans="1:34" x14ac:dyDescent="0.3">
      <c r="A2405">
        <v>101</v>
      </c>
      <c r="B2405" t="s">
        <v>34</v>
      </c>
      <c r="C2405">
        <v>4</v>
      </c>
      <c r="D2405" s="1" t="s">
        <v>6540</v>
      </c>
      <c r="E2405" t="s">
        <v>3134</v>
      </c>
      <c r="G2405">
        <v>451211</v>
      </c>
      <c r="H2405" t="s">
        <v>6536</v>
      </c>
      <c r="I2405" t="s">
        <v>3131</v>
      </c>
      <c r="J2405">
        <v>26</v>
      </c>
      <c r="K2405">
        <v>4716</v>
      </c>
      <c r="L2405">
        <v>10001</v>
      </c>
      <c r="M2405" t="s">
        <v>3135</v>
      </c>
      <c r="N2405">
        <v>584</v>
      </c>
      <c r="O2405" s="2">
        <v>46197</v>
      </c>
      <c r="P2405" s="2">
        <v>46296</v>
      </c>
      <c r="R2405" t="s">
        <v>3179</v>
      </c>
      <c r="S2405" t="str">
        <f>"08.0576919"</f>
        <v>08.0576919</v>
      </c>
      <c r="T2405" t="s">
        <v>41</v>
      </c>
      <c r="U2405">
        <v>1181.1600000000001</v>
      </c>
      <c r="V2405">
        <v>1181.1600000000001</v>
      </c>
      <c r="W2405">
        <v>1181.1600000000001</v>
      </c>
      <c r="X2405">
        <v>0</v>
      </c>
      <c r="Y2405">
        <v>0</v>
      </c>
      <c r="Z2405">
        <v>-521</v>
      </c>
      <c r="AA2405">
        <v>692032</v>
      </c>
      <c r="AD2405" t="s">
        <v>6538</v>
      </c>
      <c r="AE2405" t="s">
        <v>3197</v>
      </c>
      <c r="AF2405" t="s">
        <v>64</v>
      </c>
      <c r="AG2405">
        <v>75315333023079</v>
      </c>
      <c r="AH2405" t="s">
        <v>44</v>
      </c>
    </row>
    <row r="2406" spans="1:34" x14ac:dyDescent="0.3">
      <c r="A2406">
        <v>101</v>
      </c>
      <c r="B2406" t="s">
        <v>34</v>
      </c>
      <c r="C2406">
        <v>4</v>
      </c>
      <c r="D2406" s="1" t="s">
        <v>6541</v>
      </c>
      <c r="E2406" t="s">
        <v>3134</v>
      </c>
      <c r="G2406">
        <v>451256</v>
      </c>
      <c r="H2406" t="s">
        <v>6542</v>
      </c>
      <c r="I2406" t="s">
        <v>3131</v>
      </c>
      <c r="J2406">
        <v>50</v>
      </c>
      <c r="K2406">
        <v>4716</v>
      </c>
      <c r="L2406">
        <v>10001</v>
      </c>
      <c r="M2406" t="s">
        <v>3135</v>
      </c>
      <c r="N2406">
        <v>584</v>
      </c>
      <c r="O2406" s="2">
        <v>46172</v>
      </c>
      <c r="P2406" s="2">
        <v>46266</v>
      </c>
      <c r="R2406" t="s">
        <v>3136</v>
      </c>
      <c r="S2406" t="str">
        <f>"07.0572790"</f>
        <v>07.0572790</v>
      </c>
      <c r="T2406" t="s">
        <v>41</v>
      </c>
      <c r="U2406">
        <v>6712.73</v>
      </c>
      <c r="V2406">
        <v>6712.73</v>
      </c>
      <c r="W2406">
        <v>6712.73</v>
      </c>
      <c r="X2406">
        <v>0</v>
      </c>
      <c r="Y2406">
        <v>0</v>
      </c>
      <c r="Z2406">
        <v>-491</v>
      </c>
      <c r="AA2406">
        <v>689374</v>
      </c>
      <c r="AD2406" t="s">
        <v>5463</v>
      </c>
      <c r="AE2406" t="s">
        <v>3197</v>
      </c>
      <c r="AF2406" t="s">
        <v>64</v>
      </c>
      <c r="AG2406">
        <v>75315333023230</v>
      </c>
      <c r="AH2406" t="s">
        <v>44</v>
      </c>
    </row>
    <row r="2407" spans="1:34" x14ac:dyDescent="0.3">
      <c r="A2407">
        <v>101</v>
      </c>
      <c r="B2407" t="s">
        <v>34</v>
      </c>
      <c r="C2407">
        <v>4</v>
      </c>
      <c r="D2407" s="1" t="s">
        <v>6543</v>
      </c>
      <c r="E2407" t="s">
        <v>3134</v>
      </c>
      <c r="G2407">
        <v>451490</v>
      </c>
      <c r="H2407" t="s">
        <v>6544</v>
      </c>
      <c r="I2407" t="s">
        <v>3131</v>
      </c>
      <c r="J2407">
        <v>26</v>
      </c>
      <c r="K2407">
        <v>4716</v>
      </c>
      <c r="L2407">
        <v>10001</v>
      </c>
      <c r="M2407" t="s">
        <v>3135</v>
      </c>
      <c r="N2407">
        <v>584</v>
      </c>
      <c r="O2407" s="2">
        <v>46171</v>
      </c>
      <c r="P2407" s="2">
        <v>46266</v>
      </c>
      <c r="R2407" t="s">
        <v>3136</v>
      </c>
      <c r="S2407" t="str">
        <f>"07.0572790"</f>
        <v>07.0572790</v>
      </c>
      <c r="T2407" t="s">
        <v>41</v>
      </c>
      <c r="U2407">
        <v>28088.58</v>
      </c>
      <c r="V2407">
        <v>28088.58</v>
      </c>
      <c r="W2407">
        <v>28088.58</v>
      </c>
      <c r="X2407">
        <v>0</v>
      </c>
      <c r="Y2407">
        <v>0</v>
      </c>
      <c r="Z2407">
        <v>-491</v>
      </c>
      <c r="AA2407">
        <v>688848</v>
      </c>
      <c r="AD2407" t="s">
        <v>3902</v>
      </c>
      <c r="AE2407" t="s">
        <v>3242</v>
      </c>
      <c r="AF2407" t="s">
        <v>64</v>
      </c>
      <c r="AG2407">
        <v>75315333023745</v>
      </c>
      <c r="AH2407" t="s">
        <v>44</v>
      </c>
    </row>
    <row r="2408" spans="1:34" x14ac:dyDescent="0.3">
      <c r="A2408">
        <v>101</v>
      </c>
      <c r="B2408" t="s">
        <v>34</v>
      </c>
      <c r="C2408">
        <v>4</v>
      </c>
      <c r="D2408" s="1" t="s">
        <v>6545</v>
      </c>
      <c r="E2408" t="s">
        <v>3134</v>
      </c>
      <c r="G2408">
        <v>451490</v>
      </c>
      <c r="H2408" t="s">
        <v>6544</v>
      </c>
      <c r="I2408" t="s">
        <v>3131</v>
      </c>
      <c r="J2408">
        <v>26</v>
      </c>
      <c r="K2408">
        <v>4716</v>
      </c>
      <c r="L2408">
        <v>10001</v>
      </c>
      <c r="M2408" t="s">
        <v>3135</v>
      </c>
      <c r="N2408">
        <v>584</v>
      </c>
      <c r="O2408" s="2">
        <v>46231</v>
      </c>
      <c r="P2408" s="2">
        <v>46329</v>
      </c>
      <c r="R2408" t="s">
        <v>3187</v>
      </c>
      <c r="S2408" t="str">
        <f>"08.0579034"</f>
        <v>08.0579034</v>
      </c>
      <c r="T2408" t="s">
        <v>41</v>
      </c>
      <c r="U2408">
        <v>24821.14</v>
      </c>
      <c r="V2408">
        <v>24821.14</v>
      </c>
      <c r="W2408">
        <v>24821.14</v>
      </c>
      <c r="X2408">
        <v>0</v>
      </c>
      <c r="Y2408">
        <v>0</v>
      </c>
      <c r="Z2408">
        <v>-554</v>
      </c>
      <c r="AA2408">
        <v>695237</v>
      </c>
      <c r="AD2408" t="s">
        <v>3902</v>
      </c>
      <c r="AE2408" t="s">
        <v>3242</v>
      </c>
      <c r="AF2408" t="s">
        <v>64</v>
      </c>
      <c r="AG2408">
        <v>75315333023745</v>
      </c>
      <c r="AH2408" t="s">
        <v>44</v>
      </c>
    </row>
    <row r="2409" spans="1:34" x14ac:dyDescent="0.3">
      <c r="A2409">
        <v>104</v>
      </c>
      <c r="B2409" t="s">
        <v>34</v>
      </c>
      <c r="C2409">
        <v>4</v>
      </c>
      <c r="D2409" s="1" t="s">
        <v>6546</v>
      </c>
      <c r="E2409" s="1" t="s">
        <v>36</v>
      </c>
      <c r="G2409">
        <v>451561</v>
      </c>
      <c r="H2409" t="s">
        <v>6547</v>
      </c>
      <c r="I2409" t="s">
        <v>3131</v>
      </c>
      <c r="J2409">
        <v>26</v>
      </c>
      <c r="K2409">
        <v>4716</v>
      </c>
      <c r="L2409">
        <v>95000</v>
      </c>
      <c r="M2409" t="s">
        <v>69</v>
      </c>
      <c r="N2409">
        <v>584</v>
      </c>
      <c r="O2409" s="2">
        <v>46234</v>
      </c>
      <c r="P2409" s="2">
        <v>46304</v>
      </c>
      <c r="R2409" t="s">
        <v>6548</v>
      </c>
      <c r="S2409" t="str">
        <f>""</f>
        <v/>
      </c>
      <c r="T2409" t="s">
        <v>41</v>
      </c>
      <c r="U2409">
        <v>12074.48</v>
      </c>
      <c r="V2409">
        <v>11651.87</v>
      </c>
      <c r="W2409">
        <v>11651.87</v>
      </c>
      <c r="X2409">
        <v>0</v>
      </c>
      <c r="Y2409">
        <v>0</v>
      </c>
      <c r="Z2409">
        <v>-529</v>
      </c>
      <c r="AA2409">
        <v>695983</v>
      </c>
      <c r="AD2409" t="s">
        <v>3042</v>
      </c>
      <c r="AE2409" t="s">
        <v>3242</v>
      </c>
      <c r="AF2409" t="s">
        <v>64</v>
      </c>
      <c r="AG2409">
        <v>75315333023826</v>
      </c>
      <c r="AH2409" t="s">
        <v>44</v>
      </c>
    </row>
    <row r="2410" spans="1:34" x14ac:dyDescent="0.3">
      <c r="A2410">
        <v>101</v>
      </c>
      <c r="B2410" t="s">
        <v>34</v>
      </c>
      <c r="C2410">
        <v>4</v>
      </c>
      <c r="D2410" s="1" t="s">
        <v>6549</v>
      </c>
      <c r="E2410" t="s">
        <v>3134</v>
      </c>
      <c r="G2410">
        <v>451561</v>
      </c>
      <c r="H2410" t="s">
        <v>6547</v>
      </c>
      <c r="I2410" t="s">
        <v>3131</v>
      </c>
      <c r="J2410">
        <v>26</v>
      </c>
      <c r="K2410">
        <v>4716</v>
      </c>
      <c r="L2410">
        <v>10001</v>
      </c>
      <c r="M2410" t="s">
        <v>3135</v>
      </c>
      <c r="N2410">
        <v>584</v>
      </c>
      <c r="O2410" s="2">
        <v>46197</v>
      </c>
      <c r="P2410" s="2">
        <v>46296</v>
      </c>
      <c r="R2410" t="s">
        <v>3179</v>
      </c>
      <c r="S2410" t="str">
        <f>"08.0576919"</f>
        <v>08.0576919</v>
      </c>
      <c r="T2410" t="s">
        <v>41</v>
      </c>
      <c r="U2410">
        <v>787.44</v>
      </c>
      <c r="V2410">
        <v>787.44</v>
      </c>
      <c r="W2410">
        <v>787.44</v>
      </c>
      <c r="X2410">
        <v>0</v>
      </c>
      <c r="Y2410">
        <v>0</v>
      </c>
      <c r="Z2410">
        <v>-521</v>
      </c>
      <c r="AA2410">
        <v>692034</v>
      </c>
      <c r="AD2410" t="s">
        <v>3042</v>
      </c>
      <c r="AE2410" t="s">
        <v>3242</v>
      </c>
      <c r="AF2410" t="s">
        <v>64</v>
      </c>
      <c r="AG2410">
        <v>75315333023826</v>
      </c>
      <c r="AH2410" t="s">
        <v>44</v>
      </c>
    </row>
    <row r="2411" spans="1:34" x14ac:dyDescent="0.3">
      <c r="A2411">
        <v>101</v>
      </c>
      <c r="B2411" t="s">
        <v>34</v>
      </c>
      <c r="C2411">
        <v>4</v>
      </c>
      <c r="D2411" s="1" t="s">
        <v>6550</v>
      </c>
      <c r="E2411" t="s">
        <v>3134</v>
      </c>
      <c r="G2411">
        <v>451561</v>
      </c>
      <c r="H2411" t="s">
        <v>6547</v>
      </c>
      <c r="I2411" t="s">
        <v>3131</v>
      </c>
      <c r="J2411">
        <v>26</v>
      </c>
      <c r="K2411">
        <v>4716</v>
      </c>
      <c r="L2411">
        <v>10001</v>
      </c>
      <c r="M2411" t="s">
        <v>3135</v>
      </c>
      <c r="N2411">
        <v>584</v>
      </c>
      <c r="O2411" s="2">
        <v>46197</v>
      </c>
      <c r="P2411" s="2">
        <v>46296</v>
      </c>
      <c r="R2411" t="s">
        <v>3179</v>
      </c>
      <c r="S2411" t="str">
        <f>"08.0576919"</f>
        <v>08.0576919</v>
      </c>
      <c r="T2411" t="s">
        <v>41</v>
      </c>
      <c r="U2411">
        <v>9291.69</v>
      </c>
      <c r="V2411">
        <v>9291.69</v>
      </c>
      <c r="W2411">
        <v>9291.69</v>
      </c>
      <c r="X2411">
        <v>0</v>
      </c>
      <c r="Y2411">
        <v>0</v>
      </c>
      <c r="Z2411">
        <v>-521</v>
      </c>
      <c r="AA2411">
        <v>691986</v>
      </c>
      <c r="AD2411" t="s">
        <v>3042</v>
      </c>
      <c r="AE2411" t="s">
        <v>3242</v>
      </c>
      <c r="AF2411" t="s">
        <v>64</v>
      </c>
      <c r="AG2411">
        <v>75315333023826</v>
      </c>
      <c r="AH2411" t="s">
        <v>44</v>
      </c>
    </row>
    <row r="2412" spans="1:34" x14ac:dyDescent="0.3">
      <c r="A2412">
        <v>104</v>
      </c>
      <c r="B2412" t="s">
        <v>34</v>
      </c>
      <c r="C2412">
        <v>4</v>
      </c>
      <c r="D2412" s="1" t="s">
        <v>6551</v>
      </c>
      <c r="E2412" s="1" t="s">
        <v>122</v>
      </c>
      <c r="G2412">
        <v>451992</v>
      </c>
      <c r="H2412" t="s">
        <v>6552</v>
      </c>
      <c r="I2412" t="s">
        <v>3131</v>
      </c>
      <c r="J2412">
        <v>26</v>
      </c>
      <c r="K2412">
        <v>4716</v>
      </c>
      <c r="L2412">
        <v>95000</v>
      </c>
      <c r="M2412" t="s">
        <v>69</v>
      </c>
      <c r="N2412">
        <v>584</v>
      </c>
      <c r="O2412" s="2">
        <v>46223</v>
      </c>
      <c r="P2412" s="2">
        <v>46328</v>
      </c>
      <c r="R2412" t="s">
        <v>6268</v>
      </c>
      <c r="S2412" t="str">
        <f>""</f>
        <v/>
      </c>
      <c r="T2412" t="s">
        <v>41</v>
      </c>
      <c r="U2412">
        <v>209.25</v>
      </c>
      <c r="V2412">
        <v>209.25</v>
      </c>
      <c r="W2412">
        <v>209.25</v>
      </c>
      <c r="X2412">
        <v>0</v>
      </c>
      <c r="Y2412">
        <v>0</v>
      </c>
      <c r="Z2412">
        <v>-553</v>
      </c>
      <c r="AC2412" t="s">
        <v>6269</v>
      </c>
      <c r="AD2412" t="s">
        <v>4897</v>
      </c>
      <c r="AE2412">
        <v>1129678461</v>
      </c>
      <c r="AF2412" t="s">
        <v>64</v>
      </c>
      <c r="AG2412">
        <v>75315333024989</v>
      </c>
      <c r="AH2412" t="s">
        <v>44</v>
      </c>
    </row>
    <row r="2413" spans="1:34" x14ac:dyDescent="0.3">
      <c r="A2413">
        <v>104</v>
      </c>
      <c r="B2413" t="s">
        <v>34</v>
      </c>
      <c r="C2413">
        <v>4</v>
      </c>
      <c r="D2413" s="1" t="s">
        <v>6553</v>
      </c>
      <c r="E2413" s="1" t="s">
        <v>36</v>
      </c>
      <c r="G2413">
        <v>451992</v>
      </c>
      <c r="H2413" t="s">
        <v>6552</v>
      </c>
      <c r="I2413" t="s">
        <v>3131</v>
      </c>
      <c r="J2413">
        <v>26</v>
      </c>
      <c r="K2413">
        <v>4716</v>
      </c>
      <c r="L2413">
        <v>95000</v>
      </c>
      <c r="M2413" t="s">
        <v>69</v>
      </c>
      <c r="N2413">
        <v>584</v>
      </c>
      <c r="O2413" s="2">
        <v>46211</v>
      </c>
      <c r="P2413" s="2">
        <v>46328</v>
      </c>
      <c r="R2413" t="s">
        <v>6554</v>
      </c>
      <c r="S2413" t="str">
        <f>""</f>
        <v/>
      </c>
      <c r="T2413" t="s">
        <v>41</v>
      </c>
      <c r="U2413">
        <v>14977.64</v>
      </c>
      <c r="V2413">
        <v>14453.42</v>
      </c>
      <c r="W2413">
        <v>14453.42</v>
      </c>
      <c r="X2413">
        <v>0</v>
      </c>
      <c r="Y2413">
        <v>0</v>
      </c>
      <c r="Z2413">
        <v>-553</v>
      </c>
      <c r="AA2413">
        <v>693993</v>
      </c>
      <c r="AD2413" t="s">
        <v>4897</v>
      </c>
      <c r="AE2413">
        <v>1129678461</v>
      </c>
      <c r="AF2413" t="s">
        <v>64</v>
      </c>
      <c r="AG2413">
        <v>75315333024989</v>
      </c>
      <c r="AH2413" t="s">
        <v>44</v>
      </c>
    </row>
    <row r="2414" spans="1:34" x14ac:dyDescent="0.3">
      <c r="A2414">
        <v>104</v>
      </c>
      <c r="B2414" t="s">
        <v>34</v>
      </c>
      <c r="C2414">
        <v>4</v>
      </c>
      <c r="D2414" s="1" t="s">
        <v>6551</v>
      </c>
      <c r="E2414" s="1" t="s">
        <v>36</v>
      </c>
      <c r="G2414">
        <v>451992</v>
      </c>
      <c r="H2414" t="s">
        <v>6552</v>
      </c>
      <c r="I2414" t="s">
        <v>3131</v>
      </c>
      <c r="J2414">
        <v>26</v>
      </c>
      <c r="K2414">
        <v>4716</v>
      </c>
      <c r="L2414">
        <v>95000</v>
      </c>
      <c r="M2414" t="s">
        <v>69</v>
      </c>
      <c r="N2414">
        <v>584</v>
      </c>
      <c r="O2414" s="2">
        <v>46211</v>
      </c>
      <c r="P2414" s="2">
        <v>46328</v>
      </c>
      <c r="R2414" t="s">
        <v>6555</v>
      </c>
      <c r="S2414" t="str">
        <f>""</f>
        <v/>
      </c>
      <c r="T2414" t="s">
        <v>41</v>
      </c>
      <c r="U2414">
        <v>1100.96</v>
      </c>
      <c r="V2414">
        <v>1062.43</v>
      </c>
      <c r="W2414">
        <v>1062.43</v>
      </c>
      <c r="X2414">
        <v>0</v>
      </c>
      <c r="Y2414">
        <v>0</v>
      </c>
      <c r="Z2414">
        <v>-553</v>
      </c>
      <c r="AA2414">
        <v>693935</v>
      </c>
      <c r="AD2414" t="s">
        <v>4897</v>
      </c>
      <c r="AE2414">
        <v>1129678461</v>
      </c>
      <c r="AF2414" t="s">
        <v>64</v>
      </c>
      <c r="AG2414">
        <v>75315333024989</v>
      </c>
      <c r="AH2414" t="s">
        <v>44</v>
      </c>
    </row>
    <row r="2415" spans="1:34" x14ac:dyDescent="0.3">
      <c r="A2415">
        <v>101</v>
      </c>
      <c r="B2415" t="s">
        <v>34</v>
      </c>
      <c r="C2415">
        <v>4</v>
      </c>
      <c r="D2415" s="1" t="s">
        <v>6556</v>
      </c>
      <c r="E2415" t="s">
        <v>3134</v>
      </c>
      <c r="G2415">
        <v>451993</v>
      </c>
      <c r="H2415" t="s">
        <v>6557</v>
      </c>
      <c r="I2415" t="s">
        <v>3131</v>
      </c>
      <c r="J2415">
        <v>26</v>
      </c>
      <c r="K2415">
        <v>4716</v>
      </c>
      <c r="L2415">
        <v>10001</v>
      </c>
      <c r="M2415" t="s">
        <v>3135</v>
      </c>
      <c r="N2415">
        <v>584</v>
      </c>
      <c r="O2415" s="2">
        <v>46162</v>
      </c>
      <c r="P2415" s="2">
        <v>46296</v>
      </c>
      <c r="R2415" t="s">
        <v>3179</v>
      </c>
      <c r="S2415" t="str">
        <f>"08.0576919"</f>
        <v>08.0576919</v>
      </c>
      <c r="T2415" t="s">
        <v>41</v>
      </c>
      <c r="U2415">
        <v>33605.129999999997</v>
      </c>
      <c r="V2415">
        <v>33605.129999999997</v>
      </c>
      <c r="W2415">
        <v>33605.129999999997</v>
      </c>
      <c r="X2415">
        <v>0</v>
      </c>
      <c r="Y2415">
        <v>0</v>
      </c>
      <c r="Z2415">
        <v>-521</v>
      </c>
      <c r="AA2415">
        <v>688460</v>
      </c>
      <c r="AD2415" t="s">
        <v>6454</v>
      </c>
      <c r="AE2415">
        <v>1129678461</v>
      </c>
      <c r="AF2415" t="s">
        <v>64</v>
      </c>
      <c r="AG2415">
        <v>75315333024806</v>
      </c>
      <c r="AH2415" t="s">
        <v>44</v>
      </c>
    </row>
    <row r="2416" spans="1:34" x14ac:dyDescent="0.3">
      <c r="A2416">
        <v>104</v>
      </c>
      <c r="B2416" t="s">
        <v>34</v>
      </c>
      <c r="C2416">
        <v>4</v>
      </c>
      <c r="D2416" s="1" t="s">
        <v>6558</v>
      </c>
      <c r="E2416" s="1" t="s">
        <v>36</v>
      </c>
      <c r="G2416">
        <v>451993</v>
      </c>
      <c r="H2416" t="s">
        <v>6557</v>
      </c>
      <c r="I2416" t="s">
        <v>3131</v>
      </c>
      <c r="J2416">
        <v>26</v>
      </c>
      <c r="K2416">
        <v>4716</v>
      </c>
      <c r="L2416">
        <v>95000</v>
      </c>
      <c r="M2416" t="s">
        <v>69</v>
      </c>
      <c r="N2416">
        <v>584</v>
      </c>
      <c r="O2416" s="2">
        <v>46197</v>
      </c>
      <c r="P2416" s="2">
        <v>46329</v>
      </c>
      <c r="R2416" t="s">
        <v>6559</v>
      </c>
      <c r="S2416" t="str">
        <f>""</f>
        <v/>
      </c>
      <c r="T2416" t="s">
        <v>41</v>
      </c>
      <c r="U2416">
        <v>5503.87</v>
      </c>
      <c r="V2416">
        <v>5091.08</v>
      </c>
      <c r="W2416">
        <v>5091.08</v>
      </c>
      <c r="X2416">
        <v>0</v>
      </c>
      <c r="Y2416">
        <v>0</v>
      </c>
      <c r="Z2416">
        <v>-554</v>
      </c>
      <c r="AA2416">
        <v>692036</v>
      </c>
      <c r="AD2416" t="s">
        <v>6454</v>
      </c>
      <c r="AE2416">
        <v>1129678461</v>
      </c>
      <c r="AF2416" t="s">
        <v>64</v>
      </c>
      <c r="AG2416">
        <v>75315333024806</v>
      </c>
      <c r="AH2416" t="s">
        <v>44</v>
      </c>
    </row>
    <row r="2417" spans="1:34" x14ac:dyDescent="0.3">
      <c r="A2417">
        <v>104</v>
      </c>
      <c r="B2417" t="s">
        <v>34</v>
      </c>
      <c r="C2417">
        <v>4</v>
      </c>
      <c r="D2417" s="1" t="s">
        <v>6560</v>
      </c>
      <c r="E2417" s="1" t="s">
        <v>36</v>
      </c>
      <c r="G2417">
        <v>451993</v>
      </c>
      <c r="H2417" t="s">
        <v>6557</v>
      </c>
      <c r="I2417" t="s">
        <v>3131</v>
      </c>
      <c r="J2417">
        <v>26</v>
      </c>
      <c r="K2417">
        <v>4716</v>
      </c>
      <c r="L2417">
        <v>95000</v>
      </c>
      <c r="M2417" t="s">
        <v>69</v>
      </c>
      <c r="N2417">
        <v>584</v>
      </c>
      <c r="O2417" s="2">
        <v>46234</v>
      </c>
      <c r="P2417" s="2">
        <v>46304</v>
      </c>
      <c r="R2417" t="s">
        <v>6561</v>
      </c>
      <c r="S2417" t="str">
        <f>""</f>
        <v/>
      </c>
      <c r="T2417" t="s">
        <v>41</v>
      </c>
      <c r="U2417">
        <v>25103.15</v>
      </c>
      <c r="V2417">
        <v>23220.41</v>
      </c>
      <c r="W2417">
        <v>23220.41</v>
      </c>
      <c r="X2417">
        <v>0</v>
      </c>
      <c r="Y2417">
        <v>0</v>
      </c>
      <c r="Z2417">
        <v>-529</v>
      </c>
      <c r="AA2417">
        <v>695955</v>
      </c>
      <c r="AD2417" t="s">
        <v>6454</v>
      </c>
      <c r="AE2417">
        <v>1129678461</v>
      </c>
      <c r="AF2417" t="s">
        <v>64</v>
      </c>
      <c r="AG2417">
        <v>75315333024806</v>
      </c>
      <c r="AH2417" t="s">
        <v>44</v>
      </c>
    </row>
    <row r="2418" spans="1:34" x14ac:dyDescent="0.3">
      <c r="A2418">
        <v>104</v>
      </c>
      <c r="B2418" t="s">
        <v>34</v>
      </c>
      <c r="C2418">
        <v>4</v>
      </c>
      <c r="D2418" s="1" t="s">
        <v>6562</v>
      </c>
      <c r="E2418" s="1" t="s">
        <v>36</v>
      </c>
      <c r="G2418">
        <v>451993</v>
      </c>
      <c r="H2418" t="s">
        <v>6557</v>
      </c>
      <c r="I2418" t="s">
        <v>3131</v>
      </c>
      <c r="J2418">
        <v>26</v>
      </c>
      <c r="K2418">
        <v>4716</v>
      </c>
      <c r="L2418">
        <v>95000</v>
      </c>
      <c r="M2418" t="s">
        <v>69</v>
      </c>
      <c r="N2418">
        <v>584</v>
      </c>
      <c r="O2418" s="2">
        <v>46197</v>
      </c>
      <c r="P2418" s="2">
        <v>46329</v>
      </c>
      <c r="R2418" t="s">
        <v>6563</v>
      </c>
      <c r="S2418" t="str">
        <f>""</f>
        <v/>
      </c>
      <c r="T2418" t="s">
        <v>41</v>
      </c>
      <c r="U2418">
        <v>12515.15</v>
      </c>
      <c r="V2418">
        <v>11576.51</v>
      </c>
      <c r="W2418">
        <v>11576.51</v>
      </c>
      <c r="X2418">
        <v>0</v>
      </c>
      <c r="Y2418">
        <v>0</v>
      </c>
      <c r="Z2418">
        <v>-554</v>
      </c>
      <c r="AA2418">
        <v>691988</v>
      </c>
      <c r="AD2418" t="s">
        <v>6454</v>
      </c>
      <c r="AE2418">
        <v>1129678461</v>
      </c>
      <c r="AF2418" t="s">
        <v>64</v>
      </c>
      <c r="AG2418">
        <v>75315333024806</v>
      </c>
      <c r="AH2418" t="s">
        <v>44</v>
      </c>
    </row>
    <row r="2419" spans="1:34" x14ac:dyDescent="0.3">
      <c r="A2419">
        <v>104</v>
      </c>
      <c r="B2419" t="s">
        <v>4016</v>
      </c>
      <c r="C2419">
        <v>4</v>
      </c>
      <c r="D2419" s="1" t="s">
        <v>6562</v>
      </c>
      <c r="E2419" s="1" t="s">
        <v>36</v>
      </c>
      <c r="G2419">
        <v>451993</v>
      </c>
      <c r="H2419" t="s">
        <v>6557</v>
      </c>
      <c r="I2419" t="s">
        <v>3131</v>
      </c>
      <c r="J2419">
        <v>26</v>
      </c>
      <c r="K2419">
        <v>4716</v>
      </c>
      <c r="N2419">
        <v>584</v>
      </c>
      <c r="O2419" s="2">
        <v>46255</v>
      </c>
      <c r="P2419" s="2">
        <v>46255</v>
      </c>
      <c r="R2419" t="s">
        <v>6564</v>
      </c>
      <c r="S2419" t="str">
        <f>""</f>
        <v/>
      </c>
      <c r="T2419" t="s">
        <v>41</v>
      </c>
      <c r="U2419">
        <v>-212.81</v>
      </c>
      <c r="V2419">
        <v>-212.81</v>
      </c>
      <c r="W2419">
        <v>-212.81</v>
      </c>
      <c r="X2419">
        <v>0</v>
      </c>
      <c r="Y2419">
        <v>0</v>
      </c>
      <c r="Z2419">
        <v>-480</v>
      </c>
      <c r="AD2419" t="s">
        <v>6454</v>
      </c>
      <c r="AE2419">
        <v>1129678461</v>
      </c>
      <c r="AF2419" t="s">
        <v>64</v>
      </c>
      <c r="AG2419">
        <v>75315333024806</v>
      </c>
      <c r="AH2419" t="s">
        <v>44</v>
      </c>
    </row>
    <row r="2420" spans="1:34" x14ac:dyDescent="0.3">
      <c r="A2420">
        <v>101</v>
      </c>
      <c r="B2420" t="s">
        <v>34</v>
      </c>
      <c r="C2420">
        <v>4</v>
      </c>
      <c r="D2420" s="1" t="s">
        <v>6565</v>
      </c>
      <c r="E2420" t="s">
        <v>3134</v>
      </c>
      <c r="G2420">
        <v>452026</v>
      </c>
      <c r="H2420" t="s">
        <v>6566</v>
      </c>
      <c r="I2420" t="s">
        <v>3131</v>
      </c>
      <c r="J2420">
        <v>26</v>
      </c>
      <c r="K2420">
        <v>4716</v>
      </c>
      <c r="L2420">
        <v>10001</v>
      </c>
      <c r="M2420" t="s">
        <v>3135</v>
      </c>
      <c r="N2420">
        <v>584</v>
      </c>
      <c r="O2420" s="2">
        <v>46190</v>
      </c>
      <c r="P2420" s="2">
        <v>46281</v>
      </c>
      <c r="R2420" t="s">
        <v>3144</v>
      </c>
      <c r="S2420" t="str">
        <f>"07.0574661"</f>
        <v>07.0574661</v>
      </c>
      <c r="T2420" t="s">
        <v>41</v>
      </c>
      <c r="U2420">
        <v>18036.759999999998</v>
      </c>
      <c r="V2420">
        <v>18036.759999999998</v>
      </c>
      <c r="W2420">
        <v>18036.759999999998</v>
      </c>
      <c r="X2420">
        <v>0</v>
      </c>
      <c r="Y2420">
        <v>0</v>
      </c>
      <c r="Z2420">
        <v>-506</v>
      </c>
      <c r="AA2420">
        <v>691613</v>
      </c>
      <c r="AD2420" t="s">
        <v>6567</v>
      </c>
      <c r="AE2420">
        <v>1129678461</v>
      </c>
      <c r="AF2420" t="s">
        <v>6567</v>
      </c>
      <c r="AG2420">
        <v>75315333024202</v>
      </c>
      <c r="AH2420" t="s">
        <v>4609</v>
      </c>
    </row>
    <row r="2421" spans="1:34" x14ac:dyDescent="0.3">
      <c r="A2421">
        <v>101</v>
      </c>
      <c r="B2421" t="s">
        <v>34</v>
      </c>
      <c r="C2421">
        <v>4</v>
      </c>
      <c r="D2421" s="1" t="s">
        <v>6568</v>
      </c>
      <c r="E2421" t="s">
        <v>3134</v>
      </c>
      <c r="G2421">
        <v>452026</v>
      </c>
      <c r="H2421" t="s">
        <v>6566</v>
      </c>
      <c r="I2421" t="s">
        <v>3131</v>
      </c>
      <c r="J2421">
        <v>26</v>
      </c>
      <c r="K2421">
        <v>4716</v>
      </c>
      <c r="L2421">
        <v>10001</v>
      </c>
      <c r="M2421" t="s">
        <v>3135</v>
      </c>
      <c r="N2421">
        <v>584</v>
      </c>
      <c r="O2421" s="2">
        <v>46190</v>
      </c>
      <c r="P2421" s="2">
        <v>46281</v>
      </c>
      <c r="R2421" t="s">
        <v>3144</v>
      </c>
      <c r="S2421" t="str">
        <f>"07.0574661"</f>
        <v>07.0574661</v>
      </c>
      <c r="T2421" t="s">
        <v>41</v>
      </c>
      <c r="U2421">
        <v>636.9</v>
      </c>
      <c r="V2421">
        <v>636.9</v>
      </c>
      <c r="W2421">
        <v>636.9</v>
      </c>
      <c r="X2421">
        <v>0</v>
      </c>
      <c r="Y2421">
        <v>0</v>
      </c>
      <c r="Z2421">
        <v>-506</v>
      </c>
      <c r="AA2421">
        <v>691669</v>
      </c>
      <c r="AD2421" t="s">
        <v>6567</v>
      </c>
      <c r="AE2421">
        <v>1129678461</v>
      </c>
      <c r="AF2421" t="s">
        <v>6567</v>
      </c>
      <c r="AG2421">
        <v>75315333024202</v>
      </c>
      <c r="AH2421" t="s">
        <v>4609</v>
      </c>
    </row>
    <row r="2422" spans="1:34" x14ac:dyDescent="0.3">
      <c r="A2422">
        <v>104</v>
      </c>
      <c r="B2422" t="s">
        <v>34</v>
      </c>
      <c r="C2422">
        <v>4</v>
      </c>
      <c r="D2422" s="1" t="s">
        <v>6569</v>
      </c>
      <c r="E2422" s="1" t="s">
        <v>36</v>
      </c>
      <c r="G2422">
        <v>452027</v>
      </c>
      <c r="H2422" t="s">
        <v>6570</v>
      </c>
      <c r="I2422" t="s">
        <v>3131</v>
      </c>
      <c r="J2422">
        <v>26</v>
      </c>
      <c r="K2422">
        <v>4716</v>
      </c>
      <c r="L2422">
        <v>95000</v>
      </c>
      <c r="M2422" t="s">
        <v>69</v>
      </c>
      <c r="N2422">
        <v>584</v>
      </c>
      <c r="O2422" s="2">
        <v>46211</v>
      </c>
      <c r="P2422" s="2">
        <v>46311</v>
      </c>
      <c r="R2422" t="s">
        <v>6571</v>
      </c>
      <c r="S2422" t="str">
        <f>""</f>
        <v/>
      </c>
      <c r="T2422" t="s">
        <v>41</v>
      </c>
      <c r="U2422">
        <v>11192.39</v>
      </c>
      <c r="V2422">
        <v>10800.66</v>
      </c>
      <c r="W2422">
        <v>10800.66</v>
      </c>
      <c r="X2422">
        <v>0</v>
      </c>
      <c r="Y2422">
        <v>0</v>
      </c>
      <c r="Z2422">
        <v>-536</v>
      </c>
      <c r="AA2422">
        <v>693991</v>
      </c>
      <c r="AD2422" t="s">
        <v>4897</v>
      </c>
      <c r="AE2422">
        <v>1129678461</v>
      </c>
      <c r="AF2422" t="s">
        <v>4897</v>
      </c>
      <c r="AG2422">
        <v>75315333024717</v>
      </c>
      <c r="AH2422" t="s">
        <v>3698</v>
      </c>
    </row>
    <row r="2423" spans="1:34" x14ac:dyDescent="0.3">
      <c r="A2423">
        <v>101</v>
      </c>
      <c r="B2423" t="s">
        <v>34</v>
      </c>
      <c r="C2423">
        <v>4</v>
      </c>
      <c r="D2423" s="1" t="s">
        <v>6572</v>
      </c>
      <c r="E2423" t="s">
        <v>4694</v>
      </c>
      <c r="G2423">
        <v>452027</v>
      </c>
      <c r="H2423" t="s">
        <v>6570</v>
      </c>
      <c r="I2423" t="s">
        <v>3131</v>
      </c>
      <c r="J2423">
        <v>26</v>
      </c>
      <c r="K2423">
        <v>4716</v>
      </c>
      <c r="L2423">
        <v>10001</v>
      </c>
      <c r="M2423" t="s">
        <v>3135</v>
      </c>
      <c r="N2423">
        <v>584</v>
      </c>
      <c r="O2423" s="2">
        <v>46223</v>
      </c>
      <c r="P2423" s="2">
        <v>46311</v>
      </c>
      <c r="R2423" t="s">
        <v>3187</v>
      </c>
      <c r="S2423" t="str">
        <f>"08.0579034"</f>
        <v>08.0579034</v>
      </c>
      <c r="T2423" t="s">
        <v>41</v>
      </c>
      <c r="U2423">
        <v>201.19</v>
      </c>
      <c r="V2423">
        <v>201.19</v>
      </c>
      <c r="W2423">
        <v>201.19</v>
      </c>
      <c r="X2423">
        <v>0</v>
      </c>
      <c r="Y2423">
        <v>0</v>
      </c>
      <c r="Z2423">
        <v>-536</v>
      </c>
      <c r="AC2423" t="s">
        <v>6269</v>
      </c>
      <c r="AD2423" t="s">
        <v>4897</v>
      </c>
      <c r="AE2423">
        <v>1129678461</v>
      </c>
      <c r="AF2423" t="s">
        <v>4897</v>
      </c>
      <c r="AG2423">
        <v>75315333024717</v>
      </c>
      <c r="AH2423" t="s">
        <v>3698</v>
      </c>
    </row>
    <row r="2424" spans="1:34" x14ac:dyDescent="0.3">
      <c r="A2424">
        <v>101</v>
      </c>
      <c r="B2424" t="s">
        <v>34</v>
      </c>
      <c r="C2424">
        <v>4</v>
      </c>
      <c r="D2424" s="1" t="s">
        <v>6572</v>
      </c>
      <c r="E2424" t="s">
        <v>3134</v>
      </c>
      <c r="G2424">
        <v>452027</v>
      </c>
      <c r="H2424" t="s">
        <v>6570</v>
      </c>
      <c r="I2424" t="s">
        <v>3131</v>
      </c>
      <c r="J2424">
        <v>26</v>
      </c>
      <c r="K2424">
        <v>4716</v>
      </c>
      <c r="L2424">
        <v>10001</v>
      </c>
      <c r="M2424" t="s">
        <v>3135</v>
      </c>
      <c r="N2424">
        <v>584</v>
      </c>
      <c r="O2424" s="2">
        <v>46211</v>
      </c>
      <c r="P2424" s="2">
        <v>46311</v>
      </c>
      <c r="R2424" t="s">
        <v>3187</v>
      </c>
      <c r="S2424" t="str">
        <f>"08.0579034"</f>
        <v>08.0579034</v>
      </c>
      <c r="T2424" t="s">
        <v>41</v>
      </c>
      <c r="U2424">
        <v>1033.55</v>
      </c>
      <c r="V2424">
        <v>1033.55</v>
      </c>
      <c r="W2424">
        <v>1033.55</v>
      </c>
      <c r="X2424">
        <v>0</v>
      </c>
      <c r="Y2424">
        <v>0</v>
      </c>
      <c r="Z2424">
        <v>-536</v>
      </c>
      <c r="AA2424">
        <v>693933</v>
      </c>
      <c r="AD2424" t="s">
        <v>4897</v>
      </c>
      <c r="AE2424">
        <v>1129678461</v>
      </c>
      <c r="AF2424" t="s">
        <v>4897</v>
      </c>
      <c r="AG2424">
        <v>75315333024717</v>
      </c>
      <c r="AH2424" t="s">
        <v>3698</v>
      </c>
    </row>
    <row r="2425" spans="1:34" x14ac:dyDescent="0.3">
      <c r="A2425">
        <v>101</v>
      </c>
      <c r="B2425" t="s">
        <v>34</v>
      </c>
      <c r="C2425">
        <v>4</v>
      </c>
      <c r="D2425" s="1" t="s">
        <v>6573</v>
      </c>
      <c r="E2425" t="s">
        <v>3134</v>
      </c>
      <c r="G2425">
        <v>452877</v>
      </c>
      <c r="H2425" t="s">
        <v>6574</v>
      </c>
      <c r="I2425" t="s">
        <v>3196</v>
      </c>
      <c r="J2425">
        <v>26</v>
      </c>
      <c r="K2425">
        <v>4716</v>
      </c>
      <c r="L2425">
        <v>10001</v>
      </c>
      <c r="M2425" t="s">
        <v>3135</v>
      </c>
      <c r="N2425">
        <v>584</v>
      </c>
      <c r="O2425" s="2">
        <v>46183</v>
      </c>
      <c r="P2425" s="2">
        <v>46281</v>
      </c>
      <c r="R2425" t="s">
        <v>3144</v>
      </c>
      <c r="S2425" t="str">
        <f>"07.0574661"</f>
        <v>07.0574661</v>
      </c>
      <c r="T2425" t="s">
        <v>41</v>
      </c>
      <c r="U2425">
        <v>2038.08</v>
      </c>
      <c r="V2425">
        <v>2038.08</v>
      </c>
      <c r="W2425">
        <v>2038.08</v>
      </c>
      <c r="X2425">
        <v>0</v>
      </c>
      <c r="Y2425">
        <v>0</v>
      </c>
      <c r="Z2425">
        <v>-506</v>
      </c>
      <c r="AA2425">
        <v>688525</v>
      </c>
      <c r="AD2425" t="s">
        <v>6575</v>
      </c>
      <c r="AE2425">
        <v>1129678444</v>
      </c>
      <c r="AF2425" t="s">
        <v>6575</v>
      </c>
      <c r="AG2425">
        <v>75315333025365</v>
      </c>
      <c r="AH2425" t="s">
        <v>3530</v>
      </c>
    </row>
    <row r="2426" spans="1:34" x14ac:dyDescent="0.3">
      <c r="A2426">
        <v>101</v>
      </c>
      <c r="B2426" t="s">
        <v>34</v>
      </c>
      <c r="C2426">
        <v>4</v>
      </c>
      <c r="D2426" s="1" t="s">
        <v>6576</v>
      </c>
      <c r="E2426" t="s">
        <v>3134</v>
      </c>
      <c r="G2426">
        <v>452877</v>
      </c>
      <c r="H2426" t="s">
        <v>6574</v>
      </c>
      <c r="I2426" t="s">
        <v>3196</v>
      </c>
      <c r="J2426">
        <v>26</v>
      </c>
      <c r="K2426">
        <v>4716</v>
      </c>
      <c r="L2426">
        <v>10001</v>
      </c>
      <c r="M2426" t="s">
        <v>3135</v>
      </c>
      <c r="N2426">
        <v>584</v>
      </c>
      <c r="O2426" s="2">
        <v>46160</v>
      </c>
      <c r="P2426" s="2">
        <v>46266</v>
      </c>
      <c r="R2426" t="s">
        <v>3136</v>
      </c>
      <c r="S2426" t="str">
        <f>"07.0572790"</f>
        <v>07.0572790</v>
      </c>
      <c r="T2426" t="s">
        <v>41</v>
      </c>
      <c r="U2426">
        <v>10435.15</v>
      </c>
      <c r="V2426">
        <v>10435.15</v>
      </c>
      <c r="W2426">
        <v>10435.15</v>
      </c>
      <c r="X2426">
        <v>0</v>
      </c>
      <c r="Y2426">
        <v>0</v>
      </c>
      <c r="Z2426">
        <v>-491</v>
      </c>
      <c r="AA2426">
        <v>688525</v>
      </c>
      <c r="AD2426" t="s">
        <v>6575</v>
      </c>
      <c r="AE2426">
        <v>1129678444</v>
      </c>
      <c r="AF2426" t="s">
        <v>6575</v>
      </c>
      <c r="AG2426">
        <v>75315333025365</v>
      </c>
      <c r="AH2426" t="s">
        <v>3530</v>
      </c>
    </row>
    <row r="2427" spans="1:34" x14ac:dyDescent="0.3">
      <c r="A2427">
        <v>101</v>
      </c>
      <c r="B2427" t="s">
        <v>34</v>
      </c>
      <c r="C2427">
        <v>4</v>
      </c>
      <c r="D2427" s="1" t="s">
        <v>6577</v>
      </c>
      <c r="E2427" t="s">
        <v>3134</v>
      </c>
      <c r="G2427">
        <v>453105</v>
      </c>
      <c r="H2427" t="s">
        <v>6578</v>
      </c>
      <c r="I2427" t="s">
        <v>3196</v>
      </c>
      <c r="J2427">
        <v>26</v>
      </c>
      <c r="K2427">
        <v>4716</v>
      </c>
      <c r="L2427">
        <v>10001</v>
      </c>
      <c r="M2427" t="s">
        <v>3135</v>
      </c>
      <c r="N2427">
        <v>584</v>
      </c>
      <c r="O2427" s="2">
        <v>46162</v>
      </c>
      <c r="P2427" s="2">
        <v>46296</v>
      </c>
      <c r="R2427" t="s">
        <v>3179</v>
      </c>
      <c r="S2427" t="str">
        <f>"08.0576919"</f>
        <v>08.0576919</v>
      </c>
      <c r="T2427" t="s">
        <v>41</v>
      </c>
      <c r="U2427">
        <v>52409.38</v>
      </c>
      <c r="V2427">
        <v>52409.38</v>
      </c>
      <c r="W2427">
        <v>52409.38</v>
      </c>
      <c r="X2427">
        <v>0</v>
      </c>
      <c r="Y2427">
        <v>0</v>
      </c>
      <c r="Z2427">
        <v>-521</v>
      </c>
      <c r="AA2427">
        <v>688462</v>
      </c>
      <c r="AD2427" t="s">
        <v>6417</v>
      </c>
      <c r="AF2427" t="s">
        <v>6417</v>
      </c>
      <c r="AG2427">
        <v>75315333025608</v>
      </c>
      <c r="AH2427" t="s">
        <v>6419</v>
      </c>
    </row>
    <row r="2428" spans="1:34" x14ac:dyDescent="0.3">
      <c r="A2428">
        <v>101</v>
      </c>
      <c r="B2428" t="s">
        <v>34</v>
      </c>
      <c r="C2428">
        <v>4</v>
      </c>
      <c r="D2428" s="1" t="s">
        <v>6579</v>
      </c>
      <c r="E2428" t="s">
        <v>3134</v>
      </c>
      <c r="G2428">
        <v>453105</v>
      </c>
      <c r="H2428" t="s">
        <v>6578</v>
      </c>
      <c r="I2428" t="s">
        <v>3196</v>
      </c>
      <c r="J2428">
        <v>26</v>
      </c>
      <c r="K2428">
        <v>4716</v>
      </c>
      <c r="L2428">
        <v>10001</v>
      </c>
      <c r="M2428" t="s">
        <v>3135</v>
      </c>
      <c r="N2428">
        <v>584</v>
      </c>
      <c r="O2428" s="2">
        <v>46234</v>
      </c>
      <c r="P2428" s="2">
        <v>46329</v>
      </c>
      <c r="R2428" t="s">
        <v>3187</v>
      </c>
      <c r="S2428" t="str">
        <f>"08.0579034"</f>
        <v>08.0579034</v>
      </c>
      <c r="T2428" t="s">
        <v>41</v>
      </c>
      <c r="U2428">
        <v>12431.08</v>
      </c>
      <c r="V2428">
        <v>12431.08</v>
      </c>
      <c r="W2428">
        <v>12431.08</v>
      </c>
      <c r="X2428">
        <v>0</v>
      </c>
      <c r="Y2428">
        <v>0</v>
      </c>
      <c r="Z2428">
        <v>-554</v>
      </c>
      <c r="AA2428" t="s">
        <v>6580</v>
      </c>
      <c r="AD2428" t="s">
        <v>6417</v>
      </c>
      <c r="AF2428" t="s">
        <v>6417</v>
      </c>
      <c r="AG2428">
        <v>75315333025608</v>
      </c>
      <c r="AH2428" t="s">
        <v>6419</v>
      </c>
    </row>
    <row r="2429" spans="1:34" x14ac:dyDescent="0.3">
      <c r="A2429">
        <v>104</v>
      </c>
      <c r="B2429" t="s">
        <v>34</v>
      </c>
      <c r="C2429">
        <v>4</v>
      </c>
      <c r="D2429" s="1" t="s">
        <v>6581</v>
      </c>
      <c r="E2429" s="1" t="s">
        <v>36</v>
      </c>
      <c r="G2429">
        <v>453105</v>
      </c>
      <c r="H2429" t="s">
        <v>6578</v>
      </c>
      <c r="I2429" t="s">
        <v>3196</v>
      </c>
      <c r="J2429">
        <v>26</v>
      </c>
      <c r="K2429">
        <v>4716</v>
      </c>
      <c r="L2429">
        <v>95000</v>
      </c>
      <c r="M2429" t="s">
        <v>69</v>
      </c>
      <c r="N2429">
        <v>584</v>
      </c>
      <c r="O2429" s="2">
        <v>46234</v>
      </c>
      <c r="P2429" s="2">
        <v>46304</v>
      </c>
      <c r="R2429" t="s">
        <v>6582</v>
      </c>
      <c r="S2429" t="str">
        <f>""</f>
        <v/>
      </c>
      <c r="T2429" t="s">
        <v>41</v>
      </c>
      <c r="U2429">
        <v>10772.94</v>
      </c>
      <c r="V2429">
        <v>9964.9699999999993</v>
      </c>
      <c r="W2429">
        <v>9964.9699999999993</v>
      </c>
      <c r="X2429">
        <v>0</v>
      </c>
      <c r="Y2429">
        <v>0</v>
      </c>
      <c r="Z2429">
        <v>-529</v>
      </c>
      <c r="AA2429">
        <v>695957</v>
      </c>
      <c r="AD2429" t="s">
        <v>6417</v>
      </c>
      <c r="AF2429" t="s">
        <v>6417</v>
      </c>
      <c r="AG2429">
        <v>75315333025608</v>
      </c>
      <c r="AH2429" t="s">
        <v>6419</v>
      </c>
    </row>
    <row r="2430" spans="1:34" x14ac:dyDescent="0.3">
      <c r="A2430">
        <v>101</v>
      </c>
      <c r="B2430" t="s">
        <v>34</v>
      </c>
      <c r="C2430">
        <v>4</v>
      </c>
      <c r="D2430" s="1" t="s">
        <v>6583</v>
      </c>
      <c r="E2430" t="s">
        <v>3134</v>
      </c>
      <c r="G2430">
        <v>453106</v>
      </c>
      <c r="H2430" t="s">
        <v>6584</v>
      </c>
      <c r="I2430" t="s">
        <v>3196</v>
      </c>
      <c r="J2430">
        <v>26</v>
      </c>
      <c r="K2430">
        <v>4716</v>
      </c>
      <c r="L2430">
        <v>10001</v>
      </c>
      <c r="M2430" t="s">
        <v>3135</v>
      </c>
      <c r="N2430">
        <v>584</v>
      </c>
      <c r="O2430" s="2">
        <v>46197</v>
      </c>
      <c r="P2430" s="2">
        <v>46329</v>
      </c>
      <c r="R2430" t="s">
        <v>3187</v>
      </c>
      <c r="S2430" t="str">
        <f>"08.0579034"</f>
        <v>08.0579034</v>
      </c>
      <c r="T2430" t="s">
        <v>41</v>
      </c>
      <c r="U2430">
        <v>692.95</v>
      </c>
      <c r="V2430">
        <v>692.95</v>
      </c>
      <c r="W2430">
        <v>692.95</v>
      </c>
      <c r="X2430">
        <v>0</v>
      </c>
      <c r="Y2430">
        <v>0</v>
      </c>
      <c r="Z2430">
        <v>-554</v>
      </c>
      <c r="AA2430">
        <v>692038</v>
      </c>
      <c r="AD2430" t="s">
        <v>6417</v>
      </c>
      <c r="AF2430" t="s">
        <v>6417</v>
      </c>
      <c r="AG2430">
        <v>75315333025527</v>
      </c>
      <c r="AH2430" t="s">
        <v>6419</v>
      </c>
    </row>
    <row r="2431" spans="1:34" x14ac:dyDescent="0.3">
      <c r="A2431">
        <v>104</v>
      </c>
      <c r="B2431" t="s">
        <v>34</v>
      </c>
      <c r="C2431">
        <v>4</v>
      </c>
      <c r="D2431" s="1" t="s">
        <v>6585</v>
      </c>
      <c r="E2431" s="1" t="s">
        <v>36</v>
      </c>
      <c r="G2431">
        <v>453106</v>
      </c>
      <c r="H2431" t="s">
        <v>6584</v>
      </c>
      <c r="I2431" t="s">
        <v>3196</v>
      </c>
      <c r="J2431">
        <v>26</v>
      </c>
      <c r="K2431">
        <v>4716</v>
      </c>
      <c r="L2431">
        <v>95000</v>
      </c>
      <c r="M2431" t="s">
        <v>69</v>
      </c>
      <c r="N2431">
        <v>584</v>
      </c>
      <c r="O2431" s="2">
        <v>46234</v>
      </c>
      <c r="P2431" s="2">
        <v>46304</v>
      </c>
      <c r="R2431" t="s">
        <v>6586</v>
      </c>
      <c r="S2431" t="str">
        <f>""</f>
        <v/>
      </c>
      <c r="T2431" t="s">
        <v>41</v>
      </c>
      <c r="U2431">
        <v>14844.11</v>
      </c>
      <c r="V2431">
        <v>14324.57</v>
      </c>
      <c r="W2431">
        <v>14324.57</v>
      </c>
      <c r="X2431">
        <v>0</v>
      </c>
      <c r="Y2431">
        <v>0</v>
      </c>
      <c r="Z2431">
        <v>-529</v>
      </c>
      <c r="AA2431">
        <v>695985</v>
      </c>
      <c r="AD2431" t="s">
        <v>6417</v>
      </c>
      <c r="AF2431" t="s">
        <v>6417</v>
      </c>
      <c r="AG2431">
        <v>75315333025527</v>
      </c>
      <c r="AH2431" t="s">
        <v>6419</v>
      </c>
    </row>
    <row r="2432" spans="1:34" x14ac:dyDescent="0.3">
      <c r="A2432">
        <v>101</v>
      </c>
      <c r="B2432" t="s">
        <v>34</v>
      </c>
      <c r="C2432">
        <v>4</v>
      </c>
      <c r="D2432" s="1" t="s">
        <v>6587</v>
      </c>
      <c r="E2432" t="s">
        <v>3134</v>
      </c>
      <c r="G2432">
        <v>453106</v>
      </c>
      <c r="H2432" t="s">
        <v>6584</v>
      </c>
      <c r="I2432" t="s">
        <v>3196</v>
      </c>
      <c r="J2432">
        <v>26</v>
      </c>
      <c r="K2432">
        <v>4716</v>
      </c>
      <c r="L2432">
        <v>10001</v>
      </c>
      <c r="M2432" t="s">
        <v>3135</v>
      </c>
      <c r="N2432">
        <v>584</v>
      </c>
      <c r="O2432" s="2">
        <v>46197</v>
      </c>
      <c r="P2432" s="2">
        <v>46329</v>
      </c>
      <c r="R2432" t="s">
        <v>3187</v>
      </c>
      <c r="S2432" t="str">
        <f>"08.0579034"</f>
        <v>08.0579034</v>
      </c>
      <c r="T2432" t="s">
        <v>41</v>
      </c>
      <c r="U2432">
        <v>29022.639999999999</v>
      </c>
      <c r="V2432">
        <v>29022.639999999999</v>
      </c>
      <c r="W2432">
        <v>29022.639999999999</v>
      </c>
      <c r="X2432">
        <v>0</v>
      </c>
      <c r="Y2432">
        <v>0</v>
      </c>
      <c r="Z2432">
        <v>-554</v>
      </c>
      <c r="AA2432">
        <v>691990</v>
      </c>
      <c r="AD2432" t="s">
        <v>6417</v>
      </c>
      <c r="AF2432" t="s">
        <v>6417</v>
      </c>
      <c r="AG2432">
        <v>75315333025527</v>
      </c>
      <c r="AH2432" t="s">
        <v>6419</v>
      </c>
    </row>
    <row r="2433" spans="1:34" x14ac:dyDescent="0.3">
      <c r="A2433">
        <v>101</v>
      </c>
      <c r="B2433" t="s">
        <v>34</v>
      </c>
      <c r="C2433">
        <v>4</v>
      </c>
      <c r="D2433" s="1" t="s">
        <v>6588</v>
      </c>
      <c r="E2433" t="s">
        <v>3134</v>
      </c>
      <c r="G2433">
        <v>453106</v>
      </c>
      <c r="H2433" t="s">
        <v>6584</v>
      </c>
      <c r="I2433" t="s">
        <v>3196</v>
      </c>
      <c r="J2433">
        <v>26</v>
      </c>
      <c r="K2433">
        <v>4716</v>
      </c>
      <c r="L2433">
        <v>10001</v>
      </c>
      <c r="M2433" t="s">
        <v>3135</v>
      </c>
      <c r="N2433">
        <v>584</v>
      </c>
      <c r="O2433" s="2">
        <v>46162</v>
      </c>
      <c r="P2433" s="2">
        <v>46281</v>
      </c>
      <c r="R2433" t="s">
        <v>3144</v>
      </c>
      <c r="S2433" t="str">
        <f>"07.0574661"</f>
        <v>07.0574661</v>
      </c>
      <c r="T2433" t="s">
        <v>41</v>
      </c>
      <c r="U2433">
        <v>26672.86</v>
      </c>
      <c r="V2433">
        <v>26672.86</v>
      </c>
      <c r="W2433">
        <v>26672.86</v>
      </c>
      <c r="X2433">
        <v>0</v>
      </c>
      <c r="Y2433">
        <v>0</v>
      </c>
      <c r="Z2433">
        <v>-506</v>
      </c>
      <c r="AA2433">
        <v>688493</v>
      </c>
      <c r="AD2433" t="s">
        <v>6417</v>
      </c>
      <c r="AF2433" t="s">
        <v>6417</v>
      </c>
      <c r="AG2433">
        <v>75315333025527</v>
      </c>
      <c r="AH2433" t="s">
        <v>6419</v>
      </c>
    </row>
    <row r="2434" spans="1:34" x14ac:dyDescent="0.3">
      <c r="A2434">
        <v>104</v>
      </c>
      <c r="B2434" t="s">
        <v>34</v>
      </c>
      <c r="C2434">
        <v>4</v>
      </c>
      <c r="D2434" s="1" t="s">
        <v>6589</v>
      </c>
      <c r="E2434" s="1" t="s">
        <v>36</v>
      </c>
      <c r="G2434">
        <v>453666</v>
      </c>
      <c r="H2434" t="s">
        <v>6590</v>
      </c>
      <c r="I2434" t="s">
        <v>3131</v>
      </c>
      <c r="J2434">
        <v>26</v>
      </c>
      <c r="K2434">
        <v>4716</v>
      </c>
      <c r="L2434">
        <v>95000</v>
      </c>
      <c r="M2434" t="s">
        <v>69</v>
      </c>
      <c r="N2434">
        <v>584</v>
      </c>
      <c r="O2434" s="2">
        <v>46211</v>
      </c>
      <c r="P2434" s="2">
        <v>46311</v>
      </c>
      <c r="R2434" t="s">
        <v>6591</v>
      </c>
      <c r="S2434" t="str">
        <f>""</f>
        <v/>
      </c>
      <c r="T2434" t="s">
        <v>41</v>
      </c>
      <c r="U2434">
        <v>1014.74</v>
      </c>
      <c r="V2434">
        <v>979.22</v>
      </c>
      <c r="W2434">
        <v>979.22</v>
      </c>
      <c r="X2434">
        <v>0</v>
      </c>
      <c r="Y2434">
        <v>0</v>
      </c>
      <c r="Z2434">
        <v>-536</v>
      </c>
      <c r="AA2434">
        <v>693937</v>
      </c>
      <c r="AD2434" t="s">
        <v>6592</v>
      </c>
      <c r="AF2434" t="s">
        <v>64</v>
      </c>
      <c r="AG2434">
        <v>75315333025950</v>
      </c>
      <c r="AH2434" t="s">
        <v>44</v>
      </c>
    </row>
    <row r="2435" spans="1:34" x14ac:dyDescent="0.3">
      <c r="A2435">
        <v>104</v>
      </c>
      <c r="B2435" t="s">
        <v>34</v>
      </c>
      <c r="C2435">
        <v>4</v>
      </c>
      <c r="D2435" s="1" t="s">
        <v>6593</v>
      </c>
      <c r="E2435" s="1" t="s">
        <v>36</v>
      </c>
      <c r="G2435">
        <v>453666</v>
      </c>
      <c r="H2435" t="s">
        <v>6590</v>
      </c>
      <c r="I2435" t="s">
        <v>3131</v>
      </c>
      <c r="J2435">
        <v>26</v>
      </c>
      <c r="K2435">
        <v>4716</v>
      </c>
      <c r="L2435">
        <v>95000</v>
      </c>
      <c r="M2435" t="s">
        <v>69</v>
      </c>
      <c r="N2435">
        <v>584</v>
      </c>
      <c r="O2435" s="2">
        <v>46211</v>
      </c>
      <c r="P2435" s="2">
        <v>46311</v>
      </c>
      <c r="R2435" t="s">
        <v>6594</v>
      </c>
      <c r="S2435" t="str">
        <f>""</f>
        <v/>
      </c>
      <c r="T2435" t="s">
        <v>41</v>
      </c>
      <c r="U2435">
        <v>15372.31</v>
      </c>
      <c r="V2435">
        <v>14834.28</v>
      </c>
      <c r="W2435">
        <v>14834.28</v>
      </c>
      <c r="X2435">
        <v>0</v>
      </c>
      <c r="Y2435">
        <v>0</v>
      </c>
      <c r="Z2435">
        <v>-536</v>
      </c>
      <c r="AA2435">
        <v>693995</v>
      </c>
      <c r="AD2435" t="s">
        <v>6592</v>
      </c>
      <c r="AF2435" t="s">
        <v>64</v>
      </c>
      <c r="AG2435">
        <v>75315333025950</v>
      </c>
      <c r="AH2435" t="s">
        <v>44</v>
      </c>
    </row>
    <row r="2436" spans="1:34" x14ac:dyDescent="0.3">
      <c r="A2436">
        <v>104</v>
      </c>
      <c r="B2436" t="s">
        <v>34</v>
      </c>
      <c r="C2436">
        <v>4</v>
      </c>
      <c r="D2436" s="1" t="s">
        <v>6589</v>
      </c>
      <c r="E2436" s="1" t="s">
        <v>122</v>
      </c>
      <c r="G2436">
        <v>453666</v>
      </c>
      <c r="H2436" t="s">
        <v>6590</v>
      </c>
      <c r="I2436" t="s">
        <v>3131</v>
      </c>
      <c r="J2436">
        <v>26</v>
      </c>
      <c r="K2436">
        <v>4716</v>
      </c>
      <c r="L2436">
        <v>95000</v>
      </c>
      <c r="M2436" t="s">
        <v>69</v>
      </c>
      <c r="N2436">
        <v>584</v>
      </c>
      <c r="O2436" s="2">
        <v>46223</v>
      </c>
      <c r="P2436" s="2">
        <v>46305</v>
      </c>
      <c r="R2436" t="s">
        <v>6268</v>
      </c>
      <c r="S2436" t="str">
        <f>""</f>
        <v/>
      </c>
      <c r="T2436" t="s">
        <v>41</v>
      </c>
      <c r="U2436">
        <v>164.37</v>
      </c>
      <c r="V2436">
        <v>164.37</v>
      </c>
      <c r="W2436">
        <v>164.37</v>
      </c>
      <c r="X2436">
        <v>0</v>
      </c>
      <c r="Y2436">
        <v>0</v>
      </c>
      <c r="Z2436">
        <v>-530</v>
      </c>
      <c r="AC2436" t="s">
        <v>6269</v>
      </c>
      <c r="AD2436" t="s">
        <v>6592</v>
      </c>
      <c r="AF2436" t="s">
        <v>64</v>
      </c>
      <c r="AG2436">
        <v>75315333025950</v>
      </c>
      <c r="AH2436" t="s">
        <v>44</v>
      </c>
    </row>
    <row r="2437" spans="1:34" x14ac:dyDescent="0.3">
      <c r="A2437">
        <v>101</v>
      </c>
      <c r="B2437" t="s">
        <v>34</v>
      </c>
      <c r="C2437">
        <v>4</v>
      </c>
      <c r="D2437" s="1" t="s">
        <v>6595</v>
      </c>
      <c r="E2437" t="s">
        <v>3134</v>
      </c>
      <c r="G2437">
        <v>453698</v>
      </c>
      <c r="H2437" t="s">
        <v>6596</v>
      </c>
      <c r="I2437" t="s">
        <v>3131</v>
      </c>
      <c r="J2437">
        <v>26</v>
      </c>
      <c r="K2437">
        <v>4716</v>
      </c>
      <c r="L2437">
        <v>10001</v>
      </c>
      <c r="M2437" t="s">
        <v>3135</v>
      </c>
      <c r="N2437">
        <v>584</v>
      </c>
      <c r="O2437" s="2">
        <v>46160</v>
      </c>
      <c r="P2437" s="2">
        <v>46266</v>
      </c>
      <c r="R2437" t="s">
        <v>3136</v>
      </c>
      <c r="S2437" t="str">
        <f>"07.0572790"</f>
        <v>07.0572790</v>
      </c>
      <c r="T2437" t="s">
        <v>41</v>
      </c>
      <c r="U2437">
        <v>6760.83</v>
      </c>
      <c r="V2437">
        <v>6760.83</v>
      </c>
      <c r="W2437">
        <v>6760.83</v>
      </c>
      <c r="X2437">
        <v>0</v>
      </c>
      <c r="Y2437">
        <v>0</v>
      </c>
      <c r="Z2437">
        <v>-491</v>
      </c>
      <c r="AA2437">
        <v>688527</v>
      </c>
      <c r="AD2437" t="s">
        <v>5008</v>
      </c>
      <c r="AE2437" t="s">
        <v>3219</v>
      </c>
      <c r="AF2437" t="s">
        <v>64</v>
      </c>
      <c r="AG2437">
        <v>75315333026507</v>
      </c>
      <c r="AH2437" t="s">
        <v>44</v>
      </c>
    </row>
    <row r="2438" spans="1:34" x14ac:dyDescent="0.3">
      <c r="A2438">
        <v>104</v>
      </c>
      <c r="B2438" t="s">
        <v>34</v>
      </c>
      <c r="C2438">
        <v>4</v>
      </c>
      <c r="D2438" s="1" t="s">
        <v>6597</v>
      </c>
      <c r="E2438" s="1" t="s">
        <v>36</v>
      </c>
      <c r="G2438">
        <v>453726</v>
      </c>
      <c r="H2438" t="s">
        <v>6598</v>
      </c>
      <c r="I2438" t="s">
        <v>3131</v>
      </c>
      <c r="J2438">
        <v>26</v>
      </c>
      <c r="K2438">
        <v>4716</v>
      </c>
      <c r="L2438">
        <v>95000</v>
      </c>
      <c r="M2438" t="s">
        <v>69</v>
      </c>
      <c r="N2438">
        <v>584</v>
      </c>
      <c r="O2438" s="2">
        <v>46238</v>
      </c>
      <c r="P2438" s="2">
        <v>46328</v>
      </c>
      <c r="R2438" t="s">
        <v>6599</v>
      </c>
      <c r="S2438" t="str">
        <f>""</f>
        <v/>
      </c>
      <c r="T2438" t="s">
        <v>41</v>
      </c>
      <c r="U2438">
        <v>3882.61</v>
      </c>
      <c r="V2438">
        <v>3746.72</v>
      </c>
      <c r="W2438">
        <v>3746.72</v>
      </c>
      <c r="X2438">
        <v>0</v>
      </c>
      <c r="Y2438">
        <v>0</v>
      </c>
      <c r="Z2438">
        <v>-553</v>
      </c>
      <c r="AA2438">
        <v>696131</v>
      </c>
      <c r="AD2438" t="s">
        <v>6600</v>
      </c>
      <c r="AE2438" t="s">
        <v>3219</v>
      </c>
      <c r="AF2438" t="s">
        <v>64</v>
      </c>
      <c r="AG2438">
        <v>75315333026175</v>
      </c>
      <c r="AH2438" t="s">
        <v>44</v>
      </c>
    </row>
    <row r="2439" spans="1:34" x14ac:dyDescent="0.3">
      <c r="A2439">
        <v>104</v>
      </c>
      <c r="B2439" t="s">
        <v>34</v>
      </c>
      <c r="C2439">
        <v>4</v>
      </c>
      <c r="D2439" s="1" t="s">
        <v>6601</v>
      </c>
      <c r="E2439" s="1" t="s">
        <v>122</v>
      </c>
      <c r="G2439">
        <v>453838</v>
      </c>
      <c r="H2439" t="s">
        <v>6602</v>
      </c>
      <c r="I2439" t="s">
        <v>3131</v>
      </c>
      <c r="J2439">
        <v>26</v>
      </c>
      <c r="K2439">
        <v>4716</v>
      </c>
      <c r="L2439">
        <v>95000</v>
      </c>
      <c r="M2439" t="s">
        <v>69</v>
      </c>
      <c r="N2439">
        <v>584</v>
      </c>
      <c r="O2439" s="2">
        <v>46223</v>
      </c>
      <c r="P2439" s="2">
        <v>46305</v>
      </c>
      <c r="R2439" t="s">
        <v>6268</v>
      </c>
      <c r="S2439" t="str">
        <f>""</f>
        <v/>
      </c>
      <c r="T2439" t="s">
        <v>41</v>
      </c>
      <c r="U2439">
        <v>112.77</v>
      </c>
      <c r="V2439">
        <v>112.77</v>
      </c>
      <c r="W2439">
        <v>112.77</v>
      </c>
      <c r="X2439">
        <v>0</v>
      </c>
      <c r="Y2439">
        <v>0</v>
      </c>
      <c r="Z2439">
        <v>-530</v>
      </c>
      <c r="AC2439" t="s">
        <v>6269</v>
      </c>
      <c r="AD2439" t="s">
        <v>4897</v>
      </c>
      <c r="AE2439" t="s">
        <v>3219</v>
      </c>
      <c r="AF2439" t="s">
        <v>64</v>
      </c>
      <c r="AG2439">
        <v>75315333027570</v>
      </c>
      <c r="AH2439" t="s">
        <v>44</v>
      </c>
    </row>
    <row r="2440" spans="1:34" x14ac:dyDescent="0.3">
      <c r="A2440">
        <v>104</v>
      </c>
      <c r="B2440" t="s">
        <v>34</v>
      </c>
      <c r="C2440">
        <v>4</v>
      </c>
      <c r="D2440" s="1" t="s">
        <v>6601</v>
      </c>
      <c r="E2440" s="1" t="s">
        <v>36</v>
      </c>
      <c r="G2440">
        <v>453838</v>
      </c>
      <c r="H2440" t="s">
        <v>6602</v>
      </c>
      <c r="I2440" t="s">
        <v>3131</v>
      </c>
      <c r="J2440">
        <v>26</v>
      </c>
      <c r="K2440">
        <v>4716</v>
      </c>
      <c r="L2440">
        <v>95000</v>
      </c>
      <c r="M2440" t="s">
        <v>69</v>
      </c>
      <c r="N2440">
        <v>584</v>
      </c>
      <c r="O2440" s="2">
        <v>46211</v>
      </c>
      <c r="P2440" s="2">
        <v>46328</v>
      </c>
      <c r="R2440" t="s">
        <v>6603</v>
      </c>
      <c r="S2440" t="str">
        <f>""</f>
        <v/>
      </c>
      <c r="T2440" t="s">
        <v>41</v>
      </c>
      <c r="U2440">
        <v>414.05</v>
      </c>
      <c r="V2440">
        <v>399.56</v>
      </c>
      <c r="W2440">
        <v>399.56</v>
      </c>
      <c r="X2440">
        <v>0</v>
      </c>
      <c r="Y2440">
        <v>0</v>
      </c>
      <c r="Z2440">
        <v>-553</v>
      </c>
      <c r="AA2440">
        <v>693941</v>
      </c>
      <c r="AD2440" t="s">
        <v>4897</v>
      </c>
      <c r="AE2440" t="s">
        <v>3219</v>
      </c>
      <c r="AF2440" t="s">
        <v>64</v>
      </c>
      <c r="AG2440">
        <v>75315333027570</v>
      </c>
      <c r="AH2440" t="s">
        <v>44</v>
      </c>
    </row>
    <row r="2441" spans="1:34" x14ac:dyDescent="0.3">
      <c r="A2441">
        <v>104</v>
      </c>
      <c r="B2441" t="s">
        <v>34</v>
      </c>
      <c r="C2441">
        <v>4</v>
      </c>
      <c r="D2441" s="1" t="s">
        <v>6604</v>
      </c>
      <c r="E2441" s="1" t="s">
        <v>36</v>
      </c>
      <c r="G2441">
        <v>453838</v>
      </c>
      <c r="H2441" t="s">
        <v>6602</v>
      </c>
      <c r="I2441" t="s">
        <v>3131</v>
      </c>
      <c r="J2441">
        <v>26</v>
      </c>
      <c r="K2441">
        <v>4716</v>
      </c>
      <c r="L2441">
        <v>95000</v>
      </c>
      <c r="M2441" t="s">
        <v>69</v>
      </c>
      <c r="N2441">
        <v>584</v>
      </c>
      <c r="O2441" s="2">
        <v>46211</v>
      </c>
      <c r="P2441" s="2">
        <v>46328</v>
      </c>
      <c r="R2441" t="s">
        <v>6605</v>
      </c>
      <c r="S2441" t="str">
        <f>""</f>
        <v/>
      </c>
      <c r="T2441" t="s">
        <v>41</v>
      </c>
      <c r="U2441">
        <v>6790.73</v>
      </c>
      <c r="V2441">
        <v>6553.05</v>
      </c>
      <c r="W2441">
        <v>6553.05</v>
      </c>
      <c r="X2441">
        <v>0</v>
      </c>
      <c r="Y2441">
        <v>0</v>
      </c>
      <c r="Z2441">
        <v>-553</v>
      </c>
      <c r="AA2441">
        <v>693999</v>
      </c>
      <c r="AD2441" t="s">
        <v>4897</v>
      </c>
      <c r="AE2441" t="s">
        <v>3219</v>
      </c>
      <c r="AF2441" t="s">
        <v>64</v>
      </c>
      <c r="AG2441">
        <v>75315333027570</v>
      </c>
      <c r="AH2441" t="s">
        <v>44</v>
      </c>
    </row>
    <row r="2442" spans="1:34" x14ac:dyDescent="0.3">
      <c r="A2442">
        <v>104</v>
      </c>
      <c r="B2442" t="s">
        <v>34</v>
      </c>
      <c r="C2442">
        <v>4</v>
      </c>
      <c r="D2442" s="1" t="s">
        <v>6606</v>
      </c>
      <c r="E2442" s="1" t="s">
        <v>36</v>
      </c>
      <c r="G2442">
        <v>453939</v>
      </c>
      <c r="H2442" t="s">
        <v>6607</v>
      </c>
      <c r="I2442" t="s">
        <v>3131</v>
      </c>
      <c r="J2442">
        <v>26</v>
      </c>
      <c r="K2442">
        <v>4716</v>
      </c>
      <c r="L2442">
        <v>95000</v>
      </c>
      <c r="M2442" t="s">
        <v>69</v>
      </c>
      <c r="N2442">
        <v>584</v>
      </c>
      <c r="O2442" s="2">
        <v>46211</v>
      </c>
      <c r="P2442" s="2">
        <v>46328</v>
      </c>
      <c r="R2442" t="s">
        <v>6608</v>
      </c>
      <c r="S2442" t="str">
        <f>""</f>
        <v/>
      </c>
      <c r="T2442" t="s">
        <v>41</v>
      </c>
      <c r="U2442">
        <v>2144.06</v>
      </c>
      <c r="V2442">
        <v>2069.02</v>
      </c>
      <c r="W2442">
        <v>2069.02</v>
      </c>
      <c r="X2442">
        <v>0</v>
      </c>
      <c r="Y2442">
        <v>0</v>
      </c>
      <c r="Z2442">
        <v>-553</v>
      </c>
      <c r="AA2442">
        <v>693945</v>
      </c>
      <c r="AD2442" t="s">
        <v>3743</v>
      </c>
      <c r="AE2442" t="s">
        <v>6609</v>
      </c>
      <c r="AF2442" t="s">
        <v>64</v>
      </c>
      <c r="AG2442">
        <v>75315333028976</v>
      </c>
      <c r="AH2442" t="s">
        <v>44</v>
      </c>
    </row>
    <row r="2443" spans="1:34" x14ac:dyDescent="0.3">
      <c r="A2443">
        <v>104</v>
      </c>
      <c r="B2443" t="s">
        <v>34</v>
      </c>
      <c r="C2443">
        <v>4</v>
      </c>
      <c r="D2443" s="1" t="s">
        <v>6610</v>
      </c>
      <c r="E2443" s="1" t="s">
        <v>36</v>
      </c>
      <c r="G2443">
        <v>453939</v>
      </c>
      <c r="H2443" t="s">
        <v>6607</v>
      </c>
      <c r="I2443" t="s">
        <v>3131</v>
      </c>
      <c r="J2443">
        <v>26</v>
      </c>
      <c r="K2443">
        <v>4716</v>
      </c>
      <c r="L2443">
        <v>95000</v>
      </c>
      <c r="M2443" t="s">
        <v>69</v>
      </c>
      <c r="N2443">
        <v>584</v>
      </c>
      <c r="O2443" s="2">
        <v>46211</v>
      </c>
      <c r="P2443" s="2">
        <v>46328</v>
      </c>
      <c r="R2443" t="s">
        <v>6611</v>
      </c>
      <c r="S2443" t="str">
        <f>""</f>
        <v/>
      </c>
      <c r="T2443" t="s">
        <v>41</v>
      </c>
      <c r="U2443">
        <v>23813.48</v>
      </c>
      <c r="V2443">
        <v>22980.01</v>
      </c>
      <c r="W2443">
        <v>22980.01</v>
      </c>
      <c r="X2443">
        <v>0</v>
      </c>
      <c r="Y2443">
        <v>0</v>
      </c>
      <c r="Z2443">
        <v>-553</v>
      </c>
      <c r="AA2443">
        <v>694003</v>
      </c>
      <c r="AD2443" t="s">
        <v>3743</v>
      </c>
      <c r="AE2443" t="s">
        <v>6609</v>
      </c>
      <c r="AF2443" t="s">
        <v>64</v>
      </c>
      <c r="AG2443">
        <v>75315333028976</v>
      </c>
      <c r="AH2443" t="s">
        <v>44</v>
      </c>
    </row>
    <row r="2444" spans="1:34" x14ac:dyDescent="0.3">
      <c r="A2444">
        <v>104</v>
      </c>
      <c r="B2444" t="s">
        <v>34</v>
      </c>
      <c r="C2444">
        <v>4</v>
      </c>
      <c r="D2444" s="1" t="s">
        <v>6606</v>
      </c>
      <c r="E2444" s="1" t="s">
        <v>122</v>
      </c>
      <c r="G2444">
        <v>453939</v>
      </c>
      <c r="H2444" t="s">
        <v>6607</v>
      </c>
      <c r="I2444" t="s">
        <v>3131</v>
      </c>
      <c r="J2444">
        <v>26</v>
      </c>
      <c r="K2444">
        <v>4716</v>
      </c>
      <c r="L2444">
        <v>95000</v>
      </c>
      <c r="M2444" t="s">
        <v>69</v>
      </c>
      <c r="N2444">
        <v>584</v>
      </c>
      <c r="O2444" s="2">
        <v>46223</v>
      </c>
      <c r="P2444" s="2">
        <v>46305</v>
      </c>
      <c r="R2444" t="s">
        <v>6268</v>
      </c>
      <c r="S2444" t="str">
        <f>""</f>
        <v/>
      </c>
      <c r="T2444" t="s">
        <v>41</v>
      </c>
      <c r="U2444">
        <v>372.84</v>
      </c>
      <c r="V2444">
        <v>372.84</v>
      </c>
      <c r="W2444">
        <v>372.84</v>
      </c>
      <c r="X2444">
        <v>0</v>
      </c>
      <c r="Y2444">
        <v>0</v>
      </c>
      <c r="Z2444">
        <v>-530</v>
      </c>
      <c r="AC2444" t="s">
        <v>6269</v>
      </c>
      <c r="AD2444" t="s">
        <v>3743</v>
      </c>
      <c r="AE2444" t="s">
        <v>6609</v>
      </c>
      <c r="AF2444" t="s">
        <v>64</v>
      </c>
      <c r="AG2444">
        <v>75315333028976</v>
      </c>
      <c r="AH2444" t="s">
        <v>44</v>
      </c>
    </row>
    <row r="2445" spans="1:34" x14ac:dyDescent="0.3">
      <c r="A2445">
        <v>104</v>
      </c>
      <c r="B2445" t="s">
        <v>4016</v>
      </c>
      <c r="C2445">
        <v>4</v>
      </c>
      <c r="D2445" s="1" t="s">
        <v>6610</v>
      </c>
      <c r="E2445" s="1" t="s">
        <v>36</v>
      </c>
      <c r="G2445">
        <v>453939</v>
      </c>
      <c r="H2445" t="s">
        <v>6607</v>
      </c>
      <c r="I2445" t="s">
        <v>3131</v>
      </c>
      <c r="J2445">
        <v>26</v>
      </c>
      <c r="K2445">
        <v>4716</v>
      </c>
      <c r="N2445">
        <v>584</v>
      </c>
      <c r="O2445" s="2">
        <v>46255</v>
      </c>
      <c r="P2445" s="2">
        <v>46255</v>
      </c>
      <c r="R2445" t="s">
        <v>6612</v>
      </c>
      <c r="S2445" t="str">
        <f>""</f>
        <v/>
      </c>
      <c r="T2445" t="s">
        <v>41</v>
      </c>
      <c r="U2445">
        <v>-278.94</v>
      </c>
      <c r="V2445">
        <v>-278.94</v>
      </c>
      <c r="W2445">
        <v>-278.94</v>
      </c>
      <c r="X2445">
        <v>0</v>
      </c>
      <c r="Y2445">
        <v>0</v>
      </c>
      <c r="Z2445">
        <v>-480</v>
      </c>
      <c r="AD2445" t="s">
        <v>3743</v>
      </c>
      <c r="AE2445" t="s">
        <v>6609</v>
      </c>
      <c r="AF2445" t="s">
        <v>64</v>
      </c>
      <c r="AG2445">
        <v>75315333028976</v>
      </c>
      <c r="AH2445" t="s">
        <v>44</v>
      </c>
    </row>
    <row r="2446" spans="1:34" x14ac:dyDescent="0.3">
      <c r="A2446">
        <v>104</v>
      </c>
      <c r="B2446" t="s">
        <v>34</v>
      </c>
      <c r="C2446">
        <v>4</v>
      </c>
      <c r="D2446" s="1" t="s">
        <v>6613</v>
      </c>
      <c r="E2446" s="1" t="s">
        <v>36</v>
      </c>
      <c r="G2446">
        <v>453964</v>
      </c>
      <c r="H2446" t="s">
        <v>6614</v>
      </c>
      <c r="I2446" t="s">
        <v>3131</v>
      </c>
      <c r="J2446">
        <v>26</v>
      </c>
      <c r="K2446">
        <v>4716</v>
      </c>
      <c r="L2446">
        <v>95000</v>
      </c>
      <c r="M2446" t="s">
        <v>69</v>
      </c>
      <c r="N2446">
        <v>584</v>
      </c>
      <c r="O2446" s="2">
        <v>46238</v>
      </c>
      <c r="P2446" s="2">
        <v>46328</v>
      </c>
      <c r="R2446" t="s">
        <v>6615</v>
      </c>
      <c r="S2446" t="str">
        <f>""</f>
        <v/>
      </c>
      <c r="T2446" t="s">
        <v>41</v>
      </c>
      <c r="U2446">
        <v>3980.9</v>
      </c>
      <c r="V2446">
        <v>3841.57</v>
      </c>
      <c r="W2446">
        <v>3841.57</v>
      </c>
      <c r="X2446">
        <v>0</v>
      </c>
      <c r="Y2446">
        <v>0</v>
      </c>
      <c r="Z2446">
        <v>-553</v>
      </c>
      <c r="AA2446">
        <v>696129</v>
      </c>
      <c r="AD2446" t="s">
        <v>6616</v>
      </c>
      <c r="AE2446" t="s">
        <v>3219</v>
      </c>
      <c r="AF2446" t="s">
        <v>64</v>
      </c>
      <c r="AG2446">
        <v>75315333026094</v>
      </c>
      <c r="AH2446" t="s">
        <v>44</v>
      </c>
    </row>
    <row r="2447" spans="1:34" x14ac:dyDescent="0.3">
      <c r="A2447">
        <v>104</v>
      </c>
      <c r="B2447" t="s">
        <v>34</v>
      </c>
      <c r="C2447">
        <v>4</v>
      </c>
      <c r="D2447" s="1" t="s">
        <v>6617</v>
      </c>
      <c r="E2447" s="1" t="s">
        <v>36</v>
      </c>
      <c r="G2447">
        <v>454055</v>
      </c>
      <c r="H2447" t="s">
        <v>6618</v>
      </c>
      <c r="I2447" t="s">
        <v>6619</v>
      </c>
      <c r="J2447">
        <v>26</v>
      </c>
      <c r="K2447">
        <v>4716</v>
      </c>
      <c r="L2447">
        <v>95000</v>
      </c>
      <c r="M2447" t="s">
        <v>69</v>
      </c>
      <c r="N2447">
        <v>584</v>
      </c>
      <c r="O2447" s="2">
        <v>46233</v>
      </c>
      <c r="P2447" s="2">
        <v>46303</v>
      </c>
      <c r="R2447" t="s">
        <v>6620</v>
      </c>
      <c r="S2447" t="str">
        <f>""</f>
        <v/>
      </c>
      <c r="T2447" t="s">
        <v>41</v>
      </c>
      <c r="U2447">
        <v>21308.29</v>
      </c>
      <c r="V2447">
        <v>20562.5</v>
      </c>
      <c r="W2447">
        <v>20562.5</v>
      </c>
      <c r="X2447">
        <v>0</v>
      </c>
      <c r="Y2447">
        <v>0</v>
      </c>
      <c r="Z2447">
        <v>-528</v>
      </c>
      <c r="AA2447">
        <v>695529</v>
      </c>
      <c r="AD2447" t="s">
        <v>4751</v>
      </c>
      <c r="AE2447">
        <v>1129673555</v>
      </c>
      <c r="AF2447" t="s">
        <v>4751</v>
      </c>
      <c r="AG2447">
        <v>75315333029786</v>
      </c>
      <c r="AH2447" t="s">
        <v>4754</v>
      </c>
    </row>
    <row r="2448" spans="1:34" x14ac:dyDescent="0.3">
      <c r="A2448">
        <v>101</v>
      </c>
      <c r="B2448" t="s">
        <v>34</v>
      </c>
      <c r="C2448">
        <v>4</v>
      </c>
      <c r="D2448" s="1" t="s">
        <v>6621</v>
      </c>
      <c r="E2448" t="s">
        <v>3134</v>
      </c>
      <c r="G2448">
        <v>454055</v>
      </c>
      <c r="H2448" t="s">
        <v>6618</v>
      </c>
      <c r="I2448" t="s">
        <v>6619</v>
      </c>
      <c r="J2448">
        <v>26</v>
      </c>
      <c r="K2448">
        <v>4716</v>
      </c>
      <c r="L2448">
        <v>10001</v>
      </c>
      <c r="M2448" t="s">
        <v>3135</v>
      </c>
      <c r="N2448">
        <v>584</v>
      </c>
      <c r="O2448" s="2">
        <v>46172</v>
      </c>
      <c r="P2448" s="2">
        <v>46266</v>
      </c>
      <c r="R2448" t="s">
        <v>3136</v>
      </c>
      <c r="S2448" t="str">
        <f>"07.0572790"</f>
        <v>07.0572790</v>
      </c>
      <c r="T2448" t="s">
        <v>41</v>
      </c>
      <c r="U2448">
        <v>14071.91</v>
      </c>
      <c r="V2448">
        <v>14071.91</v>
      </c>
      <c r="W2448">
        <v>14071.91</v>
      </c>
      <c r="X2448">
        <v>0</v>
      </c>
      <c r="Y2448">
        <v>0</v>
      </c>
      <c r="Z2448">
        <v>-491</v>
      </c>
      <c r="AA2448">
        <v>689378</v>
      </c>
      <c r="AD2448" t="s">
        <v>4751</v>
      </c>
      <c r="AE2448">
        <v>1129673555</v>
      </c>
      <c r="AF2448" t="s">
        <v>4751</v>
      </c>
      <c r="AG2448">
        <v>75315333029786</v>
      </c>
      <c r="AH2448" t="s">
        <v>4754</v>
      </c>
    </row>
    <row r="2449" spans="1:34" x14ac:dyDescent="0.3">
      <c r="A2449">
        <v>104</v>
      </c>
      <c r="B2449" t="s">
        <v>34</v>
      </c>
      <c r="C2449">
        <v>4</v>
      </c>
      <c r="D2449" s="1" t="s">
        <v>6622</v>
      </c>
      <c r="E2449" s="1" t="s">
        <v>36</v>
      </c>
      <c r="G2449">
        <v>454224</v>
      </c>
      <c r="H2449" t="s">
        <v>6623</v>
      </c>
      <c r="I2449" t="s">
        <v>6619</v>
      </c>
      <c r="J2449">
        <v>26</v>
      </c>
      <c r="K2449">
        <v>4716</v>
      </c>
      <c r="L2449">
        <v>95000</v>
      </c>
      <c r="M2449" t="s">
        <v>69</v>
      </c>
      <c r="N2449">
        <v>584</v>
      </c>
      <c r="O2449" s="2">
        <v>46211</v>
      </c>
      <c r="P2449" s="2">
        <v>46281</v>
      </c>
      <c r="R2449" t="s">
        <v>6624</v>
      </c>
      <c r="S2449" t="str">
        <f>""</f>
        <v/>
      </c>
      <c r="T2449" t="s">
        <v>41</v>
      </c>
      <c r="U2449">
        <v>6196.66</v>
      </c>
      <c r="V2449">
        <v>5979.78</v>
      </c>
      <c r="W2449">
        <v>5979.78</v>
      </c>
      <c r="X2449">
        <v>0</v>
      </c>
      <c r="Y2449">
        <v>0</v>
      </c>
      <c r="Z2449">
        <v>-506</v>
      </c>
      <c r="AA2449">
        <v>694007</v>
      </c>
      <c r="AD2449" t="s">
        <v>6625</v>
      </c>
      <c r="AE2449">
        <v>1129673555</v>
      </c>
      <c r="AF2449" t="s">
        <v>64</v>
      </c>
      <c r="AG2449">
        <v>75315333029271</v>
      </c>
      <c r="AH2449" t="s">
        <v>44</v>
      </c>
    </row>
    <row r="2450" spans="1:34" x14ac:dyDescent="0.3">
      <c r="A2450">
        <v>104</v>
      </c>
      <c r="B2450" t="s">
        <v>34</v>
      </c>
      <c r="C2450">
        <v>4</v>
      </c>
      <c r="D2450" s="1" t="s">
        <v>6626</v>
      </c>
      <c r="E2450" s="1" t="s">
        <v>122</v>
      </c>
      <c r="G2450">
        <v>454224</v>
      </c>
      <c r="H2450" t="s">
        <v>6623</v>
      </c>
      <c r="I2450" t="s">
        <v>6619</v>
      </c>
      <c r="J2450">
        <v>26</v>
      </c>
      <c r="K2450">
        <v>4716</v>
      </c>
      <c r="L2450">
        <v>95000</v>
      </c>
      <c r="M2450" t="s">
        <v>69</v>
      </c>
      <c r="N2450">
        <v>584</v>
      </c>
      <c r="O2450" s="2">
        <v>46223</v>
      </c>
      <c r="P2450" s="2">
        <v>46305</v>
      </c>
      <c r="R2450" t="s">
        <v>6268</v>
      </c>
      <c r="S2450" t="str">
        <f>""</f>
        <v/>
      </c>
      <c r="T2450" t="s">
        <v>41</v>
      </c>
      <c r="U2450">
        <v>129.75</v>
      </c>
      <c r="V2450">
        <v>129.75</v>
      </c>
      <c r="W2450">
        <v>129.75</v>
      </c>
      <c r="X2450">
        <v>0</v>
      </c>
      <c r="Y2450">
        <v>0</v>
      </c>
      <c r="Z2450">
        <v>-530</v>
      </c>
      <c r="AC2450" t="s">
        <v>6269</v>
      </c>
      <c r="AD2450" t="s">
        <v>6625</v>
      </c>
      <c r="AE2450">
        <v>1129673555</v>
      </c>
      <c r="AF2450" t="s">
        <v>64</v>
      </c>
      <c r="AG2450">
        <v>75315333029271</v>
      </c>
      <c r="AH2450" t="s">
        <v>44</v>
      </c>
    </row>
    <row r="2451" spans="1:34" x14ac:dyDescent="0.3">
      <c r="A2451">
        <v>104</v>
      </c>
      <c r="B2451" t="s">
        <v>34</v>
      </c>
      <c r="C2451">
        <v>4</v>
      </c>
      <c r="D2451" s="1" t="s">
        <v>6626</v>
      </c>
      <c r="E2451" s="1" t="s">
        <v>36</v>
      </c>
      <c r="G2451">
        <v>454224</v>
      </c>
      <c r="H2451" t="s">
        <v>6623</v>
      </c>
      <c r="I2451" t="s">
        <v>6619</v>
      </c>
      <c r="J2451">
        <v>26</v>
      </c>
      <c r="K2451">
        <v>4716</v>
      </c>
      <c r="L2451">
        <v>95000</v>
      </c>
      <c r="M2451" t="s">
        <v>69</v>
      </c>
      <c r="N2451">
        <v>584</v>
      </c>
      <c r="O2451" s="2">
        <v>46211</v>
      </c>
      <c r="P2451" s="2">
        <v>46281</v>
      </c>
      <c r="R2451" t="s">
        <v>6627</v>
      </c>
      <c r="S2451" t="str">
        <f>""</f>
        <v/>
      </c>
      <c r="T2451" t="s">
        <v>41</v>
      </c>
      <c r="U2451">
        <v>807.53</v>
      </c>
      <c r="V2451">
        <v>779.27</v>
      </c>
      <c r="W2451">
        <v>779.27</v>
      </c>
      <c r="X2451">
        <v>0</v>
      </c>
      <c r="Y2451">
        <v>0</v>
      </c>
      <c r="Z2451">
        <v>-506</v>
      </c>
      <c r="AA2451">
        <v>693949</v>
      </c>
      <c r="AD2451" t="s">
        <v>6625</v>
      </c>
      <c r="AE2451">
        <v>1129673555</v>
      </c>
      <c r="AF2451" t="s">
        <v>64</v>
      </c>
      <c r="AG2451">
        <v>75315333029271</v>
      </c>
      <c r="AH2451" t="s">
        <v>44</v>
      </c>
    </row>
    <row r="2452" spans="1:34" x14ac:dyDescent="0.3">
      <c r="A2452">
        <v>101</v>
      </c>
      <c r="B2452" t="s">
        <v>34</v>
      </c>
      <c r="C2452">
        <v>4</v>
      </c>
      <c r="D2452" s="1" t="s">
        <v>6628</v>
      </c>
      <c r="E2452" t="s">
        <v>4694</v>
      </c>
      <c r="G2452">
        <v>454225</v>
      </c>
      <c r="H2452" t="s">
        <v>6629</v>
      </c>
      <c r="I2452" t="s">
        <v>6619</v>
      </c>
      <c r="J2452">
        <v>26</v>
      </c>
      <c r="K2452">
        <v>4716</v>
      </c>
      <c r="L2452">
        <v>10001</v>
      </c>
      <c r="M2452" t="s">
        <v>3135</v>
      </c>
      <c r="N2452">
        <v>584</v>
      </c>
      <c r="O2452" s="2">
        <v>46223</v>
      </c>
      <c r="P2452" s="2">
        <v>46311</v>
      </c>
      <c r="R2452" t="s">
        <v>3187</v>
      </c>
      <c r="S2452" t="str">
        <f>"08.0579034"</f>
        <v>08.0579034</v>
      </c>
      <c r="T2452" t="s">
        <v>41</v>
      </c>
      <c r="U2452">
        <v>339.07</v>
      </c>
      <c r="V2452">
        <v>339.07</v>
      </c>
      <c r="W2452">
        <v>339.07</v>
      </c>
      <c r="X2452">
        <v>0</v>
      </c>
      <c r="Y2452">
        <v>0</v>
      </c>
      <c r="Z2452">
        <v>-536</v>
      </c>
      <c r="AC2452" t="s">
        <v>6269</v>
      </c>
      <c r="AD2452" t="s">
        <v>6304</v>
      </c>
      <c r="AE2452">
        <v>1129673555</v>
      </c>
      <c r="AF2452" t="s">
        <v>64</v>
      </c>
      <c r="AG2452">
        <v>75315333029190</v>
      </c>
      <c r="AH2452" t="s">
        <v>44</v>
      </c>
    </row>
    <row r="2453" spans="1:34" x14ac:dyDescent="0.3">
      <c r="A2453">
        <v>104</v>
      </c>
      <c r="B2453" t="s">
        <v>34</v>
      </c>
      <c r="C2453">
        <v>4</v>
      </c>
      <c r="D2453" s="1" t="s">
        <v>6630</v>
      </c>
      <c r="E2453" s="1" t="s">
        <v>36</v>
      </c>
      <c r="G2453">
        <v>454225</v>
      </c>
      <c r="H2453" t="s">
        <v>6629</v>
      </c>
      <c r="I2453" t="s">
        <v>6619</v>
      </c>
      <c r="J2453">
        <v>26</v>
      </c>
      <c r="K2453">
        <v>4716</v>
      </c>
      <c r="L2453">
        <v>95000</v>
      </c>
      <c r="M2453" t="s">
        <v>69</v>
      </c>
      <c r="N2453">
        <v>584</v>
      </c>
      <c r="O2453" s="2">
        <v>46211</v>
      </c>
      <c r="P2453" s="2">
        <v>46311</v>
      </c>
      <c r="R2453" t="s">
        <v>6631</v>
      </c>
      <c r="S2453" t="str">
        <f>""</f>
        <v/>
      </c>
      <c r="T2453" t="s">
        <v>41</v>
      </c>
      <c r="U2453">
        <v>16045.41</v>
      </c>
      <c r="V2453">
        <v>4257.29</v>
      </c>
      <c r="W2453">
        <v>4257.29</v>
      </c>
      <c r="X2453">
        <v>0</v>
      </c>
      <c r="Y2453">
        <v>0</v>
      </c>
      <c r="Z2453">
        <v>-536</v>
      </c>
      <c r="AA2453">
        <v>694005</v>
      </c>
      <c r="AD2453" t="s">
        <v>6304</v>
      </c>
      <c r="AE2453">
        <v>1129673555</v>
      </c>
      <c r="AF2453" t="s">
        <v>64</v>
      </c>
      <c r="AG2453">
        <v>75315333029190</v>
      </c>
      <c r="AH2453" t="s">
        <v>44</v>
      </c>
    </row>
    <row r="2454" spans="1:34" x14ac:dyDescent="0.3">
      <c r="A2454">
        <v>101</v>
      </c>
      <c r="B2454" t="s">
        <v>34</v>
      </c>
      <c r="C2454">
        <v>4</v>
      </c>
      <c r="D2454" s="1" t="s">
        <v>6628</v>
      </c>
      <c r="E2454" t="s">
        <v>3134</v>
      </c>
      <c r="G2454">
        <v>454225</v>
      </c>
      <c r="H2454" t="s">
        <v>6629</v>
      </c>
      <c r="I2454" t="s">
        <v>6619</v>
      </c>
      <c r="J2454">
        <v>26</v>
      </c>
      <c r="K2454">
        <v>4716</v>
      </c>
      <c r="L2454">
        <v>10001</v>
      </c>
      <c r="M2454" t="s">
        <v>3135</v>
      </c>
      <c r="N2454">
        <v>584</v>
      </c>
      <c r="O2454" s="2">
        <v>46211</v>
      </c>
      <c r="P2454" s="2">
        <v>46311</v>
      </c>
      <c r="R2454" t="s">
        <v>3187</v>
      </c>
      <c r="S2454" t="str">
        <f>"08.0579034"</f>
        <v>08.0579034</v>
      </c>
      <c r="T2454" t="s">
        <v>41</v>
      </c>
      <c r="U2454">
        <v>1531.03</v>
      </c>
      <c r="V2454">
        <v>1531.03</v>
      </c>
      <c r="W2454">
        <v>1531.03</v>
      </c>
      <c r="X2454">
        <v>0</v>
      </c>
      <c r="Y2454">
        <v>0</v>
      </c>
      <c r="Z2454">
        <v>-536</v>
      </c>
      <c r="AA2454">
        <v>693947</v>
      </c>
      <c r="AD2454" t="s">
        <v>6304</v>
      </c>
      <c r="AE2454">
        <v>1129673555</v>
      </c>
      <c r="AF2454" t="s">
        <v>64</v>
      </c>
      <c r="AG2454">
        <v>75315333029190</v>
      </c>
      <c r="AH2454" t="s">
        <v>44</v>
      </c>
    </row>
    <row r="2455" spans="1:34" x14ac:dyDescent="0.3">
      <c r="A2455">
        <v>101</v>
      </c>
      <c r="B2455" t="s">
        <v>34</v>
      </c>
      <c r="C2455">
        <v>4</v>
      </c>
      <c r="D2455" s="1" t="s">
        <v>6632</v>
      </c>
      <c r="E2455" t="s">
        <v>3134</v>
      </c>
      <c r="G2455">
        <v>454228</v>
      </c>
      <c r="H2455" t="s">
        <v>6633</v>
      </c>
      <c r="I2455" t="s">
        <v>6619</v>
      </c>
      <c r="J2455">
        <v>26</v>
      </c>
      <c r="K2455">
        <v>4716</v>
      </c>
      <c r="L2455">
        <v>10001</v>
      </c>
      <c r="M2455" t="s">
        <v>3135</v>
      </c>
      <c r="N2455">
        <v>584</v>
      </c>
      <c r="O2455" s="2">
        <v>46183</v>
      </c>
      <c r="P2455" s="2">
        <v>46281</v>
      </c>
      <c r="R2455" t="s">
        <v>3144</v>
      </c>
      <c r="S2455" t="str">
        <f>"07.0574661"</f>
        <v>07.0574661</v>
      </c>
      <c r="T2455" t="s">
        <v>41</v>
      </c>
      <c r="U2455">
        <v>2038.08</v>
      </c>
      <c r="V2455">
        <v>2038.08</v>
      </c>
      <c r="W2455">
        <v>2038.08</v>
      </c>
      <c r="X2455">
        <v>0</v>
      </c>
      <c r="Y2455">
        <v>0</v>
      </c>
      <c r="Z2455">
        <v>-506</v>
      </c>
      <c r="AA2455">
        <v>688529</v>
      </c>
      <c r="AD2455" t="s">
        <v>5008</v>
      </c>
      <c r="AE2455">
        <v>1129673555</v>
      </c>
      <c r="AF2455" t="s">
        <v>64</v>
      </c>
      <c r="AG2455">
        <v>75315333029867</v>
      </c>
      <c r="AH2455" t="s">
        <v>44</v>
      </c>
    </row>
    <row r="2456" spans="1:34" x14ac:dyDescent="0.3">
      <c r="A2456">
        <v>101</v>
      </c>
      <c r="B2456" t="s">
        <v>34</v>
      </c>
      <c r="C2456">
        <v>4</v>
      </c>
      <c r="D2456" s="1" t="s">
        <v>6634</v>
      </c>
      <c r="E2456" t="s">
        <v>3134</v>
      </c>
      <c r="G2456">
        <v>454229</v>
      </c>
      <c r="H2456" t="s">
        <v>6635</v>
      </c>
      <c r="I2456" t="s">
        <v>6619</v>
      </c>
      <c r="J2456">
        <v>26</v>
      </c>
      <c r="K2456">
        <v>4716</v>
      </c>
      <c r="L2456">
        <v>10001</v>
      </c>
      <c r="M2456" t="s">
        <v>3135</v>
      </c>
      <c r="N2456">
        <v>584</v>
      </c>
      <c r="O2456" s="2">
        <v>46190</v>
      </c>
      <c r="P2456" s="2">
        <v>46281</v>
      </c>
      <c r="R2456" t="s">
        <v>3144</v>
      </c>
      <c r="S2456" t="str">
        <f>"07.0574661"</f>
        <v>07.0574661</v>
      </c>
      <c r="T2456" t="s">
        <v>41</v>
      </c>
      <c r="U2456">
        <v>318.45</v>
      </c>
      <c r="V2456">
        <v>318.45</v>
      </c>
      <c r="W2456">
        <v>318.45</v>
      </c>
      <c r="X2456">
        <v>0</v>
      </c>
      <c r="Y2456">
        <v>0</v>
      </c>
      <c r="Z2456">
        <v>-506</v>
      </c>
      <c r="AA2456">
        <v>691675</v>
      </c>
      <c r="AD2456" t="s">
        <v>6356</v>
      </c>
      <c r="AE2456">
        <v>1129673555</v>
      </c>
      <c r="AF2456" t="s">
        <v>64</v>
      </c>
      <c r="AG2456">
        <v>75315333028895</v>
      </c>
      <c r="AH2456" t="s">
        <v>44</v>
      </c>
    </row>
    <row r="2457" spans="1:34" x14ac:dyDescent="0.3">
      <c r="A2457">
        <v>101</v>
      </c>
      <c r="B2457" t="s">
        <v>34</v>
      </c>
      <c r="C2457">
        <v>4</v>
      </c>
      <c r="D2457" s="1" t="s">
        <v>6636</v>
      </c>
      <c r="E2457" t="s">
        <v>3134</v>
      </c>
      <c r="G2457">
        <v>454229</v>
      </c>
      <c r="H2457" t="s">
        <v>6635</v>
      </c>
      <c r="I2457" t="s">
        <v>6619</v>
      </c>
      <c r="J2457">
        <v>26</v>
      </c>
      <c r="K2457">
        <v>4716</v>
      </c>
      <c r="L2457">
        <v>10001</v>
      </c>
      <c r="M2457" t="s">
        <v>3135</v>
      </c>
      <c r="N2457">
        <v>584</v>
      </c>
      <c r="O2457" s="2">
        <v>46190</v>
      </c>
      <c r="P2457" s="2">
        <v>46281</v>
      </c>
      <c r="R2457" t="s">
        <v>3144</v>
      </c>
      <c r="S2457" t="str">
        <f>"07.0574661"</f>
        <v>07.0574661</v>
      </c>
      <c r="T2457" t="s">
        <v>41</v>
      </c>
      <c r="U2457">
        <v>6200.68</v>
      </c>
      <c r="V2457">
        <v>6200.68</v>
      </c>
      <c r="W2457">
        <v>6200.68</v>
      </c>
      <c r="X2457">
        <v>0</v>
      </c>
      <c r="Y2457">
        <v>0</v>
      </c>
      <c r="Z2457">
        <v>-506</v>
      </c>
      <c r="AA2457">
        <v>691619</v>
      </c>
      <c r="AD2457" t="s">
        <v>6356</v>
      </c>
      <c r="AE2457">
        <v>1129673555</v>
      </c>
      <c r="AF2457" t="s">
        <v>64</v>
      </c>
      <c r="AG2457">
        <v>75315333028895</v>
      </c>
      <c r="AH2457" t="s">
        <v>44</v>
      </c>
    </row>
    <row r="2458" spans="1:34" x14ac:dyDescent="0.3">
      <c r="A2458">
        <v>101</v>
      </c>
      <c r="B2458" t="s">
        <v>34</v>
      </c>
      <c r="C2458">
        <v>4</v>
      </c>
      <c r="D2458" s="1" t="s">
        <v>6637</v>
      </c>
      <c r="E2458" t="s">
        <v>3134</v>
      </c>
      <c r="G2458">
        <v>454480</v>
      </c>
      <c r="H2458" t="s">
        <v>6638</v>
      </c>
      <c r="I2458" t="s">
        <v>6619</v>
      </c>
      <c r="J2458">
        <v>26</v>
      </c>
      <c r="K2458">
        <v>4716</v>
      </c>
      <c r="L2458">
        <v>10001</v>
      </c>
      <c r="M2458" t="s">
        <v>3135</v>
      </c>
      <c r="N2458">
        <v>584</v>
      </c>
      <c r="O2458" s="2">
        <v>46183</v>
      </c>
      <c r="P2458" s="2">
        <v>46281</v>
      </c>
      <c r="R2458" t="s">
        <v>3144</v>
      </c>
      <c r="S2458" t="str">
        <f>"07.0574661"</f>
        <v>07.0574661</v>
      </c>
      <c r="T2458" t="s">
        <v>41</v>
      </c>
      <c r="U2458">
        <v>3057.12</v>
      </c>
      <c r="V2458">
        <v>3057.12</v>
      </c>
      <c r="W2458">
        <v>3057.12</v>
      </c>
      <c r="X2458">
        <v>0</v>
      </c>
      <c r="Y2458">
        <v>0</v>
      </c>
      <c r="Z2458">
        <v>-506</v>
      </c>
      <c r="AA2458">
        <v>688531</v>
      </c>
      <c r="AD2458" t="s">
        <v>4310</v>
      </c>
      <c r="AE2458">
        <v>1129673555</v>
      </c>
      <c r="AF2458" t="s">
        <v>4310</v>
      </c>
      <c r="AG2458">
        <v>75315333030440</v>
      </c>
      <c r="AH2458" t="s">
        <v>3520</v>
      </c>
    </row>
    <row r="2459" spans="1:34" x14ac:dyDescent="0.3">
      <c r="A2459">
        <v>104</v>
      </c>
      <c r="B2459" t="s">
        <v>34</v>
      </c>
      <c r="C2459">
        <v>4</v>
      </c>
      <c r="D2459" s="1" t="s">
        <v>6639</v>
      </c>
      <c r="E2459" s="1" t="s">
        <v>36</v>
      </c>
      <c r="G2459">
        <v>454480</v>
      </c>
      <c r="H2459" t="s">
        <v>6638</v>
      </c>
      <c r="I2459" t="s">
        <v>6619</v>
      </c>
      <c r="J2459">
        <v>26</v>
      </c>
      <c r="K2459">
        <v>4716</v>
      </c>
      <c r="L2459">
        <v>95000</v>
      </c>
      <c r="M2459" t="s">
        <v>69</v>
      </c>
      <c r="N2459">
        <v>584</v>
      </c>
      <c r="O2459" s="2">
        <v>46251</v>
      </c>
      <c r="P2459" s="2">
        <v>46321</v>
      </c>
      <c r="R2459" t="s">
        <v>6640</v>
      </c>
      <c r="S2459" t="str">
        <f>""</f>
        <v/>
      </c>
      <c r="T2459" t="s">
        <v>41</v>
      </c>
      <c r="U2459">
        <v>18935.57</v>
      </c>
      <c r="V2459">
        <v>17515.400000000001</v>
      </c>
      <c r="W2459">
        <v>17515.400000000001</v>
      </c>
      <c r="X2459">
        <v>0</v>
      </c>
      <c r="Y2459">
        <v>0</v>
      </c>
      <c r="Z2459">
        <v>-546</v>
      </c>
      <c r="AA2459">
        <v>696871</v>
      </c>
      <c r="AD2459" t="s">
        <v>4310</v>
      </c>
      <c r="AE2459">
        <v>1129673555</v>
      </c>
      <c r="AF2459" t="s">
        <v>4310</v>
      </c>
      <c r="AG2459">
        <v>75315333030440</v>
      </c>
      <c r="AH2459" t="s">
        <v>3520</v>
      </c>
    </row>
    <row r="2460" spans="1:34" x14ac:dyDescent="0.3">
      <c r="A2460">
        <v>101</v>
      </c>
      <c r="B2460" t="s">
        <v>34</v>
      </c>
      <c r="C2460">
        <v>4</v>
      </c>
      <c r="D2460" s="1" t="s">
        <v>6641</v>
      </c>
      <c r="E2460" t="s">
        <v>3134</v>
      </c>
      <c r="G2460">
        <v>454491</v>
      </c>
      <c r="H2460" t="s">
        <v>6642</v>
      </c>
      <c r="I2460" t="s">
        <v>6619</v>
      </c>
      <c r="J2460">
        <v>26</v>
      </c>
      <c r="K2460">
        <v>4716</v>
      </c>
      <c r="L2460">
        <v>10001</v>
      </c>
      <c r="M2460" t="s">
        <v>3135</v>
      </c>
      <c r="N2460">
        <v>584</v>
      </c>
      <c r="O2460" s="2">
        <v>46172</v>
      </c>
      <c r="P2460" s="2">
        <v>46266</v>
      </c>
      <c r="R2460" t="s">
        <v>3136</v>
      </c>
      <c r="S2460" t="str">
        <f>"07.0572790"</f>
        <v>07.0572790</v>
      </c>
      <c r="T2460" t="s">
        <v>41</v>
      </c>
      <c r="U2460">
        <v>13724.7</v>
      </c>
      <c r="V2460">
        <v>13724.7</v>
      </c>
      <c r="W2460">
        <v>13724.7</v>
      </c>
      <c r="X2460">
        <v>0</v>
      </c>
      <c r="Y2460">
        <v>0</v>
      </c>
      <c r="Z2460">
        <v>-491</v>
      </c>
      <c r="AA2460">
        <v>689376</v>
      </c>
      <c r="AD2460" t="s">
        <v>4751</v>
      </c>
      <c r="AE2460">
        <v>1129673555</v>
      </c>
      <c r="AF2460" t="s">
        <v>4751</v>
      </c>
      <c r="AG2460">
        <v>75315333029514</v>
      </c>
      <c r="AH2460" t="s">
        <v>4754</v>
      </c>
    </row>
    <row r="2461" spans="1:34" x14ac:dyDescent="0.3">
      <c r="A2461">
        <v>104</v>
      </c>
      <c r="B2461" t="s">
        <v>34</v>
      </c>
      <c r="C2461">
        <v>4</v>
      </c>
      <c r="D2461" s="1" t="s">
        <v>6643</v>
      </c>
      <c r="E2461" s="1" t="s">
        <v>36</v>
      </c>
      <c r="G2461">
        <v>454491</v>
      </c>
      <c r="H2461" t="s">
        <v>6642</v>
      </c>
      <c r="I2461" t="s">
        <v>6619</v>
      </c>
      <c r="J2461">
        <v>26</v>
      </c>
      <c r="K2461">
        <v>4716</v>
      </c>
      <c r="L2461">
        <v>95000</v>
      </c>
      <c r="M2461" t="s">
        <v>69</v>
      </c>
      <c r="N2461">
        <v>584</v>
      </c>
      <c r="O2461" s="2">
        <v>46233</v>
      </c>
      <c r="P2461" s="2">
        <v>46303</v>
      </c>
      <c r="R2461" t="s">
        <v>6644</v>
      </c>
      <c r="S2461" t="str">
        <f>""</f>
        <v/>
      </c>
      <c r="T2461" t="s">
        <v>41</v>
      </c>
      <c r="U2461">
        <v>24165.35</v>
      </c>
      <c r="V2461">
        <v>23319.56</v>
      </c>
      <c r="W2461">
        <v>23319.56</v>
      </c>
      <c r="X2461">
        <v>0</v>
      </c>
      <c r="Y2461">
        <v>0</v>
      </c>
      <c r="Z2461">
        <v>-528</v>
      </c>
      <c r="AA2461">
        <v>695527</v>
      </c>
      <c r="AD2461" t="s">
        <v>4751</v>
      </c>
      <c r="AE2461">
        <v>1129673555</v>
      </c>
      <c r="AF2461" t="s">
        <v>4751</v>
      </c>
      <c r="AG2461">
        <v>75315333029514</v>
      </c>
      <c r="AH2461" t="s">
        <v>4754</v>
      </c>
    </row>
    <row r="2462" spans="1:34" x14ac:dyDescent="0.3">
      <c r="A2462">
        <v>101</v>
      </c>
      <c r="B2462" t="s">
        <v>34</v>
      </c>
      <c r="C2462">
        <v>4</v>
      </c>
      <c r="D2462" s="1" t="s">
        <v>6645</v>
      </c>
      <c r="E2462" t="s">
        <v>3134</v>
      </c>
      <c r="G2462">
        <v>454567</v>
      </c>
      <c r="H2462" t="s">
        <v>6646</v>
      </c>
      <c r="I2462" t="s">
        <v>6619</v>
      </c>
      <c r="J2462">
        <v>26</v>
      </c>
      <c r="K2462">
        <v>4716</v>
      </c>
      <c r="L2462">
        <v>10001</v>
      </c>
      <c r="M2462" t="s">
        <v>3135</v>
      </c>
      <c r="N2462">
        <v>584</v>
      </c>
      <c r="O2462" s="2">
        <v>46183</v>
      </c>
      <c r="P2462" s="2">
        <v>46281</v>
      </c>
      <c r="R2462" t="s">
        <v>3144</v>
      </c>
      <c r="S2462" t="str">
        <f>"07.0574661"</f>
        <v>07.0574661</v>
      </c>
      <c r="T2462" t="s">
        <v>41</v>
      </c>
      <c r="U2462">
        <v>2038.08</v>
      </c>
      <c r="V2462">
        <v>2038.08</v>
      </c>
      <c r="W2462">
        <v>2038.08</v>
      </c>
      <c r="X2462">
        <v>0</v>
      </c>
      <c r="Y2462">
        <v>0</v>
      </c>
      <c r="Z2462">
        <v>-506</v>
      </c>
      <c r="AA2462">
        <v>688533</v>
      </c>
      <c r="AD2462" t="s">
        <v>4310</v>
      </c>
      <c r="AE2462">
        <v>1129673555</v>
      </c>
      <c r="AF2462" t="s">
        <v>64</v>
      </c>
      <c r="AG2462">
        <v>75315333030520</v>
      </c>
      <c r="AH2462" t="s">
        <v>44</v>
      </c>
    </row>
    <row r="2463" spans="1:34" x14ac:dyDescent="0.3">
      <c r="A2463">
        <v>104</v>
      </c>
      <c r="B2463" t="s">
        <v>34</v>
      </c>
      <c r="C2463">
        <v>4</v>
      </c>
      <c r="D2463" s="1" t="s">
        <v>6647</v>
      </c>
      <c r="E2463" s="1" t="s">
        <v>36</v>
      </c>
      <c r="G2463">
        <v>454567</v>
      </c>
      <c r="H2463" t="s">
        <v>6646</v>
      </c>
      <c r="I2463" t="s">
        <v>6619</v>
      </c>
      <c r="J2463">
        <v>26</v>
      </c>
      <c r="K2463">
        <v>4716</v>
      </c>
      <c r="L2463">
        <v>95000</v>
      </c>
      <c r="M2463" t="s">
        <v>69</v>
      </c>
      <c r="N2463">
        <v>584</v>
      </c>
      <c r="O2463" s="2">
        <v>46251</v>
      </c>
      <c r="P2463" s="2">
        <v>46321</v>
      </c>
      <c r="R2463" t="s">
        <v>6648</v>
      </c>
      <c r="S2463" t="str">
        <f>""</f>
        <v/>
      </c>
      <c r="T2463" t="s">
        <v>41</v>
      </c>
      <c r="U2463">
        <v>17990.689999999999</v>
      </c>
      <c r="V2463">
        <v>16641.39</v>
      </c>
      <c r="W2463">
        <v>16641.39</v>
      </c>
      <c r="X2463">
        <v>0</v>
      </c>
      <c r="Y2463">
        <v>0</v>
      </c>
      <c r="Z2463">
        <v>-546</v>
      </c>
      <c r="AA2463">
        <v>696873</v>
      </c>
      <c r="AD2463" t="s">
        <v>4310</v>
      </c>
      <c r="AE2463">
        <v>1129673555</v>
      </c>
      <c r="AF2463" t="s">
        <v>64</v>
      </c>
      <c r="AG2463">
        <v>75315333030520</v>
      </c>
      <c r="AH2463" t="s">
        <v>44</v>
      </c>
    </row>
    <row r="2464" spans="1:34" x14ac:dyDescent="0.3">
      <c r="A2464">
        <v>101</v>
      </c>
      <c r="B2464" t="s">
        <v>34</v>
      </c>
      <c r="C2464">
        <v>4</v>
      </c>
      <c r="D2464" s="1" t="s">
        <v>6649</v>
      </c>
      <c r="E2464" t="s">
        <v>3134</v>
      </c>
      <c r="G2464">
        <v>454568</v>
      </c>
      <c r="H2464" t="s">
        <v>6650</v>
      </c>
      <c r="I2464" t="s">
        <v>6619</v>
      </c>
      <c r="J2464">
        <v>26</v>
      </c>
      <c r="K2464">
        <v>4716</v>
      </c>
      <c r="L2464">
        <v>10001</v>
      </c>
      <c r="M2464" t="s">
        <v>3135</v>
      </c>
      <c r="N2464">
        <v>584</v>
      </c>
      <c r="O2464" s="2">
        <v>46162</v>
      </c>
      <c r="P2464" s="2">
        <v>46296</v>
      </c>
      <c r="R2464" t="s">
        <v>3144</v>
      </c>
      <c r="S2464" t="str">
        <f>"07.0574661"</f>
        <v>07.0574661</v>
      </c>
      <c r="T2464" t="s">
        <v>41</v>
      </c>
      <c r="U2464">
        <v>15234.31</v>
      </c>
      <c r="V2464">
        <v>15234.31</v>
      </c>
      <c r="W2464">
        <v>15234.31</v>
      </c>
      <c r="X2464">
        <v>0</v>
      </c>
      <c r="Y2464">
        <v>0</v>
      </c>
      <c r="Z2464">
        <v>-521</v>
      </c>
      <c r="AA2464">
        <v>688497</v>
      </c>
      <c r="AD2464" t="s">
        <v>6376</v>
      </c>
      <c r="AE2464">
        <v>1129673555</v>
      </c>
      <c r="AF2464" t="s">
        <v>64</v>
      </c>
      <c r="AG2464">
        <v>75315333028119</v>
      </c>
      <c r="AH2464" t="s">
        <v>44</v>
      </c>
    </row>
    <row r="2465" spans="1:34" x14ac:dyDescent="0.3">
      <c r="A2465">
        <v>104</v>
      </c>
      <c r="B2465" t="s">
        <v>34</v>
      </c>
      <c r="C2465">
        <v>4</v>
      </c>
      <c r="D2465" s="1" t="s">
        <v>6651</v>
      </c>
      <c r="E2465" s="1" t="s">
        <v>36</v>
      </c>
      <c r="G2465">
        <v>454568</v>
      </c>
      <c r="H2465" t="s">
        <v>6650</v>
      </c>
      <c r="I2465" t="s">
        <v>6619</v>
      </c>
      <c r="J2465">
        <v>26</v>
      </c>
      <c r="K2465">
        <v>4716</v>
      </c>
      <c r="L2465">
        <v>95000</v>
      </c>
      <c r="M2465" t="s">
        <v>69</v>
      </c>
      <c r="N2465">
        <v>584</v>
      </c>
      <c r="O2465" s="2">
        <v>46197</v>
      </c>
      <c r="P2465" s="2">
        <v>46328</v>
      </c>
      <c r="R2465" t="s">
        <v>6652</v>
      </c>
      <c r="S2465" t="str">
        <f>""</f>
        <v/>
      </c>
      <c r="T2465" t="s">
        <v>41</v>
      </c>
      <c r="U2465">
        <v>689.73</v>
      </c>
      <c r="V2465">
        <v>665.59</v>
      </c>
      <c r="W2465">
        <v>665.59</v>
      </c>
      <c r="X2465">
        <v>0</v>
      </c>
      <c r="Y2465">
        <v>0</v>
      </c>
      <c r="Z2465">
        <v>-553</v>
      </c>
      <c r="AA2465">
        <v>692042</v>
      </c>
      <c r="AD2465" t="s">
        <v>6376</v>
      </c>
      <c r="AE2465">
        <v>1129673555</v>
      </c>
      <c r="AF2465" t="s">
        <v>64</v>
      </c>
      <c r="AG2465">
        <v>75315333028119</v>
      </c>
      <c r="AH2465" t="s">
        <v>44</v>
      </c>
    </row>
    <row r="2466" spans="1:34" x14ac:dyDescent="0.3">
      <c r="A2466">
        <v>104</v>
      </c>
      <c r="B2466" t="s">
        <v>34</v>
      </c>
      <c r="C2466">
        <v>4</v>
      </c>
      <c r="D2466" s="1" t="s">
        <v>6653</v>
      </c>
      <c r="E2466" s="1" t="s">
        <v>36</v>
      </c>
      <c r="G2466">
        <v>454568</v>
      </c>
      <c r="H2466" t="s">
        <v>6650</v>
      </c>
      <c r="I2466" t="s">
        <v>6619</v>
      </c>
      <c r="J2466">
        <v>26</v>
      </c>
      <c r="K2466">
        <v>4716</v>
      </c>
      <c r="L2466">
        <v>95000</v>
      </c>
      <c r="M2466" t="s">
        <v>69</v>
      </c>
      <c r="N2466">
        <v>584</v>
      </c>
      <c r="O2466" s="2">
        <v>46197</v>
      </c>
      <c r="P2466" s="2">
        <v>46328</v>
      </c>
      <c r="R2466" t="s">
        <v>6654</v>
      </c>
      <c r="S2466" t="str">
        <f>""</f>
        <v/>
      </c>
      <c r="T2466" t="s">
        <v>41</v>
      </c>
      <c r="U2466">
        <v>36750.870000000003</v>
      </c>
      <c r="V2466">
        <v>35464.589999999997</v>
      </c>
      <c r="W2466">
        <v>35464.589999999997</v>
      </c>
      <c r="X2466">
        <v>0</v>
      </c>
      <c r="Y2466">
        <v>0</v>
      </c>
      <c r="Z2466">
        <v>-553</v>
      </c>
      <c r="AA2466">
        <v>691996</v>
      </c>
      <c r="AD2466" t="s">
        <v>6376</v>
      </c>
      <c r="AE2466">
        <v>1129673555</v>
      </c>
      <c r="AF2466" t="s">
        <v>64</v>
      </c>
      <c r="AG2466">
        <v>75315333028119</v>
      </c>
      <c r="AH2466" t="s">
        <v>44</v>
      </c>
    </row>
    <row r="2467" spans="1:34" x14ac:dyDescent="0.3">
      <c r="A2467">
        <v>104</v>
      </c>
      <c r="B2467" t="s">
        <v>34</v>
      </c>
      <c r="C2467">
        <v>4</v>
      </c>
      <c r="D2467" s="1" t="s">
        <v>6655</v>
      </c>
      <c r="E2467" s="1" t="s">
        <v>36</v>
      </c>
      <c r="G2467">
        <v>454875</v>
      </c>
      <c r="H2467" t="s">
        <v>6656</v>
      </c>
      <c r="I2467" t="s">
        <v>6619</v>
      </c>
      <c r="J2467">
        <v>26</v>
      </c>
      <c r="K2467">
        <v>4716</v>
      </c>
      <c r="L2467">
        <v>95000</v>
      </c>
      <c r="M2467" t="s">
        <v>69</v>
      </c>
      <c r="N2467">
        <v>584</v>
      </c>
      <c r="O2467" s="2">
        <v>46197</v>
      </c>
      <c r="P2467" s="2">
        <v>46311</v>
      </c>
      <c r="R2467" t="s">
        <v>6657</v>
      </c>
      <c r="S2467" t="str">
        <f>""</f>
        <v/>
      </c>
      <c r="T2467" t="s">
        <v>41</v>
      </c>
      <c r="U2467">
        <v>27190.81</v>
      </c>
      <c r="V2467">
        <v>25930.63</v>
      </c>
      <c r="W2467">
        <v>25930.63</v>
      </c>
      <c r="X2467">
        <v>0</v>
      </c>
      <c r="Y2467">
        <v>0</v>
      </c>
      <c r="Z2467">
        <v>-536</v>
      </c>
      <c r="AA2467">
        <v>691998</v>
      </c>
      <c r="AD2467" t="s">
        <v>6376</v>
      </c>
      <c r="AE2467">
        <v>1129673555</v>
      </c>
      <c r="AF2467" t="s">
        <v>64</v>
      </c>
      <c r="AG2467">
        <v>75315333028623</v>
      </c>
      <c r="AH2467" t="s">
        <v>44</v>
      </c>
    </row>
    <row r="2468" spans="1:34" x14ac:dyDescent="0.3">
      <c r="A2468">
        <v>104</v>
      </c>
      <c r="B2468" t="s">
        <v>34</v>
      </c>
      <c r="C2468">
        <v>4</v>
      </c>
      <c r="D2468" s="1" t="s">
        <v>6658</v>
      </c>
      <c r="E2468" s="1" t="s">
        <v>36</v>
      </c>
      <c r="G2468">
        <v>454875</v>
      </c>
      <c r="H2468" t="s">
        <v>6656</v>
      </c>
      <c r="I2468" t="s">
        <v>6619</v>
      </c>
      <c r="J2468">
        <v>26</v>
      </c>
      <c r="K2468">
        <v>4716</v>
      </c>
      <c r="L2468">
        <v>95000</v>
      </c>
      <c r="M2468" t="s">
        <v>69</v>
      </c>
      <c r="N2468">
        <v>584</v>
      </c>
      <c r="O2468" s="2">
        <v>46197</v>
      </c>
      <c r="P2468" s="2">
        <v>46311</v>
      </c>
      <c r="R2468" t="s">
        <v>6659</v>
      </c>
      <c r="S2468" t="str">
        <f>""</f>
        <v/>
      </c>
      <c r="T2468" t="s">
        <v>41</v>
      </c>
      <c r="U2468">
        <v>321.3</v>
      </c>
      <c r="V2468">
        <v>310.05</v>
      </c>
      <c r="W2468">
        <v>310.05</v>
      </c>
      <c r="X2468">
        <v>0</v>
      </c>
      <c r="Y2468">
        <v>0</v>
      </c>
      <c r="Z2468">
        <v>-536</v>
      </c>
      <c r="AA2468">
        <v>692044</v>
      </c>
      <c r="AD2468" t="s">
        <v>6376</v>
      </c>
      <c r="AE2468">
        <v>1129673555</v>
      </c>
      <c r="AF2468" t="s">
        <v>64</v>
      </c>
      <c r="AG2468">
        <v>75315333028623</v>
      </c>
      <c r="AH2468" t="s">
        <v>44</v>
      </c>
    </row>
    <row r="2469" spans="1:34" x14ac:dyDescent="0.3">
      <c r="A2469">
        <v>101</v>
      </c>
      <c r="B2469" t="s">
        <v>34</v>
      </c>
      <c r="C2469">
        <v>4</v>
      </c>
      <c r="D2469" s="1" t="s">
        <v>6660</v>
      </c>
      <c r="E2469" t="s">
        <v>3134</v>
      </c>
      <c r="G2469">
        <v>454875</v>
      </c>
      <c r="H2469" t="s">
        <v>6656</v>
      </c>
      <c r="I2469" t="s">
        <v>6619</v>
      </c>
      <c r="J2469">
        <v>26</v>
      </c>
      <c r="K2469">
        <v>4716</v>
      </c>
      <c r="L2469">
        <v>10001</v>
      </c>
      <c r="M2469" t="s">
        <v>3135</v>
      </c>
      <c r="N2469">
        <v>584</v>
      </c>
      <c r="O2469" s="2">
        <v>46162</v>
      </c>
      <c r="P2469" s="2">
        <v>46296</v>
      </c>
      <c r="R2469" t="s">
        <v>3144</v>
      </c>
      <c r="S2469" t="str">
        <f>"07.0574661"</f>
        <v>07.0574661</v>
      </c>
      <c r="T2469" t="s">
        <v>41</v>
      </c>
      <c r="U2469">
        <v>11527.55</v>
      </c>
      <c r="V2469">
        <v>11527.55</v>
      </c>
      <c r="W2469">
        <v>11527.55</v>
      </c>
      <c r="X2469">
        <v>0</v>
      </c>
      <c r="Y2469">
        <v>0</v>
      </c>
      <c r="Z2469">
        <v>-521</v>
      </c>
      <c r="AA2469">
        <v>688499</v>
      </c>
      <c r="AD2469" t="s">
        <v>6376</v>
      </c>
      <c r="AE2469">
        <v>1129673555</v>
      </c>
      <c r="AF2469" t="s">
        <v>64</v>
      </c>
      <c r="AG2469">
        <v>75315333028623</v>
      </c>
      <c r="AH2469" t="s">
        <v>44</v>
      </c>
    </row>
    <row r="2470" spans="1:34" x14ac:dyDescent="0.3">
      <c r="A2470">
        <v>104</v>
      </c>
      <c r="B2470" t="s">
        <v>34</v>
      </c>
      <c r="C2470">
        <v>4</v>
      </c>
      <c r="D2470" s="1" t="s">
        <v>6661</v>
      </c>
      <c r="E2470" s="1" t="s">
        <v>36</v>
      </c>
      <c r="G2470">
        <v>455122</v>
      </c>
      <c r="H2470" t="s">
        <v>6662</v>
      </c>
      <c r="I2470" t="s">
        <v>3222</v>
      </c>
      <c r="J2470">
        <v>26</v>
      </c>
      <c r="K2470">
        <v>4716</v>
      </c>
      <c r="L2470">
        <v>95000</v>
      </c>
      <c r="M2470" t="s">
        <v>69</v>
      </c>
      <c r="N2470">
        <v>584</v>
      </c>
      <c r="O2470" s="2">
        <v>46238</v>
      </c>
      <c r="P2470" s="2">
        <v>46328</v>
      </c>
      <c r="R2470" t="s">
        <v>6663</v>
      </c>
      <c r="S2470" t="str">
        <f>""</f>
        <v/>
      </c>
      <c r="T2470" t="s">
        <v>41</v>
      </c>
      <c r="U2470">
        <v>4865.96</v>
      </c>
      <c r="V2470">
        <v>4695.6499999999996</v>
      </c>
      <c r="W2470">
        <v>4695.6499999999996</v>
      </c>
      <c r="X2470">
        <v>0</v>
      </c>
      <c r="Y2470">
        <v>0</v>
      </c>
      <c r="Z2470">
        <v>-553</v>
      </c>
      <c r="AA2470">
        <v>696133</v>
      </c>
      <c r="AD2470" t="s">
        <v>6600</v>
      </c>
      <c r="AE2470">
        <v>11963394642</v>
      </c>
      <c r="AF2470" t="s">
        <v>6600</v>
      </c>
      <c r="AG2470">
        <v>93209765050645</v>
      </c>
      <c r="AH2470" t="s">
        <v>5494</v>
      </c>
    </row>
    <row r="2471" spans="1:34" x14ac:dyDescent="0.3">
      <c r="A2471">
        <v>104</v>
      </c>
      <c r="B2471" t="s">
        <v>34</v>
      </c>
      <c r="C2471">
        <v>4</v>
      </c>
      <c r="D2471" s="1" t="s">
        <v>6664</v>
      </c>
      <c r="E2471" s="1" t="s">
        <v>36</v>
      </c>
      <c r="G2471">
        <v>455128</v>
      </c>
      <c r="H2471" t="s">
        <v>6665</v>
      </c>
      <c r="I2471" t="s">
        <v>3222</v>
      </c>
      <c r="J2471">
        <v>26</v>
      </c>
      <c r="K2471">
        <v>4716</v>
      </c>
      <c r="L2471">
        <v>95000</v>
      </c>
      <c r="M2471" t="s">
        <v>69</v>
      </c>
      <c r="N2471">
        <v>584</v>
      </c>
      <c r="O2471" s="2">
        <v>46233</v>
      </c>
      <c r="P2471" s="2">
        <v>46328</v>
      </c>
      <c r="R2471" t="s">
        <v>6666</v>
      </c>
      <c r="S2471" t="str">
        <f>""</f>
        <v/>
      </c>
      <c r="T2471" t="s">
        <v>41</v>
      </c>
      <c r="U2471">
        <v>4291.66</v>
      </c>
      <c r="V2471">
        <v>4141.45</v>
      </c>
      <c r="W2471">
        <v>4141.45</v>
      </c>
      <c r="X2471">
        <v>0</v>
      </c>
      <c r="Y2471">
        <v>0</v>
      </c>
      <c r="Z2471">
        <v>-553</v>
      </c>
      <c r="AA2471">
        <v>695549</v>
      </c>
      <c r="AD2471" t="s">
        <v>665</v>
      </c>
      <c r="AE2471" t="s">
        <v>6667</v>
      </c>
      <c r="AF2471" t="s">
        <v>665</v>
      </c>
      <c r="AG2471">
        <v>93209765049205</v>
      </c>
      <c r="AH2471" t="s">
        <v>311</v>
      </c>
    </row>
    <row r="2472" spans="1:34" x14ac:dyDescent="0.3">
      <c r="A2472">
        <v>104</v>
      </c>
      <c r="B2472" t="s">
        <v>34</v>
      </c>
      <c r="C2472">
        <v>4</v>
      </c>
      <c r="D2472" s="1" t="s">
        <v>6668</v>
      </c>
      <c r="E2472" s="1" t="s">
        <v>36</v>
      </c>
      <c r="G2472">
        <v>455128</v>
      </c>
      <c r="H2472" t="s">
        <v>6665</v>
      </c>
      <c r="I2472" t="s">
        <v>3222</v>
      </c>
      <c r="J2472">
        <v>26</v>
      </c>
      <c r="K2472">
        <v>4716</v>
      </c>
      <c r="L2472">
        <v>95000</v>
      </c>
      <c r="M2472" t="s">
        <v>69</v>
      </c>
      <c r="N2472">
        <v>584</v>
      </c>
      <c r="O2472" s="2">
        <v>46172</v>
      </c>
      <c r="P2472" s="2">
        <v>46266</v>
      </c>
      <c r="R2472" t="s">
        <v>6669</v>
      </c>
      <c r="S2472" t="str">
        <f>""</f>
        <v/>
      </c>
      <c r="T2472" t="s">
        <v>41</v>
      </c>
      <c r="U2472">
        <v>19305.68</v>
      </c>
      <c r="V2472">
        <v>18629.98</v>
      </c>
      <c r="W2472">
        <v>18629.98</v>
      </c>
      <c r="X2472">
        <v>0</v>
      </c>
      <c r="Y2472">
        <v>0</v>
      </c>
      <c r="Z2472">
        <v>-491</v>
      </c>
      <c r="AA2472">
        <v>689398</v>
      </c>
      <c r="AD2472" t="s">
        <v>665</v>
      </c>
      <c r="AE2472" t="s">
        <v>6667</v>
      </c>
      <c r="AF2472" t="s">
        <v>665</v>
      </c>
      <c r="AG2472">
        <v>93209765049205</v>
      </c>
      <c r="AH2472" t="s">
        <v>311</v>
      </c>
    </row>
    <row r="2473" spans="1:34" x14ac:dyDescent="0.3">
      <c r="A2473">
        <v>104</v>
      </c>
      <c r="B2473" t="s">
        <v>34</v>
      </c>
      <c r="C2473">
        <v>4</v>
      </c>
      <c r="D2473" s="1" t="s">
        <v>6670</v>
      </c>
      <c r="E2473" s="1" t="s">
        <v>36</v>
      </c>
      <c r="G2473">
        <v>455132</v>
      </c>
      <c r="H2473" t="s">
        <v>6671</v>
      </c>
      <c r="I2473" t="s">
        <v>3222</v>
      </c>
      <c r="J2473">
        <v>26</v>
      </c>
      <c r="K2473">
        <v>4716</v>
      </c>
      <c r="L2473">
        <v>95000</v>
      </c>
      <c r="M2473" t="s">
        <v>69</v>
      </c>
      <c r="N2473">
        <v>584</v>
      </c>
      <c r="O2473" s="2">
        <v>46211</v>
      </c>
      <c r="P2473" s="2">
        <v>46276</v>
      </c>
      <c r="R2473" t="s">
        <v>6672</v>
      </c>
      <c r="S2473" t="str">
        <f>""</f>
        <v/>
      </c>
      <c r="T2473" t="s">
        <v>41</v>
      </c>
      <c r="U2473">
        <v>22668.560000000001</v>
      </c>
      <c r="V2473">
        <v>21875.16</v>
      </c>
      <c r="W2473">
        <v>21875.16</v>
      </c>
      <c r="X2473">
        <v>0</v>
      </c>
      <c r="Y2473">
        <v>0</v>
      </c>
      <c r="Z2473">
        <v>-501</v>
      </c>
      <c r="AA2473">
        <v>694023</v>
      </c>
      <c r="AD2473" t="s">
        <v>3743</v>
      </c>
      <c r="AE2473">
        <v>11963394642</v>
      </c>
      <c r="AF2473" t="s">
        <v>3743</v>
      </c>
      <c r="AG2473">
        <v>93209765048900</v>
      </c>
      <c r="AH2473" t="s">
        <v>3698</v>
      </c>
    </row>
    <row r="2474" spans="1:34" x14ac:dyDescent="0.3">
      <c r="A2474">
        <v>104</v>
      </c>
      <c r="B2474" t="s">
        <v>34</v>
      </c>
      <c r="C2474">
        <v>4</v>
      </c>
      <c r="D2474" s="1" t="s">
        <v>6673</v>
      </c>
      <c r="E2474" s="1" t="s">
        <v>36</v>
      </c>
      <c r="G2474">
        <v>455132</v>
      </c>
      <c r="H2474" t="s">
        <v>6671</v>
      </c>
      <c r="I2474" t="s">
        <v>3222</v>
      </c>
      <c r="J2474">
        <v>26</v>
      </c>
      <c r="K2474">
        <v>4716</v>
      </c>
      <c r="L2474">
        <v>95000</v>
      </c>
      <c r="M2474" t="s">
        <v>69</v>
      </c>
      <c r="N2474">
        <v>584</v>
      </c>
      <c r="O2474" s="2">
        <v>46211</v>
      </c>
      <c r="P2474" s="2">
        <v>46276</v>
      </c>
      <c r="R2474" t="s">
        <v>6674</v>
      </c>
      <c r="S2474" t="str">
        <f>""</f>
        <v/>
      </c>
      <c r="T2474" t="s">
        <v>41</v>
      </c>
      <c r="U2474">
        <v>1355.67</v>
      </c>
      <c r="V2474">
        <v>1308.22</v>
      </c>
      <c r="W2474">
        <v>1308.22</v>
      </c>
      <c r="X2474">
        <v>0</v>
      </c>
      <c r="Y2474">
        <v>0</v>
      </c>
      <c r="Z2474">
        <v>-501</v>
      </c>
      <c r="AA2474">
        <v>693965</v>
      </c>
      <c r="AD2474" t="s">
        <v>3743</v>
      </c>
      <c r="AE2474">
        <v>11963394642</v>
      </c>
      <c r="AF2474" t="s">
        <v>3743</v>
      </c>
      <c r="AG2474">
        <v>93209765048900</v>
      </c>
      <c r="AH2474" t="s">
        <v>3698</v>
      </c>
    </row>
    <row r="2475" spans="1:34" x14ac:dyDescent="0.3">
      <c r="A2475">
        <v>104</v>
      </c>
      <c r="B2475" t="s">
        <v>34</v>
      </c>
      <c r="C2475">
        <v>1</v>
      </c>
      <c r="D2475" s="1" t="s">
        <v>6673</v>
      </c>
      <c r="E2475" s="1" t="s">
        <v>122</v>
      </c>
      <c r="G2475">
        <v>455132</v>
      </c>
      <c r="H2475" t="s">
        <v>6671</v>
      </c>
      <c r="I2475" t="s">
        <v>3222</v>
      </c>
      <c r="J2475">
        <v>26</v>
      </c>
      <c r="K2475">
        <v>4716</v>
      </c>
      <c r="L2475">
        <v>95000</v>
      </c>
      <c r="M2475" t="s">
        <v>69</v>
      </c>
      <c r="N2475">
        <v>584</v>
      </c>
      <c r="O2475" s="2">
        <v>46223</v>
      </c>
      <c r="P2475" s="2">
        <v>46305</v>
      </c>
      <c r="R2475" t="s">
        <v>6268</v>
      </c>
      <c r="S2475" t="str">
        <f>""</f>
        <v/>
      </c>
      <c r="T2475" t="s">
        <v>41</v>
      </c>
      <c r="U2475">
        <v>285.12</v>
      </c>
      <c r="V2475">
        <v>285.12</v>
      </c>
      <c r="W2475">
        <v>285.12</v>
      </c>
      <c r="X2475">
        <v>0</v>
      </c>
      <c r="Y2475">
        <v>0</v>
      </c>
      <c r="Z2475">
        <v>-530</v>
      </c>
      <c r="AC2475" t="s">
        <v>6269</v>
      </c>
      <c r="AD2475" t="s">
        <v>3743</v>
      </c>
      <c r="AE2475">
        <v>11963394642</v>
      </c>
      <c r="AF2475" t="s">
        <v>3743</v>
      </c>
      <c r="AG2475">
        <v>93209765048900</v>
      </c>
      <c r="AH2475" t="s">
        <v>3698</v>
      </c>
    </row>
    <row r="2476" spans="1:34" x14ac:dyDescent="0.3">
      <c r="A2476">
        <v>104</v>
      </c>
      <c r="B2476" t="s">
        <v>34</v>
      </c>
      <c r="C2476">
        <v>4</v>
      </c>
      <c r="D2476" s="1" t="s">
        <v>6675</v>
      </c>
      <c r="E2476" s="1" t="s">
        <v>36</v>
      </c>
      <c r="G2476">
        <v>455587</v>
      </c>
      <c r="H2476" t="s">
        <v>6676</v>
      </c>
      <c r="I2476" t="s">
        <v>3131</v>
      </c>
      <c r="J2476">
        <v>26</v>
      </c>
      <c r="K2476">
        <v>4716</v>
      </c>
      <c r="L2476">
        <v>95000</v>
      </c>
      <c r="M2476" t="s">
        <v>69</v>
      </c>
      <c r="N2476">
        <v>584</v>
      </c>
      <c r="O2476" s="2">
        <v>46234</v>
      </c>
      <c r="P2476" s="2">
        <v>46304</v>
      </c>
      <c r="R2476" t="s">
        <v>6677</v>
      </c>
      <c r="S2476" t="str">
        <f>""</f>
        <v/>
      </c>
      <c r="T2476" t="s">
        <v>41</v>
      </c>
      <c r="U2476">
        <v>8428.7999999999993</v>
      </c>
      <c r="V2476">
        <v>8133.79</v>
      </c>
      <c r="W2476">
        <v>8133.79</v>
      </c>
      <c r="X2476">
        <v>0</v>
      </c>
      <c r="Y2476">
        <v>0</v>
      </c>
      <c r="Z2476">
        <v>-529</v>
      </c>
      <c r="AA2476">
        <v>695987</v>
      </c>
      <c r="AD2476" t="s">
        <v>3042</v>
      </c>
      <c r="AE2476">
        <v>1129678461</v>
      </c>
      <c r="AF2476" t="s">
        <v>3042</v>
      </c>
      <c r="AG2476">
        <v>75315333027651</v>
      </c>
      <c r="AH2476" t="s">
        <v>3024</v>
      </c>
    </row>
    <row r="2477" spans="1:34" x14ac:dyDescent="0.3">
      <c r="A2477">
        <v>101</v>
      </c>
      <c r="B2477" t="s">
        <v>34</v>
      </c>
      <c r="C2477">
        <v>4</v>
      </c>
      <c r="D2477" s="1" t="s">
        <v>6678</v>
      </c>
      <c r="E2477" t="s">
        <v>3134</v>
      </c>
      <c r="G2477">
        <v>455587</v>
      </c>
      <c r="H2477" t="s">
        <v>6676</v>
      </c>
      <c r="I2477" t="s">
        <v>3131</v>
      </c>
      <c r="J2477">
        <v>26</v>
      </c>
      <c r="K2477">
        <v>4716</v>
      </c>
      <c r="L2477">
        <v>10001</v>
      </c>
      <c r="M2477" t="s">
        <v>3135</v>
      </c>
      <c r="N2477">
        <v>584</v>
      </c>
      <c r="O2477" s="2">
        <v>46197</v>
      </c>
      <c r="P2477" s="2">
        <v>46296</v>
      </c>
      <c r="R2477" t="s">
        <v>3179</v>
      </c>
      <c r="S2477" t="str">
        <f>"08.0576919"</f>
        <v>08.0576919</v>
      </c>
      <c r="T2477" t="s">
        <v>41</v>
      </c>
      <c r="U2477">
        <v>393.72</v>
      </c>
      <c r="V2477">
        <v>393.72</v>
      </c>
      <c r="W2477">
        <v>393.72</v>
      </c>
      <c r="X2477">
        <v>0</v>
      </c>
      <c r="Y2477">
        <v>0</v>
      </c>
      <c r="Z2477">
        <v>-521</v>
      </c>
      <c r="AA2477">
        <v>692040</v>
      </c>
      <c r="AD2477" t="s">
        <v>3042</v>
      </c>
      <c r="AE2477">
        <v>1129678461</v>
      </c>
      <c r="AF2477" t="s">
        <v>3042</v>
      </c>
      <c r="AG2477">
        <v>75315333027651</v>
      </c>
      <c r="AH2477" t="s">
        <v>3024</v>
      </c>
    </row>
    <row r="2478" spans="1:34" x14ac:dyDescent="0.3">
      <c r="A2478">
        <v>101</v>
      </c>
      <c r="B2478" t="s">
        <v>34</v>
      </c>
      <c r="C2478">
        <v>4</v>
      </c>
      <c r="D2478" s="1" t="s">
        <v>6679</v>
      </c>
      <c r="E2478" t="s">
        <v>3134</v>
      </c>
      <c r="G2478">
        <v>455587</v>
      </c>
      <c r="H2478" t="s">
        <v>6676</v>
      </c>
      <c r="I2478" t="s">
        <v>3131</v>
      </c>
      <c r="J2478">
        <v>26</v>
      </c>
      <c r="K2478">
        <v>4716</v>
      </c>
      <c r="L2478">
        <v>10001</v>
      </c>
      <c r="M2478" t="s">
        <v>3135</v>
      </c>
      <c r="N2478">
        <v>584</v>
      </c>
      <c r="O2478" s="2">
        <v>46197</v>
      </c>
      <c r="P2478" s="2">
        <v>46296</v>
      </c>
      <c r="R2478" t="s">
        <v>3179</v>
      </c>
      <c r="S2478" t="str">
        <f>"08.0576919"</f>
        <v>08.0576919</v>
      </c>
      <c r="T2478" t="s">
        <v>41</v>
      </c>
      <c r="U2478">
        <v>7807.23</v>
      </c>
      <c r="V2478">
        <v>7807.23</v>
      </c>
      <c r="W2478">
        <v>7807.23</v>
      </c>
      <c r="X2478">
        <v>0</v>
      </c>
      <c r="Y2478">
        <v>0</v>
      </c>
      <c r="Z2478">
        <v>-521</v>
      </c>
      <c r="AA2478">
        <v>691994</v>
      </c>
      <c r="AD2478" t="s">
        <v>3042</v>
      </c>
      <c r="AE2478">
        <v>1129678461</v>
      </c>
      <c r="AF2478" t="s">
        <v>3042</v>
      </c>
      <c r="AG2478">
        <v>75315333027651</v>
      </c>
      <c r="AH2478" t="s">
        <v>3024</v>
      </c>
    </row>
    <row r="2479" spans="1:34" x14ac:dyDescent="0.3">
      <c r="A2479">
        <v>101</v>
      </c>
      <c r="B2479" t="s">
        <v>34</v>
      </c>
      <c r="C2479">
        <v>4</v>
      </c>
      <c r="D2479" s="1" t="s">
        <v>6680</v>
      </c>
      <c r="E2479" t="s">
        <v>3134</v>
      </c>
      <c r="G2479">
        <v>458145</v>
      </c>
      <c r="H2479" t="s">
        <v>6681</v>
      </c>
      <c r="I2479" t="s">
        <v>3131</v>
      </c>
      <c r="J2479">
        <v>26</v>
      </c>
      <c r="K2479">
        <v>4716</v>
      </c>
      <c r="L2479">
        <v>10001</v>
      </c>
      <c r="M2479" t="s">
        <v>3135</v>
      </c>
      <c r="N2479">
        <v>584</v>
      </c>
      <c r="O2479" s="2">
        <v>46190</v>
      </c>
      <c r="P2479" s="2">
        <v>46281</v>
      </c>
      <c r="R2479" t="s">
        <v>3144</v>
      </c>
      <c r="S2479" t="str">
        <f>"07.0574661"</f>
        <v>07.0574661</v>
      </c>
      <c r="T2479" t="s">
        <v>41</v>
      </c>
      <c r="U2479">
        <v>318.45</v>
      </c>
      <c r="V2479">
        <v>318.45</v>
      </c>
      <c r="W2479">
        <v>318.45</v>
      </c>
      <c r="X2479">
        <v>0</v>
      </c>
      <c r="Y2479">
        <v>0</v>
      </c>
      <c r="Z2479">
        <v>-506</v>
      </c>
      <c r="AA2479">
        <v>691673</v>
      </c>
      <c r="AD2479" t="s">
        <v>6682</v>
      </c>
      <c r="AE2479" t="s">
        <v>6683</v>
      </c>
      <c r="AF2479" t="s">
        <v>6682</v>
      </c>
      <c r="AG2479">
        <v>75315333028461</v>
      </c>
      <c r="AH2479" t="s">
        <v>4609</v>
      </c>
    </row>
    <row r="2480" spans="1:34" x14ac:dyDescent="0.3">
      <c r="A2480">
        <v>101</v>
      </c>
      <c r="B2480" t="s">
        <v>34</v>
      </c>
      <c r="C2480">
        <v>4</v>
      </c>
      <c r="D2480" s="1" t="s">
        <v>6684</v>
      </c>
      <c r="E2480" t="s">
        <v>3134</v>
      </c>
      <c r="G2480">
        <v>458145</v>
      </c>
      <c r="H2480" t="s">
        <v>6681</v>
      </c>
      <c r="I2480" t="s">
        <v>3131</v>
      </c>
      <c r="J2480">
        <v>26</v>
      </c>
      <c r="K2480">
        <v>4716</v>
      </c>
      <c r="L2480">
        <v>10001</v>
      </c>
      <c r="M2480" t="s">
        <v>3135</v>
      </c>
      <c r="N2480">
        <v>584</v>
      </c>
      <c r="O2480" s="2">
        <v>46190</v>
      </c>
      <c r="P2480" s="2">
        <v>46281</v>
      </c>
      <c r="R2480" t="s">
        <v>3144</v>
      </c>
      <c r="S2480" t="str">
        <f>"07.0574661"</f>
        <v>07.0574661</v>
      </c>
      <c r="T2480" t="s">
        <v>41</v>
      </c>
      <c r="U2480">
        <v>9766.94</v>
      </c>
      <c r="V2480">
        <v>9766.94</v>
      </c>
      <c r="W2480">
        <v>9766.94</v>
      </c>
      <c r="X2480">
        <v>0</v>
      </c>
      <c r="Y2480">
        <v>0</v>
      </c>
      <c r="Z2480">
        <v>-506</v>
      </c>
      <c r="AA2480">
        <v>691617</v>
      </c>
      <c r="AD2480" t="s">
        <v>6682</v>
      </c>
      <c r="AE2480" t="s">
        <v>6683</v>
      </c>
      <c r="AF2480" t="s">
        <v>6682</v>
      </c>
      <c r="AG2480">
        <v>75315333028461</v>
      </c>
      <c r="AH2480" t="s">
        <v>4609</v>
      </c>
    </row>
    <row r="2481" spans="1:34" x14ac:dyDescent="0.3">
      <c r="A2481">
        <v>101</v>
      </c>
      <c r="B2481" t="s">
        <v>34</v>
      </c>
      <c r="C2481">
        <v>4</v>
      </c>
      <c r="D2481" s="1" t="s">
        <v>6685</v>
      </c>
      <c r="E2481" t="s">
        <v>3134</v>
      </c>
      <c r="G2481">
        <v>458146</v>
      </c>
      <c r="H2481" t="s">
        <v>6686</v>
      </c>
      <c r="I2481" t="s">
        <v>3131</v>
      </c>
      <c r="J2481">
        <v>26</v>
      </c>
      <c r="K2481">
        <v>4716</v>
      </c>
      <c r="L2481">
        <v>10001</v>
      </c>
      <c r="M2481" t="s">
        <v>3135</v>
      </c>
      <c r="N2481">
        <v>584</v>
      </c>
      <c r="O2481" s="2">
        <v>46190</v>
      </c>
      <c r="P2481" s="2">
        <v>46281</v>
      </c>
      <c r="R2481" t="s">
        <v>3144</v>
      </c>
      <c r="S2481" t="str">
        <f>"07.0574661"</f>
        <v>07.0574661</v>
      </c>
      <c r="T2481" t="s">
        <v>41</v>
      </c>
      <c r="U2481">
        <v>318.45</v>
      </c>
      <c r="V2481">
        <v>318.45</v>
      </c>
      <c r="W2481">
        <v>318.45</v>
      </c>
      <c r="X2481">
        <v>0</v>
      </c>
      <c r="Y2481">
        <v>0</v>
      </c>
      <c r="Z2481">
        <v>-506</v>
      </c>
      <c r="AA2481">
        <v>691671</v>
      </c>
      <c r="AD2481" t="s">
        <v>4606</v>
      </c>
      <c r="AE2481">
        <v>1129678461</v>
      </c>
      <c r="AF2481" t="s">
        <v>4606</v>
      </c>
      <c r="AG2481">
        <v>75315333028380</v>
      </c>
      <c r="AH2481" t="s">
        <v>4609</v>
      </c>
    </row>
    <row r="2482" spans="1:34" x14ac:dyDescent="0.3">
      <c r="A2482">
        <v>101</v>
      </c>
      <c r="B2482" t="s">
        <v>34</v>
      </c>
      <c r="C2482">
        <v>4</v>
      </c>
      <c r="D2482" s="1" t="s">
        <v>6687</v>
      </c>
      <c r="E2482" t="s">
        <v>3134</v>
      </c>
      <c r="G2482">
        <v>458146</v>
      </c>
      <c r="H2482" t="s">
        <v>6686</v>
      </c>
      <c r="I2482" t="s">
        <v>3131</v>
      </c>
      <c r="J2482">
        <v>26</v>
      </c>
      <c r="K2482">
        <v>4716</v>
      </c>
      <c r="L2482">
        <v>10001</v>
      </c>
      <c r="M2482" t="s">
        <v>3135</v>
      </c>
      <c r="N2482">
        <v>584</v>
      </c>
      <c r="O2482" s="2">
        <v>46190</v>
      </c>
      <c r="P2482" s="2">
        <v>46281</v>
      </c>
      <c r="R2482" t="s">
        <v>3144</v>
      </c>
      <c r="S2482" t="str">
        <f>"07.0574661"</f>
        <v>07.0574661</v>
      </c>
      <c r="T2482" t="s">
        <v>41</v>
      </c>
      <c r="U2482">
        <v>6415.15</v>
      </c>
      <c r="V2482">
        <v>6415.15</v>
      </c>
      <c r="W2482">
        <v>6415.15</v>
      </c>
      <c r="X2482">
        <v>0</v>
      </c>
      <c r="Y2482">
        <v>0</v>
      </c>
      <c r="Z2482">
        <v>-506</v>
      </c>
      <c r="AA2482">
        <v>691615</v>
      </c>
      <c r="AD2482" t="s">
        <v>4606</v>
      </c>
      <c r="AE2482">
        <v>1129678461</v>
      </c>
      <c r="AF2482" t="s">
        <v>4606</v>
      </c>
      <c r="AG2482">
        <v>75315333028380</v>
      </c>
      <c r="AH2482" t="s">
        <v>4609</v>
      </c>
    </row>
    <row r="2483" spans="1:34" x14ac:dyDescent="0.3">
      <c r="A2483">
        <v>101</v>
      </c>
      <c r="B2483" t="s">
        <v>34</v>
      </c>
      <c r="C2483">
        <v>4</v>
      </c>
      <c r="D2483" s="1" t="s">
        <v>6688</v>
      </c>
      <c r="E2483" t="s">
        <v>3134</v>
      </c>
      <c r="G2483">
        <v>459226</v>
      </c>
      <c r="H2483" t="s">
        <v>6689</v>
      </c>
      <c r="I2483" t="s">
        <v>3131</v>
      </c>
      <c r="J2483">
        <v>26</v>
      </c>
      <c r="K2483">
        <v>4716</v>
      </c>
      <c r="L2483">
        <v>10001</v>
      </c>
      <c r="M2483" t="s">
        <v>3135</v>
      </c>
      <c r="N2483">
        <v>584</v>
      </c>
      <c r="O2483" s="2">
        <v>46172</v>
      </c>
      <c r="P2483" s="2">
        <v>46281</v>
      </c>
      <c r="R2483" t="s">
        <v>3144</v>
      </c>
      <c r="S2483" t="str">
        <f>"07.0574661"</f>
        <v>07.0574661</v>
      </c>
      <c r="T2483" t="s">
        <v>41</v>
      </c>
      <c r="U2483">
        <v>3996</v>
      </c>
      <c r="V2483">
        <v>3996</v>
      </c>
      <c r="W2483">
        <v>3996</v>
      </c>
      <c r="X2483">
        <v>0</v>
      </c>
      <c r="Y2483">
        <v>0</v>
      </c>
      <c r="Z2483">
        <v>-506</v>
      </c>
      <c r="AA2483">
        <v>689597</v>
      </c>
      <c r="AD2483" t="s">
        <v>5642</v>
      </c>
      <c r="AE2483" t="s">
        <v>6690</v>
      </c>
      <c r="AF2483" t="s">
        <v>5642</v>
      </c>
      <c r="AG2483">
        <v>75315333030873</v>
      </c>
      <c r="AH2483" t="s">
        <v>5644</v>
      </c>
    </row>
    <row r="2484" spans="1:34" x14ac:dyDescent="0.3">
      <c r="A2484">
        <v>101</v>
      </c>
      <c r="B2484" t="s">
        <v>34</v>
      </c>
      <c r="C2484">
        <v>4</v>
      </c>
      <c r="D2484" s="1" t="s">
        <v>6691</v>
      </c>
      <c r="E2484" t="s">
        <v>3134</v>
      </c>
      <c r="G2484">
        <v>460151</v>
      </c>
      <c r="H2484" t="s">
        <v>6692</v>
      </c>
      <c r="I2484" t="s">
        <v>3131</v>
      </c>
      <c r="J2484">
        <v>26</v>
      </c>
      <c r="K2484">
        <v>4716</v>
      </c>
      <c r="L2484">
        <v>10001</v>
      </c>
      <c r="M2484" t="s">
        <v>3135</v>
      </c>
      <c r="N2484">
        <v>584</v>
      </c>
      <c r="O2484" s="2">
        <v>46197</v>
      </c>
      <c r="P2484" s="2">
        <v>46296</v>
      </c>
      <c r="R2484" t="s">
        <v>3179</v>
      </c>
      <c r="S2484" t="str">
        <f>"08.0576919"</f>
        <v>08.0576919</v>
      </c>
      <c r="T2484" t="s">
        <v>41</v>
      </c>
      <c r="U2484">
        <v>2508.3000000000002</v>
      </c>
      <c r="V2484">
        <v>2508.3000000000002</v>
      </c>
      <c r="W2484">
        <v>2508.3000000000002</v>
      </c>
      <c r="X2484">
        <v>0</v>
      </c>
      <c r="Y2484">
        <v>0</v>
      </c>
      <c r="Z2484">
        <v>-521</v>
      </c>
      <c r="AA2484">
        <v>692002</v>
      </c>
      <c r="AD2484" t="s">
        <v>6693</v>
      </c>
      <c r="AE2484" t="s">
        <v>6683</v>
      </c>
      <c r="AF2484" t="s">
        <v>6693</v>
      </c>
      <c r="AG2484">
        <v>75315333032655</v>
      </c>
      <c r="AH2484" t="s">
        <v>3024</v>
      </c>
    </row>
    <row r="2485" spans="1:34" x14ac:dyDescent="0.3">
      <c r="A2485">
        <v>101</v>
      </c>
      <c r="B2485" t="s">
        <v>34</v>
      </c>
      <c r="C2485">
        <v>4</v>
      </c>
      <c r="D2485" s="1" t="s">
        <v>6694</v>
      </c>
      <c r="E2485" t="s">
        <v>3134</v>
      </c>
      <c r="G2485">
        <v>460151</v>
      </c>
      <c r="H2485" t="s">
        <v>6692</v>
      </c>
      <c r="I2485" t="s">
        <v>3131</v>
      </c>
      <c r="J2485">
        <v>26</v>
      </c>
      <c r="K2485">
        <v>4716</v>
      </c>
      <c r="L2485">
        <v>10001</v>
      </c>
      <c r="M2485" t="s">
        <v>3135</v>
      </c>
      <c r="N2485">
        <v>584</v>
      </c>
      <c r="O2485" s="2">
        <v>46197</v>
      </c>
      <c r="P2485" s="2">
        <v>46296</v>
      </c>
      <c r="R2485" t="s">
        <v>3179</v>
      </c>
      <c r="S2485" t="str">
        <f>"08.0576919"</f>
        <v>08.0576919</v>
      </c>
      <c r="T2485" t="s">
        <v>41</v>
      </c>
      <c r="U2485">
        <v>393.72</v>
      </c>
      <c r="V2485">
        <v>393.72</v>
      </c>
      <c r="W2485">
        <v>393.72</v>
      </c>
      <c r="X2485">
        <v>0</v>
      </c>
      <c r="Y2485">
        <v>0</v>
      </c>
      <c r="Z2485">
        <v>-521</v>
      </c>
      <c r="AA2485">
        <v>692046</v>
      </c>
      <c r="AD2485" t="s">
        <v>6693</v>
      </c>
      <c r="AE2485" t="s">
        <v>6683</v>
      </c>
      <c r="AF2485" t="s">
        <v>6693</v>
      </c>
      <c r="AG2485">
        <v>75315333032655</v>
      </c>
      <c r="AH2485" t="s">
        <v>3024</v>
      </c>
    </row>
    <row r="2486" spans="1:34" x14ac:dyDescent="0.3">
      <c r="A2486">
        <v>104</v>
      </c>
      <c r="B2486" t="s">
        <v>34</v>
      </c>
      <c r="C2486">
        <v>4</v>
      </c>
      <c r="D2486" s="1" t="s">
        <v>6695</v>
      </c>
      <c r="E2486" s="1" t="s">
        <v>36</v>
      </c>
      <c r="G2486">
        <v>460153</v>
      </c>
      <c r="H2486" t="s">
        <v>6696</v>
      </c>
      <c r="I2486" t="s">
        <v>3131</v>
      </c>
      <c r="J2486">
        <v>26</v>
      </c>
      <c r="K2486">
        <v>4716</v>
      </c>
      <c r="L2486">
        <v>95000</v>
      </c>
      <c r="M2486" t="s">
        <v>69</v>
      </c>
      <c r="N2486">
        <v>584</v>
      </c>
      <c r="O2486" s="2">
        <v>46211</v>
      </c>
      <c r="P2486" s="2">
        <v>46328</v>
      </c>
      <c r="R2486" t="s">
        <v>6697</v>
      </c>
      <c r="S2486" t="str">
        <f>""</f>
        <v/>
      </c>
      <c r="T2486" t="s">
        <v>41</v>
      </c>
      <c r="U2486">
        <v>2997.99</v>
      </c>
      <c r="V2486">
        <v>2893.06</v>
      </c>
      <c r="W2486">
        <v>2893.06</v>
      </c>
      <c r="X2486">
        <v>0</v>
      </c>
      <c r="Y2486">
        <v>0</v>
      </c>
      <c r="Z2486">
        <v>-553</v>
      </c>
      <c r="AA2486">
        <v>693955</v>
      </c>
      <c r="AD2486" t="s">
        <v>6698</v>
      </c>
      <c r="AE2486">
        <v>1129678461</v>
      </c>
      <c r="AF2486" t="s">
        <v>6698</v>
      </c>
      <c r="AG2486">
        <v>75315333033627</v>
      </c>
      <c r="AH2486" t="s">
        <v>3698</v>
      </c>
    </row>
    <row r="2487" spans="1:34" x14ac:dyDescent="0.3">
      <c r="A2487">
        <v>104</v>
      </c>
      <c r="B2487" t="s">
        <v>34</v>
      </c>
      <c r="C2487">
        <v>4</v>
      </c>
      <c r="D2487" s="1" t="s">
        <v>6695</v>
      </c>
      <c r="E2487" s="1" t="s">
        <v>122</v>
      </c>
      <c r="G2487">
        <v>460153</v>
      </c>
      <c r="H2487" t="s">
        <v>6696</v>
      </c>
      <c r="I2487" t="s">
        <v>3131</v>
      </c>
      <c r="J2487">
        <v>26</v>
      </c>
      <c r="K2487">
        <v>4716</v>
      </c>
      <c r="L2487">
        <v>95000</v>
      </c>
      <c r="M2487" t="s">
        <v>69</v>
      </c>
      <c r="N2487">
        <v>584</v>
      </c>
      <c r="O2487" s="2">
        <v>46223</v>
      </c>
      <c r="P2487" s="2">
        <v>46305</v>
      </c>
      <c r="R2487" t="s">
        <v>6268</v>
      </c>
      <c r="S2487" t="str">
        <f>""</f>
        <v/>
      </c>
      <c r="T2487" t="s">
        <v>41</v>
      </c>
      <c r="U2487">
        <v>585.75</v>
      </c>
      <c r="V2487">
        <v>585.75</v>
      </c>
      <c r="W2487">
        <v>585.75</v>
      </c>
      <c r="X2487">
        <v>0</v>
      </c>
      <c r="Y2487">
        <v>0</v>
      </c>
      <c r="Z2487">
        <v>-530</v>
      </c>
      <c r="AC2487" t="s">
        <v>6269</v>
      </c>
      <c r="AD2487" t="s">
        <v>6698</v>
      </c>
      <c r="AE2487">
        <v>1129678461</v>
      </c>
      <c r="AF2487" t="s">
        <v>6698</v>
      </c>
      <c r="AG2487">
        <v>75315333033627</v>
      </c>
      <c r="AH2487" t="s">
        <v>3698</v>
      </c>
    </row>
    <row r="2488" spans="1:34" x14ac:dyDescent="0.3">
      <c r="A2488">
        <v>104</v>
      </c>
      <c r="B2488" t="s">
        <v>34</v>
      </c>
      <c r="C2488">
        <v>4</v>
      </c>
      <c r="D2488" s="1" t="s">
        <v>6699</v>
      </c>
      <c r="E2488" s="1" t="s">
        <v>36</v>
      </c>
      <c r="G2488">
        <v>460153</v>
      </c>
      <c r="H2488" t="s">
        <v>6696</v>
      </c>
      <c r="I2488" t="s">
        <v>3131</v>
      </c>
      <c r="J2488">
        <v>26</v>
      </c>
      <c r="K2488">
        <v>4716</v>
      </c>
      <c r="L2488">
        <v>95000</v>
      </c>
      <c r="M2488" t="s">
        <v>69</v>
      </c>
      <c r="N2488">
        <v>584</v>
      </c>
      <c r="O2488" s="2">
        <v>46211</v>
      </c>
      <c r="P2488" s="2">
        <v>46328</v>
      </c>
      <c r="R2488" t="s">
        <v>6700</v>
      </c>
      <c r="S2488" t="str">
        <f>""</f>
        <v/>
      </c>
      <c r="T2488" t="s">
        <v>41</v>
      </c>
      <c r="U2488">
        <v>18776.349999999999</v>
      </c>
      <c r="V2488">
        <v>18119.18</v>
      </c>
      <c r="W2488">
        <v>18119.18</v>
      </c>
      <c r="X2488">
        <v>0</v>
      </c>
      <c r="Y2488">
        <v>0</v>
      </c>
      <c r="Z2488">
        <v>-553</v>
      </c>
      <c r="AA2488">
        <v>694013</v>
      </c>
      <c r="AD2488" t="s">
        <v>6698</v>
      </c>
      <c r="AE2488">
        <v>1129678461</v>
      </c>
      <c r="AF2488" t="s">
        <v>6698</v>
      </c>
      <c r="AG2488">
        <v>75315333033627</v>
      </c>
      <c r="AH2488" t="s">
        <v>3698</v>
      </c>
    </row>
    <row r="2489" spans="1:34" x14ac:dyDescent="0.3">
      <c r="A2489">
        <v>104</v>
      </c>
      <c r="B2489" t="s">
        <v>34</v>
      </c>
      <c r="C2489">
        <v>4</v>
      </c>
      <c r="D2489" s="1" t="s">
        <v>6701</v>
      </c>
      <c r="E2489" s="1" t="s">
        <v>36</v>
      </c>
      <c r="G2489">
        <v>461171</v>
      </c>
      <c r="H2489" t="s">
        <v>6702</v>
      </c>
      <c r="I2489" t="s">
        <v>3222</v>
      </c>
      <c r="J2489">
        <v>26</v>
      </c>
      <c r="K2489">
        <v>4716</v>
      </c>
      <c r="L2489">
        <v>95000</v>
      </c>
      <c r="M2489" t="s">
        <v>69</v>
      </c>
      <c r="N2489">
        <v>584</v>
      </c>
      <c r="O2489" s="2">
        <v>46238</v>
      </c>
      <c r="P2489" s="2">
        <v>46328</v>
      </c>
      <c r="R2489" t="s">
        <v>6703</v>
      </c>
      <c r="S2489" t="str">
        <f>""</f>
        <v/>
      </c>
      <c r="T2489" t="s">
        <v>41</v>
      </c>
      <c r="U2489">
        <v>3876.32</v>
      </c>
      <c r="V2489">
        <v>3740.65</v>
      </c>
      <c r="W2489">
        <v>3740.65</v>
      </c>
      <c r="X2489">
        <v>0</v>
      </c>
      <c r="Y2489">
        <v>0</v>
      </c>
      <c r="Z2489">
        <v>-553</v>
      </c>
      <c r="AA2489">
        <v>696137</v>
      </c>
      <c r="AD2489" t="s">
        <v>6704</v>
      </c>
      <c r="AF2489" t="s">
        <v>6704</v>
      </c>
      <c r="AG2489">
        <v>93209765008878</v>
      </c>
      <c r="AH2489" t="s">
        <v>5494</v>
      </c>
    </row>
    <row r="2490" spans="1:34" x14ac:dyDescent="0.3">
      <c r="A2490">
        <v>101</v>
      </c>
      <c r="B2490" t="s">
        <v>34</v>
      </c>
      <c r="C2490">
        <v>4</v>
      </c>
      <c r="D2490" s="1" t="s">
        <v>6705</v>
      </c>
      <c r="E2490" t="s">
        <v>3134</v>
      </c>
      <c r="G2490">
        <v>461232</v>
      </c>
      <c r="H2490" t="s">
        <v>6706</v>
      </c>
      <c r="I2490" t="s">
        <v>3222</v>
      </c>
      <c r="J2490">
        <v>26</v>
      </c>
      <c r="K2490">
        <v>4716</v>
      </c>
      <c r="L2490">
        <v>10001</v>
      </c>
      <c r="M2490" t="s">
        <v>3135</v>
      </c>
      <c r="N2490">
        <v>584</v>
      </c>
      <c r="O2490" s="2">
        <v>46183</v>
      </c>
      <c r="P2490" s="2">
        <v>46296</v>
      </c>
      <c r="R2490" t="s">
        <v>3304</v>
      </c>
      <c r="S2490" t="str">
        <f>"07.0574701"</f>
        <v>07.0574701</v>
      </c>
      <c r="T2490" t="s">
        <v>41</v>
      </c>
      <c r="U2490">
        <v>2038.08</v>
      </c>
      <c r="V2490">
        <v>2038.08</v>
      </c>
      <c r="W2490">
        <v>2038.08</v>
      </c>
      <c r="X2490">
        <v>0</v>
      </c>
      <c r="Y2490">
        <v>0</v>
      </c>
      <c r="Z2490">
        <v>-521</v>
      </c>
      <c r="AA2490">
        <v>688545</v>
      </c>
      <c r="AD2490" t="s">
        <v>6320</v>
      </c>
      <c r="AE2490">
        <v>5133494540</v>
      </c>
      <c r="AF2490" t="s">
        <v>6320</v>
      </c>
      <c r="AG2490">
        <v>93209765043606</v>
      </c>
      <c r="AH2490" t="s">
        <v>3520</v>
      </c>
    </row>
    <row r="2491" spans="1:34" x14ac:dyDescent="0.3">
      <c r="A2491">
        <v>104</v>
      </c>
      <c r="B2491" t="s">
        <v>34</v>
      </c>
      <c r="C2491">
        <v>4</v>
      </c>
      <c r="D2491" s="1" t="s">
        <v>6707</v>
      </c>
      <c r="E2491" s="1" t="s">
        <v>36</v>
      </c>
      <c r="G2491">
        <v>461232</v>
      </c>
      <c r="H2491" t="s">
        <v>6706</v>
      </c>
      <c r="I2491" t="s">
        <v>3222</v>
      </c>
      <c r="J2491">
        <v>26</v>
      </c>
      <c r="K2491">
        <v>4716</v>
      </c>
      <c r="L2491">
        <v>95000</v>
      </c>
      <c r="M2491" t="s">
        <v>69</v>
      </c>
      <c r="N2491">
        <v>584</v>
      </c>
      <c r="O2491" s="2">
        <v>46160</v>
      </c>
      <c r="P2491" s="2">
        <v>46266</v>
      </c>
      <c r="R2491" t="s">
        <v>6708</v>
      </c>
      <c r="S2491" t="str">
        <f>""</f>
        <v/>
      </c>
      <c r="T2491" t="s">
        <v>41</v>
      </c>
      <c r="U2491">
        <v>19022.830000000002</v>
      </c>
      <c r="V2491">
        <v>18357.03</v>
      </c>
      <c r="W2491">
        <v>18357.03</v>
      </c>
      <c r="X2491">
        <v>0</v>
      </c>
      <c r="Y2491">
        <v>0</v>
      </c>
      <c r="Z2491">
        <v>-491</v>
      </c>
      <c r="AA2491">
        <v>688545</v>
      </c>
      <c r="AD2491" t="s">
        <v>6320</v>
      </c>
      <c r="AE2491">
        <v>5133494540</v>
      </c>
      <c r="AF2491" t="s">
        <v>6320</v>
      </c>
      <c r="AG2491">
        <v>93209765043606</v>
      </c>
      <c r="AH2491" t="s">
        <v>3520</v>
      </c>
    </row>
    <row r="2492" spans="1:34" x14ac:dyDescent="0.3">
      <c r="A2492">
        <v>104</v>
      </c>
      <c r="B2492" t="s">
        <v>34</v>
      </c>
      <c r="C2492">
        <v>4</v>
      </c>
      <c r="D2492" s="1" t="s">
        <v>6709</v>
      </c>
      <c r="E2492" s="1" t="s">
        <v>36</v>
      </c>
      <c r="G2492">
        <v>461232</v>
      </c>
      <c r="H2492" t="s">
        <v>6706</v>
      </c>
      <c r="I2492" t="s">
        <v>3222</v>
      </c>
      <c r="J2492">
        <v>26</v>
      </c>
      <c r="K2492">
        <v>4716</v>
      </c>
      <c r="L2492">
        <v>95000</v>
      </c>
      <c r="M2492" t="s">
        <v>69</v>
      </c>
      <c r="N2492">
        <v>584</v>
      </c>
      <c r="O2492" s="2">
        <v>46251</v>
      </c>
      <c r="P2492" s="2">
        <v>46321</v>
      </c>
      <c r="R2492" t="s">
        <v>6710</v>
      </c>
      <c r="S2492" t="str">
        <f>""</f>
        <v/>
      </c>
      <c r="T2492" t="s">
        <v>41</v>
      </c>
      <c r="U2492">
        <v>20822.509999999998</v>
      </c>
      <c r="V2492">
        <v>19260.82</v>
      </c>
      <c r="W2492">
        <v>19260.82</v>
      </c>
      <c r="X2492">
        <v>0</v>
      </c>
      <c r="Y2492">
        <v>0</v>
      </c>
      <c r="Z2492">
        <v>-546</v>
      </c>
      <c r="AA2492">
        <v>696885</v>
      </c>
      <c r="AD2492" t="s">
        <v>6320</v>
      </c>
      <c r="AE2492">
        <v>5133494540</v>
      </c>
      <c r="AF2492" t="s">
        <v>6320</v>
      </c>
      <c r="AG2492">
        <v>93209765043606</v>
      </c>
      <c r="AH2492" t="s">
        <v>3520</v>
      </c>
    </row>
    <row r="2493" spans="1:34" x14ac:dyDescent="0.3">
      <c r="A2493">
        <v>104</v>
      </c>
      <c r="B2493" t="s">
        <v>34</v>
      </c>
      <c r="C2493">
        <v>4</v>
      </c>
      <c r="D2493" s="1" t="s">
        <v>6711</v>
      </c>
      <c r="E2493" s="1" t="s">
        <v>36</v>
      </c>
      <c r="G2493">
        <v>461233</v>
      </c>
      <c r="H2493" t="s">
        <v>6712</v>
      </c>
      <c r="I2493" t="s">
        <v>3222</v>
      </c>
      <c r="J2493">
        <v>26</v>
      </c>
      <c r="K2493">
        <v>4716</v>
      </c>
      <c r="L2493">
        <v>95000</v>
      </c>
      <c r="M2493" t="s">
        <v>69</v>
      </c>
      <c r="N2493">
        <v>584</v>
      </c>
      <c r="O2493" s="2">
        <v>46251</v>
      </c>
      <c r="P2493" s="2">
        <v>46321</v>
      </c>
      <c r="R2493" t="s">
        <v>6713</v>
      </c>
      <c r="S2493" t="str">
        <f>""</f>
        <v/>
      </c>
      <c r="T2493" t="s">
        <v>41</v>
      </c>
      <c r="U2493">
        <v>5255.21</v>
      </c>
      <c r="V2493">
        <v>4861.07</v>
      </c>
      <c r="W2493">
        <v>4861.07</v>
      </c>
      <c r="X2493">
        <v>0</v>
      </c>
      <c r="Y2493">
        <v>0</v>
      </c>
      <c r="Z2493">
        <v>-546</v>
      </c>
      <c r="AA2493">
        <v>696887</v>
      </c>
      <c r="AD2493" t="s">
        <v>3518</v>
      </c>
      <c r="AE2493">
        <v>5133494540</v>
      </c>
      <c r="AF2493" t="s">
        <v>3518</v>
      </c>
      <c r="AG2493">
        <v>93209765033473</v>
      </c>
      <c r="AH2493" t="s">
        <v>3520</v>
      </c>
    </row>
    <row r="2494" spans="1:34" x14ac:dyDescent="0.3">
      <c r="A2494">
        <v>104</v>
      </c>
      <c r="B2494" t="s">
        <v>34</v>
      </c>
      <c r="C2494">
        <v>4</v>
      </c>
      <c r="D2494" s="1" t="s">
        <v>6714</v>
      </c>
      <c r="E2494" s="1" t="s">
        <v>36</v>
      </c>
      <c r="G2494">
        <v>461235</v>
      </c>
      <c r="H2494" t="s">
        <v>6715</v>
      </c>
      <c r="I2494" t="s">
        <v>3222</v>
      </c>
      <c r="J2494">
        <v>26</v>
      </c>
      <c r="K2494">
        <v>4716</v>
      </c>
      <c r="L2494">
        <v>95000</v>
      </c>
      <c r="M2494" t="s">
        <v>69</v>
      </c>
      <c r="N2494">
        <v>584</v>
      </c>
      <c r="O2494" s="2">
        <v>46160</v>
      </c>
      <c r="P2494" s="2">
        <v>46266</v>
      </c>
      <c r="R2494" t="s">
        <v>6716</v>
      </c>
      <c r="S2494" t="str">
        <f>""</f>
        <v/>
      </c>
      <c r="T2494" t="s">
        <v>41</v>
      </c>
      <c r="U2494">
        <v>19174.38</v>
      </c>
      <c r="V2494">
        <v>18503.28</v>
      </c>
      <c r="W2494">
        <v>18503.28</v>
      </c>
      <c r="X2494">
        <v>0</v>
      </c>
      <c r="Y2494">
        <v>0</v>
      </c>
      <c r="Z2494">
        <v>-491</v>
      </c>
      <c r="AA2494">
        <v>688551</v>
      </c>
      <c r="AD2494" t="s">
        <v>5008</v>
      </c>
      <c r="AE2494">
        <v>5133494540</v>
      </c>
      <c r="AF2494" t="s">
        <v>5008</v>
      </c>
      <c r="AG2494">
        <v>93209765040682</v>
      </c>
      <c r="AH2494" t="s">
        <v>3530</v>
      </c>
    </row>
    <row r="2495" spans="1:34" x14ac:dyDescent="0.3">
      <c r="A2495">
        <v>101</v>
      </c>
      <c r="B2495" t="s">
        <v>34</v>
      </c>
      <c r="C2495">
        <v>4</v>
      </c>
      <c r="D2495" s="1" t="s">
        <v>6717</v>
      </c>
      <c r="E2495" t="s">
        <v>3134</v>
      </c>
      <c r="G2495">
        <v>461235</v>
      </c>
      <c r="H2495" t="s">
        <v>6715</v>
      </c>
      <c r="I2495" t="s">
        <v>3222</v>
      </c>
      <c r="J2495">
        <v>26</v>
      </c>
      <c r="K2495">
        <v>4716</v>
      </c>
      <c r="L2495">
        <v>10001</v>
      </c>
      <c r="M2495" t="s">
        <v>3135</v>
      </c>
      <c r="N2495">
        <v>584</v>
      </c>
      <c r="O2495" s="2">
        <v>46183</v>
      </c>
      <c r="P2495" s="2">
        <v>46281</v>
      </c>
      <c r="R2495" t="s">
        <v>3304</v>
      </c>
      <c r="S2495" t="str">
        <f>"07.0574701"</f>
        <v>07.0574701</v>
      </c>
      <c r="T2495" t="s">
        <v>41</v>
      </c>
      <c r="U2495">
        <v>2038.08</v>
      </c>
      <c r="V2495">
        <v>2038.08</v>
      </c>
      <c r="W2495">
        <v>2038.08</v>
      </c>
      <c r="X2495">
        <v>0</v>
      </c>
      <c r="Y2495">
        <v>0</v>
      </c>
      <c r="Z2495">
        <v>-506</v>
      </c>
      <c r="AA2495">
        <v>688551</v>
      </c>
      <c r="AD2495" t="s">
        <v>5008</v>
      </c>
      <c r="AE2495">
        <v>5133494540</v>
      </c>
      <c r="AF2495" t="s">
        <v>5008</v>
      </c>
      <c r="AG2495">
        <v>93209765040682</v>
      </c>
      <c r="AH2495" t="s">
        <v>3530</v>
      </c>
    </row>
    <row r="2496" spans="1:34" x14ac:dyDescent="0.3">
      <c r="A2496">
        <v>101</v>
      </c>
      <c r="B2496" t="s">
        <v>34</v>
      </c>
      <c r="C2496">
        <v>4</v>
      </c>
      <c r="D2496" s="1" t="s">
        <v>6718</v>
      </c>
      <c r="E2496" t="s">
        <v>3134</v>
      </c>
      <c r="G2496">
        <v>461346</v>
      </c>
      <c r="H2496" t="s">
        <v>6719</v>
      </c>
      <c r="I2496" t="s">
        <v>3222</v>
      </c>
      <c r="J2496">
        <v>26</v>
      </c>
      <c r="K2496">
        <v>4716</v>
      </c>
      <c r="L2496">
        <v>10001</v>
      </c>
      <c r="M2496" t="s">
        <v>3135</v>
      </c>
      <c r="N2496">
        <v>584</v>
      </c>
      <c r="O2496" s="2">
        <v>46183</v>
      </c>
      <c r="P2496" s="2">
        <v>46281</v>
      </c>
      <c r="R2496" t="s">
        <v>3304</v>
      </c>
      <c r="S2496" t="str">
        <f>"07.0574701"</f>
        <v>07.0574701</v>
      </c>
      <c r="T2496" t="s">
        <v>41</v>
      </c>
      <c r="U2496">
        <v>2038.08</v>
      </c>
      <c r="V2496">
        <v>2038.08</v>
      </c>
      <c r="W2496">
        <v>2038.08</v>
      </c>
      <c r="X2496">
        <v>0</v>
      </c>
      <c r="Y2496">
        <v>0</v>
      </c>
      <c r="Z2496">
        <v>-506</v>
      </c>
      <c r="AA2496">
        <v>688549</v>
      </c>
      <c r="AD2496" t="s">
        <v>4310</v>
      </c>
      <c r="AE2496">
        <v>5133494540</v>
      </c>
      <c r="AF2496" t="s">
        <v>4310</v>
      </c>
      <c r="AG2496">
        <v>93209765053075</v>
      </c>
      <c r="AH2496" t="s">
        <v>3520</v>
      </c>
    </row>
    <row r="2497" spans="1:34" x14ac:dyDescent="0.3">
      <c r="A2497">
        <v>104</v>
      </c>
      <c r="B2497" t="s">
        <v>34</v>
      </c>
      <c r="C2497">
        <v>4</v>
      </c>
      <c r="D2497" s="1" t="s">
        <v>6720</v>
      </c>
      <c r="E2497" s="1" t="s">
        <v>36</v>
      </c>
      <c r="G2497">
        <v>461346</v>
      </c>
      <c r="H2497" t="s">
        <v>6719</v>
      </c>
      <c r="I2497" t="s">
        <v>3222</v>
      </c>
      <c r="J2497">
        <v>26</v>
      </c>
      <c r="K2497">
        <v>4716</v>
      </c>
      <c r="L2497">
        <v>95000</v>
      </c>
      <c r="M2497" t="s">
        <v>69</v>
      </c>
      <c r="N2497">
        <v>584</v>
      </c>
      <c r="O2497" s="2">
        <v>46251</v>
      </c>
      <c r="P2497" s="2">
        <v>46321</v>
      </c>
      <c r="R2497" t="s">
        <v>6721</v>
      </c>
      <c r="S2497" t="str">
        <f>""</f>
        <v/>
      </c>
      <c r="T2497" t="s">
        <v>41</v>
      </c>
      <c r="U2497">
        <v>19451.349999999999</v>
      </c>
      <c r="V2497">
        <v>17992.5</v>
      </c>
      <c r="W2497">
        <v>17992.5</v>
      </c>
      <c r="X2497">
        <v>0</v>
      </c>
      <c r="Y2497">
        <v>0</v>
      </c>
      <c r="Z2497">
        <v>-546</v>
      </c>
      <c r="AA2497">
        <v>696889</v>
      </c>
      <c r="AD2497" t="s">
        <v>4310</v>
      </c>
      <c r="AE2497">
        <v>5133494540</v>
      </c>
      <c r="AF2497" t="s">
        <v>4310</v>
      </c>
      <c r="AG2497">
        <v>93209765053075</v>
      </c>
      <c r="AH2497" t="s">
        <v>3520</v>
      </c>
    </row>
    <row r="2498" spans="1:34" x14ac:dyDescent="0.3">
      <c r="A2498">
        <v>101</v>
      </c>
      <c r="B2498" t="s">
        <v>34</v>
      </c>
      <c r="C2498">
        <v>4</v>
      </c>
      <c r="D2498" s="1" t="s">
        <v>6722</v>
      </c>
      <c r="E2498" t="s">
        <v>3134</v>
      </c>
      <c r="G2498">
        <v>462432</v>
      </c>
      <c r="H2498" t="s">
        <v>6723</v>
      </c>
      <c r="I2498" t="s">
        <v>3131</v>
      </c>
      <c r="J2498">
        <v>26</v>
      </c>
      <c r="K2498">
        <v>4716</v>
      </c>
      <c r="L2498">
        <v>10001</v>
      </c>
      <c r="M2498" t="s">
        <v>3135</v>
      </c>
      <c r="N2498">
        <v>584</v>
      </c>
      <c r="O2498" s="2">
        <v>46172</v>
      </c>
      <c r="P2498" s="2">
        <v>46266</v>
      </c>
      <c r="R2498" t="s">
        <v>3136</v>
      </c>
      <c r="S2498" t="str">
        <f>"07.0572790"</f>
        <v>07.0572790</v>
      </c>
      <c r="T2498" t="s">
        <v>41</v>
      </c>
      <c r="U2498">
        <v>10273.219999999999</v>
      </c>
      <c r="V2498">
        <v>10273.219999999999</v>
      </c>
      <c r="W2498">
        <v>10273.219999999999</v>
      </c>
      <c r="X2498">
        <v>0</v>
      </c>
      <c r="Y2498">
        <v>0</v>
      </c>
      <c r="Z2498">
        <v>-491</v>
      </c>
      <c r="AA2498">
        <v>689380</v>
      </c>
      <c r="AD2498" t="s">
        <v>4751</v>
      </c>
      <c r="AF2498" t="s">
        <v>4751</v>
      </c>
      <c r="AG2498">
        <v>75315333032060</v>
      </c>
      <c r="AH2498" t="s">
        <v>4754</v>
      </c>
    </row>
    <row r="2499" spans="1:34" x14ac:dyDescent="0.3">
      <c r="A2499">
        <v>104</v>
      </c>
      <c r="B2499" t="s">
        <v>34</v>
      </c>
      <c r="C2499">
        <v>4</v>
      </c>
      <c r="D2499" s="1" t="s">
        <v>6724</v>
      </c>
      <c r="E2499" s="1" t="s">
        <v>36</v>
      </c>
      <c r="G2499">
        <v>462432</v>
      </c>
      <c r="H2499" t="s">
        <v>6723</v>
      </c>
      <c r="I2499" t="s">
        <v>3131</v>
      </c>
      <c r="J2499">
        <v>26</v>
      </c>
      <c r="K2499">
        <v>4716</v>
      </c>
      <c r="L2499">
        <v>95000</v>
      </c>
      <c r="M2499" t="s">
        <v>69</v>
      </c>
      <c r="N2499">
        <v>584</v>
      </c>
      <c r="O2499" s="2">
        <v>46233</v>
      </c>
      <c r="P2499" s="2">
        <v>46303</v>
      </c>
      <c r="R2499" t="s">
        <v>6725</v>
      </c>
      <c r="S2499" t="str">
        <f>""</f>
        <v/>
      </c>
      <c r="T2499" t="s">
        <v>41</v>
      </c>
      <c r="U2499">
        <v>13909.4</v>
      </c>
      <c r="V2499">
        <v>13422.57</v>
      </c>
      <c r="W2499">
        <v>13422.57</v>
      </c>
      <c r="X2499">
        <v>0</v>
      </c>
      <c r="Y2499">
        <v>0</v>
      </c>
      <c r="Z2499">
        <v>-528</v>
      </c>
      <c r="AA2499">
        <v>695531</v>
      </c>
      <c r="AD2499" t="s">
        <v>4751</v>
      </c>
      <c r="AF2499" t="s">
        <v>4751</v>
      </c>
      <c r="AG2499">
        <v>75315333032060</v>
      </c>
      <c r="AH2499" t="s">
        <v>4754</v>
      </c>
    </row>
    <row r="2500" spans="1:34" x14ac:dyDescent="0.3">
      <c r="A2500">
        <v>104</v>
      </c>
      <c r="B2500" t="s">
        <v>34</v>
      </c>
      <c r="C2500">
        <v>4</v>
      </c>
      <c r="D2500" s="1" t="s">
        <v>6726</v>
      </c>
      <c r="E2500" s="1" t="s">
        <v>36</v>
      </c>
      <c r="G2500">
        <v>462500</v>
      </c>
      <c r="H2500" t="s">
        <v>6727</v>
      </c>
      <c r="I2500" t="s">
        <v>3131</v>
      </c>
      <c r="J2500">
        <v>26</v>
      </c>
      <c r="K2500">
        <v>4716</v>
      </c>
      <c r="L2500">
        <v>95000</v>
      </c>
      <c r="M2500" t="s">
        <v>69</v>
      </c>
      <c r="N2500">
        <v>584</v>
      </c>
      <c r="O2500" s="2">
        <v>46233</v>
      </c>
      <c r="P2500" s="2">
        <v>46303</v>
      </c>
      <c r="R2500" t="s">
        <v>6728</v>
      </c>
      <c r="S2500" t="str">
        <f>""</f>
        <v/>
      </c>
      <c r="T2500" t="s">
        <v>41</v>
      </c>
      <c r="U2500">
        <v>10097.93</v>
      </c>
      <c r="V2500">
        <v>9744.5</v>
      </c>
      <c r="W2500">
        <v>9744.5</v>
      </c>
      <c r="X2500">
        <v>0</v>
      </c>
      <c r="Y2500">
        <v>0</v>
      </c>
      <c r="Z2500">
        <v>-528</v>
      </c>
      <c r="AA2500">
        <v>695535</v>
      </c>
      <c r="AD2500" t="s">
        <v>4751</v>
      </c>
      <c r="AE2500" s="1" t="s">
        <v>6391</v>
      </c>
      <c r="AF2500" t="s">
        <v>4751</v>
      </c>
      <c r="AG2500">
        <v>75315333035085</v>
      </c>
      <c r="AH2500" t="s">
        <v>4754</v>
      </c>
    </row>
    <row r="2501" spans="1:34" x14ac:dyDescent="0.3">
      <c r="A2501">
        <v>101</v>
      </c>
      <c r="B2501" t="s">
        <v>34</v>
      </c>
      <c r="C2501">
        <v>4</v>
      </c>
      <c r="D2501" s="1" t="s">
        <v>6729</v>
      </c>
      <c r="E2501" t="s">
        <v>3134</v>
      </c>
      <c r="G2501">
        <v>462500</v>
      </c>
      <c r="H2501" t="s">
        <v>6727</v>
      </c>
      <c r="I2501" t="s">
        <v>3131</v>
      </c>
      <c r="J2501">
        <v>26</v>
      </c>
      <c r="K2501">
        <v>4716</v>
      </c>
      <c r="L2501">
        <v>10001</v>
      </c>
      <c r="M2501" t="s">
        <v>3135</v>
      </c>
      <c r="N2501">
        <v>584</v>
      </c>
      <c r="O2501" s="2">
        <v>46172</v>
      </c>
      <c r="P2501" s="2">
        <v>46266</v>
      </c>
      <c r="R2501" t="s">
        <v>3136</v>
      </c>
      <c r="S2501" t="str">
        <f>"07.0572790"</f>
        <v>07.0572790</v>
      </c>
      <c r="T2501" t="s">
        <v>41</v>
      </c>
      <c r="U2501">
        <v>7786.2</v>
      </c>
      <c r="V2501">
        <v>7786.2</v>
      </c>
      <c r="W2501">
        <v>7786.2</v>
      </c>
      <c r="X2501">
        <v>0</v>
      </c>
      <c r="Y2501">
        <v>0</v>
      </c>
      <c r="Z2501">
        <v>-491</v>
      </c>
      <c r="AA2501">
        <v>689384</v>
      </c>
      <c r="AD2501" t="s">
        <v>4751</v>
      </c>
      <c r="AE2501" s="1" t="s">
        <v>6391</v>
      </c>
      <c r="AF2501" t="s">
        <v>4751</v>
      </c>
      <c r="AG2501">
        <v>75315333035085</v>
      </c>
      <c r="AH2501" t="s">
        <v>4754</v>
      </c>
    </row>
    <row r="2502" spans="1:34" x14ac:dyDescent="0.3">
      <c r="A2502">
        <v>101</v>
      </c>
      <c r="B2502" t="s">
        <v>34</v>
      </c>
      <c r="C2502">
        <v>4</v>
      </c>
      <c r="D2502" s="1" t="s">
        <v>6730</v>
      </c>
      <c r="E2502" t="s">
        <v>3134</v>
      </c>
      <c r="G2502">
        <v>462501</v>
      </c>
      <c r="H2502" t="s">
        <v>6731</v>
      </c>
      <c r="I2502" t="s">
        <v>3131</v>
      </c>
      <c r="J2502">
        <v>26</v>
      </c>
      <c r="K2502">
        <v>4716</v>
      </c>
      <c r="L2502">
        <v>10001</v>
      </c>
      <c r="M2502" t="s">
        <v>3135</v>
      </c>
      <c r="N2502">
        <v>584</v>
      </c>
      <c r="O2502" s="2">
        <v>46172</v>
      </c>
      <c r="P2502" s="2">
        <v>46266</v>
      </c>
      <c r="R2502" t="s">
        <v>3136</v>
      </c>
      <c r="S2502" t="str">
        <f>"07.0572790"</f>
        <v>07.0572790</v>
      </c>
      <c r="T2502" t="s">
        <v>41</v>
      </c>
      <c r="U2502">
        <v>5499.48</v>
      </c>
      <c r="V2502">
        <v>5499.48</v>
      </c>
      <c r="W2502">
        <v>5499.48</v>
      </c>
      <c r="X2502">
        <v>0</v>
      </c>
      <c r="Y2502">
        <v>0</v>
      </c>
      <c r="Z2502">
        <v>-491</v>
      </c>
      <c r="AA2502">
        <v>689382</v>
      </c>
      <c r="AD2502" t="s">
        <v>4751</v>
      </c>
      <c r="AE2502" s="1" t="s">
        <v>6391</v>
      </c>
      <c r="AF2502" t="s">
        <v>4751</v>
      </c>
      <c r="AG2502">
        <v>75315333034356</v>
      </c>
      <c r="AH2502" t="s">
        <v>4754</v>
      </c>
    </row>
    <row r="2503" spans="1:34" x14ac:dyDescent="0.3">
      <c r="A2503">
        <v>104</v>
      </c>
      <c r="B2503" t="s">
        <v>34</v>
      </c>
      <c r="C2503">
        <v>4</v>
      </c>
      <c r="D2503" s="1" t="s">
        <v>6732</v>
      </c>
      <c r="E2503" s="1" t="s">
        <v>36</v>
      </c>
      <c r="G2503">
        <v>462501</v>
      </c>
      <c r="H2503" t="s">
        <v>6731</v>
      </c>
      <c r="I2503" t="s">
        <v>3131</v>
      </c>
      <c r="J2503">
        <v>26</v>
      </c>
      <c r="K2503">
        <v>4716</v>
      </c>
      <c r="L2503">
        <v>95000</v>
      </c>
      <c r="M2503" t="s">
        <v>69</v>
      </c>
      <c r="N2503">
        <v>584</v>
      </c>
      <c r="O2503" s="2">
        <v>46233</v>
      </c>
      <c r="P2503" s="2">
        <v>46303</v>
      </c>
      <c r="R2503" t="s">
        <v>6733</v>
      </c>
      <c r="S2503" t="str">
        <f>""</f>
        <v/>
      </c>
      <c r="T2503" t="s">
        <v>41</v>
      </c>
      <c r="U2503">
        <v>11165.78</v>
      </c>
      <c r="V2503">
        <v>10774.98</v>
      </c>
      <c r="W2503">
        <v>10774.98</v>
      </c>
      <c r="X2503">
        <v>0</v>
      </c>
      <c r="Y2503">
        <v>0</v>
      </c>
      <c r="Z2503">
        <v>-528</v>
      </c>
      <c r="AA2503">
        <v>695533</v>
      </c>
      <c r="AD2503" t="s">
        <v>4751</v>
      </c>
      <c r="AE2503" s="1" t="s">
        <v>6391</v>
      </c>
      <c r="AF2503" t="s">
        <v>4751</v>
      </c>
      <c r="AG2503">
        <v>75315333034356</v>
      </c>
      <c r="AH2503" t="s">
        <v>4754</v>
      </c>
    </row>
    <row r="2504" spans="1:34" x14ac:dyDescent="0.3">
      <c r="A2504">
        <v>101</v>
      </c>
      <c r="B2504" t="s">
        <v>34</v>
      </c>
      <c r="C2504">
        <v>4</v>
      </c>
      <c r="D2504" s="1" t="s">
        <v>6734</v>
      </c>
      <c r="E2504" t="s">
        <v>3134</v>
      </c>
      <c r="G2504">
        <v>462656</v>
      </c>
      <c r="H2504" t="s">
        <v>6735</v>
      </c>
      <c r="I2504" t="s">
        <v>3222</v>
      </c>
      <c r="J2504">
        <v>26</v>
      </c>
      <c r="K2504">
        <v>4716</v>
      </c>
      <c r="L2504">
        <v>10001</v>
      </c>
      <c r="M2504" t="s">
        <v>3135</v>
      </c>
      <c r="N2504">
        <v>584</v>
      </c>
      <c r="O2504" s="2">
        <v>46190</v>
      </c>
      <c r="P2504" s="2">
        <v>46281</v>
      </c>
      <c r="R2504" t="s">
        <v>3304</v>
      </c>
      <c r="S2504" t="str">
        <f t="shared" ref="S2504:S2521" si="3">"07.0574701"</f>
        <v>07.0574701</v>
      </c>
      <c r="T2504" t="s">
        <v>41</v>
      </c>
      <c r="U2504">
        <v>318.45</v>
      </c>
      <c r="V2504">
        <v>318.45</v>
      </c>
      <c r="W2504">
        <v>318.45</v>
      </c>
      <c r="X2504">
        <v>0</v>
      </c>
      <c r="Y2504">
        <v>0</v>
      </c>
      <c r="Z2504">
        <v>-506</v>
      </c>
      <c r="AA2504">
        <v>691707</v>
      </c>
      <c r="AD2504" t="s">
        <v>6349</v>
      </c>
      <c r="AE2504" t="s">
        <v>6667</v>
      </c>
      <c r="AF2504" t="s">
        <v>6349</v>
      </c>
      <c r="AG2504">
        <v>93209765029875</v>
      </c>
      <c r="AH2504" t="s">
        <v>4609</v>
      </c>
    </row>
    <row r="2505" spans="1:34" x14ac:dyDescent="0.3">
      <c r="A2505">
        <v>101</v>
      </c>
      <c r="B2505" t="s">
        <v>34</v>
      </c>
      <c r="C2505">
        <v>4</v>
      </c>
      <c r="D2505" s="1" t="s">
        <v>6736</v>
      </c>
      <c r="E2505" t="s">
        <v>3134</v>
      </c>
      <c r="G2505">
        <v>462656</v>
      </c>
      <c r="H2505" t="s">
        <v>6735</v>
      </c>
      <c r="I2505" t="s">
        <v>3222</v>
      </c>
      <c r="J2505">
        <v>26</v>
      </c>
      <c r="K2505">
        <v>4716</v>
      </c>
      <c r="L2505">
        <v>10001</v>
      </c>
      <c r="M2505" t="s">
        <v>3135</v>
      </c>
      <c r="N2505">
        <v>584</v>
      </c>
      <c r="O2505" s="2">
        <v>46190</v>
      </c>
      <c r="P2505" s="2">
        <v>46281</v>
      </c>
      <c r="R2505" t="s">
        <v>3304</v>
      </c>
      <c r="S2505" t="str">
        <f t="shared" si="3"/>
        <v>07.0574701</v>
      </c>
      <c r="T2505" t="s">
        <v>41</v>
      </c>
      <c r="U2505">
        <v>3844.46</v>
      </c>
      <c r="V2505">
        <v>3844.46</v>
      </c>
      <c r="W2505">
        <v>3844.46</v>
      </c>
      <c r="X2505">
        <v>0</v>
      </c>
      <c r="Y2505">
        <v>0</v>
      </c>
      <c r="Z2505">
        <v>-506</v>
      </c>
      <c r="AA2505">
        <v>691651</v>
      </c>
      <c r="AD2505" t="s">
        <v>6349</v>
      </c>
      <c r="AE2505" t="s">
        <v>6667</v>
      </c>
      <c r="AF2505" t="s">
        <v>6349</v>
      </c>
      <c r="AG2505">
        <v>93209765029875</v>
      </c>
      <c r="AH2505" t="s">
        <v>4609</v>
      </c>
    </row>
    <row r="2506" spans="1:34" x14ac:dyDescent="0.3">
      <c r="A2506">
        <v>101</v>
      </c>
      <c r="B2506" t="s">
        <v>34</v>
      </c>
      <c r="C2506">
        <v>4</v>
      </c>
      <c r="D2506" s="1" t="s">
        <v>6737</v>
      </c>
      <c r="E2506" t="s">
        <v>3134</v>
      </c>
      <c r="G2506">
        <v>462658</v>
      </c>
      <c r="H2506" t="s">
        <v>6738</v>
      </c>
      <c r="I2506" t="s">
        <v>3222</v>
      </c>
      <c r="J2506">
        <v>26</v>
      </c>
      <c r="K2506">
        <v>4716</v>
      </c>
      <c r="L2506">
        <v>10001</v>
      </c>
      <c r="M2506" t="s">
        <v>3135</v>
      </c>
      <c r="N2506">
        <v>584</v>
      </c>
      <c r="O2506" s="2">
        <v>46190</v>
      </c>
      <c r="P2506" s="2">
        <v>46281</v>
      </c>
      <c r="R2506" t="s">
        <v>3304</v>
      </c>
      <c r="S2506" t="str">
        <f t="shared" si="3"/>
        <v>07.0574701</v>
      </c>
      <c r="T2506" t="s">
        <v>41</v>
      </c>
      <c r="U2506">
        <v>318.45</v>
      </c>
      <c r="V2506">
        <v>318.45</v>
      </c>
      <c r="W2506">
        <v>318.45</v>
      </c>
      <c r="X2506">
        <v>0</v>
      </c>
      <c r="Y2506">
        <v>0</v>
      </c>
      <c r="Z2506">
        <v>-506</v>
      </c>
      <c r="AA2506">
        <v>691705</v>
      </c>
      <c r="AD2506" t="s">
        <v>6739</v>
      </c>
      <c r="AE2506" t="s">
        <v>6667</v>
      </c>
      <c r="AF2506" t="s">
        <v>6739</v>
      </c>
      <c r="AG2506">
        <v>93209765036065</v>
      </c>
      <c r="AH2506" t="s">
        <v>4609</v>
      </c>
    </row>
    <row r="2507" spans="1:34" x14ac:dyDescent="0.3">
      <c r="A2507">
        <v>101</v>
      </c>
      <c r="B2507" t="s">
        <v>34</v>
      </c>
      <c r="C2507">
        <v>4</v>
      </c>
      <c r="D2507" s="1" t="s">
        <v>6740</v>
      </c>
      <c r="E2507" t="s">
        <v>3134</v>
      </c>
      <c r="G2507">
        <v>462658</v>
      </c>
      <c r="H2507" t="s">
        <v>6738</v>
      </c>
      <c r="I2507" t="s">
        <v>3222</v>
      </c>
      <c r="J2507">
        <v>26</v>
      </c>
      <c r="K2507">
        <v>4716</v>
      </c>
      <c r="L2507">
        <v>10001</v>
      </c>
      <c r="M2507" t="s">
        <v>3135</v>
      </c>
      <c r="N2507">
        <v>584</v>
      </c>
      <c r="O2507" s="2">
        <v>46190</v>
      </c>
      <c r="P2507" s="2">
        <v>46281</v>
      </c>
      <c r="R2507" t="s">
        <v>3304</v>
      </c>
      <c r="S2507" t="str">
        <f t="shared" si="3"/>
        <v>07.0574701</v>
      </c>
      <c r="T2507" t="s">
        <v>41</v>
      </c>
      <c r="U2507">
        <v>5719.89</v>
      </c>
      <c r="V2507">
        <v>5719.89</v>
      </c>
      <c r="W2507">
        <v>5719.89</v>
      </c>
      <c r="X2507">
        <v>0</v>
      </c>
      <c r="Y2507">
        <v>0</v>
      </c>
      <c r="Z2507">
        <v>-506</v>
      </c>
      <c r="AA2507">
        <v>691649</v>
      </c>
      <c r="AD2507" t="s">
        <v>6739</v>
      </c>
      <c r="AE2507" t="s">
        <v>6667</v>
      </c>
      <c r="AF2507" t="s">
        <v>6739</v>
      </c>
      <c r="AG2507">
        <v>93209765036065</v>
      </c>
      <c r="AH2507" t="s">
        <v>4609</v>
      </c>
    </row>
    <row r="2508" spans="1:34" x14ac:dyDescent="0.3">
      <c r="A2508">
        <v>101</v>
      </c>
      <c r="B2508" t="s">
        <v>34</v>
      </c>
      <c r="C2508">
        <v>4</v>
      </c>
      <c r="D2508" s="1" t="s">
        <v>6741</v>
      </c>
      <c r="E2508" t="s">
        <v>3134</v>
      </c>
      <c r="G2508">
        <v>462659</v>
      </c>
      <c r="H2508" t="s">
        <v>6742</v>
      </c>
      <c r="I2508" t="s">
        <v>3222</v>
      </c>
      <c r="J2508">
        <v>26</v>
      </c>
      <c r="K2508">
        <v>4716</v>
      </c>
      <c r="L2508">
        <v>10001</v>
      </c>
      <c r="M2508" t="s">
        <v>3135</v>
      </c>
      <c r="N2508">
        <v>584</v>
      </c>
      <c r="O2508" s="2">
        <v>46190</v>
      </c>
      <c r="P2508" s="2">
        <v>46281</v>
      </c>
      <c r="R2508" t="s">
        <v>3304</v>
      </c>
      <c r="S2508" t="str">
        <f t="shared" si="3"/>
        <v>07.0574701</v>
      </c>
      <c r="T2508" t="s">
        <v>41</v>
      </c>
      <c r="U2508">
        <v>318.45</v>
      </c>
      <c r="V2508">
        <v>318.45</v>
      </c>
      <c r="W2508">
        <v>318.45</v>
      </c>
      <c r="X2508">
        <v>0</v>
      </c>
      <c r="Y2508">
        <v>0</v>
      </c>
      <c r="Z2508">
        <v>-506</v>
      </c>
      <c r="AA2508">
        <v>691703</v>
      </c>
      <c r="AD2508" t="s">
        <v>6356</v>
      </c>
      <c r="AE2508" t="s">
        <v>6667</v>
      </c>
      <c r="AF2508" t="s">
        <v>6356</v>
      </c>
      <c r="AG2508">
        <v>93209765011070</v>
      </c>
      <c r="AH2508" t="s">
        <v>4609</v>
      </c>
    </row>
    <row r="2509" spans="1:34" x14ac:dyDescent="0.3">
      <c r="A2509">
        <v>101</v>
      </c>
      <c r="B2509" t="s">
        <v>34</v>
      </c>
      <c r="C2509">
        <v>4</v>
      </c>
      <c r="D2509" s="1" t="s">
        <v>6743</v>
      </c>
      <c r="E2509" t="s">
        <v>3134</v>
      </c>
      <c r="G2509">
        <v>462659</v>
      </c>
      <c r="H2509" t="s">
        <v>6742</v>
      </c>
      <c r="I2509" t="s">
        <v>3222</v>
      </c>
      <c r="J2509">
        <v>26</v>
      </c>
      <c r="K2509">
        <v>4716</v>
      </c>
      <c r="L2509">
        <v>10001</v>
      </c>
      <c r="M2509" t="s">
        <v>3135</v>
      </c>
      <c r="N2509">
        <v>584</v>
      </c>
      <c r="O2509" s="2">
        <v>46190</v>
      </c>
      <c r="P2509" s="2">
        <v>46281</v>
      </c>
      <c r="R2509" t="s">
        <v>3304</v>
      </c>
      <c r="S2509" t="str">
        <f t="shared" si="3"/>
        <v>07.0574701</v>
      </c>
      <c r="T2509" t="s">
        <v>41</v>
      </c>
      <c r="U2509">
        <v>2620.31</v>
      </c>
      <c r="V2509">
        <v>2620.31</v>
      </c>
      <c r="W2509">
        <v>2620.31</v>
      </c>
      <c r="X2509">
        <v>0</v>
      </c>
      <c r="Y2509">
        <v>0</v>
      </c>
      <c r="Z2509">
        <v>-506</v>
      </c>
      <c r="AA2509">
        <v>691647</v>
      </c>
      <c r="AD2509" t="s">
        <v>6356</v>
      </c>
      <c r="AE2509" t="s">
        <v>6667</v>
      </c>
      <c r="AF2509" t="s">
        <v>6356</v>
      </c>
      <c r="AG2509">
        <v>93209765011070</v>
      </c>
      <c r="AH2509" t="s">
        <v>4609</v>
      </c>
    </row>
    <row r="2510" spans="1:34" x14ac:dyDescent="0.3">
      <c r="A2510">
        <v>101</v>
      </c>
      <c r="B2510" t="s">
        <v>34</v>
      </c>
      <c r="C2510">
        <v>4</v>
      </c>
      <c r="D2510" s="1" t="s">
        <v>6744</v>
      </c>
      <c r="E2510" t="s">
        <v>3134</v>
      </c>
      <c r="G2510">
        <v>462660</v>
      </c>
      <c r="H2510" t="s">
        <v>6745</v>
      </c>
      <c r="I2510" t="s">
        <v>3222</v>
      </c>
      <c r="J2510">
        <v>26</v>
      </c>
      <c r="K2510">
        <v>4716</v>
      </c>
      <c r="L2510">
        <v>10001</v>
      </c>
      <c r="M2510" t="s">
        <v>3135</v>
      </c>
      <c r="N2510">
        <v>584</v>
      </c>
      <c r="O2510" s="2">
        <v>46190</v>
      </c>
      <c r="P2510" s="2">
        <v>46296</v>
      </c>
      <c r="R2510" t="s">
        <v>3304</v>
      </c>
      <c r="S2510" t="str">
        <f t="shared" si="3"/>
        <v>07.0574701</v>
      </c>
      <c r="T2510" t="s">
        <v>41</v>
      </c>
      <c r="U2510">
        <v>318.45</v>
      </c>
      <c r="V2510">
        <v>318.45</v>
      </c>
      <c r="W2510">
        <v>318.45</v>
      </c>
      <c r="X2510">
        <v>0</v>
      </c>
      <c r="Y2510">
        <v>0</v>
      </c>
      <c r="Z2510">
        <v>-521</v>
      </c>
      <c r="AA2510">
        <v>691701</v>
      </c>
      <c r="AD2510" t="s">
        <v>6746</v>
      </c>
      <c r="AE2510" t="s">
        <v>6667</v>
      </c>
      <c r="AF2510" t="s">
        <v>6746</v>
      </c>
      <c r="AG2510">
        <v>93209765038190</v>
      </c>
      <c r="AH2510" t="s">
        <v>4609</v>
      </c>
    </row>
    <row r="2511" spans="1:34" x14ac:dyDescent="0.3">
      <c r="A2511">
        <v>101</v>
      </c>
      <c r="B2511" t="s">
        <v>34</v>
      </c>
      <c r="C2511">
        <v>4</v>
      </c>
      <c r="D2511" s="1" t="s">
        <v>6747</v>
      </c>
      <c r="E2511" t="s">
        <v>3134</v>
      </c>
      <c r="G2511">
        <v>462660</v>
      </c>
      <c r="H2511" t="s">
        <v>6745</v>
      </c>
      <c r="I2511" t="s">
        <v>3222</v>
      </c>
      <c r="J2511">
        <v>26</v>
      </c>
      <c r="K2511">
        <v>4716</v>
      </c>
      <c r="L2511">
        <v>10001</v>
      </c>
      <c r="M2511" t="s">
        <v>3135</v>
      </c>
      <c r="N2511">
        <v>584</v>
      </c>
      <c r="O2511" s="2">
        <v>46190</v>
      </c>
      <c r="P2511" s="2">
        <v>46296</v>
      </c>
      <c r="R2511" t="s">
        <v>3304</v>
      </c>
      <c r="S2511" t="str">
        <f t="shared" si="3"/>
        <v>07.0574701</v>
      </c>
      <c r="T2511" t="s">
        <v>41</v>
      </c>
      <c r="U2511">
        <v>6129.49</v>
      </c>
      <c r="V2511">
        <v>6129.49</v>
      </c>
      <c r="W2511">
        <v>6129.49</v>
      </c>
      <c r="X2511">
        <v>0</v>
      </c>
      <c r="Y2511">
        <v>0</v>
      </c>
      <c r="Z2511">
        <v>-521</v>
      </c>
      <c r="AA2511">
        <v>691645</v>
      </c>
      <c r="AD2511" t="s">
        <v>6746</v>
      </c>
      <c r="AE2511" t="s">
        <v>6667</v>
      </c>
      <c r="AF2511" t="s">
        <v>6746</v>
      </c>
      <c r="AG2511">
        <v>93209765038190</v>
      </c>
      <c r="AH2511" t="s">
        <v>4609</v>
      </c>
    </row>
    <row r="2512" spans="1:34" x14ac:dyDescent="0.3">
      <c r="A2512">
        <v>101</v>
      </c>
      <c r="B2512" t="s">
        <v>34</v>
      </c>
      <c r="C2512">
        <v>4</v>
      </c>
      <c r="D2512" s="1" t="s">
        <v>6748</v>
      </c>
      <c r="E2512" t="s">
        <v>3134</v>
      </c>
      <c r="G2512">
        <v>462661</v>
      </c>
      <c r="H2512" t="s">
        <v>6749</v>
      </c>
      <c r="I2512" t="s">
        <v>3222</v>
      </c>
      <c r="J2512">
        <v>26</v>
      </c>
      <c r="K2512">
        <v>4716</v>
      </c>
      <c r="L2512">
        <v>10001</v>
      </c>
      <c r="M2512" t="s">
        <v>3135</v>
      </c>
      <c r="N2512">
        <v>584</v>
      </c>
      <c r="O2512" s="2">
        <v>46190</v>
      </c>
      <c r="P2512" s="2">
        <v>46296</v>
      </c>
      <c r="R2512" t="s">
        <v>3304</v>
      </c>
      <c r="S2512" t="str">
        <f t="shared" si="3"/>
        <v>07.0574701</v>
      </c>
      <c r="T2512" t="s">
        <v>41</v>
      </c>
      <c r="U2512">
        <v>636.9</v>
      </c>
      <c r="V2512">
        <v>636.9</v>
      </c>
      <c r="W2512">
        <v>636.9</v>
      </c>
      <c r="X2512">
        <v>0</v>
      </c>
      <c r="Y2512">
        <v>0</v>
      </c>
      <c r="Z2512">
        <v>-521</v>
      </c>
      <c r="AA2512">
        <v>691699</v>
      </c>
      <c r="AD2512" t="s">
        <v>6345</v>
      </c>
      <c r="AE2512" t="s">
        <v>6667</v>
      </c>
      <c r="AF2512" t="s">
        <v>6345</v>
      </c>
      <c r="AG2512">
        <v>93209765030377</v>
      </c>
      <c r="AH2512" t="s">
        <v>4609</v>
      </c>
    </row>
    <row r="2513" spans="1:34" x14ac:dyDescent="0.3">
      <c r="A2513">
        <v>101</v>
      </c>
      <c r="B2513" t="s">
        <v>34</v>
      </c>
      <c r="C2513">
        <v>4</v>
      </c>
      <c r="D2513" s="1" t="s">
        <v>6750</v>
      </c>
      <c r="E2513" t="s">
        <v>3134</v>
      </c>
      <c r="G2513">
        <v>462661</v>
      </c>
      <c r="H2513" t="s">
        <v>6749</v>
      </c>
      <c r="I2513" t="s">
        <v>3222</v>
      </c>
      <c r="J2513">
        <v>26</v>
      </c>
      <c r="K2513">
        <v>4716</v>
      </c>
      <c r="L2513">
        <v>10001</v>
      </c>
      <c r="M2513" t="s">
        <v>3135</v>
      </c>
      <c r="N2513">
        <v>584</v>
      </c>
      <c r="O2513" s="2">
        <v>46190</v>
      </c>
      <c r="P2513" s="2">
        <v>46296</v>
      </c>
      <c r="R2513" t="s">
        <v>3304</v>
      </c>
      <c r="S2513" t="str">
        <f t="shared" si="3"/>
        <v>07.0574701</v>
      </c>
      <c r="T2513" t="s">
        <v>41</v>
      </c>
      <c r="U2513">
        <v>9271.74</v>
      </c>
      <c r="V2513">
        <v>9271.74</v>
      </c>
      <c r="W2513">
        <v>9271.74</v>
      </c>
      <c r="X2513">
        <v>0</v>
      </c>
      <c r="Y2513">
        <v>0</v>
      </c>
      <c r="Z2513">
        <v>-521</v>
      </c>
      <c r="AA2513">
        <v>691643</v>
      </c>
      <c r="AD2513" t="s">
        <v>6345</v>
      </c>
      <c r="AE2513" t="s">
        <v>6667</v>
      </c>
      <c r="AF2513" t="s">
        <v>6345</v>
      </c>
      <c r="AG2513">
        <v>93209765030377</v>
      </c>
      <c r="AH2513" t="s">
        <v>4609</v>
      </c>
    </row>
    <row r="2514" spans="1:34" x14ac:dyDescent="0.3">
      <c r="A2514">
        <v>101</v>
      </c>
      <c r="B2514" t="s">
        <v>34</v>
      </c>
      <c r="C2514">
        <v>4</v>
      </c>
      <c r="D2514" s="1" t="s">
        <v>6751</v>
      </c>
      <c r="E2514" t="s">
        <v>3134</v>
      </c>
      <c r="G2514">
        <v>462662</v>
      </c>
      <c r="H2514" t="s">
        <v>6752</v>
      </c>
      <c r="I2514" t="s">
        <v>3222</v>
      </c>
      <c r="J2514">
        <v>26</v>
      </c>
      <c r="K2514">
        <v>4716</v>
      </c>
      <c r="L2514">
        <v>10001</v>
      </c>
      <c r="M2514" t="s">
        <v>3135</v>
      </c>
      <c r="N2514">
        <v>584</v>
      </c>
      <c r="O2514" s="2">
        <v>46190</v>
      </c>
      <c r="P2514" s="2">
        <v>46281</v>
      </c>
      <c r="R2514" t="s">
        <v>3304</v>
      </c>
      <c r="S2514" t="str">
        <f t="shared" si="3"/>
        <v>07.0574701</v>
      </c>
      <c r="T2514" t="s">
        <v>41</v>
      </c>
      <c r="U2514">
        <v>318.45</v>
      </c>
      <c r="V2514">
        <v>318.45</v>
      </c>
      <c r="W2514">
        <v>318.45</v>
      </c>
      <c r="X2514">
        <v>0</v>
      </c>
      <c r="Y2514">
        <v>0</v>
      </c>
      <c r="Z2514">
        <v>-506</v>
      </c>
      <c r="AA2514">
        <v>691685</v>
      </c>
      <c r="AD2514" t="s">
        <v>6356</v>
      </c>
      <c r="AE2514" t="s">
        <v>6667</v>
      </c>
      <c r="AF2514" t="s">
        <v>6356</v>
      </c>
      <c r="AG2514">
        <v>93209765011666</v>
      </c>
      <c r="AH2514" t="s">
        <v>4609</v>
      </c>
    </row>
    <row r="2515" spans="1:34" x14ac:dyDescent="0.3">
      <c r="A2515">
        <v>101</v>
      </c>
      <c r="B2515" t="s">
        <v>34</v>
      </c>
      <c r="C2515">
        <v>4</v>
      </c>
      <c r="D2515" s="1" t="s">
        <v>6753</v>
      </c>
      <c r="E2515" t="s">
        <v>3134</v>
      </c>
      <c r="G2515">
        <v>462662</v>
      </c>
      <c r="H2515" t="s">
        <v>6752</v>
      </c>
      <c r="I2515" t="s">
        <v>3222</v>
      </c>
      <c r="J2515">
        <v>26</v>
      </c>
      <c r="K2515">
        <v>4716</v>
      </c>
      <c r="L2515">
        <v>10001</v>
      </c>
      <c r="M2515" t="s">
        <v>3135</v>
      </c>
      <c r="N2515">
        <v>584</v>
      </c>
      <c r="O2515" s="2">
        <v>46190</v>
      </c>
      <c r="P2515" s="2">
        <v>46281</v>
      </c>
      <c r="R2515" t="s">
        <v>3304</v>
      </c>
      <c r="S2515" t="str">
        <f t="shared" si="3"/>
        <v>07.0574701</v>
      </c>
      <c r="T2515" t="s">
        <v>41</v>
      </c>
      <c r="U2515">
        <v>6202.55</v>
      </c>
      <c r="V2515">
        <v>6202.55</v>
      </c>
      <c r="W2515">
        <v>6202.55</v>
      </c>
      <c r="X2515">
        <v>0</v>
      </c>
      <c r="Y2515">
        <v>0</v>
      </c>
      <c r="Z2515">
        <v>-506</v>
      </c>
      <c r="AA2515">
        <v>691629</v>
      </c>
      <c r="AD2515" t="s">
        <v>6356</v>
      </c>
      <c r="AE2515" t="s">
        <v>6667</v>
      </c>
      <c r="AF2515" t="s">
        <v>6356</v>
      </c>
      <c r="AG2515">
        <v>93209765011666</v>
      </c>
      <c r="AH2515" t="s">
        <v>4609</v>
      </c>
    </row>
    <row r="2516" spans="1:34" x14ac:dyDescent="0.3">
      <c r="A2516">
        <v>101</v>
      </c>
      <c r="B2516" t="s">
        <v>34</v>
      </c>
      <c r="C2516">
        <v>4</v>
      </c>
      <c r="D2516" s="1" t="s">
        <v>6754</v>
      </c>
      <c r="E2516" t="s">
        <v>3134</v>
      </c>
      <c r="G2516">
        <v>462663</v>
      </c>
      <c r="H2516" t="s">
        <v>6755</v>
      </c>
      <c r="I2516" t="s">
        <v>3222</v>
      </c>
      <c r="J2516">
        <v>26</v>
      </c>
      <c r="K2516">
        <v>4716</v>
      </c>
      <c r="L2516">
        <v>10001</v>
      </c>
      <c r="M2516" t="s">
        <v>3135</v>
      </c>
      <c r="N2516">
        <v>584</v>
      </c>
      <c r="O2516" s="2">
        <v>46190</v>
      </c>
      <c r="P2516" s="2">
        <v>46296</v>
      </c>
      <c r="R2516" t="s">
        <v>3304</v>
      </c>
      <c r="S2516" t="str">
        <f t="shared" si="3"/>
        <v>07.0574701</v>
      </c>
      <c r="T2516" t="s">
        <v>41</v>
      </c>
      <c r="U2516">
        <v>636.9</v>
      </c>
      <c r="V2516">
        <v>636.9</v>
      </c>
      <c r="W2516">
        <v>636.9</v>
      </c>
      <c r="X2516">
        <v>0</v>
      </c>
      <c r="Y2516">
        <v>0</v>
      </c>
      <c r="Z2516">
        <v>-521</v>
      </c>
      <c r="AA2516">
        <v>691683</v>
      </c>
      <c r="AD2516" t="s">
        <v>6356</v>
      </c>
      <c r="AE2516" t="s">
        <v>6667</v>
      </c>
      <c r="AF2516" t="s">
        <v>6356</v>
      </c>
      <c r="AG2516">
        <v>93209765029956</v>
      </c>
      <c r="AH2516" t="s">
        <v>4609</v>
      </c>
    </row>
    <row r="2517" spans="1:34" x14ac:dyDescent="0.3">
      <c r="A2517">
        <v>101</v>
      </c>
      <c r="B2517" t="s">
        <v>34</v>
      </c>
      <c r="C2517">
        <v>4</v>
      </c>
      <c r="D2517" s="1" t="s">
        <v>6756</v>
      </c>
      <c r="E2517" t="s">
        <v>3134</v>
      </c>
      <c r="G2517">
        <v>462663</v>
      </c>
      <c r="H2517" t="s">
        <v>6755</v>
      </c>
      <c r="I2517" t="s">
        <v>3222</v>
      </c>
      <c r="J2517">
        <v>26</v>
      </c>
      <c r="K2517">
        <v>4716</v>
      </c>
      <c r="L2517">
        <v>10001</v>
      </c>
      <c r="M2517" t="s">
        <v>3135</v>
      </c>
      <c r="N2517">
        <v>584</v>
      </c>
      <c r="O2517" s="2">
        <v>46190</v>
      </c>
      <c r="P2517" s="2">
        <v>46296</v>
      </c>
      <c r="R2517" t="s">
        <v>3304</v>
      </c>
      <c r="S2517" t="str">
        <f t="shared" si="3"/>
        <v>07.0574701</v>
      </c>
      <c r="T2517" t="s">
        <v>41</v>
      </c>
      <c r="U2517">
        <v>12561.41</v>
      </c>
      <c r="V2517">
        <v>12561.41</v>
      </c>
      <c r="W2517">
        <v>12561.41</v>
      </c>
      <c r="X2517">
        <v>0</v>
      </c>
      <c r="Y2517">
        <v>0</v>
      </c>
      <c r="Z2517">
        <v>-521</v>
      </c>
      <c r="AA2517">
        <v>691627</v>
      </c>
      <c r="AD2517" t="s">
        <v>6356</v>
      </c>
      <c r="AE2517" t="s">
        <v>6667</v>
      </c>
      <c r="AF2517" t="s">
        <v>6356</v>
      </c>
      <c r="AG2517">
        <v>93209765029956</v>
      </c>
      <c r="AH2517" t="s">
        <v>4609</v>
      </c>
    </row>
    <row r="2518" spans="1:34" x14ac:dyDescent="0.3">
      <c r="A2518">
        <v>101</v>
      </c>
      <c r="B2518" t="s">
        <v>34</v>
      </c>
      <c r="C2518">
        <v>4</v>
      </c>
      <c r="D2518" s="1" t="s">
        <v>6757</v>
      </c>
      <c r="E2518" t="s">
        <v>3134</v>
      </c>
      <c r="G2518">
        <v>462664</v>
      </c>
      <c r="H2518" t="s">
        <v>6758</v>
      </c>
      <c r="I2518" t="s">
        <v>3222</v>
      </c>
      <c r="J2518">
        <v>26</v>
      </c>
      <c r="K2518">
        <v>4716</v>
      </c>
      <c r="L2518">
        <v>10001</v>
      </c>
      <c r="M2518" t="s">
        <v>3135</v>
      </c>
      <c r="N2518">
        <v>584</v>
      </c>
      <c r="O2518" s="2">
        <v>46190</v>
      </c>
      <c r="P2518" s="2">
        <v>46281</v>
      </c>
      <c r="R2518" t="s">
        <v>3304</v>
      </c>
      <c r="S2518" t="str">
        <f t="shared" si="3"/>
        <v>07.0574701</v>
      </c>
      <c r="T2518" t="s">
        <v>41</v>
      </c>
      <c r="U2518">
        <v>318.45</v>
      </c>
      <c r="V2518">
        <v>318.45</v>
      </c>
      <c r="W2518">
        <v>318.45</v>
      </c>
      <c r="X2518">
        <v>0</v>
      </c>
      <c r="Y2518">
        <v>0</v>
      </c>
      <c r="Z2518">
        <v>-506</v>
      </c>
      <c r="AA2518">
        <v>691681</v>
      </c>
      <c r="AD2518" t="s">
        <v>6759</v>
      </c>
      <c r="AE2518" t="s">
        <v>6667</v>
      </c>
      <c r="AF2518" t="s">
        <v>6759</v>
      </c>
      <c r="AG2518">
        <v>93209765045307</v>
      </c>
      <c r="AH2518" t="s">
        <v>4609</v>
      </c>
    </row>
    <row r="2519" spans="1:34" x14ac:dyDescent="0.3">
      <c r="A2519">
        <v>101</v>
      </c>
      <c r="B2519" t="s">
        <v>34</v>
      </c>
      <c r="C2519">
        <v>4</v>
      </c>
      <c r="D2519" s="1" t="s">
        <v>6760</v>
      </c>
      <c r="E2519" t="s">
        <v>3134</v>
      </c>
      <c r="G2519">
        <v>462664</v>
      </c>
      <c r="H2519" t="s">
        <v>6758</v>
      </c>
      <c r="I2519" t="s">
        <v>3222</v>
      </c>
      <c r="J2519">
        <v>26</v>
      </c>
      <c r="K2519">
        <v>4716</v>
      </c>
      <c r="L2519">
        <v>10001</v>
      </c>
      <c r="M2519" t="s">
        <v>3135</v>
      </c>
      <c r="N2519">
        <v>584</v>
      </c>
      <c r="O2519" s="2">
        <v>46190</v>
      </c>
      <c r="P2519" s="2">
        <v>46281</v>
      </c>
      <c r="R2519" t="s">
        <v>3304</v>
      </c>
      <c r="S2519" t="str">
        <f t="shared" si="3"/>
        <v>07.0574701</v>
      </c>
      <c r="T2519" t="s">
        <v>41</v>
      </c>
      <c r="U2519">
        <v>4184.05</v>
      </c>
      <c r="V2519">
        <v>4184.05</v>
      </c>
      <c r="W2519">
        <v>4184.05</v>
      </c>
      <c r="X2519">
        <v>0</v>
      </c>
      <c r="Y2519">
        <v>0</v>
      </c>
      <c r="Z2519">
        <v>-506</v>
      </c>
      <c r="AA2519">
        <v>691625</v>
      </c>
      <c r="AD2519" t="s">
        <v>6759</v>
      </c>
      <c r="AE2519" t="s">
        <v>6667</v>
      </c>
      <c r="AF2519" t="s">
        <v>6759</v>
      </c>
      <c r="AG2519">
        <v>93209765045307</v>
      </c>
      <c r="AH2519" t="s">
        <v>4609</v>
      </c>
    </row>
    <row r="2520" spans="1:34" x14ac:dyDescent="0.3">
      <c r="A2520">
        <v>101</v>
      </c>
      <c r="B2520" t="s">
        <v>34</v>
      </c>
      <c r="C2520">
        <v>4</v>
      </c>
      <c r="D2520" s="1" t="s">
        <v>6761</v>
      </c>
      <c r="E2520" t="s">
        <v>3134</v>
      </c>
      <c r="G2520">
        <v>462666</v>
      </c>
      <c r="H2520" t="s">
        <v>6762</v>
      </c>
      <c r="I2520" t="s">
        <v>3222</v>
      </c>
      <c r="J2520">
        <v>26</v>
      </c>
      <c r="K2520">
        <v>4716</v>
      </c>
      <c r="L2520">
        <v>10001</v>
      </c>
      <c r="M2520" t="s">
        <v>3135</v>
      </c>
      <c r="N2520">
        <v>584</v>
      </c>
      <c r="O2520" s="2">
        <v>46190</v>
      </c>
      <c r="P2520" s="2">
        <v>46296</v>
      </c>
      <c r="R2520" t="s">
        <v>3304</v>
      </c>
      <c r="S2520" t="str">
        <f t="shared" si="3"/>
        <v>07.0574701</v>
      </c>
      <c r="T2520" t="s">
        <v>41</v>
      </c>
      <c r="U2520">
        <v>5676.63</v>
      </c>
      <c r="V2520">
        <v>5676.63</v>
      </c>
      <c r="W2520">
        <v>5676.63</v>
      </c>
      <c r="X2520">
        <v>0</v>
      </c>
      <c r="Y2520">
        <v>0</v>
      </c>
      <c r="Z2520">
        <v>-521</v>
      </c>
      <c r="AA2520">
        <v>691623</v>
      </c>
      <c r="AD2520" t="s">
        <v>6763</v>
      </c>
      <c r="AE2520" t="s">
        <v>6667</v>
      </c>
      <c r="AF2520" t="s">
        <v>6763</v>
      </c>
      <c r="AG2520">
        <v>93209765016110</v>
      </c>
      <c r="AH2520" t="s">
        <v>4609</v>
      </c>
    </row>
    <row r="2521" spans="1:34" x14ac:dyDescent="0.3">
      <c r="A2521">
        <v>101</v>
      </c>
      <c r="B2521" t="s">
        <v>34</v>
      </c>
      <c r="C2521">
        <v>4</v>
      </c>
      <c r="D2521" s="1" t="s">
        <v>6764</v>
      </c>
      <c r="E2521" t="s">
        <v>3134</v>
      </c>
      <c r="G2521">
        <v>462666</v>
      </c>
      <c r="H2521" t="s">
        <v>6762</v>
      </c>
      <c r="I2521" t="s">
        <v>3222</v>
      </c>
      <c r="J2521">
        <v>26</v>
      </c>
      <c r="K2521">
        <v>4716</v>
      </c>
      <c r="L2521">
        <v>10001</v>
      </c>
      <c r="M2521" t="s">
        <v>3135</v>
      </c>
      <c r="N2521">
        <v>584</v>
      </c>
      <c r="O2521" s="2">
        <v>46190</v>
      </c>
      <c r="P2521" s="2">
        <v>46296</v>
      </c>
      <c r="R2521" t="s">
        <v>3304</v>
      </c>
      <c r="S2521" t="str">
        <f t="shared" si="3"/>
        <v>07.0574701</v>
      </c>
      <c r="T2521" t="s">
        <v>41</v>
      </c>
      <c r="U2521">
        <v>318.45</v>
      </c>
      <c r="V2521">
        <v>318.45</v>
      </c>
      <c r="W2521">
        <v>318.45</v>
      </c>
      <c r="X2521">
        <v>0</v>
      </c>
      <c r="Y2521">
        <v>0</v>
      </c>
      <c r="Z2521">
        <v>-521</v>
      </c>
      <c r="AA2521">
        <v>691679</v>
      </c>
      <c r="AD2521" t="s">
        <v>6763</v>
      </c>
      <c r="AE2521" t="s">
        <v>6667</v>
      </c>
      <c r="AF2521" t="s">
        <v>6763</v>
      </c>
      <c r="AG2521">
        <v>93209765016110</v>
      </c>
      <c r="AH2521" t="s">
        <v>4609</v>
      </c>
    </row>
    <row r="2522" spans="1:34" x14ac:dyDescent="0.3">
      <c r="A2522">
        <v>104</v>
      </c>
      <c r="B2522" t="s">
        <v>34</v>
      </c>
      <c r="C2522">
        <v>4</v>
      </c>
      <c r="D2522" s="1" t="s">
        <v>6765</v>
      </c>
      <c r="E2522" s="1" t="s">
        <v>36</v>
      </c>
      <c r="G2522">
        <v>462830</v>
      </c>
      <c r="H2522" t="s">
        <v>6766</v>
      </c>
      <c r="I2522" t="s">
        <v>3222</v>
      </c>
      <c r="J2522">
        <v>26</v>
      </c>
      <c r="K2522">
        <v>4716</v>
      </c>
      <c r="L2522">
        <v>95000</v>
      </c>
      <c r="M2522" t="s">
        <v>69</v>
      </c>
      <c r="N2522">
        <v>584</v>
      </c>
      <c r="O2522" s="2">
        <v>46238</v>
      </c>
      <c r="P2522" s="2">
        <v>46328</v>
      </c>
      <c r="R2522" t="s">
        <v>6767</v>
      </c>
      <c r="S2522" t="str">
        <f>""</f>
        <v/>
      </c>
      <c r="T2522" t="s">
        <v>41</v>
      </c>
      <c r="U2522">
        <v>3769.68</v>
      </c>
      <c r="V2522">
        <v>3637.74</v>
      </c>
      <c r="W2522">
        <v>3637.74</v>
      </c>
      <c r="X2522">
        <v>0</v>
      </c>
      <c r="Y2522">
        <v>0</v>
      </c>
      <c r="Z2522">
        <v>-553</v>
      </c>
      <c r="AA2522">
        <v>696141</v>
      </c>
      <c r="AD2522" t="s">
        <v>6704</v>
      </c>
      <c r="AE2522">
        <v>11963394642</v>
      </c>
      <c r="AF2522" t="s">
        <v>6704</v>
      </c>
      <c r="AG2522">
        <v>93209765048152</v>
      </c>
      <c r="AH2522" t="s">
        <v>5494</v>
      </c>
    </row>
    <row r="2523" spans="1:34" x14ac:dyDescent="0.3">
      <c r="A2523">
        <v>101</v>
      </c>
      <c r="B2523" t="s">
        <v>34</v>
      </c>
      <c r="C2523">
        <v>4</v>
      </c>
      <c r="D2523" s="1" t="s">
        <v>6768</v>
      </c>
      <c r="E2523" t="s">
        <v>3134</v>
      </c>
      <c r="G2523">
        <v>463026</v>
      </c>
      <c r="H2523" t="s">
        <v>6769</v>
      </c>
      <c r="I2523" t="s">
        <v>3222</v>
      </c>
      <c r="J2523">
        <v>26</v>
      </c>
      <c r="K2523">
        <v>4716</v>
      </c>
      <c r="L2523">
        <v>10001</v>
      </c>
      <c r="M2523" t="s">
        <v>3135</v>
      </c>
      <c r="N2523">
        <v>584</v>
      </c>
      <c r="O2523" s="2">
        <v>46190</v>
      </c>
      <c r="P2523" s="2">
        <v>46281</v>
      </c>
      <c r="R2523" t="s">
        <v>3304</v>
      </c>
      <c r="S2523" t="str">
        <f t="shared" ref="S2523:S2534" si="4">"07.0574701"</f>
        <v>07.0574701</v>
      </c>
      <c r="T2523" t="s">
        <v>41</v>
      </c>
      <c r="U2523">
        <v>11124.63</v>
      </c>
      <c r="V2523">
        <v>11124.63</v>
      </c>
      <c r="W2523">
        <v>11124.63</v>
      </c>
      <c r="X2523">
        <v>0</v>
      </c>
      <c r="Y2523">
        <v>0</v>
      </c>
      <c r="Z2523">
        <v>-506</v>
      </c>
      <c r="AA2523">
        <v>691637</v>
      </c>
      <c r="AD2523" t="s">
        <v>6770</v>
      </c>
      <c r="AE2523" t="s">
        <v>6667</v>
      </c>
      <c r="AF2523" t="s">
        <v>6770</v>
      </c>
      <c r="AG2523">
        <v>93209765045056</v>
      </c>
      <c r="AH2523" t="s">
        <v>4609</v>
      </c>
    </row>
    <row r="2524" spans="1:34" x14ac:dyDescent="0.3">
      <c r="A2524">
        <v>101</v>
      </c>
      <c r="B2524" t="s">
        <v>34</v>
      </c>
      <c r="C2524">
        <v>4</v>
      </c>
      <c r="D2524" s="1" t="s">
        <v>6771</v>
      </c>
      <c r="E2524" t="s">
        <v>3134</v>
      </c>
      <c r="G2524">
        <v>463026</v>
      </c>
      <c r="H2524" t="s">
        <v>6769</v>
      </c>
      <c r="I2524" t="s">
        <v>3222</v>
      </c>
      <c r="J2524">
        <v>26</v>
      </c>
      <c r="K2524">
        <v>4716</v>
      </c>
      <c r="L2524">
        <v>10001</v>
      </c>
      <c r="M2524" t="s">
        <v>3135</v>
      </c>
      <c r="N2524">
        <v>584</v>
      </c>
      <c r="O2524" s="2">
        <v>46190</v>
      </c>
      <c r="P2524" s="2">
        <v>46281</v>
      </c>
      <c r="R2524" t="s">
        <v>3304</v>
      </c>
      <c r="S2524" t="str">
        <f t="shared" si="4"/>
        <v>07.0574701</v>
      </c>
      <c r="T2524" t="s">
        <v>41</v>
      </c>
      <c r="U2524">
        <v>318.45</v>
      </c>
      <c r="V2524">
        <v>318.45</v>
      </c>
      <c r="W2524">
        <v>318.45</v>
      </c>
      <c r="X2524">
        <v>0</v>
      </c>
      <c r="Y2524">
        <v>0</v>
      </c>
      <c r="Z2524">
        <v>-506</v>
      </c>
      <c r="AA2524">
        <v>691693</v>
      </c>
      <c r="AD2524" t="s">
        <v>6770</v>
      </c>
      <c r="AE2524" t="s">
        <v>6667</v>
      </c>
      <c r="AF2524" t="s">
        <v>6770</v>
      </c>
      <c r="AG2524">
        <v>93209765045056</v>
      </c>
      <c r="AH2524" t="s">
        <v>4609</v>
      </c>
    </row>
    <row r="2525" spans="1:34" x14ac:dyDescent="0.3">
      <c r="A2525">
        <v>101</v>
      </c>
      <c r="B2525" t="s">
        <v>34</v>
      </c>
      <c r="C2525">
        <v>4</v>
      </c>
      <c r="D2525" s="1" t="s">
        <v>6772</v>
      </c>
      <c r="E2525" t="s">
        <v>3134</v>
      </c>
      <c r="G2525">
        <v>463027</v>
      </c>
      <c r="H2525" t="s">
        <v>6773</v>
      </c>
      <c r="I2525" t="s">
        <v>3222</v>
      </c>
      <c r="J2525">
        <v>26</v>
      </c>
      <c r="K2525">
        <v>4716</v>
      </c>
      <c r="L2525">
        <v>10001</v>
      </c>
      <c r="M2525" t="s">
        <v>3135</v>
      </c>
      <c r="N2525">
        <v>584</v>
      </c>
      <c r="O2525" s="2">
        <v>46190</v>
      </c>
      <c r="P2525" s="2">
        <v>46281</v>
      </c>
      <c r="R2525" t="s">
        <v>3304</v>
      </c>
      <c r="S2525" t="str">
        <f t="shared" si="4"/>
        <v>07.0574701</v>
      </c>
      <c r="T2525" t="s">
        <v>41</v>
      </c>
      <c r="U2525">
        <v>9369.56</v>
      </c>
      <c r="V2525">
        <v>9369.56</v>
      </c>
      <c r="W2525">
        <v>9369.56</v>
      </c>
      <c r="X2525">
        <v>0</v>
      </c>
      <c r="Y2525">
        <v>0</v>
      </c>
      <c r="Z2525">
        <v>-506</v>
      </c>
      <c r="AA2525">
        <v>691639</v>
      </c>
      <c r="AD2525" t="s">
        <v>6774</v>
      </c>
      <c r="AE2525" t="s">
        <v>6667</v>
      </c>
      <c r="AF2525" t="s">
        <v>6774</v>
      </c>
      <c r="AG2525">
        <v>93209765018326</v>
      </c>
      <c r="AH2525" t="s">
        <v>4609</v>
      </c>
    </row>
    <row r="2526" spans="1:34" x14ac:dyDescent="0.3">
      <c r="A2526">
        <v>101</v>
      </c>
      <c r="B2526" t="s">
        <v>34</v>
      </c>
      <c r="C2526">
        <v>4</v>
      </c>
      <c r="D2526" s="1" t="s">
        <v>6775</v>
      </c>
      <c r="E2526" t="s">
        <v>3134</v>
      </c>
      <c r="G2526">
        <v>463027</v>
      </c>
      <c r="H2526" t="s">
        <v>6773</v>
      </c>
      <c r="I2526" t="s">
        <v>3222</v>
      </c>
      <c r="J2526">
        <v>26</v>
      </c>
      <c r="K2526">
        <v>4716</v>
      </c>
      <c r="L2526">
        <v>10001</v>
      </c>
      <c r="M2526" t="s">
        <v>3135</v>
      </c>
      <c r="N2526">
        <v>584</v>
      </c>
      <c r="O2526" s="2">
        <v>46190</v>
      </c>
      <c r="P2526" s="2">
        <v>46281</v>
      </c>
      <c r="R2526" t="s">
        <v>3304</v>
      </c>
      <c r="S2526" t="str">
        <f t="shared" si="4"/>
        <v>07.0574701</v>
      </c>
      <c r="T2526" t="s">
        <v>41</v>
      </c>
      <c r="U2526">
        <v>318.45</v>
      </c>
      <c r="V2526">
        <v>318.45</v>
      </c>
      <c r="W2526">
        <v>318.45</v>
      </c>
      <c r="X2526">
        <v>0</v>
      </c>
      <c r="Y2526">
        <v>0</v>
      </c>
      <c r="Z2526">
        <v>-506</v>
      </c>
      <c r="AA2526">
        <v>691695</v>
      </c>
      <c r="AD2526" t="s">
        <v>6774</v>
      </c>
      <c r="AE2526" t="s">
        <v>6667</v>
      </c>
      <c r="AF2526" t="s">
        <v>6774</v>
      </c>
      <c r="AG2526">
        <v>93209765018326</v>
      </c>
      <c r="AH2526" t="s">
        <v>4609</v>
      </c>
    </row>
    <row r="2527" spans="1:34" x14ac:dyDescent="0.3">
      <c r="A2527">
        <v>101</v>
      </c>
      <c r="B2527" t="s">
        <v>34</v>
      </c>
      <c r="C2527">
        <v>4</v>
      </c>
      <c r="D2527" s="1" t="s">
        <v>6776</v>
      </c>
      <c r="E2527" t="s">
        <v>3134</v>
      </c>
      <c r="G2527">
        <v>463028</v>
      </c>
      <c r="H2527" t="s">
        <v>6777</v>
      </c>
      <c r="I2527" t="s">
        <v>3222</v>
      </c>
      <c r="J2527">
        <v>26</v>
      </c>
      <c r="K2527">
        <v>4716</v>
      </c>
      <c r="L2527">
        <v>10001</v>
      </c>
      <c r="M2527" t="s">
        <v>3135</v>
      </c>
      <c r="N2527">
        <v>584</v>
      </c>
      <c r="O2527" s="2">
        <v>46190</v>
      </c>
      <c r="P2527" s="2">
        <v>46296</v>
      </c>
      <c r="R2527" t="s">
        <v>3304</v>
      </c>
      <c r="S2527" t="str">
        <f t="shared" si="4"/>
        <v>07.0574701</v>
      </c>
      <c r="T2527" t="s">
        <v>41</v>
      </c>
      <c r="U2527">
        <v>318.45</v>
      </c>
      <c r="V2527">
        <v>318.45</v>
      </c>
      <c r="W2527">
        <v>318.45</v>
      </c>
      <c r="X2527">
        <v>0</v>
      </c>
      <c r="Y2527">
        <v>0</v>
      </c>
      <c r="Z2527">
        <v>-521</v>
      </c>
      <c r="AA2527">
        <v>691691</v>
      </c>
      <c r="AD2527" t="s">
        <v>6778</v>
      </c>
      <c r="AE2527" t="s">
        <v>6667</v>
      </c>
      <c r="AF2527" t="s">
        <v>6778</v>
      </c>
      <c r="AG2527">
        <v>93209765021467</v>
      </c>
      <c r="AH2527" t="s">
        <v>4609</v>
      </c>
    </row>
    <row r="2528" spans="1:34" x14ac:dyDescent="0.3">
      <c r="A2528">
        <v>101</v>
      </c>
      <c r="B2528" t="s">
        <v>34</v>
      </c>
      <c r="C2528">
        <v>4</v>
      </c>
      <c r="D2528" s="1" t="s">
        <v>6779</v>
      </c>
      <c r="E2528" t="s">
        <v>3134</v>
      </c>
      <c r="G2528">
        <v>463028</v>
      </c>
      <c r="H2528" t="s">
        <v>6777</v>
      </c>
      <c r="I2528" t="s">
        <v>3222</v>
      </c>
      <c r="J2528">
        <v>26</v>
      </c>
      <c r="K2528">
        <v>4716</v>
      </c>
      <c r="L2528">
        <v>10001</v>
      </c>
      <c r="M2528" t="s">
        <v>3135</v>
      </c>
      <c r="N2528">
        <v>584</v>
      </c>
      <c r="O2528" s="2">
        <v>46190</v>
      </c>
      <c r="P2528" s="2">
        <v>46296</v>
      </c>
      <c r="R2528" t="s">
        <v>3304</v>
      </c>
      <c r="S2528" t="str">
        <f t="shared" si="4"/>
        <v>07.0574701</v>
      </c>
      <c r="T2528" t="s">
        <v>41</v>
      </c>
      <c r="U2528">
        <v>5302.11</v>
      </c>
      <c r="V2528">
        <v>5302.11</v>
      </c>
      <c r="W2528">
        <v>5302.11</v>
      </c>
      <c r="X2528">
        <v>0</v>
      </c>
      <c r="Y2528">
        <v>0</v>
      </c>
      <c r="Z2528">
        <v>-521</v>
      </c>
      <c r="AA2528">
        <v>691635</v>
      </c>
      <c r="AD2528" t="s">
        <v>6778</v>
      </c>
      <c r="AE2528" t="s">
        <v>6667</v>
      </c>
      <c r="AF2528" t="s">
        <v>6778</v>
      </c>
      <c r="AG2528">
        <v>93209765021467</v>
      </c>
      <c r="AH2528" t="s">
        <v>4609</v>
      </c>
    </row>
    <row r="2529" spans="1:34" x14ac:dyDescent="0.3">
      <c r="A2529">
        <v>101</v>
      </c>
      <c r="B2529" t="s">
        <v>34</v>
      </c>
      <c r="C2529">
        <v>4</v>
      </c>
      <c r="D2529" s="1" t="s">
        <v>6780</v>
      </c>
      <c r="E2529" t="s">
        <v>3134</v>
      </c>
      <c r="G2529">
        <v>463029</v>
      </c>
      <c r="H2529" t="s">
        <v>6781</v>
      </c>
      <c r="I2529" t="s">
        <v>3222</v>
      </c>
      <c r="J2529">
        <v>26</v>
      </c>
      <c r="K2529">
        <v>4716</v>
      </c>
      <c r="L2529">
        <v>10001</v>
      </c>
      <c r="M2529" t="s">
        <v>3135</v>
      </c>
      <c r="N2529">
        <v>584</v>
      </c>
      <c r="O2529" s="2">
        <v>46190</v>
      </c>
      <c r="P2529" s="2">
        <v>46281</v>
      </c>
      <c r="R2529" t="s">
        <v>3304</v>
      </c>
      <c r="S2529" t="str">
        <f t="shared" si="4"/>
        <v>07.0574701</v>
      </c>
      <c r="T2529" t="s">
        <v>41</v>
      </c>
      <c r="U2529">
        <v>6860.44</v>
      </c>
      <c r="V2529">
        <v>6860.44</v>
      </c>
      <c r="W2529">
        <v>6860.44</v>
      </c>
      <c r="X2529">
        <v>0</v>
      </c>
      <c r="Y2529">
        <v>0</v>
      </c>
      <c r="Z2529">
        <v>-506</v>
      </c>
      <c r="AA2529">
        <v>691631</v>
      </c>
      <c r="AD2529" t="s">
        <v>6782</v>
      </c>
      <c r="AE2529" t="s">
        <v>6667</v>
      </c>
      <c r="AF2529" t="s">
        <v>6782</v>
      </c>
      <c r="AG2529">
        <v>93209765041301</v>
      </c>
      <c r="AH2529" t="s">
        <v>4609</v>
      </c>
    </row>
    <row r="2530" spans="1:34" x14ac:dyDescent="0.3">
      <c r="A2530">
        <v>101</v>
      </c>
      <c r="B2530" t="s">
        <v>34</v>
      </c>
      <c r="C2530">
        <v>4</v>
      </c>
      <c r="D2530" s="1" t="s">
        <v>6783</v>
      </c>
      <c r="E2530" t="s">
        <v>3134</v>
      </c>
      <c r="G2530">
        <v>463029</v>
      </c>
      <c r="H2530" t="s">
        <v>6781</v>
      </c>
      <c r="I2530" t="s">
        <v>3222</v>
      </c>
      <c r="J2530">
        <v>26</v>
      </c>
      <c r="K2530">
        <v>4716</v>
      </c>
      <c r="L2530">
        <v>10001</v>
      </c>
      <c r="M2530" t="s">
        <v>3135</v>
      </c>
      <c r="N2530">
        <v>584</v>
      </c>
      <c r="O2530" s="2">
        <v>46190</v>
      </c>
      <c r="P2530" s="2">
        <v>46281</v>
      </c>
      <c r="R2530" t="s">
        <v>3304</v>
      </c>
      <c r="S2530" t="str">
        <f t="shared" si="4"/>
        <v>07.0574701</v>
      </c>
      <c r="T2530" t="s">
        <v>41</v>
      </c>
      <c r="U2530">
        <v>318.45</v>
      </c>
      <c r="V2530">
        <v>318.45</v>
      </c>
      <c r="W2530">
        <v>318.45</v>
      </c>
      <c r="X2530">
        <v>0</v>
      </c>
      <c r="Y2530">
        <v>0</v>
      </c>
      <c r="Z2530">
        <v>-506</v>
      </c>
      <c r="AA2530">
        <v>691687</v>
      </c>
      <c r="AD2530" t="s">
        <v>6782</v>
      </c>
      <c r="AE2530" t="s">
        <v>6667</v>
      </c>
      <c r="AF2530" t="s">
        <v>6782</v>
      </c>
      <c r="AG2530">
        <v>93209765041301</v>
      </c>
      <c r="AH2530" t="s">
        <v>4609</v>
      </c>
    </row>
    <row r="2531" spans="1:34" x14ac:dyDescent="0.3">
      <c r="A2531">
        <v>101</v>
      </c>
      <c r="B2531" t="s">
        <v>34</v>
      </c>
      <c r="C2531">
        <v>4</v>
      </c>
      <c r="D2531" s="1" t="s">
        <v>6784</v>
      </c>
      <c r="E2531" t="s">
        <v>3134</v>
      </c>
      <c r="G2531">
        <v>463030</v>
      </c>
      <c r="H2531" t="s">
        <v>6785</v>
      </c>
      <c r="I2531" t="s">
        <v>3222</v>
      </c>
      <c r="J2531">
        <v>26</v>
      </c>
      <c r="K2531">
        <v>4716</v>
      </c>
      <c r="L2531">
        <v>10001</v>
      </c>
      <c r="M2531" t="s">
        <v>3135</v>
      </c>
      <c r="N2531">
        <v>584</v>
      </c>
      <c r="O2531" s="2">
        <v>46190</v>
      </c>
      <c r="P2531" s="2">
        <v>46281</v>
      </c>
      <c r="R2531" t="s">
        <v>3304</v>
      </c>
      <c r="S2531" t="str">
        <f t="shared" si="4"/>
        <v>07.0574701</v>
      </c>
      <c r="T2531" t="s">
        <v>41</v>
      </c>
      <c r="U2531">
        <v>10339.120000000001</v>
      </c>
      <c r="V2531">
        <v>10339.120000000001</v>
      </c>
      <c r="W2531">
        <v>10339.120000000001</v>
      </c>
      <c r="X2531">
        <v>0</v>
      </c>
      <c r="Y2531">
        <v>0</v>
      </c>
      <c r="Z2531">
        <v>-506</v>
      </c>
      <c r="AA2531">
        <v>691633</v>
      </c>
      <c r="AD2531" t="s">
        <v>6786</v>
      </c>
      <c r="AE2531" t="s">
        <v>6667</v>
      </c>
      <c r="AF2531" t="s">
        <v>6786</v>
      </c>
      <c r="AG2531">
        <v>93209765025616</v>
      </c>
      <c r="AH2531" t="s">
        <v>4609</v>
      </c>
    </row>
    <row r="2532" spans="1:34" x14ac:dyDescent="0.3">
      <c r="A2532">
        <v>101</v>
      </c>
      <c r="B2532" t="s">
        <v>34</v>
      </c>
      <c r="C2532">
        <v>4</v>
      </c>
      <c r="D2532" s="1" t="s">
        <v>6787</v>
      </c>
      <c r="E2532" t="s">
        <v>3134</v>
      </c>
      <c r="G2532">
        <v>463030</v>
      </c>
      <c r="H2532" t="s">
        <v>6785</v>
      </c>
      <c r="I2532" t="s">
        <v>3222</v>
      </c>
      <c r="J2532">
        <v>26</v>
      </c>
      <c r="K2532">
        <v>4716</v>
      </c>
      <c r="L2532">
        <v>10001</v>
      </c>
      <c r="M2532" t="s">
        <v>3135</v>
      </c>
      <c r="N2532">
        <v>584</v>
      </c>
      <c r="O2532" s="2">
        <v>46190</v>
      </c>
      <c r="P2532" s="2">
        <v>46281</v>
      </c>
      <c r="R2532" t="s">
        <v>3304</v>
      </c>
      <c r="S2532" t="str">
        <f t="shared" si="4"/>
        <v>07.0574701</v>
      </c>
      <c r="T2532" t="s">
        <v>41</v>
      </c>
      <c r="U2532">
        <v>636.9</v>
      </c>
      <c r="V2532">
        <v>636.9</v>
      </c>
      <c r="W2532">
        <v>636.9</v>
      </c>
      <c r="X2532">
        <v>0</v>
      </c>
      <c r="Y2532">
        <v>0</v>
      </c>
      <c r="Z2532">
        <v>-506</v>
      </c>
      <c r="AA2532">
        <v>691689</v>
      </c>
      <c r="AD2532" t="s">
        <v>6786</v>
      </c>
      <c r="AE2532" t="s">
        <v>6667</v>
      </c>
      <c r="AF2532" t="s">
        <v>6786</v>
      </c>
      <c r="AG2532">
        <v>93209765025616</v>
      </c>
      <c r="AH2532" t="s">
        <v>4609</v>
      </c>
    </row>
    <row r="2533" spans="1:34" x14ac:dyDescent="0.3">
      <c r="A2533">
        <v>101</v>
      </c>
      <c r="B2533" t="s">
        <v>34</v>
      </c>
      <c r="C2533">
        <v>4</v>
      </c>
      <c r="D2533" s="1" t="s">
        <v>6788</v>
      </c>
      <c r="E2533" t="s">
        <v>3134</v>
      </c>
      <c r="G2533">
        <v>463031</v>
      </c>
      <c r="H2533" t="s">
        <v>6789</v>
      </c>
      <c r="I2533" t="s">
        <v>3222</v>
      </c>
      <c r="J2533">
        <v>26</v>
      </c>
      <c r="K2533">
        <v>4716</v>
      </c>
      <c r="L2533">
        <v>10001</v>
      </c>
      <c r="M2533" t="s">
        <v>3135</v>
      </c>
      <c r="N2533">
        <v>584</v>
      </c>
      <c r="O2533" s="2">
        <v>46190</v>
      </c>
      <c r="P2533" s="2">
        <v>46281</v>
      </c>
      <c r="R2533" t="s">
        <v>3304</v>
      </c>
      <c r="S2533" t="str">
        <f t="shared" si="4"/>
        <v>07.0574701</v>
      </c>
      <c r="T2533" t="s">
        <v>41</v>
      </c>
      <c r="U2533">
        <v>636.9</v>
      </c>
      <c r="V2533">
        <v>636.9</v>
      </c>
      <c r="W2533">
        <v>636.9</v>
      </c>
      <c r="X2533">
        <v>0</v>
      </c>
      <c r="Y2533">
        <v>0</v>
      </c>
      <c r="Z2533">
        <v>-506</v>
      </c>
      <c r="AA2533">
        <v>691697</v>
      </c>
      <c r="AD2533" t="s">
        <v>6790</v>
      </c>
      <c r="AE2533" t="s">
        <v>6667</v>
      </c>
      <c r="AF2533" t="s">
        <v>6790</v>
      </c>
      <c r="AG2533">
        <v>93209765029794</v>
      </c>
      <c r="AH2533" t="s">
        <v>4609</v>
      </c>
    </row>
    <row r="2534" spans="1:34" x14ac:dyDescent="0.3">
      <c r="A2534">
        <v>101</v>
      </c>
      <c r="B2534" t="s">
        <v>34</v>
      </c>
      <c r="C2534">
        <v>4</v>
      </c>
      <c r="D2534" s="1" t="s">
        <v>6791</v>
      </c>
      <c r="E2534" t="s">
        <v>3134</v>
      </c>
      <c r="G2534">
        <v>463031</v>
      </c>
      <c r="H2534" t="s">
        <v>6789</v>
      </c>
      <c r="I2534" t="s">
        <v>3222</v>
      </c>
      <c r="J2534">
        <v>26</v>
      </c>
      <c r="K2534">
        <v>4716</v>
      </c>
      <c r="L2534">
        <v>10001</v>
      </c>
      <c r="M2534" t="s">
        <v>3135</v>
      </c>
      <c r="N2534">
        <v>584</v>
      </c>
      <c r="O2534" s="2">
        <v>46190</v>
      </c>
      <c r="P2534" s="2">
        <v>46281</v>
      </c>
      <c r="R2534" t="s">
        <v>3304</v>
      </c>
      <c r="S2534" t="str">
        <f t="shared" si="4"/>
        <v>07.0574701</v>
      </c>
      <c r="T2534" t="s">
        <v>41</v>
      </c>
      <c r="U2534">
        <v>5613.35</v>
      </c>
      <c r="V2534">
        <v>5613.35</v>
      </c>
      <c r="W2534">
        <v>5613.35</v>
      </c>
      <c r="X2534">
        <v>0</v>
      </c>
      <c r="Y2534">
        <v>0</v>
      </c>
      <c r="Z2534">
        <v>-506</v>
      </c>
      <c r="AA2534">
        <v>691641</v>
      </c>
      <c r="AD2534" t="s">
        <v>6790</v>
      </c>
      <c r="AE2534" t="s">
        <v>6667</v>
      </c>
      <c r="AF2534" t="s">
        <v>6790</v>
      </c>
      <c r="AG2534">
        <v>93209765029794</v>
      </c>
      <c r="AH2534" t="s">
        <v>4609</v>
      </c>
    </row>
    <row r="2535" spans="1:34" x14ac:dyDescent="0.3">
      <c r="A2535">
        <v>104</v>
      </c>
      <c r="B2535" t="s">
        <v>34</v>
      </c>
      <c r="C2535">
        <v>4</v>
      </c>
      <c r="D2535" s="1" t="s">
        <v>6792</v>
      </c>
      <c r="E2535" s="1" t="s">
        <v>36</v>
      </c>
      <c r="G2535">
        <v>463275</v>
      </c>
      <c r="H2535" t="s">
        <v>6793</v>
      </c>
      <c r="I2535" t="s">
        <v>3222</v>
      </c>
      <c r="J2535">
        <v>26</v>
      </c>
      <c r="K2535">
        <v>4716</v>
      </c>
      <c r="L2535">
        <v>95000</v>
      </c>
      <c r="M2535" t="s">
        <v>69</v>
      </c>
      <c r="N2535">
        <v>584</v>
      </c>
      <c r="O2535" s="2">
        <v>46234</v>
      </c>
      <c r="P2535" s="2">
        <v>46329</v>
      </c>
      <c r="R2535" t="s">
        <v>6794</v>
      </c>
      <c r="S2535" t="str">
        <f>""</f>
        <v/>
      </c>
      <c r="T2535" t="s">
        <v>41</v>
      </c>
      <c r="U2535">
        <v>10928.31</v>
      </c>
      <c r="V2535">
        <v>10087.89</v>
      </c>
      <c r="W2535">
        <v>10087.89</v>
      </c>
      <c r="X2535">
        <v>0</v>
      </c>
      <c r="Y2535">
        <v>0</v>
      </c>
      <c r="Z2535">
        <v>-554</v>
      </c>
      <c r="AA2535">
        <v>694029</v>
      </c>
      <c r="AD2535" t="s">
        <v>6037</v>
      </c>
      <c r="AE2535" t="s">
        <v>6667</v>
      </c>
      <c r="AF2535" t="s">
        <v>6037</v>
      </c>
      <c r="AG2535">
        <v>93209765051706</v>
      </c>
      <c r="AH2535" t="s">
        <v>4686</v>
      </c>
    </row>
    <row r="2536" spans="1:34" x14ac:dyDescent="0.3">
      <c r="A2536">
        <v>104</v>
      </c>
      <c r="B2536" t="s">
        <v>34</v>
      </c>
      <c r="C2536">
        <v>4</v>
      </c>
      <c r="D2536" s="1" t="s">
        <v>6795</v>
      </c>
      <c r="E2536" s="1" t="s">
        <v>122</v>
      </c>
      <c r="G2536">
        <v>463670</v>
      </c>
      <c r="H2536" t="s">
        <v>6796</v>
      </c>
      <c r="I2536" t="s">
        <v>3131</v>
      </c>
      <c r="J2536">
        <v>26</v>
      </c>
      <c r="K2536">
        <v>4716</v>
      </c>
      <c r="L2536">
        <v>95000</v>
      </c>
      <c r="M2536" t="s">
        <v>69</v>
      </c>
      <c r="N2536">
        <v>584</v>
      </c>
      <c r="O2536" s="2">
        <v>46223</v>
      </c>
      <c r="P2536" s="2">
        <v>46328</v>
      </c>
      <c r="R2536" t="s">
        <v>6268</v>
      </c>
      <c r="S2536" t="str">
        <f>""</f>
        <v/>
      </c>
      <c r="T2536" t="s">
        <v>41</v>
      </c>
      <c r="U2536">
        <v>187.48</v>
      </c>
      <c r="V2536">
        <v>187.48</v>
      </c>
      <c r="W2536">
        <v>187.48</v>
      </c>
      <c r="X2536">
        <v>0</v>
      </c>
      <c r="Y2536">
        <v>0</v>
      </c>
      <c r="Z2536">
        <v>-553</v>
      </c>
      <c r="AC2536" t="s">
        <v>6269</v>
      </c>
      <c r="AD2536" t="s">
        <v>6797</v>
      </c>
      <c r="AE2536" t="s">
        <v>6798</v>
      </c>
      <c r="AF2536" t="s">
        <v>6797</v>
      </c>
      <c r="AG2536">
        <v>75315333031926</v>
      </c>
      <c r="AH2536" t="s">
        <v>3698</v>
      </c>
    </row>
    <row r="2537" spans="1:34" x14ac:dyDescent="0.3">
      <c r="A2537">
        <v>104</v>
      </c>
      <c r="B2537" t="s">
        <v>34</v>
      </c>
      <c r="C2537">
        <v>4</v>
      </c>
      <c r="D2537" s="1" t="s">
        <v>6799</v>
      </c>
      <c r="E2537" s="1" t="s">
        <v>36</v>
      </c>
      <c r="G2537">
        <v>463670</v>
      </c>
      <c r="H2537" t="s">
        <v>6796</v>
      </c>
      <c r="I2537" t="s">
        <v>3131</v>
      </c>
      <c r="J2537">
        <v>26</v>
      </c>
      <c r="K2537">
        <v>4716</v>
      </c>
      <c r="L2537">
        <v>95000</v>
      </c>
      <c r="M2537" t="s">
        <v>69</v>
      </c>
      <c r="N2537">
        <v>584</v>
      </c>
      <c r="O2537" s="2">
        <v>46211</v>
      </c>
      <c r="P2537" s="2">
        <v>46328</v>
      </c>
      <c r="R2537" t="s">
        <v>6800</v>
      </c>
      <c r="S2537" t="str">
        <f>""</f>
        <v/>
      </c>
      <c r="T2537" t="s">
        <v>41</v>
      </c>
      <c r="U2537">
        <v>18443.78</v>
      </c>
      <c r="V2537">
        <v>17798.25</v>
      </c>
      <c r="W2537">
        <v>17798.25</v>
      </c>
      <c r="X2537">
        <v>0</v>
      </c>
      <c r="Y2537">
        <v>0</v>
      </c>
      <c r="Z2537">
        <v>-553</v>
      </c>
      <c r="AA2537">
        <v>694011</v>
      </c>
      <c r="AD2537" t="s">
        <v>6797</v>
      </c>
      <c r="AE2537" t="s">
        <v>6798</v>
      </c>
      <c r="AF2537" t="s">
        <v>6797</v>
      </c>
      <c r="AG2537">
        <v>75315333031926</v>
      </c>
      <c r="AH2537" t="s">
        <v>3698</v>
      </c>
    </row>
    <row r="2538" spans="1:34" x14ac:dyDescent="0.3">
      <c r="A2538">
        <v>104</v>
      </c>
      <c r="B2538" t="s">
        <v>34</v>
      </c>
      <c r="C2538">
        <v>4</v>
      </c>
      <c r="D2538" s="1" t="s">
        <v>6795</v>
      </c>
      <c r="E2538" s="1" t="s">
        <v>36</v>
      </c>
      <c r="G2538">
        <v>463670</v>
      </c>
      <c r="H2538" t="s">
        <v>6796</v>
      </c>
      <c r="I2538" t="s">
        <v>3131</v>
      </c>
      <c r="J2538">
        <v>26</v>
      </c>
      <c r="K2538">
        <v>4716</v>
      </c>
      <c r="L2538">
        <v>95000</v>
      </c>
      <c r="M2538" t="s">
        <v>69</v>
      </c>
      <c r="N2538">
        <v>584</v>
      </c>
      <c r="O2538" s="2">
        <v>46211</v>
      </c>
      <c r="P2538" s="2">
        <v>46328</v>
      </c>
      <c r="R2538" t="s">
        <v>6801</v>
      </c>
      <c r="S2538" t="str">
        <f>""</f>
        <v/>
      </c>
      <c r="T2538" t="s">
        <v>41</v>
      </c>
      <c r="U2538">
        <v>1305.03</v>
      </c>
      <c r="V2538">
        <v>1259.3499999999999</v>
      </c>
      <c r="W2538">
        <v>1259.3499999999999</v>
      </c>
      <c r="X2538">
        <v>0</v>
      </c>
      <c r="Y2538">
        <v>0</v>
      </c>
      <c r="Z2538">
        <v>-553</v>
      </c>
      <c r="AA2538">
        <v>693953</v>
      </c>
      <c r="AD2538" t="s">
        <v>6797</v>
      </c>
      <c r="AE2538" t="s">
        <v>6798</v>
      </c>
      <c r="AF2538" t="s">
        <v>6797</v>
      </c>
      <c r="AG2538">
        <v>75315333031926</v>
      </c>
      <c r="AH2538" t="s">
        <v>3698</v>
      </c>
    </row>
    <row r="2539" spans="1:34" x14ac:dyDescent="0.3">
      <c r="A2539">
        <v>101</v>
      </c>
      <c r="B2539" t="s">
        <v>34</v>
      </c>
      <c r="C2539">
        <v>4</v>
      </c>
      <c r="D2539" s="1" t="s">
        <v>6802</v>
      </c>
      <c r="E2539" t="s">
        <v>3134</v>
      </c>
      <c r="G2539">
        <v>463671</v>
      </c>
      <c r="H2539" t="s">
        <v>6803</v>
      </c>
      <c r="I2539" t="s">
        <v>3131</v>
      </c>
      <c r="J2539">
        <v>26</v>
      </c>
      <c r="K2539">
        <v>4716</v>
      </c>
      <c r="L2539">
        <v>10001</v>
      </c>
      <c r="M2539" t="s">
        <v>3135</v>
      </c>
      <c r="N2539">
        <v>584</v>
      </c>
      <c r="O2539" s="2">
        <v>46211</v>
      </c>
      <c r="P2539" s="2">
        <v>46311</v>
      </c>
      <c r="R2539" t="s">
        <v>3187</v>
      </c>
      <c r="S2539" t="str">
        <f t="shared" ref="S2539:S2544" si="5">"08.0579034"</f>
        <v>08.0579034</v>
      </c>
      <c r="T2539" t="s">
        <v>41</v>
      </c>
      <c r="U2539">
        <v>6330.95</v>
      </c>
      <c r="V2539">
        <v>6330.95</v>
      </c>
      <c r="W2539">
        <v>6330.95</v>
      </c>
      <c r="X2539">
        <v>0</v>
      </c>
      <c r="Y2539">
        <v>0</v>
      </c>
      <c r="Z2539">
        <v>-536</v>
      </c>
      <c r="AA2539">
        <v>694001</v>
      </c>
      <c r="AD2539" t="s">
        <v>4897</v>
      </c>
      <c r="AE2539" t="s">
        <v>6798</v>
      </c>
      <c r="AF2539" t="s">
        <v>4897</v>
      </c>
      <c r="AG2539">
        <v>75315333027813</v>
      </c>
      <c r="AH2539" t="s">
        <v>3698</v>
      </c>
    </row>
    <row r="2540" spans="1:34" x14ac:dyDescent="0.3">
      <c r="A2540">
        <v>101</v>
      </c>
      <c r="B2540" t="s">
        <v>34</v>
      </c>
      <c r="C2540">
        <v>4</v>
      </c>
      <c r="D2540" s="1" t="s">
        <v>6804</v>
      </c>
      <c r="E2540" t="s">
        <v>4694</v>
      </c>
      <c r="G2540">
        <v>463671</v>
      </c>
      <c r="H2540" t="s">
        <v>6803</v>
      </c>
      <c r="I2540" t="s">
        <v>3131</v>
      </c>
      <c r="J2540">
        <v>26</v>
      </c>
      <c r="K2540">
        <v>4716</v>
      </c>
      <c r="L2540">
        <v>10001</v>
      </c>
      <c r="M2540" t="s">
        <v>3135</v>
      </c>
      <c r="N2540">
        <v>584</v>
      </c>
      <c r="O2540" s="2">
        <v>46223</v>
      </c>
      <c r="P2540" s="2">
        <v>46311</v>
      </c>
      <c r="R2540" t="s">
        <v>3187</v>
      </c>
      <c r="S2540" t="str">
        <f t="shared" si="5"/>
        <v>08.0579034</v>
      </c>
      <c r="T2540" t="s">
        <v>41</v>
      </c>
      <c r="U2540">
        <v>82.96</v>
      </c>
      <c r="V2540">
        <v>82.96</v>
      </c>
      <c r="W2540">
        <v>82.96</v>
      </c>
      <c r="X2540">
        <v>0</v>
      </c>
      <c r="Y2540">
        <v>0</v>
      </c>
      <c r="Z2540">
        <v>-536</v>
      </c>
      <c r="AC2540" t="s">
        <v>6269</v>
      </c>
      <c r="AD2540" t="s">
        <v>4897</v>
      </c>
      <c r="AE2540" t="s">
        <v>6798</v>
      </c>
      <c r="AF2540" t="s">
        <v>4897</v>
      </c>
      <c r="AG2540">
        <v>75315333027813</v>
      </c>
      <c r="AH2540" t="s">
        <v>3698</v>
      </c>
    </row>
    <row r="2541" spans="1:34" x14ac:dyDescent="0.3">
      <c r="A2541">
        <v>101</v>
      </c>
      <c r="B2541" t="s">
        <v>34</v>
      </c>
      <c r="C2541">
        <v>4</v>
      </c>
      <c r="D2541" s="1" t="s">
        <v>6804</v>
      </c>
      <c r="E2541" t="s">
        <v>3134</v>
      </c>
      <c r="G2541">
        <v>463671</v>
      </c>
      <c r="H2541" t="s">
        <v>6803</v>
      </c>
      <c r="I2541" t="s">
        <v>3131</v>
      </c>
      <c r="J2541">
        <v>26</v>
      </c>
      <c r="K2541">
        <v>4716</v>
      </c>
      <c r="L2541">
        <v>10001</v>
      </c>
      <c r="M2541" t="s">
        <v>3135</v>
      </c>
      <c r="N2541">
        <v>584</v>
      </c>
      <c r="O2541" s="2">
        <v>46211</v>
      </c>
      <c r="P2541" s="2">
        <v>46311</v>
      </c>
      <c r="R2541" t="s">
        <v>3187</v>
      </c>
      <c r="S2541" t="str">
        <f t="shared" si="5"/>
        <v>08.0579034</v>
      </c>
      <c r="T2541" t="s">
        <v>41</v>
      </c>
      <c r="U2541">
        <v>882.5</v>
      </c>
      <c r="V2541">
        <v>882.5</v>
      </c>
      <c r="W2541">
        <v>882.5</v>
      </c>
      <c r="X2541">
        <v>0</v>
      </c>
      <c r="Y2541">
        <v>0</v>
      </c>
      <c r="Z2541">
        <v>-536</v>
      </c>
      <c r="AA2541">
        <v>693943</v>
      </c>
      <c r="AD2541" t="s">
        <v>4897</v>
      </c>
      <c r="AE2541" t="s">
        <v>6798</v>
      </c>
      <c r="AF2541" t="s">
        <v>4897</v>
      </c>
      <c r="AG2541">
        <v>75315333027813</v>
      </c>
      <c r="AH2541" t="s">
        <v>3698</v>
      </c>
    </row>
    <row r="2542" spans="1:34" x14ac:dyDescent="0.3">
      <c r="A2542">
        <v>101</v>
      </c>
      <c r="B2542" t="s">
        <v>34</v>
      </c>
      <c r="C2542">
        <v>4</v>
      </c>
      <c r="D2542" s="1" t="s">
        <v>6805</v>
      </c>
      <c r="E2542" t="s">
        <v>3134</v>
      </c>
      <c r="G2542">
        <v>463672</v>
      </c>
      <c r="H2542" t="s">
        <v>6806</v>
      </c>
      <c r="I2542" t="s">
        <v>3131</v>
      </c>
      <c r="J2542">
        <v>26</v>
      </c>
      <c r="K2542">
        <v>4716</v>
      </c>
      <c r="L2542">
        <v>10001</v>
      </c>
      <c r="M2542" t="s">
        <v>3135</v>
      </c>
      <c r="N2542">
        <v>584</v>
      </c>
      <c r="O2542" s="2">
        <v>46211</v>
      </c>
      <c r="P2542" s="2">
        <v>46329</v>
      </c>
      <c r="R2542" t="s">
        <v>3187</v>
      </c>
      <c r="S2542" t="str">
        <f t="shared" si="5"/>
        <v>08.0579034</v>
      </c>
      <c r="T2542" t="s">
        <v>41</v>
      </c>
      <c r="U2542">
        <v>26100.75</v>
      </c>
      <c r="V2542">
        <v>26100.75</v>
      </c>
      <c r="W2542">
        <v>26100.75</v>
      </c>
      <c r="X2542">
        <v>0</v>
      </c>
      <c r="Y2542">
        <v>0</v>
      </c>
      <c r="Z2542">
        <v>-554</v>
      </c>
      <c r="AA2542">
        <v>693997</v>
      </c>
      <c r="AD2542" t="s">
        <v>6807</v>
      </c>
      <c r="AE2542" t="s">
        <v>6798</v>
      </c>
      <c r="AF2542" t="s">
        <v>6807</v>
      </c>
      <c r="AG2542">
        <v>75315333027066</v>
      </c>
      <c r="AH2542" t="s">
        <v>3698</v>
      </c>
    </row>
    <row r="2543" spans="1:34" x14ac:dyDescent="0.3">
      <c r="A2543">
        <v>101</v>
      </c>
      <c r="B2543" t="s">
        <v>34</v>
      </c>
      <c r="C2543">
        <v>4</v>
      </c>
      <c r="D2543" s="1" t="s">
        <v>6808</v>
      </c>
      <c r="E2543" t="s">
        <v>4694</v>
      </c>
      <c r="G2543">
        <v>463672</v>
      </c>
      <c r="H2543" t="s">
        <v>6806</v>
      </c>
      <c r="I2543" t="s">
        <v>3131</v>
      </c>
      <c r="J2543">
        <v>26</v>
      </c>
      <c r="K2543">
        <v>4716</v>
      </c>
      <c r="L2543">
        <v>10001</v>
      </c>
      <c r="M2543" t="s">
        <v>3135</v>
      </c>
      <c r="N2543">
        <v>584</v>
      </c>
      <c r="O2543" s="2">
        <v>46223</v>
      </c>
      <c r="P2543" s="2">
        <v>46329</v>
      </c>
      <c r="R2543" t="s">
        <v>3187</v>
      </c>
      <c r="S2543" t="str">
        <f t="shared" si="5"/>
        <v>08.0579034</v>
      </c>
      <c r="T2543" t="s">
        <v>41</v>
      </c>
      <c r="U2543">
        <v>405.26</v>
      </c>
      <c r="V2543">
        <v>405.26</v>
      </c>
      <c r="W2543">
        <v>405.26</v>
      </c>
      <c r="X2543">
        <v>0</v>
      </c>
      <c r="Y2543">
        <v>0</v>
      </c>
      <c r="Z2543">
        <v>-554</v>
      </c>
      <c r="AC2543" t="s">
        <v>6269</v>
      </c>
      <c r="AD2543" t="s">
        <v>6807</v>
      </c>
      <c r="AE2543" t="s">
        <v>6798</v>
      </c>
      <c r="AF2543" t="s">
        <v>6807</v>
      </c>
      <c r="AG2543">
        <v>75315333027066</v>
      </c>
      <c r="AH2543" t="s">
        <v>3698</v>
      </c>
    </row>
    <row r="2544" spans="1:34" x14ac:dyDescent="0.3">
      <c r="A2544">
        <v>101</v>
      </c>
      <c r="B2544" t="s">
        <v>34</v>
      </c>
      <c r="C2544">
        <v>4</v>
      </c>
      <c r="D2544" s="1" t="s">
        <v>6808</v>
      </c>
      <c r="E2544" t="s">
        <v>3134</v>
      </c>
      <c r="G2544">
        <v>463672</v>
      </c>
      <c r="H2544" t="s">
        <v>6806</v>
      </c>
      <c r="I2544" t="s">
        <v>3131</v>
      </c>
      <c r="J2544">
        <v>26</v>
      </c>
      <c r="K2544">
        <v>4716</v>
      </c>
      <c r="L2544">
        <v>10001</v>
      </c>
      <c r="M2544" t="s">
        <v>3135</v>
      </c>
      <c r="N2544">
        <v>584</v>
      </c>
      <c r="O2544" s="2">
        <v>46211</v>
      </c>
      <c r="P2544" s="2">
        <v>46329</v>
      </c>
      <c r="R2544" t="s">
        <v>3187</v>
      </c>
      <c r="S2544" t="str">
        <f t="shared" si="5"/>
        <v>08.0579034</v>
      </c>
      <c r="T2544" t="s">
        <v>41</v>
      </c>
      <c r="U2544">
        <v>1659</v>
      </c>
      <c r="V2544">
        <v>1659</v>
      </c>
      <c r="W2544">
        <v>1659</v>
      </c>
      <c r="X2544">
        <v>0</v>
      </c>
      <c r="Y2544">
        <v>0</v>
      </c>
      <c r="Z2544">
        <v>-554</v>
      </c>
      <c r="AA2544">
        <v>693939</v>
      </c>
      <c r="AD2544" t="s">
        <v>6807</v>
      </c>
      <c r="AE2544" t="s">
        <v>6798</v>
      </c>
      <c r="AF2544" t="s">
        <v>6807</v>
      </c>
      <c r="AG2544">
        <v>75315333027066</v>
      </c>
      <c r="AH2544" t="s">
        <v>3698</v>
      </c>
    </row>
    <row r="2545" spans="1:34" x14ac:dyDescent="0.3">
      <c r="A2545">
        <v>104</v>
      </c>
      <c r="B2545" t="s">
        <v>34</v>
      </c>
      <c r="C2545">
        <v>4</v>
      </c>
      <c r="D2545" s="1" t="s">
        <v>6809</v>
      </c>
      <c r="E2545" s="1" t="s">
        <v>36</v>
      </c>
      <c r="G2545">
        <v>464168</v>
      </c>
      <c r="H2545" t="s">
        <v>6810</v>
      </c>
      <c r="I2545" t="s">
        <v>3222</v>
      </c>
      <c r="J2545">
        <v>26</v>
      </c>
      <c r="K2545">
        <v>4716</v>
      </c>
      <c r="L2545">
        <v>95000</v>
      </c>
      <c r="M2545" t="s">
        <v>69</v>
      </c>
      <c r="N2545">
        <v>584</v>
      </c>
      <c r="O2545" s="2">
        <v>46251</v>
      </c>
      <c r="P2545" s="2">
        <v>46321</v>
      </c>
      <c r="R2545" t="s">
        <v>6811</v>
      </c>
      <c r="S2545" t="str">
        <f>""</f>
        <v/>
      </c>
      <c r="T2545" t="s">
        <v>41</v>
      </c>
      <c r="U2545">
        <v>11230.86</v>
      </c>
      <c r="V2545">
        <v>10388.549999999999</v>
      </c>
      <c r="W2545">
        <v>10388.549999999999</v>
      </c>
      <c r="X2545">
        <v>0</v>
      </c>
      <c r="Y2545">
        <v>0</v>
      </c>
      <c r="Z2545">
        <v>-546</v>
      </c>
      <c r="AA2545">
        <v>696893</v>
      </c>
      <c r="AD2545" t="s">
        <v>4310</v>
      </c>
      <c r="AE2545">
        <v>5133494540</v>
      </c>
      <c r="AF2545" t="s">
        <v>4310</v>
      </c>
      <c r="AG2545">
        <v>93209765030881</v>
      </c>
      <c r="AH2545" t="s">
        <v>3520</v>
      </c>
    </row>
    <row r="2546" spans="1:34" x14ac:dyDescent="0.3">
      <c r="A2546">
        <v>104</v>
      </c>
      <c r="B2546" t="s">
        <v>34</v>
      </c>
      <c r="C2546">
        <v>4</v>
      </c>
      <c r="D2546" s="1" t="s">
        <v>6812</v>
      </c>
      <c r="E2546" s="1" t="s">
        <v>36</v>
      </c>
      <c r="G2546">
        <v>464492</v>
      </c>
      <c r="H2546" t="s">
        <v>6813</v>
      </c>
      <c r="I2546" t="s">
        <v>3222</v>
      </c>
      <c r="J2546">
        <v>26</v>
      </c>
      <c r="K2546">
        <v>4716</v>
      </c>
      <c r="L2546">
        <v>95000</v>
      </c>
      <c r="M2546" t="s">
        <v>69</v>
      </c>
      <c r="N2546">
        <v>584</v>
      </c>
      <c r="O2546" s="2">
        <v>46251</v>
      </c>
      <c r="P2546" s="2">
        <v>46321</v>
      </c>
      <c r="R2546" t="s">
        <v>6814</v>
      </c>
      <c r="S2546" t="str">
        <f>""</f>
        <v/>
      </c>
      <c r="T2546" t="s">
        <v>41</v>
      </c>
      <c r="U2546">
        <v>21722.31</v>
      </c>
      <c r="V2546">
        <v>20093.14</v>
      </c>
      <c r="W2546">
        <v>20093.14</v>
      </c>
      <c r="X2546">
        <v>0</v>
      </c>
      <c r="Y2546">
        <v>0</v>
      </c>
      <c r="Z2546">
        <v>-546</v>
      </c>
      <c r="AA2546">
        <v>696575</v>
      </c>
      <c r="AD2546" t="s">
        <v>4884</v>
      </c>
      <c r="AE2546" t="s">
        <v>6163</v>
      </c>
      <c r="AF2546" t="s">
        <v>4884</v>
      </c>
      <c r="AG2546">
        <v>93209765050211</v>
      </c>
      <c r="AH2546" t="s">
        <v>423</v>
      </c>
    </row>
    <row r="2547" spans="1:34" x14ac:dyDescent="0.3">
      <c r="A2547">
        <v>101</v>
      </c>
      <c r="B2547" t="s">
        <v>34</v>
      </c>
      <c r="C2547">
        <v>4</v>
      </c>
      <c r="D2547" s="1" t="s">
        <v>6815</v>
      </c>
      <c r="E2547" t="s">
        <v>3134</v>
      </c>
      <c r="G2547">
        <v>464492</v>
      </c>
      <c r="H2547" t="s">
        <v>6813</v>
      </c>
      <c r="I2547" t="s">
        <v>3222</v>
      </c>
      <c r="J2547">
        <v>26</v>
      </c>
      <c r="K2547">
        <v>4716</v>
      </c>
      <c r="L2547">
        <v>10001</v>
      </c>
      <c r="M2547" t="s">
        <v>3135</v>
      </c>
      <c r="N2547">
        <v>584</v>
      </c>
      <c r="O2547" s="2">
        <v>46183</v>
      </c>
      <c r="P2547" s="2">
        <v>46281</v>
      </c>
      <c r="R2547" t="s">
        <v>3304</v>
      </c>
      <c r="S2547" t="str">
        <f>"07.0574701"</f>
        <v>07.0574701</v>
      </c>
      <c r="T2547" t="s">
        <v>41</v>
      </c>
      <c r="U2547">
        <v>11306.45</v>
      </c>
      <c r="V2547">
        <v>11306.45</v>
      </c>
      <c r="W2547">
        <v>11306.45</v>
      </c>
      <c r="X2547">
        <v>0</v>
      </c>
      <c r="Y2547">
        <v>0</v>
      </c>
      <c r="Z2547">
        <v>-506</v>
      </c>
      <c r="AA2547">
        <v>689568</v>
      </c>
      <c r="AD2547" t="s">
        <v>4884</v>
      </c>
      <c r="AE2547" t="s">
        <v>6163</v>
      </c>
      <c r="AF2547" t="s">
        <v>4884</v>
      </c>
      <c r="AG2547">
        <v>93209765050211</v>
      </c>
      <c r="AH2547" t="s">
        <v>423</v>
      </c>
    </row>
    <row r="2548" spans="1:34" x14ac:dyDescent="0.3">
      <c r="A2548">
        <v>101</v>
      </c>
      <c r="B2548" t="s">
        <v>34</v>
      </c>
      <c r="C2548">
        <v>4</v>
      </c>
      <c r="D2548" s="1" t="s">
        <v>6816</v>
      </c>
      <c r="E2548" t="s">
        <v>3134</v>
      </c>
      <c r="G2548">
        <v>464492</v>
      </c>
      <c r="H2548" t="s">
        <v>6813</v>
      </c>
      <c r="I2548" t="s">
        <v>3222</v>
      </c>
      <c r="J2548">
        <v>26</v>
      </c>
      <c r="K2548">
        <v>4716</v>
      </c>
      <c r="L2548">
        <v>10001</v>
      </c>
      <c r="M2548" t="s">
        <v>3135</v>
      </c>
      <c r="N2548">
        <v>584</v>
      </c>
      <c r="O2548" s="2">
        <v>46172</v>
      </c>
      <c r="P2548" s="2">
        <v>46281</v>
      </c>
      <c r="R2548" t="s">
        <v>3304</v>
      </c>
      <c r="S2548" t="str">
        <f>"07.0574701"</f>
        <v>07.0574701</v>
      </c>
      <c r="T2548" t="s">
        <v>41</v>
      </c>
      <c r="U2548">
        <v>53150.11</v>
      </c>
      <c r="V2548">
        <v>53150.11</v>
      </c>
      <c r="W2548">
        <v>53150.11</v>
      </c>
      <c r="X2548">
        <v>0</v>
      </c>
      <c r="Y2548">
        <v>0</v>
      </c>
      <c r="Z2548">
        <v>-506</v>
      </c>
      <c r="AA2548">
        <v>689568</v>
      </c>
      <c r="AD2548" t="s">
        <v>4884</v>
      </c>
      <c r="AE2548" t="s">
        <v>6163</v>
      </c>
      <c r="AF2548" t="s">
        <v>4884</v>
      </c>
      <c r="AG2548">
        <v>93209765050211</v>
      </c>
      <c r="AH2548" t="s">
        <v>423</v>
      </c>
    </row>
    <row r="2549" spans="1:34" x14ac:dyDescent="0.3">
      <c r="A2549">
        <v>104</v>
      </c>
      <c r="B2549" t="s">
        <v>34</v>
      </c>
      <c r="C2549">
        <v>4</v>
      </c>
      <c r="D2549" s="1" t="s">
        <v>6817</v>
      </c>
      <c r="E2549" s="1" t="s">
        <v>122</v>
      </c>
      <c r="G2549">
        <v>465074</v>
      </c>
      <c r="H2549" t="s">
        <v>6818</v>
      </c>
      <c r="I2549" t="s">
        <v>3131</v>
      </c>
      <c r="J2549">
        <v>26</v>
      </c>
      <c r="K2549">
        <v>4716</v>
      </c>
      <c r="L2549">
        <v>95000</v>
      </c>
      <c r="M2549" t="s">
        <v>69</v>
      </c>
      <c r="N2549">
        <v>584</v>
      </c>
      <c r="O2549" s="2">
        <v>46223</v>
      </c>
      <c r="P2549" s="2">
        <v>46305</v>
      </c>
      <c r="R2549" t="s">
        <v>6268</v>
      </c>
      <c r="S2549" t="str">
        <f>""</f>
        <v/>
      </c>
      <c r="T2549" t="s">
        <v>41</v>
      </c>
      <c r="U2549">
        <v>86.22</v>
      </c>
      <c r="V2549">
        <v>86.22</v>
      </c>
      <c r="W2549">
        <v>86.22</v>
      </c>
      <c r="X2549">
        <v>0</v>
      </c>
      <c r="Y2549">
        <v>0</v>
      </c>
      <c r="Z2549">
        <v>-530</v>
      </c>
      <c r="AC2549" t="s">
        <v>6269</v>
      </c>
      <c r="AD2549" t="s">
        <v>4897</v>
      </c>
      <c r="AF2549" t="s">
        <v>4897</v>
      </c>
      <c r="AG2549">
        <v>75315333029433</v>
      </c>
      <c r="AH2549" t="s">
        <v>3698</v>
      </c>
    </row>
    <row r="2550" spans="1:34" x14ac:dyDescent="0.3">
      <c r="A2550">
        <v>104</v>
      </c>
      <c r="B2550" t="s">
        <v>34</v>
      </c>
      <c r="C2550">
        <v>4</v>
      </c>
      <c r="D2550" s="1" t="s">
        <v>6819</v>
      </c>
      <c r="E2550" s="1" t="s">
        <v>36</v>
      </c>
      <c r="G2550">
        <v>465074</v>
      </c>
      <c r="H2550" t="s">
        <v>6818</v>
      </c>
      <c r="I2550" t="s">
        <v>3131</v>
      </c>
      <c r="J2550">
        <v>26</v>
      </c>
      <c r="K2550">
        <v>4716</v>
      </c>
      <c r="L2550">
        <v>95000</v>
      </c>
      <c r="M2550" t="s">
        <v>69</v>
      </c>
      <c r="N2550">
        <v>584</v>
      </c>
      <c r="O2550" s="2">
        <v>46211</v>
      </c>
      <c r="P2550" s="2">
        <v>46328</v>
      </c>
      <c r="R2550" t="s">
        <v>6820</v>
      </c>
      <c r="S2550" t="str">
        <f>""</f>
        <v/>
      </c>
      <c r="T2550" t="s">
        <v>41</v>
      </c>
      <c r="U2550">
        <v>6237.06</v>
      </c>
      <c r="V2550">
        <v>6018.76</v>
      </c>
      <c r="W2550">
        <v>6018.76</v>
      </c>
      <c r="X2550">
        <v>0</v>
      </c>
      <c r="Y2550">
        <v>0</v>
      </c>
      <c r="Z2550">
        <v>-553</v>
      </c>
      <c r="AA2550">
        <v>694009</v>
      </c>
      <c r="AD2550" t="s">
        <v>4897</v>
      </c>
      <c r="AF2550" t="s">
        <v>4897</v>
      </c>
      <c r="AG2550">
        <v>75315333029433</v>
      </c>
      <c r="AH2550" t="s">
        <v>3698</v>
      </c>
    </row>
    <row r="2551" spans="1:34" x14ac:dyDescent="0.3">
      <c r="A2551">
        <v>104</v>
      </c>
      <c r="B2551" t="s">
        <v>34</v>
      </c>
      <c r="C2551">
        <v>4</v>
      </c>
      <c r="D2551" s="1" t="s">
        <v>6817</v>
      </c>
      <c r="E2551" s="1" t="s">
        <v>36</v>
      </c>
      <c r="G2551">
        <v>465074</v>
      </c>
      <c r="H2551" t="s">
        <v>6818</v>
      </c>
      <c r="I2551" t="s">
        <v>3131</v>
      </c>
      <c r="J2551">
        <v>26</v>
      </c>
      <c r="K2551">
        <v>4716</v>
      </c>
      <c r="L2551">
        <v>95000</v>
      </c>
      <c r="M2551" t="s">
        <v>69</v>
      </c>
      <c r="N2551">
        <v>584</v>
      </c>
      <c r="O2551" s="2">
        <v>46211</v>
      </c>
      <c r="P2551" s="2">
        <v>46328</v>
      </c>
      <c r="R2551" t="s">
        <v>6821</v>
      </c>
      <c r="S2551" t="str">
        <f>""</f>
        <v/>
      </c>
      <c r="T2551" t="s">
        <v>41</v>
      </c>
      <c r="U2551">
        <v>644.77</v>
      </c>
      <c r="V2551">
        <v>622.20000000000005</v>
      </c>
      <c r="W2551">
        <v>622.20000000000005</v>
      </c>
      <c r="X2551">
        <v>0</v>
      </c>
      <c r="Y2551">
        <v>0</v>
      </c>
      <c r="Z2551">
        <v>-553</v>
      </c>
      <c r="AA2551">
        <v>693951</v>
      </c>
      <c r="AD2551" t="s">
        <v>4897</v>
      </c>
      <c r="AF2551" t="s">
        <v>4897</v>
      </c>
      <c r="AG2551">
        <v>75315333029433</v>
      </c>
      <c r="AH2551" t="s">
        <v>3698</v>
      </c>
    </row>
    <row r="2552" spans="1:34" x14ac:dyDescent="0.3">
      <c r="A2552">
        <v>101</v>
      </c>
      <c r="B2552" t="s">
        <v>34</v>
      </c>
      <c r="C2552">
        <v>4</v>
      </c>
      <c r="D2552" s="1" t="s">
        <v>6822</v>
      </c>
      <c r="E2552" t="s">
        <v>3134</v>
      </c>
      <c r="G2552">
        <v>465135</v>
      </c>
      <c r="H2552" t="s">
        <v>6823</v>
      </c>
      <c r="I2552" t="s">
        <v>3222</v>
      </c>
      <c r="J2552">
        <v>26</v>
      </c>
      <c r="K2552">
        <v>4716</v>
      </c>
      <c r="L2552">
        <v>10001</v>
      </c>
      <c r="M2552" t="s">
        <v>3135</v>
      </c>
      <c r="N2552">
        <v>584</v>
      </c>
      <c r="O2552" s="2">
        <v>46183</v>
      </c>
      <c r="P2552" s="2">
        <v>46281</v>
      </c>
      <c r="R2552" t="s">
        <v>3304</v>
      </c>
      <c r="S2552" t="str">
        <f>"07.0574701"</f>
        <v>07.0574701</v>
      </c>
      <c r="T2552" t="s">
        <v>41</v>
      </c>
      <c r="U2552">
        <v>6726.51</v>
      </c>
      <c r="V2552">
        <v>6726.51</v>
      </c>
      <c r="W2552">
        <v>6726.51</v>
      </c>
      <c r="X2552">
        <v>0</v>
      </c>
      <c r="Y2552">
        <v>0</v>
      </c>
      <c r="Z2552">
        <v>-506</v>
      </c>
      <c r="AA2552">
        <v>689574</v>
      </c>
      <c r="AD2552" t="s">
        <v>5531</v>
      </c>
      <c r="AE2552" t="s">
        <v>6163</v>
      </c>
      <c r="AF2552" t="s">
        <v>5531</v>
      </c>
      <c r="AG2552">
        <v>93209765054047</v>
      </c>
      <c r="AH2552" t="s">
        <v>423</v>
      </c>
    </row>
    <row r="2553" spans="1:34" x14ac:dyDescent="0.3">
      <c r="A2553">
        <v>101</v>
      </c>
      <c r="B2553" t="s">
        <v>34</v>
      </c>
      <c r="C2553">
        <v>4</v>
      </c>
      <c r="D2553" s="1" t="s">
        <v>6824</v>
      </c>
      <c r="E2553" t="s">
        <v>3134</v>
      </c>
      <c r="G2553">
        <v>465135</v>
      </c>
      <c r="H2553" t="s">
        <v>6823</v>
      </c>
      <c r="I2553" t="s">
        <v>3222</v>
      </c>
      <c r="J2553">
        <v>26</v>
      </c>
      <c r="K2553">
        <v>4716</v>
      </c>
      <c r="L2553">
        <v>10001</v>
      </c>
      <c r="M2553" t="s">
        <v>3135</v>
      </c>
      <c r="N2553">
        <v>584</v>
      </c>
      <c r="O2553" s="2">
        <v>46172</v>
      </c>
      <c r="P2553" s="2">
        <v>46281</v>
      </c>
      <c r="R2553" t="s">
        <v>3304</v>
      </c>
      <c r="S2553" t="str">
        <f>"07.0574701"</f>
        <v>07.0574701</v>
      </c>
      <c r="T2553" t="s">
        <v>41</v>
      </c>
      <c r="U2553">
        <v>49905.17</v>
      </c>
      <c r="V2553">
        <v>49905.17</v>
      </c>
      <c r="W2553">
        <v>49905.17</v>
      </c>
      <c r="X2553">
        <v>0</v>
      </c>
      <c r="Y2553">
        <v>0</v>
      </c>
      <c r="Z2553">
        <v>-506</v>
      </c>
      <c r="AA2553">
        <v>689574</v>
      </c>
      <c r="AD2553" t="s">
        <v>5531</v>
      </c>
      <c r="AE2553" t="s">
        <v>6163</v>
      </c>
      <c r="AF2553" t="s">
        <v>5531</v>
      </c>
      <c r="AG2553">
        <v>93209765054047</v>
      </c>
      <c r="AH2553" t="s">
        <v>423</v>
      </c>
    </row>
    <row r="2554" spans="1:34" x14ac:dyDescent="0.3">
      <c r="A2554">
        <v>104</v>
      </c>
      <c r="B2554" t="s">
        <v>34</v>
      </c>
      <c r="C2554">
        <v>4</v>
      </c>
      <c r="D2554" s="1" t="s">
        <v>6825</v>
      </c>
      <c r="E2554" s="1" t="s">
        <v>36</v>
      </c>
      <c r="G2554">
        <v>465135</v>
      </c>
      <c r="H2554" t="s">
        <v>6823</v>
      </c>
      <c r="I2554" t="s">
        <v>3222</v>
      </c>
      <c r="J2554">
        <v>26</v>
      </c>
      <c r="K2554">
        <v>4716</v>
      </c>
      <c r="L2554">
        <v>95000</v>
      </c>
      <c r="M2554" t="s">
        <v>69</v>
      </c>
      <c r="N2554">
        <v>584</v>
      </c>
      <c r="O2554" s="2">
        <v>46251</v>
      </c>
      <c r="P2554" s="2">
        <v>46321</v>
      </c>
      <c r="R2554" t="s">
        <v>6826</v>
      </c>
      <c r="S2554" t="str">
        <f>""</f>
        <v/>
      </c>
      <c r="T2554" t="s">
        <v>41</v>
      </c>
      <c r="U2554">
        <v>32391.54</v>
      </c>
      <c r="V2554">
        <v>29962.17</v>
      </c>
      <c r="W2554">
        <v>29962.17</v>
      </c>
      <c r="X2554">
        <v>0</v>
      </c>
      <c r="Y2554">
        <v>0</v>
      </c>
      <c r="Z2554">
        <v>-546</v>
      </c>
      <c r="AA2554">
        <v>696581</v>
      </c>
      <c r="AD2554" t="s">
        <v>5531</v>
      </c>
      <c r="AE2554" t="s">
        <v>6163</v>
      </c>
      <c r="AF2554" t="s">
        <v>5531</v>
      </c>
      <c r="AG2554">
        <v>93209765054047</v>
      </c>
      <c r="AH2554" t="s">
        <v>423</v>
      </c>
    </row>
    <row r="2555" spans="1:34" x14ac:dyDescent="0.3">
      <c r="A2555">
        <v>104</v>
      </c>
      <c r="B2555" t="s">
        <v>34</v>
      </c>
      <c r="C2555">
        <v>4</v>
      </c>
      <c r="D2555" s="1" t="s">
        <v>6827</v>
      </c>
      <c r="E2555" s="1" t="s">
        <v>36</v>
      </c>
      <c r="G2555">
        <v>466046</v>
      </c>
      <c r="H2555" t="s">
        <v>6828</v>
      </c>
      <c r="I2555" t="s">
        <v>3222</v>
      </c>
      <c r="J2555">
        <v>26</v>
      </c>
      <c r="K2555">
        <v>4716</v>
      </c>
      <c r="L2555">
        <v>95000</v>
      </c>
      <c r="M2555" t="s">
        <v>69</v>
      </c>
      <c r="N2555">
        <v>584</v>
      </c>
      <c r="O2555" s="2">
        <v>46233</v>
      </c>
      <c r="P2555" s="2">
        <v>46303</v>
      </c>
      <c r="R2555" t="s">
        <v>6829</v>
      </c>
      <c r="S2555" t="str">
        <f>""</f>
        <v/>
      </c>
      <c r="T2555" t="s">
        <v>41</v>
      </c>
      <c r="U2555">
        <v>17923.560000000001</v>
      </c>
      <c r="V2555">
        <v>17296.240000000002</v>
      </c>
      <c r="W2555">
        <v>17296.240000000002</v>
      </c>
      <c r="X2555">
        <v>0</v>
      </c>
      <c r="Y2555">
        <v>0</v>
      </c>
      <c r="Z2555">
        <v>-528</v>
      </c>
      <c r="AA2555">
        <v>695557</v>
      </c>
      <c r="AD2555" t="s">
        <v>4477</v>
      </c>
      <c r="AE2555" t="s">
        <v>6830</v>
      </c>
      <c r="AF2555" t="s">
        <v>4477</v>
      </c>
      <c r="AG2555">
        <v>93209765057143</v>
      </c>
      <c r="AH2555" t="s">
        <v>311</v>
      </c>
    </row>
    <row r="2556" spans="1:34" x14ac:dyDescent="0.3">
      <c r="A2556">
        <v>104</v>
      </c>
      <c r="B2556" t="s">
        <v>34</v>
      </c>
      <c r="C2556">
        <v>4</v>
      </c>
      <c r="D2556" s="1" t="s">
        <v>6831</v>
      </c>
      <c r="E2556" s="1" t="s">
        <v>36</v>
      </c>
      <c r="G2556">
        <v>466046</v>
      </c>
      <c r="H2556" t="s">
        <v>6828</v>
      </c>
      <c r="I2556" t="s">
        <v>3222</v>
      </c>
      <c r="J2556">
        <v>26</v>
      </c>
      <c r="K2556">
        <v>4716</v>
      </c>
      <c r="L2556">
        <v>95000</v>
      </c>
      <c r="M2556" t="s">
        <v>69</v>
      </c>
      <c r="N2556">
        <v>584</v>
      </c>
      <c r="O2556" s="2">
        <v>46172</v>
      </c>
      <c r="P2556" s="2">
        <v>46266</v>
      </c>
      <c r="R2556" t="s">
        <v>6832</v>
      </c>
      <c r="S2556" t="str">
        <f>""</f>
        <v/>
      </c>
      <c r="T2556" t="s">
        <v>41</v>
      </c>
      <c r="U2556">
        <v>7985.96</v>
      </c>
      <c r="V2556">
        <v>7706.45</v>
      </c>
      <c r="W2556">
        <v>7706.45</v>
      </c>
      <c r="X2556">
        <v>0</v>
      </c>
      <c r="Y2556">
        <v>0</v>
      </c>
      <c r="Z2556">
        <v>-491</v>
      </c>
      <c r="AA2556">
        <v>689406</v>
      </c>
      <c r="AD2556" t="s">
        <v>4477</v>
      </c>
      <c r="AE2556" t="s">
        <v>6830</v>
      </c>
      <c r="AF2556" t="s">
        <v>4477</v>
      </c>
      <c r="AG2556">
        <v>93209765057143</v>
      </c>
      <c r="AH2556" t="s">
        <v>311</v>
      </c>
    </row>
    <row r="2557" spans="1:34" x14ac:dyDescent="0.3">
      <c r="A2557">
        <v>101</v>
      </c>
      <c r="B2557" t="s">
        <v>34</v>
      </c>
      <c r="C2557">
        <v>4</v>
      </c>
      <c r="D2557" s="1" t="s">
        <v>6833</v>
      </c>
      <c r="E2557" t="s">
        <v>3134</v>
      </c>
      <c r="G2557">
        <v>466048</v>
      </c>
      <c r="H2557" t="s">
        <v>6834</v>
      </c>
      <c r="I2557" t="s">
        <v>3222</v>
      </c>
      <c r="J2557">
        <v>26</v>
      </c>
      <c r="K2557">
        <v>4716</v>
      </c>
      <c r="L2557">
        <v>10001</v>
      </c>
      <c r="M2557" t="s">
        <v>3135</v>
      </c>
      <c r="N2557">
        <v>584</v>
      </c>
      <c r="O2557" s="2">
        <v>46190</v>
      </c>
      <c r="P2557" s="2">
        <v>46281</v>
      </c>
      <c r="R2557" t="s">
        <v>3304</v>
      </c>
      <c r="S2557" t="str">
        <f>"07.0574701"</f>
        <v>07.0574701</v>
      </c>
      <c r="T2557" t="s">
        <v>41</v>
      </c>
      <c r="U2557">
        <v>9344.83</v>
      </c>
      <c r="V2557">
        <v>9344.83</v>
      </c>
      <c r="W2557">
        <v>9344.83</v>
      </c>
      <c r="X2557">
        <v>0</v>
      </c>
      <c r="Y2557">
        <v>0</v>
      </c>
      <c r="Z2557">
        <v>-506</v>
      </c>
      <c r="AA2557">
        <v>691621</v>
      </c>
      <c r="AD2557" t="s">
        <v>6835</v>
      </c>
      <c r="AF2557" t="s">
        <v>6835</v>
      </c>
      <c r="AG2557">
        <v>93209765008959</v>
      </c>
      <c r="AH2557" t="s">
        <v>4609</v>
      </c>
    </row>
    <row r="2558" spans="1:34" x14ac:dyDescent="0.3">
      <c r="A2558">
        <v>101</v>
      </c>
      <c r="B2558" t="s">
        <v>34</v>
      </c>
      <c r="C2558">
        <v>4</v>
      </c>
      <c r="D2558" s="1" t="s">
        <v>6836</v>
      </c>
      <c r="E2558" t="s">
        <v>3134</v>
      </c>
      <c r="G2558">
        <v>466048</v>
      </c>
      <c r="H2558" t="s">
        <v>6834</v>
      </c>
      <c r="I2558" t="s">
        <v>3222</v>
      </c>
      <c r="J2558">
        <v>26</v>
      </c>
      <c r="K2558">
        <v>4716</v>
      </c>
      <c r="L2558">
        <v>10001</v>
      </c>
      <c r="M2558" t="s">
        <v>3135</v>
      </c>
      <c r="N2558">
        <v>584</v>
      </c>
      <c r="O2558" s="2">
        <v>46190</v>
      </c>
      <c r="P2558" s="2">
        <v>46281</v>
      </c>
      <c r="R2558" t="s">
        <v>3304</v>
      </c>
      <c r="S2558" t="str">
        <f>"07.0574701"</f>
        <v>07.0574701</v>
      </c>
      <c r="T2558" t="s">
        <v>41</v>
      </c>
      <c r="U2558">
        <v>636.9</v>
      </c>
      <c r="V2558">
        <v>636.9</v>
      </c>
      <c r="W2558">
        <v>636.9</v>
      </c>
      <c r="X2558">
        <v>0</v>
      </c>
      <c r="Y2558">
        <v>0</v>
      </c>
      <c r="Z2558">
        <v>-506</v>
      </c>
      <c r="AA2558">
        <v>691677</v>
      </c>
      <c r="AD2558" t="s">
        <v>6835</v>
      </c>
      <c r="AF2558" t="s">
        <v>6835</v>
      </c>
      <c r="AG2558">
        <v>93209765008959</v>
      </c>
      <c r="AH2558" t="s">
        <v>4609</v>
      </c>
    </row>
    <row r="2559" spans="1:34" x14ac:dyDescent="0.3">
      <c r="A2559">
        <v>101</v>
      </c>
      <c r="B2559" t="s">
        <v>34</v>
      </c>
      <c r="C2559">
        <v>4</v>
      </c>
      <c r="D2559" s="1" t="s">
        <v>6837</v>
      </c>
      <c r="E2559" t="s">
        <v>3134</v>
      </c>
      <c r="G2559">
        <v>466049</v>
      </c>
      <c r="H2559" t="s">
        <v>6838</v>
      </c>
      <c r="I2559" t="s">
        <v>3222</v>
      </c>
      <c r="J2559">
        <v>26</v>
      </c>
      <c r="K2559">
        <v>4716</v>
      </c>
      <c r="L2559">
        <v>10001</v>
      </c>
      <c r="M2559" t="s">
        <v>3135</v>
      </c>
      <c r="N2559">
        <v>584</v>
      </c>
      <c r="O2559" s="2">
        <v>46172</v>
      </c>
      <c r="P2559" s="2">
        <v>46281</v>
      </c>
      <c r="R2559" t="s">
        <v>3304</v>
      </c>
      <c r="S2559" t="str">
        <f>"07.0574701"</f>
        <v>07.0574701</v>
      </c>
      <c r="T2559" t="s">
        <v>41</v>
      </c>
      <c r="U2559">
        <v>78604.47</v>
      </c>
      <c r="V2559">
        <v>78604.47</v>
      </c>
      <c r="W2559">
        <v>78604.47</v>
      </c>
      <c r="X2559">
        <v>0</v>
      </c>
      <c r="Y2559">
        <v>0</v>
      </c>
      <c r="Z2559">
        <v>-506</v>
      </c>
      <c r="AA2559">
        <v>689593</v>
      </c>
      <c r="AD2559" t="s">
        <v>5531</v>
      </c>
      <c r="AF2559" t="s">
        <v>5531</v>
      </c>
      <c r="AG2559">
        <v>93209765057496</v>
      </c>
      <c r="AH2559" t="s">
        <v>423</v>
      </c>
    </row>
    <row r="2560" spans="1:34" x14ac:dyDescent="0.3">
      <c r="A2560">
        <v>104</v>
      </c>
      <c r="B2560" t="s">
        <v>34</v>
      </c>
      <c r="C2560">
        <v>4</v>
      </c>
      <c r="D2560" s="1" t="s">
        <v>6839</v>
      </c>
      <c r="E2560" s="1" t="s">
        <v>36</v>
      </c>
      <c r="G2560">
        <v>466049</v>
      </c>
      <c r="H2560" t="s">
        <v>6838</v>
      </c>
      <c r="I2560" t="s">
        <v>3222</v>
      </c>
      <c r="J2560">
        <v>26</v>
      </c>
      <c r="K2560">
        <v>4716</v>
      </c>
      <c r="L2560">
        <v>95000</v>
      </c>
      <c r="M2560" t="s">
        <v>69</v>
      </c>
      <c r="N2560">
        <v>584</v>
      </c>
      <c r="O2560" s="2">
        <v>46251</v>
      </c>
      <c r="P2560" s="2">
        <v>46321</v>
      </c>
      <c r="R2560" t="s">
        <v>6840</v>
      </c>
      <c r="S2560" t="str">
        <f>""</f>
        <v/>
      </c>
      <c r="T2560" t="s">
        <v>41</v>
      </c>
      <c r="U2560">
        <v>37771.56</v>
      </c>
      <c r="V2560">
        <v>34938.69</v>
      </c>
      <c r="W2560">
        <v>34938.69</v>
      </c>
      <c r="X2560">
        <v>0</v>
      </c>
      <c r="Y2560">
        <v>0</v>
      </c>
      <c r="Z2560">
        <v>-546</v>
      </c>
      <c r="AA2560">
        <v>696599</v>
      </c>
      <c r="AD2560" t="s">
        <v>5531</v>
      </c>
      <c r="AF2560" t="s">
        <v>5531</v>
      </c>
      <c r="AG2560">
        <v>93209765057496</v>
      </c>
      <c r="AH2560" t="s">
        <v>423</v>
      </c>
    </row>
    <row r="2561" spans="1:34" x14ac:dyDescent="0.3">
      <c r="A2561">
        <v>101</v>
      </c>
      <c r="B2561" t="s">
        <v>34</v>
      </c>
      <c r="C2561">
        <v>4</v>
      </c>
      <c r="D2561" s="1" t="s">
        <v>6841</v>
      </c>
      <c r="E2561" t="s">
        <v>3134</v>
      </c>
      <c r="G2561">
        <v>466051</v>
      </c>
      <c r="H2561" t="s">
        <v>6842</v>
      </c>
      <c r="I2561" t="s">
        <v>3222</v>
      </c>
      <c r="J2561">
        <v>26</v>
      </c>
      <c r="K2561">
        <v>4716</v>
      </c>
      <c r="L2561">
        <v>10001</v>
      </c>
      <c r="M2561" t="s">
        <v>3135</v>
      </c>
      <c r="N2561">
        <v>584</v>
      </c>
      <c r="O2561" s="2">
        <v>46183</v>
      </c>
      <c r="P2561" s="2">
        <v>46296</v>
      </c>
      <c r="R2561" t="s">
        <v>3304</v>
      </c>
      <c r="S2561" t="str">
        <f>"07.0574701"</f>
        <v>07.0574701</v>
      </c>
      <c r="T2561" t="s">
        <v>41</v>
      </c>
      <c r="U2561">
        <v>5549.01</v>
      </c>
      <c r="V2561">
        <v>5549.01</v>
      </c>
      <c r="W2561">
        <v>5549.01</v>
      </c>
      <c r="X2561">
        <v>0</v>
      </c>
      <c r="Y2561">
        <v>0</v>
      </c>
      <c r="Z2561">
        <v>-521</v>
      </c>
      <c r="AA2561">
        <v>689595</v>
      </c>
      <c r="AD2561" t="s">
        <v>5531</v>
      </c>
      <c r="AF2561" t="s">
        <v>5531</v>
      </c>
      <c r="AG2561">
        <v>93209765057577</v>
      </c>
      <c r="AH2561" t="s">
        <v>423</v>
      </c>
    </row>
    <row r="2562" spans="1:34" x14ac:dyDescent="0.3">
      <c r="A2562">
        <v>104</v>
      </c>
      <c r="B2562" t="s">
        <v>34</v>
      </c>
      <c r="C2562">
        <v>4</v>
      </c>
      <c r="D2562" s="1" t="s">
        <v>6843</v>
      </c>
      <c r="E2562" s="1" t="s">
        <v>36</v>
      </c>
      <c r="G2562">
        <v>466051</v>
      </c>
      <c r="H2562" t="s">
        <v>6842</v>
      </c>
      <c r="I2562" t="s">
        <v>3222</v>
      </c>
      <c r="J2562">
        <v>26</v>
      </c>
      <c r="K2562">
        <v>4716</v>
      </c>
      <c r="L2562">
        <v>95000</v>
      </c>
      <c r="M2562" t="s">
        <v>69</v>
      </c>
      <c r="N2562">
        <v>584</v>
      </c>
      <c r="O2562" s="2">
        <v>46251</v>
      </c>
      <c r="P2562" s="2">
        <v>46321</v>
      </c>
      <c r="R2562" t="s">
        <v>6844</v>
      </c>
      <c r="S2562" t="str">
        <f>""</f>
        <v/>
      </c>
      <c r="T2562" t="s">
        <v>41</v>
      </c>
      <c r="U2562">
        <v>19853.060000000001</v>
      </c>
      <c r="V2562">
        <v>18364.080000000002</v>
      </c>
      <c r="W2562">
        <v>18364.080000000002</v>
      </c>
      <c r="X2562">
        <v>0</v>
      </c>
      <c r="Y2562">
        <v>0</v>
      </c>
      <c r="Z2562">
        <v>-546</v>
      </c>
      <c r="AA2562">
        <v>696601</v>
      </c>
      <c r="AD2562" t="s">
        <v>5531</v>
      </c>
      <c r="AF2562" t="s">
        <v>5531</v>
      </c>
      <c r="AG2562">
        <v>93209765057577</v>
      </c>
      <c r="AH2562" t="s">
        <v>423</v>
      </c>
    </row>
    <row r="2563" spans="1:34" x14ac:dyDescent="0.3">
      <c r="A2563">
        <v>104</v>
      </c>
      <c r="B2563" t="s">
        <v>34</v>
      </c>
      <c r="C2563">
        <v>4</v>
      </c>
      <c r="D2563" s="1" t="s">
        <v>6845</v>
      </c>
      <c r="E2563" s="1" t="s">
        <v>36</v>
      </c>
      <c r="G2563">
        <v>466051</v>
      </c>
      <c r="H2563" t="s">
        <v>6842</v>
      </c>
      <c r="I2563" t="s">
        <v>3222</v>
      </c>
      <c r="J2563">
        <v>26</v>
      </c>
      <c r="K2563">
        <v>4716</v>
      </c>
      <c r="L2563">
        <v>95000</v>
      </c>
      <c r="M2563" t="s">
        <v>69</v>
      </c>
      <c r="N2563">
        <v>584</v>
      </c>
      <c r="O2563" s="2">
        <v>46172</v>
      </c>
      <c r="P2563" s="2">
        <v>46266</v>
      </c>
      <c r="R2563" t="s">
        <v>6846</v>
      </c>
      <c r="S2563" t="str">
        <f>""</f>
        <v/>
      </c>
      <c r="T2563" t="s">
        <v>41</v>
      </c>
      <c r="U2563">
        <v>39198.120000000003</v>
      </c>
      <c r="V2563">
        <v>37826.19</v>
      </c>
      <c r="W2563">
        <v>37826.19</v>
      </c>
      <c r="X2563">
        <v>0</v>
      </c>
      <c r="Y2563">
        <v>0</v>
      </c>
      <c r="Z2563">
        <v>-491</v>
      </c>
      <c r="AA2563">
        <v>689595</v>
      </c>
      <c r="AD2563" t="s">
        <v>5531</v>
      </c>
      <c r="AF2563" t="s">
        <v>5531</v>
      </c>
      <c r="AG2563">
        <v>93209765057577</v>
      </c>
      <c r="AH2563" t="s">
        <v>423</v>
      </c>
    </row>
    <row r="2564" spans="1:34" x14ac:dyDescent="0.3">
      <c r="A2564">
        <v>104</v>
      </c>
      <c r="B2564" t="s">
        <v>34</v>
      </c>
      <c r="C2564">
        <v>4</v>
      </c>
      <c r="D2564" s="1" t="s">
        <v>6847</v>
      </c>
      <c r="E2564" s="1" t="s">
        <v>36</v>
      </c>
      <c r="G2564">
        <v>466052</v>
      </c>
      <c r="H2564" t="s">
        <v>6848</v>
      </c>
      <c r="I2564" t="s">
        <v>6849</v>
      </c>
      <c r="J2564">
        <v>26</v>
      </c>
      <c r="K2564">
        <v>4716</v>
      </c>
      <c r="L2564">
        <v>95000</v>
      </c>
      <c r="M2564" t="s">
        <v>69</v>
      </c>
      <c r="N2564">
        <v>584</v>
      </c>
      <c r="O2564" s="2">
        <v>46251</v>
      </c>
      <c r="P2564" s="2">
        <v>46321</v>
      </c>
      <c r="R2564" t="s">
        <v>6850</v>
      </c>
      <c r="S2564" t="str">
        <f>""</f>
        <v/>
      </c>
      <c r="T2564" t="s">
        <v>41</v>
      </c>
      <c r="U2564">
        <v>14386.33</v>
      </c>
      <c r="V2564">
        <v>13307.36</v>
      </c>
      <c r="W2564">
        <v>13307.36</v>
      </c>
      <c r="X2564">
        <v>0</v>
      </c>
      <c r="Y2564">
        <v>0</v>
      </c>
      <c r="Z2564">
        <v>-546</v>
      </c>
      <c r="AA2564">
        <v>696579</v>
      </c>
      <c r="AD2564" t="s">
        <v>5531</v>
      </c>
      <c r="AF2564" t="s">
        <v>5531</v>
      </c>
      <c r="AG2564">
        <v>93209765053822</v>
      </c>
      <c r="AH2564" t="s">
        <v>423</v>
      </c>
    </row>
    <row r="2565" spans="1:34" x14ac:dyDescent="0.3">
      <c r="A2565">
        <v>101</v>
      </c>
      <c r="B2565" t="s">
        <v>34</v>
      </c>
      <c r="C2565">
        <v>4</v>
      </c>
      <c r="D2565" s="1" t="s">
        <v>6851</v>
      </c>
      <c r="E2565" t="s">
        <v>3134</v>
      </c>
      <c r="G2565">
        <v>466052</v>
      </c>
      <c r="H2565" t="s">
        <v>6848</v>
      </c>
      <c r="I2565" t="s">
        <v>6849</v>
      </c>
      <c r="J2565">
        <v>26</v>
      </c>
      <c r="K2565">
        <v>4716</v>
      </c>
      <c r="L2565">
        <v>10001</v>
      </c>
      <c r="M2565" t="s">
        <v>3135</v>
      </c>
      <c r="N2565">
        <v>584</v>
      </c>
      <c r="O2565" s="2">
        <v>46172</v>
      </c>
      <c r="P2565" s="2">
        <v>46296</v>
      </c>
      <c r="R2565" t="s">
        <v>3304</v>
      </c>
      <c r="S2565" t="str">
        <f>"07.0574701"</f>
        <v>07.0574701</v>
      </c>
      <c r="T2565" t="s">
        <v>41</v>
      </c>
      <c r="U2565">
        <v>28883.43</v>
      </c>
      <c r="V2565">
        <v>28883.43</v>
      </c>
      <c r="W2565">
        <v>28883.43</v>
      </c>
      <c r="X2565">
        <v>0</v>
      </c>
      <c r="Y2565">
        <v>0</v>
      </c>
      <c r="Z2565">
        <v>-521</v>
      </c>
      <c r="AA2565">
        <v>689572</v>
      </c>
      <c r="AD2565" t="s">
        <v>5531</v>
      </c>
      <c r="AF2565" t="s">
        <v>5531</v>
      </c>
      <c r="AG2565">
        <v>93209765053822</v>
      </c>
      <c r="AH2565" t="s">
        <v>423</v>
      </c>
    </row>
    <row r="2566" spans="1:34" x14ac:dyDescent="0.3">
      <c r="A2566">
        <v>101</v>
      </c>
      <c r="B2566" t="s">
        <v>34</v>
      </c>
      <c r="C2566">
        <v>4</v>
      </c>
      <c r="D2566" s="1" t="s">
        <v>6852</v>
      </c>
      <c r="E2566" t="s">
        <v>3134</v>
      </c>
      <c r="G2566">
        <v>466052</v>
      </c>
      <c r="H2566" t="s">
        <v>6848</v>
      </c>
      <c r="I2566" t="s">
        <v>6849</v>
      </c>
      <c r="J2566">
        <v>26</v>
      </c>
      <c r="K2566">
        <v>4716</v>
      </c>
      <c r="L2566">
        <v>10001</v>
      </c>
      <c r="M2566" t="s">
        <v>3135</v>
      </c>
      <c r="N2566">
        <v>584</v>
      </c>
      <c r="O2566" s="2">
        <v>46183</v>
      </c>
      <c r="P2566" s="2">
        <v>46296</v>
      </c>
      <c r="R2566" t="s">
        <v>3304</v>
      </c>
      <c r="S2566" t="str">
        <f>"07.0574701"</f>
        <v>07.0574701</v>
      </c>
      <c r="T2566" t="s">
        <v>41</v>
      </c>
      <c r="U2566">
        <v>3675.52</v>
      </c>
      <c r="V2566">
        <v>3675.52</v>
      </c>
      <c r="W2566">
        <v>3675.52</v>
      </c>
      <c r="X2566">
        <v>0</v>
      </c>
      <c r="Y2566">
        <v>0</v>
      </c>
      <c r="Z2566">
        <v>-521</v>
      </c>
      <c r="AA2566">
        <v>689572</v>
      </c>
      <c r="AD2566" t="s">
        <v>5531</v>
      </c>
      <c r="AF2566" t="s">
        <v>5531</v>
      </c>
      <c r="AG2566">
        <v>93209765053822</v>
      </c>
      <c r="AH2566" t="s">
        <v>423</v>
      </c>
    </row>
    <row r="2567" spans="1:34" x14ac:dyDescent="0.3">
      <c r="A2567">
        <v>104</v>
      </c>
      <c r="B2567" t="s">
        <v>34</v>
      </c>
      <c r="C2567">
        <v>4</v>
      </c>
      <c r="D2567" s="1" t="s">
        <v>6853</v>
      </c>
      <c r="E2567" s="1" t="s">
        <v>36</v>
      </c>
      <c r="G2567">
        <v>466054</v>
      </c>
      <c r="H2567" t="s">
        <v>6854</v>
      </c>
      <c r="I2567" t="s">
        <v>3222</v>
      </c>
      <c r="J2567">
        <v>26</v>
      </c>
      <c r="K2567">
        <v>4716</v>
      </c>
      <c r="L2567">
        <v>95000</v>
      </c>
      <c r="M2567" t="s">
        <v>69</v>
      </c>
      <c r="N2567">
        <v>584</v>
      </c>
      <c r="O2567" s="2">
        <v>46251</v>
      </c>
      <c r="P2567" s="2">
        <v>46321</v>
      </c>
      <c r="R2567" t="s">
        <v>6855</v>
      </c>
      <c r="S2567" t="str">
        <f>""</f>
        <v/>
      </c>
      <c r="T2567" t="s">
        <v>41</v>
      </c>
      <c r="U2567">
        <v>55559.09</v>
      </c>
      <c r="V2567">
        <v>49169.79</v>
      </c>
      <c r="W2567">
        <v>49169.79</v>
      </c>
      <c r="X2567">
        <v>0</v>
      </c>
      <c r="Y2567">
        <v>0</v>
      </c>
      <c r="Z2567">
        <v>-546</v>
      </c>
      <c r="AA2567">
        <v>696573</v>
      </c>
      <c r="AD2567" t="s">
        <v>5531</v>
      </c>
      <c r="AE2567" t="s">
        <v>6856</v>
      </c>
      <c r="AF2567" t="s">
        <v>5531</v>
      </c>
      <c r="AG2567">
        <v>93209765057305</v>
      </c>
      <c r="AH2567" t="s">
        <v>423</v>
      </c>
    </row>
    <row r="2568" spans="1:34" x14ac:dyDescent="0.3">
      <c r="A2568">
        <v>104</v>
      </c>
      <c r="B2568" t="s">
        <v>34</v>
      </c>
      <c r="C2568">
        <v>4</v>
      </c>
      <c r="D2568" s="1" t="s">
        <v>6857</v>
      </c>
      <c r="E2568" s="1" t="s">
        <v>36</v>
      </c>
      <c r="G2568">
        <v>466054</v>
      </c>
      <c r="H2568" t="s">
        <v>6854</v>
      </c>
      <c r="I2568" t="s">
        <v>3222</v>
      </c>
      <c r="J2568">
        <v>26</v>
      </c>
      <c r="K2568">
        <v>4716</v>
      </c>
      <c r="L2568">
        <v>95000</v>
      </c>
      <c r="M2568" t="s">
        <v>69</v>
      </c>
      <c r="N2568">
        <v>584</v>
      </c>
      <c r="O2568" s="2">
        <v>46245</v>
      </c>
      <c r="P2568" s="2">
        <v>46315</v>
      </c>
      <c r="R2568" t="s">
        <v>6858</v>
      </c>
      <c r="S2568" t="str">
        <f>""</f>
        <v/>
      </c>
      <c r="T2568" t="s">
        <v>41</v>
      </c>
      <c r="U2568">
        <v>43200</v>
      </c>
      <c r="V2568">
        <v>38232</v>
      </c>
      <c r="W2568">
        <v>38232</v>
      </c>
      <c r="X2568">
        <v>0</v>
      </c>
      <c r="Y2568">
        <v>0</v>
      </c>
      <c r="Z2568">
        <v>-540</v>
      </c>
      <c r="AA2568">
        <v>696573</v>
      </c>
      <c r="AD2568" t="s">
        <v>5531</v>
      </c>
      <c r="AE2568" t="s">
        <v>6856</v>
      </c>
      <c r="AF2568" t="s">
        <v>5531</v>
      </c>
      <c r="AG2568">
        <v>93209765057305</v>
      </c>
      <c r="AH2568" t="s">
        <v>423</v>
      </c>
    </row>
    <row r="2569" spans="1:34" x14ac:dyDescent="0.3">
      <c r="A2569">
        <v>104</v>
      </c>
      <c r="B2569" t="s">
        <v>34</v>
      </c>
      <c r="C2569">
        <v>4</v>
      </c>
      <c r="D2569" s="1" t="s">
        <v>6859</v>
      </c>
      <c r="E2569" s="1" t="s">
        <v>36</v>
      </c>
      <c r="G2569">
        <v>466054</v>
      </c>
      <c r="H2569" t="s">
        <v>6854</v>
      </c>
      <c r="I2569" t="s">
        <v>3222</v>
      </c>
      <c r="J2569">
        <v>26</v>
      </c>
      <c r="K2569">
        <v>4716</v>
      </c>
      <c r="L2569">
        <v>95000</v>
      </c>
      <c r="M2569" t="s">
        <v>69</v>
      </c>
      <c r="N2569">
        <v>584</v>
      </c>
      <c r="O2569" s="2">
        <v>46245</v>
      </c>
      <c r="P2569" s="2">
        <v>46315</v>
      </c>
      <c r="R2569" t="s">
        <v>6860</v>
      </c>
      <c r="S2569" t="str">
        <f>""</f>
        <v/>
      </c>
      <c r="T2569" t="s">
        <v>41</v>
      </c>
      <c r="U2569">
        <v>111826.92</v>
      </c>
      <c r="V2569">
        <v>98966.82</v>
      </c>
      <c r="W2569">
        <v>98966.82</v>
      </c>
      <c r="X2569">
        <v>0</v>
      </c>
      <c r="Y2569">
        <v>0</v>
      </c>
      <c r="Z2569">
        <v>-540</v>
      </c>
      <c r="AA2569">
        <v>696573</v>
      </c>
      <c r="AD2569" t="s">
        <v>5531</v>
      </c>
      <c r="AE2569" t="s">
        <v>6856</v>
      </c>
      <c r="AF2569" t="s">
        <v>5531</v>
      </c>
      <c r="AG2569">
        <v>93209765057305</v>
      </c>
      <c r="AH2569" t="s">
        <v>423</v>
      </c>
    </row>
    <row r="2570" spans="1:34" x14ac:dyDescent="0.3">
      <c r="A2570">
        <v>104</v>
      </c>
      <c r="B2570" t="s">
        <v>34</v>
      </c>
      <c r="C2570">
        <v>4</v>
      </c>
      <c r="D2570" s="1" t="s">
        <v>6861</v>
      </c>
      <c r="E2570" s="1" t="s">
        <v>36</v>
      </c>
      <c r="G2570">
        <v>466054</v>
      </c>
      <c r="H2570" t="s">
        <v>6854</v>
      </c>
      <c r="I2570" t="s">
        <v>3222</v>
      </c>
      <c r="J2570">
        <v>26</v>
      </c>
      <c r="K2570">
        <v>4716</v>
      </c>
      <c r="L2570">
        <v>95000</v>
      </c>
      <c r="M2570" t="s">
        <v>69</v>
      </c>
      <c r="N2570">
        <v>584</v>
      </c>
      <c r="O2570" s="2">
        <v>46172</v>
      </c>
      <c r="P2570" s="2">
        <v>46311</v>
      </c>
      <c r="R2570" t="s">
        <v>6862</v>
      </c>
      <c r="S2570" t="str">
        <f>""</f>
        <v/>
      </c>
      <c r="T2570" t="s">
        <v>41</v>
      </c>
      <c r="U2570">
        <v>179003.28</v>
      </c>
      <c r="V2570">
        <v>165578.03</v>
      </c>
      <c r="W2570">
        <v>165578.03</v>
      </c>
      <c r="X2570">
        <v>0</v>
      </c>
      <c r="Y2570">
        <v>0</v>
      </c>
      <c r="Z2570">
        <v>-536</v>
      </c>
      <c r="AA2570">
        <v>689566</v>
      </c>
      <c r="AD2570" t="s">
        <v>5531</v>
      </c>
      <c r="AE2570" t="s">
        <v>6856</v>
      </c>
      <c r="AF2570" t="s">
        <v>5531</v>
      </c>
      <c r="AG2570">
        <v>93209765057305</v>
      </c>
      <c r="AH2570" t="s">
        <v>423</v>
      </c>
    </row>
    <row r="2571" spans="1:34" x14ac:dyDescent="0.3">
      <c r="A2571">
        <v>104</v>
      </c>
      <c r="B2571" t="s">
        <v>34</v>
      </c>
      <c r="C2571">
        <v>4</v>
      </c>
      <c r="D2571" s="1" t="s">
        <v>6863</v>
      </c>
      <c r="E2571" s="1" t="s">
        <v>36</v>
      </c>
      <c r="G2571">
        <v>466055</v>
      </c>
      <c r="H2571" t="s">
        <v>6864</v>
      </c>
      <c r="I2571" t="s">
        <v>3222</v>
      </c>
      <c r="J2571">
        <v>26</v>
      </c>
      <c r="K2571">
        <v>4716</v>
      </c>
      <c r="L2571">
        <v>95000</v>
      </c>
      <c r="M2571" t="s">
        <v>69</v>
      </c>
      <c r="N2571">
        <v>584</v>
      </c>
      <c r="O2571" s="2">
        <v>46251</v>
      </c>
      <c r="P2571" s="2">
        <v>46321</v>
      </c>
      <c r="R2571" t="s">
        <v>6865</v>
      </c>
      <c r="S2571" t="str">
        <f>""</f>
        <v/>
      </c>
      <c r="T2571" t="s">
        <v>41</v>
      </c>
      <c r="U2571">
        <v>29823.66</v>
      </c>
      <c r="V2571">
        <v>27586.89</v>
      </c>
      <c r="W2571">
        <v>27586.89</v>
      </c>
      <c r="X2571">
        <v>0</v>
      </c>
      <c r="Y2571">
        <v>0</v>
      </c>
      <c r="Z2571">
        <v>-546</v>
      </c>
      <c r="AA2571">
        <v>696593</v>
      </c>
      <c r="AD2571" t="s">
        <v>6866</v>
      </c>
      <c r="AF2571" t="s">
        <v>6866</v>
      </c>
      <c r="AG2571">
        <v>93209765056414</v>
      </c>
      <c r="AH2571" t="s">
        <v>423</v>
      </c>
    </row>
    <row r="2572" spans="1:34" x14ac:dyDescent="0.3">
      <c r="A2572">
        <v>104</v>
      </c>
      <c r="B2572" t="s">
        <v>34</v>
      </c>
      <c r="C2572">
        <v>4</v>
      </c>
      <c r="D2572" s="1" t="s">
        <v>6867</v>
      </c>
      <c r="E2572" s="1" t="s">
        <v>36</v>
      </c>
      <c r="G2572">
        <v>466055</v>
      </c>
      <c r="H2572" t="s">
        <v>6864</v>
      </c>
      <c r="I2572" t="s">
        <v>3222</v>
      </c>
      <c r="J2572">
        <v>26</v>
      </c>
      <c r="K2572">
        <v>4716</v>
      </c>
      <c r="L2572">
        <v>95000</v>
      </c>
      <c r="M2572" t="s">
        <v>69</v>
      </c>
      <c r="N2572">
        <v>584</v>
      </c>
      <c r="O2572" s="2">
        <v>46172</v>
      </c>
      <c r="P2572" s="2">
        <v>46266</v>
      </c>
      <c r="R2572" t="s">
        <v>6868</v>
      </c>
      <c r="S2572" t="str">
        <f>""</f>
        <v/>
      </c>
      <c r="T2572" t="s">
        <v>41</v>
      </c>
      <c r="U2572">
        <v>43508.23</v>
      </c>
      <c r="V2572">
        <v>41985.440000000002</v>
      </c>
      <c r="W2572">
        <v>41985.440000000002</v>
      </c>
      <c r="X2572">
        <v>0</v>
      </c>
      <c r="Y2572">
        <v>0</v>
      </c>
      <c r="Z2572">
        <v>-491</v>
      </c>
      <c r="AA2572">
        <v>689586</v>
      </c>
      <c r="AD2572" t="s">
        <v>6866</v>
      </c>
      <c r="AF2572" t="s">
        <v>6866</v>
      </c>
      <c r="AG2572">
        <v>93209765056414</v>
      </c>
      <c r="AH2572" t="s">
        <v>423</v>
      </c>
    </row>
    <row r="2573" spans="1:34" x14ac:dyDescent="0.3">
      <c r="A2573">
        <v>101</v>
      </c>
      <c r="B2573" t="s">
        <v>34</v>
      </c>
      <c r="C2573">
        <v>4</v>
      </c>
      <c r="D2573" s="1" t="s">
        <v>6869</v>
      </c>
      <c r="E2573" t="s">
        <v>3134</v>
      </c>
      <c r="G2573">
        <v>466055</v>
      </c>
      <c r="H2573" t="s">
        <v>6864</v>
      </c>
      <c r="I2573" t="s">
        <v>3222</v>
      </c>
      <c r="J2573">
        <v>26</v>
      </c>
      <c r="K2573">
        <v>4716</v>
      </c>
      <c r="L2573">
        <v>10001</v>
      </c>
      <c r="M2573" t="s">
        <v>3135</v>
      </c>
      <c r="N2573">
        <v>584</v>
      </c>
      <c r="O2573" s="2">
        <v>46183</v>
      </c>
      <c r="P2573" s="2">
        <v>46296</v>
      </c>
      <c r="R2573" t="s">
        <v>3304</v>
      </c>
      <c r="S2573" t="str">
        <f>"07.0574701"</f>
        <v>07.0574701</v>
      </c>
      <c r="T2573" t="s">
        <v>41</v>
      </c>
      <c r="U2573">
        <v>5549.01</v>
      </c>
      <c r="V2573">
        <v>5549.01</v>
      </c>
      <c r="W2573">
        <v>5549.01</v>
      </c>
      <c r="X2573">
        <v>0</v>
      </c>
      <c r="Y2573">
        <v>0</v>
      </c>
      <c r="Z2573">
        <v>-521</v>
      </c>
      <c r="AA2573">
        <v>689586</v>
      </c>
      <c r="AD2573" t="s">
        <v>6866</v>
      </c>
      <c r="AF2573" t="s">
        <v>6866</v>
      </c>
      <c r="AG2573">
        <v>93209765056414</v>
      </c>
      <c r="AH2573" t="s">
        <v>423</v>
      </c>
    </row>
    <row r="2574" spans="1:34" x14ac:dyDescent="0.3">
      <c r="A2574">
        <v>101</v>
      </c>
      <c r="B2574" t="s">
        <v>34</v>
      </c>
      <c r="C2574">
        <v>4</v>
      </c>
      <c r="D2574" s="1" t="s">
        <v>6870</v>
      </c>
      <c r="E2574" t="s">
        <v>3134</v>
      </c>
      <c r="G2574">
        <v>466056</v>
      </c>
      <c r="H2574" t="s">
        <v>6871</v>
      </c>
      <c r="I2574" t="s">
        <v>3222</v>
      </c>
      <c r="J2574">
        <v>26</v>
      </c>
      <c r="K2574">
        <v>4716</v>
      </c>
      <c r="L2574">
        <v>10001</v>
      </c>
      <c r="M2574" t="s">
        <v>3135</v>
      </c>
      <c r="N2574">
        <v>584</v>
      </c>
      <c r="O2574" s="2">
        <v>46183</v>
      </c>
      <c r="P2574" s="2">
        <v>46281</v>
      </c>
      <c r="R2574" t="s">
        <v>3304</v>
      </c>
      <c r="S2574" t="str">
        <f>"07.0574701"</f>
        <v>07.0574701</v>
      </c>
      <c r="T2574" t="s">
        <v>41</v>
      </c>
      <c r="U2574">
        <v>2498.0100000000002</v>
      </c>
      <c r="V2574">
        <v>2498.0100000000002</v>
      </c>
      <c r="W2574">
        <v>2498.0100000000002</v>
      </c>
      <c r="X2574">
        <v>0</v>
      </c>
      <c r="Y2574">
        <v>0</v>
      </c>
      <c r="Z2574">
        <v>-506</v>
      </c>
      <c r="AA2574">
        <v>689588</v>
      </c>
      <c r="AD2574" t="s">
        <v>4869</v>
      </c>
      <c r="AF2574" t="s">
        <v>4869</v>
      </c>
      <c r="AG2574">
        <v>93209765056503</v>
      </c>
      <c r="AH2574" t="s">
        <v>423</v>
      </c>
    </row>
    <row r="2575" spans="1:34" x14ac:dyDescent="0.3">
      <c r="A2575">
        <v>101</v>
      </c>
      <c r="B2575" t="s">
        <v>34</v>
      </c>
      <c r="C2575">
        <v>4</v>
      </c>
      <c r="D2575" s="1" t="s">
        <v>6872</v>
      </c>
      <c r="E2575" t="s">
        <v>3134</v>
      </c>
      <c r="G2575">
        <v>466056</v>
      </c>
      <c r="H2575" t="s">
        <v>6871</v>
      </c>
      <c r="I2575" t="s">
        <v>3222</v>
      </c>
      <c r="J2575">
        <v>26</v>
      </c>
      <c r="K2575">
        <v>4716</v>
      </c>
      <c r="L2575">
        <v>10001</v>
      </c>
      <c r="M2575" t="s">
        <v>3135</v>
      </c>
      <c r="N2575">
        <v>584</v>
      </c>
      <c r="O2575" s="2">
        <v>46172</v>
      </c>
      <c r="P2575" s="2">
        <v>46281</v>
      </c>
      <c r="R2575" t="s">
        <v>3304</v>
      </c>
      <c r="S2575" t="str">
        <f>"07.0574701"</f>
        <v>07.0574701</v>
      </c>
      <c r="T2575" t="s">
        <v>41</v>
      </c>
      <c r="U2575">
        <v>43474.46</v>
      </c>
      <c r="V2575">
        <v>43474.46</v>
      </c>
      <c r="W2575">
        <v>43474.46</v>
      </c>
      <c r="X2575">
        <v>0</v>
      </c>
      <c r="Y2575">
        <v>0</v>
      </c>
      <c r="Z2575">
        <v>-506</v>
      </c>
      <c r="AA2575">
        <v>689588</v>
      </c>
      <c r="AD2575" t="s">
        <v>4869</v>
      </c>
      <c r="AF2575" t="s">
        <v>4869</v>
      </c>
      <c r="AG2575">
        <v>93209765056503</v>
      </c>
      <c r="AH2575" t="s">
        <v>423</v>
      </c>
    </row>
    <row r="2576" spans="1:34" x14ac:dyDescent="0.3">
      <c r="A2576">
        <v>104</v>
      </c>
      <c r="B2576" t="s">
        <v>34</v>
      </c>
      <c r="C2576">
        <v>4</v>
      </c>
      <c r="D2576" s="1" t="s">
        <v>6873</v>
      </c>
      <c r="E2576" s="1" t="s">
        <v>36</v>
      </c>
      <c r="G2576">
        <v>466056</v>
      </c>
      <c r="H2576" t="s">
        <v>6871</v>
      </c>
      <c r="I2576" t="s">
        <v>3222</v>
      </c>
      <c r="J2576">
        <v>26</v>
      </c>
      <c r="K2576">
        <v>4716</v>
      </c>
      <c r="L2576">
        <v>95000</v>
      </c>
      <c r="M2576" t="s">
        <v>69</v>
      </c>
      <c r="N2576">
        <v>584</v>
      </c>
      <c r="O2576" s="2">
        <v>46251</v>
      </c>
      <c r="P2576" s="2">
        <v>46321</v>
      </c>
      <c r="R2576" t="s">
        <v>6874</v>
      </c>
      <c r="S2576" t="str">
        <f>""</f>
        <v/>
      </c>
      <c r="T2576" t="s">
        <v>41</v>
      </c>
      <c r="U2576">
        <v>13241.79</v>
      </c>
      <c r="V2576">
        <v>12248.66</v>
      </c>
      <c r="W2576">
        <v>12248.66</v>
      </c>
      <c r="X2576">
        <v>0</v>
      </c>
      <c r="Y2576">
        <v>0</v>
      </c>
      <c r="Z2576">
        <v>-546</v>
      </c>
      <c r="AA2576">
        <v>696595</v>
      </c>
      <c r="AD2576" t="s">
        <v>4869</v>
      </c>
      <c r="AF2576" t="s">
        <v>4869</v>
      </c>
      <c r="AG2576">
        <v>93209765056503</v>
      </c>
      <c r="AH2576" t="s">
        <v>423</v>
      </c>
    </row>
    <row r="2577" spans="1:34" x14ac:dyDescent="0.3">
      <c r="A2577">
        <v>101</v>
      </c>
      <c r="B2577" t="s">
        <v>34</v>
      </c>
      <c r="C2577">
        <v>4</v>
      </c>
      <c r="D2577" s="1" t="s">
        <v>6875</v>
      </c>
      <c r="E2577" t="s">
        <v>3134</v>
      </c>
      <c r="G2577">
        <v>466057</v>
      </c>
      <c r="H2577" t="s">
        <v>6876</v>
      </c>
      <c r="I2577" t="s">
        <v>3222</v>
      </c>
      <c r="J2577">
        <v>26</v>
      </c>
      <c r="K2577">
        <v>4716</v>
      </c>
      <c r="L2577">
        <v>10001</v>
      </c>
      <c r="M2577" t="s">
        <v>3135</v>
      </c>
      <c r="N2577">
        <v>584</v>
      </c>
      <c r="O2577" s="2">
        <v>46183</v>
      </c>
      <c r="P2577" s="2">
        <v>46296</v>
      </c>
      <c r="R2577" t="s">
        <v>3304</v>
      </c>
      <c r="S2577" t="str">
        <f>"07.0574701"</f>
        <v>07.0574701</v>
      </c>
      <c r="T2577" t="s">
        <v>41</v>
      </c>
      <c r="U2577">
        <v>5549.01</v>
      </c>
      <c r="V2577">
        <v>5549.01</v>
      </c>
      <c r="W2577">
        <v>5549.01</v>
      </c>
      <c r="X2577">
        <v>0</v>
      </c>
      <c r="Y2577">
        <v>0</v>
      </c>
      <c r="Z2577">
        <v>-521</v>
      </c>
      <c r="AA2577">
        <v>689584</v>
      </c>
      <c r="AD2577" t="s">
        <v>421</v>
      </c>
      <c r="AF2577" t="s">
        <v>421</v>
      </c>
      <c r="AG2577">
        <v>93209765055280</v>
      </c>
      <c r="AH2577" t="s">
        <v>423</v>
      </c>
    </row>
    <row r="2578" spans="1:34" x14ac:dyDescent="0.3">
      <c r="A2578">
        <v>104</v>
      </c>
      <c r="B2578" t="s">
        <v>34</v>
      </c>
      <c r="C2578">
        <v>4</v>
      </c>
      <c r="D2578" s="1" t="s">
        <v>6877</v>
      </c>
      <c r="E2578" s="1" t="s">
        <v>36</v>
      </c>
      <c r="G2578">
        <v>466057</v>
      </c>
      <c r="H2578" t="s">
        <v>6876</v>
      </c>
      <c r="I2578" t="s">
        <v>3222</v>
      </c>
      <c r="J2578">
        <v>26</v>
      </c>
      <c r="K2578">
        <v>4716</v>
      </c>
      <c r="L2578">
        <v>95000</v>
      </c>
      <c r="M2578" t="s">
        <v>69</v>
      </c>
      <c r="N2578">
        <v>584</v>
      </c>
      <c r="O2578" s="2">
        <v>46251</v>
      </c>
      <c r="P2578" s="2">
        <v>46321</v>
      </c>
      <c r="R2578" t="s">
        <v>6878</v>
      </c>
      <c r="S2578" t="str">
        <f>""</f>
        <v/>
      </c>
      <c r="T2578" t="s">
        <v>41</v>
      </c>
      <c r="U2578">
        <v>11640.79</v>
      </c>
      <c r="V2578">
        <v>10767.73</v>
      </c>
      <c r="W2578">
        <v>10767.73</v>
      </c>
      <c r="X2578">
        <v>0</v>
      </c>
      <c r="Y2578">
        <v>0</v>
      </c>
      <c r="Z2578">
        <v>-546</v>
      </c>
      <c r="AA2578">
        <v>696591</v>
      </c>
      <c r="AD2578" t="s">
        <v>421</v>
      </c>
      <c r="AF2578" t="s">
        <v>421</v>
      </c>
      <c r="AG2578">
        <v>93209765055280</v>
      </c>
      <c r="AH2578" t="s">
        <v>423</v>
      </c>
    </row>
    <row r="2579" spans="1:34" x14ac:dyDescent="0.3">
      <c r="A2579">
        <v>104</v>
      </c>
      <c r="B2579" t="s">
        <v>34</v>
      </c>
      <c r="C2579">
        <v>4</v>
      </c>
      <c r="D2579" s="1" t="s">
        <v>6879</v>
      </c>
      <c r="E2579" s="1" t="s">
        <v>36</v>
      </c>
      <c r="G2579">
        <v>466057</v>
      </c>
      <c r="H2579" t="s">
        <v>6876</v>
      </c>
      <c r="I2579" t="s">
        <v>3222</v>
      </c>
      <c r="J2579">
        <v>26</v>
      </c>
      <c r="K2579">
        <v>4716</v>
      </c>
      <c r="L2579">
        <v>95000</v>
      </c>
      <c r="M2579" t="s">
        <v>69</v>
      </c>
      <c r="N2579">
        <v>584</v>
      </c>
      <c r="O2579" s="2">
        <v>46172</v>
      </c>
      <c r="P2579" s="2">
        <v>46266</v>
      </c>
      <c r="R2579" t="s">
        <v>6880</v>
      </c>
      <c r="S2579" t="str">
        <f>""</f>
        <v/>
      </c>
      <c r="T2579" t="s">
        <v>41</v>
      </c>
      <c r="U2579">
        <v>36768.85</v>
      </c>
      <c r="V2579">
        <v>35481.94</v>
      </c>
      <c r="W2579">
        <v>35481.94</v>
      </c>
      <c r="X2579">
        <v>0</v>
      </c>
      <c r="Y2579">
        <v>0</v>
      </c>
      <c r="Z2579">
        <v>-491</v>
      </c>
      <c r="AA2579">
        <v>689584</v>
      </c>
      <c r="AD2579" t="s">
        <v>421</v>
      </c>
      <c r="AF2579" t="s">
        <v>421</v>
      </c>
      <c r="AG2579">
        <v>93209765055280</v>
      </c>
      <c r="AH2579" t="s">
        <v>423</v>
      </c>
    </row>
    <row r="2580" spans="1:34" x14ac:dyDescent="0.3">
      <c r="A2580">
        <v>104</v>
      </c>
      <c r="B2580" t="s">
        <v>34</v>
      </c>
      <c r="C2580">
        <v>4</v>
      </c>
      <c r="D2580" s="1" t="s">
        <v>6881</v>
      </c>
      <c r="E2580" s="1" t="s">
        <v>36</v>
      </c>
      <c r="G2580">
        <v>466058</v>
      </c>
      <c r="H2580" t="s">
        <v>6882</v>
      </c>
      <c r="I2580" t="s">
        <v>6883</v>
      </c>
      <c r="J2580">
        <v>26</v>
      </c>
      <c r="K2580">
        <v>4716</v>
      </c>
      <c r="L2580">
        <v>95000</v>
      </c>
      <c r="M2580" t="s">
        <v>69</v>
      </c>
      <c r="N2580">
        <v>584</v>
      </c>
      <c r="O2580" s="2">
        <v>46172</v>
      </c>
      <c r="P2580" s="2">
        <v>46266</v>
      </c>
      <c r="R2580" t="s">
        <v>6884</v>
      </c>
      <c r="S2580" t="str">
        <f>""</f>
        <v/>
      </c>
      <c r="T2580" t="s">
        <v>41</v>
      </c>
      <c r="U2580">
        <v>77783.92</v>
      </c>
      <c r="V2580">
        <v>75061.48</v>
      </c>
      <c r="W2580">
        <v>75061.48</v>
      </c>
      <c r="X2580">
        <v>0</v>
      </c>
      <c r="Y2580">
        <v>0</v>
      </c>
      <c r="Z2580">
        <v>-491</v>
      </c>
      <c r="AA2580">
        <v>689590</v>
      </c>
      <c r="AD2580" t="s">
        <v>6885</v>
      </c>
      <c r="AF2580" t="s">
        <v>6885</v>
      </c>
      <c r="AG2580">
        <v>93209765057224</v>
      </c>
      <c r="AH2580" t="s">
        <v>423</v>
      </c>
    </row>
    <row r="2581" spans="1:34" x14ac:dyDescent="0.3">
      <c r="A2581">
        <v>104</v>
      </c>
      <c r="B2581" t="s">
        <v>34</v>
      </c>
      <c r="C2581">
        <v>4</v>
      </c>
      <c r="D2581" s="1" t="s">
        <v>6886</v>
      </c>
      <c r="E2581" s="1" t="s">
        <v>36</v>
      </c>
      <c r="G2581">
        <v>466058</v>
      </c>
      <c r="H2581" t="s">
        <v>6882</v>
      </c>
      <c r="I2581" t="s">
        <v>6883</v>
      </c>
      <c r="J2581">
        <v>26</v>
      </c>
      <c r="K2581">
        <v>4716</v>
      </c>
      <c r="L2581">
        <v>95000</v>
      </c>
      <c r="M2581" t="s">
        <v>69</v>
      </c>
      <c r="N2581">
        <v>584</v>
      </c>
      <c r="O2581" s="2">
        <v>46251</v>
      </c>
      <c r="P2581" s="2">
        <v>46321</v>
      </c>
      <c r="R2581" t="s">
        <v>6887</v>
      </c>
      <c r="S2581" t="str">
        <f>""</f>
        <v/>
      </c>
      <c r="T2581" t="s">
        <v>41</v>
      </c>
      <c r="U2581">
        <v>35744.239999999998</v>
      </c>
      <c r="V2581">
        <v>33063.42</v>
      </c>
      <c r="W2581">
        <v>33063.42</v>
      </c>
      <c r="X2581">
        <v>0</v>
      </c>
      <c r="Y2581">
        <v>0</v>
      </c>
      <c r="Z2581">
        <v>-546</v>
      </c>
      <c r="AA2581">
        <v>696597</v>
      </c>
      <c r="AD2581" t="s">
        <v>6885</v>
      </c>
      <c r="AF2581" t="s">
        <v>6885</v>
      </c>
      <c r="AG2581">
        <v>93209765057224</v>
      </c>
      <c r="AH2581" t="s">
        <v>423</v>
      </c>
    </row>
    <row r="2582" spans="1:34" x14ac:dyDescent="0.3">
      <c r="A2582">
        <v>104</v>
      </c>
      <c r="B2582" t="s">
        <v>34</v>
      </c>
      <c r="C2582">
        <v>4</v>
      </c>
      <c r="D2582" s="1" t="s">
        <v>6888</v>
      </c>
      <c r="E2582" s="1" t="s">
        <v>36</v>
      </c>
      <c r="G2582">
        <v>466186</v>
      </c>
      <c r="H2582" t="s">
        <v>6889</v>
      </c>
      <c r="I2582" t="s">
        <v>3222</v>
      </c>
      <c r="J2582">
        <v>26</v>
      </c>
      <c r="K2582">
        <v>4716</v>
      </c>
      <c r="L2582">
        <v>95000</v>
      </c>
      <c r="M2582" t="s">
        <v>69</v>
      </c>
      <c r="N2582">
        <v>584</v>
      </c>
      <c r="O2582" s="2">
        <v>46251</v>
      </c>
      <c r="P2582" s="2">
        <v>46321</v>
      </c>
      <c r="R2582" t="s">
        <v>6890</v>
      </c>
      <c r="S2582" t="str">
        <f>""</f>
        <v/>
      </c>
      <c r="T2582" t="s">
        <v>41</v>
      </c>
      <c r="U2582">
        <v>28111.29</v>
      </c>
      <c r="V2582">
        <v>26002.94</v>
      </c>
      <c r="W2582">
        <v>26002.94</v>
      </c>
      <c r="X2582">
        <v>0</v>
      </c>
      <c r="Y2582">
        <v>0</v>
      </c>
      <c r="Z2582">
        <v>-546</v>
      </c>
      <c r="AA2582">
        <v>696589</v>
      </c>
      <c r="AD2582" t="s">
        <v>6891</v>
      </c>
      <c r="AE2582" t="s">
        <v>6892</v>
      </c>
      <c r="AF2582" t="s">
        <v>6891</v>
      </c>
      <c r="AG2582">
        <v>93209765055108</v>
      </c>
      <c r="AH2582" t="s">
        <v>423</v>
      </c>
    </row>
    <row r="2583" spans="1:34" x14ac:dyDescent="0.3">
      <c r="A2583">
        <v>101</v>
      </c>
      <c r="B2583" t="s">
        <v>34</v>
      </c>
      <c r="C2583">
        <v>4</v>
      </c>
      <c r="D2583" s="1" t="s">
        <v>6893</v>
      </c>
      <c r="E2583" t="s">
        <v>3134</v>
      </c>
      <c r="G2583">
        <v>466186</v>
      </c>
      <c r="H2583" t="s">
        <v>6889</v>
      </c>
      <c r="I2583" t="s">
        <v>3222</v>
      </c>
      <c r="J2583">
        <v>26</v>
      </c>
      <c r="K2583">
        <v>4716</v>
      </c>
      <c r="L2583">
        <v>10001</v>
      </c>
      <c r="M2583" t="s">
        <v>3135</v>
      </c>
      <c r="N2583">
        <v>584</v>
      </c>
      <c r="O2583" s="2">
        <v>46172</v>
      </c>
      <c r="P2583" s="2">
        <v>46296</v>
      </c>
      <c r="R2583" t="s">
        <v>3304</v>
      </c>
      <c r="S2583" t="str">
        <f>"07.0574701"</f>
        <v>07.0574701</v>
      </c>
      <c r="T2583" t="s">
        <v>41</v>
      </c>
      <c r="U2583">
        <v>70703.59</v>
      </c>
      <c r="V2583">
        <v>70703.59</v>
      </c>
      <c r="W2583">
        <v>70703.59</v>
      </c>
      <c r="X2583">
        <v>0</v>
      </c>
      <c r="Y2583">
        <v>0</v>
      </c>
      <c r="Z2583">
        <v>-521</v>
      </c>
      <c r="AA2583">
        <v>689582</v>
      </c>
      <c r="AD2583" t="s">
        <v>6891</v>
      </c>
      <c r="AE2583" t="s">
        <v>6892</v>
      </c>
      <c r="AF2583" t="s">
        <v>6891</v>
      </c>
      <c r="AG2583">
        <v>93209765055108</v>
      </c>
      <c r="AH2583" t="s">
        <v>423</v>
      </c>
    </row>
    <row r="2584" spans="1:34" x14ac:dyDescent="0.3">
      <c r="A2584">
        <v>101</v>
      </c>
      <c r="B2584" t="s">
        <v>34</v>
      </c>
      <c r="C2584">
        <v>4</v>
      </c>
      <c r="D2584" s="1" t="s">
        <v>6894</v>
      </c>
      <c r="E2584" t="s">
        <v>3134</v>
      </c>
      <c r="G2584">
        <v>466202</v>
      </c>
      <c r="H2584" t="s">
        <v>6895</v>
      </c>
      <c r="I2584" t="s">
        <v>3222</v>
      </c>
      <c r="J2584">
        <v>26</v>
      </c>
      <c r="K2584">
        <v>4716</v>
      </c>
      <c r="L2584">
        <v>10001</v>
      </c>
      <c r="M2584" t="s">
        <v>3135</v>
      </c>
      <c r="N2584">
        <v>584</v>
      </c>
      <c r="O2584" s="2">
        <v>46183</v>
      </c>
      <c r="P2584" s="2">
        <v>46281</v>
      </c>
      <c r="R2584" t="s">
        <v>3304</v>
      </c>
      <c r="S2584" t="str">
        <f>"07.0574701"</f>
        <v>07.0574701</v>
      </c>
      <c r="T2584" t="s">
        <v>41</v>
      </c>
      <c r="U2584">
        <v>5549.01</v>
      </c>
      <c r="V2584">
        <v>5549.01</v>
      </c>
      <c r="W2584">
        <v>5549.01</v>
      </c>
      <c r="X2584">
        <v>0</v>
      </c>
      <c r="Y2584">
        <v>0</v>
      </c>
      <c r="Z2584">
        <v>-506</v>
      </c>
      <c r="AA2584">
        <v>689578</v>
      </c>
      <c r="AD2584" t="s">
        <v>6896</v>
      </c>
      <c r="AE2584" t="s">
        <v>6897</v>
      </c>
      <c r="AF2584" t="s">
        <v>6896</v>
      </c>
      <c r="AG2584">
        <v>93209765054390</v>
      </c>
      <c r="AH2584" t="s">
        <v>423</v>
      </c>
    </row>
    <row r="2585" spans="1:34" x14ac:dyDescent="0.3">
      <c r="A2585">
        <v>101</v>
      </c>
      <c r="B2585" t="s">
        <v>34</v>
      </c>
      <c r="C2585">
        <v>4</v>
      </c>
      <c r="D2585" s="1" t="s">
        <v>6898</v>
      </c>
      <c r="E2585" t="s">
        <v>3134</v>
      </c>
      <c r="G2585">
        <v>466202</v>
      </c>
      <c r="H2585" t="s">
        <v>6895</v>
      </c>
      <c r="I2585" t="s">
        <v>3222</v>
      </c>
      <c r="J2585">
        <v>26</v>
      </c>
      <c r="K2585">
        <v>4716</v>
      </c>
      <c r="L2585">
        <v>10001</v>
      </c>
      <c r="M2585" t="s">
        <v>3135</v>
      </c>
      <c r="N2585">
        <v>584</v>
      </c>
      <c r="O2585" s="2">
        <v>46172</v>
      </c>
      <c r="P2585" s="2">
        <v>46281</v>
      </c>
      <c r="R2585" t="s">
        <v>3304</v>
      </c>
      <c r="S2585" t="str">
        <f>"07.0574701"</f>
        <v>07.0574701</v>
      </c>
      <c r="T2585" t="s">
        <v>41</v>
      </c>
      <c r="U2585">
        <v>50654.58</v>
      </c>
      <c r="V2585">
        <v>50654.58</v>
      </c>
      <c r="W2585">
        <v>50654.58</v>
      </c>
      <c r="X2585">
        <v>0</v>
      </c>
      <c r="Y2585">
        <v>0</v>
      </c>
      <c r="Z2585">
        <v>-506</v>
      </c>
      <c r="AA2585">
        <v>689578</v>
      </c>
      <c r="AD2585" t="s">
        <v>6896</v>
      </c>
      <c r="AE2585" t="s">
        <v>6897</v>
      </c>
      <c r="AF2585" t="s">
        <v>6896</v>
      </c>
      <c r="AG2585">
        <v>93209765054390</v>
      </c>
      <c r="AH2585" t="s">
        <v>423</v>
      </c>
    </row>
    <row r="2586" spans="1:34" x14ac:dyDescent="0.3">
      <c r="A2586">
        <v>104</v>
      </c>
      <c r="B2586" t="s">
        <v>34</v>
      </c>
      <c r="C2586">
        <v>4</v>
      </c>
      <c r="D2586" s="1" t="s">
        <v>6899</v>
      </c>
      <c r="E2586" s="1" t="s">
        <v>36</v>
      </c>
      <c r="G2586">
        <v>466202</v>
      </c>
      <c r="H2586" t="s">
        <v>6895</v>
      </c>
      <c r="I2586" t="s">
        <v>3222</v>
      </c>
      <c r="J2586">
        <v>26</v>
      </c>
      <c r="K2586">
        <v>4716</v>
      </c>
      <c r="L2586">
        <v>95000</v>
      </c>
      <c r="M2586" t="s">
        <v>69</v>
      </c>
      <c r="N2586">
        <v>584</v>
      </c>
      <c r="O2586" s="2">
        <v>46251</v>
      </c>
      <c r="P2586" s="2">
        <v>46321</v>
      </c>
      <c r="R2586" t="s">
        <v>6900</v>
      </c>
      <c r="S2586" t="str">
        <f>""</f>
        <v/>
      </c>
      <c r="T2586" t="s">
        <v>41</v>
      </c>
      <c r="U2586">
        <v>33646.9</v>
      </c>
      <c r="V2586">
        <v>31123.38</v>
      </c>
      <c r="W2586">
        <v>31123.38</v>
      </c>
      <c r="X2586">
        <v>0</v>
      </c>
      <c r="Y2586">
        <v>0</v>
      </c>
      <c r="Z2586">
        <v>-546</v>
      </c>
      <c r="AA2586">
        <v>696585</v>
      </c>
      <c r="AD2586" t="s">
        <v>6896</v>
      </c>
      <c r="AE2586" t="s">
        <v>6897</v>
      </c>
      <c r="AF2586" t="s">
        <v>6896</v>
      </c>
      <c r="AG2586">
        <v>93209765054390</v>
      </c>
      <c r="AH2586" t="s">
        <v>423</v>
      </c>
    </row>
    <row r="2587" spans="1:34" x14ac:dyDescent="0.3">
      <c r="A2587">
        <v>104</v>
      </c>
      <c r="B2587" t="s">
        <v>34</v>
      </c>
      <c r="C2587">
        <v>4</v>
      </c>
      <c r="D2587" s="1" t="s">
        <v>6901</v>
      </c>
      <c r="E2587" s="1" t="s">
        <v>36</v>
      </c>
      <c r="G2587">
        <v>466226</v>
      </c>
      <c r="H2587" t="s">
        <v>6902</v>
      </c>
      <c r="I2587" t="s">
        <v>3222</v>
      </c>
      <c r="J2587">
        <v>26</v>
      </c>
      <c r="K2587">
        <v>4716</v>
      </c>
      <c r="L2587">
        <v>95000</v>
      </c>
      <c r="M2587" t="s">
        <v>69</v>
      </c>
      <c r="N2587">
        <v>584</v>
      </c>
      <c r="O2587" s="2">
        <v>46251</v>
      </c>
      <c r="P2587" s="2">
        <v>46321</v>
      </c>
      <c r="R2587" t="s">
        <v>6903</v>
      </c>
      <c r="S2587" t="str">
        <f>""</f>
        <v/>
      </c>
      <c r="T2587" t="s">
        <v>41</v>
      </c>
      <c r="U2587">
        <v>31714.07</v>
      </c>
      <c r="V2587">
        <v>29335.51</v>
      </c>
      <c r="W2587">
        <v>29335.51</v>
      </c>
      <c r="X2587">
        <v>0</v>
      </c>
      <c r="Y2587">
        <v>0</v>
      </c>
      <c r="Z2587">
        <v>-546</v>
      </c>
      <c r="AA2587">
        <v>696583</v>
      </c>
      <c r="AD2587" t="s">
        <v>5531</v>
      </c>
      <c r="AE2587" t="s">
        <v>3280</v>
      </c>
      <c r="AF2587" t="s">
        <v>5531</v>
      </c>
      <c r="AG2587">
        <v>93209765054128</v>
      </c>
      <c r="AH2587" t="s">
        <v>423</v>
      </c>
    </row>
    <row r="2588" spans="1:34" x14ac:dyDescent="0.3">
      <c r="A2588">
        <v>101</v>
      </c>
      <c r="B2588" t="s">
        <v>34</v>
      </c>
      <c r="C2588">
        <v>4</v>
      </c>
      <c r="D2588" s="1" t="s">
        <v>6904</v>
      </c>
      <c r="E2588" t="s">
        <v>3134</v>
      </c>
      <c r="G2588">
        <v>466226</v>
      </c>
      <c r="H2588" t="s">
        <v>6902</v>
      </c>
      <c r="I2588" t="s">
        <v>3222</v>
      </c>
      <c r="J2588">
        <v>26</v>
      </c>
      <c r="K2588">
        <v>4716</v>
      </c>
      <c r="L2588">
        <v>10001</v>
      </c>
      <c r="M2588" t="s">
        <v>3135</v>
      </c>
      <c r="N2588">
        <v>584</v>
      </c>
      <c r="O2588" s="2">
        <v>46172</v>
      </c>
      <c r="P2588" s="2">
        <v>46281</v>
      </c>
      <c r="R2588" t="s">
        <v>3304</v>
      </c>
      <c r="S2588" t="str">
        <f>"07.0574701"</f>
        <v>07.0574701</v>
      </c>
      <c r="T2588" t="s">
        <v>41</v>
      </c>
      <c r="U2588">
        <v>39266.800000000003</v>
      </c>
      <c r="V2588">
        <v>39266.800000000003</v>
      </c>
      <c r="W2588">
        <v>39266.800000000003</v>
      </c>
      <c r="X2588">
        <v>0</v>
      </c>
      <c r="Y2588">
        <v>0</v>
      </c>
      <c r="Z2588">
        <v>-506</v>
      </c>
      <c r="AA2588">
        <v>689576</v>
      </c>
      <c r="AD2588" t="s">
        <v>5531</v>
      </c>
      <c r="AE2588" t="s">
        <v>3280</v>
      </c>
      <c r="AF2588" t="s">
        <v>5531</v>
      </c>
      <c r="AG2588">
        <v>93209765054128</v>
      </c>
      <c r="AH2588" t="s">
        <v>423</v>
      </c>
    </row>
    <row r="2589" spans="1:34" x14ac:dyDescent="0.3">
      <c r="A2589">
        <v>101</v>
      </c>
      <c r="B2589" t="s">
        <v>34</v>
      </c>
      <c r="C2589">
        <v>4</v>
      </c>
      <c r="D2589" s="1" t="s">
        <v>6905</v>
      </c>
      <c r="E2589" t="s">
        <v>3134</v>
      </c>
      <c r="G2589">
        <v>466226</v>
      </c>
      <c r="H2589" t="s">
        <v>6902</v>
      </c>
      <c r="I2589" t="s">
        <v>3222</v>
      </c>
      <c r="J2589">
        <v>26</v>
      </c>
      <c r="K2589">
        <v>4716</v>
      </c>
      <c r="L2589">
        <v>10001</v>
      </c>
      <c r="M2589" t="s">
        <v>3135</v>
      </c>
      <c r="N2589">
        <v>584</v>
      </c>
      <c r="O2589" s="2">
        <v>46183</v>
      </c>
      <c r="P2589" s="2">
        <v>46281</v>
      </c>
      <c r="R2589" t="s">
        <v>3304</v>
      </c>
      <c r="S2589" t="str">
        <f>"07.0574701"</f>
        <v>07.0574701</v>
      </c>
      <c r="T2589" t="s">
        <v>41</v>
      </c>
      <c r="U2589">
        <v>5549.01</v>
      </c>
      <c r="V2589">
        <v>5549.01</v>
      </c>
      <c r="W2589">
        <v>5549.01</v>
      </c>
      <c r="X2589">
        <v>0</v>
      </c>
      <c r="Y2589">
        <v>0</v>
      </c>
      <c r="Z2589">
        <v>-506</v>
      </c>
      <c r="AA2589">
        <v>689576</v>
      </c>
      <c r="AD2589" t="s">
        <v>5531</v>
      </c>
      <c r="AE2589" t="s">
        <v>3280</v>
      </c>
      <c r="AF2589" t="s">
        <v>5531</v>
      </c>
      <c r="AG2589">
        <v>93209765054128</v>
      </c>
      <c r="AH2589" t="s">
        <v>423</v>
      </c>
    </row>
    <row r="2590" spans="1:34" x14ac:dyDescent="0.3">
      <c r="A2590">
        <v>104</v>
      </c>
      <c r="B2590" t="s">
        <v>34</v>
      </c>
      <c r="C2590">
        <v>4</v>
      </c>
      <c r="D2590" s="1" t="s">
        <v>6906</v>
      </c>
      <c r="E2590" s="1" t="s">
        <v>36</v>
      </c>
      <c r="G2590">
        <v>466355</v>
      </c>
      <c r="H2590" t="s">
        <v>6907</v>
      </c>
      <c r="I2590" t="s">
        <v>3222</v>
      </c>
      <c r="J2590">
        <v>26</v>
      </c>
      <c r="K2590">
        <v>4716</v>
      </c>
      <c r="L2590">
        <v>95000</v>
      </c>
      <c r="M2590" t="s">
        <v>69</v>
      </c>
      <c r="N2590">
        <v>584</v>
      </c>
      <c r="O2590" s="2">
        <v>46251</v>
      </c>
      <c r="P2590" s="2">
        <v>46321</v>
      </c>
      <c r="R2590" t="s">
        <v>6908</v>
      </c>
      <c r="S2590" t="str">
        <f>""</f>
        <v/>
      </c>
      <c r="T2590" t="s">
        <v>41</v>
      </c>
      <c r="U2590">
        <v>11416.35</v>
      </c>
      <c r="V2590">
        <v>10560.12</v>
      </c>
      <c r="W2590">
        <v>10560.12</v>
      </c>
      <c r="X2590">
        <v>0</v>
      </c>
      <c r="Y2590">
        <v>0</v>
      </c>
      <c r="Z2590">
        <v>-546</v>
      </c>
      <c r="AA2590">
        <v>696577</v>
      </c>
      <c r="AD2590" t="s">
        <v>4884</v>
      </c>
      <c r="AE2590" t="s">
        <v>6163</v>
      </c>
      <c r="AF2590" t="s">
        <v>4884</v>
      </c>
      <c r="AG2590">
        <v>93209765053580</v>
      </c>
      <c r="AH2590" t="s">
        <v>423</v>
      </c>
    </row>
    <row r="2591" spans="1:34" x14ac:dyDescent="0.3">
      <c r="A2591">
        <v>101</v>
      </c>
      <c r="B2591" t="s">
        <v>34</v>
      </c>
      <c r="C2591">
        <v>4</v>
      </c>
      <c r="D2591" s="1" t="s">
        <v>6909</v>
      </c>
      <c r="E2591" t="s">
        <v>3134</v>
      </c>
      <c r="G2591">
        <v>466355</v>
      </c>
      <c r="H2591" t="s">
        <v>6907</v>
      </c>
      <c r="I2591" t="s">
        <v>3222</v>
      </c>
      <c r="J2591">
        <v>26</v>
      </c>
      <c r="K2591">
        <v>4716</v>
      </c>
      <c r="L2591">
        <v>10001</v>
      </c>
      <c r="M2591" t="s">
        <v>3135</v>
      </c>
      <c r="N2591">
        <v>584</v>
      </c>
      <c r="O2591" s="2">
        <v>46183</v>
      </c>
      <c r="P2591" s="2">
        <v>46281</v>
      </c>
      <c r="R2591" t="s">
        <v>3304</v>
      </c>
      <c r="S2591" t="str">
        <f>"07.0574701"</f>
        <v>07.0574701</v>
      </c>
      <c r="T2591" t="s">
        <v>41</v>
      </c>
      <c r="U2591">
        <v>3675.52</v>
      </c>
      <c r="V2591">
        <v>3675.52</v>
      </c>
      <c r="W2591">
        <v>3675.52</v>
      </c>
      <c r="X2591">
        <v>0</v>
      </c>
      <c r="Y2591">
        <v>0</v>
      </c>
      <c r="Z2591">
        <v>-506</v>
      </c>
      <c r="AA2591">
        <v>689570</v>
      </c>
      <c r="AD2591" t="s">
        <v>4884</v>
      </c>
      <c r="AE2591" t="s">
        <v>6163</v>
      </c>
      <c r="AF2591" t="s">
        <v>4884</v>
      </c>
      <c r="AG2591">
        <v>93209765053580</v>
      </c>
      <c r="AH2591" t="s">
        <v>423</v>
      </c>
    </row>
    <row r="2592" spans="1:34" x14ac:dyDescent="0.3">
      <c r="A2592">
        <v>104</v>
      </c>
      <c r="B2592" t="s">
        <v>34</v>
      </c>
      <c r="C2592">
        <v>4</v>
      </c>
      <c r="D2592" s="1" t="s">
        <v>6910</v>
      </c>
      <c r="E2592" s="1" t="s">
        <v>36</v>
      </c>
      <c r="G2592">
        <v>466355</v>
      </c>
      <c r="H2592" t="s">
        <v>6907</v>
      </c>
      <c r="I2592" t="s">
        <v>3222</v>
      </c>
      <c r="J2592">
        <v>26</v>
      </c>
      <c r="K2592">
        <v>4716</v>
      </c>
      <c r="L2592">
        <v>95000</v>
      </c>
      <c r="M2592" t="s">
        <v>69</v>
      </c>
      <c r="N2592">
        <v>584</v>
      </c>
      <c r="O2592" s="2">
        <v>46172</v>
      </c>
      <c r="P2592" s="2">
        <v>46266</v>
      </c>
      <c r="R2592" t="s">
        <v>6911</v>
      </c>
      <c r="S2592" t="str">
        <f>""</f>
        <v/>
      </c>
      <c r="T2592" t="s">
        <v>41</v>
      </c>
      <c r="U2592">
        <v>29349.93</v>
      </c>
      <c r="V2592">
        <v>28322.68</v>
      </c>
      <c r="W2592">
        <v>28322.68</v>
      </c>
      <c r="X2592">
        <v>0</v>
      </c>
      <c r="Y2592">
        <v>0</v>
      </c>
      <c r="Z2592">
        <v>-491</v>
      </c>
      <c r="AA2592">
        <v>689570</v>
      </c>
      <c r="AD2592" t="s">
        <v>4884</v>
      </c>
      <c r="AE2592" t="s">
        <v>6163</v>
      </c>
      <c r="AF2592" t="s">
        <v>4884</v>
      </c>
      <c r="AG2592">
        <v>93209765053580</v>
      </c>
      <c r="AH2592" t="s">
        <v>423</v>
      </c>
    </row>
    <row r="2593" spans="1:34" x14ac:dyDescent="0.3">
      <c r="A2593">
        <v>101</v>
      </c>
      <c r="B2593" t="s">
        <v>34</v>
      </c>
      <c r="C2593">
        <v>4</v>
      </c>
      <c r="D2593" s="1" t="s">
        <v>6912</v>
      </c>
      <c r="E2593" t="s">
        <v>3134</v>
      </c>
      <c r="G2593">
        <v>466356</v>
      </c>
      <c r="H2593" t="s">
        <v>6913</v>
      </c>
      <c r="I2593" t="s">
        <v>3222</v>
      </c>
      <c r="J2593">
        <v>26</v>
      </c>
      <c r="K2593">
        <v>4716</v>
      </c>
      <c r="L2593">
        <v>10001</v>
      </c>
      <c r="M2593" t="s">
        <v>3135</v>
      </c>
      <c r="N2593">
        <v>584</v>
      </c>
      <c r="O2593" s="2">
        <v>46172</v>
      </c>
      <c r="P2593" s="2">
        <v>46281</v>
      </c>
      <c r="R2593" t="s">
        <v>3304</v>
      </c>
      <c r="S2593" t="str">
        <f>"07.0574701"</f>
        <v>07.0574701</v>
      </c>
      <c r="T2593" t="s">
        <v>41</v>
      </c>
      <c r="U2593">
        <v>32455.200000000001</v>
      </c>
      <c r="V2593">
        <v>32455.200000000001</v>
      </c>
      <c r="W2593">
        <v>32455.200000000001</v>
      </c>
      <c r="X2593">
        <v>0</v>
      </c>
      <c r="Y2593">
        <v>0</v>
      </c>
      <c r="Z2593">
        <v>-506</v>
      </c>
      <c r="AA2593">
        <v>689580</v>
      </c>
      <c r="AD2593" t="s">
        <v>4874</v>
      </c>
      <c r="AE2593" t="s">
        <v>6163</v>
      </c>
      <c r="AF2593" t="s">
        <v>4874</v>
      </c>
      <c r="AG2593">
        <v>93209765054632</v>
      </c>
      <c r="AH2593" t="s">
        <v>423</v>
      </c>
    </row>
    <row r="2594" spans="1:34" x14ac:dyDescent="0.3">
      <c r="A2594">
        <v>101</v>
      </c>
      <c r="B2594" t="s">
        <v>34</v>
      </c>
      <c r="C2594">
        <v>4</v>
      </c>
      <c r="D2594" s="1" t="s">
        <v>6914</v>
      </c>
      <c r="E2594" t="s">
        <v>3134</v>
      </c>
      <c r="G2594">
        <v>466356</v>
      </c>
      <c r="H2594" t="s">
        <v>6913</v>
      </c>
      <c r="I2594" t="s">
        <v>3222</v>
      </c>
      <c r="J2594">
        <v>26</v>
      </c>
      <c r="K2594">
        <v>4716</v>
      </c>
      <c r="L2594">
        <v>10001</v>
      </c>
      <c r="M2594" t="s">
        <v>3135</v>
      </c>
      <c r="N2594">
        <v>584</v>
      </c>
      <c r="O2594" s="2">
        <v>46183</v>
      </c>
      <c r="P2594" s="2">
        <v>46296</v>
      </c>
      <c r="R2594" t="s">
        <v>3304</v>
      </c>
      <c r="S2594" t="str">
        <f>"07.0574701"</f>
        <v>07.0574701</v>
      </c>
      <c r="T2594" t="s">
        <v>41</v>
      </c>
      <c r="U2594">
        <v>4371.5</v>
      </c>
      <c r="V2594">
        <v>4371.5</v>
      </c>
      <c r="W2594">
        <v>4371.5</v>
      </c>
      <c r="X2594">
        <v>0</v>
      </c>
      <c r="Y2594">
        <v>0</v>
      </c>
      <c r="Z2594">
        <v>-521</v>
      </c>
      <c r="AA2594">
        <v>689580</v>
      </c>
      <c r="AD2594" t="s">
        <v>4874</v>
      </c>
      <c r="AE2594" t="s">
        <v>6163</v>
      </c>
      <c r="AF2594" t="s">
        <v>4874</v>
      </c>
      <c r="AG2594">
        <v>93209765054632</v>
      </c>
      <c r="AH2594" t="s">
        <v>423</v>
      </c>
    </row>
    <row r="2595" spans="1:34" x14ac:dyDescent="0.3">
      <c r="A2595">
        <v>104</v>
      </c>
      <c r="B2595" t="s">
        <v>34</v>
      </c>
      <c r="C2595">
        <v>4</v>
      </c>
      <c r="D2595" s="1" t="s">
        <v>6915</v>
      </c>
      <c r="E2595" s="1" t="s">
        <v>36</v>
      </c>
      <c r="G2595">
        <v>466356</v>
      </c>
      <c r="H2595" t="s">
        <v>6913</v>
      </c>
      <c r="I2595" t="s">
        <v>3222</v>
      </c>
      <c r="J2595">
        <v>26</v>
      </c>
      <c r="K2595">
        <v>4716</v>
      </c>
      <c r="L2595">
        <v>95000</v>
      </c>
      <c r="M2595" t="s">
        <v>69</v>
      </c>
      <c r="N2595">
        <v>584</v>
      </c>
      <c r="O2595" s="2">
        <v>46251</v>
      </c>
      <c r="P2595" s="2">
        <v>46321</v>
      </c>
      <c r="R2595" t="s">
        <v>6916</v>
      </c>
      <c r="S2595" t="str">
        <f>""</f>
        <v/>
      </c>
      <c r="T2595" t="s">
        <v>41</v>
      </c>
      <c r="U2595">
        <v>19709.75</v>
      </c>
      <c r="V2595">
        <v>18231.52</v>
      </c>
      <c r="W2595">
        <v>18231.52</v>
      </c>
      <c r="X2595">
        <v>0</v>
      </c>
      <c r="Y2595">
        <v>0</v>
      </c>
      <c r="Z2595">
        <v>-546</v>
      </c>
      <c r="AA2595">
        <v>696587</v>
      </c>
      <c r="AD2595" t="s">
        <v>4874</v>
      </c>
      <c r="AE2595" t="s">
        <v>6163</v>
      </c>
      <c r="AF2595" t="s">
        <v>4874</v>
      </c>
      <c r="AG2595">
        <v>93209765054632</v>
      </c>
      <c r="AH2595" t="s">
        <v>423</v>
      </c>
    </row>
    <row r="2596" spans="1:34" x14ac:dyDescent="0.3">
      <c r="A2596">
        <v>104</v>
      </c>
      <c r="B2596" t="s">
        <v>34</v>
      </c>
      <c r="C2596">
        <v>4</v>
      </c>
      <c r="D2596" s="1" t="s">
        <v>6917</v>
      </c>
      <c r="E2596" s="1" t="s">
        <v>36</v>
      </c>
      <c r="G2596">
        <v>466417</v>
      </c>
      <c r="H2596" t="s">
        <v>6918</v>
      </c>
      <c r="I2596" t="s">
        <v>3222</v>
      </c>
      <c r="J2596">
        <v>26</v>
      </c>
      <c r="K2596">
        <v>4716</v>
      </c>
      <c r="L2596">
        <v>95000</v>
      </c>
      <c r="M2596" t="s">
        <v>69</v>
      </c>
      <c r="N2596">
        <v>584</v>
      </c>
      <c r="O2596" s="2">
        <v>46172</v>
      </c>
      <c r="P2596" s="2">
        <v>46266</v>
      </c>
      <c r="R2596" t="s">
        <v>6919</v>
      </c>
      <c r="S2596" t="str">
        <f>""</f>
        <v/>
      </c>
      <c r="T2596" t="s">
        <v>41</v>
      </c>
      <c r="U2596">
        <v>16352.07</v>
      </c>
      <c r="V2596">
        <v>15268.03</v>
      </c>
      <c r="W2596">
        <v>15268.03</v>
      </c>
      <c r="X2596">
        <v>0</v>
      </c>
      <c r="Y2596">
        <v>0</v>
      </c>
      <c r="Z2596">
        <v>-491</v>
      </c>
      <c r="AA2596">
        <v>689415</v>
      </c>
      <c r="AD2596" t="s">
        <v>5463</v>
      </c>
      <c r="AF2596" t="s">
        <v>5463</v>
      </c>
      <c r="AG2596">
        <v>93209765057909</v>
      </c>
      <c r="AH2596" t="s">
        <v>311</v>
      </c>
    </row>
    <row r="2597" spans="1:34" x14ac:dyDescent="0.3">
      <c r="A2597">
        <v>104</v>
      </c>
      <c r="B2597" t="s">
        <v>34</v>
      </c>
      <c r="C2597">
        <v>4</v>
      </c>
      <c r="D2597" s="1" t="s">
        <v>6920</v>
      </c>
      <c r="E2597" s="1" t="s">
        <v>36</v>
      </c>
      <c r="G2597">
        <v>466418</v>
      </c>
      <c r="H2597" t="s">
        <v>6921</v>
      </c>
      <c r="I2597" t="s">
        <v>3222</v>
      </c>
      <c r="J2597">
        <v>26</v>
      </c>
      <c r="K2597">
        <v>4716</v>
      </c>
      <c r="L2597">
        <v>95000</v>
      </c>
      <c r="M2597" t="s">
        <v>69</v>
      </c>
      <c r="N2597">
        <v>584</v>
      </c>
      <c r="O2597" s="2">
        <v>46233</v>
      </c>
      <c r="P2597" s="2">
        <v>46328</v>
      </c>
      <c r="R2597" t="s">
        <v>6922</v>
      </c>
      <c r="S2597" t="str">
        <f>""</f>
        <v/>
      </c>
      <c r="T2597" t="s">
        <v>41</v>
      </c>
      <c r="U2597">
        <v>9815.7900000000009</v>
      </c>
      <c r="V2597">
        <v>9472.24</v>
      </c>
      <c r="W2597">
        <v>9472.24</v>
      </c>
      <c r="X2597">
        <v>0</v>
      </c>
      <c r="Y2597">
        <v>0</v>
      </c>
      <c r="Z2597">
        <v>-553</v>
      </c>
      <c r="AA2597">
        <v>695565</v>
      </c>
      <c r="AD2597" t="s">
        <v>5463</v>
      </c>
      <c r="AE2597" t="s">
        <v>6923</v>
      </c>
      <c r="AF2597" t="s">
        <v>5463</v>
      </c>
      <c r="AG2597">
        <v>93209765058620</v>
      </c>
      <c r="AH2597" t="s">
        <v>311</v>
      </c>
    </row>
    <row r="2598" spans="1:34" x14ac:dyDescent="0.3">
      <c r="A2598">
        <v>104</v>
      </c>
      <c r="B2598" t="s">
        <v>34</v>
      </c>
      <c r="C2598">
        <v>4</v>
      </c>
      <c r="D2598" s="1" t="s">
        <v>6924</v>
      </c>
      <c r="E2598" s="1" t="s">
        <v>36</v>
      </c>
      <c r="G2598">
        <v>466418</v>
      </c>
      <c r="H2598" t="s">
        <v>6921</v>
      </c>
      <c r="I2598" t="s">
        <v>3222</v>
      </c>
      <c r="J2598">
        <v>26</v>
      </c>
      <c r="K2598">
        <v>4716</v>
      </c>
      <c r="L2598">
        <v>95000</v>
      </c>
      <c r="M2598" t="s">
        <v>69</v>
      </c>
      <c r="N2598">
        <v>584</v>
      </c>
      <c r="O2598" s="2">
        <v>46172</v>
      </c>
      <c r="P2598" s="2">
        <v>46266</v>
      </c>
      <c r="R2598" t="s">
        <v>6925</v>
      </c>
      <c r="S2598" t="str">
        <f>""</f>
        <v/>
      </c>
      <c r="T2598" t="s">
        <v>41</v>
      </c>
      <c r="U2598">
        <v>13629.7</v>
      </c>
      <c r="V2598">
        <v>13152.66</v>
      </c>
      <c r="W2598">
        <v>13152.66</v>
      </c>
      <c r="X2598">
        <v>0</v>
      </c>
      <c r="Y2598">
        <v>0</v>
      </c>
      <c r="Z2598">
        <v>-491</v>
      </c>
      <c r="AA2598">
        <v>689417</v>
      </c>
      <c r="AD2598" t="s">
        <v>5463</v>
      </c>
      <c r="AE2598" t="s">
        <v>6923</v>
      </c>
      <c r="AF2598" t="s">
        <v>5463</v>
      </c>
      <c r="AG2598">
        <v>93209765058620</v>
      </c>
      <c r="AH2598" t="s">
        <v>311</v>
      </c>
    </row>
    <row r="2599" spans="1:34" x14ac:dyDescent="0.3">
      <c r="A2599">
        <v>104</v>
      </c>
      <c r="B2599" t="s">
        <v>34</v>
      </c>
      <c r="C2599">
        <v>4</v>
      </c>
      <c r="D2599" s="1" t="s">
        <v>6926</v>
      </c>
      <c r="E2599" s="1" t="s">
        <v>36</v>
      </c>
      <c r="G2599">
        <v>466420</v>
      </c>
      <c r="H2599" t="s">
        <v>6927</v>
      </c>
      <c r="I2599" t="s">
        <v>3222</v>
      </c>
      <c r="J2599">
        <v>26</v>
      </c>
      <c r="K2599">
        <v>4716</v>
      </c>
      <c r="L2599">
        <v>95000</v>
      </c>
      <c r="M2599" t="s">
        <v>69</v>
      </c>
      <c r="N2599">
        <v>584</v>
      </c>
      <c r="O2599" s="2">
        <v>46233</v>
      </c>
      <c r="P2599" s="2">
        <v>46303</v>
      </c>
      <c r="R2599" t="s">
        <v>6928</v>
      </c>
      <c r="S2599" t="str">
        <f>""</f>
        <v/>
      </c>
      <c r="T2599" t="s">
        <v>41</v>
      </c>
      <c r="U2599">
        <v>5414.51</v>
      </c>
      <c r="V2599">
        <v>5225</v>
      </c>
      <c r="W2599">
        <v>5225</v>
      </c>
      <c r="X2599">
        <v>0</v>
      </c>
      <c r="Y2599">
        <v>0</v>
      </c>
      <c r="Z2599">
        <v>-528</v>
      </c>
      <c r="AA2599">
        <v>695555</v>
      </c>
      <c r="AD2599" t="s">
        <v>5808</v>
      </c>
      <c r="AE2599" t="s">
        <v>6892</v>
      </c>
      <c r="AF2599" t="s">
        <v>5808</v>
      </c>
      <c r="AG2599">
        <v>93209765057062</v>
      </c>
      <c r="AH2599" t="s">
        <v>311</v>
      </c>
    </row>
    <row r="2600" spans="1:34" x14ac:dyDescent="0.3">
      <c r="A2600">
        <v>104</v>
      </c>
      <c r="B2600" t="s">
        <v>34</v>
      </c>
      <c r="C2600">
        <v>4</v>
      </c>
      <c r="D2600" s="1" t="s">
        <v>6929</v>
      </c>
      <c r="E2600" s="1" t="s">
        <v>36</v>
      </c>
      <c r="G2600">
        <v>466420</v>
      </c>
      <c r="H2600" t="s">
        <v>6927</v>
      </c>
      <c r="I2600" t="s">
        <v>3222</v>
      </c>
      <c r="J2600">
        <v>26</v>
      </c>
      <c r="K2600">
        <v>4716</v>
      </c>
      <c r="L2600">
        <v>95000</v>
      </c>
      <c r="M2600" t="s">
        <v>69</v>
      </c>
      <c r="N2600">
        <v>584</v>
      </c>
      <c r="O2600" s="2">
        <v>46172</v>
      </c>
      <c r="P2600" s="2">
        <v>46266</v>
      </c>
      <c r="R2600" t="s">
        <v>6930</v>
      </c>
      <c r="S2600" t="str">
        <f>""</f>
        <v/>
      </c>
      <c r="T2600" t="s">
        <v>41</v>
      </c>
      <c r="U2600">
        <v>14509.53</v>
      </c>
      <c r="V2600">
        <v>14001.7</v>
      </c>
      <c r="W2600">
        <v>14001.7</v>
      </c>
      <c r="X2600">
        <v>0</v>
      </c>
      <c r="Y2600">
        <v>0</v>
      </c>
      <c r="Z2600">
        <v>-491</v>
      </c>
      <c r="AA2600">
        <v>689404</v>
      </c>
      <c r="AD2600" t="s">
        <v>5808</v>
      </c>
      <c r="AE2600" t="s">
        <v>6892</v>
      </c>
      <c r="AF2600" t="s">
        <v>5808</v>
      </c>
      <c r="AG2600">
        <v>93209765057062</v>
      </c>
      <c r="AH2600" t="s">
        <v>311</v>
      </c>
    </row>
    <row r="2601" spans="1:34" x14ac:dyDescent="0.3">
      <c r="A2601">
        <v>104</v>
      </c>
      <c r="B2601" t="s">
        <v>34</v>
      </c>
      <c r="C2601">
        <v>4</v>
      </c>
      <c r="D2601" s="1" t="s">
        <v>6931</v>
      </c>
      <c r="E2601" s="1" t="s">
        <v>36</v>
      </c>
      <c r="G2601">
        <v>466421</v>
      </c>
      <c r="H2601" t="s">
        <v>6932</v>
      </c>
      <c r="I2601" t="s">
        <v>3222</v>
      </c>
      <c r="J2601">
        <v>26</v>
      </c>
      <c r="K2601">
        <v>4716</v>
      </c>
      <c r="L2601">
        <v>95000</v>
      </c>
      <c r="M2601" t="s">
        <v>69</v>
      </c>
      <c r="N2601">
        <v>584</v>
      </c>
      <c r="O2601" s="2">
        <v>46172</v>
      </c>
      <c r="P2601" s="2">
        <v>46266</v>
      </c>
      <c r="R2601" t="s">
        <v>6933</v>
      </c>
      <c r="S2601" t="str">
        <f>""</f>
        <v/>
      </c>
      <c r="T2601" t="s">
        <v>41</v>
      </c>
      <c r="U2601">
        <v>22443.919999999998</v>
      </c>
      <c r="V2601">
        <v>21658.38</v>
      </c>
      <c r="W2601">
        <v>21658.38</v>
      </c>
      <c r="X2601">
        <v>0</v>
      </c>
      <c r="Y2601">
        <v>0</v>
      </c>
      <c r="Z2601">
        <v>-491</v>
      </c>
      <c r="AA2601">
        <v>689402</v>
      </c>
      <c r="AD2601" t="s">
        <v>6934</v>
      </c>
      <c r="AF2601" t="s">
        <v>6934</v>
      </c>
      <c r="AG2601">
        <v>93209765056848</v>
      </c>
      <c r="AH2601" t="s">
        <v>311</v>
      </c>
    </row>
    <row r="2602" spans="1:34" x14ac:dyDescent="0.3">
      <c r="A2602">
        <v>104</v>
      </c>
      <c r="B2602" t="s">
        <v>34</v>
      </c>
      <c r="C2602">
        <v>4</v>
      </c>
      <c r="D2602" s="1" t="s">
        <v>6935</v>
      </c>
      <c r="E2602" s="1" t="s">
        <v>36</v>
      </c>
      <c r="G2602">
        <v>466421</v>
      </c>
      <c r="H2602" t="s">
        <v>6932</v>
      </c>
      <c r="I2602" t="s">
        <v>3222</v>
      </c>
      <c r="J2602">
        <v>26</v>
      </c>
      <c r="K2602">
        <v>4716</v>
      </c>
      <c r="L2602">
        <v>95000</v>
      </c>
      <c r="M2602" t="s">
        <v>69</v>
      </c>
      <c r="N2602">
        <v>584</v>
      </c>
      <c r="O2602" s="2">
        <v>46233</v>
      </c>
      <c r="P2602" s="2">
        <v>46303</v>
      </c>
      <c r="R2602" t="s">
        <v>6936</v>
      </c>
      <c r="S2602" t="str">
        <f>""</f>
        <v/>
      </c>
      <c r="T2602" t="s">
        <v>41</v>
      </c>
      <c r="U2602">
        <v>15012.84</v>
      </c>
      <c r="V2602">
        <v>14487.39</v>
      </c>
      <c r="W2602">
        <v>14487.39</v>
      </c>
      <c r="X2602">
        <v>0</v>
      </c>
      <c r="Y2602">
        <v>0</v>
      </c>
      <c r="Z2602">
        <v>-528</v>
      </c>
      <c r="AA2602">
        <v>695553</v>
      </c>
      <c r="AD2602" t="s">
        <v>6934</v>
      </c>
      <c r="AF2602" t="s">
        <v>6934</v>
      </c>
      <c r="AG2602">
        <v>93209765056848</v>
      </c>
      <c r="AH2602" t="s">
        <v>311</v>
      </c>
    </row>
    <row r="2603" spans="1:34" x14ac:dyDescent="0.3">
      <c r="A2603">
        <v>104</v>
      </c>
      <c r="B2603" t="s">
        <v>34</v>
      </c>
      <c r="C2603">
        <v>4</v>
      </c>
      <c r="D2603" s="1" t="s">
        <v>6937</v>
      </c>
      <c r="E2603" s="1" t="s">
        <v>36</v>
      </c>
      <c r="G2603">
        <v>466423</v>
      </c>
      <c r="H2603" t="s">
        <v>6938</v>
      </c>
      <c r="I2603" t="s">
        <v>3222</v>
      </c>
      <c r="J2603">
        <v>26</v>
      </c>
      <c r="K2603">
        <v>4716</v>
      </c>
      <c r="L2603">
        <v>95000</v>
      </c>
      <c r="M2603" t="s">
        <v>69</v>
      </c>
      <c r="N2603">
        <v>584</v>
      </c>
      <c r="O2603" s="2">
        <v>46172</v>
      </c>
      <c r="P2603" s="2">
        <v>46266</v>
      </c>
      <c r="R2603" t="s">
        <v>6939</v>
      </c>
      <c r="S2603" t="str">
        <f>""</f>
        <v/>
      </c>
      <c r="T2603" t="s">
        <v>41</v>
      </c>
      <c r="U2603">
        <v>17685.009999999998</v>
      </c>
      <c r="V2603">
        <v>17066.03</v>
      </c>
      <c r="W2603">
        <v>17066.03</v>
      </c>
      <c r="X2603">
        <v>0</v>
      </c>
      <c r="Y2603">
        <v>0</v>
      </c>
      <c r="Z2603">
        <v>-491</v>
      </c>
      <c r="AA2603">
        <v>689419</v>
      </c>
      <c r="AD2603" t="s">
        <v>665</v>
      </c>
      <c r="AE2603" t="s">
        <v>6940</v>
      </c>
      <c r="AF2603" t="s">
        <v>665</v>
      </c>
      <c r="AG2603">
        <v>93209765058700</v>
      </c>
      <c r="AH2603" t="s">
        <v>311</v>
      </c>
    </row>
    <row r="2604" spans="1:34" x14ac:dyDescent="0.3">
      <c r="A2604">
        <v>104</v>
      </c>
      <c r="B2604" t="s">
        <v>34</v>
      </c>
      <c r="C2604">
        <v>4</v>
      </c>
      <c r="D2604" s="1" t="s">
        <v>6941</v>
      </c>
      <c r="E2604" s="1" t="s">
        <v>36</v>
      </c>
      <c r="G2604">
        <v>466423</v>
      </c>
      <c r="H2604" t="s">
        <v>6938</v>
      </c>
      <c r="I2604" t="s">
        <v>3222</v>
      </c>
      <c r="J2604">
        <v>26</v>
      </c>
      <c r="K2604">
        <v>4716</v>
      </c>
      <c r="L2604">
        <v>95000</v>
      </c>
      <c r="M2604" t="s">
        <v>69</v>
      </c>
      <c r="N2604">
        <v>584</v>
      </c>
      <c r="O2604" s="2">
        <v>46233</v>
      </c>
      <c r="P2604" s="2">
        <v>46303</v>
      </c>
      <c r="R2604" t="s">
        <v>6942</v>
      </c>
      <c r="S2604" t="str">
        <f>""</f>
        <v/>
      </c>
      <c r="T2604" t="s">
        <v>41</v>
      </c>
      <c r="U2604">
        <v>25008.44</v>
      </c>
      <c r="V2604">
        <v>24133.14</v>
      </c>
      <c r="W2604">
        <v>24133.14</v>
      </c>
      <c r="X2604">
        <v>0</v>
      </c>
      <c r="Y2604">
        <v>0</v>
      </c>
      <c r="Z2604">
        <v>-528</v>
      </c>
      <c r="AA2604">
        <v>695567</v>
      </c>
      <c r="AD2604" t="s">
        <v>665</v>
      </c>
      <c r="AE2604" t="s">
        <v>6940</v>
      </c>
      <c r="AF2604" t="s">
        <v>665</v>
      </c>
      <c r="AG2604">
        <v>93209765058700</v>
      </c>
      <c r="AH2604" t="s">
        <v>311</v>
      </c>
    </row>
    <row r="2605" spans="1:34" x14ac:dyDescent="0.3">
      <c r="A2605">
        <v>104</v>
      </c>
      <c r="B2605" t="s">
        <v>34</v>
      </c>
      <c r="C2605">
        <v>4</v>
      </c>
      <c r="D2605" s="1" t="s">
        <v>6943</v>
      </c>
      <c r="E2605" s="1" t="s">
        <v>36</v>
      </c>
      <c r="G2605">
        <v>466429</v>
      </c>
      <c r="H2605" t="s">
        <v>6944</v>
      </c>
      <c r="I2605" t="s">
        <v>3222</v>
      </c>
      <c r="J2605">
        <v>26</v>
      </c>
      <c r="K2605">
        <v>4716</v>
      </c>
      <c r="L2605">
        <v>95000</v>
      </c>
      <c r="M2605" t="s">
        <v>69</v>
      </c>
      <c r="N2605">
        <v>584</v>
      </c>
      <c r="O2605" s="2">
        <v>46233</v>
      </c>
      <c r="P2605" s="2">
        <v>46303</v>
      </c>
      <c r="R2605" t="s">
        <v>6945</v>
      </c>
      <c r="S2605" t="str">
        <f>""</f>
        <v/>
      </c>
      <c r="T2605" t="s">
        <v>41</v>
      </c>
      <c r="U2605">
        <v>35056.94</v>
      </c>
      <c r="V2605">
        <v>33829.949999999997</v>
      </c>
      <c r="W2605">
        <v>33829.949999999997</v>
      </c>
      <c r="X2605">
        <v>0</v>
      </c>
      <c r="Y2605">
        <v>0</v>
      </c>
      <c r="Z2605">
        <v>-528</v>
      </c>
      <c r="AA2605">
        <v>695559</v>
      </c>
      <c r="AD2605" t="s">
        <v>330</v>
      </c>
      <c r="AE2605" t="s">
        <v>6946</v>
      </c>
      <c r="AF2605" t="s">
        <v>330</v>
      </c>
      <c r="AG2605">
        <v>93209765055957</v>
      </c>
      <c r="AH2605" t="s">
        <v>311</v>
      </c>
    </row>
    <row r="2606" spans="1:34" x14ac:dyDescent="0.3">
      <c r="A2606">
        <v>104</v>
      </c>
      <c r="B2606" t="s">
        <v>34</v>
      </c>
      <c r="C2606">
        <v>4</v>
      </c>
      <c r="D2606" s="1" t="s">
        <v>6947</v>
      </c>
      <c r="E2606" s="1" t="s">
        <v>36</v>
      </c>
      <c r="G2606">
        <v>466429</v>
      </c>
      <c r="H2606" t="s">
        <v>6944</v>
      </c>
      <c r="I2606" t="s">
        <v>3222</v>
      </c>
      <c r="J2606">
        <v>26</v>
      </c>
      <c r="K2606">
        <v>4716</v>
      </c>
      <c r="L2606">
        <v>95000</v>
      </c>
      <c r="M2606" t="s">
        <v>69</v>
      </c>
      <c r="N2606">
        <v>584</v>
      </c>
      <c r="O2606" s="2">
        <v>46172</v>
      </c>
      <c r="P2606" s="2">
        <v>46266</v>
      </c>
      <c r="R2606" t="s">
        <v>6948</v>
      </c>
      <c r="S2606" t="str">
        <f>""</f>
        <v/>
      </c>
      <c r="T2606" t="s">
        <v>41</v>
      </c>
      <c r="U2606">
        <v>48225.98</v>
      </c>
      <c r="V2606">
        <v>46538.07</v>
      </c>
      <c r="W2606">
        <v>46538.07</v>
      </c>
      <c r="X2606">
        <v>0</v>
      </c>
      <c r="Y2606">
        <v>0</v>
      </c>
      <c r="Z2606">
        <v>-491</v>
      </c>
      <c r="AA2606">
        <v>689408</v>
      </c>
      <c r="AD2606" t="s">
        <v>330</v>
      </c>
      <c r="AE2606" t="s">
        <v>6946</v>
      </c>
      <c r="AF2606" t="s">
        <v>330</v>
      </c>
      <c r="AG2606">
        <v>93209765055957</v>
      </c>
      <c r="AH2606" t="s">
        <v>311</v>
      </c>
    </row>
    <row r="2607" spans="1:34" x14ac:dyDescent="0.3">
      <c r="A2607">
        <v>104</v>
      </c>
      <c r="B2607" t="s">
        <v>34</v>
      </c>
      <c r="C2607">
        <v>4</v>
      </c>
      <c r="D2607" s="1" t="s">
        <v>6949</v>
      </c>
      <c r="E2607" s="1" t="s">
        <v>36</v>
      </c>
      <c r="G2607">
        <v>466430</v>
      </c>
      <c r="H2607" t="s">
        <v>6950</v>
      </c>
      <c r="I2607" t="s">
        <v>3222</v>
      </c>
      <c r="J2607">
        <v>26</v>
      </c>
      <c r="K2607">
        <v>4716</v>
      </c>
      <c r="L2607">
        <v>95000</v>
      </c>
      <c r="M2607" t="s">
        <v>69</v>
      </c>
      <c r="N2607">
        <v>584</v>
      </c>
      <c r="O2607" s="2">
        <v>46172</v>
      </c>
      <c r="P2607" s="2">
        <v>46266</v>
      </c>
      <c r="R2607" t="s">
        <v>6951</v>
      </c>
      <c r="S2607" t="str">
        <f>""</f>
        <v/>
      </c>
      <c r="T2607" t="s">
        <v>41</v>
      </c>
      <c r="U2607">
        <v>13107.34</v>
      </c>
      <c r="V2607">
        <v>12648.58</v>
      </c>
      <c r="W2607">
        <v>12648.58</v>
      </c>
      <c r="X2607">
        <v>0</v>
      </c>
      <c r="Y2607">
        <v>0</v>
      </c>
      <c r="Z2607">
        <v>-491</v>
      </c>
      <c r="AA2607">
        <v>689412</v>
      </c>
      <c r="AD2607" t="s">
        <v>665</v>
      </c>
      <c r="AE2607" t="s">
        <v>3280</v>
      </c>
      <c r="AF2607" t="s">
        <v>665</v>
      </c>
      <c r="AG2607">
        <v>93209765057739</v>
      </c>
      <c r="AH2607" t="s">
        <v>311</v>
      </c>
    </row>
    <row r="2608" spans="1:34" x14ac:dyDescent="0.3">
      <c r="A2608">
        <v>104</v>
      </c>
      <c r="B2608" t="s">
        <v>34</v>
      </c>
      <c r="C2608">
        <v>4</v>
      </c>
      <c r="D2608" s="1" t="s">
        <v>6952</v>
      </c>
      <c r="E2608" s="1" t="s">
        <v>36</v>
      </c>
      <c r="G2608">
        <v>466430</v>
      </c>
      <c r="H2608" t="s">
        <v>6950</v>
      </c>
      <c r="I2608" t="s">
        <v>3222</v>
      </c>
      <c r="J2608">
        <v>26</v>
      </c>
      <c r="K2608">
        <v>4716</v>
      </c>
      <c r="L2608">
        <v>95000</v>
      </c>
      <c r="M2608" t="s">
        <v>69</v>
      </c>
      <c r="N2608">
        <v>584</v>
      </c>
      <c r="O2608" s="2">
        <v>46233</v>
      </c>
      <c r="P2608" s="2">
        <v>46328</v>
      </c>
      <c r="R2608" t="s">
        <v>6953</v>
      </c>
      <c r="S2608" t="str">
        <f>""</f>
        <v/>
      </c>
      <c r="T2608" t="s">
        <v>41</v>
      </c>
      <c r="U2608">
        <v>4714.4799999999996</v>
      </c>
      <c r="V2608">
        <v>4549.47</v>
      </c>
      <c r="W2608">
        <v>4549.47</v>
      </c>
      <c r="X2608">
        <v>0</v>
      </c>
      <c r="Y2608">
        <v>0</v>
      </c>
      <c r="Z2608">
        <v>-553</v>
      </c>
      <c r="AA2608">
        <v>695563</v>
      </c>
      <c r="AD2608" t="s">
        <v>665</v>
      </c>
      <c r="AE2608" t="s">
        <v>3280</v>
      </c>
      <c r="AF2608" t="s">
        <v>665</v>
      </c>
      <c r="AG2608">
        <v>93209765057739</v>
      </c>
      <c r="AH2608" t="s">
        <v>311</v>
      </c>
    </row>
    <row r="2609" spans="1:34" x14ac:dyDescent="0.3">
      <c r="A2609">
        <v>104</v>
      </c>
      <c r="B2609" t="s">
        <v>34</v>
      </c>
      <c r="C2609">
        <v>4</v>
      </c>
      <c r="D2609" s="1" t="s">
        <v>6954</v>
      </c>
      <c r="E2609" s="1" t="s">
        <v>36</v>
      </c>
      <c r="G2609">
        <v>466431</v>
      </c>
      <c r="H2609" t="s">
        <v>6955</v>
      </c>
      <c r="I2609" t="s">
        <v>3222</v>
      </c>
      <c r="J2609">
        <v>26</v>
      </c>
      <c r="K2609">
        <v>4716</v>
      </c>
      <c r="L2609">
        <v>95000</v>
      </c>
      <c r="M2609" t="s">
        <v>69</v>
      </c>
      <c r="N2609">
        <v>584</v>
      </c>
      <c r="O2609" s="2">
        <v>46172</v>
      </c>
      <c r="P2609" s="2">
        <v>46266</v>
      </c>
      <c r="R2609" t="s">
        <v>6956</v>
      </c>
      <c r="S2609" t="str">
        <f>""</f>
        <v/>
      </c>
      <c r="T2609" t="s">
        <v>41</v>
      </c>
      <c r="U2609">
        <v>23461.8</v>
      </c>
      <c r="V2609">
        <v>22640.639999999999</v>
      </c>
      <c r="W2609">
        <v>22640.639999999999</v>
      </c>
      <c r="X2609">
        <v>0</v>
      </c>
      <c r="Y2609">
        <v>0</v>
      </c>
      <c r="Z2609">
        <v>-491</v>
      </c>
      <c r="AA2609">
        <v>689400</v>
      </c>
      <c r="AD2609" t="s">
        <v>5719</v>
      </c>
      <c r="AF2609" t="s">
        <v>5719</v>
      </c>
      <c r="AG2609">
        <v>93209765056767</v>
      </c>
      <c r="AH2609" t="s">
        <v>311</v>
      </c>
    </row>
    <row r="2610" spans="1:34" x14ac:dyDescent="0.3">
      <c r="A2610">
        <v>104</v>
      </c>
      <c r="B2610" t="s">
        <v>34</v>
      </c>
      <c r="C2610">
        <v>4</v>
      </c>
      <c r="D2610" s="1" t="s">
        <v>6957</v>
      </c>
      <c r="E2610" s="1" t="s">
        <v>36</v>
      </c>
      <c r="G2610">
        <v>466431</v>
      </c>
      <c r="H2610" t="s">
        <v>6955</v>
      </c>
      <c r="I2610" t="s">
        <v>3222</v>
      </c>
      <c r="J2610">
        <v>26</v>
      </c>
      <c r="K2610">
        <v>4716</v>
      </c>
      <c r="L2610">
        <v>95000</v>
      </c>
      <c r="M2610" t="s">
        <v>69</v>
      </c>
      <c r="N2610">
        <v>584</v>
      </c>
      <c r="O2610" s="2">
        <v>46233</v>
      </c>
      <c r="P2610" s="2">
        <v>46303</v>
      </c>
      <c r="R2610" t="s">
        <v>6958</v>
      </c>
      <c r="S2610" t="str">
        <f>""</f>
        <v/>
      </c>
      <c r="T2610" t="s">
        <v>41</v>
      </c>
      <c r="U2610">
        <v>15848.74</v>
      </c>
      <c r="V2610">
        <v>15294.03</v>
      </c>
      <c r="W2610">
        <v>15294.03</v>
      </c>
      <c r="X2610">
        <v>0</v>
      </c>
      <c r="Y2610">
        <v>0</v>
      </c>
      <c r="Z2610">
        <v>-528</v>
      </c>
      <c r="AA2610">
        <v>695551</v>
      </c>
      <c r="AD2610" t="s">
        <v>5719</v>
      </c>
      <c r="AF2610" t="s">
        <v>5719</v>
      </c>
      <c r="AG2610">
        <v>93209765056767</v>
      </c>
      <c r="AH2610" t="s">
        <v>311</v>
      </c>
    </row>
    <row r="2611" spans="1:34" x14ac:dyDescent="0.3">
      <c r="A2611">
        <v>104</v>
      </c>
      <c r="B2611" t="s">
        <v>34</v>
      </c>
      <c r="C2611">
        <v>4</v>
      </c>
      <c r="D2611" s="1" t="s">
        <v>6959</v>
      </c>
      <c r="E2611" s="1" t="s">
        <v>36</v>
      </c>
      <c r="G2611">
        <v>466601</v>
      </c>
      <c r="H2611" t="s">
        <v>6960</v>
      </c>
      <c r="I2611" t="s">
        <v>3222</v>
      </c>
      <c r="J2611">
        <v>26</v>
      </c>
      <c r="K2611">
        <v>4716</v>
      </c>
      <c r="L2611">
        <v>95000</v>
      </c>
      <c r="M2611" t="s">
        <v>69</v>
      </c>
      <c r="N2611">
        <v>584</v>
      </c>
      <c r="O2611" s="2">
        <v>46233</v>
      </c>
      <c r="P2611" s="2">
        <v>46303</v>
      </c>
      <c r="R2611" t="s">
        <v>6961</v>
      </c>
      <c r="S2611" t="str">
        <f>""</f>
        <v/>
      </c>
      <c r="T2611" t="s">
        <v>41</v>
      </c>
      <c r="U2611">
        <v>32660.54</v>
      </c>
      <c r="V2611">
        <v>31517.42</v>
      </c>
      <c r="W2611">
        <v>31517.42</v>
      </c>
      <c r="X2611">
        <v>0</v>
      </c>
      <c r="Y2611">
        <v>0</v>
      </c>
      <c r="Z2611">
        <v>-528</v>
      </c>
      <c r="AA2611">
        <v>695561</v>
      </c>
      <c r="AD2611" t="s">
        <v>665</v>
      </c>
      <c r="AE2611" t="s">
        <v>6962</v>
      </c>
      <c r="AF2611" t="s">
        <v>665</v>
      </c>
      <c r="AG2611">
        <v>93209765057658</v>
      </c>
      <c r="AH2611" t="s">
        <v>311</v>
      </c>
    </row>
    <row r="2612" spans="1:34" x14ac:dyDescent="0.3">
      <c r="A2612">
        <v>104</v>
      </c>
      <c r="B2612" t="s">
        <v>34</v>
      </c>
      <c r="C2612">
        <v>4</v>
      </c>
      <c r="D2612" s="1" t="s">
        <v>6963</v>
      </c>
      <c r="E2612" s="1" t="s">
        <v>36</v>
      </c>
      <c r="G2612">
        <v>466601</v>
      </c>
      <c r="H2612" t="s">
        <v>6960</v>
      </c>
      <c r="I2612" t="s">
        <v>3222</v>
      </c>
      <c r="J2612">
        <v>26</v>
      </c>
      <c r="K2612">
        <v>4716</v>
      </c>
      <c r="L2612">
        <v>95000</v>
      </c>
      <c r="M2612" t="s">
        <v>69</v>
      </c>
      <c r="N2612">
        <v>584</v>
      </c>
      <c r="O2612" s="2">
        <v>46172</v>
      </c>
      <c r="P2612" s="2">
        <v>46266</v>
      </c>
      <c r="R2612" t="s">
        <v>6964</v>
      </c>
      <c r="S2612" t="str">
        <f>""</f>
        <v/>
      </c>
      <c r="T2612" t="s">
        <v>41</v>
      </c>
      <c r="U2612">
        <v>37967.89</v>
      </c>
      <c r="V2612">
        <v>36639.01</v>
      </c>
      <c r="W2612">
        <v>36639.01</v>
      </c>
      <c r="X2612">
        <v>0</v>
      </c>
      <c r="Y2612">
        <v>0</v>
      </c>
      <c r="Z2612">
        <v>-491</v>
      </c>
      <c r="AA2612">
        <v>689410</v>
      </c>
      <c r="AD2612" t="s">
        <v>665</v>
      </c>
      <c r="AE2612" t="s">
        <v>6962</v>
      </c>
      <c r="AF2612" t="s">
        <v>665</v>
      </c>
      <c r="AG2612">
        <v>93209765057658</v>
      </c>
      <c r="AH2612" t="s">
        <v>311</v>
      </c>
    </row>
    <row r="2613" spans="1:34" x14ac:dyDescent="0.3">
      <c r="A2613">
        <v>104</v>
      </c>
      <c r="B2613" t="s">
        <v>34</v>
      </c>
      <c r="C2613">
        <v>4</v>
      </c>
      <c r="D2613" s="1" t="s">
        <v>6965</v>
      </c>
      <c r="E2613" s="1" t="s">
        <v>36</v>
      </c>
      <c r="G2613">
        <v>466837</v>
      </c>
      <c r="H2613" t="s">
        <v>6966</v>
      </c>
      <c r="I2613" t="s">
        <v>3222</v>
      </c>
      <c r="J2613">
        <v>33</v>
      </c>
      <c r="K2613">
        <v>4716</v>
      </c>
      <c r="L2613">
        <v>95000</v>
      </c>
      <c r="M2613" t="s">
        <v>69</v>
      </c>
      <c r="N2613">
        <v>584</v>
      </c>
      <c r="O2613" s="2">
        <v>46234</v>
      </c>
      <c r="P2613" s="2">
        <v>46328</v>
      </c>
      <c r="R2613" t="s">
        <v>6967</v>
      </c>
      <c r="S2613" t="str">
        <f>""</f>
        <v/>
      </c>
      <c r="T2613" t="s">
        <v>41</v>
      </c>
      <c r="U2613">
        <v>6347.29</v>
      </c>
      <c r="V2613">
        <v>6125.13</v>
      </c>
      <c r="W2613">
        <v>6125.13</v>
      </c>
      <c r="X2613">
        <v>0</v>
      </c>
      <c r="Y2613">
        <v>0</v>
      </c>
      <c r="Z2613">
        <v>-553</v>
      </c>
      <c r="AA2613">
        <v>695547</v>
      </c>
      <c r="AD2613" t="s">
        <v>2750</v>
      </c>
      <c r="AF2613" t="s">
        <v>2750</v>
      </c>
      <c r="AG2613">
        <v>93209765058204</v>
      </c>
      <c r="AH2613" t="s">
        <v>2745</v>
      </c>
    </row>
    <row r="2614" spans="1:34" x14ac:dyDescent="0.3">
      <c r="A2614">
        <v>104</v>
      </c>
      <c r="B2614" t="s">
        <v>34</v>
      </c>
      <c r="C2614">
        <v>4</v>
      </c>
      <c r="D2614" s="1" t="s">
        <v>6968</v>
      </c>
      <c r="E2614" s="1" t="s">
        <v>36</v>
      </c>
      <c r="G2614">
        <v>466837</v>
      </c>
      <c r="H2614" t="s">
        <v>6966</v>
      </c>
      <c r="I2614" t="s">
        <v>3222</v>
      </c>
      <c r="J2614">
        <v>33</v>
      </c>
      <c r="K2614">
        <v>4716</v>
      </c>
      <c r="L2614">
        <v>95000</v>
      </c>
      <c r="M2614" t="s">
        <v>69</v>
      </c>
      <c r="N2614">
        <v>584</v>
      </c>
      <c r="O2614" s="2">
        <v>46172</v>
      </c>
      <c r="P2614" s="2">
        <v>46266</v>
      </c>
      <c r="R2614" t="s">
        <v>6969</v>
      </c>
      <c r="S2614" t="str">
        <f>""</f>
        <v/>
      </c>
      <c r="T2614" t="s">
        <v>41</v>
      </c>
      <c r="U2614">
        <v>7614.17</v>
      </c>
      <c r="V2614">
        <v>7347.67</v>
      </c>
      <c r="W2614">
        <v>7347.67</v>
      </c>
      <c r="X2614">
        <v>0</v>
      </c>
      <c r="Y2614">
        <v>0</v>
      </c>
      <c r="Z2614">
        <v>-491</v>
      </c>
      <c r="AA2614">
        <v>689396</v>
      </c>
      <c r="AD2614" t="s">
        <v>2750</v>
      </c>
      <c r="AF2614" t="s">
        <v>2750</v>
      </c>
      <c r="AG2614">
        <v>93209765058204</v>
      </c>
      <c r="AH2614" t="s">
        <v>2745</v>
      </c>
    </row>
    <row r="2615" spans="1:34" x14ac:dyDescent="0.3">
      <c r="A2615">
        <v>101</v>
      </c>
      <c r="B2615" t="s">
        <v>34</v>
      </c>
      <c r="C2615">
        <v>4</v>
      </c>
      <c r="D2615" s="1" t="s">
        <v>6970</v>
      </c>
      <c r="E2615" t="s">
        <v>3134</v>
      </c>
      <c r="G2615">
        <v>466837</v>
      </c>
      <c r="H2615" t="s">
        <v>6966</v>
      </c>
      <c r="I2615" t="s">
        <v>3222</v>
      </c>
      <c r="J2615">
        <v>33</v>
      </c>
      <c r="K2615">
        <v>4716</v>
      </c>
      <c r="L2615">
        <v>10001</v>
      </c>
      <c r="M2615" t="s">
        <v>3135</v>
      </c>
      <c r="N2615">
        <v>584</v>
      </c>
      <c r="O2615" s="2">
        <v>46183</v>
      </c>
      <c r="P2615" s="2">
        <v>46281</v>
      </c>
      <c r="R2615" t="s">
        <v>3304</v>
      </c>
      <c r="S2615" t="str">
        <f>"07.0574701"</f>
        <v>07.0574701</v>
      </c>
      <c r="T2615" t="s">
        <v>41</v>
      </c>
      <c r="U2615">
        <v>2498.0100000000002</v>
      </c>
      <c r="V2615">
        <v>2498.0100000000002</v>
      </c>
      <c r="W2615">
        <v>2498.0100000000002</v>
      </c>
      <c r="X2615">
        <v>0</v>
      </c>
      <c r="Y2615">
        <v>0</v>
      </c>
      <c r="Z2615">
        <v>-506</v>
      </c>
      <c r="AA2615">
        <v>689396</v>
      </c>
      <c r="AD2615" t="s">
        <v>2750</v>
      </c>
      <c r="AF2615" t="s">
        <v>2750</v>
      </c>
      <c r="AG2615">
        <v>93209765058204</v>
      </c>
      <c r="AH2615" t="s">
        <v>2745</v>
      </c>
    </row>
    <row r="2616" spans="1:34" x14ac:dyDescent="0.3">
      <c r="A2616">
        <v>104</v>
      </c>
      <c r="B2616" t="s">
        <v>34</v>
      </c>
      <c r="C2616">
        <v>4</v>
      </c>
      <c r="D2616" s="1" t="s">
        <v>6971</v>
      </c>
      <c r="E2616" s="1" t="s">
        <v>36</v>
      </c>
      <c r="G2616">
        <v>467314</v>
      </c>
      <c r="H2616" t="s">
        <v>6972</v>
      </c>
      <c r="I2616" t="s">
        <v>3222</v>
      </c>
      <c r="J2616">
        <v>26</v>
      </c>
      <c r="K2616">
        <v>4716</v>
      </c>
      <c r="L2616">
        <v>95000</v>
      </c>
      <c r="M2616" t="s">
        <v>69</v>
      </c>
      <c r="N2616">
        <v>584</v>
      </c>
      <c r="O2616" s="2">
        <v>46251</v>
      </c>
      <c r="P2616" s="2">
        <v>46321</v>
      </c>
      <c r="R2616" t="s">
        <v>6973</v>
      </c>
      <c r="S2616" t="str">
        <f>""</f>
        <v/>
      </c>
      <c r="T2616" t="s">
        <v>41</v>
      </c>
      <c r="U2616">
        <v>9020.16</v>
      </c>
      <c r="V2616">
        <v>8343.65</v>
      </c>
      <c r="W2616">
        <v>8343.65</v>
      </c>
      <c r="X2616">
        <v>0</v>
      </c>
      <c r="Y2616">
        <v>0</v>
      </c>
      <c r="Z2616">
        <v>-546</v>
      </c>
      <c r="AA2616">
        <v>696877</v>
      </c>
      <c r="AD2616" t="s">
        <v>4310</v>
      </c>
      <c r="AF2616" t="s">
        <v>4310</v>
      </c>
      <c r="AG2616">
        <v>93209765061922</v>
      </c>
      <c r="AH2616" t="s">
        <v>3520</v>
      </c>
    </row>
    <row r="2617" spans="1:34" x14ac:dyDescent="0.3">
      <c r="A2617">
        <v>104</v>
      </c>
      <c r="B2617" t="s">
        <v>34</v>
      </c>
      <c r="C2617">
        <v>4</v>
      </c>
      <c r="D2617" s="1" t="s">
        <v>6974</v>
      </c>
      <c r="E2617" s="1" t="s">
        <v>36</v>
      </c>
      <c r="G2617">
        <v>467315</v>
      </c>
      <c r="H2617" t="s">
        <v>6975</v>
      </c>
      <c r="I2617" t="s">
        <v>3222</v>
      </c>
      <c r="J2617">
        <v>26</v>
      </c>
      <c r="K2617">
        <v>4716</v>
      </c>
      <c r="L2617">
        <v>95000</v>
      </c>
      <c r="M2617" t="s">
        <v>69</v>
      </c>
      <c r="N2617">
        <v>584</v>
      </c>
      <c r="O2617" s="2">
        <v>46251</v>
      </c>
      <c r="P2617" s="2">
        <v>46321</v>
      </c>
      <c r="R2617" t="s">
        <v>6976</v>
      </c>
      <c r="S2617" t="str">
        <f>""</f>
        <v/>
      </c>
      <c r="T2617" t="s">
        <v>41</v>
      </c>
      <c r="U2617">
        <v>28875.39</v>
      </c>
      <c r="V2617">
        <v>26709.74</v>
      </c>
      <c r="W2617">
        <v>26709.74</v>
      </c>
      <c r="X2617">
        <v>0</v>
      </c>
      <c r="Y2617">
        <v>0</v>
      </c>
      <c r="Z2617">
        <v>-546</v>
      </c>
      <c r="AA2617">
        <v>696879</v>
      </c>
      <c r="AD2617" t="s">
        <v>4310</v>
      </c>
      <c r="AF2617" t="s">
        <v>4310</v>
      </c>
      <c r="AG2617">
        <v>93209765062066</v>
      </c>
      <c r="AH2617" t="s">
        <v>3520</v>
      </c>
    </row>
    <row r="2618" spans="1:34" x14ac:dyDescent="0.3">
      <c r="A2618">
        <v>101</v>
      </c>
      <c r="B2618" t="s">
        <v>34</v>
      </c>
      <c r="C2618">
        <v>4</v>
      </c>
      <c r="D2618" s="1" t="s">
        <v>6977</v>
      </c>
      <c r="E2618" t="s">
        <v>3134</v>
      </c>
      <c r="G2618">
        <v>467315</v>
      </c>
      <c r="H2618" t="s">
        <v>6975</v>
      </c>
      <c r="I2618" t="s">
        <v>3222</v>
      </c>
      <c r="J2618">
        <v>26</v>
      </c>
      <c r="K2618">
        <v>4716</v>
      </c>
      <c r="L2618">
        <v>10001</v>
      </c>
      <c r="M2618" t="s">
        <v>3135</v>
      </c>
      <c r="N2618">
        <v>584</v>
      </c>
      <c r="O2618" s="2">
        <v>46183</v>
      </c>
      <c r="P2618" s="2">
        <v>46281</v>
      </c>
      <c r="R2618" t="s">
        <v>3304</v>
      </c>
      <c r="S2618" t="str">
        <f>"07.0574701"</f>
        <v>07.0574701</v>
      </c>
      <c r="T2618" t="s">
        <v>41</v>
      </c>
      <c r="U2618">
        <v>2038.08</v>
      </c>
      <c r="V2618">
        <v>2038.08</v>
      </c>
      <c r="W2618">
        <v>2038.08</v>
      </c>
      <c r="X2618">
        <v>0</v>
      </c>
      <c r="Y2618">
        <v>0</v>
      </c>
      <c r="Z2618">
        <v>-506</v>
      </c>
      <c r="AA2618">
        <v>688539</v>
      </c>
      <c r="AD2618" t="s">
        <v>4310</v>
      </c>
      <c r="AF2618" t="s">
        <v>4310</v>
      </c>
      <c r="AG2618">
        <v>93209765062066</v>
      </c>
      <c r="AH2618" t="s">
        <v>3520</v>
      </c>
    </row>
    <row r="2619" spans="1:34" x14ac:dyDescent="0.3">
      <c r="A2619">
        <v>104</v>
      </c>
      <c r="B2619" t="s">
        <v>34</v>
      </c>
      <c r="C2619">
        <v>4</v>
      </c>
      <c r="D2619" s="1" t="s">
        <v>6978</v>
      </c>
      <c r="E2619" s="1" t="s">
        <v>36</v>
      </c>
      <c r="G2619">
        <v>467325</v>
      </c>
      <c r="H2619" t="s">
        <v>6979</v>
      </c>
      <c r="I2619" t="s">
        <v>3222</v>
      </c>
      <c r="J2619">
        <v>26</v>
      </c>
      <c r="K2619">
        <v>4716</v>
      </c>
      <c r="L2619">
        <v>95000</v>
      </c>
      <c r="M2619" t="s">
        <v>69</v>
      </c>
      <c r="N2619">
        <v>584</v>
      </c>
      <c r="O2619" s="2">
        <v>46231</v>
      </c>
      <c r="P2619" s="2">
        <v>46311</v>
      </c>
      <c r="R2619" t="s">
        <v>6980</v>
      </c>
      <c r="S2619" t="str">
        <f>""</f>
        <v/>
      </c>
      <c r="T2619" t="s">
        <v>41</v>
      </c>
      <c r="U2619">
        <v>19130.37</v>
      </c>
      <c r="V2619">
        <v>18460.810000000001</v>
      </c>
      <c r="W2619">
        <v>18460.810000000001</v>
      </c>
      <c r="X2619">
        <v>0</v>
      </c>
      <c r="Y2619">
        <v>0</v>
      </c>
      <c r="Z2619">
        <v>-536</v>
      </c>
      <c r="AA2619">
        <v>694027</v>
      </c>
      <c r="AD2619" t="s">
        <v>6029</v>
      </c>
      <c r="AE2619" t="s">
        <v>6981</v>
      </c>
      <c r="AF2619" t="s">
        <v>6029</v>
      </c>
      <c r="AG2619">
        <v>93209765067025</v>
      </c>
      <c r="AH2619" t="s">
        <v>4686</v>
      </c>
    </row>
    <row r="2620" spans="1:34" x14ac:dyDescent="0.3">
      <c r="A2620">
        <v>104</v>
      </c>
      <c r="B2620" t="s">
        <v>34</v>
      </c>
      <c r="C2620">
        <v>4</v>
      </c>
      <c r="D2620" s="1" t="s">
        <v>6982</v>
      </c>
      <c r="E2620" s="1" t="s">
        <v>36</v>
      </c>
      <c r="G2620">
        <v>467446</v>
      </c>
      <c r="H2620" t="s">
        <v>6983</v>
      </c>
      <c r="I2620" t="s">
        <v>3131</v>
      </c>
      <c r="J2620">
        <v>26</v>
      </c>
      <c r="K2620">
        <v>4716</v>
      </c>
      <c r="L2620">
        <v>95000</v>
      </c>
      <c r="M2620" t="s">
        <v>69</v>
      </c>
      <c r="N2620">
        <v>584</v>
      </c>
      <c r="O2620" s="2">
        <v>46231</v>
      </c>
      <c r="P2620" s="2">
        <v>46328</v>
      </c>
      <c r="R2620" t="s">
        <v>6984</v>
      </c>
      <c r="S2620" t="str">
        <f>""</f>
        <v/>
      </c>
      <c r="T2620" t="s">
        <v>41</v>
      </c>
      <c r="U2620">
        <v>10598.2</v>
      </c>
      <c r="V2620">
        <v>10227.26</v>
      </c>
      <c r="W2620">
        <v>10227.26</v>
      </c>
      <c r="X2620">
        <v>0</v>
      </c>
      <c r="Y2620">
        <v>0</v>
      </c>
      <c r="Z2620">
        <v>-553</v>
      </c>
      <c r="AA2620">
        <v>695239</v>
      </c>
      <c r="AD2620" t="s">
        <v>1089</v>
      </c>
      <c r="AF2620" t="s">
        <v>1089</v>
      </c>
      <c r="AG2620">
        <v>75315333035590</v>
      </c>
      <c r="AH2620" t="s">
        <v>714</v>
      </c>
    </row>
    <row r="2621" spans="1:34" x14ac:dyDescent="0.3">
      <c r="A2621">
        <v>101</v>
      </c>
      <c r="B2621" t="s">
        <v>34</v>
      </c>
      <c r="C2621">
        <v>4</v>
      </c>
      <c r="D2621" s="1" t="s">
        <v>6985</v>
      </c>
      <c r="E2621" t="s">
        <v>3134</v>
      </c>
      <c r="G2621">
        <v>467446</v>
      </c>
      <c r="H2621" t="s">
        <v>6983</v>
      </c>
      <c r="I2621" t="s">
        <v>3131</v>
      </c>
      <c r="J2621">
        <v>26</v>
      </c>
      <c r="K2621">
        <v>4716</v>
      </c>
      <c r="L2621">
        <v>10001</v>
      </c>
      <c r="M2621" t="s">
        <v>3135</v>
      </c>
      <c r="N2621">
        <v>584</v>
      </c>
      <c r="O2621" s="2">
        <v>46171</v>
      </c>
      <c r="P2621" s="2">
        <v>46266</v>
      </c>
      <c r="R2621" t="s">
        <v>3136</v>
      </c>
      <c r="S2621" t="str">
        <f>"07.0572790"</f>
        <v>07.0572790</v>
      </c>
      <c r="T2621" t="s">
        <v>41</v>
      </c>
      <c r="U2621">
        <v>8121.72</v>
      </c>
      <c r="V2621">
        <v>8121.72</v>
      </c>
      <c r="W2621">
        <v>8121.72</v>
      </c>
      <c r="X2621">
        <v>0</v>
      </c>
      <c r="Y2621">
        <v>0</v>
      </c>
      <c r="Z2621">
        <v>-491</v>
      </c>
      <c r="AA2621">
        <v>688850</v>
      </c>
      <c r="AD2621" t="s">
        <v>1089</v>
      </c>
      <c r="AF2621" t="s">
        <v>1089</v>
      </c>
      <c r="AG2621">
        <v>75315333035590</v>
      </c>
      <c r="AH2621" t="s">
        <v>714</v>
      </c>
    </row>
    <row r="2622" spans="1:34" x14ac:dyDescent="0.3">
      <c r="A2622">
        <v>101</v>
      </c>
      <c r="B2622" t="s">
        <v>34</v>
      </c>
      <c r="C2622">
        <v>4</v>
      </c>
      <c r="D2622" s="1" t="s">
        <v>6986</v>
      </c>
      <c r="E2622" t="s">
        <v>3134</v>
      </c>
      <c r="G2622">
        <v>467541</v>
      </c>
      <c r="H2622" t="s">
        <v>6987</v>
      </c>
      <c r="I2622" t="s">
        <v>3222</v>
      </c>
      <c r="J2622">
        <v>26</v>
      </c>
      <c r="K2622">
        <v>4716</v>
      </c>
      <c r="L2622">
        <v>10001</v>
      </c>
      <c r="M2622" t="s">
        <v>3135</v>
      </c>
      <c r="N2622">
        <v>584</v>
      </c>
      <c r="O2622" s="2">
        <v>46183</v>
      </c>
      <c r="P2622" s="2">
        <v>46281</v>
      </c>
      <c r="R2622" t="s">
        <v>3304</v>
      </c>
      <c r="S2622" t="str">
        <f>"07.0574701"</f>
        <v>07.0574701</v>
      </c>
      <c r="T2622" t="s">
        <v>41</v>
      </c>
      <c r="U2622">
        <v>8743</v>
      </c>
      <c r="V2622">
        <v>8743</v>
      </c>
      <c r="W2622">
        <v>8743</v>
      </c>
      <c r="X2622">
        <v>0</v>
      </c>
      <c r="Y2622">
        <v>0</v>
      </c>
      <c r="Z2622">
        <v>-506</v>
      </c>
      <c r="AA2622">
        <v>689390</v>
      </c>
      <c r="AD2622" t="s">
        <v>2792</v>
      </c>
      <c r="AE2622" t="s">
        <v>6892</v>
      </c>
      <c r="AF2622" t="s">
        <v>2792</v>
      </c>
      <c r="AG2622">
        <v>93209765067459</v>
      </c>
      <c r="AH2622" t="s">
        <v>2745</v>
      </c>
    </row>
    <row r="2623" spans="1:34" x14ac:dyDescent="0.3">
      <c r="A2623">
        <v>104</v>
      </c>
      <c r="B2623" t="s">
        <v>34</v>
      </c>
      <c r="C2623">
        <v>4</v>
      </c>
      <c r="D2623" s="1" t="s">
        <v>6988</v>
      </c>
      <c r="E2623" s="1" t="s">
        <v>36</v>
      </c>
      <c r="G2623">
        <v>467541</v>
      </c>
      <c r="H2623" t="s">
        <v>6987</v>
      </c>
      <c r="I2623" t="s">
        <v>3222</v>
      </c>
      <c r="J2623">
        <v>26</v>
      </c>
      <c r="K2623">
        <v>4716</v>
      </c>
      <c r="L2623">
        <v>95000</v>
      </c>
      <c r="M2623" t="s">
        <v>69</v>
      </c>
      <c r="N2623">
        <v>584</v>
      </c>
      <c r="O2623" s="2">
        <v>46172</v>
      </c>
      <c r="P2623" s="2">
        <v>46266</v>
      </c>
      <c r="R2623" t="s">
        <v>6989</v>
      </c>
      <c r="S2623" t="str">
        <f>""</f>
        <v/>
      </c>
      <c r="T2623" t="s">
        <v>41</v>
      </c>
      <c r="U2623">
        <v>58212.03</v>
      </c>
      <c r="V2623">
        <v>7440.51</v>
      </c>
      <c r="W2623">
        <v>7440.51</v>
      </c>
      <c r="X2623">
        <v>0</v>
      </c>
      <c r="Y2623">
        <v>0</v>
      </c>
      <c r="Z2623">
        <v>-491</v>
      </c>
      <c r="AA2623">
        <v>689390</v>
      </c>
      <c r="AD2623" t="s">
        <v>2792</v>
      </c>
      <c r="AE2623" t="s">
        <v>6892</v>
      </c>
      <c r="AF2623" t="s">
        <v>2792</v>
      </c>
      <c r="AG2623">
        <v>93209765067459</v>
      </c>
      <c r="AH2623" t="s">
        <v>2745</v>
      </c>
    </row>
    <row r="2624" spans="1:34" x14ac:dyDescent="0.3">
      <c r="A2624">
        <v>104</v>
      </c>
      <c r="B2624" t="s">
        <v>34</v>
      </c>
      <c r="C2624">
        <v>4</v>
      </c>
      <c r="D2624" s="1" t="s">
        <v>6990</v>
      </c>
      <c r="E2624" s="1" t="s">
        <v>36</v>
      </c>
      <c r="G2624">
        <v>467541</v>
      </c>
      <c r="H2624" t="s">
        <v>6987</v>
      </c>
      <c r="I2624" t="s">
        <v>3222</v>
      </c>
      <c r="J2624">
        <v>26</v>
      </c>
      <c r="K2624">
        <v>4716</v>
      </c>
      <c r="L2624">
        <v>95000</v>
      </c>
      <c r="M2624" t="s">
        <v>69</v>
      </c>
      <c r="N2624">
        <v>584</v>
      </c>
      <c r="O2624" s="2">
        <v>46234</v>
      </c>
      <c r="P2624" s="2">
        <v>46304</v>
      </c>
      <c r="R2624" t="s">
        <v>6991</v>
      </c>
      <c r="S2624" t="str">
        <f>""</f>
        <v/>
      </c>
      <c r="T2624" t="s">
        <v>41</v>
      </c>
      <c r="U2624">
        <v>56814.66</v>
      </c>
      <c r="V2624">
        <v>54826.15</v>
      </c>
      <c r="W2624">
        <v>54826.15</v>
      </c>
      <c r="X2624">
        <v>0</v>
      </c>
      <c r="Y2624">
        <v>0</v>
      </c>
      <c r="Z2624">
        <v>-529</v>
      </c>
      <c r="AA2624">
        <v>695541</v>
      </c>
      <c r="AD2624" t="s">
        <v>2792</v>
      </c>
      <c r="AE2624" t="s">
        <v>6892</v>
      </c>
      <c r="AF2624" t="s">
        <v>2792</v>
      </c>
      <c r="AG2624">
        <v>93209765067459</v>
      </c>
      <c r="AH2624" t="s">
        <v>2745</v>
      </c>
    </row>
    <row r="2625" spans="1:34" x14ac:dyDescent="0.3">
      <c r="A2625">
        <v>104</v>
      </c>
      <c r="B2625" t="s">
        <v>34</v>
      </c>
      <c r="C2625">
        <v>4</v>
      </c>
      <c r="D2625" s="1" t="s">
        <v>6992</v>
      </c>
      <c r="E2625" s="1" t="s">
        <v>36</v>
      </c>
      <c r="G2625">
        <v>467542</v>
      </c>
      <c r="H2625" t="s">
        <v>6993</v>
      </c>
      <c r="I2625" t="s">
        <v>3222</v>
      </c>
      <c r="J2625">
        <v>26</v>
      </c>
      <c r="K2625">
        <v>4716</v>
      </c>
      <c r="L2625">
        <v>95000</v>
      </c>
      <c r="M2625" t="s">
        <v>69</v>
      </c>
      <c r="N2625">
        <v>584</v>
      </c>
      <c r="O2625" s="2">
        <v>46234</v>
      </c>
      <c r="P2625" s="2">
        <v>46304</v>
      </c>
      <c r="R2625" t="s">
        <v>6994</v>
      </c>
      <c r="S2625" t="str">
        <f>""</f>
        <v/>
      </c>
      <c r="T2625" t="s">
        <v>41</v>
      </c>
      <c r="U2625">
        <v>6391.85</v>
      </c>
      <c r="V2625">
        <v>6168.14</v>
      </c>
      <c r="W2625">
        <v>6168.14</v>
      </c>
      <c r="X2625">
        <v>0</v>
      </c>
      <c r="Y2625">
        <v>0</v>
      </c>
      <c r="Z2625">
        <v>-529</v>
      </c>
      <c r="AA2625">
        <v>695539</v>
      </c>
      <c r="AD2625" t="s">
        <v>6995</v>
      </c>
      <c r="AF2625" t="s">
        <v>6995</v>
      </c>
      <c r="AG2625">
        <v>93209765067378</v>
      </c>
      <c r="AH2625" t="s">
        <v>2745</v>
      </c>
    </row>
    <row r="2626" spans="1:34" x14ac:dyDescent="0.3">
      <c r="A2626">
        <v>104</v>
      </c>
      <c r="B2626" t="s">
        <v>34</v>
      </c>
      <c r="C2626">
        <v>4</v>
      </c>
      <c r="D2626" s="1" t="s">
        <v>6996</v>
      </c>
      <c r="E2626" s="1" t="s">
        <v>36</v>
      </c>
      <c r="G2626">
        <v>467542</v>
      </c>
      <c r="H2626" t="s">
        <v>6993</v>
      </c>
      <c r="I2626" t="s">
        <v>3222</v>
      </c>
      <c r="J2626">
        <v>26</v>
      </c>
      <c r="K2626">
        <v>4716</v>
      </c>
      <c r="L2626">
        <v>95000</v>
      </c>
      <c r="M2626" t="s">
        <v>69</v>
      </c>
      <c r="N2626">
        <v>584</v>
      </c>
      <c r="O2626" s="2">
        <v>46172</v>
      </c>
      <c r="P2626" s="2">
        <v>46266</v>
      </c>
      <c r="R2626" t="s">
        <v>6997</v>
      </c>
      <c r="S2626" t="str">
        <f>""</f>
        <v/>
      </c>
      <c r="T2626" t="s">
        <v>41</v>
      </c>
      <c r="U2626">
        <v>853.76</v>
      </c>
      <c r="V2626">
        <v>823.88</v>
      </c>
      <c r="W2626">
        <v>823.88</v>
      </c>
      <c r="X2626">
        <v>0</v>
      </c>
      <c r="Y2626">
        <v>0</v>
      </c>
      <c r="Z2626">
        <v>-491</v>
      </c>
      <c r="AA2626">
        <v>686497</v>
      </c>
      <c r="AD2626" t="s">
        <v>6995</v>
      </c>
      <c r="AF2626" t="s">
        <v>6995</v>
      </c>
      <c r="AG2626">
        <v>93209765067378</v>
      </c>
      <c r="AH2626" t="s">
        <v>2745</v>
      </c>
    </row>
    <row r="2627" spans="1:34" x14ac:dyDescent="0.3">
      <c r="A2627">
        <v>104</v>
      </c>
      <c r="B2627" t="s">
        <v>34</v>
      </c>
      <c r="C2627">
        <v>4</v>
      </c>
      <c r="D2627" s="1" t="s">
        <v>6998</v>
      </c>
      <c r="E2627" s="1" t="s">
        <v>36</v>
      </c>
      <c r="G2627">
        <v>467542</v>
      </c>
      <c r="H2627" t="s">
        <v>6993</v>
      </c>
      <c r="I2627" t="s">
        <v>3222</v>
      </c>
      <c r="J2627">
        <v>26</v>
      </c>
      <c r="K2627">
        <v>4716</v>
      </c>
      <c r="L2627">
        <v>95000</v>
      </c>
      <c r="M2627" t="s">
        <v>69</v>
      </c>
      <c r="N2627">
        <v>584</v>
      </c>
      <c r="O2627" s="2">
        <v>46172</v>
      </c>
      <c r="P2627" s="2">
        <v>46266</v>
      </c>
      <c r="R2627" t="s">
        <v>6999</v>
      </c>
      <c r="S2627" t="str">
        <f>""</f>
        <v/>
      </c>
      <c r="T2627" t="s">
        <v>41</v>
      </c>
      <c r="U2627">
        <v>9825.35</v>
      </c>
      <c r="V2627">
        <v>9481.4599999999991</v>
      </c>
      <c r="W2627">
        <v>9481.4599999999991</v>
      </c>
      <c r="X2627">
        <v>0</v>
      </c>
      <c r="Y2627">
        <v>0</v>
      </c>
      <c r="Z2627">
        <v>-491</v>
      </c>
      <c r="AA2627">
        <v>689388</v>
      </c>
      <c r="AD2627" t="s">
        <v>6995</v>
      </c>
      <c r="AF2627" t="s">
        <v>6995</v>
      </c>
      <c r="AG2627">
        <v>93209765067378</v>
      </c>
      <c r="AH2627" t="s">
        <v>2745</v>
      </c>
    </row>
    <row r="2628" spans="1:34" x14ac:dyDescent="0.3">
      <c r="A2628">
        <v>101</v>
      </c>
      <c r="B2628" t="s">
        <v>34</v>
      </c>
      <c r="C2628">
        <v>4</v>
      </c>
      <c r="D2628" s="1" t="s">
        <v>7000</v>
      </c>
      <c r="E2628" t="s">
        <v>3134</v>
      </c>
      <c r="G2628">
        <v>467542</v>
      </c>
      <c r="H2628" t="s">
        <v>6993</v>
      </c>
      <c r="I2628" t="s">
        <v>3222</v>
      </c>
      <c r="J2628">
        <v>26</v>
      </c>
      <c r="K2628">
        <v>4716</v>
      </c>
      <c r="L2628">
        <v>10001</v>
      </c>
      <c r="M2628" t="s">
        <v>3135</v>
      </c>
      <c r="N2628">
        <v>584</v>
      </c>
      <c r="O2628" s="2">
        <v>46183</v>
      </c>
      <c r="P2628" s="2">
        <v>46281</v>
      </c>
      <c r="R2628" t="s">
        <v>3304</v>
      </c>
      <c r="S2628" t="str">
        <f>"07.0574701"</f>
        <v>07.0574701</v>
      </c>
      <c r="T2628" t="s">
        <v>41</v>
      </c>
      <c r="U2628">
        <v>2498.0100000000002</v>
      </c>
      <c r="V2628">
        <v>2498.0100000000002</v>
      </c>
      <c r="W2628">
        <v>2498.0100000000002</v>
      </c>
      <c r="X2628">
        <v>0</v>
      </c>
      <c r="Y2628">
        <v>0</v>
      </c>
      <c r="Z2628">
        <v>-506</v>
      </c>
      <c r="AA2628">
        <v>689388</v>
      </c>
      <c r="AD2628" t="s">
        <v>6995</v>
      </c>
      <c r="AF2628" t="s">
        <v>6995</v>
      </c>
      <c r="AG2628">
        <v>93209765067378</v>
      </c>
      <c r="AH2628" t="s">
        <v>2745</v>
      </c>
    </row>
    <row r="2629" spans="1:34" x14ac:dyDescent="0.3">
      <c r="A2629">
        <v>104</v>
      </c>
      <c r="B2629" t="s">
        <v>34</v>
      </c>
      <c r="C2629">
        <v>4</v>
      </c>
      <c r="D2629" s="1" t="s">
        <v>7001</v>
      </c>
      <c r="E2629" s="1" t="s">
        <v>36</v>
      </c>
      <c r="G2629">
        <v>467603</v>
      </c>
      <c r="H2629" t="s">
        <v>7002</v>
      </c>
      <c r="I2629" t="s">
        <v>3222</v>
      </c>
      <c r="J2629">
        <v>26</v>
      </c>
      <c r="K2629">
        <v>4716</v>
      </c>
      <c r="L2629">
        <v>95000</v>
      </c>
      <c r="M2629" t="s">
        <v>69</v>
      </c>
      <c r="N2629">
        <v>584</v>
      </c>
      <c r="O2629" s="2">
        <v>46172</v>
      </c>
      <c r="P2629" s="2">
        <v>46266</v>
      </c>
      <c r="R2629" t="s">
        <v>7003</v>
      </c>
      <c r="S2629" t="str">
        <f>""</f>
        <v/>
      </c>
      <c r="T2629" t="s">
        <v>41</v>
      </c>
      <c r="U2629">
        <v>1219.6500000000001</v>
      </c>
      <c r="V2629">
        <v>1176.96</v>
      </c>
      <c r="W2629">
        <v>1176.96</v>
      </c>
      <c r="X2629">
        <v>0</v>
      </c>
      <c r="Y2629">
        <v>0</v>
      </c>
      <c r="Z2629">
        <v>-491</v>
      </c>
      <c r="AA2629">
        <v>686495</v>
      </c>
      <c r="AD2629" t="s">
        <v>2750</v>
      </c>
      <c r="AE2629" t="s">
        <v>6981</v>
      </c>
      <c r="AF2629" t="s">
        <v>2750</v>
      </c>
      <c r="AG2629">
        <v>93209765067106</v>
      </c>
      <c r="AH2629" t="s">
        <v>2745</v>
      </c>
    </row>
    <row r="2630" spans="1:34" x14ac:dyDescent="0.3">
      <c r="A2630">
        <v>104</v>
      </c>
      <c r="B2630" t="s">
        <v>34</v>
      </c>
      <c r="C2630">
        <v>4</v>
      </c>
      <c r="D2630" s="1" t="s">
        <v>7004</v>
      </c>
      <c r="E2630" s="1" t="s">
        <v>36</v>
      </c>
      <c r="G2630">
        <v>467603</v>
      </c>
      <c r="H2630" t="s">
        <v>7002</v>
      </c>
      <c r="I2630" t="s">
        <v>3222</v>
      </c>
      <c r="J2630">
        <v>26</v>
      </c>
      <c r="K2630">
        <v>4716</v>
      </c>
      <c r="L2630">
        <v>95000</v>
      </c>
      <c r="M2630" t="s">
        <v>69</v>
      </c>
      <c r="N2630">
        <v>584</v>
      </c>
      <c r="O2630" s="2">
        <v>46172</v>
      </c>
      <c r="P2630" s="2">
        <v>46266</v>
      </c>
      <c r="R2630" t="s">
        <v>7005</v>
      </c>
      <c r="S2630" t="str">
        <f>""</f>
        <v/>
      </c>
      <c r="T2630" t="s">
        <v>41</v>
      </c>
      <c r="U2630">
        <v>31943.9</v>
      </c>
      <c r="V2630">
        <v>30825.86</v>
      </c>
      <c r="W2630">
        <v>30825.86</v>
      </c>
      <c r="X2630">
        <v>0</v>
      </c>
      <c r="Y2630">
        <v>0</v>
      </c>
      <c r="Z2630">
        <v>-491</v>
      </c>
      <c r="AA2630">
        <v>689386</v>
      </c>
      <c r="AD2630" t="s">
        <v>2750</v>
      </c>
      <c r="AE2630" t="s">
        <v>6981</v>
      </c>
      <c r="AF2630" t="s">
        <v>2750</v>
      </c>
      <c r="AG2630">
        <v>93209765067106</v>
      </c>
      <c r="AH2630" t="s">
        <v>2745</v>
      </c>
    </row>
    <row r="2631" spans="1:34" x14ac:dyDescent="0.3">
      <c r="A2631">
        <v>104</v>
      </c>
      <c r="B2631" t="s">
        <v>34</v>
      </c>
      <c r="C2631">
        <v>4</v>
      </c>
      <c r="D2631" s="1" t="s">
        <v>7006</v>
      </c>
      <c r="E2631" s="1" t="s">
        <v>36</v>
      </c>
      <c r="G2631">
        <v>467603</v>
      </c>
      <c r="H2631" t="s">
        <v>7002</v>
      </c>
      <c r="I2631" t="s">
        <v>3222</v>
      </c>
      <c r="J2631">
        <v>26</v>
      </c>
      <c r="K2631">
        <v>4716</v>
      </c>
      <c r="L2631">
        <v>95000</v>
      </c>
      <c r="M2631" t="s">
        <v>69</v>
      </c>
      <c r="N2631">
        <v>584</v>
      </c>
      <c r="O2631" s="2">
        <v>46234</v>
      </c>
      <c r="P2631" s="2">
        <v>46328</v>
      </c>
      <c r="R2631" t="s">
        <v>7007</v>
      </c>
      <c r="S2631" t="str">
        <f>""</f>
        <v/>
      </c>
      <c r="T2631" t="s">
        <v>41</v>
      </c>
      <c r="U2631">
        <v>48741.59</v>
      </c>
      <c r="V2631">
        <v>47035.63</v>
      </c>
      <c r="W2631">
        <v>47035.63</v>
      </c>
      <c r="X2631">
        <v>0</v>
      </c>
      <c r="Y2631">
        <v>0</v>
      </c>
      <c r="Z2631">
        <v>-553</v>
      </c>
      <c r="AA2631">
        <v>695537</v>
      </c>
      <c r="AD2631" t="s">
        <v>2750</v>
      </c>
      <c r="AE2631" t="s">
        <v>6981</v>
      </c>
      <c r="AF2631" t="s">
        <v>2750</v>
      </c>
      <c r="AG2631">
        <v>93209765067106</v>
      </c>
      <c r="AH2631" t="s">
        <v>2745</v>
      </c>
    </row>
    <row r="2632" spans="1:34" x14ac:dyDescent="0.3">
      <c r="A2632">
        <v>101</v>
      </c>
      <c r="B2632" t="s">
        <v>34</v>
      </c>
      <c r="C2632">
        <v>4</v>
      </c>
      <c r="D2632" s="1" t="s">
        <v>7008</v>
      </c>
      <c r="E2632" t="s">
        <v>3134</v>
      </c>
      <c r="G2632">
        <v>467695</v>
      </c>
      <c r="H2632" t="s">
        <v>7009</v>
      </c>
      <c r="I2632" t="s">
        <v>3131</v>
      </c>
      <c r="J2632">
        <v>26</v>
      </c>
      <c r="K2632">
        <v>4716</v>
      </c>
      <c r="L2632">
        <v>10001</v>
      </c>
      <c r="M2632" t="s">
        <v>3135</v>
      </c>
      <c r="N2632">
        <v>584</v>
      </c>
      <c r="O2632" s="2">
        <v>46162</v>
      </c>
      <c r="P2632" s="2">
        <v>46296</v>
      </c>
      <c r="R2632" t="s">
        <v>3144</v>
      </c>
      <c r="S2632" t="str">
        <f>"07.0574661"</f>
        <v>07.0574661</v>
      </c>
      <c r="T2632" t="s">
        <v>41</v>
      </c>
      <c r="U2632">
        <v>14403.07</v>
      </c>
      <c r="V2632">
        <v>14403.07</v>
      </c>
      <c r="W2632">
        <v>14403.07</v>
      </c>
      <c r="X2632">
        <v>0</v>
      </c>
      <c r="Y2632">
        <v>0</v>
      </c>
      <c r="Z2632">
        <v>-521</v>
      </c>
      <c r="AA2632">
        <v>688505</v>
      </c>
      <c r="AD2632" t="s">
        <v>6454</v>
      </c>
      <c r="AF2632" t="s">
        <v>6454</v>
      </c>
      <c r="AG2632">
        <v>75315333035913</v>
      </c>
      <c r="AH2632" t="s">
        <v>7010</v>
      </c>
    </row>
    <row r="2633" spans="1:34" x14ac:dyDescent="0.3">
      <c r="A2633">
        <v>104</v>
      </c>
      <c r="B2633" t="s">
        <v>34</v>
      </c>
      <c r="C2633">
        <v>4</v>
      </c>
      <c r="D2633" s="1" t="s">
        <v>7011</v>
      </c>
      <c r="E2633" s="1" t="s">
        <v>36</v>
      </c>
      <c r="G2633">
        <v>467695</v>
      </c>
      <c r="H2633" t="s">
        <v>7009</v>
      </c>
      <c r="I2633" t="s">
        <v>3131</v>
      </c>
      <c r="J2633">
        <v>26</v>
      </c>
      <c r="K2633">
        <v>4716</v>
      </c>
      <c r="L2633">
        <v>95000</v>
      </c>
      <c r="M2633" t="s">
        <v>69</v>
      </c>
      <c r="N2633">
        <v>584</v>
      </c>
      <c r="O2633" s="2">
        <v>46234</v>
      </c>
      <c r="P2633" s="2">
        <v>46304</v>
      </c>
      <c r="R2633" t="s">
        <v>7012</v>
      </c>
      <c r="S2633" t="str">
        <f>""</f>
        <v/>
      </c>
      <c r="T2633" t="s">
        <v>41</v>
      </c>
      <c r="U2633">
        <v>12097.66</v>
      </c>
      <c r="V2633">
        <v>11674.24</v>
      </c>
      <c r="W2633">
        <v>11674.24</v>
      </c>
      <c r="X2633">
        <v>0</v>
      </c>
      <c r="Y2633">
        <v>0</v>
      </c>
      <c r="Z2633">
        <v>-529</v>
      </c>
      <c r="AA2633">
        <v>695995</v>
      </c>
      <c r="AD2633" t="s">
        <v>6454</v>
      </c>
      <c r="AF2633" t="s">
        <v>6454</v>
      </c>
      <c r="AG2633">
        <v>75315333035913</v>
      </c>
      <c r="AH2633" t="s">
        <v>7010</v>
      </c>
    </row>
    <row r="2634" spans="1:34" x14ac:dyDescent="0.3">
      <c r="A2634">
        <v>101</v>
      </c>
      <c r="B2634" t="s">
        <v>34</v>
      </c>
      <c r="C2634">
        <v>4</v>
      </c>
      <c r="D2634" s="1" t="s">
        <v>7013</v>
      </c>
      <c r="E2634" t="s">
        <v>3134</v>
      </c>
      <c r="G2634">
        <v>467695</v>
      </c>
      <c r="H2634" t="s">
        <v>7009</v>
      </c>
      <c r="I2634" t="s">
        <v>3131</v>
      </c>
      <c r="J2634">
        <v>26</v>
      </c>
      <c r="K2634">
        <v>4716</v>
      </c>
      <c r="L2634">
        <v>10001</v>
      </c>
      <c r="M2634" t="s">
        <v>3135</v>
      </c>
      <c r="N2634">
        <v>584</v>
      </c>
      <c r="O2634" s="2">
        <v>46197</v>
      </c>
      <c r="P2634" s="2">
        <v>46329</v>
      </c>
      <c r="R2634" t="s">
        <v>3187</v>
      </c>
      <c r="S2634" t="str">
        <f>"08.0579034"</f>
        <v>08.0579034</v>
      </c>
      <c r="T2634" t="s">
        <v>41</v>
      </c>
      <c r="U2634">
        <v>692.95</v>
      </c>
      <c r="V2634">
        <v>692.95</v>
      </c>
      <c r="W2634">
        <v>692.95</v>
      </c>
      <c r="X2634">
        <v>0</v>
      </c>
      <c r="Y2634">
        <v>0</v>
      </c>
      <c r="Z2634">
        <v>-554</v>
      </c>
      <c r="AA2634">
        <v>692050</v>
      </c>
      <c r="AD2634" t="s">
        <v>6454</v>
      </c>
      <c r="AF2634" t="s">
        <v>6454</v>
      </c>
      <c r="AG2634">
        <v>75315333035913</v>
      </c>
      <c r="AH2634" t="s">
        <v>7010</v>
      </c>
    </row>
    <row r="2635" spans="1:34" x14ac:dyDescent="0.3">
      <c r="A2635">
        <v>101</v>
      </c>
      <c r="B2635" t="s">
        <v>34</v>
      </c>
      <c r="C2635">
        <v>4</v>
      </c>
      <c r="D2635" s="1" t="s">
        <v>7014</v>
      </c>
      <c r="E2635" t="s">
        <v>3134</v>
      </c>
      <c r="G2635">
        <v>467695</v>
      </c>
      <c r="H2635" t="s">
        <v>7009</v>
      </c>
      <c r="I2635" t="s">
        <v>3131</v>
      </c>
      <c r="J2635">
        <v>26</v>
      </c>
      <c r="K2635">
        <v>4716</v>
      </c>
      <c r="L2635">
        <v>10001</v>
      </c>
      <c r="M2635" t="s">
        <v>3135</v>
      </c>
      <c r="N2635">
        <v>584</v>
      </c>
      <c r="O2635" s="2">
        <v>46197</v>
      </c>
      <c r="P2635" s="2">
        <v>46329</v>
      </c>
      <c r="R2635" t="s">
        <v>3187</v>
      </c>
      <c r="S2635" t="str">
        <f>"08.0579034"</f>
        <v>08.0579034</v>
      </c>
      <c r="T2635" t="s">
        <v>41</v>
      </c>
      <c r="U2635">
        <v>24626.25</v>
      </c>
      <c r="V2635">
        <v>24626.25</v>
      </c>
      <c r="W2635">
        <v>24626.25</v>
      </c>
      <c r="X2635">
        <v>0</v>
      </c>
      <c r="Y2635">
        <v>0</v>
      </c>
      <c r="Z2635">
        <v>-554</v>
      </c>
      <c r="AA2635">
        <v>692006</v>
      </c>
      <c r="AD2635" t="s">
        <v>6454</v>
      </c>
      <c r="AF2635" t="s">
        <v>6454</v>
      </c>
      <c r="AG2635">
        <v>75315333035913</v>
      </c>
      <c r="AH2635" t="s">
        <v>7010</v>
      </c>
    </row>
    <row r="2636" spans="1:34" x14ac:dyDescent="0.3">
      <c r="A2636">
        <v>104</v>
      </c>
      <c r="B2636" t="s">
        <v>34</v>
      </c>
      <c r="C2636">
        <v>4</v>
      </c>
      <c r="D2636" s="1" t="s">
        <v>7015</v>
      </c>
      <c r="E2636" s="1" t="s">
        <v>36</v>
      </c>
      <c r="G2636">
        <v>467754</v>
      </c>
      <c r="H2636" t="s">
        <v>7016</v>
      </c>
      <c r="I2636" t="s">
        <v>3222</v>
      </c>
      <c r="J2636">
        <v>26</v>
      </c>
      <c r="K2636">
        <v>4716</v>
      </c>
      <c r="L2636">
        <v>95000</v>
      </c>
      <c r="M2636" t="s">
        <v>69</v>
      </c>
      <c r="N2636">
        <v>584</v>
      </c>
      <c r="O2636" s="2">
        <v>46231</v>
      </c>
      <c r="P2636" s="2">
        <v>46311</v>
      </c>
      <c r="R2636" t="s">
        <v>7017</v>
      </c>
      <c r="S2636" t="str">
        <f>""</f>
        <v/>
      </c>
      <c r="T2636" t="s">
        <v>41</v>
      </c>
      <c r="U2636">
        <v>21148.7</v>
      </c>
      <c r="V2636">
        <v>20408.5</v>
      </c>
      <c r="W2636">
        <v>20408.5</v>
      </c>
      <c r="X2636">
        <v>0</v>
      </c>
      <c r="Y2636">
        <v>0</v>
      </c>
      <c r="Z2636">
        <v>-536</v>
      </c>
      <c r="AA2636">
        <v>694025</v>
      </c>
      <c r="AD2636" t="s">
        <v>6044</v>
      </c>
      <c r="AE2636" t="s">
        <v>6667</v>
      </c>
      <c r="AF2636" t="s">
        <v>6044</v>
      </c>
      <c r="AG2636">
        <v>93209765066568</v>
      </c>
      <c r="AH2636" t="s">
        <v>4686</v>
      </c>
    </row>
    <row r="2637" spans="1:34" x14ac:dyDescent="0.3">
      <c r="A2637">
        <v>104</v>
      </c>
      <c r="B2637" t="s">
        <v>34</v>
      </c>
      <c r="C2637">
        <v>4</v>
      </c>
      <c r="D2637" s="1" t="s">
        <v>7018</v>
      </c>
      <c r="E2637" s="1" t="s">
        <v>36</v>
      </c>
      <c r="G2637">
        <v>467755</v>
      </c>
      <c r="H2637" t="s">
        <v>7019</v>
      </c>
      <c r="I2637" t="s">
        <v>3222</v>
      </c>
      <c r="J2637">
        <v>26</v>
      </c>
      <c r="K2637">
        <v>4716</v>
      </c>
      <c r="L2637">
        <v>95000</v>
      </c>
      <c r="M2637" t="s">
        <v>69</v>
      </c>
      <c r="N2637">
        <v>584</v>
      </c>
      <c r="O2637" s="2">
        <v>46211</v>
      </c>
      <c r="P2637" s="2">
        <v>46311</v>
      </c>
      <c r="R2637" t="s">
        <v>7020</v>
      </c>
      <c r="S2637" t="str">
        <f>""</f>
        <v/>
      </c>
      <c r="T2637" t="s">
        <v>41</v>
      </c>
      <c r="U2637">
        <v>1693.96</v>
      </c>
      <c r="V2637">
        <v>1634.67</v>
      </c>
      <c r="W2637">
        <v>1634.67</v>
      </c>
      <c r="X2637">
        <v>0</v>
      </c>
      <c r="Y2637">
        <v>0</v>
      </c>
      <c r="Z2637">
        <v>-536</v>
      </c>
      <c r="AA2637">
        <v>693959</v>
      </c>
      <c r="AD2637" t="s">
        <v>6501</v>
      </c>
      <c r="AE2637" t="s">
        <v>6667</v>
      </c>
      <c r="AF2637" t="s">
        <v>6501</v>
      </c>
      <c r="AG2637">
        <v>93209765068188</v>
      </c>
      <c r="AH2637" t="s">
        <v>3698</v>
      </c>
    </row>
    <row r="2638" spans="1:34" x14ac:dyDescent="0.3">
      <c r="A2638">
        <v>104</v>
      </c>
      <c r="B2638" t="s">
        <v>34</v>
      </c>
      <c r="C2638">
        <v>4</v>
      </c>
      <c r="D2638" s="1" t="s">
        <v>7021</v>
      </c>
      <c r="E2638" s="1" t="s">
        <v>36</v>
      </c>
      <c r="G2638">
        <v>467755</v>
      </c>
      <c r="H2638" t="s">
        <v>7019</v>
      </c>
      <c r="I2638" t="s">
        <v>3222</v>
      </c>
      <c r="J2638">
        <v>26</v>
      </c>
      <c r="K2638">
        <v>4716</v>
      </c>
      <c r="L2638">
        <v>95000</v>
      </c>
      <c r="M2638" t="s">
        <v>69</v>
      </c>
      <c r="N2638">
        <v>584</v>
      </c>
      <c r="O2638" s="2">
        <v>46211</v>
      </c>
      <c r="P2638" s="2">
        <v>46311</v>
      </c>
      <c r="R2638" t="s">
        <v>7022</v>
      </c>
      <c r="S2638" t="str">
        <f>""</f>
        <v/>
      </c>
      <c r="T2638" t="s">
        <v>41</v>
      </c>
      <c r="U2638">
        <v>16915.560000000001</v>
      </c>
      <c r="V2638">
        <v>16323.52</v>
      </c>
      <c r="W2638">
        <v>16323.52</v>
      </c>
      <c r="X2638">
        <v>0</v>
      </c>
      <c r="Y2638">
        <v>0</v>
      </c>
      <c r="Z2638">
        <v>-536</v>
      </c>
      <c r="AA2638">
        <v>694017</v>
      </c>
      <c r="AD2638" t="s">
        <v>6501</v>
      </c>
      <c r="AE2638" t="s">
        <v>6667</v>
      </c>
      <c r="AF2638" t="s">
        <v>6501</v>
      </c>
      <c r="AG2638">
        <v>93209765068188</v>
      </c>
      <c r="AH2638" t="s">
        <v>3698</v>
      </c>
    </row>
    <row r="2639" spans="1:34" x14ac:dyDescent="0.3">
      <c r="A2639">
        <v>104</v>
      </c>
      <c r="B2639" t="s">
        <v>34</v>
      </c>
      <c r="C2639">
        <v>4</v>
      </c>
      <c r="D2639" s="1" t="s">
        <v>7018</v>
      </c>
      <c r="E2639" s="1" t="s">
        <v>122</v>
      </c>
      <c r="G2639">
        <v>467755</v>
      </c>
      <c r="H2639" t="s">
        <v>7019</v>
      </c>
      <c r="I2639" t="s">
        <v>3222</v>
      </c>
      <c r="J2639">
        <v>26</v>
      </c>
      <c r="K2639">
        <v>4716</v>
      </c>
      <c r="L2639">
        <v>95000</v>
      </c>
      <c r="M2639" t="s">
        <v>69</v>
      </c>
      <c r="N2639">
        <v>584</v>
      </c>
      <c r="O2639" s="2">
        <v>46223</v>
      </c>
      <c r="P2639" s="2">
        <v>46311</v>
      </c>
      <c r="R2639" t="s">
        <v>6268</v>
      </c>
      <c r="S2639" t="str">
        <f>""</f>
        <v/>
      </c>
      <c r="T2639" t="s">
        <v>41</v>
      </c>
      <c r="U2639">
        <v>347.06</v>
      </c>
      <c r="V2639">
        <v>347.06</v>
      </c>
      <c r="W2639">
        <v>347.06</v>
      </c>
      <c r="X2639">
        <v>0</v>
      </c>
      <c r="Y2639">
        <v>0</v>
      </c>
      <c r="Z2639">
        <v>-536</v>
      </c>
      <c r="AC2639" t="s">
        <v>6269</v>
      </c>
      <c r="AD2639" t="s">
        <v>6501</v>
      </c>
      <c r="AE2639" t="s">
        <v>6667</v>
      </c>
      <c r="AF2639" t="s">
        <v>6501</v>
      </c>
      <c r="AG2639">
        <v>93209765068188</v>
      </c>
      <c r="AH2639" t="s">
        <v>3698</v>
      </c>
    </row>
    <row r="2640" spans="1:34" x14ac:dyDescent="0.3">
      <c r="A2640">
        <v>104</v>
      </c>
      <c r="B2640" t="s">
        <v>34</v>
      </c>
      <c r="C2640">
        <v>4</v>
      </c>
      <c r="D2640" s="1" t="s">
        <v>7023</v>
      </c>
      <c r="E2640" s="1" t="s">
        <v>36</v>
      </c>
      <c r="G2640">
        <v>467830</v>
      </c>
      <c r="H2640" t="s">
        <v>7024</v>
      </c>
      <c r="I2640" t="s">
        <v>3222</v>
      </c>
      <c r="J2640">
        <v>26</v>
      </c>
      <c r="K2640">
        <v>4716</v>
      </c>
      <c r="L2640">
        <v>95000</v>
      </c>
      <c r="M2640" t="s">
        <v>69</v>
      </c>
      <c r="N2640">
        <v>584</v>
      </c>
      <c r="O2640" s="2">
        <v>46172</v>
      </c>
      <c r="P2640" s="2">
        <v>46266</v>
      </c>
      <c r="R2640" t="s">
        <v>7025</v>
      </c>
      <c r="S2640" t="str">
        <f>""</f>
        <v/>
      </c>
      <c r="T2640" t="s">
        <v>41</v>
      </c>
      <c r="U2640">
        <v>41061.72</v>
      </c>
      <c r="V2640">
        <v>39624.559999999998</v>
      </c>
      <c r="W2640">
        <v>39624.559999999998</v>
      </c>
      <c r="X2640">
        <v>0</v>
      </c>
      <c r="Y2640">
        <v>0</v>
      </c>
      <c r="Z2640">
        <v>-491</v>
      </c>
      <c r="AA2640">
        <v>689392</v>
      </c>
      <c r="AD2640" t="s">
        <v>2750</v>
      </c>
      <c r="AE2640" t="s">
        <v>6981</v>
      </c>
      <c r="AF2640" t="s">
        <v>2750</v>
      </c>
      <c r="AG2640">
        <v>93209765068340</v>
      </c>
      <c r="AH2640" t="s">
        <v>2745</v>
      </c>
    </row>
    <row r="2641" spans="1:34" x14ac:dyDescent="0.3">
      <c r="A2641">
        <v>104</v>
      </c>
      <c r="B2641" t="s">
        <v>34</v>
      </c>
      <c r="C2641">
        <v>4</v>
      </c>
      <c r="D2641" s="1" t="s">
        <v>7026</v>
      </c>
      <c r="E2641" s="1" t="s">
        <v>36</v>
      </c>
      <c r="G2641">
        <v>467830</v>
      </c>
      <c r="H2641" t="s">
        <v>7024</v>
      </c>
      <c r="I2641" t="s">
        <v>3222</v>
      </c>
      <c r="J2641">
        <v>26</v>
      </c>
      <c r="K2641">
        <v>4716</v>
      </c>
      <c r="L2641">
        <v>95000</v>
      </c>
      <c r="M2641" t="s">
        <v>69</v>
      </c>
      <c r="N2641">
        <v>584</v>
      </c>
      <c r="O2641" s="2">
        <v>46172</v>
      </c>
      <c r="P2641" s="2">
        <v>46266</v>
      </c>
      <c r="R2641" t="s">
        <v>7027</v>
      </c>
      <c r="S2641" t="str">
        <f>""</f>
        <v/>
      </c>
      <c r="T2641" t="s">
        <v>41</v>
      </c>
      <c r="U2641">
        <v>1219.6500000000001</v>
      </c>
      <c r="V2641">
        <v>1176.96</v>
      </c>
      <c r="W2641">
        <v>1176.96</v>
      </c>
      <c r="X2641">
        <v>0</v>
      </c>
      <c r="Y2641">
        <v>0</v>
      </c>
      <c r="Z2641">
        <v>-491</v>
      </c>
      <c r="AA2641">
        <v>686501</v>
      </c>
      <c r="AD2641" t="s">
        <v>2750</v>
      </c>
      <c r="AE2641" t="s">
        <v>6981</v>
      </c>
      <c r="AF2641" t="s">
        <v>2750</v>
      </c>
      <c r="AG2641">
        <v>93209765068340</v>
      </c>
      <c r="AH2641" t="s">
        <v>2745</v>
      </c>
    </row>
    <row r="2642" spans="1:34" x14ac:dyDescent="0.3">
      <c r="A2642">
        <v>104</v>
      </c>
      <c r="B2642" t="s">
        <v>34</v>
      </c>
      <c r="C2642">
        <v>4</v>
      </c>
      <c r="D2642" s="1" t="s">
        <v>7028</v>
      </c>
      <c r="E2642" s="1" t="s">
        <v>36</v>
      </c>
      <c r="G2642">
        <v>467830</v>
      </c>
      <c r="H2642" t="s">
        <v>7024</v>
      </c>
      <c r="I2642" t="s">
        <v>3222</v>
      </c>
      <c r="J2642">
        <v>26</v>
      </c>
      <c r="K2642">
        <v>4716</v>
      </c>
      <c r="L2642">
        <v>95000</v>
      </c>
      <c r="M2642" t="s">
        <v>69</v>
      </c>
      <c r="N2642">
        <v>584</v>
      </c>
      <c r="O2642" s="2">
        <v>46234</v>
      </c>
      <c r="P2642" s="2">
        <v>46328</v>
      </c>
      <c r="R2642" t="s">
        <v>7029</v>
      </c>
      <c r="S2642" t="str">
        <f>""</f>
        <v/>
      </c>
      <c r="T2642" t="s">
        <v>41</v>
      </c>
      <c r="U2642">
        <v>33504.65</v>
      </c>
      <c r="V2642">
        <v>32331.99</v>
      </c>
      <c r="W2642">
        <v>32331.99</v>
      </c>
      <c r="X2642">
        <v>0</v>
      </c>
      <c r="Y2642">
        <v>0</v>
      </c>
      <c r="Z2642">
        <v>-553</v>
      </c>
      <c r="AA2642">
        <v>695543</v>
      </c>
      <c r="AD2642" t="s">
        <v>2750</v>
      </c>
      <c r="AE2642" t="s">
        <v>6981</v>
      </c>
      <c r="AF2642" t="s">
        <v>2750</v>
      </c>
      <c r="AG2642">
        <v>93209765068340</v>
      </c>
      <c r="AH2642" t="s">
        <v>2745</v>
      </c>
    </row>
    <row r="2643" spans="1:34" x14ac:dyDescent="0.3">
      <c r="A2643">
        <v>101</v>
      </c>
      <c r="B2643" t="s">
        <v>34</v>
      </c>
      <c r="C2643">
        <v>4</v>
      </c>
      <c r="D2643" s="1" t="s">
        <v>7030</v>
      </c>
      <c r="E2643" t="s">
        <v>3134</v>
      </c>
      <c r="G2643">
        <v>467934</v>
      </c>
      <c r="H2643" t="s">
        <v>7031</v>
      </c>
      <c r="I2643" t="s">
        <v>3131</v>
      </c>
      <c r="J2643">
        <v>26</v>
      </c>
      <c r="K2643">
        <v>4716</v>
      </c>
      <c r="L2643">
        <v>10001</v>
      </c>
      <c r="M2643" t="s">
        <v>3135</v>
      </c>
      <c r="N2643">
        <v>584</v>
      </c>
      <c r="O2643" s="2">
        <v>46197</v>
      </c>
      <c r="P2643" s="2">
        <v>46296</v>
      </c>
      <c r="R2643" t="s">
        <v>3179</v>
      </c>
      <c r="S2643" t="str">
        <f>"08.0576919"</f>
        <v>08.0576919</v>
      </c>
      <c r="T2643" t="s">
        <v>41</v>
      </c>
      <c r="U2643">
        <v>9547.92</v>
      </c>
      <c r="V2643">
        <v>9547.92</v>
      </c>
      <c r="W2643">
        <v>9547.92</v>
      </c>
      <c r="X2643">
        <v>0</v>
      </c>
      <c r="Y2643">
        <v>0</v>
      </c>
      <c r="Z2643">
        <v>-521</v>
      </c>
      <c r="AA2643">
        <v>692000</v>
      </c>
      <c r="AD2643" t="s">
        <v>5440</v>
      </c>
      <c r="AE2643" s="1" t="s">
        <v>6391</v>
      </c>
      <c r="AF2643" t="s">
        <v>5440</v>
      </c>
      <c r="AG2643">
        <v>75315333030601</v>
      </c>
      <c r="AH2643" t="s">
        <v>3024</v>
      </c>
    </row>
    <row r="2644" spans="1:34" x14ac:dyDescent="0.3">
      <c r="A2644">
        <v>101</v>
      </c>
      <c r="B2644" t="s">
        <v>34</v>
      </c>
      <c r="C2644">
        <v>4</v>
      </c>
      <c r="D2644" s="1" t="s">
        <v>7032</v>
      </c>
      <c r="E2644" t="s">
        <v>3134</v>
      </c>
      <c r="G2644">
        <v>467934</v>
      </c>
      <c r="H2644" t="s">
        <v>7031</v>
      </c>
      <c r="I2644" t="s">
        <v>3131</v>
      </c>
      <c r="J2644">
        <v>26</v>
      </c>
      <c r="K2644">
        <v>4716</v>
      </c>
      <c r="L2644">
        <v>10001</v>
      </c>
      <c r="M2644" t="s">
        <v>3135</v>
      </c>
      <c r="N2644">
        <v>584</v>
      </c>
      <c r="O2644" s="2">
        <v>46162</v>
      </c>
      <c r="P2644" s="2">
        <v>46266</v>
      </c>
      <c r="R2644" t="s">
        <v>3136</v>
      </c>
      <c r="S2644" t="str">
        <f>"07.0572790"</f>
        <v>07.0572790</v>
      </c>
      <c r="T2644" t="s">
        <v>41</v>
      </c>
      <c r="U2644">
        <v>30941.4</v>
      </c>
      <c r="V2644">
        <v>30941.4</v>
      </c>
      <c r="W2644">
        <v>30941.4</v>
      </c>
      <c r="X2644">
        <v>0</v>
      </c>
      <c r="Y2644">
        <v>0</v>
      </c>
      <c r="Z2644">
        <v>-491</v>
      </c>
      <c r="AA2644">
        <v>688501</v>
      </c>
      <c r="AD2644" t="s">
        <v>5440</v>
      </c>
      <c r="AE2644" s="1" t="s">
        <v>6391</v>
      </c>
      <c r="AF2644" t="s">
        <v>5440</v>
      </c>
      <c r="AG2644">
        <v>75315333030601</v>
      </c>
      <c r="AH2644" t="s">
        <v>3024</v>
      </c>
    </row>
    <row r="2645" spans="1:34" x14ac:dyDescent="0.3">
      <c r="A2645">
        <v>104</v>
      </c>
      <c r="B2645" t="s">
        <v>34</v>
      </c>
      <c r="C2645">
        <v>4</v>
      </c>
      <c r="D2645" s="1" t="s">
        <v>7033</v>
      </c>
      <c r="E2645" s="1" t="s">
        <v>36</v>
      </c>
      <c r="G2645">
        <v>468057</v>
      </c>
      <c r="H2645" t="s">
        <v>7034</v>
      </c>
      <c r="I2645" t="s">
        <v>3222</v>
      </c>
      <c r="J2645">
        <v>26</v>
      </c>
      <c r="K2645">
        <v>4716</v>
      </c>
      <c r="L2645">
        <v>95000</v>
      </c>
      <c r="M2645" t="s">
        <v>69</v>
      </c>
      <c r="N2645">
        <v>584</v>
      </c>
      <c r="O2645" s="2">
        <v>46211</v>
      </c>
      <c r="P2645" s="2">
        <v>46328</v>
      </c>
      <c r="R2645" t="s">
        <v>7035</v>
      </c>
      <c r="S2645" t="str">
        <f>""</f>
        <v/>
      </c>
      <c r="T2645" t="s">
        <v>41</v>
      </c>
      <c r="U2645">
        <v>20844.32</v>
      </c>
      <c r="V2645">
        <v>20114.77</v>
      </c>
      <c r="W2645">
        <v>20114.77</v>
      </c>
      <c r="X2645">
        <v>0</v>
      </c>
      <c r="Y2645">
        <v>0</v>
      </c>
      <c r="Z2645">
        <v>-553</v>
      </c>
      <c r="AA2645">
        <v>694015</v>
      </c>
      <c r="AD2645" t="s">
        <v>7036</v>
      </c>
      <c r="AE2645">
        <v>11963394642</v>
      </c>
      <c r="AF2645" t="s">
        <v>7036</v>
      </c>
      <c r="AG2645">
        <v>93209765067963</v>
      </c>
      <c r="AH2645" t="s">
        <v>3698</v>
      </c>
    </row>
    <row r="2646" spans="1:34" x14ac:dyDescent="0.3">
      <c r="A2646">
        <v>104</v>
      </c>
      <c r="B2646" t="s">
        <v>34</v>
      </c>
      <c r="C2646">
        <v>4</v>
      </c>
      <c r="D2646" s="1" t="s">
        <v>7037</v>
      </c>
      <c r="E2646" s="1" t="s">
        <v>122</v>
      </c>
      <c r="G2646">
        <v>468057</v>
      </c>
      <c r="H2646" t="s">
        <v>7034</v>
      </c>
      <c r="I2646" t="s">
        <v>3222</v>
      </c>
      <c r="J2646">
        <v>26</v>
      </c>
      <c r="K2646">
        <v>4716</v>
      </c>
      <c r="L2646">
        <v>95000</v>
      </c>
      <c r="M2646" t="s">
        <v>69</v>
      </c>
      <c r="N2646">
        <v>584</v>
      </c>
      <c r="O2646" s="2">
        <v>46223</v>
      </c>
      <c r="P2646" s="2">
        <v>46328</v>
      </c>
      <c r="R2646" t="s">
        <v>6268</v>
      </c>
      <c r="S2646" t="str">
        <f>""</f>
        <v/>
      </c>
      <c r="T2646" t="s">
        <v>41</v>
      </c>
      <c r="U2646">
        <v>324.62</v>
      </c>
      <c r="V2646">
        <v>324.62</v>
      </c>
      <c r="W2646">
        <v>324.62</v>
      </c>
      <c r="X2646">
        <v>0</v>
      </c>
      <c r="Y2646">
        <v>0</v>
      </c>
      <c r="Z2646">
        <v>-553</v>
      </c>
      <c r="AC2646" t="s">
        <v>6269</v>
      </c>
      <c r="AD2646" t="s">
        <v>7036</v>
      </c>
      <c r="AE2646">
        <v>11963394642</v>
      </c>
      <c r="AF2646" t="s">
        <v>7036</v>
      </c>
      <c r="AG2646">
        <v>93209765067963</v>
      </c>
      <c r="AH2646" t="s">
        <v>3698</v>
      </c>
    </row>
    <row r="2647" spans="1:34" x14ac:dyDescent="0.3">
      <c r="A2647">
        <v>104</v>
      </c>
      <c r="B2647" t="s">
        <v>34</v>
      </c>
      <c r="C2647">
        <v>4</v>
      </c>
      <c r="D2647" s="1" t="s">
        <v>7037</v>
      </c>
      <c r="E2647" s="1" t="s">
        <v>36</v>
      </c>
      <c r="G2647">
        <v>468057</v>
      </c>
      <c r="H2647" t="s">
        <v>7034</v>
      </c>
      <c r="I2647" t="s">
        <v>3222</v>
      </c>
      <c r="J2647">
        <v>26</v>
      </c>
      <c r="K2647">
        <v>4716</v>
      </c>
      <c r="L2647">
        <v>95000</v>
      </c>
      <c r="M2647" t="s">
        <v>69</v>
      </c>
      <c r="N2647">
        <v>584</v>
      </c>
      <c r="O2647" s="2">
        <v>46211</v>
      </c>
      <c r="P2647" s="2">
        <v>46328</v>
      </c>
      <c r="R2647" t="s">
        <v>7038</v>
      </c>
      <c r="S2647" t="str">
        <f>""</f>
        <v/>
      </c>
      <c r="T2647" t="s">
        <v>41</v>
      </c>
      <c r="U2647">
        <v>1813.96</v>
      </c>
      <c r="V2647">
        <v>1750.47</v>
      </c>
      <c r="W2647">
        <v>1750.47</v>
      </c>
      <c r="X2647">
        <v>0</v>
      </c>
      <c r="Y2647">
        <v>0</v>
      </c>
      <c r="Z2647">
        <v>-553</v>
      </c>
      <c r="AA2647">
        <v>693957</v>
      </c>
      <c r="AD2647" t="s">
        <v>7036</v>
      </c>
      <c r="AE2647">
        <v>11963394642</v>
      </c>
      <c r="AF2647" t="s">
        <v>7036</v>
      </c>
      <c r="AG2647">
        <v>93209765067963</v>
      </c>
      <c r="AH2647" t="s">
        <v>3698</v>
      </c>
    </row>
    <row r="2648" spans="1:34" x14ac:dyDescent="0.3">
      <c r="A2648">
        <v>101</v>
      </c>
      <c r="B2648" t="s">
        <v>34</v>
      </c>
      <c r="C2648">
        <v>4</v>
      </c>
      <c r="D2648" s="1" t="s">
        <v>7039</v>
      </c>
      <c r="E2648" t="s">
        <v>3134</v>
      </c>
      <c r="G2648">
        <v>468828</v>
      </c>
      <c r="H2648" t="s">
        <v>7040</v>
      </c>
      <c r="I2648" t="s">
        <v>3131</v>
      </c>
      <c r="J2648">
        <v>26</v>
      </c>
      <c r="K2648">
        <v>4716</v>
      </c>
      <c r="L2648">
        <v>10001</v>
      </c>
      <c r="M2648" t="s">
        <v>3135</v>
      </c>
      <c r="N2648">
        <v>584</v>
      </c>
      <c r="O2648" s="2">
        <v>46197</v>
      </c>
      <c r="P2648" s="2">
        <v>46311</v>
      </c>
      <c r="R2648" t="s">
        <v>3179</v>
      </c>
      <c r="S2648" t="str">
        <f>"08.0576919"</f>
        <v>08.0576919</v>
      </c>
      <c r="T2648" t="s">
        <v>41</v>
      </c>
      <c r="U2648">
        <v>4991.49</v>
      </c>
      <c r="V2648">
        <v>4991.49</v>
      </c>
      <c r="W2648">
        <v>4991.49</v>
      </c>
      <c r="X2648">
        <v>0</v>
      </c>
      <c r="Y2648">
        <v>0</v>
      </c>
      <c r="Z2648">
        <v>-536</v>
      </c>
      <c r="AA2648">
        <v>692004</v>
      </c>
      <c r="AD2648" t="s">
        <v>4380</v>
      </c>
      <c r="AE2648" t="s">
        <v>6418</v>
      </c>
      <c r="AF2648" t="s">
        <v>4380</v>
      </c>
      <c r="AG2648">
        <v>75315333033546</v>
      </c>
      <c r="AH2648" t="s">
        <v>3024</v>
      </c>
    </row>
    <row r="2649" spans="1:34" x14ac:dyDescent="0.3">
      <c r="A2649">
        <v>104</v>
      </c>
      <c r="B2649" t="s">
        <v>34</v>
      </c>
      <c r="C2649">
        <v>4</v>
      </c>
      <c r="D2649" s="1" t="s">
        <v>7041</v>
      </c>
      <c r="E2649" s="1" t="s">
        <v>36</v>
      </c>
      <c r="G2649">
        <v>468837</v>
      </c>
      <c r="H2649" t="s">
        <v>7042</v>
      </c>
      <c r="I2649" t="s">
        <v>3222</v>
      </c>
      <c r="J2649">
        <v>26</v>
      </c>
      <c r="K2649">
        <v>4716</v>
      </c>
      <c r="L2649">
        <v>95000</v>
      </c>
      <c r="M2649" t="s">
        <v>69</v>
      </c>
      <c r="N2649">
        <v>584</v>
      </c>
      <c r="O2649" s="2">
        <v>46211</v>
      </c>
      <c r="P2649" s="2">
        <v>46328</v>
      </c>
      <c r="R2649" t="s">
        <v>7043</v>
      </c>
      <c r="S2649" t="str">
        <f>""</f>
        <v/>
      </c>
      <c r="T2649" t="s">
        <v>41</v>
      </c>
      <c r="U2649">
        <v>1240.1099999999999</v>
      </c>
      <c r="V2649">
        <v>1196.71</v>
      </c>
      <c r="W2649">
        <v>1196.71</v>
      </c>
      <c r="X2649">
        <v>0</v>
      </c>
      <c r="Y2649">
        <v>0</v>
      </c>
      <c r="Z2649">
        <v>-553</v>
      </c>
      <c r="AA2649">
        <v>693963</v>
      </c>
      <c r="AD2649" t="s">
        <v>4897</v>
      </c>
      <c r="AE2649">
        <v>11963394642</v>
      </c>
      <c r="AF2649" t="s">
        <v>4897</v>
      </c>
      <c r="AG2649">
        <v>93209765069907</v>
      </c>
      <c r="AH2649" t="s">
        <v>3698</v>
      </c>
    </row>
    <row r="2650" spans="1:34" x14ac:dyDescent="0.3">
      <c r="A2650">
        <v>104</v>
      </c>
      <c r="B2650" t="s">
        <v>34</v>
      </c>
      <c r="C2650">
        <v>4</v>
      </c>
      <c r="D2650" s="1" t="s">
        <v>7041</v>
      </c>
      <c r="E2650" s="1" t="s">
        <v>122</v>
      </c>
      <c r="G2650">
        <v>468837</v>
      </c>
      <c r="H2650" t="s">
        <v>7042</v>
      </c>
      <c r="I2650" t="s">
        <v>3222</v>
      </c>
      <c r="J2650">
        <v>26</v>
      </c>
      <c r="K2650">
        <v>4716</v>
      </c>
      <c r="L2650">
        <v>95000</v>
      </c>
      <c r="M2650" t="s">
        <v>69</v>
      </c>
      <c r="N2650">
        <v>584</v>
      </c>
      <c r="O2650" s="2">
        <v>46223</v>
      </c>
      <c r="P2650" s="2">
        <v>46305</v>
      </c>
      <c r="R2650" t="s">
        <v>6268</v>
      </c>
      <c r="S2650" t="str">
        <f>""</f>
        <v/>
      </c>
      <c r="T2650" t="s">
        <v>41</v>
      </c>
      <c r="U2650">
        <v>246.47</v>
      </c>
      <c r="V2650">
        <v>246.47</v>
      </c>
      <c r="W2650">
        <v>246.47</v>
      </c>
      <c r="X2650">
        <v>0</v>
      </c>
      <c r="Y2650">
        <v>0</v>
      </c>
      <c r="Z2650">
        <v>-530</v>
      </c>
      <c r="AC2650" t="s">
        <v>6269</v>
      </c>
      <c r="AD2650" t="s">
        <v>4897</v>
      </c>
      <c r="AE2650">
        <v>11963394642</v>
      </c>
      <c r="AF2650" t="s">
        <v>4897</v>
      </c>
      <c r="AG2650">
        <v>93209765069907</v>
      </c>
      <c r="AH2650" t="s">
        <v>3698</v>
      </c>
    </row>
    <row r="2651" spans="1:34" x14ac:dyDescent="0.3">
      <c r="A2651">
        <v>104</v>
      </c>
      <c r="B2651" t="s">
        <v>34</v>
      </c>
      <c r="C2651">
        <v>4</v>
      </c>
      <c r="D2651" s="1" t="s">
        <v>7044</v>
      </c>
      <c r="E2651" s="1" t="s">
        <v>36</v>
      </c>
      <c r="G2651">
        <v>468837</v>
      </c>
      <c r="H2651" t="s">
        <v>7042</v>
      </c>
      <c r="I2651" t="s">
        <v>3222</v>
      </c>
      <c r="J2651">
        <v>26</v>
      </c>
      <c r="K2651">
        <v>4716</v>
      </c>
      <c r="L2651">
        <v>95000</v>
      </c>
      <c r="M2651" t="s">
        <v>69</v>
      </c>
      <c r="N2651">
        <v>584</v>
      </c>
      <c r="O2651" s="2">
        <v>46211</v>
      </c>
      <c r="P2651" s="2">
        <v>46328</v>
      </c>
      <c r="R2651" t="s">
        <v>7045</v>
      </c>
      <c r="S2651" t="str">
        <f>""</f>
        <v/>
      </c>
      <c r="T2651" t="s">
        <v>41</v>
      </c>
      <c r="U2651">
        <v>9160.01</v>
      </c>
      <c r="V2651">
        <v>8839.41</v>
      </c>
      <c r="W2651">
        <v>8839.41</v>
      </c>
      <c r="X2651">
        <v>0</v>
      </c>
      <c r="Y2651">
        <v>0</v>
      </c>
      <c r="Z2651">
        <v>-553</v>
      </c>
      <c r="AA2651">
        <v>694021</v>
      </c>
      <c r="AD2651" t="s">
        <v>4897</v>
      </c>
      <c r="AE2651">
        <v>11963394642</v>
      </c>
      <c r="AF2651" t="s">
        <v>4897</v>
      </c>
      <c r="AG2651">
        <v>93209765069907</v>
      </c>
      <c r="AH2651" t="s">
        <v>3698</v>
      </c>
    </row>
    <row r="2652" spans="1:34" x14ac:dyDescent="0.3">
      <c r="A2652">
        <v>104</v>
      </c>
      <c r="B2652" t="s">
        <v>34</v>
      </c>
      <c r="C2652">
        <v>4</v>
      </c>
      <c r="D2652" s="1" t="s">
        <v>7046</v>
      </c>
      <c r="E2652" s="1" t="s">
        <v>122</v>
      </c>
      <c r="G2652">
        <v>469503</v>
      </c>
      <c r="H2652" t="s">
        <v>7047</v>
      </c>
      <c r="I2652" t="s">
        <v>3222</v>
      </c>
      <c r="J2652">
        <v>26</v>
      </c>
      <c r="K2652">
        <v>4716</v>
      </c>
      <c r="L2652">
        <v>95000</v>
      </c>
      <c r="M2652" t="s">
        <v>69</v>
      </c>
      <c r="N2652">
        <v>584</v>
      </c>
      <c r="O2652" s="2">
        <v>46223</v>
      </c>
      <c r="P2652" s="2">
        <v>46305</v>
      </c>
      <c r="R2652" t="s">
        <v>6268</v>
      </c>
      <c r="S2652" t="str">
        <f>""</f>
        <v/>
      </c>
      <c r="T2652" t="s">
        <v>41</v>
      </c>
      <c r="U2652">
        <v>332.29</v>
      </c>
      <c r="V2652">
        <v>332.29</v>
      </c>
      <c r="W2652">
        <v>332.29</v>
      </c>
      <c r="X2652">
        <v>0</v>
      </c>
      <c r="Y2652">
        <v>0</v>
      </c>
      <c r="Z2652">
        <v>-530</v>
      </c>
      <c r="AC2652" t="s">
        <v>6269</v>
      </c>
      <c r="AD2652" t="s">
        <v>4897</v>
      </c>
      <c r="AF2652" t="s">
        <v>4897</v>
      </c>
      <c r="AG2652">
        <v>93209765069150</v>
      </c>
      <c r="AH2652" t="s">
        <v>3698</v>
      </c>
    </row>
    <row r="2653" spans="1:34" x14ac:dyDescent="0.3">
      <c r="A2653">
        <v>104</v>
      </c>
      <c r="B2653" t="s">
        <v>34</v>
      </c>
      <c r="C2653">
        <v>4</v>
      </c>
      <c r="D2653" s="1" t="s">
        <v>7046</v>
      </c>
      <c r="E2653" s="1" t="s">
        <v>36</v>
      </c>
      <c r="G2653">
        <v>469503</v>
      </c>
      <c r="H2653" t="s">
        <v>7047</v>
      </c>
      <c r="I2653" t="s">
        <v>3222</v>
      </c>
      <c r="J2653">
        <v>26</v>
      </c>
      <c r="K2653">
        <v>4716</v>
      </c>
      <c r="L2653">
        <v>95000</v>
      </c>
      <c r="M2653" t="s">
        <v>69</v>
      </c>
      <c r="N2653">
        <v>584</v>
      </c>
      <c r="O2653" s="2">
        <v>46211</v>
      </c>
      <c r="P2653" s="2">
        <v>46328</v>
      </c>
      <c r="R2653" t="s">
        <v>7048</v>
      </c>
      <c r="S2653" t="str">
        <f>""</f>
        <v/>
      </c>
      <c r="T2653" t="s">
        <v>41</v>
      </c>
      <c r="U2653">
        <v>1695.17</v>
      </c>
      <c r="V2653">
        <v>1635.84</v>
      </c>
      <c r="W2653">
        <v>1635.84</v>
      </c>
      <c r="X2653">
        <v>0</v>
      </c>
      <c r="Y2653">
        <v>0</v>
      </c>
      <c r="Z2653">
        <v>-553</v>
      </c>
      <c r="AA2653">
        <v>693961</v>
      </c>
      <c r="AD2653" t="s">
        <v>4897</v>
      </c>
      <c r="AF2653" t="s">
        <v>4897</v>
      </c>
      <c r="AG2653">
        <v>93209765069150</v>
      </c>
      <c r="AH2653" t="s">
        <v>3698</v>
      </c>
    </row>
    <row r="2654" spans="1:34" x14ac:dyDescent="0.3">
      <c r="A2654">
        <v>104</v>
      </c>
      <c r="B2654" t="s">
        <v>34</v>
      </c>
      <c r="C2654">
        <v>4</v>
      </c>
      <c r="D2654" s="1" t="s">
        <v>7049</v>
      </c>
      <c r="E2654" s="1" t="s">
        <v>36</v>
      </c>
      <c r="G2654">
        <v>469503</v>
      </c>
      <c r="H2654" t="s">
        <v>7047</v>
      </c>
      <c r="I2654" t="s">
        <v>3222</v>
      </c>
      <c r="J2654">
        <v>26</v>
      </c>
      <c r="K2654">
        <v>4716</v>
      </c>
      <c r="L2654">
        <v>95000</v>
      </c>
      <c r="M2654" t="s">
        <v>69</v>
      </c>
      <c r="N2654">
        <v>584</v>
      </c>
      <c r="O2654" s="2">
        <v>46211</v>
      </c>
      <c r="P2654" s="2">
        <v>46328</v>
      </c>
      <c r="R2654" t="s">
        <v>7050</v>
      </c>
      <c r="S2654" t="str">
        <f>""</f>
        <v/>
      </c>
      <c r="T2654" t="s">
        <v>41</v>
      </c>
      <c r="U2654">
        <v>16175.49</v>
      </c>
      <c r="V2654">
        <v>15609.35</v>
      </c>
      <c r="W2654">
        <v>15609.35</v>
      </c>
      <c r="X2654">
        <v>0</v>
      </c>
      <c r="Y2654">
        <v>0</v>
      </c>
      <c r="Z2654">
        <v>-553</v>
      </c>
      <c r="AA2654">
        <v>694019</v>
      </c>
      <c r="AD2654" t="s">
        <v>4897</v>
      </c>
      <c r="AF2654" t="s">
        <v>4897</v>
      </c>
      <c r="AG2654">
        <v>93209765069150</v>
      </c>
      <c r="AH2654" t="s">
        <v>3698</v>
      </c>
    </row>
    <row r="2655" spans="1:34" x14ac:dyDescent="0.3">
      <c r="A2655">
        <v>104</v>
      </c>
      <c r="B2655" t="s">
        <v>34</v>
      </c>
      <c r="C2655">
        <v>4</v>
      </c>
      <c r="D2655" s="1" t="s">
        <v>7051</v>
      </c>
      <c r="E2655" s="1" t="s">
        <v>36</v>
      </c>
      <c r="G2655">
        <v>469520</v>
      </c>
      <c r="H2655" t="s">
        <v>7052</v>
      </c>
      <c r="I2655" t="s">
        <v>3222</v>
      </c>
      <c r="J2655">
        <v>26</v>
      </c>
      <c r="K2655">
        <v>4716</v>
      </c>
      <c r="L2655">
        <v>95000</v>
      </c>
      <c r="M2655" t="s">
        <v>69</v>
      </c>
      <c r="N2655">
        <v>584</v>
      </c>
      <c r="O2655" s="2">
        <v>46162</v>
      </c>
      <c r="P2655" s="2">
        <v>46266</v>
      </c>
      <c r="R2655" t="s">
        <v>7053</v>
      </c>
      <c r="S2655" t="str">
        <f>""</f>
        <v/>
      </c>
      <c r="T2655" t="s">
        <v>41</v>
      </c>
      <c r="U2655">
        <v>39964.879999999997</v>
      </c>
      <c r="V2655">
        <v>38522.15</v>
      </c>
      <c r="W2655">
        <v>38522.15</v>
      </c>
      <c r="X2655">
        <v>0</v>
      </c>
      <c r="Y2655">
        <v>0</v>
      </c>
      <c r="Z2655">
        <v>-491</v>
      </c>
      <c r="AA2655">
        <v>688541</v>
      </c>
      <c r="AD2655" t="s">
        <v>3460</v>
      </c>
      <c r="AE2655" t="s">
        <v>7054</v>
      </c>
      <c r="AF2655" t="s">
        <v>3460</v>
      </c>
      <c r="AG2655">
        <v>93209765070085</v>
      </c>
      <c r="AH2655" t="s">
        <v>3443</v>
      </c>
    </row>
    <row r="2656" spans="1:34" x14ac:dyDescent="0.3">
      <c r="A2656">
        <v>104</v>
      </c>
      <c r="B2656" t="s">
        <v>34</v>
      </c>
      <c r="C2656">
        <v>4</v>
      </c>
      <c r="D2656" s="1" t="s">
        <v>7055</v>
      </c>
      <c r="E2656" s="1" t="s">
        <v>36</v>
      </c>
      <c r="G2656">
        <v>469520</v>
      </c>
      <c r="H2656" t="s">
        <v>7052</v>
      </c>
      <c r="I2656" t="s">
        <v>3222</v>
      </c>
      <c r="J2656">
        <v>26</v>
      </c>
      <c r="K2656">
        <v>4716</v>
      </c>
      <c r="L2656">
        <v>95000</v>
      </c>
      <c r="M2656" t="s">
        <v>69</v>
      </c>
      <c r="N2656">
        <v>584</v>
      </c>
      <c r="O2656" s="2">
        <v>46183</v>
      </c>
      <c r="P2656" s="2">
        <v>46296</v>
      </c>
      <c r="R2656" t="s">
        <v>7056</v>
      </c>
      <c r="S2656" t="str">
        <f>""</f>
        <v/>
      </c>
      <c r="T2656" t="s">
        <v>41</v>
      </c>
      <c r="U2656">
        <v>3168</v>
      </c>
      <c r="V2656">
        <v>3057.12</v>
      </c>
      <c r="W2656">
        <v>3057.12</v>
      </c>
      <c r="X2656">
        <v>0</v>
      </c>
      <c r="Y2656">
        <v>0</v>
      </c>
      <c r="Z2656">
        <v>-521</v>
      </c>
      <c r="AA2656">
        <v>688541</v>
      </c>
      <c r="AD2656" t="s">
        <v>3460</v>
      </c>
      <c r="AE2656" t="s">
        <v>7054</v>
      </c>
      <c r="AF2656" t="s">
        <v>3460</v>
      </c>
      <c r="AG2656">
        <v>93209765070085</v>
      </c>
      <c r="AH2656" t="s">
        <v>3443</v>
      </c>
    </row>
    <row r="2657" spans="1:34" x14ac:dyDescent="0.3">
      <c r="A2657">
        <v>104</v>
      </c>
      <c r="B2657" t="s">
        <v>34</v>
      </c>
      <c r="C2657">
        <v>4</v>
      </c>
      <c r="D2657" s="1" t="s">
        <v>7057</v>
      </c>
      <c r="E2657" s="1" t="s">
        <v>36</v>
      </c>
      <c r="G2657">
        <v>469521</v>
      </c>
      <c r="H2657" t="s">
        <v>7058</v>
      </c>
      <c r="I2657" t="s">
        <v>3222</v>
      </c>
      <c r="J2657">
        <v>26</v>
      </c>
      <c r="K2657">
        <v>4716</v>
      </c>
      <c r="L2657">
        <v>95000</v>
      </c>
      <c r="M2657" t="s">
        <v>69</v>
      </c>
      <c r="N2657">
        <v>584</v>
      </c>
      <c r="O2657" s="2">
        <v>46162</v>
      </c>
      <c r="P2657" s="2">
        <v>46266</v>
      </c>
      <c r="R2657" t="s">
        <v>7059</v>
      </c>
      <c r="S2657" t="str">
        <f>""</f>
        <v/>
      </c>
      <c r="T2657" t="s">
        <v>41</v>
      </c>
      <c r="U2657">
        <v>17637.75</v>
      </c>
      <c r="V2657">
        <v>17020.43</v>
      </c>
      <c r="W2657">
        <v>17020.43</v>
      </c>
      <c r="X2657">
        <v>0</v>
      </c>
      <c r="Y2657">
        <v>0</v>
      </c>
      <c r="Z2657">
        <v>-491</v>
      </c>
      <c r="AA2657">
        <v>688543</v>
      </c>
      <c r="AD2657" t="s">
        <v>5164</v>
      </c>
      <c r="AE2657" t="s">
        <v>7060</v>
      </c>
      <c r="AF2657" t="s">
        <v>64</v>
      </c>
      <c r="AG2657">
        <v>93209765058115</v>
      </c>
      <c r="AH2657" t="s">
        <v>44</v>
      </c>
    </row>
    <row r="2658" spans="1:34" x14ac:dyDescent="0.3">
      <c r="A2658">
        <v>101</v>
      </c>
      <c r="B2658" t="s">
        <v>34</v>
      </c>
      <c r="C2658">
        <v>4</v>
      </c>
      <c r="D2658" s="1" t="s">
        <v>7061</v>
      </c>
      <c r="E2658" t="s">
        <v>3134</v>
      </c>
      <c r="G2658">
        <v>469521</v>
      </c>
      <c r="H2658" t="s">
        <v>7058</v>
      </c>
      <c r="I2658" t="s">
        <v>3222</v>
      </c>
      <c r="J2658">
        <v>26</v>
      </c>
      <c r="K2658">
        <v>4716</v>
      </c>
      <c r="L2658">
        <v>10001</v>
      </c>
      <c r="M2658" t="s">
        <v>3135</v>
      </c>
      <c r="N2658">
        <v>584</v>
      </c>
      <c r="O2658" s="2">
        <v>46183</v>
      </c>
      <c r="P2658" s="2">
        <v>46296</v>
      </c>
      <c r="R2658" t="s">
        <v>3304</v>
      </c>
      <c r="S2658" t="str">
        <f>"07.0574701"</f>
        <v>07.0574701</v>
      </c>
      <c r="T2658" t="s">
        <v>41</v>
      </c>
      <c r="U2658">
        <v>2038.08</v>
      </c>
      <c r="V2658">
        <v>2038.08</v>
      </c>
      <c r="W2658">
        <v>2038.08</v>
      </c>
      <c r="X2658">
        <v>0</v>
      </c>
      <c r="Y2658">
        <v>0</v>
      </c>
      <c r="Z2658">
        <v>-521</v>
      </c>
      <c r="AA2658">
        <v>688543</v>
      </c>
      <c r="AD2658" t="s">
        <v>5164</v>
      </c>
      <c r="AE2658" t="s">
        <v>7060</v>
      </c>
      <c r="AF2658" t="s">
        <v>64</v>
      </c>
      <c r="AG2658">
        <v>93209765058115</v>
      </c>
      <c r="AH2658" t="s">
        <v>44</v>
      </c>
    </row>
    <row r="2659" spans="1:34" x14ac:dyDescent="0.3">
      <c r="A2659">
        <v>104</v>
      </c>
      <c r="B2659" t="s">
        <v>34</v>
      </c>
      <c r="C2659">
        <v>4</v>
      </c>
      <c r="D2659" s="1" t="s">
        <v>7062</v>
      </c>
      <c r="E2659" s="1" t="s">
        <v>36</v>
      </c>
      <c r="G2659">
        <v>469885</v>
      </c>
      <c r="H2659" t="s">
        <v>7063</v>
      </c>
      <c r="I2659" t="s">
        <v>3222</v>
      </c>
      <c r="J2659">
        <v>26</v>
      </c>
      <c r="K2659">
        <v>4716</v>
      </c>
      <c r="L2659">
        <v>95000</v>
      </c>
      <c r="M2659" t="s">
        <v>69</v>
      </c>
      <c r="N2659">
        <v>584</v>
      </c>
      <c r="O2659" s="2">
        <v>46162</v>
      </c>
      <c r="P2659" s="2">
        <v>46266</v>
      </c>
      <c r="R2659" t="s">
        <v>7064</v>
      </c>
      <c r="S2659" t="str">
        <f>""</f>
        <v/>
      </c>
      <c r="T2659" t="s">
        <v>41</v>
      </c>
      <c r="U2659">
        <v>16858.310000000001</v>
      </c>
      <c r="V2659">
        <v>16268.27</v>
      </c>
      <c r="W2659">
        <v>16268.27</v>
      </c>
      <c r="X2659">
        <v>0</v>
      </c>
      <c r="Y2659">
        <v>0</v>
      </c>
      <c r="Z2659">
        <v>-491</v>
      </c>
      <c r="AA2659">
        <v>688535</v>
      </c>
      <c r="AD2659" t="s">
        <v>7065</v>
      </c>
      <c r="AF2659" t="s">
        <v>7065</v>
      </c>
      <c r="AG2659">
        <v>93209765070328</v>
      </c>
      <c r="AH2659" t="s">
        <v>3443</v>
      </c>
    </row>
    <row r="2660" spans="1:34" x14ac:dyDescent="0.3">
      <c r="A2660">
        <v>104</v>
      </c>
      <c r="B2660" t="s">
        <v>34</v>
      </c>
      <c r="C2660">
        <v>4</v>
      </c>
      <c r="D2660" s="1" t="s">
        <v>7066</v>
      </c>
      <c r="E2660" s="1" t="s">
        <v>36</v>
      </c>
      <c r="G2660">
        <v>470079</v>
      </c>
      <c r="H2660" t="s">
        <v>7067</v>
      </c>
      <c r="I2660" t="s">
        <v>7068</v>
      </c>
      <c r="J2660">
        <v>26</v>
      </c>
      <c r="K2660">
        <v>4716</v>
      </c>
      <c r="L2660">
        <v>95000</v>
      </c>
      <c r="M2660" t="s">
        <v>69</v>
      </c>
      <c r="N2660">
        <v>584</v>
      </c>
      <c r="O2660" s="2">
        <v>46172</v>
      </c>
      <c r="P2660" s="2">
        <v>46266</v>
      </c>
      <c r="R2660" t="s">
        <v>7069</v>
      </c>
      <c r="S2660" t="str">
        <f>""</f>
        <v/>
      </c>
      <c r="T2660" t="s">
        <v>41</v>
      </c>
      <c r="U2660">
        <v>26223.07</v>
      </c>
      <c r="V2660">
        <v>25305.26</v>
      </c>
      <c r="W2660">
        <v>25305.26</v>
      </c>
      <c r="X2660">
        <v>0</v>
      </c>
      <c r="Y2660">
        <v>0</v>
      </c>
      <c r="Z2660">
        <v>-491</v>
      </c>
      <c r="AA2660">
        <v>689394</v>
      </c>
      <c r="AD2660" t="s">
        <v>665</v>
      </c>
      <c r="AE2660" s="1" t="s">
        <v>6391</v>
      </c>
      <c r="AF2660" t="s">
        <v>665</v>
      </c>
      <c r="AG2660">
        <v>93209765070166</v>
      </c>
      <c r="AH2660" t="s">
        <v>311</v>
      </c>
    </row>
    <row r="2661" spans="1:34" x14ac:dyDescent="0.3">
      <c r="A2661">
        <v>104</v>
      </c>
      <c r="B2661" t="s">
        <v>34</v>
      </c>
      <c r="C2661">
        <v>4</v>
      </c>
      <c r="D2661" s="1" t="s">
        <v>7070</v>
      </c>
      <c r="E2661" s="1" t="s">
        <v>36</v>
      </c>
      <c r="G2661">
        <v>470079</v>
      </c>
      <c r="H2661" t="s">
        <v>7067</v>
      </c>
      <c r="I2661" t="s">
        <v>7068</v>
      </c>
      <c r="J2661">
        <v>26</v>
      </c>
      <c r="K2661">
        <v>4716</v>
      </c>
      <c r="L2661">
        <v>95000</v>
      </c>
      <c r="M2661" t="s">
        <v>69</v>
      </c>
      <c r="N2661">
        <v>584</v>
      </c>
      <c r="O2661" s="2">
        <v>46233</v>
      </c>
      <c r="P2661" s="2">
        <v>46303</v>
      </c>
      <c r="R2661" t="s">
        <v>7071</v>
      </c>
      <c r="S2661" t="str">
        <f>""</f>
        <v/>
      </c>
      <c r="T2661" t="s">
        <v>41</v>
      </c>
      <c r="U2661">
        <v>7515.66</v>
      </c>
      <c r="V2661">
        <v>7252.61</v>
      </c>
      <c r="W2661">
        <v>7252.61</v>
      </c>
      <c r="X2661">
        <v>0</v>
      </c>
      <c r="Y2661">
        <v>0</v>
      </c>
      <c r="Z2661">
        <v>-528</v>
      </c>
      <c r="AA2661">
        <v>695545</v>
      </c>
      <c r="AD2661" t="s">
        <v>665</v>
      </c>
      <c r="AE2661" s="1" t="s">
        <v>6391</v>
      </c>
      <c r="AF2661" t="s">
        <v>665</v>
      </c>
      <c r="AG2661">
        <v>93209765070166</v>
      </c>
      <c r="AH2661" t="s">
        <v>311</v>
      </c>
    </row>
    <row r="2662" spans="1:34" x14ac:dyDescent="0.3">
      <c r="A2662">
        <v>101</v>
      </c>
      <c r="B2662" t="s">
        <v>34</v>
      </c>
      <c r="C2662">
        <v>4</v>
      </c>
      <c r="D2662" s="1" t="s">
        <v>7072</v>
      </c>
      <c r="E2662" t="s">
        <v>3134</v>
      </c>
      <c r="G2662">
        <v>470520</v>
      </c>
      <c r="H2662" t="s">
        <v>7073</v>
      </c>
      <c r="I2662" t="s">
        <v>3131</v>
      </c>
      <c r="J2662">
        <v>26</v>
      </c>
      <c r="K2662">
        <v>4716</v>
      </c>
      <c r="L2662">
        <v>10001</v>
      </c>
      <c r="M2662" t="s">
        <v>3135</v>
      </c>
      <c r="N2662">
        <v>584</v>
      </c>
      <c r="O2662" s="2">
        <v>46162</v>
      </c>
      <c r="P2662" s="2">
        <v>46266</v>
      </c>
      <c r="R2662" t="s">
        <v>3136</v>
      </c>
      <c r="S2662" t="str">
        <f>"07.0572790"</f>
        <v>07.0572790</v>
      </c>
      <c r="T2662" t="s">
        <v>41</v>
      </c>
      <c r="U2662">
        <v>28887.95</v>
      </c>
      <c r="V2662">
        <v>28887.95</v>
      </c>
      <c r="W2662">
        <v>28887.95</v>
      </c>
      <c r="X2662">
        <v>0</v>
      </c>
      <c r="Y2662">
        <v>0</v>
      </c>
      <c r="Z2662">
        <v>-491</v>
      </c>
      <c r="AA2662">
        <v>688467</v>
      </c>
      <c r="AD2662" t="s">
        <v>4380</v>
      </c>
      <c r="AE2662" s="1" t="s">
        <v>6391</v>
      </c>
      <c r="AF2662" t="s">
        <v>4380</v>
      </c>
      <c r="AG2662">
        <v>75315333036308</v>
      </c>
      <c r="AH2662" t="s">
        <v>3024</v>
      </c>
    </row>
    <row r="2663" spans="1:34" x14ac:dyDescent="0.3">
      <c r="A2663">
        <v>101</v>
      </c>
      <c r="B2663" t="s">
        <v>34</v>
      </c>
      <c r="C2663">
        <v>4</v>
      </c>
      <c r="D2663" s="1" t="s">
        <v>7074</v>
      </c>
      <c r="E2663" t="s">
        <v>3134</v>
      </c>
      <c r="G2663">
        <v>470520</v>
      </c>
      <c r="H2663" t="s">
        <v>7073</v>
      </c>
      <c r="I2663" t="s">
        <v>3131</v>
      </c>
      <c r="J2663">
        <v>26</v>
      </c>
      <c r="K2663">
        <v>4716</v>
      </c>
      <c r="L2663">
        <v>10001</v>
      </c>
      <c r="M2663" t="s">
        <v>3135</v>
      </c>
      <c r="N2663">
        <v>584</v>
      </c>
      <c r="O2663" s="2">
        <v>46197</v>
      </c>
      <c r="P2663" s="2">
        <v>46311</v>
      </c>
      <c r="R2663" t="s">
        <v>3179</v>
      </c>
      <c r="S2663" t="str">
        <f>"08.0576919"</f>
        <v>08.0576919</v>
      </c>
      <c r="T2663" t="s">
        <v>41</v>
      </c>
      <c r="U2663">
        <v>47468.57</v>
      </c>
      <c r="V2663">
        <v>47468.57</v>
      </c>
      <c r="W2663">
        <v>47468.57</v>
      </c>
      <c r="X2663">
        <v>0</v>
      </c>
      <c r="Y2663">
        <v>0</v>
      </c>
      <c r="Z2663">
        <v>-536</v>
      </c>
      <c r="AA2663">
        <v>692008</v>
      </c>
      <c r="AD2663" t="s">
        <v>4380</v>
      </c>
      <c r="AE2663" s="1" t="s">
        <v>6391</v>
      </c>
      <c r="AF2663" t="s">
        <v>4380</v>
      </c>
      <c r="AG2663">
        <v>75315333036308</v>
      </c>
      <c r="AH2663" t="s">
        <v>3024</v>
      </c>
    </row>
    <row r="2664" spans="1:34" x14ac:dyDescent="0.3">
      <c r="A2664">
        <v>104</v>
      </c>
      <c r="B2664" t="s">
        <v>34</v>
      </c>
      <c r="C2664">
        <v>4</v>
      </c>
      <c r="D2664" s="1" t="s">
        <v>7075</v>
      </c>
      <c r="E2664" s="1" t="s">
        <v>36</v>
      </c>
      <c r="G2664">
        <v>470842</v>
      </c>
      <c r="H2664" t="s">
        <v>7076</v>
      </c>
      <c r="I2664" t="s">
        <v>3222</v>
      </c>
      <c r="J2664">
        <v>26</v>
      </c>
      <c r="K2664">
        <v>4716</v>
      </c>
      <c r="L2664">
        <v>95000</v>
      </c>
      <c r="M2664" t="s">
        <v>69</v>
      </c>
      <c r="N2664">
        <v>584</v>
      </c>
      <c r="O2664" s="2">
        <v>46231</v>
      </c>
      <c r="P2664" s="2">
        <v>46328</v>
      </c>
      <c r="R2664" t="s">
        <v>7077</v>
      </c>
      <c r="S2664" t="str">
        <f>""</f>
        <v/>
      </c>
      <c r="T2664" t="s">
        <v>41</v>
      </c>
      <c r="U2664">
        <v>90276.65</v>
      </c>
      <c r="V2664">
        <v>87116.97</v>
      </c>
      <c r="W2664">
        <v>87116.97</v>
      </c>
      <c r="X2664">
        <v>0</v>
      </c>
      <c r="Y2664">
        <v>0</v>
      </c>
      <c r="Z2664">
        <v>-553</v>
      </c>
      <c r="AA2664">
        <v>694183</v>
      </c>
      <c r="AD2664" t="s">
        <v>2792</v>
      </c>
      <c r="AF2664" t="s">
        <v>2792</v>
      </c>
      <c r="AG2664">
        <v>93209765070409</v>
      </c>
      <c r="AH2664" t="s">
        <v>2745</v>
      </c>
    </row>
    <row r="2665" spans="1:34" x14ac:dyDescent="0.3">
      <c r="A2665">
        <v>101</v>
      </c>
      <c r="B2665" t="s">
        <v>34</v>
      </c>
      <c r="C2665">
        <v>4</v>
      </c>
      <c r="D2665" s="1" t="s">
        <v>7078</v>
      </c>
      <c r="E2665" t="s">
        <v>3134</v>
      </c>
      <c r="G2665">
        <v>470922</v>
      </c>
      <c r="H2665" t="s">
        <v>7079</v>
      </c>
      <c r="I2665" t="s">
        <v>3131</v>
      </c>
      <c r="J2665">
        <v>26</v>
      </c>
      <c r="K2665">
        <v>4716</v>
      </c>
      <c r="L2665">
        <v>10001</v>
      </c>
      <c r="M2665" t="s">
        <v>3135</v>
      </c>
      <c r="N2665">
        <v>584</v>
      </c>
      <c r="O2665" s="2">
        <v>46231</v>
      </c>
      <c r="P2665" s="2">
        <v>46329</v>
      </c>
      <c r="R2665" t="s">
        <v>3187</v>
      </c>
      <c r="S2665" t="str">
        <f>"08.0579034"</f>
        <v>08.0579034</v>
      </c>
      <c r="T2665" t="s">
        <v>41</v>
      </c>
      <c r="U2665">
        <v>36716.71</v>
      </c>
      <c r="V2665">
        <v>36716.71</v>
      </c>
      <c r="W2665">
        <v>36716.71</v>
      </c>
      <c r="X2665">
        <v>0</v>
      </c>
      <c r="Y2665">
        <v>0</v>
      </c>
      <c r="Z2665">
        <v>-554</v>
      </c>
      <c r="AA2665">
        <v>695247</v>
      </c>
      <c r="AD2665" t="s">
        <v>1089</v>
      </c>
      <c r="AF2665" t="s">
        <v>1089</v>
      </c>
      <c r="AG2665">
        <v>75315333036804</v>
      </c>
      <c r="AH2665" t="s">
        <v>714</v>
      </c>
    </row>
    <row r="2666" spans="1:34" x14ac:dyDescent="0.3">
      <c r="A2666">
        <v>101</v>
      </c>
      <c r="B2666" t="s">
        <v>34</v>
      </c>
      <c r="C2666">
        <v>4</v>
      </c>
      <c r="D2666" s="1" t="s">
        <v>7080</v>
      </c>
      <c r="E2666" t="s">
        <v>3134</v>
      </c>
      <c r="G2666">
        <v>999000697</v>
      </c>
      <c r="H2666" t="s">
        <v>7081</v>
      </c>
      <c r="I2666" t="s">
        <v>3131</v>
      </c>
      <c r="J2666">
        <v>26</v>
      </c>
      <c r="K2666">
        <v>4716</v>
      </c>
      <c r="L2666">
        <v>10001</v>
      </c>
      <c r="M2666" t="s">
        <v>3135</v>
      </c>
      <c r="N2666">
        <v>584</v>
      </c>
      <c r="O2666" s="2">
        <v>46190</v>
      </c>
      <c r="P2666" s="2">
        <v>46281</v>
      </c>
      <c r="R2666" t="s">
        <v>3144</v>
      </c>
      <c r="S2666" t="str">
        <f>"07.0574661"</f>
        <v>07.0574661</v>
      </c>
      <c r="T2666" t="s">
        <v>41</v>
      </c>
      <c r="U2666">
        <v>318.45</v>
      </c>
      <c r="V2666">
        <v>318.45</v>
      </c>
      <c r="W2666">
        <v>318.45</v>
      </c>
      <c r="X2666">
        <v>0</v>
      </c>
      <c r="Y2666">
        <v>0</v>
      </c>
      <c r="Z2666">
        <v>-506</v>
      </c>
      <c r="AA2666">
        <v>691657</v>
      </c>
      <c r="AD2666" t="s">
        <v>6790</v>
      </c>
      <c r="AE2666" t="s">
        <v>7082</v>
      </c>
      <c r="AF2666" t="s">
        <v>64</v>
      </c>
      <c r="AG2666">
        <v>75315333010767</v>
      </c>
      <c r="AH2666" t="s">
        <v>44</v>
      </c>
    </row>
    <row r="2667" spans="1:34" x14ac:dyDescent="0.3">
      <c r="A2667">
        <v>101</v>
      </c>
      <c r="B2667" t="s">
        <v>34</v>
      </c>
      <c r="C2667">
        <v>4</v>
      </c>
      <c r="D2667" s="1" t="s">
        <v>7083</v>
      </c>
      <c r="E2667" t="s">
        <v>3134</v>
      </c>
      <c r="G2667">
        <v>999000697</v>
      </c>
      <c r="H2667" t="s">
        <v>7081</v>
      </c>
      <c r="I2667" t="s">
        <v>3131</v>
      </c>
      <c r="J2667">
        <v>26</v>
      </c>
      <c r="K2667">
        <v>4716</v>
      </c>
      <c r="L2667">
        <v>10001</v>
      </c>
      <c r="M2667" t="s">
        <v>3135</v>
      </c>
      <c r="N2667">
        <v>584</v>
      </c>
      <c r="O2667" s="2">
        <v>46190</v>
      </c>
      <c r="P2667" s="2">
        <v>46281</v>
      </c>
      <c r="R2667" t="s">
        <v>3144</v>
      </c>
      <c r="S2667" t="str">
        <f>"07.0574661"</f>
        <v>07.0574661</v>
      </c>
      <c r="T2667" t="s">
        <v>41</v>
      </c>
      <c r="U2667">
        <v>9468.92</v>
      </c>
      <c r="V2667">
        <v>9468.92</v>
      </c>
      <c r="W2667">
        <v>9468.92</v>
      </c>
      <c r="X2667">
        <v>0</v>
      </c>
      <c r="Y2667">
        <v>0</v>
      </c>
      <c r="Z2667">
        <v>-506</v>
      </c>
      <c r="AA2667">
        <v>691599</v>
      </c>
      <c r="AD2667" t="s">
        <v>6790</v>
      </c>
      <c r="AE2667" t="s">
        <v>7082</v>
      </c>
      <c r="AF2667" t="s">
        <v>64</v>
      </c>
      <c r="AG2667">
        <v>75315333010767</v>
      </c>
      <c r="AH2667" t="s">
        <v>44</v>
      </c>
    </row>
    <row r="2668" spans="1:34" x14ac:dyDescent="0.3">
      <c r="A2668">
        <v>101</v>
      </c>
      <c r="B2668" t="s">
        <v>34</v>
      </c>
      <c r="C2668">
        <v>4</v>
      </c>
      <c r="D2668" s="1" t="s">
        <v>7084</v>
      </c>
      <c r="E2668" t="s">
        <v>3134</v>
      </c>
      <c r="G2668">
        <v>999000811</v>
      </c>
      <c r="H2668" t="s">
        <v>7085</v>
      </c>
      <c r="I2668" t="s">
        <v>3131</v>
      </c>
      <c r="J2668">
        <v>26</v>
      </c>
      <c r="K2668">
        <v>4716</v>
      </c>
      <c r="L2668">
        <v>10001</v>
      </c>
      <c r="M2668" t="s">
        <v>3135</v>
      </c>
      <c r="N2668">
        <v>584</v>
      </c>
      <c r="O2668" s="2">
        <v>46172</v>
      </c>
      <c r="P2668" s="2">
        <v>46281</v>
      </c>
      <c r="R2668" t="s">
        <v>3144</v>
      </c>
      <c r="S2668" t="str">
        <f>"07.0574661"</f>
        <v>07.0574661</v>
      </c>
      <c r="T2668" t="s">
        <v>41</v>
      </c>
      <c r="U2668">
        <v>50995.38</v>
      </c>
      <c r="V2668">
        <v>50995.38</v>
      </c>
      <c r="W2668">
        <v>50995.38</v>
      </c>
      <c r="X2668">
        <v>0</v>
      </c>
      <c r="Y2668">
        <v>0</v>
      </c>
      <c r="Z2668">
        <v>-506</v>
      </c>
      <c r="AA2668">
        <v>689556</v>
      </c>
      <c r="AD2668" t="s">
        <v>5614</v>
      </c>
      <c r="AE2668" t="s">
        <v>7086</v>
      </c>
      <c r="AF2668" t="s">
        <v>7087</v>
      </c>
      <c r="AG2668">
        <v>75315333007200</v>
      </c>
      <c r="AH2668" t="s">
        <v>44</v>
      </c>
    </row>
    <row r="2669" spans="1:34" x14ac:dyDescent="0.3">
      <c r="A2669">
        <v>104</v>
      </c>
      <c r="B2669" t="s">
        <v>34</v>
      </c>
      <c r="C2669">
        <v>4</v>
      </c>
      <c r="D2669" s="1" t="s">
        <v>7088</v>
      </c>
      <c r="E2669" s="1" t="s">
        <v>36</v>
      </c>
      <c r="G2669">
        <v>999001195</v>
      </c>
      <c r="H2669" t="s">
        <v>7089</v>
      </c>
      <c r="I2669" t="s">
        <v>3131</v>
      </c>
      <c r="J2669">
        <v>26</v>
      </c>
      <c r="K2669">
        <v>4716</v>
      </c>
      <c r="L2669">
        <v>95000</v>
      </c>
      <c r="M2669" t="s">
        <v>69</v>
      </c>
      <c r="N2669">
        <v>584</v>
      </c>
      <c r="O2669" s="2">
        <v>46190</v>
      </c>
      <c r="P2669" s="2">
        <v>46327</v>
      </c>
      <c r="R2669" t="s">
        <v>7090</v>
      </c>
      <c r="S2669" t="str">
        <f>""</f>
        <v/>
      </c>
      <c r="T2669" t="s">
        <v>41</v>
      </c>
      <c r="U2669">
        <v>23502.9</v>
      </c>
      <c r="V2669">
        <v>21740.18</v>
      </c>
      <c r="W2669">
        <v>21740.18</v>
      </c>
      <c r="X2669">
        <v>0</v>
      </c>
      <c r="Y2669">
        <v>0</v>
      </c>
      <c r="Z2669">
        <v>-552</v>
      </c>
      <c r="AA2669">
        <v>690658</v>
      </c>
      <c r="AD2669" t="s">
        <v>7091</v>
      </c>
      <c r="AE2669" t="s">
        <v>7092</v>
      </c>
      <c r="AF2669" t="s">
        <v>7091</v>
      </c>
      <c r="AG2669">
        <v>75315333012549</v>
      </c>
      <c r="AH2669" t="s">
        <v>4342</v>
      </c>
    </row>
    <row r="2670" spans="1:34" x14ac:dyDescent="0.3">
      <c r="A2670">
        <v>104</v>
      </c>
      <c r="B2670" t="s">
        <v>34</v>
      </c>
      <c r="C2670">
        <v>4</v>
      </c>
      <c r="D2670" s="1" t="s">
        <v>7093</v>
      </c>
      <c r="E2670" s="1" t="s">
        <v>36</v>
      </c>
      <c r="G2670">
        <v>999001578</v>
      </c>
      <c r="H2670" t="s">
        <v>7094</v>
      </c>
      <c r="I2670" t="s">
        <v>3131</v>
      </c>
      <c r="J2670">
        <v>26</v>
      </c>
      <c r="K2670">
        <v>4716</v>
      </c>
      <c r="L2670">
        <v>95000</v>
      </c>
      <c r="M2670" t="s">
        <v>69</v>
      </c>
      <c r="N2670">
        <v>584</v>
      </c>
      <c r="O2670" s="2">
        <v>46211</v>
      </c>
      <c r="P2670" s="2">
        <v>46327</v>
      </c>
      <c r="R2670" t="s">
        <v>7095</v>
      </c>
      <c r="S2670" t="str">
        <f>""</f>
        <v/>
      </c>
      <c r="T2670" t="s">
        <v>41</v>
      </c>
      <c r="U2670">
        <v>931.96</v>
      </c>
      <c r="V2670">
        <v>899.34</v>
      </c>
      <c r="W2670">
        <v>899.34</v>
      </c>
      <c r="X2670">
        <v>0</v>
      </c>
      <c r="Y2670">
        <v>0</v>
      </c>
      <c r="Z2670">
        <v>-552</v>
      </c>
      <c r="AA2670">
        <v>693919</v>
      </c>
      <c r="AD2670" t="s">
        <v>4897</v>
      </c>
      <c r="AE2670" t="s">
        <v>7096</v>
      </c>
      <c r="AF2670" t="s">
        <v>64</v>
      </c>
      <c r="AG2670">
        <v>75315333013600</v>
      </c>
      <c r="AH2670" t="s">
        <v>44</v>
      </c>
    </row>
    <row r="2671" spans="1:34" x14ac:dyDescent="0.3">
      <c r="A2671">
        <v>104</v>
      </c>
      <c r="B2671" t="s">
        <v>34</v>
      </c>
      <c r="C2671">
        <v>4</v>
      </c>
      <c r="D2671" s="1" t="s">
        <v>7093</v>
      </c>
      <c r="E2671" s="1" t="s">
        <v>122</v>
      </c>
      <c r="G2671">
        <v>999001578</v>
      </c>
      <c r="H2671" t="s">
        <v>7094</v>
      </c>
      <c r="I2671" t="s">
        <v>3131</v>
      </c>
      <c r="J2671">
        <v>26</v>
      </c>
      <c r="K2671">
        <v>4716</v>
      </c>
      <c r="L2671">
        <v>95000</v>
      </c>
      <c r="M2671" t="s">
        <v>69</v>
      </c>
      <c r="N2671">
        <v>584</v>
      </c>
      <c r="O2671" s="2">
        <v>46223</v>
      </c>
      <c r="P2671" s="2">
        <v>46305</v>
      </c>
      <c r="R2671" t="s">
        <v>6268</v>
      </c>
      <c r="S2671" t="str">
        <f>""</f>
        <v/>
      </c>
      <c r="T2671" t="s">
        <v>41</v>
      </c>
      <c r="U2671">
        <v>196.77</v>
      </c>
      <c r="V2671">
        <v>196.77</v>
      </c>
      <c r="W2671">
        <v>196.77</v>
      </c>
      <c r="X2671">
        <v>0</v>
      </c>
      <c r="Y2671">
        <v>0</v>
      </c>
      <c r="Z2671">
        <v>-530</v>
      </c>
      <c r="AC2671" t="s">
        <v>6269</v>
      </c>
      <c r="AD2671" t="s">
        <v>4897</v>
      </c>
      <c r="AE2671" t="s">
        <v>7096</v>
      </c>
      <c r="AF2671" t="s">
        <v>64</v>
      </c>
      <c r="AG2671">
        <v>75315333013600</v>
      </c>
      <c r="AH2671" t="s">
        <v>44</v>
      </c>
    </row>
    <row r="2672" spans="1:34" x14ac:dyDescent="0.3">
      <c r="A2672">
        <v>104</v>
      </c>
      <c r="B2672" t="s">
        <v>34</v>
      </c>
      <c r="C2672">
        <v>4</v>
      </c>
      <c r="D2672" s="1" t="s">
        <v>7097</v>
      </c>
      <c r="E2672" s="1" t="s">
        <v>36</v>
      </c>
      <c r="G2672">
        <v>999001578</v>
      </c>
      <c r="H2672" t="s">
        <v>7094</v>
      </c>
      <c r="I2672" t="s">
        <v>3131</v>
      </c>
      <c r="J2672">
        <v>26</v>
      </c>
      <c r="K2672">
        <v>4716</v>
      </c>
      <c r="L2672">
        <v>95000</v>
      </c>
      <c r="M2672" t="s">
        <v>69</v>
      </c>
      <c r="N2672">
        <v>584</v>
      </c>
      <c r="O2672" s="2">
        <v>46211</v>
      </c>
      <c r="P2672" s="2">
        <v>46327</v>
      </c>
      <c r="R2672" t="s">
        <v>7098</v>
      </c>
      <c r="S2672" t="str">
        <f>""</f>
        <v/>
      </c>
      <c r="T2672" t="s">
        <v>41</v>
      </c>
      <c r="U2672">
        <v>13707.38</v>
      </c>
      <c r="V2672">
        <v>13227.62</v>
      </c>
      <c r="W2672">
        <v>13227.62</v>
      </c>
      <c r="X2672">
        <v>0</v>
      </c>
      <c r="Y2672">
        <v>0</v>
      </c>
      <c r="Z2672">
        <v>-552</v>
      </c>
      <c r="AA2672">
        <v>693977</v>
      </c>
      <c r="AD2672" t="s">
        <v>4897</v>
      </c>
      <c r="AE2672" t="s">
        <v>7096</v>
      </c>
      <c r="AF2672" t="s">
        <v>64</v>
      </c>
      <c r="AG2672">
        <v>75315333013600</v>
      </c>
      <c r="AH2672" t="s">
        <v>44</v>
      </c>
    </row>
    <row r="2673" spans="1:34" x14ac:dyDescent="0.3">
      <c r="A2673">
        <v>104</v>
      </c>
      <c r="B2673" t="s">
        <v>34</v>
      </c>
      <c r="C2673">
        <v>4</v>
      </c>
      <c r="D2673" s="1" t="s">
        <v>7099</v>
      </c>
      <c r="E2673" s="1" t="s">
        <v>36</v>
      </c>
      <c r="G2673">
        <v>999001579</v>
      </c>
      <c r="H2673" t="s">
        <v>7100</v>
      </c>
      <c r="I2673" t="s">
        <v>3131</v>
      </c>
      <c r="J2673">
        <v>26</v>
      </c>
      <c r="K2673">
        <v>4716</v>
      </c>
      <c r="L2673">
        <v>95000</v>
      </c>
      <c r="M2673" t="s">
        <v>69</v>
      </c>
      <c r="N2673">
        <v>584</v>
      </c>
      <c r="O2673" s="2">
        <v>46211</v>
      </c>
      <c r="P2673" s="2">
        <v>46281</v>
      </c>
      <c r="R2673" t="s">
        <v>7101</v>
      </c>
      <c r="S2673" t="str">
        <f>""</f>
        <v/>
      </c>
      <c r="T2673" t="s">
        <v>41</v>
      </c>
      <c r="U2673">
        <v>16002.59</v>
      </c>
      <c r="V2673">
        <v>15442.5</v>
      </c>
      <c r="W2673">
        <v>15442.5</v>
      </c>
      <c r="X2673">
        <v>0</v>
      </c>
      <c r="Y2673">
        <v>0</v>
      </c>
      <c r="Z2673">
        <v>-506</v>
      </c>
      <c r="AA2673">
        <v>693973</v>
      </c>
      <c r="AD2673" t="s">
        <v>6625</v>
      </c>
      <c r="AE2673" t="s">
        <v>7102</v>
      </c>
      <c r="AF2673" t="s">
        <v>64</v>
      </c>
      <c r="AG2673">
        <v>75315333010252</v>
      </c>
      <c r="AH2673" t="s">
        <v>44</v>
      </c>
    </row>
    <row r="2674" spans="1:34" x14ac:dyDescent="0.3">
      <c r="A2674">
        <v>104</v>
      </c>
      <c r="B2674" t="s">
        <v>34</v>
      </c>
      <c r="C2674">
        <v>4</v>
      </c>
      <c r="D2674" s="1" t="s">
        <v>7103</v>
      </c>
      <c r="E2674" s="1" t="s">
        <v>36</v>
      </c>
      <c r="G2674">
        <v>999001579</v>
      </c>
      <c r="H2674" t="s">
        <v>7100</v>
      </c>
      <c r="I2674" t="s">
        <v>3131</v>
      </c>
      <c r="J2674">
        <v>26</v>
      </c>
      <c r="K2674">
        <v>4716</v>
      </c>
      <c r="L2674">
        <v>95000</v>
      </c>
      <c r="M2674" t="s">
        <v>69</v>
      </c>
      <c r="N2674">
        <v>584</v>
      </c>
      <c r="O2674" s="2">
        <v>46211</v>
      </c>
      <c r="P2674" s="2">
        <v>46281</v>
      </c>
      <c r="R2674" t="s">
        <v>7104</v>
      </c>
      <c r="S2674" t="str">
        <f>""</f>
        <v/>
      </c>
      <c r="T2674" t="s">
        <v>41</v>
      </c>
      <c r="U2674">
        <v>1842.51</v>
      </c>
      <c r="V2674">
        <v>1778.02</v>
      </c>
      <c r="W2674">
        <v>1778.02</v>
      </c>
      <c r="X2674">
        <v>0</v>
      </c>
      <c r="Y2674">
        <v>0</v>
      </c>
      <c r="Z2674">
        <v>-506</v>
      </c>
      <c r="AA2674">
        <v>693915</v>
      </c>
      <c r="AD2674" t="s">
        <v>6625</v>
      </c>
      <c r="AE2674" t="s">
        <v>7102</v>
      </c>
      <c r="AF2674" t="s">
        <v>64</v>
      </c>
      <c r="AG2674">
        <v>75315333010252</v>
      </c>
      <c r="AH2674" t="s">
        <v>44</v>
      </c>
    </row>
    <row r="2675" spans="1:34" x14ac:dyDescent="0.3">
      <c r="A2675">
        <v>104</v>
      </c>
      <c r="B2675" t="s">
        <v>34</v>
      </c>
      <c r="C2675">
        <v>4</v>
      </c>
      <c r="D2675" s="1" t="s">
        <v>7103</v>
      </c>
      <c r="E2675" s="1" t="s">
        <v>122</v>
      </c>
      <c r="G2675">
        <v>999001579</v>
      </c>
      <c r="H2675" t="s">
        <v>7100</v>
      </c>
      <c r="I2675" t="s">
        <v>3131</v>
      </c>
      <c r="J2675">
        <v>26</v>
      </c>
      <c r="K2675">
        <v>4716</v>
      </c>
      <c r="L2675">
        <v>95000</v>
      </c>
      <c r="M2675" t="s">
        <v>69</v>
      </c>
      <c r="N2675">
        <v>584</v>
      </c>
      <c r="O2675" s="2">
        <v>46223</v>
      </c>
      <c r="P2675" s="2">
        <v>46305</v>
      </c>
      <c r="R2675" t="s">
        <v>6268</v>
      </c>
      <c r="S2675" t="str">
        <f>""</f>
        <v/>
      </c>
      <c r="T2675" t="s">
        <v>41</v>
      </c>
      <c r="U2675">
        <v>284.45</v>
      </c>
      <c r="V2675">
        <v>284.45</v>
      </c>
      <c r="W2675">
        <v>284.45</v>
      </c>
      <c r="X2675">
        <v>0</v>
      </c>
      <c r="Y2675">
        <v>0</v>
      </c>
      <c r="Z2675">
        <v>-530</v>
      </c>
      <c r="AC2675" t="s">
        <v>6269</v>
      </c>
      <c r="AD2675" t="s">
        <v>6625</v>
      </c>
      <c r="AE2675" t="s">
        <v>7102</v>
      </c>
      <c r="AF2675" t="s">
        <v>64</v>
      </c>
      <c r="AG2675">
        <v>75315333010252</v>
      </c>
      <c r="AH2675" t="s">
        <v>44</v>
      </c>
    </row>
    <row r="2676" spans="1:34" x14ac:dyDescent="0.3">
      <c r="A2676">
        <v>101</v>
      </c>
      <c r="B2676" t="s">
        <v>34</v>
      </c>
      <c r="C2676">
        <v>4</v>
      </c>
      <c r="D2676" s="1" t="s">
        <v>7105</v>
      </c>
      <c r="E2676" t="s">
        <v>3134</v>
      </c>
      <c r="G2676">
        <v>999002020</v>
      </c>
      <c r="H2676" t="s">
        <v>7106</v>
      </c>
      <c r="I2676" t="s">
        <v>3131</v>
      </c>
      <c r="J2676">
        <v>26</v>
      </c>
      <c r="K2676">
        <v>4716</v>
      </c>
      <c r="L2676">
        <v>10001</v>
      </c>
      <c r="M2676" t="s">
        <v>3135</v>
      </c>
      <c r="N2676">
        <v>584</v>
      </c>
      <c r="O2676" s="2">
        <v>46190</v>
      </c>
      <c r="P2676" s="2">
        <v>46281</v>
      </c>
      <c r="R2676" t="s">
        <v>3144</v>
      </c>
      <c r="S2676" t="str">
        <f>"07.0574661"</f>
        <v>07.0574661</v>
      </c>
      <c r="T2676" t="s">
        <v>41</v>
      </c>
      <c r="U2676">
        <v>636.9</v>
      </c>
      <c r="V2676">
        <v>636.9</v>
      </c>
      <c r="W2676">
        <v>636.9</v>
      </c>
      <c r="X2676">
        <v>0</v>
      </c>
      <c r="Y2676">
        <v>0</v>
      </c>
      <c r="Z2676">
        <v>-506</v>
      </c>
      <c r="AA2676">
        <v>691659</v>
      </c>
      <c r="AD2676" t="s">
        <v>6770</v>
      </c>
      <c r="AE2676" t="s">
        <v>7107</v>
      </c>
      <c r="AF2676" t="s">
        <v>64</v>
      </c>
      <c r="AG2676">
        <v>75315333012115</v>
      </c>
      <c r="AH2676" t="s">
        <v>44</v>
      </c>
    </row>
    <row r="2677" spans="1:34" x14ac:dyDescent="0.3">
      <c r="A2677">
        <v>101</v>
      </c>
      <c r="B2677" t="s">
        <v>34</v>
      </c>
      <c r="C2677">
        <v>4</v>
      </c>
      <c r="D2677" s="1" t="s">
        <v>7108</v>
      </c>
      <c r="E2677" t="s">
        <v>3134</v>
      </c>
      <c r="G2677">
        <v>999002020</v>
      </c>
      <c r="H2677" t="s">
        <v>7106</v>
      </c>
      <c r="I2677" t="s">
        <v>3131</v>
      </c>
      <c r="J2677">
        <v>26</v>
      </c>
      <c r="K2677">
        <v>4716</v>
      </c>
      <c r="L2677">
        <v>10001</v>
      </c>
      <c r="M2677" t="s">
        <v>3135</v>
      </c>
      <c r="N2677">
        <v>584</v>
      </c>
      <c r="O2677" s="2">
        <v>46190</v>
      </c>
      <c r="P2677" s="2">
        <v>46281</v>
      </c>
      <c r="R2677" t="s">
        <v>3144</v>
      </c>
      <c r="S2677" t="str">
        <f>"07.0574661"</f>
        <v>07.0574661</v>
      </c>
      <c r="T2677" t="s">
        <v>41</v>
      </c>
      <c r="U2677">
        <v>11557.77</v>
      </c>
      <c r="V2677">
        <v>11557.77</v>
      </c>
      <c r="W2677">
        <v>11557.77</v>
      </c>
      <c r="X2677">
        <v>0</v>
      </c>
      <c r="Y2677">
        <v>0</v>
      </c>
      <c r="Z2677">
        <v>-506</v>
      </c>
      <c r="AA2677">
        <v>691601</v>
      </c>
      <c r="AD2677" t="s">
        <v>6770</v>
      </c>
      <c r="AE2677" t="s">
        <v>7107</v>
      </c>
      <c r="AF2677" t="s">
        <v>64</v>
      </c>
      <c r="AG2677">
        <v>75315333012115</v>
      </c>
      <c r="AH2677" t="s">
        <v>44</v>
      </c>
    </row>
    <row r="2678" spans="1:34" x14ac:dyDescent="0.3">
      <c r="A2678">
        <v>101</v>
      </c>
      <c r="B2678" t="s">
        <v>34</v>
      </c>
      <c r="C2678">
        <v>4</v>
      </c>
      <c r="D2678" s="1" t="s">
        <v>7109</v>
      </c>
      <c r="E2678" t="s">
        <v>3134</v>
      </c>
      <c r="G2678">
        <v>999002376</v>
      </c>
      <c r="H2678" t="s">
        <v>7110</v>
      </c>
      <c r="I2678" t="s">
        <v>3131</v>
      </c>
      <c r="J2678">
        <v>26</v>
      </c>
      <c r="K2678">
        <v>4716</v>
      </c>
      <c r="L2678">
        <v>10001</v>
      </c>
      <c r="M2678" t="s">
        <v>3135</v>
      </c>
      <c r="N2678">
        <v>584</v>
      </c>
      <c r="O2678" s="2">
        <v>46183</v>
      </c>
      <c r="P2678" s="2">
        <v>46281</v>
      </c>
      <c r="R2678" t="s">
        <v>3144</v>
      </c>
      <c r="S2678" t="str">
        <f>"07.0574661"</f>
        <v>07.0574661</v>
      </c>
      <c r="T2678" t="s">
        <v>41</v>
      </c>
      <c r="U2678">
        <v>3057.12</v>
      </c>
      <c r="V2678">
        <v>3057.12</v>
      </c>
      <c r="W2678">
        <v>3057.12</v>
      </c>
      <c r="X2678">
        <v>0</v>
      </c>
      <c r="Y2678">
        <v>0</v>
      </c>
      <c r="Z2678">
        <v>-506</v>
      </c>
      <c r="AA2678">
        <v>688513</v>
      </c>
      <c r="AD2678" t="s">
        <v>7111</v>
      </c>
      <c r="AE2678" t="s">
        <v>3197</v>
      </c>
      <c r="AF2678" t="s">
        <v>64</v>
      </c>
      <c r="AG2678">
        <v>75315333014401</v>
      </c>
      <c r="AH2678" t="s">
        <v>44</v>
      </c>
    </row>
    <row r="2679" spans="1:34" x14ac:dyDescent="0.3">
      <c r="A2679">
        <v>104</v>
      </c>
      <c r="B2679" t="s">
        <v>34</v>
      </c>
      <c r="C2679">
        <v>4</v>
      </c>
      <c r="D2679" s="1" t="s">
        <v>7112</v>
      </c>
      <c r="E2679" s="1" t="s">
        <v>36</v>
      </c>
      <c r="G2679">
        <v>999002376</v>
      </c>
      <c r="H2679" t="s">
        <v>7110</v>
      </c>
      <c r="I2679" t="s">
        <v>3131</v>
      </c>
      <c r="J2679">
        <v>26</v>
      </c>
      <c r="K2679">
        <v>4716</v>
      </c>
      <c r="L2679">
        <v>95000</v>
      </c>
      <c r="M2679" t="s">
        <v>69</v>
      </c>
      <c r="N2679">
        <v>584</v>
      </c>
      <c r="O2679" s="2">
        <v>46251</v>
      </c>
      <c r="P2679" s="2">
        <v>46321</v>
      </c>
      <c r="R2679" t="s">
        <v>7113</v>
      </c>
      <c r="S2679" t="str">
        <f>""</f>
        <v/>
      </c>
      <c r="T2679" t="s">
        <v>41</v>
      </c>
      <c r="U2679">
        <v>39573.050000000003</v>
      </c>
      <c r="V2679">
        <v>36605.07</v>
      </c>
      <c r="W2679">
        <v>36605.07</v>
      </c>
      <c r="X2679">
        <v>0</v>
      </c>
      <c r="Y2679">
        <v>0</v>
      </c>
      <c r="Z2679">
        <v>-546</v>
      </c>
      <c r="AA2679">
        <v>696855</v>
      </c>
      <c r="AD2679" t="s">
        <v>7111</v>
      </c>
      <c r="AE2679" t="s">
        <v>3197</v>
      </c>
      <c r="AF2679" t="s">
        <v>64</v>
      </c>
      <c r="AG2679">
        <v>75315333014401</v>
      </c>
      <c r="AH2679" t="s">
        <v>44</v>
      </c>
    </row>
    <row r="2680" spans="1:34" x14ac:dyDescent="0.3">
      <c r="A2680">
        <v>104</v>
      </c>
      <c r="B2680" t="s">
        <v>34</v>
      </c>
      <c r="C2680">
        <v>4</v>
      </c>
      <c r="D2680" s="1" t="s">
        <v>7114</v>
      </c>
      <c r="E2680" s="1" t="s">
        <v>36</v>
      </c>
      <c r="G2680">
        <v>999002473</v>
      </c>
      <c r="H2680" t="s">
        <v>7115</v>
      </c>
      <c r="I2680" t="s">
        <v>3131</v>
      </c>
      <c r="J2680">
        <v>26</v>
      </c>
      <c r="K2680">
        <v>4716</v>
      </c>
      <c r="L2680">
        <v>95000</v>
      </c>
      <c r="M2680" t="s">
        <v>69</v>
      </c>
      <c r="N2680">
        <v>584</v>
      </c>
      <c r="O2680" s="2">
        <v>46234</v>
      </c>
      <c r="P2680" s="2">
        <v>46304</v>
      </c>
      <c r="R2680" t="s">
        <v>7116</v>
      </c>
      <c r="S2680" t="str">
        <f>""</f>
        <v/>
      </c>
      <c r="T2680" t="s">
        <v>41</v>
      </c>
      <c r="U2680">
        <v>31048.14</v>
      </c>
      <c r="V2680">
        <v>28719.53</v>
      </c>
      <c r="W2680">
        <v>28719.53</v>
      </c>
      <c r="X2680">
        <v>0</v>
      </c>
      <c r="Y2680">
        <v>0</v>
      </c>
      <c r="Z2680">
        <v>-529</v>
      </c>
      <c r="AA2680">
        <v>695953</v>
      </c>
      <c r="AD2680" t="s">
        <v>6376</v>
      </c>
      <c r="AE2680" t="s">
        <v>7117</v>
      </c>
      <c r="AF2680" t="s">
        <v>64</v>
      </c>
      <c r="AG2680">
        <v>75315333011909</v>
      </c>
      <c r="AH2680" t="s">
        <v>44</v>
      </c>
    </row>
    <row r="2681" spans="1:34" x14ac:dyDescent="0.3">
      <c r="A2681">
        <v>104</v>
      </c>
      <c r="B2681" t="s">
        <v>34</v>
      </c>
      <c r="C2681">
        <v>4</v>
      </c>
      <c r="D2681" s="1" t="s">
        <v>7118</v>
      </c>
      <c r="E2681" s="1" t="s">
        <v>36</v>
      </c>
      <c r="G2681">
        <v>999002473</v>
      </c>
      <c r="H2681" t="s">
        <v>7115</v>
      </c>
      <c r="I2681" t="s">
        <v>3131</v>
      </c>
      <c r="J2681">
        <v>26</v>
      </c>
      <c r="K2681">
        <v>4716</v>
      </c>
      <c r="L2681">
        <v>95000</v>
      </c>
      <c r="M2681" t="s">
        <v>69</v>
      </c>
      <c r="N2681">
        <v>584</v>
      </c>
      <c r="O2681" s="2">
        <v>46197</v>
      </c>
      <c r="P2681" s="2">
        <v>46329</v>
      </c>
      <c r="R2681" t="s">
        <v>7119</v>
      </c>
      <c r="S2681" t="str">
        <f>""</f>
        <v/>
      </c>
      <c r="T2681" t="s">
        <v>41</v>
      </c>
      <c r="U2681">
        <v>3855.6</v>
      </c>
      <c r="V2681">
        <v>3566.43</v>
      </c>
      <c r="W2681">
        <v>3566.43</v>
      </c>
      <c r="X2681">
        <v>0</v>
      </c>
      <c r="Y2681">
        <v>0</v>
      </c>
      <c r="Z2681">
        <v>-554</v>
      </c>
      <c r="AA2681">
        <v>692012</v>
      </c>
      <c r="AD2681" t="s">
        <v>6376</v>
      </c>
      <c r="AE2681" t="s">
        <v>7117</v>
      </c>
      <c r="AF2681" t="s">
        <v>64</v>
      </c>
      <c r="AG2681">
        <v>75315333011909</v>
      </c>
      <c r="AH2681" t="s">
        <v>44</v>
      </c>
    </row>
    <row r="2682" spans="1:34" x14ac:dyDescent="0.3">
      <c r="A2682">
        <v>104</v>
      </c>
      <c r="B2682" t="s">
        <v>34</v>
      </c>
      <c r="C2682">
        <v>4</v>
      </c>
      <c r="D2682" s="1" t="s">
        <v>7120</v>
      </c>
      <c r="E2682" s="1" t="s">
        <v>36</v>
      </c>
      <c r="G2682">
        <v>999002473</v>
      </c>
      <c r="H2682" t="s">
        <v>7115</v>
      </c>
      <c r="I2682" t="s">
        <v>3131</v>
      </c>
      <c r="J2682">
        <v>26</v>
      </c>
      <c r="K2682">
        <v>4716</v>
      </c>
      <c r="L2682">
        <v>95000</v>
      </c>
      <c r="M2682" t="s">
        <v>69</v>
      </c>
      <c r="N2682">
        <v>584</v>
      </c>
      <c r="O2682" s="2">
        <v>46197</v>
      </c>
      <c r="P2682" s="2">
        <v>46329</v>
      </c>
      <c r="R2682" t="s">
        <v>7121</v>
      </c>
      <c r="S2682" t="str">
        <f>""</f>
        <v/>
      </c>
      <c r="T2682" t="s">
        <v>41</v>
      </c>
      <c r="U2682">
        <v>52916.02</v>
      </c>
      <c r="V2682">
        <v>48947.32</v>
      </c>
      <c r="W2682">
        <v>48947.32</v>
      </c>
      <c r="X2682">
        <v>0</v>
      </c>
      <c r="Y2682">
        <v>0</v>
      </c>
      <c r="Z2682">
        <v>-554</v>
      </c>
      <c r="AA2682">
        <v>691962</v>
      </c>
      <c r="AD2682" t="s">
        <v>6376</v>
      </c>
      <c r="AE2682" t="s">
        <v>7117</v>
      </c>
      <c r="AF2682" t="s">
        <v>64</v>
      </c>
      <c r="AG2682">
        <v>75315333011909</v>
      </c>
      <c r="AH2682" t="s">
        <v>44</v>
      </c>
    </row>
    <row r="2683" spans="1:34" x14ac:dyDescent="0.3">
      <c r="A2683">
        <v>101</v>
      </c>
      <c r="B2683" t="s">
        <v>34</v>
      </c>
      <c r="C2683">
        <v>4</v>
      </c>
      <c r="D2683" s="1" t="s">
        <v>7122</v>
      </c>
      <c r="E2683" t="s">
        <v>3134</v>
      </c>
      <c r="G2683">
        <v>999002473</v>
      </c>
      <c r="H2683" t="s">
        <v>7115</v>
      </c>
      <c r="I2683" t="s">
        <v>3131</v>
      </c>
      <c r="J2683">
        <v>26</v>
      </c>
      <c r="K2683">
        <v>4716</v>
      </c>
      <c r="L2683">
        <v>10001</v>
      </c>
      <c r="M2683" t="s">
        <v>3135</v>
      </c>
      <c r="N2683">
        <v>584</v>
      </c>
      <c r="O2683" s="2">
        <v>46162</v>
      </c>
      <c r="P2683" s="2">
        <v>46296</v>
      </c>
      <c r="R2683" t="s">
        <v>3179</v>
      </c>
      <c r="S2683" t="str">
        <f>"08.0576919"</f>
        <v>08.0576919</v>
      </c>
      <c r="T2683" t="s">
        <v>41</v>
      </c>
      <c r="U2683">
        <v>40279.089999999997</v>
      </c>
      <c r="V2683">
        <v>40279.089999999997</v>
      </c>
      <c r="W2683">
        <v>40279.089999999997</v>
      </c>
      <c r="X2683">
        <v>0</v>
      </c>
      <c r="Y2683">
        <v>0</v>
      </c>
      <c r="Z2683">
        <v>-521</v>
      </c>
      <c r="AA2683">
        <v>688458</v>
      </c>
      <c r="AD2683" t="s">
        <v>6376</v>
      </c>
      <c r="AE2683" t="s">
        <v>7117</v>
      </c>
      <c r="AF2683" t="s">
        <v>64</v>
      </c>
      <c r="AG2683">
        <v>75315333011909</v>
      </c>
      <c r="AH2683" t="s">
        <v>44</v>
      </c>
    </row>
    <row r="2684" spans="1:34" x14ac:dyDescent="0.3">
      <c r="A2684">
        <v>101</v>
      </c>
      <c r="B2684" t="s">
        <v>34</v>
      </c>
      <c r="C2684">
        <v>2</v>
      </c>
      <c r="D2684" s="1" t="s">
        <v>7123</v>
      </c>
      <c r="E2684" s="1" t="s">
        <v>36</v>
      </c>
      <c r="G2684">
        <v>9029</v>
      </c>
      <c r="H2684" t="s">
        <v>7124</v>
      </c>
      <c r="I2684" t="s">
        <v>7125</v>
      </c>
      <c r="J2684">
        <v>12</v>
      </c>
      <c r="K2684">
        <v>9029</v>
      </c>
      <c r="L2684">
        <v>50033</v>
      </c>
      <c r="M2684" t="s">
        <v>39</v>
      </c>
      <c r="N2684">
        <v>588</v>
      </c>
      <c r="O2684" s="2">
        <v>46235</v>
      </c>
      <c r="P2684" s="2">
        <v>46263</v>
      </c>
      <c r="R2684" t="s">
        <v>7126</v>
      </c>
      <c r="S2684" t="str">
        <f>"0000050411888"</f>
        <v>0000050411888</v>
      </c>
      <c r="T2684" t="s">
        <v>41</v>
      </c>
      <c r="U2684">
        <v>1951.12</v>
      </c>
      <c r="V2684">
        <v>1951.12</v>
      </c>
      <c r="W2684">
        <v>1951.12</v>
      </c>
      <c r="X2684">
        <v>0</v>
      </c>
      <c r="Y2684">
        <v>0</v>
      </c>
      <c r="Z2684">
        <v>-488</v>
      </c>
      <c r="AA2684">
        <v>4008</v>
      </c>
      <c r="AD2684" t="s">
        <v>7127</v>
      </c>
      <c r="AE2684" t="s">
        <v>7128</v>
      </c>
      <c r="AF2684" t="s">
        <v>7127</v>
      </c>
      <c r="AG2684" s="1" t="s">
        <v>7129</v>
      </c>
      <c r="AH2684" t="s">
        <v>423</v>
      </c>
    </row>
    <row r="2685" spans="1:34" x14ac:dyDescent="0.3">
      <c r="A2685">
        <v>101</v>
      </c>
      <c r="B2685" t="s">
        <v>34</v>
      </c>
      <c r="C2685">
        <v>2</v>
      </c>
      <c r="D2685" s="1" t="s">
        <v>7130</v>
      </c>
      <c r="E2685" s="1" t="s">
        <v>36</v>
      </c>
      <c r="G2685">
        <v>9030</v>
      </c>
      <c r="H2685" t="s">
        <v>7131</v>
      </c>
      <c r="I2685" t="s">
        <v>7132</v>
      </c>
      <c r="J2685">
        <v>12</v>
      </c>
      <c r="K2685">
        <v>9029</v>
      </c>
      <c r="L2685">
        <v>50033</v>
      </c>
      <c r="M2685" t="s">
        <v>39</v>
      </c>
      <c r="N2685">
        <v>588</v>
      </c>
      <c r="O2685" s="2">
        <v>46235</v>
      </c>
      <c r="P2685" s="2">
        <v>46263</v>
      </c>
      <c r="R2685" t="s">
        <v>7133</v>
      </c>
      <c r="S2685" t="str">
        <f>"0000050411896"</f>
        <v>0000050411896</v>
      </c>
      <c r="T2685" t="s">
        <v>41</v>
      </c>
      <c r="U2685">
        <v>3707.85</v>
      </c>
      <c r="V2685">
        <v>3707.85</v>
      </c>
      <c r="W2685">
        <v>3707.85</v>
      </c>
      <c r="X2685">
        <v>0</v>
      </c>
      <c r="Y2685">
        <v>0</v>
      </c>
      <c r="Z2685">
        <v>-488</v>
      </c>
      <c r="AA2685">
        <v>4001</v>
      </c>
      <c r="AD2685" t="s">
        <v>7127</v>
      </c>
      <c r="AE2685" t="s">
        <v>7134</v>
      </c>
      <c r="AF2685" t="s">
        <v>7127</v>
      </c>
      <c r="AG2685" s="1" t="s">
        <v>7135</v>
      </c>
      <c r="AH2685" t="s">
        <v>423</v>
      </c>
    </row>
    <row r="2686" spans="1:34" x14ac:dyDescent="0.3">
      <c r="A2686">
        <v>101</v>
      </c>
      <c r="B2686" t="s">
        <v>34</v>
      </c>
      <c r="C2686">
        <v>2</v>
      </c>
      <c r="D2686" s="1" t="s">
        <v>7136</v>
      </c>
      <c r="E2686" s="1" t="s">
        <v>122</v>
      </c>
      <c r="G2686">
        <v>10189</v>
      </c>
      <c r="H2686" t="s">
        <v>7137</v>
      </c>
      <c r="I2686" t="s">
        <v>7138</v>
      </c>
      <c r="J2686">
        <v>12</v>
      </c>
      <c r="K2686">
        <v>10189</v>
      </c>
      <c r="L2686">
        <v>50001</v>
      </c>
      <c r="M2686" t="s">
        <v>39</v>
      </c>
      <c r="N2686">
        <v>588</v>
      </c>
      <c r="O2686" s="2">
        <v>46226</v>
      </c>
      <c r="P2686" s="2">
        <v>46261</v>
      </c>
      <c r="R2686" t="s">
        <v>7139</v>
      </c>
      <c r="S2686" t="str">
        <f>"25666160000051567"</f>
        <v>25666160000051567</v>
      </c>
      <c r="T2686" t="s">
        <v>41</v>
      </c>
      <c r="U2686">
        <v>847.89</v>
      </c>
      <c r="V2686">
        <v>847.89</v>
      </c>
      <c r="W2686">
        <v>847.89</v>
      </c>
      <c r="X2686">
        <v>0</v>
      </c>
      <c r="Y2686">
        <v>0</v>
      </c>
      <c r="Z2686">
        <v>-486</v>
      </c>
      <c r="AA2686">
        <v>1667</v>
      </c>
      <c r="AD2686" t="s">
        <v>4884</v>
      </c>
      <c r="AE2686" t="s">
        <v>7140</v>
      </c>
      <c r="AF2686" t="s">
        <v>4884</v>
      </c>
      <c r="AG2686" s="1" t="s">
        <v>7141</v>
      </c>
      <c r="AH2686" t="s">
        <v>423</v>
      </c>
    </row>
    <row r="2687" spans="1:34" x14ac:dyDescent="0.3">
      <c r="A2687">
        <v>101</v>
      </c>
      <c r="B2687" t="s">
        <v>34</v>
      </c>
      <c r="C2687">
        <v>2</v>
      </c>
      <c r="D2687" s="1" t="s">
        <v>7136</v>
      </c>
      <c r="E2687" s="1" t="s">
        <v>116</v>
      </c>
      <c r="G2687">
        <v>10189</v>
      </c>
      <c r="H2687" t="s">
        <v>7137</v>
      </c>
      <c r="I2687" t="s">
        <v>7138</v>
      </c>
      <c r="J2687">
        <v>12</v>
      </c>
      <c r="K2687">
        <v>10189</v>
      </c>
      <c r="L2687">
        <v>50001</v>
      </c>
      <c r="M2687" t="s">
        <v>39</v>
      </c>
      <c r="N2687">
        <v>588</v>
      </c>
      <c r="O2687" s="2">
        <v>46226</v>
      </c>
      <c r="P2687" s="2">
        <v>46268</v>
      </c>
      <c r="R2687" t="s">
        <v>7139</v>
      </c>
      <c r="S2687" t="str">
        <f>"25666160000051568"</f>
        <v>25666160000051568</v>
      </c>
      <c r="T2687" t="s">
        <v>41</v>
      </c>
      <c r="U2687">
        <v>848.13</v>
      </c>
      <c r="V2687">
        <v>848.13</v>
      </c>
      <c r="W2687">
        <v>848.13</v>
      </c>
      <c r="X2687">
        <v>0</v>
      </c>
      <c r="Y2687">
        <v>0</v>
      </c>
      <c r="Z2687">
        <v>-493</v>
      </c>
      <c r="AA2687">
        <v>1667</v>
      </c>
      <c r="AD2687" t="s">
        <v>4884</v>
      </c>
      <c r="AE2687" t="s">
        <v>7140</v>
      </c>
      <c r="AF2687" t="s">
        <v>4884</v>
      </c>
      <c r="AG2687" s="1" t="s">
        <v>7141</v>
      </c>
      <c r="AH2687" t="s">
        <v>423</v>
      </c>
    </row>
    <row r="2688" spans="1:34" x14ac:dyDescent="0.3">
      <c r="A2688">
        <v>101</v>
      </c>
      <c r="B2688" t="s">
        <v>34</v>
      </c>
      <c r="C2688">
        <v>2</v>
      </c>
      <c r="D2688" s="1" t="s">
        <v>7142</v>
      </c>
      <c r="E2688" s="1" t="s">
        <v>36</v>
      </c>
      <c r="G2688">
        <v>11163</v>
      </c>
      <c r="H2688" t="s">
        <v>7143</v>
      </c>
      <c r="I2688" t="s">
        <v>7144</v>
      </c>
      <c r="J2688">
        <v>12</v>
      </c>
      <c r="K2688">
        <v>11163</v>
      </c>
      <c r="L2688">
        <v>50001</v>
      </c>
      <c r="M2688" t="s">
        <v>39</v>
      </c>
      <c r="N2688">
        <v>588</v>
      </c>
      <c r="O2688" s="2">
        <v>46235</v>
      </c>
      <c r="P2688" s="2">
        <v>46265</v>
      </c>
      <c r="R2688" t="s">
        <v>7145</v>
      </c>
      <c r="S2688" t="str">
        <f>"25666160000051721"</f>
        <v>25666160000051721</v>
      </c>
      <c r="T2688" t="s">
        <v>41</v>
      </c>
      <c r="U2688">
        <v>2919.59</v>
      </c>
      <c r="V2688">
        <v>2919.59</v>
      </c>
      <c r="W2688">
        <v>2919.59</v>
      </c>
      <c r="X2688">
        <v>0</v>
      </c>
      <c r="Y2688">
        <v>0</v>
      </c>
      <c r="Z2688">
        <v>-490</v>
      </c>
      <c r="AA2688">
        <v>4092</v>
      </c>
      <c r="AD2688" t="s">
        <v>4869</v>
      </c>
      <c r="AE2688" t="s">
        <v>7146</v>
      </c>
      <c r="AF2688" t="s">
        <v>4869</v>
      </c>
      <c r="AG2688">
        <v>14953277000143</v>
      </c>
      <c r="AH2688" t="s">
        <v>423</v>
      </c>
    </row>
    <row r="2689" spans="1:34" x14ac:dyDescent="0.3">
      <c r="A2689">
        <v>101</v>
      </c>
      <c r="B2689" t="s">
        <v>34</v>
      </c>
      <c r="C2689">
        <v>2</v>
      </c>
      <c r="D2689" s="1" t="s">
        <v>7142</v>
      </c>
      <c r="E2689" s="1" t="s">
        <v>122</v>
      </c>
      <c r="G2689">
        <v>11163</v>
      </c>
      <c r="H2689" t="s">
        <v>7143</v>
      </c>
      <c r="I2689" t="s">
        <v>7144</v>
      </c>
      <c r="J2689">
        <v>12</v>
      </c>
      <c r="K2689">
        <v>11163</v>
      </c>
      <c r="L2689">
        <v>50001</v>
      </c>
      <c r="M2689" t="s">
        <v>39</v>
      </c>
      <c r="N2689">
        <v>588</v>
      </c>
      <c r="O2689" s="2">
        <v>46235</v>
      </c>
      <c r="P2689" s="2">
        <v>46280</v>
      </c>
      <c r="R2689" t="s">
        <v>7145</v>
      </c>
      <c r="S2689" t="str">
        <f>"25666160000051722"</f>
        <v>25666160000051722</v>
      </c>
      <c r="T2689" t="s">
        <v>41</v>
      </c>
      <c r="U2689">
        <v>2752.29</v>
      </c>
      <c r="V2689">
        <v>2752.29</v>
      </c>
      <c r="W2689">
        <v>2752.29</v>
      </c>
      <c r="X2689">
        <v>0</v>
      </c>
      <c r="Y2689">
        <v>0</v>
      </c>
      <c r="Z2689">
        <v>-505</v>
      </c>
      <c r="AA2689">
        <v>4092</v>
      </c>
      <c r="AD2689" t="s">
        <v>4869</v>
      </c>
      <c r="AE2689" t="s">
        <v>7146</v>
      </c>
      <c r="AF2689" t="s">
        <v>4869</v>
      </c>
      <c r="AG2689">
        <v>14953277000143</v>
      </c>
      <c r="AH2689" t="s">
        <v>423</v>
      </c>
    </row>
    <row r="2690" spans="1:34" x14ac:dyDescent="0.3">
      <c r="A2690">
        <v>101</v>
      </c>
      <c r="B2690" t="s">
        <v>34</v>
      </c>
      <c r="C2690">
        <v>2</v>
      </c>
      <c r="D2690" s="1" t="s">
        <v>7142</v>
      </c>
      <c r="E2690" s="1" t="s">
        <v>116</v>
      </c>
      <c r="G2690">
        <v>11163</v>
      </c>
      <c r="H2690" t="s">
        <v>7143</v>
      </c>
      <c r="I2690" t="s">
        <v>7144</v>
      </c>
      <c r="J2690">
        <v>12</v>
      </c>
      <c r="K2690">
        <v>11163</v>
      </c>
      <c r="L2690">
        <v>50001</v>
      </c>
      <c r="M2690" t="s">
        <v>39</v>
      </c>
      <c r="N2690">
        <v>588</v>
      </c>
      <c r="O2690" s="2">
        <v>46235</v>
      </c>
      <c r="P2690" s="2">
        <v>46295</v>
      </c>
      <c r="R2690" t="s">
        <v>7145</v>
      </c>
      <c r="S2690" t="str">
        <f>"25666160000051723"</f>
        <v>25666160000051723</v>
      </c>
      <c r="T2690" t="s">
        <v>41</v>
      </c>
      <c r="U2690">
        <v>2753.11</v>
      </c>
      <c r="V2690">
        <v>2753.11</v>
      </c>
      <c r="W2690">
        <v>2753.11</v>
      </c>
      <c r="X2690">
        <v>0</v>
      </c>
      <c r="Y2690">
        <v>0</v>
      </c>
      <c r="Z2690">
        <v>-520</v>
      </c>
      <c r="AA2690">
        <v>4092</v>
      </c>
      <c r="AD2690" t="s">
        <v>4869</v>
      </c>
      <c r="AE2690" t="s">
        <v>7146</v>
      </c>
      <c r="AF2690" t="s">
        <v>4869</v>
      </c>
      <c r="AG2690">
        <v>14953277000143</v>
      </c>
      <c r="AH2690" t="s">
        <v>423</v>
      </c>
    </row>
    <row r="2691" spans="1:34" x14ac:dyDescent="0.3">
      <c r="A2691">
        <v>101</v>
      </c>
      <c r="B2691" t="s">
        <v>34</v>
      </c>
      <c r="C2691">
        <v>2</v>
      </c>
      <c r="D2691" s="1" t="s">
        <v>7147</v>
      </c>
      <c r="E2691" s="1" t="s">
        <v>122</v>
      </c>
      <c r="G2691">
        <v>11482</v>
      </c>
      <c r="H2691" t="s">
        <v>7148</v>
      </c>
      <c r="I2691" t="s">
        <v>7149</v>
      </c>
      <c r="J2691">
        <v>12</v>
      </c>
      <c r="K2691">
        <v>11482</v>
      </c>
      <c r="L2691">
        <v>50033</v>
      </c>
      <c r="M2691" t="s">
        <v>39</v>
      </c>
      <c r="N2691">
        <v>588</v>
      </c>
      <c r="O2691" s="2">
        <v>46235</v>
      </c>
      <c r="P2691" s="2">
        <v>46277</v>
      </c>
      <c r="R2691" t="s">
        <v>7150</v>
      </c>
      <c r="S2691" t="str">
        <f>"0000050412027"</f>
        <v>0000050412027</v>
      </c>
      <c r="T2691" t="s">
        <v>41</v>
      </c>
      <c r="U2691">
        <v>8546.99</v>
      </c>
      <c r="V2691">
        <v>8546.99</v>
      </c>
      <c r="W2691">
        <v>8546.99</v>
      </c>
      <c r="X2691">
        <v>0</v>
      </c>
      <c r="Y2691">
        <v>0</v>
      </c>
      <c r="Z2691">
        <v>-502</v>
      </c>
      <c r="AA2691">
        <v>1871</v>
      </c>
      <c r="AD2691" t="s">
        <v>4869</v>
      </c>
      <c r="AE2691" t="s">
        <v>7151</v>
      </c>
      <c r="AF2691" t="s">
        <v>4869</v>
      </c>
      <c r="AG2691">
        <v>73582942000107</v>
      </c>
      <c r="AH2691" t="s">
        <v>423</v>
      </c>
    </row>
    <row r="2692" spans="1:34" x14ac:dyDescent="0.3">
      <c r="A2692">
        <v>101</v>
      </c>
      <c r="B2692" t="s">
        <v>34</v>
      </c>
      <c r="C2692">
        <v>2</v>
      </c>
      <c r="D2692" s="1" t="s">
        <v>7147</v>
      </c>
      <c r="E2692" s="1" t="s">
        <v>36</v>
      </c>
      <c r="G2692">
        <v>11482</v>
      </c>
      <c r="H2692" t="s">
        <v>7148</v>
      </c>
      <c r="I2692" t="s">
        <v>7149</v>
      </c>
      <c r="J2692">
        <v>12</v>
      </c>
      <c r="K2692">
        <v>11482</v>
      </c>
      <c r="L2692">
        <v>50033</v>
      </c>
      <c r="M2692" t="s">
        <v>39</v>
      </c>
      <c r="N2692">
        <v>588</v>
      </c>
      <c r="O2692" s="2">
        <v>46235</v>
      </c>
      <c r="P2692" s="2">
        <v>46263</v>
      </c>
      <c r="R2692" t="s">
        <v>7150</v>
      </c>
      <c r="S2692" t="str">
        <f>"0000050412019"</f>
        <v>0000050412019</v>
      </c>
      <c r="T2692" t="s">
        <v>41</v>
      </c>
      <c r="U2692">
        <v>9137.93</v>
      </c>
      <c r="V2692">
        <v>9137.93</v>
      </c>
      <c r="W2692">
        <v>9137.93</v>
      </c>
      <c r="X2692">
        <v>0</v>
      </c>
      <c r="Y2692">
        <v>0</v>
      </c>
      <c r="Z2692">
        <v>-488</v>
      </c>
      <c r="AA2692">
        <v>1871</v>
      </c>
      <c r="AD2692" t="s">
        <v>4869</v>
      </c>
      <c r="AE2692" t="s">
        <v>7151</v>
      </c>
      <c r="AF2692" t="s">
        <v>4869</v>
      </c>
      <c r="AG2692">
        <v>73582942000107</v>
      </c>
      <c r="AH2692" t="s">
        <v>423</v>
      </c>
    </row>
    <row r="2693" spans="1:34" x14ac:dyDescent="0.3">
      <c r="A2693">
        <v>101</v>
      </c>
      <c r="B2693" t="s">
        <v>34</v>
      </c>
      <c r="C2693">
        <v>2</v>
      </c>
      <c r="D2693" s="1" t="s">
        <v>7152</v>
      </c>
      <c r="E2693" s="1" t="s">
        <v>36</v>
      </c>
      <c r="G2693">
        <v>434052</v>
      </c>
      <c r="H2693" t="s">
        <v>7153</v>
      </c>
      <c r="I2693" t="s">
        <v>7154</v>
      </c>
      <c r="J2693">
        <v>12</v>
      </c>
      <c r="K2693">
        <v>434052</v>
      </c>
      <c r="L2693">
        <v>50341</v>
      </c>
      <c r="M2693" t="s">
        <v>146</v>
      </c>
      <c r="N2693">
        <v>588</v>
      </c>
      <c r="O2693" s="2">
        <v>46251</v>
      </c>
      <c r="P2693" s="2">
        <v>46279</v>
      </c>
      <c r="R2693" t="s">
        <v>7155</v>
      </c>
      <c r="S2693" t="str">
        <f>"00013681"</f>
        <v>00013681</v>
      </c>
      <c r="T2693" t="s">
        <v>41</v>
      </c>
      <c r="U2693">
        <v>5501.63</v>
      </c>
      <c r="V2693">
        <v>5501.63</v>
      </c>
      <c r="W2693">
        <v>5501.63</v>
      </c>
      <c r="X2693">
        <v>0</v>
      </c>
      <c r="Y2693">
        <v>0</v>
      </c>
      <c r="Z2693">
        <v>-504</v>
      </c>
      <c r="AA2693">
        <v>4454</v>
      </c>
      <c r="AD2693" t="s">
        <v>7156</v>
      </c>
      <c r="AE2693">
        <v>6635471263</v>
      </c>
      <c r="AF2693" t="s">
        <v>7156</v>
      </c>
      <c r="AG2693" s="1" t="s">
        <v>7157</v>
      </c>
      <c r="AH2693" t="s">
        <v>423</v>
      </c>
    </row>
    <row r="2694" spans="1:34" x14ac:dyDescent="0.3">
      <c r="A2694">
        <v>101</v>
      </c>
      <c r="B2694" t="s">
        <v>34</v>
      </c>
      <c r="C2694">
        <v>2</v>
      </c>
      <c r="D2694" s="1" t="s">
        <v>7152</v>
      </c>
      <c r="E2694" s="1" t="s">
        <v>122</v>
      </c>
      <c r="G2694">
        <v>434052</v>
      </c>
      <c r="H2694" t="s">
        <v>7153</v>
      </c>
      <c r="I2694" t="s">
        <v>7154</v>
      </c>
      <c r="J2694">
        <v>12</v>
      </c>
      <c r="K2694">
        <v>434052</v>
      </c>
      <c r="L2694">
        <v>50341</v>
      </c>
      <c r="M2694" t="s">
        <v>146</v>
      </c>
      <c r="N2694">
        <v>588</v>
      </c>
      <c r="O2694" s="2">
        <v>46251</v>
      </c>
      <c r="P2694" s="2">
        <v>46286</v>
      </c>
      <c r="R2694" t="s">
        <v>7155</v>
      </c>
      <c r="S2694" t="str">
        <f>"00013682"</f>
        <v>00013682</v>
      </c>
      <c r="T2694" t="s">
        <v>41</v>
      </c>
      <c r="U2694">
        <v>4681.04</v>
      </c>
      <c r="V2694">
        <v>4681.04</v>
      </c>
      <c r="W2694">
        <v>4681.04</v>
      </c>
      <c r="X2694">
        <v>0</v>
      </c>
      <c r="Y2694">
        <v>0</v>
      </c>
      <c r="Z2694">
        <v>-511</v>
      </c>
      <c r="AA2694">
        <v>4454</v>
      </c>
      <c r="AD2694" t="s">
        <v>7156</v>
      </c>
      <c r="AE2694">
        <v>6635471263</v>
      </c>
      <c r="AF2694" t="s">
        <v>7156</v>
      </c>
      <c r="AG2694" s="1" t="s">
        <v>7157</v>
      </c>
      <c r="AH2694" t="s">
        <v>423</v>
      </c>
    </row>
    <row r="2695" spans="1:34" x14ac:dyDescent="0.3">
      <c r="A2695">
        <v>101</v>
      </c>
      <c r="B2695" t="s">
        <v>34</v>
      </c>
      <c r="C2695">
        <v>2</v>
      </c>
      <c r="D2695" s="1" t="s">
        <v>7152</v>
      </c>
      <c r="E2695" s="1" t="s">
        <v>116</v>
      </c>
      <c r="G2695">
        <v>434052</v>
      </c>
      <c r="H2695" t="s">
        <v>7153</v>
      </c>
      <c r="I2695" t="s">
        <v>7154</v>
      </c>
      <c r="J2695">
        <v>12</v>
      </c>
      <c r="K2695">
        <v>434052</v>
      </c>
      <c r="L2695">
        <v>50341</v>
      </c>
      <c r="M2695" t="s">
        <v>146</v>
      </c>
      <c r="N2695">
        <v>588</v>
      </c>
      <c r="O2695" s="2">
        <v>46251</v>
      </c>
      <c r="P2695" s="2">
        <v>46293</v>
      </c>
      <c r="R2695" t="s">
        <v>7155</v>
      </c>
      <c r="S2695" t="str">
        <f>"00013683"</f>
        <v>00013683</v>
      </c>
      <c r="T2695" t="s">
        <v>41</v>
      </c>
      <c r="U2695">
        <v>4682.45</v>
      </c>
      <c r="V2695">
        <v>4682.45</v>
      </c>
      <c r="W2695">
        <v>4682.45</v>
      </c>
      <c r="X2695">
        <v>0</v>
      </c>
      <c r="Y2695">
        <v>0</v>
      </c>
      <c r="Z2695">
        <v>-518</v>
      </c>
      <c r="AA2695">
        <v>4454</v>
      </c>
      <c r="AD2695" t="s">
        <v>7156</v>
      </c>
      <c r="AE2695">
        <v>6635471263</v>
      </c>
      <c r="AF2695" t="s">
        <v>7156</v>
      </c>
      <c r="AG2695" s="1" t="s">
        <v>7157</v>
      </c>
      <c r="AH2695" t="s">
        <v>423</v>
      </c>
    </row>
    <row r="2696" spans="1:34" x14ac:dyDescent="0.3">
      <c r="A2696">
        <v>101</v>
      </c>
      <c r="B2696" t="s">
        <v>34</v>
      </c>
      <c r="C2696">
        <v>2</v>
      </c>
      <c r="D2696" s="1" t="s">
        <v>7158</v>
      </c>
      <c r="E2696" s="1" t="s">
        <v>116</v>
      </c>
      <c r="G2696">
        <v>434087</v>
      </c>
      <c r="H2696" t="s">
        <v>7159</v>
      </c>
      <c r="I2696" t="s">
        <v>7160</v>
      </c>
      <c r="J2696">
        <v>12</v>
      </c>
      <c r="K2696">
        <v>434087</v>
      </c>
      <c r="L2696">
        <v>50001</v>
      </c>
      <c r="M2696" t="s">
        <v>39</v>
      </c>
      <c r="N2696">
        <v>588</v>
      </c>
      <c r="O2696" s="2">
        <v>46210</v>
      </c>
      <c r="P2696" s="2">
        <v>46265</v>
      </c>
      <c r="R2696" t="s">
        <v>7161</v>
      </c>
      <c r="S2696" t="str">
        <f>"25666160000051476"</f>
        <v>25666160000051476</v>
      </c>
      <c r="T2696" t="s">
        <v>41</v>
      </c>
      <c r="U2696">
        <v>2093.5500000000002</v>
      </c>
      <c r="V2696">
        <v>2093.5500000000002</v>
      </c>
      <c r="W2696">
        <v>2093.5500000000002</v>
      </c>
      <c r="X2696">
        <v>0</v>
      </c>
      <c r="Y2696">
        <v>0</v>
      </c>
      <c r="Z2696">
        <v>-490</v>
      </c>
      <c r="AA2696">
        <v>999</v>
      </c>
      <c r="AD2696" t="s">
        <v>7162</v>
      </c>
      <c r="AE2696" t="s">
        <v>7163</v>
      </c>
      <c r="AF2696" t="s">
        <v>7162</v>
      </c>
      <c r="AG2696" s="1" t="s">
        <v>7164</v>
      </c>
      <c r="AH2696" t="s">
        <v>423</v>
      </c>
    </row>
    <row r="2697" spans="1:34" x14ac:dyDescent="0.3">
      <c r="A2697">
        <v>101</v>
      </c>
      <c r="B2697" t="s">
        <v>34</v>
      </c>
      <c r="C2697">
        <v>2</v>
      </c>
      <c r="D2697" s="1" t="s">
        <v>7165</v>
      </c>
      <c r="E2697" s="1" t="s">
        <v>122</v>
      </c>
      <c r="G2697">
        <v>434432</v>
      </c>
      <c r="H2697" t="s">
        <v>7166</v>
      </c>
      <c r="I2697" t="s">
        <v>7167</v>
      </c>
      <c r="J2697">
        <v>12</v>
      </c>
      <c r="K2697">
        <v>999001595</v>
      </c>
      <c r="L2697">
        <v>50237</v>
      </c>
      <c r="M2697" t="s">
        <v>39</v>
      </c>
      <c r="N2697">
        <v>588</v>
      </c>
      <c r="O2697" s="2">
        <v>46203</v>
      </c>
      <c r="P2697" s="2">
        <v>46264</v>
      </c>
      <c r="R2697" t="s">
        <v>7168</v>
      </c>
      <c r="S2697" t="str">
        <f>"330000050973"</f>
        <v>330000050973</v>
      </c>
      <c r="T2697" t="s">
        <v>41</v>
      </c>
      <c r="U2697">
        <v>4396.47</v>
      </c>
      <c r="V2697">
        <v>4396.47</v>
      </c>
      <c r="W2697">
        <v>4396.47</v>
      </c>
      <c r="X2697">
        <v>0</v>
      </c>
      <c r="Y2697">
        <v>0</v>
      </c>
      <c r="Z2697">
        <v>-489</v>
      </c>
      <c r="AA2697">
        <v>971</v>
      </c>
      <c r="AD2697" t="s">
        <v>7169</v>
      </c>
      <c r="AE2697">
        <v>6635563262</v>
      </c>
      <c r="AF2697" t="s">
        <v>7169</v>
      </c>
      <c r="AG2697">
        <v>11210067000258</v>
      </c>
      <c r="AH2697" t="s">
        <v>423</v>
      </c>
    </row>
    <row r="2698" spans="1:34" x14ac:dyDescent="0.3">
      <c r="A2698">
        <v>101</v>
      </c>
      <c r="B2698" t="s">
        <v>34</v>
      </c>
      <c r="C2698">
        <v>2</v>
      </c>
      <c r="D2698" s="1" t="s">
        <v>7170</v>
      </c>
      <c r="E2698" s="1" t="s">
        <v>36</v>
      </c>
      <c r="G2698">
        <v>434895</v>
      </c>
      <c r="H2698" t="s">
        <v>7171</v>
      </c>
      <c r="I2698" t="s">
        <v>7172</v>
      </c>
      <c r="J2698">
        <v>12</v>
      </c>
      <c r="K2698">
        <v>434895</v>
      </c>
      <c r="L2698">
        <v>50001</v>
      </c>
      <c r="M2698" t="s">
        <v>39</v>
      </c>
      <c r="N2698">
        <v>588</v>
      </c>
      <c r="O2698" s="2">
        <v>46225</v>
      </c>
      <c r="P2698" s="2">
        <v>46260</v>
      </c>
      <c r="R2698" t="s">
        <v>7173</v>
      </c>
      <c r="S2698" t="str">
        <f>"25666160000051523"</f>
        <v>25666160000051523</v>
      </c>
      <c r="T2698" t="s">
        <v>41</v>
      </c>
      <c r="U2698">
        <v>36968.5</v>
      </c>
      <c r="V2698">
        <v>35668.5</v>
      </c>
      <c r="W2698">
        <v>35668.5</v>
      </c>
      <c r="X2698">
        <v>0</v>
      </c>
      <c r="Y2698">
        <v>0</v>
      </c>
      <c r="Z2698">
        <v>-485</v>
      </c>
      <c r="AA2698">
        <v>1324</v>
      </c>
      <c r="AD2698" t="s">
        <v>7174</v>
      </c>
      <c r="AE2698" t="s">
        <v>7175</v>
      </c>
      <c r="AF2698" t="s">
        <v>7174</v>
      </c>
      <c r="AG2698">
        <v>21120391000158</v>
      </c>
      <c r="AH2698" t="s">
        <v>423</v>
      </c>
    </row>
    <row r="2699" spans="1:34" x14ac:dyDescent="0.3">
      <c r="A2699">
        <v>101</v>
      </c>
      <c r="B2699" t="s">
        <v>34</v>
      </c>
      <c r="C2699">
        <v>2</v>
      </c>
      <c r="D2699" s="1" t="s">
        <v>7176</v>
      </c>
      <c r="E2699" s="1" t="s">
        <v>116</v>
      </c>
      <c r="G2699">
        <v>435121</v>
      </c>
      <c r="H2699" t="s">
        <v>7177</v>
      </c>
      <c r="I2699" t="s">
        <v>7178</v>
      </c>
      <c r="J2699">
        <v>12</v>
      </c>
      <c r="K2699">
        <v>435121</v>
      </c>
      <c r="L2699">
        <v>50033</v>
      </c>
      <c r="M2699" t="s">
        <v>39</v>
      </c>
      <c r="N2699">
        <v>588</v>
      </c>
      <c r="O2699" s="2">
        <v>46226</v>
      </c>
      <c r="P2699" s="2">
        <v>46286</v>
      </c>
      <c r="R2699" t="s">
        <v>7179</v>
      </c>
      <c r="S2699" t="str">
        <f>"0000050410636"</f>
        <v>0000050410636</v>
      </c>
      <c r="T2699" t="s">
        <v>41</v>
      </c>
      <c r="U2699">
        <v>2559.46</v>
      </c>
      <c r="V2699">
        <v>2559.46</v>
      </c>
      <c r="W2699">
        <v>2559.46</v>
      </c>
      <c r="X2699">
        <v>0</v>
      </c>
      <c r="Y2699">
        <v>0</v>
      </c>
      <c r="Z2699">
        <v>-511</v>
      </c>
      <c r="AA2699">
        <v>1377</v>
      </c>
      <c r="AD2699" t="s">
        <v>7180</v>
      </c>
      <c r="AE2699" t="s">
        <v>7181</v>
      </c>
      <c r="AF2699" t="s">
        <v>7180</v>
      </c>
      <c r="AG2699">
        <v>12245391000193</v>
      </c>
      <c r="AH2699" t="s">
        <v>423</v>
      </c>
    </row>
    <row r="2700" spans="1:34" x14ac:dyDescent="0.3">
      <c r="A2700">
        <v>101</v>
      </c>
      <c r="B2700" t="s">
        <v>34</v>
      </c>
      <c r="C2700">
        <v>2</v>
      </c>
      <c r="D2700" s="1" t="s">
        <v>7176</v>
      </c>
      <c r="E2700" s="1" t="s">
        <v>122</v>
      </c>
      <c r="G2700">
        <v>435121</v>
      </c>
      <c r="H2700" t="s">
        <v>7177</v>
      </c>
      <c r="I2700" t="s">
        <v>7178</v>
      </c>
      <c r="J2700">
        <v>12</v>
      </c>
      <c r="K2700">
        <v>435121</v>
      </c>
      <c r="L2700">
        <v>50033</v>
      </c>
      <c r="M2700" t="s">
        <v>39</v>
      </c>
      <c r="N2700">
        <v>588</v>
      </c>
      <c r="O2700" s="2">
        <v>46226</v>
      </c>
      <c r="P2700" s="2">
        <v>46276</v>
      </c>
      <c r="R2700" t="s">
        <v>7179</v>
      </c>
      <c r="S2700" t="str">
        <f>"0000050410628"</f>
        <v>0000050410628</v>
      </c>
      <c r="T2700" t="s">
        <v>41</v>
      </c>
      <c r="U2700">
        <v>2558.6999999999998</v>
      </c>
      <c r="V2700">
        <v>2558.6999999999998</v>
      </c>
      <c r="W2700">
        <v>2558.6999999999998</v>
      </c>
      <c r="X2700">
        <v>0</v>
      </c>
      <c r="Y2700">
        <v>0</v>
      </c>
      <c r="Z2700">
        <v>-501</v>
      </c>
      <c r="AA2700">
        <v>1377</v>
      </c>
      <c r="AD2700" t="s">
        <v>7180</v>
      </c>
      <c r="AE2700" t="s">
        <v>7181</v>
      </c>
      <c r="AF2700" t="s">
        <v>7180</v>
      </c>
      <c r="AG2700">
        <v>12245391000193</v>
      </c>
      <c r="AH2700" t="s">
        <v>423</v>
      </c>
    </row>
    <row r="2701" spans="1:34" x14ac:dyDescent="0.3">
      <c r="A2701">
        <v>101</v>
      </c>
      <c r="B2701" t="s">
        <v>34</v>
      </c>
      <c r="C2701">
        <v>2</v>
      </c>
      <c r="D2701" s="1" t="s">
        <v>7176</v>
      </c>
      <c r="E2701" s="1" t="s">
        <v>36</v>
      </c>
      <c r="G2701">
        <v>435121</v>
      </c>
      <c r="H2701" t="s">
        <v>7177</v>
      </c>
      <c r="I2701" t="s">
        <v>7178</v>
      </c>
      <c r="J2701">
        <v>12</v>
      </c>
      <c r="K2701">
        <v>435121</v>
      </c>
      <c r="L2701">
        <v>50033</v>
      </c>
      <c r="M2701" t="s">
        <v>39</v>
      </c>
      <c r="N2701">
        <v>588</v>
      </c>
      <c r="O2701" s="2">
        <v>46226</v>
      </c>
      <c r="P2701" s="2">
        <v>46266</v>
      </c>
      <c r="R2701" t="s">
        <v>7179</v>
      </c>
      <c r="S2701" t="str">
        <f>"0000050410610"</f>
        <v>0000050410610</v>
      </c>
      <c r="T2701" t="s">
        <v>41</v>
      </c>
      <c r="U2701">
        <v>2558.6999999999998</v>
      </c>
      <c r="V2701">
        <v>2558.6999999999998</v>
      </c>
      <c r="W2701">
        <v>2558.6999999999998</v>
      </c>
      <c r="X2701">
        <v>0</v>
      </c>
      <c r="Y2701">
        <v>0</v>
      </c>
      <c r="Z2701">
        <v>-491</v>
      </c>
      <c r="AA2701">
        <v>1377</v>
      </c>
      <c r="AD2701" t="s">
        <v>7180</v>
      </c>
      <c r="AE2701" t="s">
        <v>7181</v>
      </c>
      <c r="AF2701" t="s">
        <v>7180</v>
      </c>
      <c r="AG2701">
        <v>12245391000193</v>
      </c>
      <c r="AH2701" t="s">
        <v>423</v>
      </c>
    </row>
    <row r="2702" spans="1:34" x14ac:dyDescent="0.3">
      <c r="A2702">
        <v>101</v>
      </c>
      <c r="B2702" t="s">
        <v>34</v>
      </c>
      <c r="C2702">
        <v>2</v>
      </c>
      <c r="D2702" s="1" t="s">
        <v>7182</v>
      </c>
      <c r="E2702" s="1" t="s">
        <v>36</v>
      </c>
      <c r="G2702">
        <v>435888</v>
      </c>
      <c r="H2702" t="s">
        <v>7183</v>
      </c>
      <c r="I2702" t="s">
        <v>7172</v>
      </c>
      <c r="J2702">
        <v>12</v>
      </c>
      <c r="K2702">
        <v>434895</v>
      </c>
      <c r="L2702">
        <v>50033</v>
      </c>
      <c r="M2702" t="s">
        <v>39</v>
      </c>
      <c r="N2702">
        <v>588</v>
      </c>
      <c r="O2702" s="2">
        <v>46225</v>
      </c>
      <c r="P2702" s="2">
        <v>46260</v>
      </c>
      <c r="R2702" t="s">
        <v>7184</v>
      </c>
      <c r="S2702" t="str">
        <f>"0000050410512"</f>
        <v>0000050410512</v>
      </c>
      <c r="T2702" t="s">
        <v>41</v>
      </c>
      <c r="U2702">
        <v>14262.41</v>
      </c>
      <c r="V2702">
        <v>14262.41</v>
      </c>
      <c r="W2702">
        <v>14262.41</v>
      </c>
      <c r="X2702">
        <v>0</v>
      </c>
      <c r="Y2702">
        <v>0</v>
      </c>
      <c r="Z2702">
        <v>-485</v>
      </c>
      <c r="AA2702">
        <v>1327</v>
      </c>
      <c r="AD2702" t="s">
        <v>7185</v>
      </c>
      <c r="AE2702" t="s">
        <v>7186</v>
      </c>
      <c r="AF2702" t="s">
        <v>7185</v>
      </c>
      <c r="AG2702">
        <v>21120391000239</v>
      </c>
      <c r="AH2702" t="s">
        <v>423</v>
      </c>
    </row>
    <row r="2703" spans="1:34" x14ac:dyDescent="0.3">
      <c r="A2703">
        <v>101</v>
      </c>
      <c r="B2703" t="s">
        <v>34</v>
      </c>
      <c r="C2703">
        <v>2</v>
      </c>
      <c r="D2703" s="1" t="s">
        <v>7187</v>
      </c>
      <c r="E2703" s="1" t="s">
        <v>36</v>
      </c>
      <c r="G2703">
        <v>436577</v>
      </c>
      <c r="H2703" t="s">
        <v>7188</v>
      </c>
      <c r="I2703" t="s">
        <v>7189</v>
      </c>
      <c r="J2703">
        <v>12</v>
      </c>
      <c r="K2703">
        <v>9029</v>
      </c>
      <c r="L2703">
        <v>50033</v>
      </c>
      <c r="M2703" t="s">
        <v>39</v>
      </c>
      <c r="N2703">
        <v>588</v>
      </c>
      <c r="O2703" s="2">
        <v>46235</v>
      </c>
      <c r="P2703" s="2">
        <v>46263</v>
      </c>
      <c r="R2703" t="s">
        <v>7190</v>
      </c>
      <c r="S2703" t="str">
        <f>"0000050412043"</f>
        <v>0000050412043</v>
      </c>
      <c r="T2703" t="s">
        <v>41</v>
      </c>
      <c r="U2703">
        <v>19108.62</v>
      </c>
      <c r="V2703">
        <v>15608.62</v>
      </c>
      <c r="W2703">
        <v>15608.62</v>
      </c>
      <c r="X2703">
        <v>0</v>
      </c>
      <c r="Y2703">
        <v>0</v>
      </c>
      <c r="Z2703">
        <v>-488</v>
      </c>
      <c r="AA2703">
        <v>4004</v>
      </c>
      <c r="AD2703" t="s">
        <v>7191</v>
      </c>
      <c r="AE2703">
        <v>6635416400</v>
      </c>
      <c r="AF2703" t="s">
        <v>7191</v>
      </c>
      <c r="AG2703" s="1" t="s">
        <v>7192</v>
      </c>
      <c r="AH2703" t="s">
        <v>423</v>
      </c>
    </row>
    <row r="2704" spans="1:34" x14ac:dyDescent="0.3">
      <c r="A2704">
        <v>104</v>
      </c>
      <c r="B2704" t="s">
        <v>34</v>
      </c>
      <c r="C2704">
        <v>4</v>
      </c>
      <c r="D2704" s="1" t="s">
        <v>7193</v>
      </c>
      <c r="E2704" s="1" t="s">
        <v>122</v>
      </c>
      <c r="G2704">
        <v>451485</v>
      </c>
      <c r="H2704" t="s">
        <v>7194</v>
      </c>
      <c r="I2704" t="s">
        <v>7195</v>
      </c>
      <c r="J2704">
        <v>30</v>
      </c>
      <c r="K2704">
        <v>7961</v>
      </c>
      <c r="L2704">
        <v>50033</v>
      </c>
      <c r="M2704" t="s">
        <v>39</v>
      </c>
      <c r="N2704">
        <v>588</v>
      </c>
      <c r="O2704" s="2">
        <v>46195</v>
      </c>
      <c r="P2704" s="2">
        <v>46286</v>
      </c>
      <c r="R2704" t="s">
        <v>7196</v>
      </c>
      <c r="S2704" t="str">
        <f>"0000050406841"</f>
        <v>0000050406841</v>
      </c>
      <c r="T2704" t="s">
        <v>41</v>
      </c>
      <c r="U2704">
        <v>59745.3</v>
      </c>
      <c r="V2704">
        <v>57355.49</v>
      </c>
      <c r="W2704">
        <v>57355.49</v>
      </c>
      <c r="X2704">
        <v>0</v>
      </c>
      <c r="Y2704">
        <v>0</v>
      </c>
      <c r="Z2704">
        <v>-511</v>
      </c>
      <c r="AA2704" t="s">
        <v>7197</v>
      </c>
      <c r="AD2704" t="s">
        <v>4869</v>
      </c>
      <c r="AE2704" t="s">
        <v>7198</v>
      </c>
      <c r="AF2704" t="s">
        <v>4869</v>
      </c>
      <c r="AG2704" s="1" t="s">
        <v>7199</v>
      </c>
      <c r="AH2704" t="s">
        <v>423</v>
      </c>
    </row>
    <row r="2705" spans="1:34" x14ac:dyDescent="0.3">
      <c r="A2705">
        <v>104</v>
      </c>
      <c r="B2705" t="s">
        <v>34</v>
      </c>
      <c r="C2705">
        <v>4</v>
      </c>
      <c r="D2705" s="1" t="s">
        <v>7193</v>
      </c>
      <c r="E2705" s="1" t="s">
        <v>116</v>
      </c>
      <c r="G2705">
        <v>451485</v>
      </c>
      <c r="H2705" t="s">
        <v>7194</v>
      </c>
      <c r="I2705" t="s">
        <v>7195</v>
      </c>
      <c r="J2705">
        <v>30</v>
      </c>
      <c r="K2705">
        <v>7961</v>
      </c>
      <c r="L2705">
        <v>50033</v>
      </c>
      <c r="M2705" t="s">
        <v>39</v>
      </c>
      <c r="N2705">
        <v>588</v>
      </c>
      <c r="O2705" s="2">
        <v>46195</v>
      </c>
      <c r="P2705" s="2">
        <v>46315</v>
      </c>
      <c r="R2705" t="s">
        <v>7196</v>
      </c>
      <c r="S2705" t="str">
        <f>"0000050406850"</f>
        <v>0000050406850</v>
      </c>
      <c r="T2705" t="s">
        <v>41</v>
      </c>
      <c r="U2705">
        <v>59763.22</v>
      </c>
      <c r="V2705">
        <v>57372.69</v>
      </c>
      <c r="W2705">
        <v>57372.69</v>
      </c>
      <c r="X2705">
        <v>0</v>
      </c>
      <c r="Y2705">
        <v>0</v>
      </c>
      <c r="Z2705">
        <v>-540</v>
      </c>
      <c r="AA2705" t="s">
        <v>7197</v>
      </c>
      <c r="AD2705" t="s">
        <v>4869</v>
      </c>
      <c r="AE2705" t="s">
        <v>7198</v>
      </c>
      <c r="AF2705" t="s">
        <v>4869</v>
      </c>
      <c r="AG2705" s="1" t="s">
        <v>7199</v>
      </c>
      <c r="AH2705" t="s">
        <v>423</v>
      </c>
    </row>
    <row r="2706" spans="1:34" x14ac:dyDescent="0.3">
      <c r="A2706">
        <v>104</v>
      </c>
      <c r="B2706" t="s">
        <v>34</v>
      </c>
      <c r="C2706">
        <v>4</v>
      </c>
      <c r="D2706" s="1" t="s">
        <v>7200</v>
      </c>
      <c r="E2706" s="1" t="s">
        <v>122</v>
      </c>
      <c r="G2706">
        <v>451485</v>
      </c>
      <c r="H2706" t="s">
        <v>7194</v>
      </c>
      <c r="I2706" t="s">
        <v>7195</v>
      </c>
      <c r="J2706">
        <v>30</v>
      </c>
      <c r="K2706">
        <v>7961</v>
      </c>
      <c r="L2706">
        <v>50033</v>
      </c>
      <c r="M2706" t="s">
        <v>39</v>
      </c>
      <c r="N2706">
        <v>588</v>
      </c>
      <c r="O2706" s="2">
        <v>46195</v>
      </c>
      <c r="P2706" s="2">
        <v>46286</v>
      </c>
      <c r="R2706" t="s">
        <v>7201</v>
      </c>
      <c r="S2706" t="str">
        <f>"0000050406876"</f>
        <v>0000050406876</v>
      </c>
      <c r="T2706" t="s">
        <v>41</v>
      </c>
      <c r="U2706">
        <v>12512.53</v>
      </c>
      <c r="V2706">
        <v>12012.03</v>
      </c>
      <c r="W2706">
        <v>12012.03</v>
      </c>
      <c r="X2706">
        <v>0</v>
      </c>
      <c r="Y2706">
        <v>0</v>
      </c>
      <c r="Z2706">
        <v>-511</v>
      </c>
      <c r="AA2706">
        <v>795</v>
      </c>
      <c r="AD2706" t="s">
        <v>4869</v>
      </c>
      <c r="AE2706" t="s">
        <v>7198</v>
      </c>
      <c r="AF2706" t="s">
        <v>4869</v>
      </c>
      <c r="AG2706" s="1" t="s">
        <v>7199</v>
      </c>
      <c r="AH2706" t="s">
        <v>423</v>
      </c>
    </row>
    <row r="2707" spans="1:34" x14ac:dyDescent="0.3">
      <c r="A2707">
        <v>104</v>
      </c>
      <c r="B2707" t="s">
        <v>34</v>
      </c>
      <c r="C2707">
        <v>4</v>
      </c>
      <c r="D2707" s="1" t="s">
        <v>7202</v>
      </c>
      <c r="E2707" s="1" t="s">
        <v>36</v>
      </c>
      <c r="G2707">
        <v>451485</v>
      </c>
      <c r="H2707" t="s">
        <v>7194</v>
      </c>
      <c r="I2707" t="s">
        <v>7195</v>
      </c>
      <c r="J2707">
        <v>30</v>
      </c>
      <c r="K2707">
        <v>7961</v>
      </c>
      <c r="L2707">
        <v>50033</v>
      </c>
      <c r="M2707" t="s">
        <v>39</v>
      </c>
      <c r="N2707">
        <v>588</v>
      </c>
      <c r="O2707" s="2">
        <v>46225</v>
      </c>
      <c r="P2707" s="2">
        <v>46286</v>
      </c>
      <c r="R2707" t="s">
        <v>7203</v>
      </c>
      <c r="S2707" t="str">
        <f>"0000050411020"</f>
        <v>0000050411020</v>
      </c>
      <c r="T2707" t="s">
        <v>41</v>
      </c>
      <c r="U2707">
        <v>13703.24</v>
      </c>
      <c r="V2707">
        <v>13155.11</v>
      </c>
      <c r="W2707">
        <v>13155.11</v>
      </c>
      <c r="X2707">
        <v>0</v>
      </c>
      <c r="Y2707">
        <v>0</v>
      </c>
      <c r="Z2707">
        <v>-511</v>
      </c>
      <c r="AA2707">
        <v>1448</v>
      </c>
      <c r="AD2707" t="s">
        <v>4869</v>
      </c>
      <c r="AE2707" t="s">
        <v>7198</v>
      </c>
      <c r="AF2707" t="s">
        <v>4869</v>
      </c>
      <c r="AG2707" s="1" t="s">
        <v>7199</v>
      </c>
      <c r="AH2707" t="s">
        <v>423</v>
      </c>
    </row>
    <row r="2708" spans="1:34" x14ac:dyDescent="0.3">
      <c r="A2708">
        <v>104</v>
      </c>
      <c r="B2708" t="s">
        <v>34</v>
      </c>
      <c r="C2708">
        <v>4</v>
      </c>
      <c r="D2708" s="1" t="s">
        <v>7200</v>
      </c>
      <c r="E2708" s="1" t="s">
        <v>116</v>
      </c>
      <c r="G2708">
        <v>451485</v>
      </c>
      <c r="H2708" t="s">
        <v>7194</v>
      </c>
      <c r="I2708" t="s">
        <v>7195</v>
      </c>
      <c r="J2708">
        <v>30</v>
      </c>
      <c r="K2708">
        <v>7961</v>
      </c>
      <c r="L2708">
        <v>50033</v>
      </c>
      <c r="M2708" t="s">
        <v>39</v>
      </c>
      <c r="N2708">
        <v>588</v>
      </c>
      <c r="O2708" s="2">
        <v>46195</v>
      </c>
      <c r="P2708" s="2">
        <v>46315</v>
      </c>
      <c r="R2708" t="s">
        <v>7201</v>
      </c>
      <c r="S2708" t="str">
        <f>"0000050406884"</f>
        <v>0000050406884</v>
      </c>
      <c r="T2708" t="s">
        <v>41</v>
      </c>
      <c r="U2708">
        <v>12516.28</v>
      </c>
      <c r="V2708">
        <v>12015.63</v>
      </c>
      <c r="W2708">
        <v>12015.63</v>
      </c>
      <c r="X2708">
        <v>0</v>
      </c>
      <c r="Y2708">
        <v>0</v>
      </c>
      <c r="Z2708">
        <v>-540</v>
      </c>
      <c r="AA2708">
        <v>795</v>
      </c>
      <c r="AD2708" t="s">
        <v>4869</v>
      </c>
      <c r="AE2708" t="s">
        <v>7198</v>
      </c>
      <c r="AF2708" t="s">
        <v>4869</v>
      </c>
      <c r="AG2708" s="1" t="s">
        <v>7199</v>
      </c>
      <c r="AH2708" t="s">
        <v>423</v>
      </c>
    </row>
    <row r="2709" spans="1:34" x14ac:dyDescent="0.3">
      <c r="A2709">
        <v>104</v>
      </c>
      <c r="B2709" t="s">
        <v>34</v>
      </c>
      <c r="C2709">
        <v>4</v>
      </c>
      <c r="D2709" s="1" t="s">
        <v>7204</v>
      </c>
      <c r="E2709" s="1" t="s">
        <v>36</v>
      </c>
      <c r="G2709">
        <v>451485</v>
      </c>
      <c r="H2709" t="s">
        <v>7194</v>
      </c>
      <c r="I2709" t="s">
        <v>7195</v>
      </c>
      <c r="J2709">
        <v>30</v>
      </c>
      <c r="K2709">
        <v>7961</v>
      </c>
      <c r="L2709">
        <v>50033</v>
      </c>
      <c r="M2709" t="s">
        <v>39</v>
      </c>
      <c r="N2709">
        <v>588</v>
      </c>
      <c r="O2709" s="2">
        <v>46225</v>
      </c>
      <c r="P2709" s="2">
        <v>46286</v>
      </c>
      <c r="R2709" t="s">
        <v>7205</v>
      </c>
      <c r="S2709" t="str">
        <f>"0000050411039"</f>
        <v>0000050411039</v>
      </c>
      <c r="T2709" t="s">
        <v>41</v>
      </c>
      <c r="U2709">
        <v>167058.67000000001</v>
      </c>
      <c r="V2709">
        <v>142668.32</v>
      </c>
      <c r="W2709">
        <v>142668.32</v>
      </c>
      <c r="X2709">
        <v>0</v>
      </c>
      <c r="Y2709">
        <v>0</v>
      </c>
      <c r="Z2709">
        <v>-511</v>
      </c>
      <c r="AA2709" t="s">
        <v>7206</v>
      </c>
      <c r="AD2709" t="s">
        <v>4869</v>
      </c>
      <c r="AE2709" t="s">
        <v>7198</v>
      </c>
      <c r="AF2709" t="s">
        <v>4869</v>
      </c>
      <c r="AG2709" s="1" t="s">
        <v>7199</v>
      </c>
      <c r="AH2709" t="s">
        <v>423</v>
      </c>
    </row>
    <row r="2710" spans="1:34" x14ac:dyDescent="0.3">
      <c r="A2710">
        <v>104</v>
      </c>
      <c r="B2710" t="s">
        <v>34</v>
      </c>
      <c r="C2710">
        <v>4</v>
      </c>
      <c r="D2710" s="1" t="s">
        <v>7207</v>
      </c>
      <c r="E2710" s="1" t="s">
        <v>116</v>
      </c>
      <c r="G2710">
        <v>451485</v>
      </c>
      <c r="H2710" t="s">
        <v>7194</v>
      </c>
      <c r="I2710" t="s">
        <v>7195</v>
      </c>
      <c r="J2710">
        <v>30</v>
      </c>
      <c r="K2710">
        <v>7961</v>
      </c>
      <c r="L2710">
        <v>50033</v>
      </c>
      <c r="M2710" t="s">
        <v>39</v>
      </c>
      <c r="N2710">
        <v>588</v>
      </c>
      <c r="O2710" s="2">
        <v>46167</v>
      </c>
      <c r="P2710" s="2">
        <v>46287</v>
      </c>
      <c r="R2710" t="s">
        <v>7208</v>
      </c>
      <c r="S2710" t="str">
        <f>"0000050402765"</f>
        <v>0000050402765</v>
      </c>
      <c r="T2710" t="s">
        <v>41</v>
      </c>
      <c r="U2710">
        <v>51635.73</v>
      </c>
      <c r="V2710">
        <v>49570.3</v>
      </c>
      <c r="W2710">
        <v>49570.3</v>
      </c>
      <c r="X2710">
        <v>0</v>
      </c>
      <c r="Y2710">
        <v>0</v>
      </c>
      <c r="Z2710">
        <v>-512</v>
      </c>
      <c r="AA2710" t="s">
        <v>7209</v>
      </c>
      <c r="AD2710" t="s">
        <v>4869</v>
      </c>
      <c r="AE2710" t="s">
        <v>7198</v>
      </c>
      <c r="AF2710" t="s">
        <v>4869</v>
      </c>
      <c r="AG2710" s="1" t="s">
        <v>7199</v>
      </c>
      <c r="AH2710" t="s">
        <v>423</v>
      </c>
    </row>
    <row r="2711" spans="1:34" x14ac:dyDescent="0.3">
      <c r="A2711">
        <v>104</v>
      </c>
      <c r="B2711" t="s">
        <v>34</v>
      </c>
      <c r="C2711">
        <v>4</v>
      </c>
      <c r="D2711" s="1" t="s">
        <v>7207</v>
      </c>
      <c r="E2711" s="1" t="s">
        <v>122</v>
      </c>
      <c r="G2711">
        <v>451485</v>
      </c>
      <c r="H2711" t="s">
        <v>7194</v>
      </c>
      <c r="I2711" t="s">
        <v>7195</v>
      </c>
      <c r="J2711">
        <v>30</v>
      </c>
      <c r="K2711">
        <v>7961</v>
      </c>
      <c r="L2711">
        <v>50033</v>
      </c>
      <c r="M2711" t="s">
        <v>39</v>
      </c>
      <c r="N2711">
        <v>588</v>
      </c>
      <c r="O2711" s="2">
        <v>46167</v>
      </c>
      <c r="P2711" s="2">
        <v>46258</v>
      </c>
      <c r="R2711" t="s">
        <v>7208</v>
      </c>
      <c r="S2711" t="str">
        <f>"0000050402757"</f>
        <v>0000050402757</v>
      </c>
      <c r="T2711" t="s">
        <v>41</v>
      </c>
      <c r="U2711">
        <v>51620.24</v>
      </c>
      <c r="V2711">
        <v>49555.43</v>
      </c>
      <c r="W2711">
        <v>49555.43</v>
      </c>
      <c r="X2711">
        <v>0</v>
      </c>
      <c r="Y2711">
        <v>0</v>
      </c>
      <c r="Z2711">
        <v>-483</v>
      </c>
      <c r="AA2711" t="s">
        <v>7209</v>
      </c>
      <c r="AD2711" t="s">
        <v>4869</v>
      </c>
      <c r="AE2711" t="s">
        <v>7198</v>
      </c>
      <c r="AF2711" t="s">
        <v>4869</v>
      </c>
      <c r="AG2711" s="1" t="s">
        <v>7199</v>
      </c>
      <c r="AH2711" t="s">
        <v>423</v>
      </c>
    </row>
    <row r="2712" spans="1:34" x14ac:dyDescent="0.3">
      <c r="A2712">
        <v>106</v>
      </c>
      <c r="B2712" t="s">
        <v>34</v>
      </c>
      <c r="C2712">
        <v>2</v>
      </c>
      <c r="D2712" s="1" t="s">
        <v>7210</v>
      </c>
      <c r="E2712" s="1" t="s">
        <v>122</v>
      </c>
      <c r="G2712">
        <v>451485</v>
      </c>
      <c r="H2712" t="s">
        <v>7194</v>
      </c>
      <c r="I2712" t="s">
        <v>7195</v>
      </c>
      <c r="J2712">
        <v>30</v>
      </c>
      <c r="K2712">
        <v>7961</v>
      </c>
      <c r="L2712">
        <v>50033</v>
      </c>
      <c r="M2712" t="s">
        <v>39</v>
      </c>
      <c r="N2712">
        <v>588</v>
      </c>
      <c r="O2712" s="2">
        <v>46168</v>
      </c>
      <c r="P2712" s="2">
        <v>46258</v>
      </c>
      <c r="R2712" t="s">
        <v>7211</v>
      </c>
      <c r="S2712" t="str">
        <f>"0000050402897"</f>
        <v>0000050402897</v>
      </c>
      <c r="T2712" t="s">
        <v>41</v>
      </c>
      <c r="U2712">
        <v>14286.1</v>
      </c>
      <c r="V2712">
        <v>13714.66</v>
      </c>
      <c r="W2712">
        <v>13714.66</v>
      </c>
      <c r="X2712">
        <v>0</v>
      </c>
      <c r="Y2712">
        <v>0</v>
      </c>
      <c r="Z2712">
        <v>-483</v>
      </c>
      <c r="AA2712" t="s">
        <v>7212</v>
      </c>
      <c r="AD2712" t="s">
        <v>4869</v>
      </c>
      <c r="AE2712" t="s">
        <v>7198</v>
      </c>
      <c r="AF2712" t="s">
        <v>4869</v>
      </c>
      <c r="AG2712" s="1" t="s">
        <v>7199</v>
      </c>
      <c r="AH2712" t="s">
        <v>423</v>
      </c>
    </row>
    <row r="2713" spans="1:34" x14ac:dyDescent="0.3">
      <c r="A2713">
        <v>106</v>
      </c>
      <c r="B2713" t="s">
        <v>34</v>
      </c>
      <c r="C2713">
        <v>2</v>
      </c>
      <c r="D2713" s="1" t="s">
        <v>7210</v>
      </c>
      <c r="E2713" s="1" t="s">
        <v>116</v>
      </c>
      <c r="G2713">
        <v>451485</v>
      </c>
      <c r="H2713" t="s">
        <v>7194</v>
      </c>
      <c r="I2713" t="s">
        <v>7195</v>
      </c>
      <c r="J2713">
        <v>30</v>
      </c>
      <c r="K2713">
        <v>7961</v>
      </c>
      <c r="L2713">
        <v>50033</v>
      </c>
      <c r="M2713" t="s">
        <v>39</v>
      </c>
      <c r="N2713">
        <v>588</v>
      </c>
      <c r="O2713" s="2">
        <v>46168</v>
      </c>
      <c r="P2713" s="2">
        <v>46288</v>
      </c>
      <c r="R2713" t="s">
        <v>7211</v>
      </c>
      <c r="S2713" t="str">
        <f>"0000050402900"</f>
        <v>0000050402900</v>
      </c>
      <c r="T2713" t="s">
        <v>41</v>
      </c>
      <c r="U2713">
        <v>14290.4</v>
      </c>
      <c r="V2713">
        <v>13718.78</v>
      </c>
      <c r="W2713">
        <v>13718.78</v>
      </c>
      <c r="X2713">
        <v>0</v>
      </c>
      <c r="Y2713">
        <v>0</v>
      </c>
      <c r="Z2713">
        <v>-513</v>
      </c>
      <c r="AA2713" t="s">
        <v>7212</v>
      </c>
      <c r="AD2713" t="s">
        <v>4869</v>
      </c>
      <c r="AE2713" t="s">
        <v>7198</v>
      </c>
      <c r="AF2713" t="s">
        <v>4869</v>
      </c>
      <c r="AG2713" s="1" t="s">
        <v>7199</v>
      </c>
      <c r="AH2713" t="s">
        <v>423</v>
      </c>
    </row>
    <row r="2714" spans="1:34" x14ac:dyDescent="0.3">
      <c r="A2714">
        <v>106</v>
      </c>
      <c r="B2714" t="s">
        <v>34</v>
      </c>
      <c r="C2714">
        <v>2</v>
      </c>
      <c r="D2714" s="1" t="s">
        <v>7213</v>
      </c>
      <c r="E2714" s="1" t="s">
        <v>116</v>
      </c>
      <c r="G2714">
        <v>451485</v>
      </c>
      <c r="H2714" t="s">
        <v>7194</v>
      </c>
      <c r="I2714" t="s">
        <v>7195</v>
      </c>
      <c r="J2714">
        <v>30</v>
      </c>
      <c r="K2714">
        <v>7961</v>
      </c>
      <c r="L2714">
        <v>50033</v>
      </c>
      <c r="M2714" t="s">
        <v>39</v>
      </c>
      <c r="N2714">
        <v>588</v>
      </c>
      <c r="O2714" s="2">
        <v>46195</v>
      </c>
      <c r="P2714" s="2">
        <v>46315</v>
      </c>
      <c r="R2714" t="s">
        <v>7214</v>
      </c>
      <c r="S2714" t="str">
        <f>"0000050407082"</f>
        <v>0000050407082</v>
      </c>
      <c r="T2714" t="s">
        <v>41</v>
      </c>
      <c r="U2714">
        <v>72173.87</v>
      </c>
      <c r="V2714">
        <v>65286.92</v>
      </c>
      <c r="W2714">
        <v>65286.92</v>
      </c>
      <c r="X2714">
        <v>0</v>
      </c>
      <c r="Y2714">
        <v>0</v>
      </c>
      <c r="Z2714">
        <v>-540</v>
      </c>
      <c r="AA2714" t="s">
        <v>7215</v>
      </c>
      <c r="AD2714" t="s">
        <v>4869</v>
      </c>
      <c r="AE2714" t="s">
        <v>7198</v>
      </c>
      <c r="AF2714" t="s">
        <v>4869</v>
      </c>
      <c r="AG2714" s="1" t="s">
        <v>7199</v>
      </c>
      <c r="AH2714" t="s">
        <v>423</v>
      </c>
    </row>
    <row r="2715" spans="1:34" x14ac:dyDescent="0.3">
      <c r="A2715">
        <v>106</v>
      </c>
      <c r="B2715" t="s">
        <v>34</v>
      </c>
      <c r="C2715">
        <v>2</v>
      </c>
      <c r="D2715" s="1" t="s">
        <v>7213</v>
      </c>
      <c r="E2715" s="1" t="s">
        <v>122</v>
      </c>
      <c r="G2715">
        <v>451485</v>
      </c>
      <c r="H2715" t="s">
        <v>7194</v>
      </c>
      <c r="I2715" t="s">
        <v>7195</v>
      </c>
      <c r="J2715">
        <v>30</v>
      </c>
      <c r="K2715">
        <v>7961</v>
      </c>
      <c r="L2715">
        <v>50033</v>
      </c>
      <c r="M2715" t="s">
        <v>39</v>
      </c>
      <c r="N2715">
        <v>588</v>
      </c>
      <c r="O2715" s="2">
        <v>46195</v>
      </c>
      <c r="P2715" s="2">
        <v>46285</v>
      </c>
      <c r="R2715" t="s">
        <v>7214</v>
      </c>
      <c r="S2715" t="str">
        <f>"0000050407074"</f>
        <v>0000050407074</v>
      </c>
      <c r="T2715" t="s">
        <v>41</v>
      </c>
      <c r="U2715">
        <v>72152.23</v>
      </c>
      <c r="V2715">
        <v>65266.14</v>
      </c>
      <c r="W2715">
        <v>65266.14</v>
      </c>
      <c r="X2715">
        <v>0</v>
      </c>
      <c r="Y2715">
        <v>0</v>
      </c>
      <c r="Z2715">
        <v>-510</v>
      </c>
      <c r="AA2715" t="s">
        <v>7215</v>
      </c>
      <c r="AD2715" t="s">
        <v>4869</v>
      </c>
      <c r="AE2715" t="s">
        <v>7198</v>
      </c>
      <c r="AF2715" t="s">
        <v>4869</v>
      </c>
      <c r="AG2715" s="1" t="s">
        <v>7199</v>
      </c>
      <c r="AH2715" t="s">
        <v>423</v>
      </c>
    </row>
    <row r="2716" spans="1:34" x14ac:dyDescent="0.3">
      <c r="A2716">
        <v>106</v>
      </c>
      <c r="B2716" t="s">
        <v>34</v>
      </c>
      <c r="C2716">
        <v>2</v>
      </c>
      <c r="D2716" s="1" t="s">
        <v>7216</v>
      </c>
      <c r="E2716" s="1" t="s">
        <v>116</v>
      </c>
      <c r="G2716">
        <v>451485</v>
      </c>
      <c r="H2716" t="s">
        <v>7194</v>
      </c>
      <c r="I2716" t="s">
        <v>7195</v>
      </c>
      <c r="J2716">
        <v>30</v>
      </c>
      <c r="K2716">
        <v>7961</v>
      </c>
      <c r="L2716">
        <v>50033</v>
      </c>
      <c r="M2716" t="s">
        <v>39</v>
      </c>
      <c r="N2716">
        <v>588</v>
      </c>
      <c r="O2716" s="2">
        <v>46164</v>
      </c>
      <c r="P2716" s="2">
        <v>46284</v>
      </c>
      <c r="R2716" t="s">
        <v>7217</v>
      </c>
      <c r="S2716" t="str">
        <f>"0000050402544"</f>
        <v>0000050402544</v>
      </c>
      <c r="T2716" t="s">
        <v>41</v>
      </c>
      <c r="U2716">
        <v>45657.41</v>
      </c>
      <c r="V2716">
        <v>40331.11</v>
      </c>
      <c r="W2716">
        <v>40331.11</v>
      </c>
      <c r="X2716">
        <v>0</v>
      </c>
      <c r="Y2716">
        <v>0</v>
      </c>
      <c r="Z2716">
        <v>-509</v>
      </c>
      <c r="AA2716" t="s">
        <v>7212</v>
      </c>
      <c r="AD2716" t="s">
        <v>4869</v>
      </c>
      <c r="AE2716" t="s">
        <v>7198</v>
      </c>
      <c r="AF2716" t="s">
        <v>4869</v>
      </c>
      <c r="AG2716" s="1" t="s">
        <v>7199</v>
      </c>
      <c r="AH2716" t="s">
        <v>423</v>
      </c>
    </row>
    <row r="2717" spans="1:34" x14ac:dyDescent="0.3">
      <c r="A2717">
        <v>106</v>
      </c>
      <c r="B2717" t="s">
        <v>34</v>
      </c>
      <c r="C2717">
        <v>2</v>
      </c>
      <c r="D2717" s="1" t="s">
        <v>7218</v>
      </c>
      <c r="E2717" s="1" t="s">
        <v>36</v>
      </c>
      <c r="G2717">
        <v>451485</v>
      </c>
      <c r="H2717" t="s">
        <v>7194</v>
      </c>
      <c r="I2717" t="s">
        <v>7195</v>
      </c>
      <c r="J2717">
        <v>30</v>
      </c>
      <c r="K2717">
        <v>7961</v>
      </c>
      <c r="L2717">
        <v>50033</v>
      </c>
      <c r="M2717" t="s">
        <v>39</v>
      </c>
      <c r="N2717">
        <v>588</v>
      </c>
      <c r="O2717" s="2">
        <v>46225</v>
      </c>
      <c r="P2717" s="2">
        <v>46285</v>
      </c>
      <c r="R2717" t="s">
        <v>7219</v>
      </c>
      <c r="S2717" t="str">
        <f>"0000050411101"</f>
        <v>0000050411101</v>
      </c>
      <c r="T2717" t="s">
        <v>41</v>
      </c>
      <c r="U2717">
        <v>217206.85</v>
      </c>
      <c r="V2717">
        <v>208403.31</v>
      </c>
      <c r="W2717">
        <v>208403.31</v>
      </c>
      <c r="X2717">
        <v>0</v>
      </c>
      <c r="Y2717">
        <v>0</v>
      </c>
      <c r="Z2717">
        <v>-510</v>
      </c>
      <c r="AA2717" t="s">
        <v>7220</v>
      </c>
      <c r="AD2717" t="s">
        <v>4869</v>
      </c>
      <c r="AE2717" t="s">
        <v>7198</v>
      </c>
      <c r="AF2717" t="s">
        <v>4869</v>
      </c>
      <c r="AG2717" s="1" t="s">
        <v>7199</v>
      </c>
      <c r="AH2717" t="s">
        <v>423</v>
      </c>
    </row>
    <row r="2718" spans="1:34" x14ac:dyDescent="0.3">
      <c r="A2718">
        <v>101</v>
      </c>
      <c r="B2718" t="s">
        <v>34</v>
      </c>
      <c r="C2718">
        <v>2</v>
      </c>
      <c r="D2718" s="1" t="s">
        <v>7221</v>
      </c>
      <c r="E2718" s="1" t="s">
        <v>122</v>
      </c>
      <c r="G2718">
        <v>451940</v>
      </c>
      <c r="H2718" t="s">
        <v>7222</v>
      </c>
      <c r="I2718" t="s">
        <v>7223</v>
      </c>
      <c r="J2718">
        <v>12</v>
      </c>
      <c r="K2718">
        <v>451940</v>
      </c>
      <c r="L2718">
        <v>50001</v>
      </c>
      <c r="M2718" t="s">
        <v>39</v>
      </c>
      <c r="N2718">
        <v>588</v>
      </c>
      <c r="O2718" s="2">
        <v>46226</v>
      </c>
      <c r="P2718" s="2">
        <v>46286</v>
      </c>
      <c r="R2718" t="s">
        <v>7224</v>
      </c>
      <c r="S2718" t="str">
        <f>"25666160000051574"</f>
        <v>25666160000051574</v>
      </c>
      <c r="T2718" t="s">
        <v>41</v>
      </c>
      <c r="U2718">
        <v>18117.419999999998</v>
      </c>
      <c r="V2718">
        <v>18117.419999999998</v>
      </c>
      <c r="W2718">
        <v>18117.419999999998</v>
      </c>
      <c r="X2718">
        <v>0</v>
      </c>
      <c r="Y2718">
        <v>0</v>
      </c>
      <c r="Z2718">
        <v>-511</v>
      </c>
      <c r="AA2718">
        <v>694578</v>
      </c>
      <c r="AD2718" t="s">
        <v>6896</v>
      </c>
      <c r="AE2718" t="s">
        <v>7225</v>
      </c>
      <c r="AF2718" t="s">
        <v>6896</v>
      </c>
      <c r="AG2718">
        <v>34834286000122</v>
      </c>
      <c r="AH2718" t="s">
        <v>423</v>
      </c>
    </row>
    <row r="2719" spans="1:34" x14ac:dyDescent="0.3">
      <c r="A2719">
        <v>101</v>
      </c>
      <c r="B2719" t="s">
        <v>34</v>
      </c>
      <c r="C2719">
        <v>2</v>
      </c>
      <c r="D2719" s="1" t="s">
        <v>7226</v>
      </c>
      <c r="E2719" s="1" t="s">
        <v>36</v>
      </c>
      <c r="G2719">
        <v>451940</v>
      </c>
      <c r="H2719" t="s">
        <v>7222</v>
      </c>
      <c r="I2719" t="s">
        <v>7223</v>
      </c>
      <c r="J2719">
        <v>12</v>
      </c>
      <c r="K2719">
        <v>451940</v>
      </c>
      <c r="L2719">
        <v>50001</v>
      </c>
      <c r="M2719" t="s">
        <v>39</v>
      </c>
      <c r="N2719">
        <v>588</v>
      </c>
      <c r="O2719" s="2">
        <v>46232</v>
      </c>
      <c r="P2719" s="2">
        <v>46267</v>
      </c>
      <c r="R2719" t="s">
        <v>7227</v>
      </c>
      <c r="S2719" t="str">
        <f>"25666160000051674"</f>
        <v>25666160000051674</v>
      </c>
      <c r="T2719" t="s">
        <v>41</v>
      </c>
      <c r="U2719">
        <v>5959.69</v>
      </c>
      <c r="V2719">
        <v>5959.69</v>
      </c>
      <c r="W2719">
        <v>5959.69</v>
      </c>
      <c r="X2719">
        <v>0</v>
      </c>
      <c r="Y2719">
        <v>0</v>
      </c>
      <c r="Z2719">
        <v>-492</v>
      </c>
      <c r="AA2719">
        <v>1738</v>
      </c>
      <c r="AD2719" t="s">
        <v>6896</v>
      </c>
      <c r="AE2719" t="s">
        <v>7225</v>
      </c>
      <c r="AF2719" t="s">
        <v>6896</v>
      </c>
      <c r="AG2719">
        <v>34834286000122</v>
      </c>
      <c r="AH2719" t="s">
        <v>423</v>
      </c>
    </row>
    <row r="2720" spans="1:34" x14ac:dyDescent="0.3">
      <c r="A2720">
        <v>101</v>
      </c>
      <c r="B2720" t="s">
        <v>34</v>
      </c>
      <c r="C2720">
        <v>2</v>
      </c>
      <c r="D2720" s="1" t="s">
        <v>7228</v>
      </c>
      <c r="E2720" s="1" t="s">
        <v>122</v>
      </c>
      <c r="G2720">
        <v>452024</v>
      </c>
      <c r="H2720" t="s">
        <v>7229</v>
      </c>
      <c r="I2720" t="s">
        <v>7223</v>
      </c>
      <c r="J2720">
        <v>12</v>
      </c>
      <c r="K2720">
        <v>451940</v>
      </c>
      <c r="L2720">
        <v>50001</v>
      </c>
      <c r="M2720" t="s">
        <v>39</v>
      </c>
      <c r="N2720">
        <v>588</v>
      </c>
      <c r="O2720" s="2">
        <v>46226</v>
      </c>
      <c r="P2720" s="2">
        <v>46286</v>
      </c>
      <c r="R2720" t="s">
        <v>7230</v>
      </c>
      <c r="S2720" t="str">
        <f>"25666160000051577"</f>
        <v>25666160000051577</v>
      </c>
      <c r="T2720" t="s">
        <v>41</v>
      </c>
      <c r="U2720">
        <v>20680.22</v>
      </c>
      <c r="V2720">
        <v>20680.22</v>
      </c>
      <c r="W2720">
        <v>20680.22</v>
      </c>
      <c r="X2720">
        <v>0</v>
      </c>
      <c r="Y2720">
        <v>0</v>
      </c>
      <c r="Z2720">
        <v>-511</v>
      </c>
      <c r="AA2720">
        <v>694579</v>
      </c>
      <c r="AD2720" t="s">
        <v>7231</v>
      </c>
      <c r="AE2720" t="s">
        <v>7232</v>
      </c>
      <c r="AF2720" t="s">
        <v>7231</v>
      </c>
      <c r="AG2720">
        <v>34834286000203</v>
      </c>
      <c r="AH2720" t="s">
        <v>423</v>
      </c>
    </row>
    <row r="2721" spans="1:34" x14ac:dyDescent="0.3">
      <c r="A2721">
        <v>101</v>
      </c>
      <c r="B2721" t="s">
        <v>4016</v>
      </c>
      <c r="C2721">
        <v>2</v>
      </c>
      <c r="D2721" s="1" t="s">
        <v>7228</v>
      </c>
      <c r="E2721" s="1" t="s">
        <v>36</v>
      </c>
      <c r="G2721">
        <v>452024</v>
      </c>
      <c r="H2721" t="s">
        <v>7229</v>
      </c>
      <c r="I2721" t="s">
        <v>7223</v>
      </c>
      <c r="J2721">
        <v>12</v>
      </c>
      <c r="K2721">
        <v>451940</v>
      </c>
      <c r="N2721">
        <v>588</v>
      </c>
      <c r="O2721" s="2">
        <v>46255</v>
      </c>
      <c r="P2721" s="2">
        <v>46255</v>
      </c>
      <c r="R2721" t="s">
        <v>7233</v>
      </c>
      <c r="S2721" t="str">
        <f>""</f>
        <v/>
      </c>
      <c r="T2721" t="s">
        <v>41</v>
      </c>
      <c r="U2721">
        <v>-1270.92</v>
      </c>
      <c r="V2721">
        <v>-1270.92</v>
      </c>
      <c r="W2721">
        <v>-1270.92</v>
      </c>
      <c r="X2721">
        <v>0</v>
      </c>
      <c r="Y2721">
        <v>0</v>
      </c>
      <c r="Z2721">
        <v>-480</v>
      </c>
      <c r="AD2721" t="s">
        <v>7231</v>
      </c>
      <c r="AE2721" t="s">
        <v>7232</v>
      </c>
      <c r="AF2721" t="s">
        <v>7231</v>
      </c>
      <c r="AG2721">
        <v>34834286000203</v>
      </c>
      <c r="AH2721" t="s">
        <v>423</v>
      </c>
    </row>
    <row r="2722" spans="1:34" x14ac:dyDescent="0.3">
      <c r="A2722">
        <v>101</v>
      </c>
      <c r="B2722" t="s">
        <v>34</v>
      </c>
      <c r="C2722">
        <v>2</v>
      </c>
      <c r="D2722" s="1" t="s">
        <v>7234</v>
      </c>
      <c r="E2722" s="1" t="s">
        <v>116</v>
      </c>
      <c r="G2722">
        <v>453344</v>
      </c>
      <c r="H2722" t="s">
        <v>7235</v>
      </c>
      <c r="I2722" t="s">
        <v>7236</v>
      </c>
      <c r="J2722">
        <v>12</v>
      </c>
      <c r="K2722">
        <v>453344</v>
      </c>
      <c r="L2722">
        <v>50001</v>
      </c>
      <c r="M2722" t="s">
        <v>39</v>
      </c>
      <c r="N2722">
        <v>588</v>
      </c>
      <c r="O2722" s="2">
        <v>46203</v>
      </c>
      <c r="P2722" s="2">
        <v>46258</v>
      </c>
      <c r="R2722" t="s">
        <v>7237</v>
      </c>
      <c r="S2722" t="str">
        <f>"25666160000051302"</f>
        <v>25666160000051302</v>
      </c>
      <c r="T2722" t="s">
        <v>41</v>
      </c>
      <c r="U2722">
        <v>4448.18</v>
      </c>
      <c r="V2722">
        <v>4448.18</v>
      </c>
      <c r="W2722">
        <v>4448.18</v>
      </c>
      <c r="X2722">
        <v>0</v>
      </c>
      <c r="Y2722">
        <v>0</v>
      </c>
      <c r="Z2722">
        <v>-483</v>
      </c>
      <c r="AA2722">
        <v>934</v>
      </c>
      <c r="AD2722" t="s">
        <v>7162</v>
      </c>
      <c r="AE2722">
        <v>6635971646</v>
      </c>
      <c r="AF2722" t="s">
        <v>7162</v>
      </c>
      <c r="AG2722" s="1" t="s">
        <v>7238</v>
      </c>
      <c r="AH2722" t="s">
        <v>423</v>
      </c>
    </row>
    <row r="2723" spans="1:34" x14ac:dyDescent="0.3">
      <c r="A2723">
        <v>101</v>
      </c>
      <c r="B2723" t="s">
        <v>34</v>
      </c>
      <c r="C2723">
        <v>2</v>
      </c>
      <c r="D2723" s="1" t="s">
        <v>7239</v>
      </c>
      <c r="E2723" s="1" t="s">
        <v>116</v>
      </c>
      <c r="G2723">
        <v>453347</v>
      </c>
      <c r="H2723" t="s">
        <v>7240</v>
      </c>
      <c r="I2723" t="s">
        <v>7241</v>
      </c>
      <c r="J2723">
        <v>12</v>
      </c>
      <c r="K2723">
        <v>453347</v>
      </c>
      <c r="L2723">
        <v>50033</v>
      </c>
      <c r="M2723" t="s">
        <v>39</v>
      </c>
      <c r="N2723">
        <v>588</v>
      </c>
      <c r="O2723" s="2">
        <v>46224</v>
      </c>
      <c r="P2723" s="2">
        <v>46279</v>
      </c>
      <c r="R2723" t="s">
        <v>7242</v>
      </c>
      <c r="S2723" t="str">
        <f>"0000050410300"</f>
        <v>0000050410300</v>
      </c>
      <c r="T2723" t="s">
        <v>41</v>
      </c>
      <c r="U2723">
        <v>875.33</v>
      </c>
      <c r="V2723">
        <v>875.33</v>
      </c>
      <c r="W2723">
        <v>875.33</v>
      </c>
      <c r="X2723">
        <v>0</v>
      </c>
      <c r="Y2723">
        <v>0</v>
      </c>
      <c r="Z2723">
        <v>-504</v>
      </c>
      <c r="AA2723">
        <v>1378</v>
      </c>
      <c r="AD2723" t="s">
        <v>7243</v>
      </c>
      <c r="AE2723">
        <v>6635721316</v>
      </c>
      <c r="AF2723" t="s">
        <v>7243</v>
      </c>
      <c r="AG2723" s="1" t="s">
        <v>7244</v>
      </c>
      <c r="AH2723" t="s">
        <v>423</v>
      </c>
    </row>
    <row r="2724" spans="1:34" x14ac:dyDescent="0.3">
      <c r="A2724">
        <v>101</v>
      </c>
      <c r="B2724" t="s">
        <v>34</v>
      </c>
      <c r="C2724">
        <v>2</v>
      </c>
      <c r="D2724" s="1" t="s">
        <v>7239</v>
      </c>
      <c r="E2724" s="1" t="s">
        <v>122</v>
      </c>
      <c r="G2724">
        <v>453347</v>
      </c>
      <c r="H2724" t="s">
        <v>7240</v>
      </c>
      <c r="I2724" t="s">
        <v>7241</v>
      </c>
      <c r="J2724">
        <v>12</v>
      </c>
      <c r="K2724">
        <v>453347</v>
      </c>
      <c r="L2724">
        <v>50033</v>
      </c>
      <c r="M2724" t="s">
        <v>39</v>
      </c>
      <c r="N2724">
        <v>588</v>
      </c>
      <c r="O2724" s="2">
        <v>46224</v>
      </c>
      <c r="P2724" s="2">
        <v>46269</v>
      </c>
      <c r="R2724" t="s">
        <v>7242</v>
      </c>
      <c r="S2724" t="str">
        <f>"0000050410296"</f>
        <v>0000050410296</v>
      </c>
      <c r="T2724" t="s">
        <v>41</v>
      </c>
      <c r="U2724">
        <v>875.07</v>
      </c>
      <c r="V2724">
        <v>875.07</v>
      </c>
      <c r="W2724">
        <v>875.07</v>
      </c>
      <c r="X2724">
        <v>0</v>
      </c>
      <c r="Y2724">
        <v>0</v>
      </c>
      <c r="Z2724">
        <v>-494</v>
      </c>
      <c r="AA2724">
        <v>1378</v>
      </c>
      <c r="AD2724" t="s">
        <v>7243</v>
      </c>
      <c r="AE2724">
        <v>6635721316</v>
      </c>
      <c r="AF2724" t="s">
        <v>7243</v>
      </c>
      <c r="AG2724" s="1" t="s">
        <v>7244</v>
      </c>
      <c r="AH2724" t="s">
        <v>423</v>
      </c>
    </row>
    <row r="2725" spans="1:34" x14ac:dyDescent="0.3">
      <c r="A2725">
        <v>101</v>
      </c>
      <c r="B2725" t="s">
        <v>34</v>
      </c>
      <c r="C2725">
        <v>2</v>
      </c>
      <c r="D2725" s="1" t="s">
        <v>7239</v>
      </c>
      <c r="E2725" s="1" t="s">
        <v>36</v>
      </c>
      <c r="G2725">
        <v>453347</v>
      </c>
      <c r="H2725" t="s">
        <v>7240</v>
      </c>
      <c r="I2725" t="s">
        <v>7241</v>
      </c>
      <c r="J2725">
        <v>12</v>
      </c>
      <c r="K2725">
        <v>453347</v>
      </c>
      <c r="L2725">
        <v>50033</v>
      </c>
      <c r="M2725" t="s">
        <v>39</v>
      </c>
      <c r="N2725">
        <v>588</v>
      </c>
      <c r="O2725" s="2">
        <v>46224</v>
      </c>
      <c r="P2725" s="2">
        <v>46259</v>
      </c>
      <c r="R2725" t="s">
        <v>7242</v>
      </c>
      <c r="S2725" t="str">
        <f>"0000050410288"</f>
        <v>0000050410288</v>
      </c>
      <c r="T2725" t="s">
        <v>41</v>
      </c>
      <c r="U2725">
        <v>984.67</v>
      </c>
      <c r="V2725">
        <v>984.67</v>
      </c>
      <c r="W2725">
        <v>984.67</v>
      </c>
      <c r="X2725">
        <v>0</v>
      </c>
      <c r="Y2725">
        <v>0</v>
      </c>
      <c r="Z2725">
        <v>-484</v>
      </c>
      <c r="AA2725">
        <v>1378</v>
      </c>
      <c r="AD2725" t="s">
        <v>7243</v>
      </c>
      <c r="AE2725">
        <v>6635721316</v>
      </c>
      <c r="AF2725" t="s">
        <v>7243</v>
      </c>
      <c r="AG2725" s="1" t="s">
        <v>7244</v>
      </c>
      <c r="AH2725" t="s">
        <v>423</v>
      </c>
    </row>
    <row r="2726" spans="1:34" x14ac:dyDescent="0.3">
      <c r="A2726">
        <v>101</v>
      </c>
      <c r="B2726" t="s">
        <v>34</v>
      </c>
      <c r="C2726">
        <v>2</v>
      </c>
      <c r="D2726" s="1" t="s">
        <v>7245</v>
      </c>
      <c r="E2726" s="1" t="s">
        <v>36</v>
      </c>
      <c r="G2726">
        <v>454662</v>
      </c>
      <c r="H2726" t="s">
        <v>7246</v>
      </c>
      <c r="I2726" t="s">
        <v>7247</v>
      </c>
      <c r="J2726">
        <v>12</v>
      </c>
      <c r="K2726">
        <v>9029</v>
      </c>
      <c r="L2726">
        <v>50033</v>
      </c>
      <c r="M2726" t="s">
        <v>39</v>
      </c>
      <c r="N2726">
        <v>588</v>
      </c>
      <c r="O2726" s="2">
        <v>46235</v>
      </c>
      <c r="P2726" s="2">
        <v>46263</v>
      </c>
      <c r="R2726" t="s">
        <v>7248</v>
      </c>
      <c r="S2726" t="str">
        <f>"0000050412116"</f>
        <v>0000050412116</v>
      </c>
      <c r="T2726" t="s">
        <v>41</v>
      </c>
      <c r="U2726">
        <v>12557.8</v>
      </c>
      <c r="V2726">
        <v>12557.8</v>
      </c>
      <c r="W2726">
        <v>12557.8</v>
      </c>
      <c r="X2726">
        <v>0</v>
      </c>
      <c r="Y2726">
        <v>0</v>
      </c>
      <c r="Z2726">
        <v>-488</v>
      </c>
      <c r="AA2726">
        <v>4005</v>
      </c>
      <c r="AD2726" t="s">
        <v>7249</v>
      </c>
      <c r="AE2726">
        <v>6635416400</v>
      </c>
      <c r="AF2726" t="s">
        <v>7249</v>
      </c>
      <c r="AG2726">
        <v>13338712000248</v>
      </c>
      <c r="AH2726" t="s">
        <v>423</v>
      </c>
    </row>
    <row r="2727" spans="1:34" x14ac:dyDescent="0.3">
      <c r="A2727">
        <v>101</v>
      </c>
      <c r="B2727" t="s">
        <v>34</v>
      </c>
      <c r="C2727">
        <v>2</v>
      </c>
      <c r="D2727" s="1" t="s">
        <v>7250</v>
      </c>
      <c r="E2727" s="1" t="s">
        <v>36</v>
      </c>
      <c r="G2727">
        <v>455791</v>
      </c>
      <c r="H2727" t="s">
        <v>7251</v>
      </c>
      <c r="I2727" t="s">
        <v>7189</v>
      </c>
      <c r="J2727">
        <v>12</v>
      </c>
      <c r="K2727">
        <v>9029</v>
      </c>
      <c r="L2727">
        <v>50033</v>
      </c>
      <c r="M2727" t="s">
        <v>39</v>
      </c>
      <c r="N2727">
        <v>588</v>
      </c>
      <c r="O2727" s="2">
        <v>46235</v>
      </c>
      <c r="P2727" s="2">
        <v>46263</v>
      </c>
      <c r="R2727" t="s">
        <v>7252</v>
      </c>
      <c r="S2727" t="str">
        <f>"0000050412124"</f>
        <v>0000050412124</v>
      </c>
      <c r="T2727" t="s">
        <v>41</v>
      </c>
      <c r="U2727">
        <v>13371.26</v>
      </c>
      <c r="V2727">
        <v>13371.26</v>
      </c>
      <c r="W2727">
        <v>13371.26</v>
      </c>
      <c r="X2727">
        <v>0</v>
      </c>
      <c r="Y2727">
        <v>0</v>
      </c>
      <c r="Z2727">
        <v>-488</v>
      </c>
      <c r="AA2727">
        <v>1998</v>
      </c>
      <c r="AD2727" t="s">
        <v>4874</v>
      </c>
      <c r="AE2727">
        <v>6635174500</v>
      </c>
      <c r="AF2727" t="s">
        <v>4874</v>
      </c>
      <c r="AG2727" s="1" t="s">
        <v>7253</v>
      </c>
      <c r="AH2727" t="s">
        <v>423</v>
      </c>
    </row>
    <row r="2728" spans="1:34" x14ac:dyDescent="0.3">
      <c r="A2728">
        <v>101</v>
      </c>
      <c r="B2728" t="s">
        <v>34</v>
      </c>
      <c r="C2728">
        <v>2</v>
      </c>
      <c r="D2728" s="1" t="s">
        <v>7254</v>
      </c>
      <c r="E2728" s="1" t="s">
        <v>36</v>
      </c>
      <c r="G2728">
        <v>456780</v>
      </c>
      <c r="H2728" t="s">
        <v>7255</v>
      </c>
      <c r="I2728" t="s">
        <v>7256</v>
      </c>
      <c r="J2728">
        <v>12</v>
      </c>
      <c r="K2728">
        <v>456780</v>
      </c>
      <c r="L2728">
        <v>50033</v>
      </c>
      <c r="M2728" t="s">
        <v>39</v>
      </c>
      <c r="N2728">
        <v>588</v>
      </c>
      <c r="O2728" s="2">
        <v>46246</v>
      </c>
      <c r="P2728" s="2">
        <v>46276</v>
      </c>
      <c r="R2728" t="s">
        <v>7257</v>
      </c>
      <c r="S2728" t="str">
        <f>"0000050413422"</f>
        <v>0000050413422</v>
      </c>
      <c r="T2728" t="s">
        <v>41</v>
      </c>
      <c r="U2728">
        <v>3250.01</v>
      </c>
      <c r="V2728">
        <v>3250.01</v>
      </c>
      <c r="W2728">
        <v>3250.01</v>
      </c>
      <c r="X2728">
        <v>0</v>
      </c>
      <c r="Y2728">
        <v>0</v>
      </c>
      <c r="Z2728">
        <v>-501</v>
      </c>
      <c r="AA2728">
        <v>4357</v>
      </c>
      <c r="AD2728" t="s">
        <v>7258</v>
      </c>
      <c r="AE2728">
        <v>66997145001</v>
      </c>
      <c r="AF2728" t="s">
        <v>7258</v>
      </c>
      <c r="AG2728">
        <v>12615706000147</v>
      </c>
      <c r="AH2728" t="s">
        <v>423</v>
      </c>
    </row>
    <row r="2729" spans="1:34" x14ac:dyDescent="0.3">
      <c r="A2729">
        <v>101</v>
      </c>
      <c r="B2729" t="s">
        <v>34</v>
      </c>
      <c r="C2729">
        <v>2</v>
      </c>
      <c r="D2729" s="1" t="s">
        <v>7259</v>
      </c>
      <c r="E2729" s="1" t="s">
        <v>122</v>
      </c>
      <c r="G2729">
        <v>458750</v>
      </c>
      <c r="H2729" t="s">
        <v>7260</v>
      </c>
      <c r="I2729" t="s">
        <v>7223</v>
      </c>
      <c r="J2729">
        <v>12</v>
      </c>
      <c r="K2729">
        <v>451940</v>
      </c>
      <c r="L2729">
        <v>50001</v>
      </c>
      <c r="M2729" t="s">
        <v>39</v>
      </c>
      <c r="N2729">
        <v>588</v>
      </c>
      <c r="O2729" s="2">
        <v>46226</v>
      </c>
      <c r="P2729" s="2">
        <v>46286</v>
      </c>
      <c r="R2729" t="s">
        <v>7261</v>
      </c>
      <c r="S2729" t="str">
        <f>"25666160000051581"</f>
        <v>25666160000051581</v>
      </c>
      <c r="T2729" t="s">
        <v>41</v>
      </c>
      <c r="U2729">
        <v>24011.57</v>
      </c>
      <c r="V2729">
        <v>24011.57</v>
      </c>
      <c r="W2729">
        <v>24011.57</v>
      </c>
      <c r="X2729">
        <v>0</v>
      </c>
      <c r="Y2729">
        <v>0</v>
      </c>
      <c r="Z2729">
        <v>-511</v>
      </c>
      <c r="AA2729">
        <v>694580</v>
      </c>
      <c r="AD2729" t="s">
        <v>7169</v>
      </c>
      <c r="AE2729">
        <v>6532127700</v>
      </c>
      <c r="AF2729" t="s">
        <v>7169</v>
      </c>
      <c r="AG2729">
        <v>34834286000394</v>
      </c>
      <c r="AH2729" t="s">
        <v>423</v>
      </c>
    </row>
    <row r="2730" spans="1:34" x14ac:dyDescent="0.3">
      <c r="A2730">
        <v>101</v>
      </c>
      <c r="B2730" t="s">
        <v>34</v>
      </c>
      <c r="C2730">
        <v>2</v>
      </c>
      <c r="D2730" s="1" t="s">
        <v>7259</v>
      </c>
      <c r="E2730" s="1" t="s">
        <v>36</v>
      </c>
      <c r="G2730">
        <v>458750</v>
      </c>
      <c r="H2730" t="s">
        <v>7260</v>
      </c>
      <c r="I2730" t="s">
        <v>7223</v>
      </c>
      <c r="J2730">
        <v>12</v>
      </c>
      <c r="K2730">
        <v>451940</v>
      </c>
      <c r="L2730">
        <v>50001</v>
      </c>
      <c r="M2730" t="s">
        <v>39</v>
      </c>
      <c r="N2730">
        <v>588</v>
      </c>
      <c r="O2730" s="2">
        <v>46226</v>
      </c>
      <c r="P2730" s="2">
        <v>46256</v>
      </c>
      <c r="R2730" t="s">
        <v>7261</v>
      </c>
      <c r="S2730" t="str">
        <f>"25666160000051580"</f>
        <v>25666160000051580</v>
      </c>
      <c r="T2730" t="s">
        <v>41</v>
      </c>
      <c r="U2730">
        <v>30114.66</v>
      </c>
      <c r="V2730">
        <v>27996.46</v>
      </c>
      <c r="W2730">
        <v>27996.46</v>
      </c>
      <c r="X2730">
        <v>0</v>
      </c>
      <c r="Y2730">
        <v>0</v>
      </c>
      <c r="Z2730">
        <v>-481</v>
      </c>
      <c r="AA2730">
        <v>694580</v>
      </c>
      <c r="AD2730" t="s">
        <v>7169</v>
      </c>
      <c r="AE2730">
        <v>6532127700</v>
      </c>
      <c r="AF2730" t="s">
        <v>7169</v>
      </c>
      <c r="AG2730">
        <v>34834286000394</v>
      </c>
      <c r="AH2730" t="s">
        <v>423</v>
      </c>
    </row>
    <row r="2731" spans="1:34" x14ac:dyDescent="0.3">
      <c r="A2731">
        <v>101</v>
      </c>
      <c r="B2731" t="s">
        <v>34</v>
      </c>
      <c r="C2731">
        <v>2</v>
      </c>
      <c r="D2731" s="1" t="s">
        <v>7262</v>
      </c>
      <c r="E2731" s="1" t="s">
        <v>122</v>
      </c>
      <c r="G2731">
        <v>463529</v>
      </c>
      <c r="H2731" t="s">
        <v>7263</v>
      </c>
      <c r="I2731" t="s">
        <v>7264</v>
      </c>
      <c r="J2731">
        <v>12</v>
      </c>
      <c r="K2731">
        <v>463529</v>
      </c>
      <c r="L2731">
        <v>50033</v>
      </c>
      <c r="M2731" t="s">
        <v>39</v>
      </c>
      <c r="N2731">
        <v>588</v>
      </c>
      <c r="O2731" s="2">
        <v>46216</v>
      </c>
      <c r="P2731" s="2">
        <v>46261</v>
      </c>
      <c r="R2731" t="s">
        <v>7265</v>
      </c>
      <c r="S2731" t="str">
        <f>"0000050409930"</f>
        <v>0000050409930</v>
      </c>
      <c r="T2731" t="s">
        <v>41</v>
      </c>
      <c r="U2731">
        <v>2863.65</v>
      </c>
      <c r="V2731">
        <v>2863.65</v>
      </c>
      <c r="W2731">
        <v>2863.65</v>
      </c>
      <c r="X2731">
        <v>0</v>
      </c>
      <c r="Y2731">
        <v>0</v>
      </c>
      <c r="Z2731">
        <v>-486</v>
      </c>
      <c r="AA2731">
        <v>998</v>
      </c>
      <c r="AD2731" t="s">
        <v>7266</v>
      </c>
      <c r="AE2731" t="s">
        <v>7267</v>
      </c>
      <c r="AF2731" t="s">
        <v>7266</v>
      </c>
      <c r="AG2731" s="1" t="s">
        <v>7268</v>
      </c>
      <c r="AH2731" t="s">
        <v>423</v>
      </c>
    </row>
    <row r="2732" spans="1:34" x14ac:dyDescent="0.3">
      <c r="A2732">
        <v>101</v>
      </c>
      <c r="B2732" t="s">
        <v>34</v>
      </c>
      <c r="C2732">
        <v>2</v>
      </c>
      <c r="D2732" s="1" t="s">
        <v>7269</v>
      </c>
      <c r="E2732" s="1" t="s">
        <v>36</v>
      </c>
      <c r="G2732">
        <v>465728</v>
      </c>
      <c r="H2732" t="s">
        <v>7270</v>
      </c>
      <c r="I2732" t="s">
        <v>7271</v>
      </c>
      <c r="J2732">
        <v>12</v>
      </c>
      <c r="K2732">
        <v>999002603</v>
      </c>
      <c r="L2732">
        <v>95080</v>
      </c>
      <c r="M2732" t="s">
        <v>83</v>
      </c>
      <c r="N2732">
        <v>588</v>
      </c>
      <c r="O2732" s="2">
        <v>46217</v>
      </c>
      <c r="P2732" s="2">
        <v>46252</v>
      </c>
      <c r="R2732" t="s">
        <v>7272</v>
      </c>
      <c r="S2732" t="str">
        <f>""</f>
        <v/>
      </c>
      <c r="T2732" t="s">
        <v>41</v>
      </c>
      <c r="U2732">
        <v>76.83</v>
      </c>
      <c r="V2732">
        <v>76.83</v>
      </c>
      <c r="W2732">
        <v>76.83</v>
      </c>
      <c r="X2732">
        <v>0</v>
      </c>
      <c r="Y2732">
        <v>0</v>
      </c>
      <c r="Z2732">
        <v>-477</v>
      </c>
      <c r="AA2732">
        <v>690920</v>
      </c>
      <c r="AD2732" t="s">
        <v>7273</v>
      </c>
      <c r="AE2732" t="s">
        <v>7274</v>
      </c>
      <c r="AF2732" t="s">
        <v>7273</v>
      </c>
      <c r="AG2732">
        <v>11087959000203</v>
      </c>
      <c r="AH2732" t="s">
        <v>423</v>
      </c>
    </row>
    <row r="2733" spans="1:34" x14ac:dyDescent="0.3">
      <c r="A2733">
        <v>101</v>
      </c>
      <c r="B2733" t="s">
        <v>34</v>
      </c>
      <c r="C2733">
        <v>2</v>
      </c>
      <c r="D2733" s="1" t="s">
        <v>7269</v>
      </c>
      <c r="E2733" s="1" t="s">
        <v>122</v>
      </c>
      <c r="G2733">
        <v>465728</v>
      </c>
      <c r="H2733" t="s">
        <v>7270</v>
      </c>
      <c r="I2733" t="s">
        <v>7271</v>
      </c>
      <c r="J2733">
        <v>12</v>
      </c>
      <c r="K2733">
        <v>999002603</v>
      </c>
      <c r="L2733">
        <v>95080</v>
      </c>
      <c r="M2733" t="s">
        <v>83</v>
      </c>
      <c r="N2733">
        <v>588</v>
      </c>
      <c r="O2733" s="2">
        <v>46217</v>
      </c>
      <c r="P2733" s="2">
        <v>46272</v>
      </c>
      <c r="R2733" t="s">
        <v>7272</v>
      </c>
      <c r="S2733" t="str">
        <f>""</f>
        <v/>
      </c>
      <c r="T2733" t="s">
        <v>41</v>
      </c>
      <c r="U2733">
        <v>76.83</v>
      </c>
      <c r="V2733">
        <v>76.83</v>
      </c>
      <c r="W2733">
        <v>76.83</v>
      </c>
      <c r="X2733">
        <v>0</v>
      </c>
      <c r="Y2733">
        <v>0</v>
      </c>
      <c r="Z2733">
        <v>-497</v>
      </c>
      <c r="AA2733">
        <v>690920</v>
      </c>
      <c r="AD2733" t="s">
        <v>7273</v>
      </c>
      <c r="AE2733" t="s">
        <v>7274</v>
      </c>
      <c r="AF2733" t="s">
        <v>7273</v>
      </c>
      <c r="AG2733">
        <v>11087959000203</v>
      </c>
      <c r="AH2733" t="s">
        <v>423</v>
      </c>
    </row>
    <row r="2734" spans="1:34" x14ac:dyDescent="0.3">
      <c r="A2734">
        <v>101</v>
      </c>
      <c r="B2734" t="s">
        <v>34</v>
      </c>
      <c r="C2734">
        <v>2</v>
      </c>
      <c r="D2734" s="1" t="s">
        <v>7275</v>
      </c>
      <c r="E2734" s="1" t="s">
        <v>36</v>
      </c>
      <c r="G2734">
        <v>467349</v>
      </c>
      <c r="H2734" t="s">
        <v>7276</v>
      </c>
      <c r="I2734" t="s">
        <v>7277</v>
      </c>
      <c r="J2734">
        <v>12</v>
      </c>
      <c r="K2734">
        <v>9029</v>
      </c>
      <c r="L2734">
        <v>50033</v>
      </c>
      <c r="M2734" t="s">
        <v>39</v>
      </c>
      <c r="N2734">
        <v>588</v>
      </c>
      <c r="O2734" s="2">
        <v>46235</v>
      </c>
      <c r="P2734" s="2">
        <v>46263</v>
      </c>
      <c r="R2734" t="s">
        <v>7278</v>
      </c>
      <c r="S2734" t="str">
        <f>"0000050412159"</f>
        <v>0000050412159</v>
      </c>
      <c r="T2734" t="s">
        <v>41</v>
      </c>
      <c r="U2734">
        <v>9201.44</v>
      </c>
      <c r="V2734">
        <v>9201.44</v>
      </c>
      <c r="W2734">
        <v>9201.44</v>
      </c>
      <c r="X2734">
        <v>0</v>
      </c>
      <c r="Y2734">
        <v>0</v>
      </c>
      <c r="Z2734">
        <v>-488</v>
      </c>
      <c r="AA2734">
        <v>4009</v>
      </c>
      <c r="AD2734" t="s">
        <v>7279</v>
      </c>
      <c r="AE2734" t="s">
        <v>7280</v>
      </c>
      <c r="AF2734" t="s">
        <v>7279</v>
      </c>
      <c r="AG2734">
        <v>13338712000400</v>
      </c>
      <c r="AH2734" t="s">
        <v>423</v>
      </c>
    </row>
    <row r="2735" spans="1:34" x14ac:dyDescent="0.3">
      <c r="A2735">
        <v>101</v>
      </c>
      <c r="B2735" t="s">
        <v>34</v>
      </c>
      <c r="C2735">
        <v>2</v>
      </c>
      <c r="D2735" s="1" t="s">
        <v>7281</v>
      </c>
      <c r="E2735" s="1" t="s">
        <v>36</v>
      </c>
      <c r="G2735">
        <v>470539</v>
      </c>
      <c r="H2735" t="s">
        <v>7282</v>
      </c>
      <c r="I2735" t="s">
        <v>7277</v>
      </c>
      <c r="J2735">
        <v>12</v>
      </c>
      <c r="K2735">
        <v>9029</v>
      </c>
      <c r="L2735">
        <v>50033</v>
      </c>
      <c r="M2735" t="s">
        <v>39</v>
      </c>
      <c r="N2735">
        <v>588</v>
      </c>
      <c r="O2735" s="2">
        <v>46235</v>
      </c>
      <c r="P2735" s="2">
        <v>46263</v>
      </c>
      <c r="R2735" t="s">
        <v>7283</v>
      </c>
      <c r="S2735" t="str">
        <f>"0000050412205"</f>
        <v>0000050412205</v>
      </c>
      <c r="T2735" t="s">
        <v>41</v>
      </c>
      <c r="U2735">
        <v>12010.05</v>
      </c>
      <c r="V2735">
        <v>12010.05</v>
      </c>
      <c r="W2735">
        <v>12010.05</v>
      </c>
      <c r="X2735">
        <v>0</v>
      </c>
      <c r="Y2735">
        <v>0</v>
      </c>
      <c r="Z2735">
        <v>-488</v>
      </c>
      <c r="AA2735">
        <v>4002</v>
      </c>
      <c r="AD2735" t="s">
        <v>6896</v>
      </c>
      <c r="AE2735" t="s">
        <v>7280</v>
      </c>
      <c r="AF2735" t="s">
        <v>6896</v>
      </c>
      <c r="AG2735">
        <v>13338712000590</v>
      </c>
      <c r="AH2735" t="s">
        <v>423</v>
      </c>
    </row>
    <row r="2736" spans="1:34" x14ac:dyDescent="0.3">
      <c r="A2736">
        <v>101</v>
      </c>
      <c r="B2736" t="s">
        <v>34</v>
      </c>
      <c r="C2736">
        <v>2</v>
      </c>
      <c r="D2736" s="1" t="s">
        <v>7284</v>
      </c>
      <c r="E2736" s="1" t="s">
        <v>116</v>
      </c>
      <c r="G2736">
        <v>999001595</v>
      </c>
      <c r="H2736" t="s">
        <v>7285</v>
      </c>
      <c r="I2736" t="s">
        <v>7286</v>
      </c>
      <c r="J2736">
        <v>12</v>
      </c>
      <c r="K2736">
        <v>999001595</v>
      </c>
      <c r="L2736">
        <v>50001</v>
      </c>
      <c r="M2736" t="s">
        <v>39</v>
      </c>
      <c r="N2736">
        <v>588</v>
      </c>
      <c r="O2736" s="2">
        <v>46203</v>
      </c>
      <c r="P2736" s="2">
        <v>46261</v>
      </c>
      <c r="R2736" t="s">
        <v>7287</v>
      </c>
      <c r="S2736" t="str">
        <f>"25666160000051319"</f>
        <v>25666160000051319</v>
      </c>
      <c r="T2736" t="s">
        <v>41</v>
      </c>
      <c r="U2736">
        <v>2063.94</v>
      </c>
      <c r="V2736">
        <v>2063.94</v>
      </c>
      <c r="W2736">
        <v>2063.94</v>
      </c>
      <c r="X2736">
        <v>0</v>
      </c>
      <c r="Y2736">
        <v>0</v>
      </c>
      <c r="Z2736">
        <v>-486</v>
      </c>
      <c r="AA2736">
        <v>970</v>
      </c>
      <c r="AD2736" t="s">
        <v>7169</v>
      </c>
      <c r="AE2736" t="s">
        <v>7288</v>
      </c>
      <c r="AF2736" t="s">
        <v>7169</v>
      </c>
      <c r="AG2736">
        <v>11210067000177</v>
      </c>
      <c r="AH2736" t="s">
        <v>423</v>
      </c>
    </row>
    <row r="2737" spans="1:34" x14ac:dyDescent="0.3">
      <c r="A2737">
        <v>101</v>
      </c>
      <c r="B2737" t="s">
        <v>34</v>
      </c>
      <c r="C2737">
        <v>2</v>
      </c>
      <c r="D2737" s="1" t="s">
        <v>7289</v>
      </c>
      <c r="E2737" s="1" t="s">
        <v>36</v>
      </c>
      <c r="G2737">
        <v>999001618</v>
      </c>
      <c r="H2737" t="s">
        <v>7290</v>
      </c>
      <c r="I2737" t="s">
        <v>7277</v>
      </c>
      <c r="J2737">
        <v>12</v>
      </c>
      <c r="K2737">
        <v>9029</v>
      </c>
      <c r="L2737">
        <v>50033</v>
      </c>
      <c r="M2737" t="s">
        <v>39</v>
      </c>
      <c r="N2737">
        <v>588</v>
      </c>
      <c r="O2737" s="2">
        <v>46235</v>
      </c>
      <c r="P2737" s="2">
        <v>46263</v>
      </c>
      <c r="R2737" t="s">
        <v>7291</v>
      </c>
      <c r="S2737" t="str">
        <f>"0000050412213"</f>
        <v>0000050412213</v>
      </c>
      <c r="T2737" t="s">
        <v>41</v>
      </c>
      <c r="U2737">
        <v>17377.57</v>
      </c>
      <c r="V2737">
        <v>17377.57</v>
      </c>
      <c r="W2737">
        <v>17377.57</v>
      </c>
      <c r="X2737">
        <v>0</v>
      </c>
      <c r="Y2737">
        <v>0</v>
      </c>
      <c r="Z2737">
        <v>-488</v>
      </c>
      <c r="AA2737">
        <v>4003</v>
      </c>
      <c r="AD2737" t="s">
        <v>7127</v>
      </c>
      <c r="AE2737" t="s">
        <v>7292</v>
      </c>
      <c r="AF2737" t="s">
        <v>7127</v>
      </c>
      <c r="AG2737">
        <v>13338712000167</v>
      </c>
      <c r="AH2737" t="s">
        <v>423</v>
      </c>
    </row>
    <row r="2738" spans="1:34" x14ac:dyDescent="0.3">
      <c r="A2738">
        <v>101</v>
      </c>
      <c r="B2738" t="s">
        <v>34</v>
      </c>
      <c r="C2738">
        <v>2</v>
      </c>
      <c r="D2738" s="1" t="s">
        <v>7293</v>
      </c>
      <c r="E2738" s="1" t="s">
        <v>116</v>
      </c>
      <c r="G2738">
        <v>1071</v>
      </c>
      <c r="H2738" t="s">
        <v>7294</v>
      </c>
      <c r="I2738" t="s">
        <v>7295</v>
      </c>
      <c r="J2738">
        <v>12</v>
      </c>
      <c r="K2738">
        <v>1071</v>
      </c>
      <c r="L2738">
        <v>50237</v>
      </c>
      <c r="M2738" t="s">
        <v>39</v>
      </c>
      <c r="N2738">
        <v>595</v>
      </c>
      <c r="O2738" s="2">
        <v>46203</v>
      </c>
      <c r="P2738" s="2">
        <v>46263</v>
      </c>
      <c r="R2738" t="s">
        <v>7296</v>
      </c>
      <c r="S2738" t="str">
        <f>"330000050914"</f>
        <v>330000050914</v>
      </c>
      <c r="T2738" t="s">
        <v>41</v>
      </c>
      <c r="U2738">
        <v>3662.63</v>
      </c>
      <c r="V2738">
        <v>3442.87</v>
      </c>
      <c r="W2738">
        <v>3442.87</v>
      </c>
      <c r="X2738">
        <v>0</v>
      </c>
      <c r="Y2738">
        <v>0</v>
      </c>
      <c r="Z2738">
        <v>-488</v>
      </c>
      <c r="AA2738">
        <v>693067</v>
      </c>
      <c r="AD2738" t="s">
        <v>3902</v>
      </c>
      <c r="AE2738" t="s">
        <v>7297</v>
      </c>
      <c r="AF2738" t="s">
        <v>3902</v>
      </c>
      <c r="AG2738">
        <v>12887219000133</v>
      </c>
      <c r="AH2738" t="s">
        <v>714</v>
      </c>
    </row>
    <row r="2739" spans="1:34" x14ac:dyDescent="0.3">
      <c r="A2739">
        <v>101</v>
      </c>
      <c r="B2739" t="s">
        <v>34</v>
      </c>
      <c r="C2739">
        <v>2</v>
      </c>
      <c r="D2739" s="1" t="s">
        <v>7298</v>
      </c>
      <c r="E2739" s="1" t="s">
        <v>36</v>
      </c>
      <c r="G2739">
        <v>1108</v>
      </c>
      <c r="H2739" t="s">
        <v>7299</v>
      </c>
      <c r="I2739" t="s">
        <v>7300</v>
      </c>
      <c r="J2739">
        <v>12</v>
      </c>
      <c r="K2739">
        <v>1108</v>
      </c>
      <c r="L2739">
        <v>50001</v>
      </c>
      <c r="M2739" t="s">
        <v>39</v>
      </c>
      <c r="N2739">
        <v>595</v>
      </c>
      <c r="O2739" s="2">
        <v>46254</v>
      </c>
      <c r="P2739" s="2">
        <v>46284</v>
      </c>
      <c r="R2739" t="s">
        <v>7301</v>
      </c>
      <c r="S2739" t="str">
        <f>"25666160000051956"</f>
        <v>25666160000051956</v>
      </c>
      <c r="T2739" t="s">
        <v>41</v>
      </c>
      <c r="U2739">
        <v>7204.94</v>
      </c>
      <c r="V2739">
        <v>7204.94</v>
      </c>
      <c r="W2739">
        <v>7204.94</v>
      </c>
      <c r="X2739">
        <v>0</v>
      </c>
      <c r="Y2739">
        <v>0</v>
      </c>
      <c r="Z2739">
        <v>-509</v>
      </c>
      <c r="AA2739">
        <v>4708</v>
      </c>
      <c r="AD2739" t="s">
        <v>7302</v>
      </c>
      <c r="AE2739" t="s">
        <v>7303</v>
      </c>
      <c r="AF2739" t="s">
        <v>7302</v>
      </c>
      <c r="AG2739">
        <v>43753904000109</v>
      </c>
      <c r="AH2739" t="s">
        <v>44</v>
      </c>
    </row>
    <row r="2740" spans="1:34" x14ac:dyDescent="0.3">
      <c r="A2740">
        <v>101</v>
      </c>
      <c r="B2740" t="s">
        <v>34</v>
      </c>
      <c r="C2740">
        <v>2</v>
      </c>
      <c r="D2740" s="1" t="s">
        <v>7304</v>
      </c>
      <c r="E2740" s="1" t="s">
        <v>36</v>
      </c>
      <c r="G2740">
        <v>5153</v>
      </c>
      <c r="H2740" t="s">
        <v>7305</v>
      </c>
      <c r="I2740" t="s">
        <v>7306</v>
      </c>
      <c r="J2740">
        <v>12</v>
      </c>
      <c r="K2740">
        <v>5153</v>
      </c>
      <c r="L2740">
        <v>50001</v>
      </c>
      <c r="M2740" t="s">
        <v>39</v>
      </c>
      <c r="N2740">
        <v>595</v>
      </c>
      <c r="O2740" s="2">
        <v>46255</v>
      </c>
      <c r="P2740" s="2">
        <v>46285</v>
      </c>
      <c r="R2740" t="s">
        <v>7307</v>
      </c>
      <c r="S2740" t="str">
        <f>"25666160000052010"</f>
        <v>25666160000052010</v>
      </c>
      <c r="T2740" t="s">
        <v>41</v>
      </c>
      <c r="U2740">
        <v>11769.6</v>
      </c>
      <c r="V2740">
        <v>11534.21</v>
      </c>
      <c r="W2740">
        <v>11534.21</v>
      </c>
      <c r="X2740">
        <v>0</v>
      </c>
      <c r="Y2740">
        <v>0</v>
      </c>
      <c r="Z2740">
        <v>-510</v>
      </c>
      <c r="AA2740">
        <v>4871</v>
      </c>
      <c r="AD2740" t="s">
        <v>7302</v>
      </c>
      <c r="AE2740" t="s">
        <v>7308</v>
      </c>
      <c r="AF2740" t="s">
        <v>7302</v>
      </c>
      <c r="AG2740">
        <v>51010502000134</v>
      </c>
      <c r="AH2740" t="s">
        <v>44</v>
      </c>
    </row>
    <row r="2741" spans="1:34" x14ac:dyDescent="0.3">
      <c r="A2741">
        <v>101</v>
      </c>
      <c r="B2741" t="s">
        <v>34</v>
      </c>
      <c r="C2741">
        <v>2</v>
      </c>
      <c r="D2741" s="1" t="s">
        <v>7309</v>
      </c>
      <c r="E2741" s="1" t="s">
        <v>116</v>
      </c>
      <c r="G2741">
        <v>12253</v>
      </c>
      <c r="H2741" t="s">
        <v>7310</v>
      </c>
      <c r="I2741" t="s">
        <v>7295</v>
      </c>
      <c r="J2741">
        <v>12</v>
      </c>
      <c r="K2741">
        <v>1071</v>
      </c>
      <c r="L2741">
        <v>50237</v>
      </c>
      <c r="M2741" t="s">
        <v>39</v>
      </c>
      <c r="N2741">
        <v>595</v>
      </c>
      <c r="O2741" s="2">
        <v>46203</v>
      </c>
      <c r="P2741" s="2">
        <v>46263</v>
      </c>
      <c r="R2741" t="s">
        <v>7311</v>
      </c>
      <c r="S2741" t="str">
        <f>"330000050957"</f>
        <v>330000050957</v>
      </c>
      <c r="T2741" t="s">
        <v>41</v>
      </c>
      <c r="U2741">
        <v>1297.18</v>
      </c>
      <c r="V2741">
        <v>1219.3499999999999</v>
      </c>
      <c r="W2741">
        <v>1219.3499999999999</v>
      </c>
      <c r="X2741">
        <v>0</v>
      </c>
      <c r="Y2741">
        <v>0</v>
      </c>
      <c r="Z2741">
        <v>-488</v>
      </c>
      <c r="AA2741">
        <v>693057</v>
      </c>
      <c r="AD2741" t="s">
        <v>3902</v>
      </c>
      <c r="AE2741" t="s">
        <v>7297</v>
      </c>
      <c r="AF2741" t="s">
        <v>3902</v>
      </c>
      <c r="AG2741">
        <v>12887219000303</v>
      </c>
      <c r="AH2741" t="s">
        <v>714</v>
      </c>
    </row>
    <row r="2742" spans="1:34" x14ac:dyDescent="0.3">
      <c r="A2742">
        <v>101</v>
      </c>
      <c r="B2742" t="s">
        <v>34</v>
      </c>
      <c r="C2742">
        <v>2</v>
      </c>
      <c r="D2742" s="1" t="s">
        <v>7312</v>
      </c>
      <c r="E2742" s="1" t="s">
        <v>36</v>
      </c>
      <c r="G2742">
        <v>434643</v>
      </c>
      <c r="H2742" t="s">
        <v>7313</v>
      </c>
      <c r="I2742" t="s">
        <v>7314</v>
      </c>
      <c r="J2742">
        <v>12</v>
      </c>
      <c r="K2742">
        <v>9772</v>
      </c>
      <c r="L2742">
        <v>50001</v>
      </c>
      <c r="M2742" t="s">
        <v>39</v>
      </c>
      <c r="N2742">
        <v>595</v>
      </c>
      <c r="O2742" s="2">
        <v>46217</v>
      </c>
      <c r="P2742" s="2">
        <v>46257</v>
      </c>
      <c r="R2742" t="s">
        <v>7315</v>
      </c>
      <c r="S2742" t="str">
        <f>"25666160000051419"</f>
        <v>25666160000051419</v>
      </c>
      <c r="T2742" t="s">
        <v>41</v>
      </c>
      <c r="U2742">
        <v>3208.03</v>
      </c>
      <c r="V2742">
        <v>3208.03</v>
      </c>
      <c r="W2742">
        <v>3208.03</v>
      </c>
      <c r="X2742">
        <v>0</v>
      </c>
      <c r="Y2742">
        <v>0</v>
      </c>
      <c r="Z2742">
        <v>-482</v>
      </c>
      <c r="AA2742">
        <v>694057</v>
      </c>
      <c r="AD2742" t="s">
        <v>7316</v>
      </c>
      <c r="AE2742" t="s">
        <v>7317</v>
      </c>
      <c r="AF2742" t="s">
        <v>7316</v>
      </c>
      <c r="AG2742">
        <v>20524113000101</v>
      </c>
      <c r="AH2742" t="s">
        <v>44</v>
      </c>
    </row>
    <row r="2743" spans="1:34" x14ac:dyDescent="0.3">
      <c r="A2743">
        <v>101</v>
      </c>
      <c r="B2743" t="s">
        <v>34</v>
      </c>
      <c r="C2743">
        <v>2</v>
      </c>
      <c r="D2743" s="1" t="s">
        <v>7318</v>
      </c>
      <c r="E2743" s="1" t="s">
        <v>116</v>
      </c>
      <c r="G2743">
        <v>464214</v>
      </c>
      <c r="H2743" t="s">
        <v>7319</v>
      </c>
      <c r="I2743" t="s">
        <v>7295</v>
      </c>
      <c r="J2743">
        <v>12</v>
      </c>
      <c r="K2743">
        <v>1071</v>
      </c>
      <c r="L2743">
        <v>50237</v>
      </c>
      <c r="M2743" t="s">
        <v>39</v>
      </c>
      <c r="N2743">
        <v>595</v>
      </c>
      <c r="O2743" s="2">
        <v>46203</v>
      </c>
      <c r="P2743" s="2">
        <v>46263</v>
      </c>
      <c r="R2743" t="s">
        <v>7320</v>
      </c>
      <c r="S2743" t="str">
        <f>"330000051007"</f>
        <v>330000051007</v>
      </c>
      <c r="T2743" t="s">
        <v>41</v>
      </c>
      <c r="U2743">
        <v>2565.9699999999998</v>
      </c>
      <c r="V2743">
        <v>2412.02</v>
      </c>
      <c r="W2743">
        <v>2412.02</v>
      </c>
      <c r="X2743">
        <v>0</v>
      </c>
      <c r="Y2743">
        <v>0</v>
      </c>
      <c r="Z2743">
        <v>-488</v>
      </c>
      <c r="AA2743">
        <v>693059</v>
      </c>
      <c r="AD2743" t="s">
        <v>3902</v>
      </c>
      <c r="AF2743" t="s">
        <v>3902</v>
      </c>
      <c r="AG2743">
        <v>12887219000567</v>
      </c>
      <c r="AH2743" t="s">
        <v>714</v>
      </c>
    </row>
    <row r="2744" spans="1:34" x14ac:dyDescent="0.3">
      <c r="A2744">
        <v>101</v>
      </c>
      <c r="B2744" t="s">
        <v>34</v>
      </c>
      <c r="C2744">
        <v>2</v>
      </c>
      <c r="D2744" s="1" t="s">
        <v>7321</v>
      </c>
      <c r="E2744" s="1" t="s">
        <v>116</v>
      </c>
      <c r="G2744">
        <v>464214</v>
      </c>
      <c r="H2744" t="s">
        <v>7319</v>
      </c>
      <c r="I2744" t="s">
        <v>7295</v>
      </c>
      <c r="J2744">
        <v>12</v>
      </c>
      <c r="K2744">
        <v>1071</v>
      </c>
      <c r="L2744">
        <v>50237</v>
      </c>
      <c r="M2744" t="s">
        <v>39</v>
      </c>
      <c r="N2744">
        <v>595</v>
      </c>
      <c r="O2744" s="2">
        <v>46246</v>
      </c>
      <c r="P2744" s="2">
        <v>46306</v>
      </c>
      <c r="R2744" t="s">
        <v>7322</v>
      </c>
      <c r="S2744" t="str">
        <f>"330000052143"</f>
        <v>330000052143</v>
      </c>
      <c r="T2744" t="s">
        <v>41</v>
      </c>
      <c r="U2744">
        <v>1170.22</v>
      </c>
      <c r="V2744">
        <v>1100.01</v>
      </c>
      <c r="W2744">
        <v>1100.01</v>
      </c>
      <c r="X2744">
        <v>0</v>
      </c>
      <c r="Y2744">
        <v>0</v>
      </c>
      <c r="Z2744">
        <v>-531</v>
      </c>
      <c r="AA2744">
        <v>4553</v>
      </c>
      <c r="AD2744" t="s">
        <v>3902</v>
      </c>
      <c r="AF2744" t="s">
        <v>3902</v>
      </c>
      <c r="AG2744">
        <v>12887219000567</v>
      </c>
      <c r="AH2744" t="s">
        <v>714</v>
      </c>
    </row>
    <row r="2745" spans="1:34" x14ac:dyDescent="0.3">
      <c r="A2745">
        <v>101</v>
      </c>
      <c r="B2745" t="s">
        <v>34</v>
      </c>
      <c r="C2745">
        <v>2</v>
      </c>
      <c r="D2745" s="1" t="s">
        <v>7321</v>
      </c>
      <c r="E2745" s="1" t="s">
        <v>122</v>
      </c>
      <c r="G2745">
        <v>464214</v>
      </c>
      <c r="H2745" t="s">
        <v>7319</v>
      </c>
      <c r="I2745" t="s">
        <v>7295</v>
      </c>
      <c r="J2745">
        <v>12</v>
      </c>
      <c r="K2745">
        <v>1071</v>
      </c>
      <c r="L2745">
        <v>50237</v>
      </c>
      <c r="M2745" t="s">
        <v>39</v>
      </c>
      <c r="N2745">
        <v>595</v>
      </c>
      <c r="O2745" s="2">
        <v>46246</v>
      </c>
      <c r="P2745" s="2">
        <v>46291</v>
      </c>
      <c r="R2745" t="s">
        <v>7322</v>
      </c>
      <c r="S2745" t="str">
        <f>"330000052135"</f>
        <v>330000052135</v>
      </c>
      <c r="T2745" t="s">
        <v>41</v>
      </c>
      <c r="U2745">
        <v>1169.8599999999999</v>
      </c>
      <c r="V2745">
        <v>1099.67</v>
      </c>
      <c r="W2745">
        <v>1099.67</v>
      </c>
      <c r="X2745">
        <v>0</v>
      </c>
      <c r="Y2745">
        <v>0</v>
      </c>
      <c r="Z2745">
        <v>-516</v>
      </c>
      <c r="AA2745">
        <v>4553</v>
      </c>
      <c r="AD2745" t="s">
        <v>3902</v>
      </c>
      <c r="AF2745" t="s">
        <v>3902</v>
      </c>
      <c r="AG2745">
        <v>12887219000567</v>
      </c>
      <c r="AH2745" t="s">
        <v>714</v>
      </c>
    </row>
    <row r="2746" spans="1:34" x14ac:dyDescent="0.3">
      <c r="A2746">
        <v>101</v>
      </c>
      <c r="B2746" t="s">
        <v>34</v>
      </c>
      <c r="C2746">
        <v>2</v>
      </c>
      <c r="D2746" s="1" t="s">
        <v>7321</v>
      </c>
      <c r="E2746" s="1" t="s">
        <v>36</v>
      </c>
      <c r="G2746">
        <v>464214</v>
      </c>
      <c r="H2746" t="s">
        <v>7319</v>
      </c>
      <c r="I2746" t="s">
        <v>7295</v>
      </c>
      <c r="J2746">
        <v>12</v>
      </c>
      <c r="K2746">
        <v>1071</v>
      </c>
      <c r="L2746">
        <v>50237</v>
      </c>
      <c r="M2746" t="s">
        <v>39</v>
      </c>
      <c r="N2746">
        <v>595</v>
      </c>
      <c r="O2746" s="2">
        <v>46246</v>
      </c>
      <c r="P2746" s="2">
        <v>46276</v>
      </c>
      <c r="R2746" t="s">
        <v>7322</v>
      </c>
      <c r="S2746" t="str">
        <f>"330000052127"</f>
        <v>330000052127</v>
      </c>
      <c r="T2746" t="s">
        <v>41</v>
      </c>
      <c r="U2746">
        <v>1248.6400000000001</v>
      </c>
      <c r="V2746">
        <v>1173.72</v>
      </c>
      <c r="W2746">
        <v>1173.72</v>
      </c>
      <c r="X2746">
        <v>0</v>
      </c>
      <c r="Y2746">
        <v>0</v>
      </c>
      <c r="Z2746">
        <v>-501</v>
      </c>
      <c r="AA2746">
        <v>4553</v>
      </c>
      <c r="AD2746" t="s">
        <v>3902</v>
      </c>
      <c r="AF2746" t="s">
        <v>3902</v>
      </c>
      <c r="AG2746">
        <v>12887219000567</v>
      </c>
      <c r="AH2746" t="s">
        <v>714</v>
      </c>
    </row>
    <row r="2747" spans="1:34" x14ac:dyDescent="0.3">
      <c r="A2747">
        <v>101</v>
      </c>
      <c r="B2747" t="s">
        <v>34</v>
      </c>
      <c r="C2747">
        <v>2</v>
      </c>
      <c r="D2747" s="1" t="s">
        <v>7323</v>
      </c>
      <c r="E2747" s="1" t="s">
        <v>36</v>
      </c>
      <c r="G2747">
        <v>464481</v>
      </c>
      <c r="H2747" t="s">
        <v>7324</v>
      </c>
      <c r="I2747" t="s">
        <v>7325</v>
      </c>
      <c r="J2747">
        <v>15</v>
      </c>
      <c r="K2747">
        <v>464481</v>
      </c>
      <c r="L2747">
        <v>50341</v>
      </c>
      <c r="M2747" t="s">
        <v>146</v>
      </c>
      <c r="N2747">
        <v>595</v>
      </c>
      <c r="O2747" s="2">
        <v>46245</v>
      </c>
      <c r="P2747" s="2">
        <v>46285</v>
      </c>
      <c r="R2747" t="s">
        <v>7326</v>
      </c>
      <c r="S2747" t="str">
        <f>"00013660"</f>
        <v>00013660</v>
      </c>
      <c r="T2747" t="s">
        <v>41</v>
      </c>
      <c r="U2747">
        <v>41227.65</v>
      </c>
      <c r="V2747">
        <v>40403.1</v>
      </c>
      <c r="W2747">
        <v>40403.1</v>
      </c>
      <c r="X2747">
        <v>0</v>
      </c>
      <c r="Y2747">
        <v>0</v>
      </c>
      <c r="Z2747">
        <v>-510</v>
      </c>
      <c r="AA2747">
        <v>4367</v>
      </c>
      <c r="AD2747" t="s">
        <v>3275</v>
      </c>
      <c r="AE2747" t="s">
        <v>7327</v>
      </c>
      <c r="AF2747" t="s">
        <v>3275</v>
      </c>
      <c r="AG2747" s="1" t="s">
        <v>7328</v>
      </c>
      <c r="AH2747" t="s">
        <v>44</v>
      </c>
    </row>
    <row r="2748" spans="1:34" x14ac:dyDescent="0.3">
      <c r="A2748">
        <v>101</v>
      </c>
      <c r="B2748" t="s">
        <v>34</v>
      </c>
      <c r="C2748">
        <v>2</v>
      </c>
      <c r="D2748" s="1" t="s">
        <v>7329</v>
      </c>
      <c r="E2748" s="1" t="s">
        <v>36</v>
      </c>
      <c r="G2748">
        <v>464481</v>
      </c>
      <c r="H2748" t="s">
        <v>7324</v>
      </c>
      <c r="I2748" t="s">
        <v>7325</v>
      </c>
      <c r="J2748">
        <v>15</v>
      </c>
      <c r="K2748">
        <v>464481</v>
      </c>
      <c r="L2748">
        <v>50341</v>
      </c>
      <c r="M2748" t="s">
        <v>146</v>
      </c>
      <c r="N2748">
        <v>595</v>
      </c>
      <c r="O2748" s="2">
        <v>46254</v>
      </c>
      <c r="P2748" s="2">
        <v>46294</v>
      </c>
      <c r="R2748" t="s">
        <v>7330</v>
      </c>
      <c r="S2748" t="str">
        <f>"00013713"</f>
        <v>00013713</v>
      </c>
      <c r="T2748" t="s">
        <v>41</v>
      </c>
      <c r="U2748">
        <v>3837.13</v>
      </c>
      <c r="V2748">
        <v>3760.39</v>
      </c>
      <c r="W2748">
        <v>3760.39</v>
      </c>
      <c r="X2748">
        <v>0</v>
      </c>
      <c r="Y2748">
        <v>0</v>
      </c>
      <c r="Z2748">
        <v>-519</v>
      </c>
      <c r="AA2748">
        <v>4367</v>
      </c>
      <c r="AD2748" t="s">
        <v>3275</v>
      </c>
      <c r="AE2748" t="s">
        <v>7327</v>
      </c>
      <c r="AF2748" t="s">
        <v>3275</v>
      </c>
      <c r="AG2748" s="1" t="s">
        <v>7328</v>
      </c>
      <c r="AH2748" t="s">
        <v>44</v>
      </c>
    </row>
    <row r="2749" spans="1:34" x14ac:dyDescent="0.3">
      <c r="A2749">
        <v>101</v>
      </c>
      <c r="B2749" t="s">
        <v>34</v>
      </c>
      <c r="C2749">
        <v>2</v>
      </c>
      <c r="D2749" s="1" t="s">
        <v>7331</v>
      </c>
      <c r="E2749" s="1" t="s">
        <v>36</v>
      </c>
      <c r="G2749">
        <v>465636</v>
      </c>
      <c r="H2749" t="s">
        <v>7332</v>
      </c>
      <c r="I2749" t="s">
        <v>7333</v>
      </c>
      <c r="J2749">
        <v>12</v>
      </c>
      <c r="K2749">
        <v>5153</v>
      </c>
      <c r="L2749">
        <v>50001</v>
      </c>
      <c r="M2749" t="s">
        <v>39</v>
      </c>
      <c r="N2749">
        <v>595</v>
      </c>
      <c r="O2749" s="2">
        <v>46255</v>
      </c>
      <c r="P2749" s="2">
        <v>46285</v>
      </c>
      <c r="R2749" t="s">
        <v>7334</v>
      </c>
      <c r="S2749" t="str">
        <f>"25666160000052003"</f>
        <v>25666160000052003</v>
      </c>
      <c r="T2749" t="s">
        <v>41</v>
      </c>
      <c r="U2749">
        <v>11769.6</v>
      </c>
      <c r="V2749">
        <v>11534.21</v>
      </c>
      <c r="W2749">
        <v>11534.21</v>
      </c>
      <c r="X2749">
        <v>0</v>
      </c>
      <c r="Y2749">
        <v>0</v>
      </c>
      <c r="Z2749">
        <v>-510</v>
      </c>
      <c r="AA2749">
        <v>4876</v>
      </c>
      <c r="AD2749" t="s">
        <v>7302</v>
      </c>
      <c r="AE2749" t="s">
        <v>7335</v>
      </c>
      <c r="AF2749" t="s">
        <v>7302</v>
      </c>
      <c r="AG2749">
        <v>51010502001025</v>
      </c>
      <c r="AH2749" t="s">
        <v>44</v>
      </c>
    </row>
    <row r="2750" spans="1:34" x14ac:dyDescent="0.3">
      <c r="A2750">
        <v>101</v>
      </c>
      <c r="B2750" t="s">
        <v>34</v>
      </c>
      <c r="C2750">
        <v>2</v>
      </c>
      <c r="D2750" s="1" t="s">
        <v>7336</v>
      </c>
      <c r="E2750" s="1" t="s">
        <v>36</v>
      </c>
      <c r="G2750">
        <v>999000123</v>
      </c>
      <c r="H2750" t="s">
        <v>7337</v>
      </c>
      <c r="I2750" t="s">
        <v>7295</v>
      </c>
      <c r="J2750">
        <v>12</v>
      </c>
      <c r="K2750">
        <v>1071</v>
      </c>
      <c r="L2750">
        <v>50237</v>
      </c>
      <c r="M2750" t="s">
        <v>39</v>
      </c>
      <c r="N2750">
        <v>595</v>
      </c>
      <c r="O2750" s="2">
        <v>46246</v>
      </c>
      <c r="P2750" s="2">
        <v>46276</v>
      </c>
      <c r="R2750" t="s">
        <v>7338</v>
      </c>
      <c r="S2750" t="str">
        <f>"330000052151"</f>
        <v>330000052151</v>
      </c>
      <c r="T2750" t="s">
        <v>41</v>
      </c>
      <c r="U2750">
        <v>1090.83</v>
      </c>
      <c r="V2750">
        <v>1025.3800000000001</v>
      </c>
      <c r="W2750">
        <v>1025.3800000000001</v>
      </c>
      <c r="X2750">
        <v>0</v>
      </c>
      <c r="Y2750">
        <v>0</v>
      </c>
      <c r="Z2750">
        <v>-501</v>
      </c>
      <c r="AA2750">
        <v>4559</v>
      </c>
      <c r="AD2750" t="s">
        <v>3902</v>
      </c>
      <c r="AE2750" t="s">
        <v>7339</v>
      </c>
      <c r="AF2750" t="s">
        <v>3902</v>
      </c>
      <c r="AG2750">
        <v>12887219000214</v>
      </c>
      <c r="AH2750" t="s">
        <v>714</v>
      </c>
    </row>
    <row r="2751" spans="1:34" x14ac:dyDescent="0.3">
      <c r="A2751">
        <v>101</v>
      </c>
      <c r="B2751" t="s">
        <v>34</v>
      </c>
      <c r="C2751">
        <v>2</v>
      </c>
      <c r="D2751" s="1" t="s">
        <v>7336</v>
      </c>
      <c r="E2751" s="1" t="s">
        <v>122</v>
      </c>
      <c r="G2751">
        <v>999000123</v>
      </c>
      <c r="H2751" t="s">
        <v>7337</v>
      </c>
      <c r="I2751" t="s">
        <v>7295</v>
      </c>
      <c r="J2751">
        <v>12</v>
      </c>
      <c r="K2751">
        <v>1071</v>
      </c>
      <c r="L2751">
        <v>50237</v>
      </c>
      <c r="M2751" t="s">
        <v>39</v>
      </c>
      <c r="N2751">
        <v>595</v>
      </c>
      <c r="O2751" s="2">
        <v>46246</v>
      </c>
      <c r="P2751" s="2">
        <v>46291</v>
      </c>
      <c r="R2751" t="s">
        <v>7338</v>
      </c>
      <c r="S2751" t="str">
        <f>"33000005216P"</f>
        <v>33000005216P</v>
      </c>
      <c r="T2751" t="s">
        <v>41</v>
      </c>
      <c r="U2751">
        <v>1034.78</v>
      </c>
      <c r="V2751">
        <v>972.69</v>
      </c>
      <c r="W2751">
        <v>972.69</v>
      </c>
      <c r="X2751">
        <v>0</v>
      </c>
      <c r="Y2751">
        <v>0</v>
      </c>
      <c r="Z2751">
        <v>-516</v>
      </c>
      <c r="AA2751">
        <v>4559</v>
      </c>
      <c r="AD2751" t="s">
        <v>3902</v>
      </c>
      <c r="AE2751" t="s">
        <v>7339</v>
      </c>
      <c r="AF2751" t="s">
        <v>3902</v>
      </c>
      <c r="AG2751">
        <v>12887219000214</v>
      </c>
      <c r="AH2751" t="s">
        <v>714</v>
      </c>
    </row>
    <row r="2752" spans="1:34" x14ac:dyDescent="0.3">
      <c r="A2752">
        <v>101</v>
      </c>
      <c r="B2752" t="s">
        <v>34</v>
      </c>
      <c r="C2752">
        <v>2</v>
      </c>
      <c r="D2752" s="1" t="s">
        <v>7336</v>
      </c>
      <c r="E2752" s="1" t="s">
        <v>116</v>
      </c>
      <c r="G2752">
        <v>999000123</v>
      </c>
      <c r="H2752" t="s">
        <v>7337</v>
      </c>
      <c r="I2752" t="s">
        <v>7295</v>
      </c>
      <c r="J2752">
        <v>12</v>
      </c>
      <c r="K2752">
        <v>1071</v>
      </c>
      <c r="L2752">
        <v>50237</v>
      </c>
      <c r="M2752" t="s">
        <v>39</v>
      </c>
      <c r="N2752">
        <v>595</v>
      </c>
      <c r="O2752" s="2">
        <v>46246</v>
      </c>
      <c r="P2752" s="2">
        <v>46306</v>
      </c>
      <c r="R2752" t="s">
        <v>7338</v>
      </c>
      <c r="S2752" t="str">
        <f>"330000052178"</f>
        <v>330000052178</v>
      </c>
      <c r="T2752" t="s">
        <v>41</v>
      </c>
      <c r="U2752">
        <v>1035.08</v>
      </c>
      <c r="V2752">
        <v>972.98</v>
      </c>
      <c r="W2752">
        <v>972.98</v>
      </c>
      <c r="X2752">
        <v>0</v>
      </c>
      <c r="Y2752">
        <v>0</v>
      </c>
      <c r="Z2752">
        <v>-531</v>
      </c>
      <c r="AA2752">
        <v>4559</v>
      </c>
      <c r="AD2752" t="s">
        <v>3902</v>
      </c>
      <c r="AE2752" t="s">
        <v>7339</v>
      </c>
      <c r="AF2752" t="s">
        <v>3902</v>
      </c>
      <c r="AG2752">
        <v>12887219000214</v>
      </c>
      <c r="AH2752" t="s">
        <v>714</v>
      </c>
    </row>
    <row r="2753" spans="1:34" x14ac:dyDescent="0.3">
      <c r="A2753">
        <v>101</v>
      </c>
      <c r="B2753" t="s">
        <v>34</v>
      </c>
      <c r="C2753">
        <v>2</v>
      </c>
      <c r="D2753" s="1" t="s">
        <v>7340</v>
      </c>
      <c r="E2753" s="1" t="s">
        <v>116</v>
      </c>
      <c r="G2753">
        <v>999000123</v>
      </c>
      <c r="H2753" t="s">
        <v>7337</v>
      </c>
      <c r="I2753" t="s">
        <v>7295</v>
      </c>
      <c r="J2753">
        <v>12</v>
      </c>
      <c r="K2753">
        <v>1071</v>
      </c>
      <c r="L2753">
        <v>50237</v>
      </c>
      <c r="M2753" t="s">
        <v>39</v>
      </c>
      <c r="N2753">
        <v>595</v>
      </c>
      <c r="O2753" s="2">
        <v>46203</v>
      </c>
      <c r="P2753" s="2">
        <v>46263</v>
      </c>
      <c r="R2753" t="s">
        <v>7341</v>
      </c>
      <c r="S2753" t="str">
        <f>"33000005104P"</f>
        <v>33000005104P</v>
      </c>
      <c r="T2753" t="s">
        <v>41</v>
      </c>
      <c r="U2753">
        <v>4124.33</v>
      </c>
      <c r="V2753">
        <v>4124.33</v>
      </c>
      <c r="W2753">
        <v>4124.33</v>
      </c>
      <c r="X2753">
        <v>0</v>
      </c>
      <c r="Y2753">
        <v>0</v>
      </c>
      <c r="Z2753">
        <v>-488</v>
      </c>
      <c r="AA2753">
        <v>693058</v>
      </c>
      <c r="AD2753" t="s">
        <v>3902</v>
      </c>
      <c r="AE2753" t="s">
        <v>7339</v>
      </c>
      <c r="AF2753" t="s">
        <v>3902</v>
      </c>
      <c r="AG2753">
        <v>12887219000214</v>
      </c>
      <c r="AH2753" t="s">
        <v>714</v>
      </c>
    </row>
    <row r="2754" spans="1:34" x14ac:dyDescent="0.3">
      <c r="A2754">
        <v>101</v>
      </c>
      <c r="B2754" t="s">
        <v>34</v>
      </c>
      <c r="C2754">
        <v>2</v>
      </c>
      <c r="D2754" s="1" t="s">
        <v>7342</v>
      </c>
      <c r="E2754" s="1" t="s">
        <v>36</v>
      </c>
      <c r="G2754">
        <v>999000144</v>
      </c>
      <c r="H2754" t="s">
        <v>7343</v>
      </c>
      <c r="I2754" t="s">
        <v>7344</v>
      </c>
      <c r="J2754">
        <v>12</v>
      </c>
      <c r="K2754">
        <v>5153</v>
      </c>
      <c r="L2754">
        <v>50001</v>
      </c>
      <c r="M2754" t="s">
        <v>39</v>
      </c>
      <c r="N2754">
        <v>595</v>
      </c>
      <c r="O2754" s="2">
        <v>46255</v>
      </c>
      <c r="P2754" s="2">
        <v>46285</v>
      </c>
      <c r="R2754" t="s">
        <v>7345</v>
      </c>
      <c r="S2754" t="str">
        <f>"25666160000052011"</f>
        <v>25666160000052011</v>
      </c>
      <c r="T2754" t="s">
        <v>41</v>
      </c>
      <c r="U2754">
        <v>11544.24</v>
      </c>
      <c r="V2754">
        <v>11313.36</v>
      </c>
      <c r="W2754">
        <v>11313.36</v>
      </c>
      <c r="X2754">
        <v>0</v>
      </c>
      <c r="Y2754">
        <v>0</v>
      </c>
      <c r="Z2754">
        <v>-510</v>
      </c>
      <c r="AA2754">
        <v>4872</v>
      </c>
      <c r="AD2754" t="s">
        <v>7302</v>
      </c>
      <c r="AE2754" t="s">
        <v>7346</v>
      </c>
      <c r="AF2754" t="s">
        <v>7302</v>
      </c>
      <c r="AG2754">
        <v>51010502000800</v>
      </c>
      <c r="AH2754" t="s">
        <v>44</v>
      </c>
    </row>
    <row r="2755" spans="1:34" x14ac:dyDescent="0.3">
      <c r="A2755">
        <v>101</v>
      </c>
      <c r="B2755" t="s">
        <v>34</v>
      </c>
      <c r="C2755">
        <v>2</v>
      </c>
      <c r="D2755" s="1" t="s">
        <v>7347</v>
      </c>
      <c r="E2755" s="1" t="s">
        <v>36</v>
      </c>
      <c r="G2755">
        <v>999000158</v>
      </c>
      <c r="H2755" t="s">
        <v>7348</v>
      </c>
      <c r="I2755" t="s">
        <v>7349</v>
      </c>
      <c r="J2755">
        <v>12</v>
      </c>
      <c r="K2755">
        <v>9772</v>
      </c>
      <c r="L2755">
        <v>50001</v>
      </c>
      <c r="M2755" t="s">
        <v>39</v>
      </c>
      <c r="N2755">
        <v>595</v>
      </c>
      <c r="O2755" s="2">
        <v>46223</v>
      </c>
      <c r="P2755" s="2">
        <v>46268</v>
      </c>
      <c r="R2755" t="s">
        <v>7350</v>
      </c>
      <c r="S2755" t="str">
        <f>"25666160000051653"</f>
        <v>25666160000051653</v>
      </c>
      <c r="T2755" t="s">
        <v>41</v>
      </c>
      <c r="U2755">
        <v>4185.1400000000003</v>
      </c>
      <c r="V2755">
        <v>4185.1400000000003</v>
      </c>
      <c r="W2755">
        <v>4185.1400000000003</v>
      </c>
      <c r="X2755">
        <v>0</v>
      </c>
      <c r="Y2755">
        <v>0</v>
      </c>
      <c r="Z2755">
        <v>-493</v>
      </c>
      <c r="AA2755">
        <v>1266</v>
      </c>
      <c r="AD2755" t="s">
        <v>7351</v>
      </c>
      <c r="AE2755" t="s">
        <v>7352</v>
      </c>
      <c r="AF2755" t="s">
        <v>7351</v>
      </c>
      <c r="AG2755" s="1" t="s">
        <v>7353</v>
      </c>
      <c r="AH2755" t="s">
        <v>44</v>
      </c>
    </row>
    <row r="2756" spans="1:34" x14ac:dyDescent="0.3">
      <c r="A2756">
        <v>101</v>
      </c>
      <c r="B2756" t="s">
        <v>34</v>
      </c>
      <c r="C2756">
        <v>2</v>
      </c>
      <c r="D2756" s="1" t="s">
        <v>7354</v>
      </c>
      <c r="E2756" s="1" t="s">
        <v>36</v>
      </c>
      <c r="G2756">
        <v>999000160</v>
      </c>
      <c r="H2756" t="s">
        <v>7355</v>
      </c>
      <c r="I2756" t="s">
        <v>7356</v>
      </c>
      <c r="J2756">
        <v>12</v>
      </c>
      <c r="K2756">
        <v>9772</v>
      </c>
      <c r="L2756">
        <v>50001</v>
      </c>
      <c r="M2756" t="s">
        <v>39</v>
      </c>
      <c r="N2756">
        <v>595</v>
      </c>
      <c r="O2756" s="2">
        <v>46223</v>
      </c>
      <c r="P2756" s="2">
        <v>46268</v>
      </c>
      <c r="R2756" t="s">
        <v>7357</v>
      </c>
      <c r="S2756" t="str">
        <f>"25666160000051654"</f>
        <v>25666160000051654</v>
      </c>
      <c r="T2756" t="s">
        <v>41</v>
      </c>
      <c r="U2756">
        <v>3829.13</v>
      </c>
      <c r="V2756">
        <v>3829.13</v>
      </c>
      <c r="W2756">
        <v>3829.13</v>
      </c>
      <c r="X2756">
        <v>0</v>
      </c>
      <c r="Y2756">
        <v>0</v>
      </c>
      <c r="Z2756">
        <v>-493</v>
      </c>
      <c r="AA2756">
        <v>1260</v>
      </c>
      <c r="AD2756" t="s">
        <v>7351</v>
      </c>
      <c r="AE2756" t="s">
        <v>7358</v>
      </c>
      <c r="AF2756" t="s">
        <v>7351</v>
      </c>
      <c r="AG2756" s="1" t="s">
        <v>7359</v>
      </c>
      <c r="AH2756" t="s">
        <v>44</v>
      </c>
    </row>
    <row r="2757" spans="1:34" x14ac:dyDescent="0.3">
      <c r="A2757">
        <v>101</v>
      </c>
      <c r="B2757" t="s">
        <v>34</v>
      </c>
      <c r="C2757">
        <v>2</v>
      </c>
      <c r="D2757" s="1" t="s">
        <v>7360</v>
      </c>
      <c r="E2757" s="1" t="s">
        <v>36</v>
      </c>
      <c r="G2757">
        <v>999000173</v>
      </c>
      <c r="H2757" t="s">
        <v>7361</v>
      </c>
      <c r="I2757" t="s">
        <v>7362</v>
      </c>
      <c r="J2757">
        <v>12</v>
      </c>
      <c r="K2757">
        <v>9772</v>
      </c>
      <c r="L2757">
        <v>50341</v>
      </c>
      <c r="M2757" t="s">
        <v>146</v>
      </c>
      <c r="N2757">
        <v>595</v>
      </c>
      <c r="O2757" s="2">
        <v>46223</v>
      </c>
      <c r="P2757" s="2">
        <v>46268</v>
      </c>
      <c r="R2757" t="s">
        <v>7363</v>
      </c>
      <c r="S2757" t="str">
        <f>"00013350"</f>
        <v>00013350</v>
      </c>
      <c r="T2757" t="s">
        <v>41</v>
      </c>
      <c r="U2757">
        <v>2663.95</v>
      </c>
      <c r="V2757">
        <v>2663.95</v>
      </c>
      <c r="W2757">
        <v>2663.95</v>
      </c>
      <c r="X2757">
        <v>0</v>
      </c>
      <c r="Y2757">
        <v>0</v>
      </c>
      <c r="Z2757">
        <v>-493</v>
      </c>
      <c r="AA2757">
        <v>1279</v>
      </c>
      <c r="AD2757" t="s">
        <v>7364</v>
      </c>
      <c r="AE2757" t="s">
        <v>7365</v>
      </c>
      <c r="AF2757" t="s">
        <v>7364</v>
      </c>
      <c r="AG2757" s="1" t="s">
        <v>7366</v>
      </c>
      <c r="AH2757" t="s">
        <v>44</v>
      </c>
    </row>
    <row r="2758" spans="1:34" x14ac:dyDescent="0.3">
      <c r="A2758">
        <v>101</v>
      </c>
      <c r="B2758" t="s">
        <v>34</v>
      </c>
      <c r="C2758">
        <v>2</v>
      </c>
      <c r="D2758" s="1" t="s">
        <v>7367</v>
      </c>
      <c r="E2758" s="1" t="s">
        <v>36</v>
      </c>
      <c r="G2758">
        <v>999000204</v>
      </c>
      <c r="H2758" t="s">
        <v>7368</v>
      </c>
      <c r="I2758" t="s">
        <v>7369</v>
      </c>
      <c r="J2758">
        <v>12</v>
      </c>
      <c r="K2758">
        <v>9772</v>
      </c>
      <c r="L2758">
        <v>50033</v>
      </c>
      <c r="M2758" t="s">
        <v>39</v>
      </c>
      <c r="N2758">
        <v>595</v>
      </c>
      <c r="O2758" s="2">
        <v>46216</v>
      </c>
      <c r="P2758" s="2">
        <v>46261</v>
      </c>
      <c r="R2758" t="s">
        <v>7370</v>
      </c>
      <c r="S2758" t="str">
        <f>"0000050410008"</f>
        <v>0000050410008</v>
      </c>
      <c r="T2758" t="s">
        <v>41</v>
      </c>
      <c r="U2758">
        <v>3076.26</v>
      </c>
      <c r="V2758">
        <v>3076.26</v>
      </c>
      <c r="W2758">
        <v>3076.26</v>
      </c>
      <c r="X2758">
        <v>0</v>
      </c>
      <c r="Y2758">
        <v>0</v>
      </c>
      <c r="Z2758">
        <v>-486</v>
      </c>
      <c r="AA2758">
        <v>693679</v>
      </c>
      <c r="AD2758" t="s">
        <v>6174</v>
      </c>
      <c r="AE2758" t="s">
        <v>7371</v>
      </c>
      <c r="AF2758" t="s">
        <v>6174</v>
      </c>
      <c r="AG2758">
        <v>48322606000412</v>
      </c>
      <c r="AH2758" t="s">
        <v>44</v>
      </c>
    </row>
    <row r="2759" spans="1:34" x14ac:dyDescent="0.3">
      <c r="A2759">
        <v>101</v>
      </c>
      <c r="B2759" t="s">
        <v>34</v>
      </c>
      <c r="C2759">
        <v>2</v>
      </c>
      <c r="D2759" s="1" t="s">
        <v>7372</v>
      </c>
      <c r="E2759" s="1" t="s">
        <v>36</v>
      </c>
      <c r="G2759">
        <v>999000441</v>
      </c>
      <c r="H2759" t="s">
        <v>7373</v>
      </c>
      <c r="I2759" t="s">
        <v>7374</v>
      </c>
      <c r="J2759">
        <v>12</v>
      </c>
      <c r="K2759">
        <v>9772</v>
      </c>
      <c r="L2759">
        <v>50033</v>
      </c>
      <c r="M2759" t="s">
        <v>39</v>
      </c>
      <c r="N2759">
        <v>595</v>
      </c>
      <c r="O2759" s="2">
        <v>46217</v>
      </c>
      <c r="P2759" s="2">
        <v>46270</v>
      </c>
      <c r="R2759" t="s">
        <v>7375</v>
      </c>
      <c r="S2759" t="str">
        <f>"0000050410016"</f>
        <v>0000050410016</v>
      </c>
      <c r="T2759" t="s">
        <v>41</v>
      </c>
      <c r="U2759">
        <v>1816.98</v>
      </c>
      <c r="V2759">
        <v>1816.98</v>
      </c>
      <c r="W2759">
        <v>1816.98</v>
      </c>
      <c r="X2759">
        <v>0</v>
      </c>
      <c r="Y2759">
        <v>0</v>
      </c>
      <c r="Z2759">
        <v>-495</v>
      </c>
      <c r="AA2759">
        <v>694061</v>
      </c>
      <c r="AD2759" t="s">
        <v>7376</v>
      </c>
      <c r="AE2759" t="s">
        <v>7377</v>
      </c>
      <c r="AF2759" t="s">
        <v>7376</v>
      </c>
      <c r="AG2759">
        <v>48322606000170</v>
      </c>
      <c r="AH2759" t="s">
        <v>44</v>
      </c>
    </row>
    <row r="2760" spans="1:34" x14ac:dyDescent="0.3">
      <c r="A2760">
        <v>101</v>
      </c>
      <c r="B2760" t="s">
        <v>34</v>
      </c>
      <c r="C2760">
        <v>2</v>
      </c>
      <c r="D2760" s="1" t="s">
        <v>7378</v>
      </c>
      <c r="E2760" s="1" t="s">
        <v>36</v>
      </c>
      <c r="G2760">
        <v>999002368</v>
      </c>
      <c r="H2760" t="s">
        <v>7379</v>
      </c>
      <c r="I2760" t="s">
        <v>7333</v>
      </c>
      <c r="J2760">
        <v>12</v>
      </c>
      <c r="K2760">
        <v>5153</v>
      </c>
      <c r="L2760">
        <v>50001</v>
      </c>
      <c r="M2760" t="s">
        <v>39</v>
      </c>
      <c r="N2760">
        <v>595</v>
      </c>
      <c r="O2760" s="2">
        <v>46255</v>
      </c>
      <c r="P2760" s="2">
        <v>46285</v>
      </c>
      <c r="R2760" t="s">
        <v>7380</v>
      </c>
      <c r="S2760" t="str">
        <f>"25666160000052012"</f>
        <v>25666160000052012</v>
      </c>
      <c r="T2760" t="s">
        <v>41</v>
      </c>
      <c r="U2760">
        <v>15192.5</v>
      </c>
      <c r="V2760">
        <v>14888.65</v>
      </c>
      <c r="W2760">
        <v>14888.65</v>
      </c>
      <c r="X2760">
        <v>0</v>
      </c>
      <c r="Y2760">
        <v>0</v>
      </c>
      <c r="Z2760">
        <v>-510</v>
      </c>
      <c r="AA2760">
        <v>4873</v>
      </c>
      <c r="AD2760" t="s">
        <v>7302</v>
      </c>
      <c r="AE2760" t="s">
        <v>7381</v>
      </c>
      <c r="AF2760" t="s">
        <v>7302</v>
      </c>
      <c r="AG2760">
        <v>51010502000991</v>
      </c>
      <c r="AH2760" t="s">
        <v>44</v>
      </c>
    </row>
    <row r="2761" spans="1:34" x14ac:dyDescent="0.3">
      <c r="A2761">
        <v>101</v>
      </c>
      <c r="B2761" t="s">
        <v>34</v>
      </c>
      <c r="C2761">
        <v>2</v>
      </c>
      <c r="D2761" s="1" t="s">
        <v>7382</v>
      </c>
      <c r="E2761" s="1" t="s">
        <v>36</v>
      </c>
      <c r="G2761">
        <v>999002385</v>
      </c>
      <c r="H2761" t="s">
        <v>7383</v>
      </c>
      <c r="I2761" t="s">
        <v>7295</v>
      </c>
      <c r="J2761">
        <v>12</v>
      </c>
      <c r="K2761">
        <v>1071</v>
      </c>
      <c r="L2761">
        <v>50237</v>
      </c>
      <c r="M2761" t="s">
        <v>39</v>
      </c>
      <c r="N2761">
        <v>595</v>
      </c>
      <c r="O2761" s="2">
        <v>46254</v>
      </c>
      <c r="P2761" s="2">
        <v>46284</v>
      </c>
      <c r="R2761" t="s">
        <v>7384</v>
      </c>
      <c r="S2761" t="str">
        <f>"330000052364"</f>
        <v>330000052364</v>
      </c>
      <c r="T2761" t="s">
        <v>41</v>
      </c>
      <c r="U2761">
        <v>969.88</v>
      </c>
      <c r="V2761">
        <v>911.69</v>
      </c>
      <c r="W2761">
        <v>911.69</v>
      </c>
      <c r="X2761">
        <v>0</v>
      </c>
      <c r="Y2761">
        <v>0</v>
      </c>
      <c r="Z2761">
        <v>-509</v>
      </c>
      <c r="AA2761">
        <v>4562</v>
      </c>
      <c r="AD2761" t="s">
        <v>4202</v>
      </c>
      <c r="AE2761" t="s">
        <v>7385</v>
      </c>
      <c r="AF2761" t="s">
        <v>4202</v>
      </c>
      <c r="AG2761">
        <v>12887219000486</v>
      </c>
      <c r="AH2761" t="s">
        <v>44</v>
      </c>
    </row>
    <row r="2762" spans="1:34" x14ac:dyDescent="0.3">
      <c r="A2762">
        <v>101</v>
      </c>
      <c r="B2762" t="s">
        <v>34</v>
      </c>
      <c r="C2762">
        <v>2</v>
      </c>
      <c r="D2762" s="1" t="s">
        <v>7382</v>
      </c>
      <c r="E2762" s="1" t="s">
        <v>122</v>
      </c>
      <c r="G2762">
        <v>999002385</v>
      </c>
      <c r="H2762" t="s">
        <v>7383</v>
      </c>
      <c r="I2762" t="s">
        <v>7295</v>
      </c>
      <c r="J2762">
        <v>12</v>
      </c>
      <c r="K2762">
        <v>1071</v>
      </c>
      <c r="L2762">
        <v>50237</v>
      </c>
      <c r="M2762" t="s">
        <v>39</v>
      </c>
      <c r="N2762">
        <v>595</v>
      </c>
      <c r="O2762" s="2">
        <v>46254</v>
      </c>
      <c r="P2762" s="2">
        <v>46299</v>
      </c>
      <c r="R2762" t="s">
        <v>7384</v>
      </c>
      <c r="S2762" t="str">
        <f>"330000052372"</f>
        <v>330000052372</v>
      </c>
      <c r="T2762" t="s">
        <v>41</v>
      </c>
      <c r="U2762">
        <v>912.99</v>
      </c>
      <c r="V2762">
        <v>858.21</v>
      </c>
      <c r="W2762">
        <v>858.21</v>
      </c>
      <c r="X2762">
        <v>0</v>
      </c>
      <c r="Y2762">
        <v>0</v>
      </c>
      <c r="Z2762">
        <v>-524</v>
      </c>
      <c r="AA2762">
        <v>4562</v>
      </c>
      <c r="AD2762" t="s">
        <v>4202</v>
      </c>
      <c r="AE2762" t="s">
        <v>7385</v>
      </c>
      <c r="AF2762" t="s">
        <v>4202</v>
      </c>
      <c r="AG2762">
        <v>12887219000486</v>
      </c>
      <c r="AH2762" t="s">
        <v>44</v>
      </c>
    </row>
    <row r="2763" spans="1:34" x14ac:dyDescent="0.3">
      <c r="A2763">
        <v>101</v>
      </c>
      <c r="B2763" t="s">
        <v>34</v>
      </c>
      <c r="C2763">
        <v>2</v>
      </c>
      <c r="D2763" s="1" t="s">
        <v>7382</v>
      </c>
      <c r="E2763" s="1" t="s">
        <v>116</v>
      </c>
      <c r="G2763">
        <v>999002385</v>
      </c>
      <c r="H2763" t="s">
        <v>7383</v>
      </c>
      <c r="I2763" t="s">
        <v>7295</v>
      </c>
      <c r="J2763">
        <v>12</v>
      </c>
      <c r="K2763">
        <v>1071</v>
      </c>
      <c r="L2763">
        <v>50237</v>
      </c>
      <c r="M2763" t="s">
        <v>39</v>
      </c>
      <c r="N2763">
        <v>595</v>
      </c>
      <c r="O2763" s="2">
        <v>46254</v>
      </c>
      <c r="P2763" s="2">
        <v>46314</v>
      </c>
      <c r="R2763" t="s">
        <v>7384</v>
      </c>
      <c r="S2763" t="str">
        <f>"330000052380"</f>
        <v>330000052380</v>
      </c>
      <c r="T2763" t="s">
        <v>41</v>
      </c>
      <c r="U2763">
        <v>913.26</v>
      </c>
      <c r="V2763">
        <v>858.46</v>
      </c>
      <c r="W2763">
        <v>858.46</v>
      </c>
      <c r="X2763">
        <v>0</v>
      </c>
      <c r="Y2763">
        <v>0</v>
      </c>
      <c r="Z2763">
        <v>-539</v>
      </c>
      <c r="AA2763">
        <v>4562</v>
      </c>
      <c r="AD2763" t="s">
        <v>4202</v>
      </c>
      <c r="AE2763" t="s">
        <v>7385</v>
      </c>
      <c r="AF2763" t="s">
        <v>4202</v>
      </c>
      <c r="AG2763">
        <v>12887219000486</v>
      </c>
      <c r="AH2763" t="s">
        <v>44</v>
      </c>
    </row>
    <row r="2764" spans="1:34" x14ac:dyDescent="0.3">
      <c r="A2764">
        <v>101</v>
      </c>
      <c r="B2764" t="s">
        <v>34</v>
      </c>
      <c r="C2764">
        <v>2</v>
      </c>
      <c r="D2764" s="1" t="s">
        <v>7386</v>
      </c>
      <c r="E2764" s="1" t="s">
        <v>116</v>
      </c>
      <c r="G2764">
        <v>999002385</v>
      </c>
      <c r="H2764" t="s">
        <v>7383</v>
      </c>
      <c r="I2764" t="s">
        <v>7295</v>
      </c>
      <c r="J2764">
        <v>12</v>
      </c>
      <c r="K2764">
        <v>1071</v>
      </c>
      <c r="L2764">
        <v>50237</v>
      </c>
      <c r="M2764" t="s">
        <v>39</v>
      </c>
      <c r="N2764">
        <v>595</v>
      </c>
      <c r="O2764" s="2">
        <v>46203</v>
      </c>
      <c r="P2764" s="2">
        <v>46263</v>
      </c>
      <c r="R2764" t="s">
        <v>7387</v>
      </c>
      <c r="S2764" t="str">
        <f>"330000051074"</f>
        <v>330000051074</v>
      </c>
      <c r="T2764" t="s">
        <v>41</v>
      </c>
      <c r="U2764">
        <v>2736.22</v>
      </c>
      <c r="V2764">
        <v>2736.22</v>
      </c>
      <c r="W2764">
        <v>2736.22</v>
      </c>
      <c r="X2764">
        <v>0</v>
      </c>
      <c r="Y2764">
        <v>0</v>
      </c>
      <c r="Z2764">
        <v>-488</v>
      </c>
      <c r="AA2764">
        <v>693066</v>
      </c>
      <c r="AD2764" t="s">
        <v>4202</v>
      </c>
      <c r="AE2764" t="s">
        <v>7385</v>
      </c>
      <c r="AF2764" t="s">
        <v>4202</v>
      </c>
      <c r="AG2764">
        <v>12887219000486</v>
      </c>
      <c r="AH2764" t="s">
        <v>44</v>
      </c>
    </row>
    <row r="2765" spans="1:34" x14ac:dyDescent="0.3">
      <c r="A2765">
        <v>101</v>
      </c>
      <c r="B2765" t="s">
        <v>34</v>
      </c>
      <c r="C2765">
        <v>2</v>
      </c>
      <c r="D2765" s="1" t="s">
        <v>7388</v>
      </c>
      <c r="E2765" s="1" t="s">
        <v>122</v>
      </c>
      <c r="G2765">
        <v>12830</v>
      </c>
      <c r="H2765" t="s">
        <v>7389</v>
      </c>
      <c r="I2765" t="s">
        <v>7390</v>
      </c>
      <c r="J2765">
        <v>12</v>
      </c>
      <c r="K2765">
        <v>12830</v>
      </c>
      <c r="L2765">
        <v>50001</v>
      </c>
      <c r="M2765" t="s">
        <v>39</v>
      </c>
      <c r="N2765">
        <v>601</v>
      </c>
      <c r="O2765" s="2">
        <v>46227</v>
      </c>
      <c r="P2765" s="2">
        <v>46282</v>
      </c>
      <c r="R2765" t="s">
        <v>7391</v>
      </c>
      <c r="S2765" t="str">
        <f>"25666160000051596"</f>
        <v>25666160000051596</v>
      </c>
      <c r="T2765" t="s">
        <v>41</v>
      </c>
      <c r="U2765">
        <v>4355.3599999999997</v>
      </c>
      <c r="V2765">
        <v>4355.3599999999997</v>
      </c>
      <c r="W2765">
        <v>4355.3599999999997</v>
      </c>
      <c r="X2765">
        <v>0</v>
      </c>
      <c r="Y2765">
        <v>0</v>
      </c>
      <c r="Z2765">
        <v>-507</v>
      </c>
      <c r="AA2765">
        <v>1313</v>
      </c>
      <c r="AD2765" t="s">
        <v>6454</v>
      </c>
      <c r="AE2765" t="s">
        <v>7392</v>
      </c>
      <c r="AF2765" t="s">
        <v>6454</v>
      </c>
      <c r="AG2765">
        <v>34797837000206</v>
      </c>
      <c r="AH2765" t="s">
        <v>7010</v>
      </c>
    </row>
    <row r="2766" spans="1:34" x14ac:dyDescent="0.3">
      <c r="A2766">
        <v>101</v>
      </c>
      <c r="B2766" t="s">
        <v>34</v>
      </c>
      <c r="C2766">
        <v>2</v>
      </c>
      <c r="D2766" s="1" t="s">
        <v>7388</v>
      </c>
      <c r="E2766" s="1" t="s">
        <v>36</v>
      </c>
      <c r="G2766">
        <v>12830</v>
      </c>
      <c r="H2766" t="s">
        <v>7389</v>
      </c>
      <c r="I2766" t="s">
        <v>7390</v>
      </c>
      <c r="J2766">
        <v>12</v>
      </c>
      <c r="K2766">
        <v>12830</v>
      </c>
      <c r="L2766">
        <v>50001</v>
      </c>
      <c r="M2766" t="s">
        <v>39</v>
      </c>
      <c r="N2766">
        <v>601</v>
      </c>
      <c r="O2766" s="2">
        <v>46227</v>
      </c>
      <c r="P2766" s="2">
        <v>46272</v>
      </c>
      <c r="R2766" t="s">
        <v>7391</v>
      </c>
      <c r="S2766" t="str">
        <f>"25666160000051595"</f>
        <v>25666160000051595</v>
      </c>
      <c r="T2766" t="s">
        <v>41</v>
      </c>
      <c r="U2766">
        <v>4355.3599999999997</v>
      </c>
      <c r="V2766">
        <v>4355.3599999999997</v>
      </c>
      <c r="W2766">
        <v>4355.3599999999997</v>
      </c>
      <c r="X2766">
        <v>0</v>
      </c>
      <c r="Y2766">
        <v>0</v>
      </c>
      <c r="Z2766">
        <v>-497</v>
      </c>
      <c r="AA2766">
        <v>1313</v>
      </c>
      <c r="AD2766" t="s">
        <v>6454</v>
      </c>
      <c r="AE2766" t="s">
        <v>7392</v>
      </c>
      <c r="AF2766" t="s">
        <v>6454</v>
      </c>
      <c r="AG2766">
        <v>34797837000206</v>
      </c>
      <c r="AH2766" t="s">
        <v>7010</v>
      </c>
    </row>
    <row r="2767" spans="1:34" x14ac:dyDescent="0.3">
      <c r="A2767">
        <v>101</v>
      </c>
      <c r="B2767" t="s">
        <v>34</v>
      </c>
      <c r="C2767">
        <v>2</v>
      </c>
      <c r="D2767" s="1" t="s">
        <v>7388</v>
      </c>
      <c r="E2767" s="1" t="s">
        <v>116</v>
      </c>
      <c r="G2767">
        <v>12830</v>
      </c>
      <c r="H2767" t="s">
        <v>7389</v>
      </c>
      <c r="I2767" t="s">
        <v>7390</v>
      </c>
      <c r="J2767">
        <v>12</v>
      </c>
      <c r="K2767">
        <v>12830</v>
      </c>
      <c r="L2767">
        <v>50001</v>
      </c>
      <c r="M2767" t="s">
        <v>39</v>
      </c>
      <c r="N2767">
        <v>601</v>
      </c>
      <c r="O2767" s="2">
        <v>46227</v>
      </c>
      <c r="P2767" s="2">
        <v>46292</v>
      </c>
      <c r="R2767" t="s">
        <v>7391</v>
      </c>
      <c r="S2767" t="str">
        <f>"25666160000051597"</f>
        <v>25666160000051597</v>
      </c>
      <c r="T2767" t="s">
        <v>41</v>
      </c>
      <c r="U2767">
        <v>4356.67</v>
      </c>
      <c r="V2767">
        <v>4356.67</v>
      </c>
      <c r="W2767">
        <v>4356.67</v>
      </c>
      <c r="X2767">
        <v>0</v>
      </c>
      <c r="Y2767">
        <v>0</v>
      </c>
      <c r="Z2767">
        <v>-517</v>
      </c>
      <c r="AA2767">
        <v>1313</v>
      </c>
      <c r="AD2767" t="s">
        <v>6454</v>
      </c>
      <c r="AE2767" t="s">
        <v>7392</v>
      </c>
      <c r="AF2767" t="s">
        <v>6454</v>
      </c>
      <c r="AG2767">
        <v>34797837000206</v>
      </c>
      <c r="AH2767" t="s">
        <v>7010</v>
      </c>
    </row>
    <row r="2768" spans="1:34" x14ac:dyDescent="0.3">
      <c r="A2768">
        <v>101</v>
      </c>
      <c r="B2768" t="s">
        <v>34</v>
      </c>
      <c r="C2768">
        <v>2</v>
      </c>
      <c r="D2768" s="1" t="s">
        <v>7393</v>
      </c>
      <c r="E2768" s="1" t="s">
        <v>122</v>
      </c>
      <c r="G2768">
        <v>463289</v>
      </c>
      <c r="H2768" t="s">
        <v>7394</v>
      </c>
      <c r="I2768" t="s">
        <v>7395</v>
      </c>
      <c r="J2768">
        <v>12</v>
      </c>
      <c r="K2768">
        <v>463289</v>
      </c>
      <c r="L2768">
        <v>50341</v>
      </c>
      <c r="M2768" t="s">
        <v>146</v>
      </c>
      <c r="N2768">
        <v>601</v>
      </c>
      <c r="O2768" s="2">
        <v>46234</v>
      </c>
      <c r="P2768" s="2">
        <v>46279</v>
      </c>
      <c r="R2768" t="s">
        <v>7396</v>
      </c>
      <c r="S2768" t="str">
        <f>"00013411"</f>
        <v>00013411</v>
      </c>
      <c r="T2768" t="s">
        <v>41</v>
      </c>
      <c r="U2768">
        <v>11127.65</v>
      </c>
      <c r="V2768">
        <v>11127.65</v>
      </c>
      <c r="W2768">
        <v>11127.65</v>
      </c>
      <c r="X2768">
        <v>0</v>
      </c>
      <c r="Y2768">
        <v>0</v>
      </c>
      <c r="Z2768">
        <v>-504</v>
      </c>
      <c r="AA2768">
        <v>1956</v>
      </c>
      <c r="AD2768" t="s">
        <v>6454</v>
      </c>
      <c r="AE2768" t="s">
        <v>7397</v>
      </c>
      <c r="AF2768" t="s">
        <v>6454</v>
      </c>
      <c r="AG2768">
        <v>84025279000662</v>
      </c>
      <c r="AH2768" t="s">
        <v>7010</v>
      </c>
    </row>
    <row r="2769" spans="1:34" x14ac:dyDescent="0.3">
      <c r="A2769">
        <v>101</v>
      </c>
      <c r="B2769" t="s">
        <v>34</v>
      </c>
      <c r="C2769">
        <v>2</v>
      </c>
      <c r="D2769" s="1" t="s">
        <v>7393</v>
      </c>
      <c r="E2769" s="1" t="s">
        <v>116</v>
      </c>
      <c r="G2769">
        <v>463289</v>
      </c>
      <c r="H2769" t="s">
        <v>7394</v>
      </c>
      <c r="I2769" t="s">
        <v>7395</v>
      </c>
      <c r="J2769">
        <v>12</v>
      </c>
      <c r="K2769">
        <v>463289</v>
      </c>
      <c r="L2769">
        <v>50341</v>
      </c>
      <c r="M2769" t="s">
        <v>146</v>
      </c>
      <c r="N2769">
        <v>601</v>
      </c>
      <c r="O2769" s="2">
        <v>46234</v>
      </c>
      <c r="P2769" s="2">
        <v>46289</v>
      </c>
      <c r="R2769" t="s">
        <v>7396</v>
      </c>
      <c r="S2769" t="str">
        <f>"00013412"</f>
        <v>00013412</v>
      </c>
      <c r="T2769" t="s">
        <v>41</v>
      </c>
      <c r="U2769">
        <v>11130.99</v>
      </c>
      <c r="V2769">
        <v>11130.99</v>
      </c>
      <c r="W2769">
        <v>11130.99</v>
      </c>
      <c r="X2769">
        <v>0</v>
      </c>
      <c r="Y2769">
        <v>0</v>
      </c>
      <c r="Z2769">
        <v>-514</v>
      </c>
      <c r="AA2769">
        <v>1956</v>
      </c>
      <c r="AD2769" t="s">
        <v>6454</v>
      </c>
      <c r="AE2769" t="s">
        <v>7397</v>
      </c>
      <c r="AF2769" t="s">
        <v>6454</v>
      </c>
      <c r="AG2769">
        <v>84025279000662</v>
      </c>
      <c r="AH2769" t="s">
        <v>7010</v>
      </c>
    </row>
    <row r="2770" spans="1:34" x14ac:dyDescent="0.3">
      <c r="A2770">
        <v>101</v>
      </c>
      <c r="B2770" t="s">
        <v>34</v>
      </c>
      <c r="C2770">
        <v>2</v>
      </c>
      <c r="D2770" s="1" t="s">
        <v>7393</v>
      </c>
      <c r="E2770" s="1" t="s">
        <v>36</v>
      </c>
      <c r="G2770">
        <v>463289</v>
      </c>
      <c r="H2770" t="s">
        <v>7394</v>
      </c>
      <c r="I2770" t="s">
        <v>7395</v>
      </c>
      <c r="J2770">
        <v>12</v>
      </c>
      <c r="K2770">
        <v>463289</v>
      </c>
      <c r="L2770">
        <v>50341</v>
      </c>
      <c r="M2770" t="s">
        <v>146</v>
      </c>
      <c r="N2770">
        <v>601</v>
      </c>
      <c r="O2770" s="2">
        <v>46234</v>
      </c>
      <c r="P2770" s="2">
        <v>46269</v>
      </c>
      <c r="R2770" t="s">
        <v>7396</v>
      </c>
      <c r="S2770" t="str">
        <f>"00013410"</f>
        <v>00013410</v>
      </c>
      <c r="T2770" t="s">
        <v>41</v>
      </c>
      <c r="U2770">
        <v>11127.65</v>
      </c>
      <c r="V2770">
        <v>11127.65</v>
      </c>
      <c r="W2770">
        <v>11127.65</v>
      </c>
      <c r="X2770">
        <v>0</v>
      </c>
      <c r="Y2770">
        <v>0</v>
      </c>
      <c r="Z2770">
        <v>-494</v>
      </c>
      <c r="AA2770">
        <v>1956</v>
      </c>
      <c r="AD2770" t="s">
        <v>6454</v>
      </c>
      <c r="AE2770" t="s">
        <v>7397</v>
      </c>
      <c r="AF2770" t="s">
        <v>6454</v>
      </c>
      <c r="AG2770">
        <v>84025279000662</v>
      </c>
      <c r="AH2770" t="s">
        <v>7010</v>
      </c>
    </row>
    <row r="2771" spans="1:34" x14ac:dyDescent="0.3">
      <c r="A2771">
        <v>101</v>
      </c>
      <c r="B2771" t="s">
        <v>34</v>
      </c>
      <c r="C2771">
        <v>2</v>
      </c>
      <c r="D2771" s="1" t="s">
        <v>7398</v>
      </c>
      <c r="E2771" s="1" t="s">
        <v>116</v>
      </c>
      <c r="G2771">
        <v>466159</v>
      </c>
      <c r="H2771" t="s">
        <v>7399</v>
      </c>
      <c r="I2771" t="s">
        <v>7400</v>
      </c>
      <c r="J2771">
        <v>12</v>
      </c>
      <c r="K2771">
        <v>466159</v>
      </c>
      <c r="L2771">
        <v>50001</v>
      </c>
      <c r="M2771" t="s">
        <v>39</v>
      </c>
      <c r="N2771">
        <v>601</v>
      </c>
      <c r="O2771" s="2">
        <v>46255</v>
      </c>
      <c r="P2771" s="2">
        <v>46320</v>
      </c>
      <c r="R2771" t="s">
        <v>7401</v>
      </c>
      <c r="S2771" t="str">
        <f>"25666160000052006"</f>
        <v>25666160000052006</v>
      </c>
      <c r="T2771" t="s">
        <v>41</v>
      </c>
      <c r="U2771">
        <v>877.19</v>
      </c>
      <c r="V2771">
        <v>877.19</v>
      </c>
      <c r="W2771">
        <v>877.19</v>
      </c>
      <c r="X2771">
        <v>0</v>
      </c>
      <c r="Y2771">
        <v>0</v>
      </c>
      <c r="Z2771">
        <v>-545</v>
      </c>
      <c r="AA2771">
        <v>4302</v>
      </c>
      <c r="AD2771" t="s">
        <v>6454</v>
      </c>
      <c r="AE2771" t="s">
        <v>7402</v>
      </c>
      <c r="AF2771" t="s">
        <v>6454</v>
      </c>
      <c r="AG2771">
        <v>37586780000103</v>
      </c>
      <c r="AH2771" t="s">
        <v>7010</v>
      </c>
    </row>
    <row r="2772" spans="1:34" x14ac:dyDescent="0.3">
      <c r="A2772">
        <v>101</v>
      </c>
      <c r="B2772" t="s">
        <v>34</v>
      </c>
      <c r="C2772">
        <v>2</v>
      </c>
      <c r="D2772" s="1" t="s">
        <v>7398</v>
      </c>
      <c r="E2772" s="1" t="s">
        <v>122</v>
      </c>
      <c r="G2772">
        <v>466159</v>
      </c>
      <c r="H2772" t="s">
        <v>7399</v>
      </c>
      <c r="I2772" t="s">
        <v>7400</v>
      </c>
      <c r="J2772">
        <v>12</v>
      </c>
      <c r="K2772">
        <v>466159</v>
      </c>
      <c r="L2772">
        <v>50001</v>
      </c>
      <c r="M2772" t="s">
        <v>39</v>
      </c>
      <c r="N2772">
        <v>601</v>
      </c>
      <c r="O2772" s="2">
        <v>46255</v>
      </c>
      <c r="P2772" s="2">
        <v>46310</v>
      </c>
      <c r="R2772" t="s">
        <v>7401</v>
      </c>
      <c r="S2772" t="str">
        <f>"25666160000052005"</f>
        <v>25666160000052005</v>
      </c>
      <c r="T2772" t="s">
        <v>41</v>
      </c>
      <c r="U2772">
        <v>876.92</v>
      </c>
      <c r="V2772">
        <v>876.92</v>
      </c>
      <c r="W2772">
        <v>876.92</v>
      </c>
      <c r="X2772">
        <v>0</v>
      </c>
      <c r="Y2772">
        <v>0</v>
      </c>
      <c r="Z2772">
        <v>-535</v>
      </c>
      <c r="AA2772">
        <v>4302</v>
      </c>
      <c r="AD2772" t="s">
        <v>6454</v>
      </c>
      <c r="AE2772" t="s">
        <v>7402</v>
      </c>
      <c r="AF2772" t="s">
        <v>6454</v>
      </c>
      <c r="AG2772">
        <v>37586780000103</v>
      </c>
      <c r="AH2772" t="s">
        <v>7010</v>
      </c>
    </row>
    <row r="2773" spans="1:34" x14ac:dyDescent="0.3">
      <c r="A2773">
        <v>101</v>
      </c>
      <c r="B2773" t="s">
        <v>34</v>
      </c>
      <c r="C2773">
        <v>2</v>
      </c>
      <c r="D2773" s="1" t="s">
        <v>7398</v>
      </c>
      <c r="E2773" s="1" t="s">
        <v>36</v>
      </c>
      <c r="G2773">
        <v>466159</v>
      </c>
      <c r="H2773" t="s">
        <v>7399</v>
      </c>
      <c r="I2773" t="s">
        <v>7400</v>
      </c>
      <c r="J2773">
        <v>12</v>
      </c>
      <c r="K2773">
        <v>466159</v>
      </c>
      <c r="L2773">
        <v>50001</v>
      </c>
      <c r="M2773" t="s">
        <v>39</v>
      </c>
      <c r="N2773">
        <v>601</v>
      </c>
      <c r="O2773" s="2">
        <v>46255</v>
      </c>
      <c r="P2773" s="2">
        <v>46300</v>
      </c>
      <c r="R2773" t="s">
        <v>7401</v>
      </c>
      <c r="S2773" t="str">
        <f>"25666160000052004"</f>
        <v>25666160000052004</v>
      </c>
      <c r="T2773" t="s">
        <v>41</v>
      </c>
      <c r="U2773">
        <v>876.92</v>
      </c>
      <c r="V2773">
        <v>876.92</v>
      </c>
      <c r="W2773">
        <v>876.92</v>
      </c>
      <c r="X2773">
        <v>0</v>
      </c>
      <c r="Y2773">
        <v>0</v>
      </c>
      <c r="Z2773">
        <v>-525</v>
      </c>
      <c r="AA2773">
        <v>4302</v>
      </c>
      <c r="AD2773" t="s">
        <v>6454</v>
      </c>
      <c r="AE2773" t="s">
        <v>7402</v>
      </c>
      <c r="AF2773" t="s">
        <v>6454</v>
      </c>
      <c r="AG2773">
        <v>37586780000103</v>
      </c>
      <c r="AH2773" t="s">
        <v>7010</v>
      </c>
    </row>
    <row r="2774" spans="1:34" x14ac:dyDescent="0.3">
      <c r="A2774">
        <v>101</v>
      </c>
      <c r="B2774" t="s">
        <v>34</v>
      </c>
      <c r="C2774">
        <v>2</v>
      </c>
      <c r="D2774" s="1" t="s">
        <v>7403</v>
      </c>
      <c r="E2774" s="1" t="s">
        <v>122</v>
      </c>
      <c r="G2774">
        <v>468408</v>
      </c>
      <c r="H2774" t="s">
        <v>7404</v>
      </c>
      <c r="I2774" t="s">
        <v>7405</v>
      </c>
      <c r="J2774">
        <v>12</v>
      </c>
      <c r="K2774">
        <v>468408</v>
      </c>
      <c r="L2774">
        <v>50341</v>
      </c>
      <c r="M2774" t="s">
        <v>146</v>
      </c>
      <c r="N2774">
        <v>601</v>
      </c>
      <c r="O2774" s="2">
        <v>46181</v>
      </c>
      <c r="P2774" s="2">
        <v>46286</v>
      </c>
      <c r="R2774" t="s">
        <v>7406</v>
      </c>
      <c r="S2774" t="str">
        <f>"00012584"</f>
        <v>00012584</v>
      </c>
      <c r="T2774" t="s">
        <v>41</v>
      </c>
      <c r="U2774">
        <v>5054.0200000000004</v>
      </c>
      <c r="V2774">
        <v>5054.0200000000004</v>
      </c>
      <c r="W2774">
        <v>5054.0200000000004</v>
      </c>
      <c r="X2774">
        <v>0</v>
      </c>
      <c r="Y2774">
        <v>0</v>
      </c>
      <c r="Z2774">
        <v>-511</v>
      </c>
      <c r="AA2774">
        <v>690532</v>
      </c>
      <c r="AD2774" t="s">
        <v>6454</v>
      </c>
      <c r="AE2774" t="s">
        <v>7407</v>
      </c>
      <c r="AF2774" t="s">
        <v>6454</v>
      </c>
      <c r="AG2774">
        <v>84025279000158</v>
      </c>
      <c r="AH2774" t="s">
        <v>7010</v>
      </c>
    </row>
    <row r="2775" spans="1:34" x14ac:dyDescent="0.3">
      <c r="A2775">
        <v>101</v>
      </c>
      <c r="B2775" t="s">
        <v>34</v>
      </c>
      <c r="C2775">
        <v>2</v>
      </c>
      <c r="D2775" s="1" t="s">
        <v>7403</v>
      </c>
      <c r="E2775" s="1" t="s">
        <v>36</v>
      </c>
      <c r="G2775">
        <v>468408</v>
      </c>
      <c r="H2775" t="s">
        <v>7404</v>
      </c>
      <c r="I2775" t="s">
        <v>7405</v>
      </c>
      <c r="J2775">
        <v>12</v>
      </c>
      <c r="K2775">
        <v>468408</v>
      </c>
      <c r="L2775">
        <v>50341</v>
      </c>
      <c r="M2775" t="s">
        <v>146</v>
      </c>
      <c r="N2775">
        <v>601</v>
      </c>
      <c r="O2775" s="2">
        <v>46181</v>
      </c>
      <c r="P2775" s="2">
        <v>46276</v>
      </c>
      <c r="R2775" t="s">
        <v>7406</v>
      </c>
      <c r="S2775" t="str">
        <f>"00012583"</f>
        <v>00012583</v>
      </c>
      <c r="T2775" t="s">
        <v>41</v>
      </c>
      <c r="U2775">
        <v>5054.0200000000004</v>
      </c>
      <c r="V2775">
        <v>4937.66</v>
      </c>
      <c r="W2775">
        <v>4937.66</v>
      </c>
      <c r="X2775">
        <v>0</v>
      </c>
      <c r="Y2775">
        <v>0</v>
      </c>
      <c r="Z2775">
        <v>-501</v>
      </c>
      <c r="AA2775">
        <v>690532</v>
      </c>
      <c r="AD2775" t="s">
        <v>6454</v>
      </c>
      <c r="AE2775" t="s">
        <v>7407</v>
      </c>
      <c r="AF2775" t="s">
        <v>6454</v>
      </c>
      <c r="AG2775">
        <v>84025279000158</v>
      </c>
      <c r="AH2775" t="s">
        <v>7010</v>
      </c>
    </row>
    <row r="2776" spans="1:34" x14ac:dyDescent="0.3">
      <c r="A2776">
        <v>101</v>
      </c>
      <c r="B2776" t="s">
        <v>34</v>
      </c>
      <c r="C2776">
        <v>2</v>
      </c>
      <c r="D2776" s="1" t="s">
        <v>7403</v>
      </c>
      <c r="E2776" s="1" t="s">
        <v>116</v>
      </c>
      <c r="G2776">
        <v>468408</v>
      </c>
      <c r="H2776" t="s">
        <v>7404</v>
      </c>
      <c r="I2776" t="s">
        <v>7405</v>
      </c>
      <c r="J2776">
        <v>12</v>
      </c>
      <c r="K2776">
        <v>468408</v>
      </c>
      <c r="L2776">
        <v>50341</v>
      </c>
      <c r="M2776" t="s">
        <v>146</v>
      </c>
      <c r="N2776">
        <v>601</v>
      </c>
      <c r="O2776" s="2">
        <v>46181</v>
      </c>
      <c r="P2776" s="2">
        <v>46296</v>
      </c>
      <c r="R2776" t="s">
        <v>7406</v>
      </c>
      <c r="S2776" t="str">
        <f>"00012585"</f>
        <v>00012585</v>
      </c>
      <c r="T2776" t="s">
        <v>41</v>
      </c>
      <c r="U2776">
        <v>5055.55</v>
      </c>
      <c r="V2776">
        <v>5055.55</v>
      </c>
      <c r="W2776">
        <v>5055.55</v>
      </c>
      <c r="X2776">
        <v>0</v>
      </c>
      <c r="Y2776">
        <v>0</v>
      </c>
      <c r="Z2776">
        <v>-521</v>
      </c>
      <c r="AA2776">
        <v>690532</v>
      </c>
      <c r="AD2776" t="s">
        <v>6454</v>
      </c>
      <c r="AE2776" t="s">
        <v>7407</v>
      </c>
      <c r="AF2776" t="s">
        <v>6454</v>
      </c>
      <c r="AG2776">
        <v>84025279000158</v>
      </c>
      <c r="AH2776" t="s">
        <v>7010</v>
      </c>
    </row>
    <row r="2777" spans="1:34" x14ac:dyDescent="0.3">
      <c r="A2777">
        <v>101</v>
      </c>
      <c r="B2777" t="s">
        <v>34</v>
      </c>
      <c r="C2777">
        <v>2</v>
      </c>
      <c r="D2777" s="1" t="s">
        <v>7408</v>
      </c>
      <c r="E2777" s="1" t="s">
        <v>122</v>
      </c>
      <c r="G2777">
        <v>468409</v>
      </c>
      <c r="H2777" t="s">
        <v>7409</v>
      </c>
      <c r="I2777" t="s">
        <v>7410</v>
      </c>
      <c r="J2777">
        <v>12</v>
      </c>
      <c r="K2777">
        <v>463289</v>
      </c>
      <c r="L2777">
        <v>50341</v>
      </c>
      <c r="M2777" t="s">
        <v>146</v>
      </c>
      <c r="N2777">
        <v>601</v>
      </c>
      <c r="O2777" s="2">
        <v>46172</v>
      </c>
      <c r="P2777" s="2">
        <v>46258</v>
      </c>
      <c r="R2777" t="s">
        <v>7411</v>
      </c>
      <c r="S2777" t="str">
        <f>"00012514"</f>
        <v>00012514</v>
      </c>
      <c r="T2777" t="s">
        <v>41</v>
      </c>
      <c r="U2777">
        <v>6656.16</v>
      </c>
      <c r="V2777">
        <v>6656.16</v>
      </c>
      <c r="W2777">
        <v>6656.16</v>
      </c>
      <c r="X2777">
        <v>0</v>
      </c>
      <c r="Y2777">
        <v>0</v>
      </c>
      <c r="Z2777">
        <v>-483</v>
      </c>
      <c r="AA2777">
        <v>690530</v>
      </c>
      <c r="AD2777" t="s">
        <v>6454</v>
      </c>
      <c r="AE2777" t="s">
        <v>7412</v>
      </c>
      <c r="AF2777" t="s">
        <v>6454</v>
      </c>
      <c r="AG2777">
        <v>84025279000310</v>
      </c>
      <c r="AH2777" t="s">
        <v>7010</v>
      </c>
    </row>
    <row r="2778" spans="1:34" x14ac:dyDescent="0.3">
      <c r="A2778">
        <v>101</v>
      </c>
      <c r="B2778" t="s">
        <v>34</v>
      </c>
      <c r="C2778">
        <v>2</v>
      </c>
      <c r="D2778" s="1" t="s">
        <v>7408</v>
      </c>
      <c r="E2778" s="1" t="s">
        <v>116</v>
      </c>
      <c r="G2778">
        <v>468409</v>
      </c>
      <c r="H2778" t="s">
        <v>7409</v>
      </c>
      <c r="I2778" t="s">
        <v>7410</v>
      </c>
      <c r="J2778">
        <v>12</v>
      </c>
      <c r="K2778">
        <v>463289</v>
      </c>
      <c r="L2778">
        <v>50341</v>
      </c>
      <c r="M2778" t="s">
        <v>146</v>
      </c>
      <c r="N2778">
        <v>601</v>
      </c>
      <c r="O2778" s="2">
        <v>46172</v>
      </c>
      <c r="P2778" s="2">
        <v>46268</v>
      </c>
      <c r="R2778" t="s">
        <v>7411</v>
      </c>
      <c r="S2778" t="str">
        <f>"00012515"</f>
        <v>00012515</v>
      </c>
      <c r="T2778" t="s">
        <v>41</v>
      </c>
      <c r="U2778">
        <v>6658.15</v>
      </c>
      <c r="V2778">
        <v>6658.15</v>
      </c>
      <c r="W2778">
        <v>6658.15</v>
      </c>
      <c r="X2778">
        <v>0</v>
      </c>
      <c r="Y2778">
        <v>0</v>
      </c>
      <c r="Z2778">
        <v>-493</v>
      </c>
      <c r="AA2778">
        <v>690530</v>
      </c>
      <c r="AD2778" t="s">
        <v>6454</v>
      </c>
      <c r="AE2778" t="s">
        <v>7412</v>
      </c>
      <c r="AF2778" t="s">
        <v>6454</v>
      </c>
      <c r="AG2778">
        <v>84025279000310</v>
      </c>
      <c r="AH2778" t="s">
        <v>7010</v>
      </c>
    </row>
    <row r="2779" spans="1:34" x14ac:dyDescent="0.3">
      <c r="A2779">
        <v>101</v>
      </c>
      <c r="B2779" t="s">
        <v>34</v>
      </c>
      <c r="C2779">
        <v>2</v>
      </c>
      <c r="D2779" s="1" t="s">
        <v>7413</v>
      </c>
      <c r="E2779" s="1" t="s">
        <v>36</v>
      </c>
      <c r="G2779">
        <v>469159</v>
      </c>
      <c r="H2779" t="s">
        <v>7414</v>
      </c>
      <c r="I2779" t="s">
        <v>7415</v>
      </c>
      <c r="J2779">
        <v>12</v>
      </c>
      <c r="K2779">
        <v>469159</v>
      </c>
      <c r="L2779">
        <v>50237</v>
      </c>
      <c r="M2779" t="s">
        <v>39</v>
      </c>
      <c r="N2779">
        <v>601</v>
      </c>
      <c r="O2779" s="2">
        <v>46224</v>
      </c>
      <c r="P2779" s="2">
        <v>46269</v>
      </c>
      <c r="R2779" t="s">
        <v>7416</v>
      </c>
      <c r="S2779" t="str">
        <f>"330000051562"</f>
        <v>330000051562</v>
      </c>
      <c r="T2779" t="s">
        <v>41</v>
      </c>
      <c r="U2779">
        <v>2400.3200000000002</v>
      </c>
      <c r="V2779">
        <v>2400.3200000000002</v>
      </c>
      <c r="W2779">
        <v>2400.3200000000002</v>
      </c>
      <c r="X2779">
        <v>0</v>
      </c>
      <c r="Y2779">
        <v>0</v>
      </c>
      <c r="Z2779">
        <v>-494</v>
      </c>
      <c r="AA2779">
        <v>1024</v>
      </c>
      <c r="AD2779" t="s">
        <v>6454</v>
      </c>
      <c r="AE2779" t="s">
        <v>7417</v>
      </c>
      <c r="AF2779" t="s">
        <v>6454</v>
      </c>
      <c r="AG2779" s="1" t="s">
        <v>7418</v>
      </c>
      <c r="AH2779" t="s">
        <v>7010</v>
      </c>
    </row>
    <row r="2780" spans="1:34" x14ac:dyDescent="0.3">
      <c r="A2780">
        <v>101</v>
      </c>
      <c r="B2780" t="s">
        <v>34</v>
      </c>
      <c r="C2780">
        <v>2</v>
      </c>
      <c r="D2780" s="1" t="s">
        <v>7413</v>
      </c>
      <c r="E2780" s="1" t="s">
        <v>116</v>
      </c>
      <c r="G2780">
        <v>469159</v>
      </c>
      <c r="H2780" t="s">
        <v>7414</v>
      </c>
      <c r="I2780" t="s">
        <v>7415</v>
      </c>
      <c r="J2780">
        <v>12</v>
      </c>
      <c r="K2780">
        <v>469159</v>
      </c>
      <c r="L2780">
        <v>50237</v>
      </c>
      <c r="M2780" t="s">
        <v>39</v>
      </c>
      <c r="N2780">
        <v>601</v>
      </c>
      <c r="O2780" s="2">
        <v>46224</v>
      </c>
      <c r="P2780" s="2">
        <v>46289</v>
      </c>
      <c r="R2780" t="s">
        <v>7416</v>
      </c>
      <c r="S2780" t="str">
        <f>"330000051589"</f>
        <v>330000051589</v>
      </c>
      <c r="T2780" t="s">
        <v>41</v>
      </c>
      <c r="U2780">
        <v>2401.0500000000002</v>
      </c>
      <c r="V2780">
        <v>2401.0500000000002</v>
      </c>
      <c r="W2780">
        <v>2401.0500000000002</v>
      </c>
      <c r="X2780">
        <v>0</v>
      </c>
      <c r="Y2780">
        <v>0</v>
      </c>
      <c r="Z2780">
        <v>-514</v>
      </c>
      <c r="AA2780">
        <v>1024</v>
      </c>
      <c r="AD2780" t="s">
        <v>6454</v>
      </c>
      <c r="AE2780" t="s">
        <v>7417</v>
      </c>
      <c r="AF2780" t="s">
        <v>6454</v>
      </c>
      <c r="AG2780" s="1" t="s">
        <v>7418</v>
      </c>
      <c r="AH2780" t="s">
        <v>7010</v>
      </c>
    </row>
    <row r="2781" spans="1:34" x14ac:dyDescent="0.3">
      <c r="A2781">
        <v>101</v>
      </c>
      <c r="B2781" t="s">
        <v>34</v>
      </c>
      <c r="C2781">
        <v>2</v>
      </c>
      <c r="D2781" s="1" t="s">
        <v>7413</v>
      </c>
      <c r="E2781" s="1" t="s">
        <v>122</v>
      </c>
      <c r="G2781">
        <v>469159</v>
      </c>
      <c r="H2781" t="s">
        <v>7414</v>
      </c>
      <c r="I2781" t="s">
        <v>7415</v>
      </c>
      <c r="J2781">
        <v>12</v>
      </c>
      <c r="K2781">
        <v>469159</v>
      </c>
      <c r="L2781">
        <v>50237</v>
      </c>
      <c r="M2781" t="s">
        <v>39</v>
      </c>
      <c r="N2781">
        <v>601</v>
      </c>
      <c r="O2781" s="2">
        <v>46224</v>
      </c>
      <c r="P2781" s="2">
        <v>46279</v>
      </c>
      <c r="R2781" t="s">
        <v>7416</v>
      </c>
      <c r="S2781" t="str">
        <f>"330000051570"</f>
        <v>330000051570</v>
      </c>
      <c r="T2781" t="s">
        <v>41</v>
      </c>
      <c r="U2781">
        <v>2400.3200000000002</v>
      </c>
      <c r="V2781">
        <v>2400.3200000000002</v>
      </c>
      <c r="W2781">
        <v>2400.3200000000002</v>
      </c>
      <c r="X2781">
        <v>0</v>
      </c>
      <c r="Y2781">
        <v>0</v>
      </c>
      <c r="Z2781">
        <v>-504</v>
      </c>
      <c r="AA2781">
        <v>1024</v>
      </c>
      <c r="AD2781" t="s">
        <v>6454</v>
      </c>
      <c r="AE2781" t="s">
        <v>7417</v>
      </c>
      <c r="AF2781" t="s">
        <v>6454</v>
      </c>
      <c r="AG2781" s="1" t="s">
        <v>7418</v>
      </c>
      <c r="AH2781" t="s">
        <v>7010</v>
      </c>
    </row>
    <row r="2782" spans="1:34" x14ac:dyDescent="0.3">
      <c r="A2782">
        <v>101</v>
      </c>
      <c r="B2782" t="s">
        <v>34</v>
      </c>
      <c r="C2782">
        <v>2</v>
      </c>
      <c r="D2782" s="1" t="s">
        <v>7419</v>
      </c>
      <c r="E2782" s="1" t="s">
        <v>116</v>
      </c>
      <c r="G2782">
        <v>469959</v>
      </c>
      <c r="H2782" t="s">
        <v>7420</v>
      </c>
      <c r="I2782" t="s">
        <v>7421</v>
      </c>
      <c r="J2782">
        <v>12</v>
      </c>
      <c r="K2782">
        <v>469959</v>
      </c>
      <c r="L2782">
        <v>50033</v>
      </c>
      <c r="M2782" t="s">
        <v>39</v>
      </c>
      <c r="N2782">
        <v>601</v>
      </c>
      <c r="O2782" s="2">
        <v>46204</v>
      </c>
      <c r="P2782" s="2">
        <v>46269</v>
      </c>
      <c r="R2782" t="s">
        <v>7422</v>
      </c>
      <c r="S2782" t="str">
        <f>"0000050409344"</f>
        <v>0000050409344</v>
      </c>
      <c r="T2782" t="s">
        <v>41</v>
      </c>
      <c r="U2782">
        <v>4138.1499999999996</v>
      </c>
      <c r="V2782">
        <v>4138.1499999999996</v>
      </c>
      <c r="W2782">
        <v>4138.1499999999996</v>
      </c>
      <c r="X2782">
        <v>0</v>
      </c>
      <c r="Y2782">
        <v>0</v>
      </c>
      <c r="Z2782">
        <v>-494</v>
      </c>
      <c r="AA2782">
        <v>987</v>
      </c>
      <c r="AD2782" t="s">
        <v>6454</v>
      </c>
      <c r="AE2782" t="s">
        <v>7423</v>
      </c>
      <c r="AF2782" t="s">
        <v>6454</v>
      </c>
      <c r="AG2782">
        <v>54568146000167</v>
      </c>
      <c r="AH2782" t="s">
        <v>7010</v>
      </c>
    </row>
    <row r="2783" spans="1:34" x14ac:dyDescent="0.3">
      <c r="A2783">
        <v>101</v>
      </c>
      <c r="B2783" t="s">
        <v>34</v>
      </c>
      <c r="C2783">
        <v>2</v>
      </c>
      <c r="D2783" s="1" t="s">
        <v>7419</v>
      </c>
      <c r="E2783" s="1" t="s">
        <v>36</v>
      </c>
      <c r="G2783">
        <v>469959</v>
      </c>
      <c r="H2783" t="s">
        <v>7420</v>
      </c>
      <c r="I2783" t="s">
        <v>7421</v>
      </c>
      <c r="J2783">
        <v>12</v>
      </c>
      <c r="K2783">
        <v>469959</v>
      </c>
      <c r="L2783">
        <v>50033</v>
      </c>
      <c r="M2783" t="s">
        <v>39</v>
      </c>
      <c r="N2783">
        <v>601</v>
      </c>
      <c r="O2783" s="2">
        <v>46204</v>
      </c>
      <c r="P2783" s="2">
        <v>46249</v>
      </c>
      <c r="R2783" t="s">
        <v>7422</v>
      </c>
      <c r="S2783" t="str">
        <f>"0000050409328"</f>
        <v>0000050409328</v>
      </c>
      <c r="T2783" t="s">
        <v>41</v>
      </c>
      <c r="U2783">
        <v>4136.92</v>
      </c>
      <c r="V2783">
        <v>4136.92</v>
      </c>
      <c r="W2783">
        <v>4136.92</v>
      </c>
      <c r="X2783">
        <v>0</v>
      </c>
      <c r="Y2783">
        <v>0</v>
      </c>
      <c r="Z2783">
        <v>-474</v>
      </c>
      <c r="AA2783">
        <v>987</v>
      </c>
      <c r="AD2783" t="s">
        <v>6454</v>
      </c>
      <c r="AE2783" t="s">
        <v>7423</v>
      </c>
      <c r="AF2783" t="s">
        <v>6454</v>
      </c>
      <c r="AG2783">
        <v>54568146000167</v>
      </c>
      <c r="AH2783" t="s">
        <v>7010</v>
      </c>
    </row>
    <row r="2784" spans="1:34" x14ac:dyDescent="0.3">
      <c r="A2784">
        <v>101</v>
      </c>
      <c r="B2784" t="s">
        <v>34</v>
      </c>
      <c r="C2784">
        <v>2</v>
      </c>
      <c r="D2784" s="1" t="s">
        <v>7419</v>
      </c>
      <c r="E2784" s="1" t="s">
        <v>122</v>
      </c>
      <c r="G2784">
        <v>469959</v>
      </c>
      <c r="H2784" t="s">
        <v>7420</v>
      </c>
      <c r="I2784" t="s">
        <v>7421</v>
      </c>
      <c r="J2784">
        <v>12</v>
      </c>
      <c r="K2784">
        <v>469959</v>
      </c>
      <c r="L2784">
        <v>50033</v>
      </c>
      <c r="M2784" t="s">
        <v>39</v>
      </c>
      <c r="N2784">
        <v>601</v>
      </c>
      <c r="O2784" s="2">
        <v>46204</v>
      </c>
      <c r="P2784" s="2">
        <v>46259</v>
      </c>
      <c r="R2784" t="s">
        <v>7422</v>
      </c>
      <c r="S2784" t="str">
        <f>"0000050409336"</f>
        <v>0000050409336</v>
      </c>
      <c r="T2784" t="s">
        <v>41</v>
      </c>
      <c r="U2784">
        <v>4136.92</v>
      </c>
      <c r="V2784">
        <v>4136.92</v>
      </c>
      <c r="W2784">
        <v>4136.92</v>
      </c>
      <c r="X2784">
        <v>0</v>
      </c>
      <c r="Y2784">
        <v>0</v>
      </c>
      <c r="Z2784">
        <v>-484</v>
      </c>
      <c r="AA2784">
        <v>987</v>
      </c>
      <c r="AD2784" t="s">
        <v>6454</v>
      </c>
      <c r="AE2784" t="s">
        <v>7423</v>
      </c>
      <c r="AF2784" t="s">
        <v>6454</v>
      </c>
      <c r="AG2784">
        <v>54568146000167</v>
      </c>
      <c r="AH2784" t="s">
        <v>7010</v>
      </c>
    </row>
    <row r="2785" spans="1:34" x14ac:dyDescent="0.3">
      <c r="A2785">
        <v>101</v>
      </c>
      <c r="B2785" t="s">
        <v>73</v>
      </c>
      <c r="D2785" t="s">
        <v>7424</v>
      </c>
      <c r="G2785">
        <v>460850</v>
      </c>
      <c r="H2785" t="s">
        <v>7425</v>
      </c>
      <c r="I2785" t="s">
        <v>7426</v>
      </c>
      <c r="J2785">
        <v>15</v>
      </c>
      <c r="K2785">
        <v>460850</v>
      </c>
      <c r="L2785">
        <v>10001</v>
      </c>
      <c r="M2785" t="s">
        <v>39</v>
      </c>
      <c r="N2785">
        <v>607</v>
      </c>
      <c r="O2785" s="2">
        <v>45093</v>
      </c>
      <c r="P2785" s="2">
        <v>45093</v>
      </c>
      <c r="R2785" t="s">
        <v>7427</v>
      </c>
      <c r="S2785" t="str">
        <f>""</f>
        <v/>
      </c>
      <c r="T2785" t="s">
        <v>41</v>
      </c>
      <c r="U2785">
        <v>-144149.35</v>
      </c>
      <c r="V2785">
        <v>-119327.79</v>
      </c>
      <c r="W2785">
        <v>-119327.79</v>
      </c>
      <c r="X2785">
        <v>0</v>
      </c>
      <c r="Y2785">
        <v>0</v>
      </c>
      <c r="Z2785">
        <v>682</v>
      </c>
      <c r="AD2785" t="s">
        <v>7428</v>
      </c>
      <c r="AE2785">
        <v>595982549664</v>
      </c>
      <c r="AF2785" t="s">
        <v>7428</v>
      </c>
      <c r="AH2785" t="s">
        <v>5435</v>
      </c>
    </row>
    <row r="2786" spans="1:34" x14ac:dyDescent="0.3">
      <c r="A2786">
        <v>101</v>
      </c>
      <c r="B2786" t="s">
        <v>73</v>
      </c>
      <c r="D2786" t="s">
        <v>7429</v>
      </c>
      <c r="G2786">
        <v>460850</v>
      </c>
      <c r="H2786" t="s">
        <v>7425</v>
      </c>
      <c r="I2786" t="s">
        <v>7426</v>
      </c>
      <c r="J2786">
        <v>15</v>
      </c>
      <c r="K2786">
        <v>460850</v>
      </c>
      <c r="L2786">
        <v>10001</v>
      </c>
      <c r="M2786" t="s">
        <v>39</v>
      </c>
      <c r="N2786">
        <v>607</v>
      </c>
      <c r="O2786" s="2">
        <v>45945</v>
      </c>
      <c r="P2786" s="2">
        <v>45945</v>
      </c>
      <c r="R2786" t="s">
        <v>7430</v>
      </c>
      <c r="S2786" t="str">
        <f>""</f>
        <v/>
      </c>
      <c r="T2786" t="s">
        <v>41</v>
      </c>
      <c r="U2786">
        <v>-12050.9</v>
      </c>
      <c r="V2786">
        <v>-12050.9</v>
      </c>
      <c r="W2786">
        <v>-12050.9</v>
      </c>
      <c r="X2786">
        <v>0</v>
      </c>
      <c r="Y2786">
        <v>0</v>
      </c>
      <c r="Z2786">
        <v>-170</v>
      </c>
      <c r="AD2786" t="s">
        <v>7428</v>
      </c>
      <c r="AE2786">
        <v>595982549664</v>
      </c>
      <c r="AF2786" t="s">
        <v>7428</v>
      </c>
      <c r="AH2786" t="s">
        <v>5435</v>
      </c>
    </row>
    <row r="2787" spans="1:34" x14ac:dyDescent="0.3">
      <c r="A2787">
        <v>101</v>
      </c>
      <c r="B2787" t="s">
        <v>34</v>
      </c>
      <c r="C2787">
        <v>2</v>
      </c>
      <c r="D2787" s="1" t="s">
        <v>7431</v>
      </c>
      <c r="E2787" s="1" t="s">
        <v>36</v>
      </c>
      <c r="G2787">
        <v>464456</v>
      </c>
      <c r="H2787" t="s">
        <v>7432</v>
      </c>
      <c r="I2787" t="s">
        <v>7433</v>
      </c>
      <c r="J2787">
        <v>15</v>
      </c>
      <c r="K2787">
        <v>464456</v>
      </c>
      <c r="L2787">
        <v>95000</v>
      </c>
      <c r="M2787" t="s">
        <v>69</v>
      </c>
      <c r="N2787">
        <v>607</v>
      </c>
      <c r="O2787" s="2">
        <v>46252</v>
      </c>
      <c r="P2787" s="2">
        <v>46282</v>
      </c>
      <c r="R2787" t="s">
        <v>7434</v>
      </c>
      <c r="S2787" t="str">
        <f>""</f>
        <v/>
      </c>
      <c r="T2787" t="s">
        <v>41</v>
      </c>
      <c r="U2787">
        <v>3232.6</v>
      </c>
      <c r="V2787">
        <v>3232.6</v>
      </c>
      <c r="W2787">
        <v>3232.6</v>
      </c>
      <c r="X2787">
        <v>0</v>
      </c>
      <c r="Y2787">
        <v>0</v>
      </c>
      <c r="Z2787">
        <v>-507</v>
      </c>
      <c r="AA2787" t="s">
        <v>7435</v>
      </c>
      <c r="AD2787" t="s">
        <v>7436</v>
      </c>
      <c r="AE2787" t="s">
        <v>7437</v>
      </c>
      <c r="AF2787" t="s">
        <v>7436</v>
      </c>
      <c r="AG2787" s="1" t="s">
        <v>7438</v>
      </c>
      <c r="AH2787" t="s">
        <v>5435</v>
      </c>
    </row>
    <row r="2788" spans="1:34" x14ac:dyDescent="0.3">
      <c r="A2788">
        <v>101</v>
      </c>
      <c r="B2788" t="s">
        <v>34</v>
      </c>
      <c r="C2788">
        <v>2</v>
      </c>
      <c r="D2788" s="1" t="s">
        <v>7439</v>
      </c>
      <c r="E2788" s="1" t="s">
        <v>36</v>
      </c>
      <c r="G2788">
        <v>464456</v>
      </c>
      <c r="H2788" t="s">
        <v>7432</v>
      </c>
      <c r="I2788" t="s">
        <v>7433</v>
      </c>
      <c r="J2788">
        <v>15</v>
      </c>
      <c r="K2788">
        <v>464456</v>
      </c>
      <c r="L2788">
        <v>95000</v>
      </c>
      <c r="M2788" t="s">
        <v>69</v>
      </c>
      <c r="N2788">
        <v>607</v>
      </c>
      <c r="O2788" s="2">
        <v>46252</v>
      </c>
      <c r="P2788" s="2">
        <v>46282</v>
      </c>
      <c r="R2788" t="s">
        <v>7440</v>
      </c>
      <c r="S2788" t="str">
        <f>""</f>
        <v/>
      </c>
      <c r="T2788" t="s">
        <v>41</v>
      </c>
      <c r="U2788">
        <v>175293.95</v>
      </c>
      <c r="V2788">
        <v>175293.95</v>
      </c>
      <c r="W2788">
        <v>175293.95</v>
      </c>
      <c r="X2788">
        <v>0</v>
      </c>
      <c r="Y2788">
        <v>0</v>
      </c>
      <c r="Z2788">
        <v>-507</v>
      </c>
      <c r="AA2788" t="s">
        <v>7435</v>
      </c>
      <c r="AD2788" t="s">
        <v>7436</v>
      </c>
      <c r="AE2788" t="s">
        <v>7437</v>
      </c>
      <c r="AF2788" t="s">
        <v>7436</v>
      </c>
      <c r="AG2788" s="1" t="s">
        <v>7438</v>
      </c>
      <c r="AH2788" t="s">
        <v>5435</v>
      </c>
    </row>
    <row r="2789" spans="1:34" x14ac:dyDescent="0.3">
      <c r="A2789">
        <v>101</v>
      </c>
      <c r="B2789" t="s">
        <v>34</v>
      </c>
      <c r="C2789">
        <v>2</v>
      </c>
      <c r="D2789" s="1" t="s">
        <v>7441</v>
      </c>
      <c r="E2789" s="1" t="s">
        <v>36</v>
      </c>
      <c r="G2789">
        <v>467894</v>
      </c>
      <c r="H2789" t="s">
        <v>7442</v>
      </c>
      <c r="I2789" t="s">
        <v>7443</v>
      </c>
      <c r="J2789">
        <v>15</v>
      </c>
      <c r="K2789">
        <v>467894</v>
      </c>
      <c r="L2789">
        <v>95000</v>
      </c>
      <c r="M2789" t="s">
        <v>69</v>
      </c>
      <c r="N2789">
        <v>607</v>
      </c>
      <c r="O2789" s="2">
        <v>46254</v>
      </c>
      <c r="P2789" s="2">
        <v>46262</v>
      </c>
      <c r="R2789" t="s">
        <v>7444</v>
      </c>
      <c r="S2789" t="str">
        <f>""</f>
        <v/>
      </c>
      <c r="T2789" t="s">
        <v>41</v>
      </c>
      <c r="U2789">
        <v>121312</v>
      </c>
      <c r="V2789">
        <v>121312</v>
      </c>
      <c r="W2789">
        <v>121312</v>
      </c>
      <c r="X2789">
        <v>0</v>
      </c>
      <c r="Y2789">
        <v>0</v>
      </c>
      <c r="Z2789">
        <v>-487</v>
      </c>
      <c r="AA2789">
        <v>695887</v>
      </c>
      <c r="AD2789" t="s">
        <v>7445</v>
      </c>
      <c r="AE2789" t="s">
        <v>7446</v>
      </c>
      <c r="AF2789" t="s">
        <v>7445</v>
      </c>
      <c r="AH2789" t="s">
        <v>5435</v>
      </c>
    </row>
    <row r="2790" spans="1:34" x14ac:dyDescent="0.3">
      <c r="A2790">
        <v>101</v>
      </c>
      <c r="B2790" t="s">
        <v>34</v>
      </c>
      <c r="C2790">
        <v>2</v>
      </c>
      <c r="D2790" s="1" t="s">
        <v>7447</v>
      </c>
      <c r="E2790" s="1" t="s">
        <v>36</v>
      </c>
      <c r="G2790">
        <v>470974</v>
      </c>
      <c r="H2790" t="s">
        <v>7448</v>
      </c>
      <c r="I2790" t="s">
        <v>7449</v>
      </c>
      <c r="J2790">
        <v>15</v>
      </c>
      <c r="K2790">
        <v>458953</v>
      </c>
      <c r="L2790">
        <v>95100</v>
      </c>
      <c r="M2790" t="s">
        <v>69</v>
      </c>
      <c r="N2790">
        <v>607</v>
      </c>
      <c r="O2790" s="2">
        <v>46247</v>
      </c>
      <c r="P2790" s="2">
        <v>46273</v>
      </c>
      <c r="R2790" t="s">
        <v>7450</v>
      </c>
      <c r="S2790" t="str">
        <f>""</f>
        <v/>
      </c>
      <c r="T2790" t="s">
        <v>41</v>
      </c>
      <c r="U2790">
        <v>153235.35</v>
      </c>
      <c r="V2790">
        <v>153235.35</v>
      </c>
      <c r="W2790">
        <v>153235.35</v>
      </c>
      <c r="X2790">
        <v>0</v>
      </c>
      <c r="Y2790">
        <v>0</v>
      </c>
      <c r="Z2790">
        <v>-498</v>
      </c>
      <c r="AA2790" t="s">
        <v>7451</v>
      </c>
      <c r="AD2790" t="s">
        <v>7452</v>
      </c>
      <c r="AF2790" t="s">
        <v>7452</v>
      </c>
      <c r="AH2790" t="s">
        <v>5435</v>
      </c>
    </row>
    <row r="2791" spans="1:34" x14ac:dyDescent="0.3">
      <c r="A2791">
        <v>104</v>
      </c>
      <c r="B2791" t="s">
        <v>34</v>
      </c>
      <c r="C2791">
        <v>4</v>
      </c>
      <c r="D2791" s="1" t="s">
        <v>7453</v>
      </c>
      <c r="E2791" s="1" t="s">
        <v>122</v>
      </c>
      <c r="G2791">
        <v>9476</v>
      </c>
      <c r="H2791" t="s">
        <v>7454</v>
      </c>
      <c r="I2791" t="s">
        <v>7455</v>
      </c>
      <c r="J2791">
        <v>15</v>
      </c>
      <c r="K2791">
        <v>9476</v>
      </c>
      <c r="L2791">
        <v>50341</v>
      </c>
      <c r="M2791" t="s">
        <v>146</v>
      </c>
      <c r="N2791">
        <v>608</v>
      </c>
      <c r="O2791" s="2">
        <v>46234</v>
      </c>
      <c r="P2791" s="2">
        <v>46289</v>
      </c>
      <c r="R2791" t="s">
        <v>7456</v>
      </c>
      <c r="S2791" t="str">
        <f>"00013556"</f>
        <v>00013556</v>
      </c>
      <c r="T2791" t="s">
        <v>41</v>
      </c>
      <c r="U2791">
        <v>32744.87</v>
      </c>
      <c r="V2791">
        <v>29495.13</v>
      </c>
      <c r="W2791">
        <v>29495.13</v>
      </c>
      <c r="X2791">
        <v>0</v>
      </c>
      <c r="Y2791">
        <v>0</v>
      </c>
      <c r="Z2791">
        <v>-514</v>
      </c>
      <c r="AA2791" t="s">
        <v>7457</v>
      </c>
      <c r="AD2791" t="s">
        <v>7458</v>
      </c>
      <c r="AE2791">
        <v>8235125000</v>
      </c>
      <c r="AF2791" t="s">
        <v>7458</v>
      </c>
      <c r="AG2791" s="1" t="s">
        <v>7459</v>
      </c>
      <c r="AH2791" t="s">
        <v>2518</v>
      </c>
    </row>
    <row r="2792" spans="1:34" x14ac:dyDescent="0.3">
      <c r="A2792">
        <v>104</v>
      </c>
      <c r="B2792" t="s">
        <v>34</v>
      </c>
      <c r="C2792">
        <v>4</v>
      </c>
      <c r="D2792" s="1" t="s">
        <v>7460</v>
      </c>
      <c r="E2792" s="1" t="s">
        <v>36</v>
      </c>
      <c r="G2792">
        <v>9476</v>
      </c>
      <c r="H2792" t="s">
        <v>7454</v>
      </c>
      <c r="I2792" t="s">
        <v>7455</v>
      </c>
      <c r="J2792">
        <v>15</v>
      </c>
      <c r="K2792">
        <v>9476</v>
      </c>
      <c r="L2792">
        <v>50341</v>
      </c>
      <c r="M2792" t="s">
        <v>146</v>
      </c>
      <c r="N2792">
        <v>608</v>
      </c>
      <c r="O2792" s="2">
        <v>46234</v>
      </c>
      <c r="P2792" s="2">
        <v>46279</v>
      </c>
      <c r="R2792" t="s">
        <v>7461</v>
      </c>
      <c r="S2792" t="str">
        <f>"00013557"</f>
        <v>00013557</v>
      </c>
      <c r="T2792" t="s">
        <v>41</v>
      </c>
      <c r="U2792">
        <v>7100</v>
      </c>
      <c r="V2792">
        <v>6745</v>
      </c>
      <c r="W2792">
        <v>6745</v>
      </c>
      <c r="X2792">
        <v>0</v>
      </c>
      <c r="Y2792">
        <v>0</v>
      </c>
      <c r="Z2792">
        <v>-504</v>
      </c>
      <c r="AA2792">
        <v>4126</v>
      </c>
      <c r="AD2792" t="s">
        <v>7458</v>
      </c>
      <c r="AE2792">
        <v>8235125000</v>
      </c>
      <c r="AF2792" t="s">
        <v>7458</v>
      </c>
      <c r="AG2792" s="1" t="s">
        <v>7459</v>
      </c>
      <c r="AH2792" t="s">
        <v>2518</v>
      </c>
    </row>
    <row r="2793" spans="1:34" x14ac:dyDescent="0.3">
      <c r="A2793">
        <v>104</v>
      </c>
      <c r="B2793" t="s">
        <v>34</v>
      </c>
      <c r="C2793">
        <v>4</v>
      </c>
      <c r="D2793" s="1" t="s">
        <v>7460</v>
      </c>
      <c r="E2793" s="1" t="s">
        <v>122</v>
      </c>
      <c r="G2793">
        <v>9476</v>
      </c>
      <c r="H2793" t="s">
        <v>7454</v>
      </c>
      <c r="I2793" t="s">
        <v>7455</v>
      </c>
      <c r="J2793">
        <v>15</v>
      </c>
      <c r="K2793">
        <v>9476</v>
      </c>
      <c r="L2793">
        <v>50341</v>
      </c>
      <c r="M2793" t="s">
        <v>146</v>
      </c>
      <c r="N2793">
        <v>608</v>
      </c>
      <c r="O2793" s="2">
        <v>46234</v>
      </c>
      <c r="P2793" s="2">
        <v>46289</v>
      </c>
      <c r="R2793" t="s">
        <v>7461</v>
      </c>
      <c r="S2793" t="str">
        <f>"00013558"</f>
        <v>00013558</v>
      </c>
      <c r="T2793" t="s">
        <v>41</v>
      </c>
      <c r="U2793">
        <v>7100</v>
      </c>
      <c r="V2793">
        <v>6745</v>
      </c>
      <c r="W2793">
        <v>6745</v>
      </c>
      <c r="X2793">
        <v>0</v>
      </c>
      <c r="Y2793">
        <v>0</v>
      </c>
      <c r="Z2793">
        <v>-514</v>
      </c>
      <c r="AA2793">
        <v>4126</v>
      </c>
      <c r="AD2793" t="s">
        <v>7458</v>
      </c>
      <c r="AE2793">
        <v>8235125000</v>
      </c>
      <c r="AF2793" t="s">
        <v>7458</v>
      </c>
      <c r="AG2793" s="1" t="s">
        <v>7459</v>
      </c>
      <c r="AH2793" t="s">
        <v>2518</v>
      </c>
    </row>
    <row r="2794" spans="1:34" x14ac:dyDescent="0.3">
      <c r="A2794">
        <v>104</v>
      </c>
      <c r="B2794" t="s">
        <v>34</v>
      </c>
      <c r="C2794">
        <v>4</v>
      </c>
      <c r="D2794" s="1" t="s">
        <v>7453</v>
      </c>
      <c r="E2794" s="1" t="s">
        <v>36</v>
      </c>
      <c r="G2794">
        <v>9476</v>
      </c>
      <c r="H2794" t="s">
        <v>7454</v>
      </c>
      <c r="I2794" t="s">
        <v>7455</v>
      </c>
      <c r="J2794">
        <v>15</v>
      </c>
      <c r="K2794">
        <v>9476</v>
      </c>
      <c r="L2794">
        <v>50341</v>
      </c>
      <c r="M2794" t="s">
        <v>146</v>
      </c>
      <c r="N2794">
        <v>608</v>
      </c>
      <c r="O2794" s="2">
        <v>46234</v>
      </c>
      <c r="P2794" s="2">
        <v>46279</v>
      </c>
      <c r="R2794" t="s">
        <v>7456</v>
      </c>
      <c r="S2794" t="str">
        <f>"00013555"</f>
        <v>00013555</v>
      </c>
      <c r="T2794" t="s">
        <v>41</v>
      </c>
      <c r="U2794">
        <v>32998.58</v>
      </c>
      <c r="V2794">
        <v>29736.15</v>
      </c>
      <c r="W2794">
        <v>29736.15</v>
      </c>
      <c r="X2794">
        <v>0</v>
      </c>
      <c r="Y2794">
        <v>0</v>
      </c>
      <c r="Z2794">
        <v>-504</v>
      </c>
      <c r="AA2794" t="s">
        <v>7457</v>
      </c>
      <c r="AD2794" t="s">
        <v>7458</v>
      </c>
      <c r="AE2794">
        <v>8235125000</v>
      </c>
      <c r="AF2794" t="s">
        <v>7458</v>
      </c>
      <c r="AG2794" s="1" t="s">
        <v>7459</v>
      </c>
      <c r="AH2794" t="s">
        <v>2518</v>
      </c>
    </row>
    <row r="2795" spans="1:34" x14ac:dyDescent="0.3">
      <c r="A2795">
        <v>106</v>
      </c>
      <c r="B2795" t="s">
        <v>34</v>
      </c>
      <c r="C2795">
        <v>2</v>
      </c>
      <c r="D2795" s="1" t="s">
        <v>7462</v>
      </c>
      <c r="E2795" s="1" t="s">
        <v>36</v>
      </c>
      <c r="G2795">
        <v>9476</v>
      </c>
      <c r="H2795" t="s">
        <v>7454</v>
      </c>
      <c r="I2795" t="s">
        <v>7455</v>
      </c>
      <c r="J2795">
        <v>15</v>
      </c>
      <c r="K2795">
        <v>9476</v>
      </c>
      <c r="L2795">
        <v>50341</v>
      </c>
      <c r="M2795" t="s">
        <v>146</v>
      </c>
      <c r="N2795">
        <v>608</v>
      </c>
      <c r="O2795" s="2">
        <v>46234</v>
      </c>
      <c r="P2795" s="2">
        <v>46279</v>
      </c>
      <c r="R2795" t="s">
        <v>7463</v>
      </c>
      <c r="S2795" t="str">
        <f>"00013560"</f>
        <v>00013560</v>
      </c>
      <c r="T2795" t="s">
        <v>41</v>
      </c>
      <c r="U2795">
        <v>13814.56</v>
      </c>
      <c r="V2795">
        <v>13123.83</v>
      </c>
      <c r="W2795">
        <v>13123.83</v>
      </c>
      <c r="X2795">
        <v>0</v>
      </c>
      <c r="Y2795">
        <v>0</v>
      </c>
      <c r="Z2795">
        <v>-504</v>
      </c>
      <c r="AA2795" t="s">
        <v>7464</v>
      </c>
      <c r="AD2795" t="s">
        <v>7458</v>
      </c>
      <c r="AE2795">
        <v>8235125000</v>
      </c>
      <c r="AF2795" t="s">
        <v>7458</v>
      </c>
      <c r="AG2795" s="1" t="s">
        <v>7459</v>
      </c>
      <c r="AH2795" t="s">
        <v>2518</v>
      </c>
    </row>
    <row r="2796" spans="1:34" x14ac:dyDescent="0.3">
      <c r="A2796">
        <v>106</v>
      </c>
      <c r="B2796" t="s">
        <v>34</v>
      </c>
      <c r="C2796">
        <v>2</v>
      </c>
      <c r="D2796" s="1" t="s">
        <v>7462</v>
      </c>
      <c r="E2796" s="1" t="s">
        <v>122</v>
      </c>
      <c r="G2796">
        <v>9476</v>
      </c>
      <c r="H2796" t="s">
        <v>7454</v>
      </c>
      <c r="I2796" t="s">
        <v>7455</v>
      </c>
      <c r="J2796">
        <v>15</v>
      </c>
      <c r="K2796">
        <v>9476</v>
      </c>
      <c r="L2796">
        <v>50341</v>
      </c>
      <c r="M2796" t="s">
        <v>146</v>
      </c>
      <c r="N2796">
        <v>608</v>
      </c>
      <c r="O2796" s="2">
        <v>46234</v>
      </c>
      <c r="P2796" s="2">
        <v>46289</v>
      </c>
      <c r="R2796" t="s">
        <v>7463</v>
      </c>
      <c r="S2796" t="str">
        <f>"00013561"</f>
        <v>00013561</v>
      </c>
      <c r="T2796" t="s">
        <v>41</v>
      </c>
      <c r="U2796">
        <v>12844.05</v>
      </c>
      <c r="V2796">
        <v>12201.85</v>
      </c>
      <c r="W2796">
        <v>12201.85</v>
      </c>
      <c r="X2796">
        <v>0</v>
      </c>
      <c r="Y2796">
        <v>0</v>
      </c>
      <c r="Z2796">
        <v>-514</v>
      </c>
      <c r="AA2796" t="s">
        <v>7464</v>
      </c>
      <c r="AD2796" t="s">
        <v>7458</v>
      </c>
      <c r="AE2796">
        <v>8235125000</v>
      </c>
      <c r="AF2796" t="s">
        <v>7458</v>
      </c>
      <c r="AG2796" s="1" t="s">
        <v>7459</v>
      </c>
      <c r="AH2796" t="s">
        <v>2518</v>
      </c>
    </row>
    <row r="2797" spans="1:34" x14ac:dyDescent="0.3">
      <c r="A2797">
        <v>101</v>
      </c>
      <c r="B2797" t="s">
        <v>34</v>
      </c>
      <c r="C2797">
        <v>2</v>
      </c>
      <c r="D2797" s="1" t="s">
        <v>7465</v>
      </c>
      <c r="E2797" s="1" t="s">
        <v>116</v>
      </c>
      <c r="G2797">
        <v>462734</v>
      </c>
      <c r="H2797" t="s">
        <v>7466</v>
      </c>
      <c r="I2797" t="s">
        <v>7467</v>
      </c>
      <c r="J2797">
        <v>15</v>
      </c>
      <c r="K2797">
        <v>462734</v>
      </c>
      <c r="L2797">
        <v>50033</v>
      </c>
      <c r="M2797" t="s">
        <v>39</v>
      </c>
      <c r="N2797">
        <v>610</v>
      </c>
      <c r="O2797" s="2">
        <v>46253</v>
      </c>
      <c r="P2797" s="2">
        <v>46309</v>
      </c>
      <c r="R2797" t="s">
        <v>7468</v>
      </c>
      <c r="S2797" t="str">
        <f>"0000050414321"</f>
        <v>0000050414321</v>
      </c>
      <c r="T2797" t="s">
        <v>41</v>
      </c>
      <c r="U2797">
        <v>3514.1</v>
      </c>
      <c r="V2797">
        <v>3514.1</v>
      </c>
      <c r="W2797">
        <v>3514.1</v>
      </c>
      <c r="X2797">
        <v>0</v>
      </c>
      <c r="Y2797">
        <v>0</v>
      </c>
      <c r="Z2797">
        <v>-534</v>
      </c>
      <c r="AA2797">
        <v>4796</v>
      </c>
      <c r="AD2797" t="s">
        <v>7469</v>
      </c>
      <c r="AE2797" t="s">
        <v>7470</v>
      </c>
      <c r="AF2797" t="s">
        <v>7469</v>
      </c>
      <c r="AG2797">
        <v>83892182000503</v>
      </c>
      <c r="AH2797" t="s">
        <v>5494</v>
      </c>
    </row>
    <row r="2798" spans="1:34" x14ac:dyDescent="0.3">
      <c r="A2798">
        <v>101</v>
      </c>
      <c r="B2798" t="s">
        <v>34</v>
      </c>
      <c r="C2798">
        <v>2</v>
      </c>
      <c r="D2798" s="1" t="s">
        <v>7465</v>
      </c>
      <c r="E2798" s="1" t="s">
        <v>122</v>
      </c>
      <c r="G2798">
        <v>462734</v>
      </c>
      <c r="H2798" t="s">
        <v>7466</v>
      </c>
      <c r="I2798" t="s">
        <v>7467</v>
      </c>
      <c r="J2798">
        <v>15</v>
      </c>
      <c r="K2798">
        <v>462734</v>
      </c>
      <c r="L2798">
        <v>50033</v>
      </c>
      <c r="M2798" t="s">
        <v>39</v>
      </c>
      <c r="N2798">
        <v>610</v>
      </c>
      <c r="O2798" s="2">
        <v>46253</v>
      </c>
      <c r="P2798" s="2">
        <v>46295</v>
      </c>
      <c r="R2798" t="s">
        <v>7468</v>
      </c>
      <c r="S2798" t="str">
        <f>"0000050414313"</f>
        <v>0000050414313</v>
      </c>
      <c r="T2798" t="s">
        <v>41</v>
      </c>
      <c r="U2798">
        <v>3513.05</v>
      </c>
      <c r="V2798">
        <v>3513.05</v>
      </c>
      <c r="W2798">
        <v>3513.05</v>
      </c>
      <c r="X2798">
        <v>0</v>
      </c>
      <c r="Y2798">
        <v>0</v>
      </c>
      <c r="Z2798">
        <v>-520</v>
      </c>
      <c r="AA2798">
        <v>4796</v>
      </c>
      <c r="AD2798" t="s">
        <v>7469</v>
      </c>
      <c r="AE2798" t="s">
        <v>7470</v>
      </c>
      <c r="AF2798" t="s">
        <v>7469</v>
      </c>
      <c r="AG2798">
        <v>83892182000503</v>
      </c>
      <c r="AH2798" t="s">
        <v>5494</v>
      </c>
    </row>
    <row r="2799" spans="1:34" x14ac:dyDescent="0.3">
      <c r="A2799">
        <v>101</v>
      </c>
      <c r="B2799" t="s">
        <v>34</v>
      </c>
      <c r="C2799">
        <v>2</v>
      </c>
      <c r="D2799" s="1" t="s">
        <v>7465</v>
      </c>
      <c r="E2799" s="1" t="s">
        <v>36</v>
      </c>
      <c r="G2799">
        <v>462734</v>
      </c>
      <c r="H2799" t="s">
        <v>7466</v>
      </c>
      <c r="I2799" t="s">
        <v>7467</v>
      </c>
      <c r="J2799">
        <v>15</v>
      </c>
      <c r="K2799">
        <v>462734</v>
      </c>
      <c r="L2799">
        <v>50033</v>
      </c>
      <c r="M2799" t="s">
        <v>39</v>
      </c>
      <c r="N2799">
        <v>610</v>
      </c>
      <c r="O2799" s="2">
        <v>46253</v>
      </c>
      <c r="P2799" s="2">
        <v>46281</v>
      </c>
      <c r="R2799" t="s">
        <v>7468</v>
      </c>
      <c r="S2799" t="str">
        <f>"0000050414305"</f>
        <v>0000050414305</v>
      </c>
      <c r="T2799" t="s">
        <v>41</v>
      </c>
      <c r="U2799">
        <v>4236.8599999999997</v>
      </c>
      <c r="V2799">
        <v>4236.8599999999997</v>
      </c>
      <c r="W2799">
        <v>4236.8599999999997</v>
      </c>
      <c r="X2799">
        <v>0</v>
      </c>
      <c r="Y2799">
        <v>0</v>
      </c>
      <c r="Z2799">
        <v>-506</v>
      </c>
      <c r="AA2799">
        <v>4796</v>
      </c>
      <c r="AD2799" t="s">
        <v>7469</v>
      </c>
      <c r="AE2799" t="s">
        <v>7470</v>
      </c>
      <c r="AF2799" t="s">
        <v>7469</v>
      </c>
      <c r="AG2799">
        <v>83892182000503</v>
      </c>
      <c r="AH2799" t="s">
        <v>5494</v>
      </c>
    </row>
    <row r="2800" spans="1:34" x14ac:dyDescent="0.3">
      <c r="A2800">
        <v>101</v>
      </c>
      <c r="B2800" t="s">
        <v>34</v>
      </c>
      <c r="C2800">
        <v>2</v>
      </c>
      <c r="D2800" s="1" t="s">
        <v>7471</v>
      </c>
      <c r="E2800" s="1" t="s">
        <v>36</v>
      </c>
      <c r="G2800">
        <v>462734</v>
      </c>
      <c r="H2800" t="s">
        <v>7466</v>
      </c>
      <c r="I2800" t="s">
        <v>7467</v>
      </c>
      <c r="J2800">
        <v>15</v>
      </c>
      <c r="K2800">
        <v>462734</v>
      </c>
      <c r="L2800">
        <v>50033</v>
      </c>
      <c r="M2800" t="s">
        <v>39</v>
      </c>
      <c r="N2800">
        <v>610</v>
      </c>
      <c r="O2800" s="2">
        <v>46231</v>
      </c>
      <c r="P2800" s="2">
        <v>46259</v>
      </c>
      <c r="R2800" t="s">
        <v>7472</v>
      </c>
      <c r="S2800" t="str">
        <f>"0000050411322"</f>
        <v>0000050411322</v>
      </c>
      <c r="T2800" t="s">
        <v>41</v>
      </c>
      <c r="U2800">
        <v>3716.4</v>
      </c>
      <c r="V2800">
        <v>3675.06</v>
      </c>
      <c r="W2800">
        <v>3675.06</v>
      </c>
      <c r="X2800">
        <v>0</v>
      </c>
      <c r="Y2800">
        <v>0</v>
      </c>
      <c r="Z2800">
        <v>-484</v>
      </c>
      <c r="AA2800">
        <v>695267</v>
      </c>
      <c r="AD2800" t="s">
        <v>7469</v>
      </c>
      <c r="AE2800" t="s">
        <v>7470</v>
      </c>
      <c r="AF2800" t="s">
        <v>7469</v>
      </c>
      <c r="AG2800">
        <v>83892182000503</v>
      </c>
      <c r="AH2800" t="s">
        <v>5494</v>
      </c>
    </row>
    <row r="2801" spans="1:34" x14ac:dyDescent="0.3">
      <c r="A2801">
        <v>101</v>
      </c>
      <c r="B2801" t="s">
        <v>34</v>
      </c>
      <c r="C2801">
        <v>2</v>
      </c>
      <c r="D2801" s="1" t="s">
        <v>7471</v>
      </c>
      <c r="E2801" s="1" t="s">
        <v>122</v>
      </c>
      <c r="G2801">
        <v>462734</v>
      </c>
      <c r="H2801" t="s">
        <v>7466</v>
      </c>
      <c r="I2801" t="s">
        <v>7467</v>
      </c>
      <c r="J2801">
        <v>15</v>
      </c>
      <c r="K2801">
        <v>462734</v>
      </c>
      <c r="L2801">
        <v>50033</v>
      </c>
      <c r="M2801" t="s">
        <v>39</v>
      </c>
      <c r="N2801">
        <v>610</v>
      </c>
      <c r="O2801" s="2">
        <v>46231</v>
      </c>
      <c r="P2801" s="2">
        <v>46273</v>
      </c>
      <c r="R2801" t="s">
        <v>7472</v>
      </c>
      <c r="S2801" t="str">
        <f>"0000050411330"</f>
        <v>0000050411330</v>
      </c>
      <c r="T2801" t="s">
        <v>41</v>
      </c>
      <c r="U2801">
        <v>3716.4</v>
      </c>
      <c r="V2801">
        <v>3716.4</v>
      </c>
      <c r="W2801">
        <v>3716.4</v>
      </c>
      <c r="X2801">
        <v>0</v>
      </c>
      <c r="Y2801">
        <v>0</v>
      </c>
      <c r="Z2801">
        <v>-498</v>
      </c>
      <c r="AA2801">
        <v>695267</v>
      </c>
      <c r="AD2801" t="s">
        <v>7469</v>
      </c>
      <c r="AE2801" t="s">
        <v>7470</v>
      </c>
      <c r="AF2801" t="s">
        <v>7469</v>
      </c>
      <c r="AG2801">
        <v>83892182000503</v>
      </c>
      <c r="AH2801" t="s">
        <v>5494</v>
      </c>
    </row>
    <row r="2802" spans="1:34" x14ac:dyDescent="0.3">
      <c r="A2802">
        <v>101</v>
      </c>
      <c r="B2802" t="s">
        <v>34</v>
      </c>
      <c r="C2802">
        <v>2</v>
      </c>
      <c r="D2802" s="1" t="s">
        <v>7471</v>
      </c>
      <c r="E2802" s="1" t="s">
        <v>116</v>
      </c>
      <c r="G2802">
        <v>462734</v>
      </c>
      <c r="H2802" t="s">
        <v>7466</v>
      </c>
      <c r="I2802" t="s">
        <v>7467</v>
      </c>
      <c r="J2802">
        <v>15</v>
      </c>
      <c r="K2802">
        <v>462734</v>
      </c>
      <c r="L2802">
        <v>50033</v>
      </c>
      <c r="M2802" t="s">
        <v>39</v>
      </c>
      <c r="N2802">
        <v>610</v>
      </c>
      <c r="O2802" s="2">
        <v>46231</v>
      </c>
      <c r="P2802" s="2">
        <v>46287</v>
      </c>
      <c r="R2802" t="s">
        <v>7472</v>
      </c>
      <c r="S2802" t="str">
        <f>"0000050411349"</f>
        <v>0000050411349</v>
      </c>
      <c r="T2802" t="s">
        <v>41</v>
      </c>
      <c r="U2802">
        <v>3717.53</v>
      </c>
      <c r="V2802">
        <v>3717.53</v>
      </c>
      <c r="W2802">
        <v>3717.53</v>
      </c>
      <c r="X2802">
        <v>0</v>
      </c>
      <c r="Y2802">
        <v>0</v>
      </c>
      <c r="Z2802">
        <v>-512</v>
      </c>
      <c r="AA2802">
        <v>695267</v>
      </c>
      <c r="AD2802" t="s">
        <v>7469</v>
      </c>
      <c r="AE2802" t="s">
        <v>7470</v>
      </c>
      <c r="AF2802" t="s">
        <v>7469</v>
      </c>
      <c r="AG2802">
        <v>83892182000503</v>
      </c>
      <c r="AH2802" t="s">
        <v>5494</v>
      </c>
    </row>
    <row r="2803" spans="1:34" x14ac:dyDescent="0.3">
      <c r="A2803">
        <v>101</v>
      </c>
      <c r="B2803" t="s">
        <v>34</v>
      </c>
      <c r="C2803">
        <v>2</v>
      </c>
      <c r="D2803" s="1" t="s">
        <v>7473</v>
      </c>
      <c r="E2803" s="1" t="s">
        <v>36</v>
      </c>
      <c r="G2803">
        <v>464040</v>
      </c>
      <c r="H2803" t="s">
        <v>7474</v>
      </c>
      <c r="I2803" t="s">
        <v>7475</v>
      </c>
      <c r="J2803">
        <v>15</v>
      </c>
      <c r="K2803">
        <v>464040</v>
      </c>
      <c r="L2803">
        <v>50033</v>
      </c>
      <c r="M2803" t="s">
        <v>39</v>
      </c>
      <c r="N2803">
        <v>610</v>
      </c>
      <c r="O2803" s="2">
        <v>46142</v>
      </c>
      <c r="P2803" s="2">
        <v>46281</v>
      </c>
      <c r="R2803" t="s">
        <v>7476</v>
      </c>
      <c r="S2803" t="str">
        <f>"0000050401220"</f>
        <v>0000050401220</v>
      </c>
      <c r="T2803" t="s">
        <v>41</v>
      </c>
      <c r="U2803">
        <v>19471.2</v>
      </c>
      <c r="V2803">
        <v>19081.78</v>
      </c>
      <c r="W2803">
        <v>19081.78</v>
      </c>
      <c r="X2803">
        <v>0</v>
      </c>
      <c r="Y2803">
        <v>0</v>
      </c>
      <c r="Z2803">
        <v>-506</v>
      </c>
      <c r="AA2803">
        <v>685869</v>
      </c>
      <c r="AD2803" t="s">
        <v>7477</v>
      </c>
      <c r="AE2803" t="s">
        <v>7478</v>
      </c>
      <c r="AF2803" t="s">
        <v>7477</v>
      </c>
      <c r="AG2803">
        <v>79379491002399</v>
      </c>
      <c r="AH2803" t="s">
        <v>4342</v>
      </c>
    </row>
    <row r="2804" spans="1:34" x14ac:dyDescent="0.3">
      <c r="A2804">
        <v>101</v>
      </c>
      <c r="B2804" t="s">
        <v>34</v>
      </c>
      <c r="C2804">
        <v>2</v>
      </c>
      <c r="D2804" s="1" t="s">
        <v>7479</v>
      </c>
      <c r="E2804" s="1" t="s">
        <v>36</v>
      </c>
      <c r="G2804">
        <v>464040</v>
      </c>
      <c r="H2804" t="s">
        <v>7474</v>
      </c>
      <c r="I2804" t="s">
        <v>7475</v>
      </c>
      <c r="J2804">
        <v>15</v>
      </c>
      <c r="K2804">
        <v>464040</v>
      </c>
      <c r="L2804">
        <v>50033</v>
      </c>
      <c r="M2804" t="s">
        <v>39</v>
      </c>
      <c r="N2804">
        <v>610</v>
      </c>
      <c r="O2804" s="2">
        <v>46198</v>
      </c>
      <c r="P2804" s="2">
        <v>46347</v>
      </c>
      <c r="R2804" t="s">
        <v>7480</v>
      </c>
      <c r="S2804" t="str">
        <f>"0000050407317"</f>
        <v>0000050407317</v>
      </c>
      <c r="T2804" t="s">
        <v>41</v>
      </c>
      <c r="U2804">
        <v>10694.58</v>
      </c>
      <c r="V2804">
        <v>10480.69</v>
      </c>
      <c r="W2804">
        <v>10480.69</v>
      </c>
      <c r="X2804">
        <v>0</v>
      </c>
      <c r="Y2804">
        <v>0</v>
      </c>
      <c r="Z2804">
        <v>-572</v>
      </c>
      <c r="AA2804">
        <v>692650</v>
      </c>
      <c r="AD2804" t="s">
        <v>7477</v>
      </c>
      <c r="AE2804" t="s">
        <v>7478</v>
      </c>
      <c r="AF2804" t="s">
        <v>7477</v>
      </c>
      <c r="AG2804">
        <v>79379491002399</v>
      </c>
      <c r="AH2804" t="s">
        <v>4342</v>
      </c>
    </row>
    <row r="2805" spans="1:34" x14ac:dyDescent="0.3">
      <c r="A2805">
        <v>101</v>
      </c>
      <c r="B2805" t="s">
        <v>34</v>
      </c>
      <c r="C2805">
        <v>2</v>
      </c>
      <c r="D2805" s="1" t="s">
        <v>7481</v>
      </c>
      <c r="E2805" s="1" t="s">
        <v>116</v>
      </c>
      <c r="G2805">
        <v>468198</v>
      </c>
      <c r="H2805" t="s">
        <v>7482</v>
      </c>
      <c r="I2805" t="s">
        <v>7467</v>
      </c>
      <c r="J2805">
        <v>15</v>
      </c>
      <c r="K2805">
        <v>462734</v>
      </c>
      <c r="L2805">
        <v>50033</v>
      </c>
      <c r="M2805" t="s">
        <v>39</v>
      </c>
      <c r="N2805">
        <v>610</v>
      </c>
      <c r="O2805" s="2">
        <v>46231</v>
      </c>
      <c r="P2805" s="2">
        <v>46287</v>
      </c>
      <c r="R2805" t="s">
        <v>7483</v>
      </c>
      <c r="S2805" t="str">
        <f>"0000050411381"</f>
        <v>0000050411381</v>
      </c>
      <c r="T2805" t="s">
        <v>41</v>
      </c>
      <c r="U2805">
        <v>5591.84</v>
      </c>
      <c r="V2805">
        <v>5591.84</v>
      </c>
      <c r="W2805">
        <v>5591.84</v>
      </c>
      <c r="X2805">
        <v>0</v>
      </c>
      <c r="Y2805">
        <v>0</v>
      </c>
      <c r="Z2805">
        <v>-512</v>
      </c>
      <c r="AA2805">
        <v>695263</v>
      </c>
      <c r="AD2805" t="s">
        <v>7484</v>
      </c>
      <c r="AE2805" t="s">
        <v>7485</v>
      </c>
      <c r="AF2805" t="s">
        <v>7484</v>
      </c>
      <c r="AG2805">
        <v>83892182000775</v>
      </c>
      <c r="AH2805" t="s">
        <v>4342</v>
      </c>
    </row>
    <row r="2806" spans="1:34" x14ac:dyDescent="0.3">
      <c r="A2806">
        <v>101</v>
      </c>
      <c r="B2806" t="s">
        <v>34</v>
      </c>
      <c r="C2806">
        <v>2</v>
      </c>
      <c r="D2806" s="1" t="s">
        <v>7481</v>
      </c>
      <c r="E2806" s="1" t="s">
        <v>36</v>
      </c>
      <c r="G2806">
        <v>468198</v>
      </c>
      <c r="H2806" t="s">
        <v>7482</v>
      </c>
      <c r="I2806" t="s">
        <v>7467</v>
      </c>
      <c r="J2806">
        <v>15</v>
      </c>
      <c r="K2806">
        <v>462734</v>
      </c>
      <c r="L2806">
        <v>50033</v>
      </c>
      <c r="M2806" t="s">
        <v>39</v>
      </c>
      <c r="N2806">
        <v>610</v>
      </c>
      <c r="O2806" s="2">
        <v>46231</v>
      </c>
      <c r="P2806" s="2">
        <v>46259</v>
      </c>
      <c r="R2806" t="s">
        <v>7483</v>
      </c>
      <c r="S2806" t="str">
        <f>"0000050411365"</f>
        <v>0000050411365</v>
      </c>
      <c r="T2806" t="s">
        <v>41</v>
      </c>
      <c r="U2806">
        <v>5590.16</v>
      </c>
      <c r="V2806">
        <v>5590.16</v>
      </c>
      <c r="W2806">
        <v>5590.16</v>
      </c>
      <c r="X2806">
        <v>0</v>
      </c>
      <c r="Y2806">
        <v>0</v>
      </c>
      <c r="Z2806">
        <v>-484</v>
      </c>
      <c r="AA2806">
        <v>695263</v>
      </c>
      <c r="AD2806" t="s">
        <v>7484</v>
      </c>
      <c r="AE2806" t="s">
        <v>7485</v>
      </c>
      <c r="AF2806" t="s">
        <v>7484</v>
      </c>
      <c r="AG2806">
        <v>83892182000775</v>
      </c>
      <c r="AH2806" t="s">
        <v>4342</v>
      </c>
    </row>
    <row r="2807" spans="1:34" x14ac:dyDescent="0.3">
      <c r="A2807">
        <v>101</v>
      </c>
      <c r="B2807" t="s">
        <v>34</v>
      </c>
      <c r="C2807">
        <v>2</v>
      </c>
      <c r="D2807" s="1" t="s">
        <v>7481</v>
      </c>
      <c r="E2807" s="1" t="s">
        <v>122</v>
      </c>
      <c r="G2807">
        <v>468198</v>
      </c>
      <c r="H2807" t="s">
        <v>7482</v>
      </c>
      <c r="I2807" t="s">
        <v>7467</v>
      </c>
      <c r="J2807">
        <v>15</v>
      </c>
      <c r="K2807">
        <v>462734</v>
      </c>
      <c r="L2807">
        <v>50033</v>
      </c>
      <c r="M2807" t="s">
        <v>39</v>
      </c>
      <c r="N2807">
        <v>610</v>
      </c>
      <c r="O2807" s="2">
        <v>46231</v>
      </c>
      <c r="P2807" s="2">
        <v>46273</v>
      </c>
      <c r="R2807" t="s">
        <v>7483</v>
      </c>
      <c r="S2807" t="str">
        <f>"0000050411373"</f>
        <v>0000050411373</v>
      </c>
      <c r="T2807" t="s">
        <v>41</v>
      </c>
      <c r="U2807">
        <v>5590.16</v>
      </c>
      <c r="V2807">
        <v>5590.16</v>
      </c>
      <c r="W2807">
        <v>5590.16</v>
      </c>
      <c r="X2807">
        <v>0</v>
      </c>
      <c r="Y2807">
        <v>0</v>
      </c>
      <c r="Z2807">
        <v>-498</v>
      </c>
      <c r="AA2807">
        <v>695263</v>
      </c>
      <c r="AD2807" t="s">
        <v>7484</v>
      </c>
      <c r="AE2807" t="s">
        <v>7485</v>
      </c>
      <c r="AF2807" t="s">
        <v>7484</v>
      </c>
      <c r="AG2807">
        <v>83892182000775</v>
      </c>
      <c r="AH2807" t="s">
        <v>4342</v>
      </c>
    </row>
    <row r="2808" spans="1:34" x14ac:dyDescent="0.3">
      <c r="A2808">
        <v>101</v>
      </c>
      <c r="B2808" t="s">
        <v>34</v>
      </c>
      <c r="C2808">
        <v>2</v>
      </c>
      <c r="D2808" s="1" t="s">
        <v>7486</v>
      </c>
      <c r="E2808" s="1" t="s">
        <v>36</v>
      </c>
      <c r="G2808">
        <v>464199</v>
      </c>
      <c r="H2808" t="s">
        <v>7487</v>
      </c>
      <c r="I2808" t="s">
        <v>7488</v>
      </c>
      <c r="J2808">
        <v>30</v>
      </c>
      <c r="K2808">
        <v>464199</v>
      </c>
      <c r="L2808">
        <v>95000</v>
      </c>
      <c r="M2808" t="s">
        <v>69</v>
      </c>
      <c r="N2808">
        <v>619</v>
      </c>
      <c r="O2808" s="2">
        <v>45686</v>
      </c>
      <c r="P2808" s="2">
        <v>45825</v>
      </c>
      <c r="R2808" t="s">
        <v>7489</v>
      </c>
      <c r="S2808" t="str">
        <f>""</f>
        <v/>
      </c>
      <c r="T2808" t="s">
        <v>41</v>
      </c>
      <c r="U2808">
        <v>137373.06</v>
      </c>
      <c r="V2808">
        <v>78714.23</v>
      </c>
      <c r="W2808">
        <v>78714.23</v>
      </c>
      <c r="X2808">
        <v>0</v>
      </c>
      <c r="Y2808">
        <v>0</v>
      </c>
      <c r="Z2808">
        <v>-50</v>
      </c>
      <c r="AA2808">
        <v>640933</v>
      </c>
      <c r="AD2808" t="s">
        <v>7490</v>
      </c>
      <c r="AE2808" t="s">
        <v>7491</v>
      </c>
      <c r="AF2808" t="s">
        <v>7490</v>
      </c>
      <c r="AG2808" t="s">
        <v>7492</v>
      </c>
      <c r="AH2808" t="s">
        <v>5435</v>
      </c>
    </row>
    <row r="2809" spans="1:34" x14ac:dyDescent="0.3">
      <c r="A2809">
        <v>101</v>
      </c>
      <c r="B2809" t="s">
        <v>34</v>
      </c>
      <c r="C2809">
        <v>2</v>
      </c>
      <c r="D2809" s="1" t="s">
        <v>7493</v>
      </c>
      <c r="E2809" s="1" t="s">
        <v>36</v>
      </c>
      <c r="G2809">
        <v>446133</v>
      </c>
      <c r="H2809" t="s">
        <v>7494</v>
      </c>
      <c r="I2809" t="s">
        <v>2413</v>
      </c>
      <c r="J2809">
        <v>28</v>
      </c>
      <c r="K2809">
        <v>2695</v>
      </c>
      <c r="L2809">
        <v>95000</v>
      </c>
      <c r="M2809" t="s">
        <v>69</v>
      </c>
      <c r="N2809">
        <v>620</v>
      </c>
      <c r="O2809" s="2">
        <v>46245</v>
      </c>
      <c r="P2809" s="2">
        <v>46335</v>
      </c>
      <c r="R2809" t="s">
        <v>7495</v>
      </c>
      <c r="S2809" t="str">
        <f>""</f>
        <v/>
      </c>
      <c r="T2809" t="s">
        <v>41</v>
      </c>
      <c r="U2809">
        <v>6344.75</v>
      </c>
      <c r="V2809">
        <v>6274.96</v>
      </c>
      <c r="W2809">
        <v>6274.96</v>
      </c>
      <c r="X2809">
        <v>0</v>
      </c>
      <c r="Y2809">
        <v>0</v>
      </c>
      <c r="Z2809">
        <v>-560</v>
      </c>
      <c r="AA2809">
        <v>4459</v>
      </c>
      <c r="AD2809" t="s">
        <v>1606</v>
      </c>
      <c r="AE2809" t="s">
        <v>2533</v>
      </c>
      <c r="AF2809" t="s">
        <v>1606</v>
      </c>
      <c r="AG2809" s="1" t="s">
        <v>7496</v>
      </c>
      <c r="AH2809" t="s">
        <v>1462</v>
      </c>
    </row>
    <row r="2810" spans="1:34" x14ac:dyDescent="0.3">
      <c r="A2810">
        <v>101</v>
      </c>
      <c r="B2810" t="s">
        <v>34</v>
      </c>
      <c r="C2810">
        <v>2</v>
      </c>
      <c r="D2810" s="1" t="s">
        <v>7497</v>
      </c>
      <c r="E2810" s="1" t="s">
        <v>36</v>
      </c>
      <c r="G2810">
        <v>446133</v>
      </c>
      <c r="H2810" t="s">
        <v>7494</v>
      </c>
      <c r="I2810" t="s">
        <v>2413</v>
      </c>
      <c r="J2810">
        <v>28</v>
      </c>
      <c r="K2810">
        <v>2695</v>
      </c>
      <c r="L2810">
        <v>95000</v>
      </c>
      <c r="M2810" t="s">
        <v>69</v>
      </c>
      <c r="N2810">
        <v>620</v>
      </c>
      <c r="O2810" s="2">
        <v>46140</v>
      </c>
      <c r="P2810" s="2">
        <v>46255</v>
      </c>
      <c r="R2810" t="s">
        <v>7498</v>
      </c>
      <c r="S2810" t="str">
        <f>""</f>
        <v/>
      </c>
      <c r="T2810" t="s">
        <v>41</v>
      </c>
      <c r="U2810">
        <v>27766.59</v>
      </c>
      <c r="V2810">
        <v>27461.16</v>
      </c>
      <c r="W2810">
        <v>27461.16</v>
      </c>
      <c r="X2810">
        <v>0</v>
      </c>
      <c r="Y2810">
        <v>0</v>
      </c>
      <c r="Z2810">
        <v>-480</v>
      </c>
      <c r="AA2810">
        <v>686266</v>
      </c>
      <c r="AD2810" t="s">
        <v>1606</v>
      </c>
      <c r="AE2810" t="s">
        <v>2533</v>
      </c>
      <c r="AF2810" t="s">
        <v>1606</v>
      </c>
      <c r="AG2810" s="1" t="s">
        <v>7496</v>
      </c>
      <c r="AH2810" t="s">
        <v>1462</v>
      </c>
    </row>
    <row r="2811" spans="1:34" x14ac:dyDescent="0.3">
      <c r="A2811">
        <v>101</v>
      </c>
      <c r="B2811" t="s">
        <v>34</v>
      </c>
      <c r="C2811">
        <v>2</v>
      </c>
      <c r="D2811" s="1" t="s">
        <v>7499</v>
      </c>
      <c r="E2811" s="1" t="s">
        <v>36</v>
      </c>
      <c r="G2811">
        <v>446133</v>
      </c>
      <c r="H2811" t="s">
        <v>7494</v>
      </c>
      <c r="I2811" t="s">
        <v>2413</v>
      </c>
      <c r="J2811">
        <v>28</v>
      </c>
      <c r="K2811">
        <v>2695</v>
      </c>
      <c r="L2811">
        <v>95000</v>
      </c>
      <c r="M2811" t="s">
        <v>69</v>
      </c>
      <c r="N2811">
        <v>620</v>
      </c>
      <c r="O2811" s="2">
        <v>46172</v>
      </c>
      <c r="P2811" s="2">
        <v>46276</v>
      </c>
      <c r="R2811" t="s">
        <v>7500</v>
      </c>
      <c r="S2811" t="str">
        <f>""</f>
        <v/>
      </c>
      <c r="T2811" t="s">
        <v>41</v>
      </c>
      <c r="U2811">
        <v>11017.43</v>
      </c>
      <c r="V2811">
        <v>10896.24</v>
      </c>
      <c r="W2811">
        <v>10896.24</v>
      </c>
      <c r="X2811">
        <v>0</v>
      </c>
      <c r="Y2811">
        <v>0</v>
      </c>
      <c r="Z2811">
        <v>-501</v>
      </c>
      <c r="AA2811">
        <v>690482</v>
      </c>
      <c r="AD2811" t="s">
        <v>1606</v>
      </c>
      <c r="AE2811" t="s">
        <v>2533</v>
      </c>
      <c r="AF2811" t="s">
        <v>1606</v>
      </c>
      <c r="AG2811" s="1" t="s">
        <v>7496</v>
      </c>
      <c r="AH2811" t="s">
        <v>1462</v>
      </c>
    </row>
    <row r="2812" spans="1:34" x14ac:dyDescent="0.3">
      <c r="A2812">
        <v>101</v>
      </c>
      <c r="B2812" t="s">
        <v>34</v>
      </c>
      <c r="C2812">
        <v>2</v>
      </c>
      <c r="D2812" s="1" t="s">
        <v>7501</v>
      </c>
      <c r="E2812" s="1" t="s">
        <v>36</v>
      </c>
      <c r="G2812">
        <v>446133</v>
      </c>
      <c r="H2812" t="s">
        <v>7494</v>
      </c>
      <c r="I2812" t="s">
        <v>2413</v>
      </c>
      <c r="J2812">
        <v>28</v>
      </c>
      <c r="K2812">
        <v>2695</v>
      </c>
      <c r="L2812">
        <v>95000</v>
      </c>
      <c r="M2812" t="s">
        <v>69</v>
      </c>
      <c r="N2812">
        <v>620</v>
      </c>
      <c r="O2812" s="2">
        <v>46203</v>
      </c>
      <c r="P2812" s="2">
        <v>46316</v>
      </c>
      <c r="R2812" t="s">
        <v>7502</v>
      </c>
      <c r="S2812" t="str">
        <f>""</f>
        <v/>
      </c>
      <c r="T2812" t="s">
        <v>41</v>
      </c>
      <c r="U2812">
        <v>15025.19</v>
      </c>
      <c r="V2812">
        <v>14859.91</v>
      </c>
      <c r="W2812">
        <v>14859.91</v>
      </c>
      <c r="X2812">
        <v>0</v>
      </c>
      <c r="Y2812">
        <v>0</v>
      </c>
      <c r="Z2812">
        <v>-541</v>
      </c>
      <c r="AA2812">
        <v>693461</v>
      </c>
      <c r="AD2812" t="s">
        <v>1606</v>
      </c>
      <c r="AE2812" t="s">
        <v>2533</v>
      </c>
      <c r="AF2812" t="s">
        <v>1606</v>
      </c>
      <c r="AG2812" s="1" t="s">
        <v>7496</v>
      </c>
      <c r="AH2812" t="s">
        <v>1462</v>
      </c>
    </row>
    <row r="2813" spans="1:34" x14ac:dyDescent="0.3">
      <c r="A2813">
        <v>101</v>
      </c>
      <c r="B2813" t="s">
        <v>34</v>
      </c>
      <c r="C2813">
        <v>2</v>
      </c>
      <c r="D2813" s="1" t="s">
        <v>7503</v>
      </c>
      <c r="E2813" s="1" t="s">
        <v>36</v>
      </c>
      <c r="G2813">
        <v>450625</v>
      </c>
      <c r="H2813" t="s">
        <v>7504</v>
      </c>
      <c r="I2813" t="s">
        <v>2413</v>
      </c>
      <c r="J2813">
        <v>28</v>
      </c>
      <c r="K2813">
        <v>2695</v>
      </c>
      <c r="L2813">
        <v>95000</v>
      </c>
      <c r="M2813" t="s">
        <v>69</v>
      </c>
      <c r="N2813">
        <v>620</v>
      </c>
      <c r="O2813" s="2">
        <v>46172</v>
      </c>
      <c r="P2813" s="2">
        <v>46276</v>
      </c>
      <c r="R2813" t="s">
        <v>7505</v>
      </c>
      <c r="S2813" t="str">
        <f>""</f>
        <v/>
      </c>
      <c r="T2813" t="s">
        <v>41</v>
      </c>
      <c r="U2813">
        <v>11489.56</v>
      </c>
      <c r="V2813">
        <v>11363.17</v>
      </c>
      <c r="W2813">
        <v>11363.17</v>
      </c>
      <c r="X2813">
        <v>0</v>
      </c>
      <c r="Y2813">
        <v>0</v>
      </c>
      <c r="Z2813">
        <v>-501</v>
      </c>
      <c r="AA2813">
        <v>690476</v>
      </c>
      <c r="AD2813" t="s">
        <v>1459</v>
      </c>
      <c r="AE2813" t="s">
        <v>7506</v>
      </c>
      <c r="AF2813" t="s">
        <v>1459</v>
      </c>
      <c r="AG2813" s="1" t="s">
        <v>7507</v>
      </c>
      <c r="AH2813" t="s">
        <v>1462</v>
      </c>
    </row>
    <row r="2814" spans="1:34" x14ac:dyDescent="0.3">
      <c r="A2814">
        <v>101</v>
      </c>
      <c r="B2814" t="s">
        <v>34</v>
      </c>
      <c r="C2814">
        <v>2</v>
      </c>
      <c r="D2814" s="1" t="s">
        <v>7508</v>
      </c>
      <c r="E2814" s="1" t="s">
        <v>36</v>
      </c>
      <c r="G2814">
        <v>450625</v>
      </c>
      <c r="H2814" t="s">
        <v>7504</v>
      </c>
      <c r="I2814" t="s">
        <v>2413</v>
      </c>
      <c r="J2814">
        <v>28</v>
      </c>
      <c r="K2814">
        <v>2695</v>
      </c>
      <c r="L2814">
        <v>95000</v>
      </c>
      <c r="M2814" t="s">
        <v>69</v>
      </c>
      <c r="N2814">
        <v>620</v>
      </c>
      <c r="O2814" s="2">
        <v>46203</v>
      </c>
      <c r="P2814" s="2">
        <v>46316</v>
      </c>
      <c r="R2814" t="s">
        <v>7509</v>
      </c>
      <c r="S2814" t="str">
        <f>""</f>
        <v/>
      </c>
      <c r="T2814" t="s">
        <v>41</v>
      </c>
      <c r="U2814">
        <v>8320.5400000000009</v>
      </c>
      <c r="V2814">
        <v>8229.01</v>
      </c>
      <c r="W2814">
        <v>8229.01</v>
      </c>
      <c r="X2814">
        <v>0</v>
      </c>
      <c r="Y2814">
        <v>0</v>
      </c>
      <c r="Z2814">
        <v>-541</v>
      </c>
      <c r="AA2814">
        <v>693459</v>
      </c>
      <c r="AD2814" t="s">
        <v>1459</v>
      </c>
      <c r="AE2814" t="s">
        <v>7506</v>
      </c>
      <c r="AF2814" t="s">
        <v>1459</v>
      </c>
      <c r="AG2814" s="1" t="s">
        <v>7507</v>
      </c>
      <c r="AH2814" t="s">
        <v>1462</v>
      </c>
    </row>
    <row r="2815" spans="1:34" x14ac:dyDescent="0.3">
      <c r="A2815">
        <v>101</v>
      </c>
      <c r="B2815" t="s">
        <v>34</v>
      </c>
      <c r="C2815">
        <v>2</v>
      </c>
      <c r="D2815" s="1" t="s">
        <v>7510</v>
      </c>
      <c r="E2815" s="1" t="s">
        <v>36</v>
      </c>
      <c r="G2815">
        <v>450625</v>
      </c>
      <c r="H2815" t="s">
        <v>7504</v>
      </c>
      <c r="I2815" t="s">
        <v>2413</v>
      </c>
      <c r="J2815">
        <v>28</v>
      </c>
      <c r="K2815">
        <v>2695</v>
      </c>
      <c r="L2815">
        <v>95000</v>
      </c>
      <c r="M2815" t="s">
        <v>69</v>
      </c>
      <c r="N2815">
        <v>620</v>
      </c>
      <c r="O2815" s="2">
        <v>46140</v>
      </c>
      <c r="P2815" s="2">
        <v>46255</v>
      </c>
      <c r="R2815" t="s">
        <v>7511</v>
      </c>
      <c r="S2815" t="str">
        <f>""</f>
        <v/>
      </c>
      <c r="T2815" t="s">
        <v>41</v>
      </c>
      <c r="U2815">
        <v>12958.22</v>
      </c>
      <c r="V2815">
        <v>12815.68</v>
      </c>
      <c r="W2815">
        <v>12815.68</v>
      </c>
      <c r="X2815">
        <v>0</v>
      </c>
      <c r="Y2815">
        <v>0</v>
      </c>
      <c r="Z2815">
        <v>-480</v>
      </c>
      <c r="AA2815">
        <v>686210</v>
      </c>
      <c r="AD2815" t="s">
        <v>1459</v>
      </c>
      <c r="AE2815" t="s">
        <v>7506</v>
      </c>
      <c r="AF2815" t="s">
        <v>1459</v>
      </c>
      <c r="AG2815" s="1" t="s">
        <v>7507</v>
      </c>
      <c r="AH2815" t="s">
        <v>1462</v>
      </c>
    </row>
    <row r="2816" spans="1:34" x14ac:dyDescent="0.3">
      <c r="A2816">
        <v>101</v>
      </c>
      <c r="B2816" t="s">
        <v>34</v>
      </c>
      <c r="C2816">
        <v>2</v>
      </c>
      <c r="D2816" s="1" t="s">
        <v>7512</v>
      </c>
      <c r="E2816" s="1" t="s">
        <v>36</v>
      </c>
      <c r="G2816">
        <v>450625</v>
      </c>
      <c r="H2816" t="s">
        <v>7504</v>
      </c>
      <c r="I2816" t="s">
        <v>2413</v>
      </c>
      <c r="J2816">
        <v>28</v>
      </c>
      <c r="K2816">
        <v>2695</v>
      </c>
      <c r="L2816">
        <v>95000</v>
      </c>
      <c r="M2816" t="s">
        <v>69</v>
      </c>
      <c r="N2816">
        <v>620</v>
      </c>
      <c r="O2816" s="2">
        <v>46245</v>
      </c>
      <c r="P2816" s="2">
        <v>46335</v>
      </c>
      <c r="R2816" t="s">
        <v>7513</v>
      </c>
      <c r="S2816" t="str">
        <f>""</f>
        <v/>
      </c>
      <c r="T2816" t="s">
        <v>41</v>
      </c>
      <c r="U2816">
        <v>5464.1</v>
      </c>
      <c r="V2816">
        <v>5403.99</v>
      </c>
      <c r="W2816">
        <v>5403.99</v>
      </c>
      <c r="X2816">
        <v>0</v>
      </c>
      <c r="Y2816">
        <v>0</v>
      </c>
      <c r="Z2816">
        <v>-560</v>
      </c>
      <c r="AA2816">
        <v>4457</v>
      </c>
      <c r="AD2816" t="s">
        <v>1459</v>
      </c>
      <c r="AE2816" t="s">
        <v>7506</v>
      </c>
      <c r="AF2816" t="s">
        <v>1459</v>
      </c>
      <c r="AG2816" s="1" t="s">
        <v>7507</v>
      </c>
      <c r="AH2816" t="s">
        <v>1462</v>
      </c>
    </row>
    <row r="2817" spans="1:34" x14ac:dyDescent="0.3">
      <c r="A2817">
        <v>101</v>
      </c>
      <c r="B2817" t="s">
        <v>34</v>
      </c>
      <c r="C2817">
        <v>2</v>
      </c>
      <c r="D2817" s="1" t="s">
        <v>7514</v>
      </c>
      <c r="E2817" s="1" t="s">
        <v>36</v>
      </c>
      <c r="G2817">
        <v>456437</v>
      </c>
      <c r="H2817" t="s">
        <v>7515</v>
      </c>
      <c r="I2817" t="s">
        <v>2413</v>
      </c>
      <c r="J2817">
        <v>28</v>
      </c>
      <c r="K2817">
        <v>2695</v>
      </c>
      <c r="L2817">
        <v>95000</v>
      </c>
      <c r="M2817" t="s">
        <v>69</v>
      </c>
      <c r="N2817">
        <v>620</v>
      </c>
      <c r="O2817" s="2">
        <v>46203</v>
      </c>
      <c r="P2817" s="2">
        <v>46316</v>
      </c>
      <c r="R2817" t="s">
        <v>7516</v>
      </c>
      <c r="S2817" t="str">
        <f>""</f>
        <v/>
      </c>
      <c r="T2817" t="s">
        <v>41</v>
      </c>
      <c r="U2817">
        <v>11132.5</v>
      </c>
      <c r="V2817">
        <v>11010.04</v>
      </c>
      <c r="W2817">
        <v>11010.04</v>
      </c>
      <c r="X2817">
        <v>0</v>
      </c>
      <c r="Y2817">
        <v>0</v>
      </c>
      <c r="Z2817">
        <v>-541</v>
      </c>
      <c r="AA2817">
        <v>693468</v>
      </c>
      <c r="AD2817" t="s">
        <v>2085</v>
      </c>
      <c r="AE2817">
        <v>1134115000</v>
      </c>
      <c r="AF2817" t="s">
        <v>2085</v>
      </c>
      <c r="AG2817" s="1" t="s">
        <v>7517</v>
      </c>
      <c r="AH2817" t="s">
        <v>1462</v>
      </c>
    </row>
    <row r="2818" spans="1:34" x14ac:dyDescent="0.3">
      <c r="A2818">
        <v>101</v>
      </c>
      <c r="B2818" t="s">
        <v>34</v>
      </c>
      <c r="C2818">
        <v>2</v>
      </c>
      <c r="D2818" s="1" t="s">
        <v>7518</v>
      </c>
      <c r="E2818" s="1" t="s">
        <v>36</v>
      </c>
      <c r="G2818">
        <v>456437</v>
      </c>
      <c r="H2818" t="s">
        <v>7515</v>
      </c>
      <c r="I2818" t="s">
        <v>2413</v>
      </c>
      <c r="J2818">
        <v>28</v>
      </c>
      <c r="K2818">
        <v>2695</v>
      </c>
      <c r="L2818">
        <v>95000</v>
      </c>
      <c r="M2818" t="s">
        <v>69</v>
      </c>
      <c r="N2818">
        <v>620</v>
      </c>
      <c r="O2818" s="2">
        <v>46245</v>
      </c>
      <c r="P2818" s="2">
        <v>46335</v>
      </c>
      <c r="R2818" t="s">
        <v>7519</v>
      </c>
      <c r="S2818" t="str">
        <f>""</f>
        <v/>
      </c>
      <c r="T2818" t="s">
        <v>41</v>
      </c>
      <c r="U2818">
        <v>4192.75</v>
      </c>
      <c r="V2818">
        <v>4146.63</v>
      </c>
      <c r="W2818">
        <v>4146.63</v>
      </c>
      <c r="X2818">
        <v>0</v>
      </c>
      <c r="Y2818">
        <v>0</v>
      </c>
      <c r="Z2818">
        <v>-560</v>
      </c>
      <c r="AA2818">
        <v>4461</v>
      </c>
      <c r="AD2818" t="s">
        <v>2085</v>
      </c>
      <c r="AE2818">
        <v>1134115000</v>
      </c>
      <c r="AF2818" t="s">
        <v>2085</v>
      </c>
      <c r="AG2818" s="1" t="s">
        <v>7517</v>
      </c>
      <c r="AH2818" t="s">
        <v>1462</v>
      </c>
    </row>
    <row r="2819" spans="1:34" x14ac:dyDescent="0.3">
      <c r="A2819">
        <v>101</v>
      </c>
      <c r="B2819" t="s">
        <v>34</v>
      </c>
      <c r="C2819">
        <v>2</v>
      </c>
      <c r="D2819" s="1" t="s">
        <v>7520</v>
      </c>
      <c r="E2819" s="1" t="s">
        <v>36</v>
      </c>
      <c r="G2819">
        <v>456437</v>
      </c>
      <c r="H2819" t="s">
        <v>7515</v>
      </c>
      <c r="I2819" t="s">
        <v>2413</v>
      </c>
      <c r="J2819">
        <v>28</v>
      </c>
      <c r="K2819">
        <v>2695</v>
      </c>
      <c r="L2819">
        <v>95000</v>
      </c>
      <c r="M2819" t="s">
        <v>69</v>
      </c>
      <c r="N2819">
        <v>620</v>
      </c>
      <c r="O2819" s="2">
        <v>46172</v>
      </c>
      <c r="P2819" s="2">
        <v>46276</v>
      </c>
      <c r="R2819" t="s">
        <v>7521</v>
      </c>
      <c r="S2819" t="str">
        <f>""</f>
        <v/>
      </c>
      <c r="T2819" t="s">
        <v>41</v>
      </c>
      <c r="U2819">
        <v>9090</v>
      </c>
      <c r="V2819">
        <v>8990.01</v>
      </c>
      <c r="W2819">
        <v>8990.01</v>
      </c>
      <c r="X2819">
        <v>0</v>
      </c>
      <c r="Y2819">
        <v>0</v>
      </c>
      <c r="Z2819">
        <v>-501</v>
      </c>
      <c r="AA2819">
        <v>690492</v>
      </c>
      <c r="AD2819" t="s">
        <v>2085</v>
      </c>
      <c r="AE2819">
        <v>1134115000</v>
      </c>
      <c r="AF2819" t="s">
        <v>2085</v>
      </c>
      <c r="AG2819" s="1" t="s">
        <v>7517</v>
      </c>
      <c r="AH2819" t="s">
        <v>1462</v>
      </c>
    </row>
    <row r="2820" spans="1:34" x14ac:dyDescent="0.3">
      <c r="A2820">
        <v>101</v>
      </c>
      <c r="B2820" t="s">
        <v>34</v>
      </c>
      <c r="C2820">
        <v>2</v>
      </c>
      <c r="D2820" s="1" t="s">
        <v>7522</v>
      </c>
      <c r="E2820" s="1" t="s">
        <v>36</v>
      </c>
      <c r="G2820">
        <v>456438</v>
      </c>
      <c r="H2820" t="s">
        <v>7523</v>
      </c>
      <c r="I2820" t="s">
        <v>2413</v>
      </c>
      <c r="J2820">
        <v>28</v>
      </c>
      <c r="K2820">
        <v>2695</v>
      </c>
      <c r="L2820">
        <v>95000</v>
      </c>
      <c r="M2820" t="s">
        <v>69</v>
      </c>
      <c r="N2820">
        <v>620</v>
      </c>
      <c r="O2820" s="2">
        <v>46172</v>
      </c>
      <c r="P2820" s="2">
        <v>46286</v>
      </c>
      <c r="R2820" t="s">
        <v>7524</v>
      </c>
      <c r="S2820" t="str">
        <f>""</f>
        <v/>
      </c>
      <c r="T2820" t="s">
        <v>41</v>
      </c>
      <c r="U2820">
        <v>3114.79</v>
      </c>
      <c r="V2820">
        <v>3080.53</v>
      </c>
      <c r="W2820">
        <v>3080.53</v>
      </c>
      <c r="X2820">
        <v>0</v>
      </c>
      <c r="Y2820">
        <v>0</v>
      </c>
      <c r="Z2820">
        <v>-511</v>
      </c>
      <c r="AA2820">
        <v>690487</v>
      </c>
      <c r="AD2820" t="s">
        <v>1903</v>
      </c>
      <c r="AE2820">
        <v>1134115000</v>
      </c>
      <c r="AF2820" t="s">
        <v>1903</v>
      </c>
      <c r="AG2820" s="1" t="s">
        <v>7525</v>
      </c>
      <c r="AH2820" t="s">
        <v>1462</v>
      </c>
    </row>
    <row r="2821" spans="1:34" x14ac:dyDescent="0.3">
      <c r="A2821">
        <v>101</v>
      </c>
      <c r="B2821" t="s">
        <v>34</v>
      </c>
      <c r="C2821">
        <v>2</v>
      </c>
      <c r="D2821" s="1" t="s">
        <v>7526</v>
      </c>
      <c r="E2821" s="1" t="s">
        <v>36</v>
      </c>
      <c r="G2821">
        <v>456438</v>
      </c>
      <c r="H2821" t="s">
        <v>7523</v>
      </c>
      <c r="I2821" t="s">
        <v>2413</v>
      </c>
      <c r="J2821">
        <v>28</v>
      </c>
      <c r="K2821">
        <v>2695</v>
      </c>
      <c r="L2821">
        <v>95000</v>
      </c>
      <c r="M2821" t="s">
        <v>69</v>
      </c>
      <c r="N2821">
        <v>620</v>
      </c>
      <c r="O2821" s="2">
        <v>46203</v>
      </c>
      <c r="P2821" s="2">
        <v>46316</v>
      </c>
      <c r="R2821" t="s">
        <v>7527</v>
      </c>
      <c r="S2821" t="str">
        <f>""</f>
        <v/>
      </c>
      <c r="T2821" t="s">
        <v>41</v>
      </c>
      <c r="U2821">
        <v>7626.93</v>
      </c>
      <c r="V2821">
        <v>7543.03</v>
      </c>
      <c r="W2821">
        <v>7543.03</v>
      </c>
      <c r="X2821">
        <v>0</v>
      </c>
      <c r="Y2821">
        <v>0</v>
      </c>
      <c r="Z2821">
        <v>-541</v>
      </c>
      <c r="AA2821">
        <v>693466</v>
      </c>
      <c r="AD2821" t="s">
        <v>1903</v>
      </c>
      <c r="AE2821">
        <v>1134115000</v>
      </c>
      <c r="AF2821" t="s">
        <v>1903</v>
      </c>
      <c r="AG2821" s="1" t="s">
        <v>7525</v>
      </c>
      <c r="AH2821" t="s">
        <v>1462</v>
      </c>
    </row>
    <row r="2822" spans="1:34" x14ac:dyDescent="0.3">
      <c r="A2822">
        <v>101</v>
      </c>
      <c r="B2822" t="s">
        <v>34</v>
      </c>
      <c r="C2822">
        <v>2</v>
      </c>
      <c r="D2822" s="1" t="s">
        <v>7528</v>
      </c>
      <c r="E2822" s="1" t="s">
        <v>36</v>
      </c>
      <c r="G2822">
        <v>457053</v>
      </c>
      <c r="H2822" t="s">
        <v>7529</v>
      </c>
      <c r="I2822" t="s">
        <v>2413</v>
      </c>
      <c r="J2822">
        <v>28</v>
      </c>
      <c r="K2822">
        <v>2695</v>
      </c>
      <c r="L2822">
        <v>95000</v>
      </c>
      <c r="M2822" t="s">
        <v>69</v>
      </c>
      <c r="N2822">
        <v>620</v>
      </c>
      <c r="O2822" s="2">
        <v>46172</v>
      </c>
      <c r="P2822" s="2">
        <v>46286</v>
      </c>
      <c r="R2822" t="s">
        <v>7530</v>
      </c>
      <c r="S2822" t="str">
        <f>""</f>
        <v/>
      </c>
      <c r="T2822" t="s">
        <v>41</v>
      </c>
      <c r="U2822">
        <v>8151.96</v>
      </c>
      <c r="V2822">
        <v>8062.29</v>
      </c>
      <c r="W2822">
        <v>8062.29</v>
      </c>
      <c r="X2822">
        <v>0</v>
      </c>
      <c r="Y2822">
        <v>0</v>
      </c>
      <c r="Z2822">
        <v>-511</v>
      </c>
      <c r="AA2822">
        <v>690490</v>
      </c>
      <c r="AD2822" t="s">
        <v>7531</v>
      </c>
      <c r="AE2822">
        <v>1134115000</v>
      </c>
      <c r="AF2822" t="s">
        <v>7531</v>
      </c>
      <c r="AG2822" s="1" t="s">
        <v>7532</v>
      </c>
      <c r="AH2822" t="s">
        <v>1462</v>
      </c>
    </row>
    <row r="2823" spans="1:34" x14ac:dyDescent="0.3">
      <c r="A2823">
        <v>101</v>
      </c>
      <c r="B2823" t="s">
        <v>34</v>
      </c>
      <c r="C2823">
        <v>2</v>
      </c>
      <c r="D2823" s="1" t="s">
        <v>7533</v>
      </c>
      <c r="E2823" s="1" t="s">
        <v>36</v>
      </c>
      <c r="G2823">
        <v>457053</v>
      </c>
      <c r="H2823" t="s">
        <v>7529</v>
      </c>
      <c r="I2823" t="s">
        <v>2413</v>
      </c>
      <c r="J2823">
        <v>28</v>
      </c>
      <c r="K2823">
        <v>2695</v>
      </c>
      <c r="L2823">
        <v>95000</v>
      </c>
      <c r="M2823" t="s">
        <v>69</v>
      </c>
      <c r="N2823">
        <v>620</v>
      </c>
      <c r="O2823" s="2">
        <v>46203</v>
      </c>
      <c r="P2823" s="2">
        <v>46316</v>
      </c>
      <c r="R2823" t="s">
        <v>7534</v>
      </c>
      <c r="S2823" t="str">
        <f>""</f>
        <v/>
      </c>
      <c r="T2823" t="s">
        <v>41</v>
      </c>
      <c r="U2823">
        <v>3138.75</v>
      </c>
      <c r="V2823">
        <v>3104.22</v>
      </c>
      <c r="W2823">
        <v>3104.22</v>
      </c>
      <c r="X2823">
        <v>0</v>
      </c>
      <c r="Y2823">
        <v>0</v>
      </c>
      <c r="Z2823">
        <v>-541</v>
      </c>
      <c r="AA2823">
        <v>693467</v>
      </c>
      <c r="AD2823" t="s">
        <v>7531</v>
      </c>
      <c r="AE2823">
        <v>1134115000</v>
      </c>
      <c r="AF2823" t="s">
        <v>7531</v>
      </c>
      <c r="AG2823" s="1" t="s">
        <v>7532</v>
      </c>
      <c r="AH2823" t="s">
        <v>1462</v>
      </c>
    </row>
    <row r="2824" spans="1:34" x14ac:dyDescent="0.3">
      <c r="A2824">
        <v>101</v>
      </c>
      <c r="B2824" t="s">
        <v>34</v>
      </c>
      <c r="C2824">
        <v>2</v>
      </c>
      <c r="D2824" s="1" t="s">
        <v>7535</v>
      </c>
      <c r="E2824" s="1" t="s">
        <v>36</v>
      </c>
      <c r="G2824">
        <v>457053</v>
      </c>
      <c r="H2824" t="s">
        <v>7529</v>
      </c>
      <c r="I2824" t="s">
        <v>2413</v>
      </c>
      <c r="J2824">
        <v>28</v>
      </c>
      <c r="K2824">
        <v>2695</v>
      </c>
      <c r="L2824">
        <v>95000</v>
      </c>
      <c r="M2824" t="s">
        <v>69</v>
      </c>
      <c r="N2824">
        <v>620</v>
      </c>
      <c r="O2824" s="2">
        <v>46245</v>
      </c>
      <c r="P2824" s="2">
        <v>46335</v>
      </c>
      <c r="R2824" t="s">
        <v>7536</v>
      </c>
      <c r="S2824" t="str">
        <f>""</f>
        <v/>
      </c>
      <c r="T2824" t="s">
        <v>41</v>
      </c>
      <c r="U2824">
        <v>3361.55</v>
      </c>
      <c r="V2824">
        <v>3324.57</v>
      </c>
      <c r="W2824">
        <v>3324.57</v>
      </c>
      <c r="X2824">
        <v>0</v>
      </c>
      <c r="Y2824">
        <v>0</v>
      </c>
      <c r="Z2824">
        <v>-560</v>
      </c>
      <c r="AA2824">
        <v>4460</v>
      </c>
      <c r="AD2824" t="s">
        <v>7531</v>
      </c>
      <c r="AE2824">
        <v>1134115000</v>
      </c>
      <c r="AF2824" t="s">
        <v>7531</v>
      </c>
      <c r="AG2824" s="1" t="s">
        <v>7532</v>
      </c>
      <c r="AH2824" t="s">
        <v>1462</v>
      </c>
    </row>
    <row r="2825" spans="1:34" x14ac:dyDescent="0.3">
      <c r="A2825">
        <v>101</v>
      </c>
      <c r="B2825" t="s">
        <v>34</v>
      </c>
      <c r="C2825">
        <v>2</v>
      </c>
      <c r="D2825" s="1" t="s">
        <v>7537</v>
      </c>
      <c r="E2825" s="1" t="s">
        <v>36</v>
      </c>
      <c r="G2825">
        <v>459211</v>
      </c>
      <c r="H2825" t="s">
        <v>7538</v>
      </c>
      <c r="I2825" t="s">
        <v>2413</v>
      </c>
      <c r="J2825">
        <v>28</v>
      </c>
      <c r="K2825">
        <v>2695</v>
      </c>
      <c r="L2825">
        <v>95000</v>
      </c>
      <c r="M2825" t="s">
        <v>69</v>
      </c>
      <c r="N2825">
        <v>620</v>
      </c>
      <c r="O2825" s="2">
        <v>46203</v>
      </c>
      <c r="P2825" s="2">
        <v>46316</v>
      </c>
      <c r="R2825" t="s">
        <v>7539</v>
      </c>
      <c r="S2825" t="str">
        <f>""</f>
        <v/>
      </c>
      <c r="T2825" t="s">
        <v>41</v>
      </c>
      <c r="U2825">
        <v>10915.96</v>
      </c>
      <c r="V2825">
        <v>10795.88</v>
      </c>
      <c r="W2825">
        <v>10795.88</v>
      </c>
      <c r="X2825">
        <v>0</v>
      </c>
      <c r="Y2825">
        <v>0</v>
      </c>
      <c r="Z2825">
        <v>-541</v>
      </c>
      <c r="AA2825">
        <v>693469</v>
      </c>
      <c r="AD2825" t="s">
        <v>1808</v>
      </c>
      <c r="AE2825">
        <v>1134115000</v>
      </c>
      <c r="AF2825" t="s">
        <v>1808</v>
      </c>
      <c r="AG2825" s="1" t="s">
        <v>7540</v>
      </c>
      <c r="AH2825" t="s">
        <v>1462</v>
      </c>
    </row>
    <row r="2826" spans="1:34" x14ac:dyDescent="0.3">
      <c r="A2826">
        <v>101</v>
      </c>
      <c r="B2826" t="s">
        <v>34</v>
      </c>
      <c r="C2826">
        <v>2</v>
      </c>
      <c r="D2826" s="1" t="s">
        <v>7541</v>
      </c>
      <c r="E2826" s="1" t="s">
        <v>36</v>
      </c>
      <c r="G2826">
        <v>459211</v>
      </c>
      <c r="H2826" t="s">
        <v>7538</v>
      </c>
      <c r="I2826" t="s">
        <v>2413</v>
      </c>
      <c r="J2826">
        <v>28</v>
      </c>
      <c r="K2826">
        <v>2695</v>
      </c>
      <c r="L2826">
        <v>95000</v>
      </c>
      <c r="M2826" t="s">
        <v>69</v>
      </c>
      <c r="N2826">
        <v>620</v>
      </c>
      <c r="O2826" s="2">
        <v>46245</v>
      </c>
      <c r="P2826" s="2">
        <v>46335</v>
      </c>
      <c r="R2826" t="s">
        <v>7542</v>
      </c>
      <c r="S2826" t="str">
        <f>""</f>
        <v/>
      </c>
      <c r="T2826" t="s">
        <v>41</v>
      </c>
      <c r="U2826">
        <v>1869.95</v>
      </c>
      <c r="V2826">
        <v>1849.38</v>
      </c>
      <c r="W2826">
        <v>1849.38</v>
      </c>
      <c r="X2826">
        <v>0</v>
      </c>
      <c r="Y2826">
        <v>0</v>
      </c>
      <c r="Z2826">
        <v>-560</v>
      </c>
      <c r="AA2826">
        <v>4463</v>
      </c>
      <c r="AD2826" t="s">
        <v>1808</v>
      </c>
      <c r="AE2826">
        <v>1134115000</v>
      </c>
      <c r="AF2826" t="s">
        <v>1808</v>
      </c>
      <c r="AG2826" s="1" t="s">
        <v>7540</v>
      </c>
      <c r="AH2826" t="s">
        <v>1462</v>
      </c>
    </row>
    <row r="2827" spans="1:34" x14ac:dyDescent="0.3">
      <c r="A2827">
        <v>101</v>
      </c>
      <c r="B2827" t="s">
        <v>34</v>
      </c>
      <c r="C2827">
        <v>2</v>
      </c>
      <c r="D2827" s="1" t="s">
        <v>7543</v>
      </c>
      <c r="E2827" s="1" t="s">
        <v>36</v>
      </c>
      <c r="G2827">
        <v>459211</v>
      </c>
      <c r="H2827" t="s">
        <v>7538</v>
      </c>
      <c r="I2827" t="s">
        <v>2413</v>
      </c>
      <c r="J2827">
        <v>28</v>
      </c>
      <c r="K2827">
        <v>2695</v>
      </c>
      <c r="L2827">
        <v>95000</v>
      </c>
      <c r="M2827" t="s">
        <v>69</v>
      </c>
      <c r="N2827">
        <v>620</v>
      </c>
      <c r="O2827" s="2">
        <v>46172</v>
      </c>
      <c r="P2827" s="2">
        <v>46286</v>
      </c>
      <c r="R2827" t="s">
        <v>7544</v>
      </c>
      <c r="S2827" t="str">
        <f>""</f>
        <v/>
      </c>
      <c r="T2827" t="s">
        <v>41</v>
      </c>
      <c r="U2827">
        <v>6339.58</v>
      </c>
      <c r="V2827">
        <v>6269.84</v>
      </c>
      <c r="W2827">
        <v>6269.84</v>
      </c>
      <c r="X2827">
        <v>0</v>
      </c>
      <c r="Y2827">
        <v>0</v>
      </c>
      <c r="Z2827">
        <v>-511</v>
      </c>
      <c r="AA2827">
        <v>690494</v>
      </c>
      <c r="AD2827" t="s">
        <v>1808</v>
      </c>
      <c r="AE2827">
        <v>1134115000</v>
      </c>
      <c r="AF2827" t="s">
        <v>1808</v>
      </c>
      <c r="AG2827" s="1" t="s">
        <v>7540</v>
      </c>
      <c r="AH2827" t="s">
        <v>1462</v>
      </c>
    </row>
    <row r="2828" spans="1:34" x14ac:dyDescent="0.3">
      <c r="A2828">
        <v>101</v>
      </c>
      <c r="B2828" t="s">
        <v>34</v>
      </c>
      <c r="C2828">
        <v>2</v>
      </c>
      <c r="D2828" s="1" t="s">
        <v>7545</v>
      </c>
      <c r="E2828" s="1" t="s">
        <v>36</v>
      </c>
      <c r="G2828">
        <v>460510</v>
      </c>
      <c r="H2828" t="s">
        <v>7546</v>
      </c>
      <c r="I2828" t="s">
        <v>2413</v>
      </c>
      <c r="J2828">
        <v>28</v>
      </c>
      <c r="K2828">
        <v>2695</v>
      </c>
      <c r="L2828">
        <v>95000</v>
      </c>
      <c r="M2828" t="s">
        <v>69</v>
      </c>
      <c r="N2828">
        <v>620</v>
      </c>
      <c r="O2828" s="2">
        <v>46245</v>
      </c>
      <c r="P2828" s="2">
        <v>46335</v>
      </c>
      <c r="R2828" t="s">
        <v>7547</v>
      </c>
      <c r="S2828" t="str">
        <f>""</f>
        <v/>
      </c>
      <c r="T2828" t="s">
        <v>41</v>
      </c>
      <c r="U2828">
        <v>3361.55</v>
      </c>
      <c r="V2828">
        <v>3324.57</v>
      </c>
      <c r="W2828">
        <v>3324.57</v>
      </c>
      <c r="X2828">
        <v>0</v>
      </c>
      <c r="Y2828">
        <v>0</v>
      </c>
      <c r="Z2828">
        <v>-560</v>
      </c>
      <c r="AA2828">
        <v>4464</v>
      </c>
      <c r="AD2828" t="s">
        <v>1808</v>
      </c>
      <c r="AE2828" t="s">
        <v>2567</v>
      </c>
      <c r="AF2828" t="s">
        <v>1808</v>
      </c>
      <c r="AG2828" s="1" t="s">
        <v>7548</v>
      </c>
      <c r="AH2828" t="s">
        <v>1462</v>
      </c>
    </row>
    <row r="2829" spans="1:34" x14ac:dyDescent="0.3">
      <c r="A2829">
        <v>101</v>
      </c>
      <c r="B2829" t="s">
        <v>34</v>
      </c>
      <c r="C2829">
        <v>2</v>
      </c>
      <c r="D2829" s="1" t="s">
        <v>7549</v>
      </c>
      <c r="E2829" s="1" t="s">
        <v>36</v>
      </c>
      <c r="G2829">
        <v>460510</v>
      </c>
      <c r="H2829" t="s">
        <v>7546</v>
      </c>
      <c r="I2829" t="s">
        <v>2413</v>
      </c>
      <c r="J2829">
        <v>28</v>
      </c>
      <c r="K2829">
        <v>2695</v>
      </c>
      <c r="L2829">
        <v>95000</v>
      </c>
      <c r="M2829" t="s">
        <v>69</v>
      </c>
      <c r="N2829">
        <v>620</v>
      </c>
      <c r="O2829" s="2">
        <v>46172</v>
      </c>
      <c r="P2829" s="2">
        <v>46276</v>
      </c>
      <c r="R2829" t="s">
        <v>7550</v>
      </c>
      <c r="S2829" t="str">
        <f>""</f>
        <v/>
      </c>
      <c r="T2829" t="s">
        <v>41</v>
      </c>
      <c r="U2829">
        <v>12019.2</v>
      </c>
      <c r="V2829">
        <v>11886.99</v>
      </c>
      <c r="W2829">
        <v>11886.99</v>
      </c>
      <c r="X2829">
        <v>0</v>
      </c>
      <c r="Y2829">
        <v>0</v>
      </c>
      <c r="Z2829">
        <v>-501</v>
      </c>
      <c r="AA2829">
        <v>690498</v>
      </c>
      <c r="AD2829" t="s">
        <v>1808</v>
      </c>
      <c r="AE2829" t="s">
        <v>2567</v>
      </c>
      <c r="AF2829" t="s">
        <v>1808</v>
      </c>
      <c r="AG2829" s="1" t="s">
        <v>7548</v>
      </c>
      <c r="AH2829" t="s">
        <v>1462</v>
      </c>
    </row>
    <row r="2830" spans="1:34" x14ac:dyDescent="0.3">
      <c r="A2830">
        <v>101</v>
      </c>
      <c r="B2830" t="s">
        <v>34</v>
      </c>
      <c r="C2830">
        <v>2</v>
      </c>
      <c r="D2830" s="1" t="s">
        <v>7551</v>
      </c>
      <c r="E2830" s="1" t="s">
        <v>36</v>
      </c>
      <c r="G2830">
        <v>460510</v>
      </c>
      <c r="H2830" t="s">
        <v>7546</v>
      </c>
      <c r="I2830" t="s">
        <v>2413</v>
      </c>
      <c r="J2830">
        <v>28</v>
      </c>
      <c r="K2830">
        <v>2695</v>
      </c>
      <c r="L2830">
        <v>95000</v>
      </c>
      <c r="M2830" t="s">
        <v>69</v>
      </c>
      <c r="N2830">
        <v>620</v>
      </c>
      <c r="O2830" s="2">
        <v>46203</v>
      </c>
      <c r="P2830" s="2">
        <v>46316</v>
      </c>
      <c r="R2830" t="s">
        <v>7552</v>
      </c>
      <c r="S2830" t="str">
        <f>""</f>
        <v/>
      </c>
      <c r="T2830" t="s">
        <v>41</v>
      </c>
      <c r="U2830">
        <v>9657.7999999999993</v>
      </c>
      <c r="V2830">
        <v>9551.56</v>
      </c>
      <c r="W2830">
        <v>9551.56</v>
      </c>
      <c r="X2830">
        <v>0</v>
      </c>
      <c r="Y2830">
        <v>0</v>
      </c>
      <c r="Z2830">
        <v>-541</v>
      </c>
      <c r="AA2830">
        <v>693470</v>
      </c>
      <c r="AD2830" t="s">
        <v>1808</v>
      </c>
      <c r="AE2830" t="s">
        <v>2567</v>
      </c>
      <c r="AF2830" t="s">
        <v>1808</v>
      </c>
      <c r="AG2830" s="1" t="s">
        <v>7548</v>
      </c>
      <c r="AH2830" t="s">
        <v>1462</v>
      </c>
    </row>
    <row r="2831" spans="1:34" x14ac:dyDescent="0.3">
      <c r="A2831">
        <v>101</v>
      </c>
      <c r="B2831" t="s">
        <v>34</v>
      </c>
      <c r="C2831">
        <v>2</v>
      </c>
      <c r="D2831" s="1" t="s">
        <v>7553</v>
      </c>
      <c r="E2831" s="1" t="s">
        <v>36</v>
      </c>
      <c r="G2831">
        <v>460510</v>
      </c>
      <c r="H2831" t="s">
        <v>7546</v>
      </c>
      <c r="I2831" t="s">
        <v>2413</v>
      </c>
      <c r="J2831">
        <v>28</v>
      </c>
      <c r="K2831">
        <v>2695</v>
      </c>
      <c r="L2831">
        <v>95000</v>
      </c>
      <c r="M2831" t="s">
        <v>69</v>
      </c>
      <c r="N2831">
        <v>620</v>
      </c>
      <c r="O2831" s="2">
        <v>46140</v>
      </c>
      <c r="P2831" s="2">
        <v>46255</v>
      </c>
      <c r="R2831" t="s">
        <v>7554</v>
      </c>
      <c r="S2831" t="str">
        <f>""</f>
        <v/>
      </c>
      <c r="T2831" t="s">
        <v>41</v>
      </c>
      <c r="U2831">
        <v>9670.42</v>
      </c>
      <c r="V2831">
        <v>9564.0499999999993</v>
      </c>
      <c r="W2831">
        <v>9564.0499999999993</v>
      </c>
      <c r="X2831">
        <v>0</v>
      </c>
      <c r="Y2831">
        <v>0</v>
      </c>
      <c r="Z2831">
        <v>-480</v>
      </c>
      <c r="AA2831">
        <v>686282</v>
      </c>
      <c r="AD2831" t="s">
        <v>1808</v>
      </c>
      <c r="AE2831" t="s">
        <v>2567</v>
      </c>
      <c r="AF2831" t="s">
        <v>1808</v>
      </c>
      <c r="AG2831" s="1" t="s">
        <v>7548</v>
      </c>
      <c r="AH2831" t="s">
        <v>1462</v>
      </c>
    </row>
    <row r="2832" spans="1:34" x14ac:dyDescent="0.3">
      <c r="A2832">
        <v>101</v>
      </c>
      <c r="B2832" t="s">
        <v>34</v>
      </c>
      <c r="C2832">
        <v>2</v>
      </c>
      <c r="D2832" s="1" t="s">
        <v>7555</v>
      </c>
      <c r="E2832" s="1" t="s">
        <v>36</v>
      </c>
      <c r="G2832">
        <v>460511</v>
      </c>
      <c r="H2832" t="s">
        <v>7556</v>
      </c>
      <c r="I2832" t="s">
        <v>2413</v>
      </c>
      <c r="J2832">
        <v>28</v>
      </c>
      <c r="K2832">
        <v>2695</v>
      </c>
      <c r="L2832">
        <v>95000</v>
      </c>
      <c r="M2832" t="s">
        <v>69</v>
      </c>
      <c r="N2832">
        <v>620</v>
      </c>
      <c r="O2832" s="2">
        <v>46172</v>
      </c>
      <c r="P2832" s="2">
        <v>46276</v>
      </c>
      <c r="R2832" t="s">
        <v>7557</v>
      </c>
      <c r="S2832" t="str">
        <f>""</f>
        <v/>
      </c>
      <c r="T2832" t="s">
        <v>41</v>
      </c>
      <c r="U2832">
        <v>8133.95</v>
      </c>
      <c r="V2832">
        <v>8044.48</v>
      </c>
      <c r="W2832">
        <v>8044.48</v>
      </c>
      <c r="X2832">
        <v>0</v>
      </c>
      <c r="Y2832">
        <v>0</v>
      </c>
      <c r="Z2832">
        <v>-501</v>
      </c>
      <c r="AA2832">
        <v>690502</v>
      </c>
      <c r="AD2832" t="s">
        <v>1808</v>
      </c>
      <c r="AE2832" t="s">
        <v>2567</v>
      </c>
      <c r="AF2832" t="s">
        <v>1808</v>
      </c>
      <c r="AG2832" s="1" t="s">
        <v>7558</v>
      </c>
      <c r="AH2832" t="s">
        <v>1462</v>
      </c>
    </row>
    <row r="2833" spans="1:34" x14ac:dyDescent="0.3">
      <c r="A2833">
        <v>101</v>
      </c>
      <c r="B2833" t="s">
        <v>34</v>
      </c>
      <c r="C2833">
        <v>2</v>
      </c>
      <c r="D2833" s="1" t="s">
        <v>7559</v>
      </c>
      <c r="E2833" s="1" t="s">
        <v>36</v>
      </c>
      <c r="G2833">
        <v>460511</v>
      </c>
      <c r="H2833" t="s">
        <v>7556</v>
      </c>
      <c r="I2833" t="s">
        <v>2413</v>
      </c>
      <c r="J2833">
        <v>28</v>
      </c>
      <c r="K2833">
        <v>2695</v>
      </c>
      <c r="L2833">
        <v>95000</v>
      </c>
      <c r="M2833" t="s">
        <v>69</v>
      </c>
      <c r="N2833">
        <v>620</v>
      </c>
      <c r="O2833" s="2">
        <v>46140</v>
      </c>
      <c r="P2833" s="2">
        <v>46255</v>
      </c>
      <c r="R2833" t="s">
        <v>7560</v>
      </c>
      <c r="S2833" t="str">
        <f>""</f>
        <v/>
      </c>
      <c r="T2833" t="s">
        <v>41</v>
      </c>
      <c r="U2833">
        <v>7675.05</v>
      </c>
      <c r="V2833">
        <v>7590.62</v>
      </c>
      <c r="W2833">
        <v>7590.62</v>
      </c>
      <c r="X2833">
        <v>0</v>
      </c>
      <c r="Y2833">
        <v>0</v>
      </c>
      <c r="Z2833">
        <v>-480</v>
      </c>
      <c r="AA2833">
        <v>686283</v>
      </c>
      <c r="AD2833" t="s">
        <v>1808</v>
      </c>
      <c r="AE2833" t="s">
        <v>2567</v>
      </c>
      <c r="AF2833" t="s">
        <v>1808</v>
      </c>
      <c r="AG2833" s="1" t="s">
        <v>7558</v>
      </c>
      <c r="AH2833" t="s">
        <v>1462</v>
      </c>
    </row>
    <row r="2834" spans="1:34" x14ac:dyDescent="0.3">
      <c r="A2834">
        <v>101</v>
      </c>
      <c r="B2834" t="s">
        <v>34</v>
      </c>
      <c r="C2834">
        <v>2</v>
      </c>
      <c r="D2834" s="1" t="s">
        <v>7561</v>
      </c>
      <c r="E2834" s="1" t="s">
        <v>36</v>
      </c>
      <c r="G2834">
        <v>460511</v>
      </c>
      <c r="H2834" t="s">
        <v>7556</v>
      </c>
      <c r="I2834" t="s">
        <v>2413</v>
      </c>
      <c r="J2834">
        <v>28</v>
      </c>
      <c r="K2834">
        <v>2695</v>
      </c>
      <c r="L2834">
        <v>95000</v>
      </c>
      <c r="M2834" t="s">
        <v>69</v>
      </c>
      <c r="N2834">
        <v>620</v>
      </c>
      <c r="O2834" s="2">
        <v>46245</v>
      </c>
      <c r="P2834" s="2">
        <v>46349</v>
      </c>
      <c r="R2834" t="s">
        <v>7562</v>
      </c>
      <c r="S2834" t="str">
        <f>""</f>
        <v/>
      </c>
      <c r="T2834" t="s">
        <v>41</v>
      </c>
      <c r="U2834">
        <v>3300.52</v>
      </c>
      <c r="V2834">
        <v>3264.21</v>
      </c>
      <c r="W2834">
        <v>3264.21</v>
      </c>
      <c r="X2834">
        <v>0</v>
      </c>
      <c r="Y2834">
        <v>0</v>
      </c>
      <c r="Z2834">
        <v>-574</v>
      </c>
      <c r="AA2834">
        <v>4465</v>
      </c>
      <c r="AD2834" t="s">
        <v>1808</v>
      </c>
      <c r="AE2834" t="s">
        <v>2567</v>
      </c>
      <c r="AF2834" t="s">
        <v>1808</v>
      </c>
      <c r="AG2834" s="1" t="s">
        <v>7558</v>
      </c>
      <c r="AH2834" t="s">
        <v>1462</v>
      </c>
    </row>
    <row r="2835" spans="1:34" x14ac:dyDescent="0.3">
      <c r="A2835">
        <v>101</v>
      </c>
      <c r="B2835" t="s">
        <v>34</v>
      </c>
      <c r="C2835">
        <v>2</v>
      </c>
      <c r="D2835" s="1" t="s">
        <v>7563</v>
      </c>
      <c r="E2835" s="1" t="s">
        <v>36</v>
      </c>
      <c r="G2835">
        <v>467506</v>
      </c>
      <c r="H2835" t="s">
        <v>7564</v>
      </c>
      <c r="I2835" t="s">
        <v>2413</v>
      </c>
      <c r="J2835">
        <v>28</v>
      </c>
      <c r="K2835">
        <v>2695</v>
      </c>
      <c r="L2835">
        <v>95000</v>
      </c>
      <c r="M2835" t="s">
        <v>69</v>
      </c>
      <c r="N2835">
        <v>620</v>
      </c>
      <c r="O2835" s="2">
        <v>46140</v>
      </c>
      <c r="P2835" s="2">
        <v>46266</v>
      </c>
      <c r="R2835" t="s">
        <v>7565</v>
      </c>
      <c r="S2835" t="str">
        <f>""</f>
        <v/>
      </c>
      <c r="T2835" t="s">
        <v>41</v>
      </c>
      <c r="U2835">
        <v>10752.65</v>
      </c>
      <c r="V2835">
        <v>10634.37</v>
      </c>
      <c r="W2835">
        <v>10634.37</v>
      </c>
      <c r="X2835">
        <v>0</v>
      </c>
      <c r="Y2835">
        <v>0</v>
      </c>
      <c r="Z2835">
        <v>-491</v>
      </c>
      <c r="AA2835">
        <v>686284</v>
      </c>
      <c r="AD2835" t="s">
        <v>1545</v>
      </c>
      <c r="AE2835" t="s">
        <v>7506</v>
      </c>
      <c r="AF2835" t="s">
        <v>1545</v>
      </c>
      <c r="AG2835" s="1" t="s">
        <v>7566</v>
      </c>
      <c r="AH2835" t="s">
        <v>1462</v>
      </c>
    </row>
    <row r="2836" spans="1:34" x14ac:dyDescent="0.3">
      <c r="A2836">
        <v>101</v>
      </c>
      <c r="B2836" t="s">
        <v>34</v>
      </c>
      <c r="C2836">
        <v>2</v>
      </c>
      <c r="D2836" s="1" t="s">
        <v>7567</v>
      </c>
      <c r="E2836" s="1" t="s">
        <v>36</v>
      </c>
      <c r="G2836">
        <v>467506</v>
      </c>
      <c r="H2836" t="s">
        <v>7564</v>
      </c>
      <c r="I2836" t="s">
        <v>2413</v>
      </c>
      <c r="J2836">
        <v>28</v>
      </c>
      <c r="K2836">
        <v>2695</v>
      </c>
      <c r="L2836">
        <v>95000</v>
      </c>
      <c r="M2836" t="s">
        <v>69</v>
      </c>
      <c r="N2836">
        <v>620</v>
      </c>
      <c r="O2836" s="2">
        <v>46245</v>
      </c>
      <c r="P2836" s="2">
        <v>46335</v>
      </c>
      <c r="R2836" t="s">
        <v>7568</v>
      </c>
      <c r="S2836" t="str">
        <f>""</f>
        <v/>
      </c>
      <c r="T2836" t="s">
        <v>41</v>
      </c>
      <c r="U2836">
        <v>5659.27</v>
      </c>
      <c r="V2836">
        <v>5597.02</v>
      </c>
      <c r="W2836">
        <v>5597.02</v>
      </c>
      <c r="X2836">
        <v>0</v>
      </c>
      <c r="Y2836">
        <v>0</v>
      </c>
      <c r="Z2836">
        <v>-560</v>
      </c>
      <c r="AA2836">
        <v>4466</v>
      </c>
      <c r="AD2836" t="s">
        <v>1545</v>
      </c>
      <c r="AE2836" t="s">
        <v>7506</v>
      </c>
      <c r="AF2836" t="s">
        <v>1545</v>
      </c>
      <c r="AG2836" s="1" t="s">
        <v>7566</v>
      </c>
      <c r="AH2836" t="s">
        <v>1462</v>
      </c>
    </row>
    <row r="2837" spans="1:34" x14ac:dyDescent="0.3">
      <c r="A2837">
        <v>101</v>
      </c>
      <c r="B2837" t="s">
        <v>34</v>
      </c>
      <c r="C2837">
        <v>2</v>
      </c>
      <c r="D2837" s="1" t="s">
        <v>7569</v>
      </c>
      <c r="E2837" s="1" t="s">
        <v>36</v>
      </c>
      <c r="G2837">
        <v>467506</v>
      </c>
      <c r="H2837" t="s">
        <v>7564</v>
      </c>
      <c r="I2837" t="s">
        <v>2413</v>
      </c>
      <c r="J2837">
        <v>28</v>
      </c>
      <c r="K2837">
        <v>2695</v>
      </c>
      <c r="L2837">
        <v>95000</v>
      </c>
      <c r="M2837" t="s">
        <v>69</v>
      </c>
      <c r="N2837">
        <v>620</v>
      </c>
      <c r="O2837" s="2">
        <v>46172</v>
      </c>
      <c r="P2837" s="2">
        <v>46276</v>
      </c>
      <c r="R2837" t="s">
        <v>7570</v>
      </c>
      <c r="S2837" t="str">
        <f>""</f>
        <v/>
      </c>
      <c r="T2837" t="s">
        <v>41</v>
      </c>
      <c r="U2837">
        <v>8123.64</v>
      </c>
      <c r="V2837">
        <v>8034.28</v>
      </c>
      <c r="W2837">
        <v>8034.28</v>
      </c>
      <c r="X2837">
        <v>0</v>
      </c>
      <c r="Y2837">
        <v>0</v>
      </c>
      <c r="Z2837">
        <v>-501</v>
      </c>
      <c r="AA2837">
        <v>690504</v>
      </c>
      <c r="AD2837" t="s">
        <v>1545</v>
      </c>
      <c r="AE2837" t="s">
        <v>7506</v>
      </c>
      <c r="AF2837" t="s">
        <v>1545</v>
      </c>
      <c r="AG2837" s="1" t="s">
        <v>7566</v>
      </c>
      <c r="AH2837" t="s">
        <v>1462</v>
      </c>
    </row>
    <row r="2838" spans="1:34" x14ac:dyDescent="0.3">
      <c r="A2838">
        <v>101</v>
      </c>
      <c r="B2838" t="s">
        <v>34</v>
      </c>
      <c r="C2838">
        <v>2</v>
      </c>
      <c r="D2838" s="1" t="s">
        <v>7571</v>
      </c>
      <c r="E2838" s="1" t="s">
        <v>36</v>
      </c>
      <c r="G2838">
        <v>471056</v>
      </c>
      <c r="H2838" t="s">
        <v>7572</v>
      </c>
      <c r="I2838" t="s">
        <v>7573</v>
      </c>
      <c r="J2838">
        <v>15</v>
      </c>
      <c r="K2838">
        <v>471056</v>
      </c>
      <c r="L2838">
        <v>50033</v>
      </c>
      <c r="M2838" t="s">
        <v>39</v>
      </c>
      <c r="N2838">
        <v>620</v>
      </c>
      <c r="O2838" s="2">
        <v>46233</v>
      </c>
      <c r="P2838" s="2">
        <v>46285</v>
      </c>
      <c r="R2838" t="s">
        <v>7574</v>
      </c>
      <c r="S2838" t="str">
        <f>"0000050411713"</f>
        <v>0000050411713</v>
      </c>
      <c r="T2838" t="s">
        <v>41</v>
      </c>
      <c r="U2838">
        <v>126119.03</v>
      </c>
      <c r="V2838">
        <v>107500.74</v>
      </c>
      <c r="W2838">
        <v>107500.74</v>
      </c>
      <c r="X2838">
        <v>0</v>
      </c>
      <c r="Y2838">
        <v>0</v>
      </c>
      <c r="Z2838">
        <v>-510</v>
      </c>
      <c r="AA2838">
        <v>1890</v>
      </c>
      <c r="AD2838" t="s">
        <v>1459</v>
      </c>
      <c r="AE2838">
        <v>3125552452</v>
      </c>
      <c r="AF2838" t="s">
        <v>1459</v>
      </c>
      <c r="AG2838">
        <v>19450411000107</v>
      </c>
      <c r="AH2838" t="s">
        <v>1462</v>
      </c>
    </row>
    <row r="2839" spans="1:34" x14ac:dyDescent="0.3">
      <c r="A2839">
        <v>101</v>
      </c>
      <c r="B2839" t="s">
        <v>34</v>
      </c>
      <c r="C2839">
        <v>2</v>
      </c>
      <c r="D2839" s="1" t="s">
        <v>7575</v>
      </c>
      <c r="E2839" s="1" t="s">
        <v>36</v>
      </c>
      <c r="G2839">
        <v>999000607</v>
      </c>
      <c r="H2839" t="s">
        <v>7576</v>
      </c>
      <c r="I2839" t="s">
        <v>7577</v>
      </c>
      <c r="J2839">
        <v>12</v>
      </c>
      <c r="K2839">
        <v>999000607</v>
      </c>
      <c r="L2839">
        <v>50033</v>
      </c>
      <c r="M2839" t="s">
        <v>39</v>
      </c>
      <c r="N2839">
        <v>620</v>
      </c>
      <c r="O2839" s="2">
        <v>46245</v>
      </c>
      <c r="P2839" s="2">
        <v>46273</v>
      </c>
      <c r="R2839" t="s">
        <v>7578</v>
      </c>
      <c r="S2839" t="str">
        <f>"0000050413082"</f>
        <v>0000050413082</v>
      </c>
      <c r="T2839" t="s">
        <v>41</v>
      </c>
      <c r="U2839">
        <v>1738.49</v>
      </c>
      <c r="V2839">
        <v>1738.49</v>
      </c>
      <c r="W2839">
        <v>1738.49</v>
      </c>
      <c r="X2839">
        <v>0</v>
      </c>
      <c r="Y2839">
        <v>0</v>
      </c>
      <c r="Z2839">
        <v>-498</v>
      </c>
      <c r="AA2839">
        <v>4414</v>
      </c>
      <c r="AD2839" t="s">
        <v>1808</v>
      </c>
      <c r="AE2839" t="s">
        <v>7579</v>
      </c>
      <c r="AF2839" t="s">
        <v>1808</v>
      </c>
      <c r="AG2839">
        <v>68547900000197</v>
      </c>
      <c r="AH2839" t="s">
        <v>1462</v>
      </c>
    </row>
    <row r="2840" spans="1:34" x14ac:dyDescent="0.3">
      <c r="A2840">
        <v>101</v>
      </c>
      <c r="B2840" t="s">
        <v>34</v>
      </c>
      <c r="C2840">
        <v>2</v>
      </c>
      <c r="D2840" s="1" t="s">
        <v>7575</v>
      </c>
      <c r="E2840" s="1" t="s">
        <v>122</v>
      </c>
      <c r="G2840">
        <v>999000607</v>
      </c>
      <c r="H2840" t="s">
        <v>7576</v>
      </c>
      <c r="I2840" t="s">
        <v>7577</v>
      </c>
      <c r="J2840">
        <v>12</v>
      </c>
      <c r="K2840">
        <v>999000607</v>
      </c>
      <c r="L2840">
        <v>50033</v>
      </c>
      <c r="M2840" t="s">
        <v>39</v>
      </c>
      <c r="N2840">
        <v>620</v>
      </c>
      <c r="O2840" s="2">
        <v>46245</v>
      </c>
      <c r="P2840" s="2">
        <v>46280</v>
      </c>
      <c r="R2840" t="s">
        <v>7578</v>
      </c>
      <c r="S2840" t="str">
        <f>"0000050413090"</f>
        <v>0000050413090</v>
      </c>
      <c r="T2840" t="s">
        <v>41</v>
      </c>
      <c r="U2840">
        <v>1713.89</v>
      </c>
      <c r="V2840">
        <v>1713.89</v>
      </c>
      <c r="W2840">
        <v>1713.89</v>
      </c>
      <c r="X2840">
        <v>0</v>
      </c>
      <c r="Y2840">
        <v>0</v>
      </c>
      <c r="Z2840">
        <v>-505</v>
      </c>
      <c r="AA2840">
        <v>4414</v>
      </c>
      <c r="AD2840" t="s">
        <v>1808</v>
      </c>
      <c r="AE2840" t="s">
        <v>7579</v>
      </c>
      <c r="AF2840" t="s">
        <v>1808</v>
      </c>
      <c r="AG2840">
        <v>68547900000197</v>
      </c>
      <c r="AH2840" t="s">
        <v>1462</v>
      </c>
    </row>
    <row r="2841" spans="1:34" x14ac:dyDescent="0.3">
      <c r="A2841">
        <v>101</v>
      </c>
      <c r="B2841" t="s">
        <v>34</v>
      </c>
      <c r="C2841">
        <v>2</v>
      </c>
      <c r="D2841" s="1" t="s">
        <v>7580</v>
      </c>
      <c r="E2841" s="1" t="s">
        <v>36</v>
      </c>
      <c r="G2841">
        <v>470785</v>
      </c>
      <c r="H2841" t="s">
        <v>7581</v>
      </c>
      <c r="I2841" t="s">
        <v>7582</v>
      </c>
      <c r="J2841">
        <v>15</v>
      </c>
      <c r="K2841">
        <v>470785</v>
      </c>
      <c r="L2841">
        <v>50001</v>
      </c>
      <c r="M2841" t="s">
        <v>39</v>
      </c>
      <c r="N2841">
        <v>621</v>
      </c>
      <c r="O2841" s="2">
        <v>46198</v>
      </c>
      <c r="P2841" s="2">
        <v>46262</v>
      </c>
      <c r="R2841" t="s">
        <v>7583</v>
      </c>
      <c r="S2841" t="str">
        <f>"25666160000051225"</f>
        <v>25666160000051225</v>
      </c>
      <c r="T2841" t="s">
        <v>41</v>
      </c>
      <c r="U2841">
        <v>6461.28</v>
      </c>
      <c r="V2841">
        <v>5961.28</v>
      </c>
      <c r="W2841">
        <v>5961.28</v>
      </c>
      <c r="X2841">
        <v>0</v>
      </c>
      <c r="Y2841">
        <v>0</v>
      </c>
      <c r="Z2841">
        <v>-487</v>
      </c>
      <c r="AA2841">
        <v>691736</v>
      </c>
      <c r="AD2841" t="s">
        <v>6417</v>
      </c>
      <c r="AE2841" t="s">
        <v>7584</v>
      </c>
      <c r="AF2841" t="s">
        <v>6417</v>
      </c>
      <c r="AG2841">
        <v>42416937000192</v>
      </c>
      <c r="AH2841" t="s">
        <v>6419</v>
      </c>
    </row>
    <row r="2842" spans="1:34" x14ac:dyDescent="0.3">
      <c r="A2842">
        <v>101</v>
      </c>
      <c r="B2842" t="s">
        <v>34</v>
      </c>
      <c r="C2842">
        <v>2</v>
      </c>
      <c r="D2842" s="1" t="s">
        <v>7580</v>
      </c>
      <c r="E2842" s="1" t="s">
        <v>122</v>
      </c>
      <c r="G2842">
        <v>470785</v>
      </c>
      <c r="H2842" t="s">
        <v>7581</v>
      </c>
      <c r="I2842" t="s">
        <v>7582</v>
      </c>
      <c r="J2842">
        <v>15</v>
      </c>
      <c r="K2842">
        <v>470785</v>
      </c>
      <c r="L2842">
        <v>50001</v>
      </c>
      <c r="M2842" t="s">
        <v>39</v>
      </c>
      <c r="N2842">
        <v>621</v>
      </c>
      <c r="O2842" s="2">
        <v>46198</v>
      </c>
      <c r="P2842" s="2">
        <v>46277</v>
      </c>
      <c r="R2842" t="s">
        <v>7583</v>
      </c>
      <c r="S2842" t="str">
        <f>"25666160000051226"</f>
        <v>25666160000051226</v>
      </c>
      <c r="T2842" t="s">
        <v>41</v>
      </c>
      <c r="U2842">
        <v>4997.07</v>
      </c>
      <c r="V2842">
        <v>4497.07</v>
      </c>
      <c r="W2842">
        <v>4497.07</v>
      </c>
      <c r="X2842">
        <v>0</v>
      </c>
      <c r="Y2842">
        <v>0</v>
      </c>
      <c r="Z2842">
        <v>-502</v>
      </c>
      <c r="AA2842">
        <v>691736</v>
      </c>
      <c r="AD2842" t="s">
        <v>6417</v>
      </c>
      <c r="AE2842" t="s">
        <v>7584</v>
      </c>
      <c r="AF2842" t="s">
        <v>6417</v>
      </c>
      <c r="AG2842">
        <v>42416937000192</v>
      </c>
      <c r="AH2842" t="s">
        <v>6419</v>
      </c>
    </row>
    <row r="2843" spans="1:34" x14ac:dyDescent="0.3">
      <c r="A2843">
        <v>106</v>
      </c>
      <c r="B2843" t="s">
        <v>34</v>
      </c>
      <c r="C2843">
        <v>2</v>
      </c>
      <c r="D2843" s="1" t="s">
        <v>7585</v>
      </c>
      <c r="E2843" s="1" t="s">
        <v>36</v>
      </c>
      <c r="G2843">
        <v>469800</v>
      </c>
      <c r="H2843" t="s">
        <v>7586</v>
      </c>
      <c r="I2843" t="s">
        <v>7587</v>
      </c>
      <c r="J2843">
        <v>15</v>
      </c>
      <c r="K2843">
        <v>469800</v>
      </c>
      <c r="L2843">
        <v>50033</v>
      </c>
      <c r="M2843" t="s">
        <v>39</v>
      </c>
      <c r="N2843">
        <v>625</v>
      </c>
      <c r="O2843" s="2">
        <v>46238</v>
      </c>
      <c r="P2843" s="2">
        <v>46298</v>
      </c>
      <c r="R2843" t="s">
        <v>7588</v>
      </c>
      <c r="S2843" t="str">
        <f>"0000050412302"</f>
        <v>0000050412302</v>
      </c>
      <c r="T2843" t="s">
        <v>41</v>
      </c>
      <c r="U2843">
        <v>8041.02</v>
      </c>
      <c r="V2843">
        <v>8041.02</v>
      </c>
      <c r="W2843">
        <v>8041.02</v>
      </c>
      <c r="X2843">
        <v>0</v>
      </c>
      <c r="Y2843">
        <v>0</v>
      </c>
      <c r="Z2843">
        <v>-523</v>
      </c>
      <c r="AA2843" t="s">
        <v>7589</v>
      </c>
      <c r="AD2843" t="s">
        <v>7590</v>
      </c>
      <c r="AE2843" t="s">
        <v>7591</v>
      </c>
      <c r="AF2843" t="s">
        <v>7590</v>
      </c>
      <c r="AG2843" s="1" t="s">
        <v>7592</v>
      </c>
      <c r="AH2843" t="s">
        <v>2472</v>
      </c>
    </row>
    <row r="2844" spans="1:34" x14ac:dyDescent="0.3">
      <c r="A2844">
        <v>104</v>
      </c>
      <c r="B2844" t="s">
        <v>34</v>
      </c>
      <c r="C2844">
        <v>4</v>
      </c>
      <c r="D2844" s="1" t="s">
        <v>7593</v>
      </c>
      <c r="E2844" s="1" t="s">
        <v>36</v>
      </c>
      <c r="G2844">
        <v>469800</v>
      </c>
      <c r="H2844" t="s">
        <v>7586</v>
      </c>
      <c r="I2844" t="s">
        <v>7587</v>
      </c>
      <c r="J2844">
        <v>15</v>
      </c>
      <c r="K2844">
        <v>469800</v>
      </c>
      <c r="L2844">
        <v>50033</v>
      </c>
      <c r="M2844" t="s">
        <v>39</v>
      </c>
      <c r="N2844">
        <v>625</v>
      </c>
      <c r="O2844" s="2">
        <v>46238</v>
      </c>
      <c r="P2844" s="2">
        <v>46300</v>
      </c>
      <c r="R2844" t="s">
        <v>7594</v>
      </c>
      <c r="S2844" t="str">
        <f>"0000050412256"</f>
        <v>0000050412256</v>
      </c>
      <c r="T2844" t="s">
        <v>41</v>
      </c>
      <c r="U2844">
        <v>20518.75</v>
      </c>
      <c r="V2844">
        <v>20518.75</v>
      </c>
      <c r="W2844">
        <v>20518.75</v>
      </c>
      <c r="X2844">
        <v>0</v>
      </c>
      <c r="Y2844">
        <v>0</v>
      </c>
      <c r="Z2844">
        <v>-525</v>
      </c>
      <c r="AA2844" t="s">
        <v>7595</v>
      </c>
      <c r="AD2844" t="s">
        <v>7590</v>
      </c>
      <c r="AE2844" t="s">
        <v>7591</v>
      </c>
      <c r="AF2844" t="s">
        <v>7590</v>
      </c>
      <c r="AG2844" s="1" t="s">
        <v>7592</v>
      </c>
      <c r="AH2844" t="s">
        <v>2472</v>
      </c>
    </row>
    <row r="2845" spans="1:34" x14ac:dyDescent="0.3">
      <c r="A2845">
        <v>104</v>
      </c>
      <c r="B2845" t="s">
        <v>34</v>
      </c>
      <c r="C2845">
        <v>4</v>
      </c>
      <c r="D2845" s="1" t="s">
        <v>7596</v>
      </c>
      <c r="E2845" s="1" t="s">
        <v>36</v>
      </c>
      <c r="G2845">
        <v>469837</v>
      </c>
      <c r="H2845" t="s">
        <v>7597</v>
      </c>
      <c r="I2845" t="s">
        <v>7598</v>
      </c>
      <c r="J2845">
        <v>15</v>
      </c>
      <c r="K2845">
        <v>12501</v>
      </c>
      <c r="L2845">
        <v>50033</v>
      </c>
      <c r="M2845" t="s">
        <v>39</v>
      </c>
      <c r="N2845">
        <v>625</v>
      </c>
      <c r="O2845" s="2">
        <v>46224</v>
      </c>
      <c r="P2845" s="2">
        <v>46274</v>
      </c>
      <c r="R2845" t="s">
        <v>7599</v>
      </c>
      <c r="S2845" t="str">
        <f>"0000050410407"</f>
        <v>0000050410407</v>
      </c>
      <c r="T2845" t="s">
        <v>41</v>
      </c>
      <c r="U2845">
        <v>10088.66</v>
      </c>
      <c r="V2845">
        <v>10088.66</v>
      </c>
      <c r="W2845">
        <v>10088.66</v>
      </c>
      <c r="X2845">
        <v>0</v>
      </c>
      <c r="Y2845">
        <v>0</v>
      </c>
      <c r="Z2845">
        <v>-499</v>
      </c>
      <c r="AA2845" t="s">
        <v>7600</v>
      </c>
      <c r="AD2845" t="s">
        <v>6575</v>
      </c>
      <c r="AE2845" t="s">
        <v>7601</v>
      </c>
      <c r="AF2845" t="s">
        <v>6575</v>
      </c>
      <c r="AG2845">
        <v>15212188000370</v>
      </c>
      <c r="AH2845" t="s">
        <v>3530</v>
      </c>
    </row>
    <row r="2846" spans="1:34" x14ac:dyDescent="0.3">
      <c r="A2846">
        <v>101</v>
      </c>
      <c r="B2846" t="s">
        <v>34</v>
      </c>
      <c r="C2846">
        <v>2</v>
      </c>
      <c r="D2846" s="1" t="s">
        <v>7602</v>
      </c>
      <c r="E2846" s="1" t="s">
        <v>36</v>
      </c>
      <c r="G2846">
        <v>436821</v>
      </c>
      <c r="H2846" t="s">
        <v>7603</v>
      </c>
      <c r="I2846" t="s">
        <v>2413</v>
      </c>
      <c r="J2846">
        <v>38</v>
      </c>
      <c r="K2846">
        <v>2695</v>
      </c>
      <c r="L2846">
        <v>95000</v>
      </c>
      <c r="M2846" t="s">
        <v>69</v>
      </c>
      <c r="N2846">
        <v>631</v>
      </c>
      <c r="O2846" s="2">
        <v>46251</v>
      </c>
      <c r="P2846" s="2">
        <v>46341</v>
      </c>
      <c r="R2846" t="s">
        <v>7604</v>
      </c>
      <c r="S2846" t="str">
        <f>""</f>
        <v/>
      </c>
      <c r="T2846" t="s">
        <v>41</v>
      </c>
      <c r="U2846">
        <v>13880.53</v>
      </c>
      <c r="V2846">
        <v>13727.84</v>
      </c>
      <c r="W2846">
        <v>13727.84</v>
      </c>
      <c r="X2846">
        <v>0</v>
      </c>
      <c r="Y2846">
        <v>0</v>
      </c>
      <c r="Z2846">
        <v>-566</v>
      </c>
      <c r="AA2846">
        <v>4609</v>
      </c>
      <c r="AD2846" t="s">
        <v>6376</v>
      </c>
      <c r="AF2846" t="s">
        <v>6376</v>
      </c>
      <c r="AG2846" s="1" t="s">
        <v>7605</v>
      </c>
      <c r="AH2846" t="s">
        <v>6480</v>
      </c>
    </row>
    <row r="2847" spans="1:34" x14ac:dyDescent="0.3">
      <c r="A2847">
        <v>101</v>
      </c>
      <c r="B2847" t="s">
        <v>34</v>
      </c>
      <c r="C2847">
        <v>2</v>
      </c>
      <c r="D2847" s="1" t="s">
        <v>7606</v>
      </c>
      <c r="E2847" s="1" t="s">
        <v>36</v>
      </c>
      <c r="G2847">
        <v>436821</v>
      </c>
      <c r="H2847" t="s">
        <v>7603</v>
      </c>
      <c r="I2847" t="s">
        <v>2413</v>
      </c>
      <c r="J2847">
        <v>38</v>
      </c>
      <c r="K2847">
        <v>2695</v>
      </c>
      <c r="L2847">
        <v>95000</v>
      </c>
      <c r="M2847" t="s">
        <v>69</v>
      </c>
      <c r="N2847">
        <v>631</v>
      </c>
      <c r="O2847" s="2">
        <v>46191</v>
      </c>
      <c r="P2847" s="2">
        <v>46316</v>
      </c>
      <c r="R2847" t="s">
        <v>7607</v>
      </c>
      <c r="S2847" t="str">
        <f>""</f>
        <v/>
      </c>
      <c r="T2847" t="s">
        <v>41</v>
      </c>
      <c r="U2847">
        <v>9952.76</v>
      </c>
      <c r="V2847">
        <v>9843.2800000000007</v>
      </c>
      <c r="W2847">
        <v>9843.2800000000007</v>
      </c>
      <c r="X2847">
        <v>0</v>
      </c>
      <c r="Y2847">
        <v>0</v>
      </c>
      <c r="Z2847">
        <v>-541</v>
      </c>
      <c r="AA2847" t="s">
        <v>7608</v>
      </c>
      <c r="AD2847" t="s">
        <v>6376</v>
      </c>
      <c r="AF2847" t="s">
        <v>6376</v>
      </c>
      <c r="AG2847" s="1" t="s">
        <v>7605</v>
      </c>
      <c r="AH2847" t="s">
        <v>6480</v>
      </c>
    </row>
    <row r="2848" spans="1:34" x14ac:dyDescent="0.3">
      <c r="A2848">
        <v>101</v>
      </c>
      <c r="B2848" t="s">
        <v>34</v>
      </c>
      <c r="C2848">
        <v>2</v>
      </c>
      <c r="D2848" s="1" t="s">
        <v>7609</v>
      </c>
      <c r="E2848" s="1" t="s">
        <v>36</v>
      </c>
      <c r="G2848">
        <v>436821</v>
      </c>
      <c r="H2848" t="s">
        <v>7603</v>
      </c>
      <c r="I2848" t="s">
        <v>2413</v>
      </c>
      <c r="J2848">
        <v>38</v>
      </c>
      <c r="K2848">
        <v>2695</v>
      </c>
      <c r="L2848">
        <v>95000</v>
      </c>
      <c r="M2848" t="s">
        <v>69</v>
      </c>
      <c r="N2848">
        <v>631</v>
      </c>
      <c r="O2848" s="2">
        <v>46161</v>
      </c>
      <c r="P2848" s="2">
        <v>46329</v>
      </c>
      <c r="R2848" t="s">
        <v>7610</v>
      </c>
      <c r="S2848" t="str">
        <f>""</f>
        <v/>
      </c>
      <c r="T2848" t="s">
        <v>41</v>
      </c>
      <c r="U2848">
        <v>16788.11</v>
      </c>
      <c r="V2848">
        <v>15499.49</v>
      </c>
      <c r="W2848">
        <v>15499.49</v>
      </c>
      <c r="X2848">
        <v>0</v>
      </c>
      <c r="Y2848">
        <v>0</v>
      </c>
      <c r="Z2848">
        <v>-554</v>
      </c>
      <c r="AA2848">
        <v>552</v>
      </c>
      <c r="AD2848" t="s">
        <v>6376</v>
      </c>
      <c r="AF2848" t="s">
        <v>6376</v>
      </c>
      <c r="AG2848" s="1" t="s">
        <v>7605</v>
      </c>
      <c r="AH2848" t="s">
        <v>6480</v>
      </c>
    </row>
    <row r="2849" spans="1:34" x14ac:dyDescent="0.3">
      <c r="A2849">
        <v>101</v>
      </c>
      <c r="B2849" t="s">
        <v>34</v>
      </c>
      <c r="C2849">
        <v>2</v>
      </c>
      <c r="D2849" s="1" t="s">
        <v>7611</v>
      </c>
      <c r="E2849" s="1" t="s">
        <v>36</v>
      </c>
      <c r="G2849">
        <v>450402</v>
      </c>
      <c r="H2849" t="s">
        <v>7612</v>
      </c>
      <c r="I2849" t="s">
        <v>2413</v>
      </c>
      <c r="J2849">
        <v>38</v>
      </c>
      <c r="K2849">
        <v>2695</v>
      </c>
      <c r="L2849">
        <v>95000</v>
      </c>
      <c r="M2849" t="s">
        <v>69</v>
      </c>
      <c r="N2849">
        <v>631</v>
      </c>
      <c r="O2849" s="2">
        <v>46191</v>
      </c>
      <c r="P2849" s="2">
        <v>46316</v>
      </c>
      <c r="R2849" t="s">
        <v>7613</v>
      </c>
      <c r="S2849" t="str">
        <f>""</f>
        <v/>
      </c>
      <c r="T2849" t="s">
        <v>41</v>
      </c>
      <c r="U2849">
        <v>12863.99</v>
      </c>
      <c r="V2849">
        <v>12722.49</v>
      </c>
      <c r="W2849">
        <v>12722.49</v>
      </c>
      <c r="X2849">
        <v>0</v>
      </c>
      <c r="Y2849">
        <v>0</v>
      </c>
      <c r="Z2849">
        <v>-541</v>
      </c>
      <c r="AA2849" t="s">
        <v>7614</v>
      </c>
      <c r="AD2849" t="s">
        <v>6376</v>
      </c>
      <c r="AE2849" t="s">
        <v>7615</v>
      </c>
      <c r="AF2849" t="s">
        <v>6376</v>
      </c>
      <c r="AG2849" s="1" t="s">
        <v>7616</v>
      </c>
      <c r="AH2849" t="s">
        <v>6480</v>
      </c>
    </row>
    <row r="2850" spans="1:34" x14ac:dyDescent="0.3">
      <c r="A2850">
        <v>101</v>
      </c>
      <c r="B2850" t="s">
        <v>34</v>
      </c>
      <c r="C2850">
        <v>2</v>
      </c>
      <c r="D2850" s="1" t="s">
        <v>7617</v>
      </c>
      <c r="E2850" s="1" t="s">
        <v>36</v>
      </c>
      <c r="G2850">
        <v>450402</v>
      </c>
      <c r="H2850" t="s">
        <v>7612</v>
      </c>
      <c r="I2850" t="s">
        <v>2413</v>
      </c>
      <c r="J2850">
        <v>38</v>
      </c>
      <c r="K2850">
        <v>2695</v>
      </c>
      <c r="L2850">
        <v>95000</v>
      </c>
      <c r="M2850" t="s">
        <v>69</v>
      </c>
      <c r="N2850">
        <v>631</v>
      </c>
      <c r="O2850" s="2">
        <v>46161</v>
      </c>
      <c r="P2850" s="2">
        <v>46329</v>
      </c>
      <c r="R2850" t="s">
        <v>7618</v>
      </c>
      <c r="S2850" t="str">
        <f>""</f>
        <v/>
      </c>
      <c r="T2850" t="s">
        <v>41</v>
      </c>
      <c r="U2850">
        <v>25045.82</v>
      </c>
      <c r="V2850">
        <v>24770.32</v>
      </c>
      <c r="W2850">
        <v>24770.32</v>
      </c>
      <c r="X2850">
        <v>0</v>
      </c>
      <c r="Y2850">
        <v>0</v>
      </c>
      <c r="Z2850">
        <v>-554</v>
      </c>
      <c r="AA2850">
        <v>555</v>
      </c>
      <c r="AD2850" t="s">
        <v>6376</v>
      </c>
      <c r="AE2850" t="s">
        <v>7615</v>
      </c>
      <c r="AF2850" t="s">
        <v>6376</v>
      </c>
      <c r="AG2850" s="1" t="s">
        <v>7616</v>
      </c>
      <c r="AH2850" t="s">
        <v>6480</v>
      </c>
    </row>
    <row r="2851" spans="1:34" x14ac:dyDescent="0.3">
      <c r="A2851">
        <v>101</v>
      </c>
      <c r="B2851" t="s">
        <v>34</v>
      </c>
      <c r="C2851">
        <v>2</v>
      </c>
      <c r="D2851" s="1" t="s">
        <v>7619</v>
      </c>
      <c r="E2851" s="1" t="s">
        <v>36</v>
      </c>
      <c r="G2851">
        <v>450402</v>
      </c>
      <c r="H2851" t="s">
        <v>7612</v>
      </c>
      <c r="I2851" t="s">
        <v>2413</v>
      </c>
      <c r="J2851">
        <v>38</v>
      </c>
      <c r="K2851">
        <v>2695</v>
      </c>
      <c r="L2851">
        <v>95000</v>
      </c>
      <c r="M2851" t="s">
        <v>69</v>
      </c>
      <c r="N2851">
        <v>631</v>
      </c>
      <c r="O2851" s="2">
        <v>46251</v>
      </c>
      <c r="P2851" s="2">
        <v>46341</v>
      </c>
      <c r="R2851" t="s">
        <v>7620</v>
      </c>
      <c r="S2851" t="str">
        <f>""</f>
        <v/>
      </c>
      <c r="T2851" t="s">
        <v>41</v>
      </c>
      <c r="U2851">
        <v>9352.5300000000007</v>
      </c>
      <c r="V2851">
        <v>9249.65</v>
      </c>
      <c r="W2851">
        <v>9249.65</v>
      </c>
      <c r="X2851">
        <v>0</v>
      </c>
      <c r="Y2851">
        <v>0</v>
      </c>
      <c r="Z2851">
        <v>-566</v>
      </c>
      <c r="AA2851">
        <v>4610</v>
      </c>
      <c r="AD2851" t="s">
        <v>6376</v>
      </c>
      <c r="AE2851" t="s">
        <v>7615</v>
      </c>
      <c r="AF2851" t="s">
        <v>6376</v>
      </c>
      <c r="AG2851" s="1" t="s">
        <v>7616</v>
      </c>
      <c r="AH2851" t="s">
        <v>6480</v>
      </c>
    </row>
    <row r="2852" spans="1:34" x14ac:dyDescent="0.3">
      <c r="A2852">
        <v>101</v>
      </c>
      <c r="B2852" t="s">
        <v>34</v>
      </c>
      <c r="C2852">
        <v>2</v>
      </c>
      <c r="D2852" s="1" t="s">
        <v>7621</v>
      </c>
      <c r="E2852" s="1" t="s">
        <v>36</v>
      </c>
      <c r="G2852">
        <v>451927</v>
      </c>
      <c r="H2852" t="s">
        <v>7622</v>
      </c>
      <c r="I2852" t="s">
        <v>2413</v>
      </c>
      <c r="J2852">
        <v>38</v>
      </c>
      <c r="K2852">
        <v>2695</v>
      </c>
      <c r="L2852">
        <v>95000</v>
      </c>
      <c r="M2852" t="s">
        <v>69</v>
      </c>
      <c r="N2852">
        <v>631</v>
      </c>
      <c r="O2852" s="2">
        <v>46251</v>
      </c>
      <c r="P2852" s="2">
        <v>46341</v>
      </c>
      <c r="R2852" t="s">
        <v>7623</v>
      </c>
      <c r="S2852" t="str">
        <f>""</f>
        <v/>
      </c>
      <c r="T2852" t="s">
        <v>41</v>
      </c>
      <c r="U2852">
        <v>25593.52</v>
      </c>
      <c r="V2852">
        <v>25311.99</v>
      </c>
      <c r="W2852">
        <v>25311.99</v>
      </c>
      <c r="X2852">
        <v>0</v>
      </c>
      <c r="Y2852">
        <v>0</v>
      </c>
      <c r="Z2852">
        <v>-566</v>
      </c>
      <c r="AA2852">
        <v>4623</v>
      </c>
      <c r="AD2852" t="s">
        <v>5614</v>
      </c>
      <c r="AE2852" t="s">
        <v>5287</v>
      </c>
      <c r="AF2852" t="s">
        <v>5614</v>
      </c>
      <c r="AG2852" s="1" t="s">
        <v>7624</v>
      </c>
      <c r="AH2852" t="s">
        <v>5569</v>
      </c>
    </row>
    <row r="2853" spans="1:34" x14ac:dyDescent="0.3">
      <c r="A2853">
        <v>101</v>
      </c>
      <c r="B2853" t="s">
        <v>34</v>
      </c>
      <c r="C2853">
        <v>2</v>
      </c>
      <c r="D2853" s="1" t="s">
        <v>7625</v>
      </c>
      <c r="E2853" s="1" t="s">
        <v>36</v>
      </c>
      <c r="G2853">
        <v>452581</v>
      </c>
      <c r="H2853" t="s">
        <v>7626</v>
      </c>
      <c r="I2853" t="s">
        <v>7627</v>
      </c>
      <c r="J2853">
        <v>38</v>
      </c>
      <c r="K2853">
        <v>2695</v>
      </c>
      <c r="L2853">
        <v>95000</v>
      </c>
      <c r="M2853" t="s">
        <v>69</v>
      </c>
      <c r="N2853">
        <v>631</v>
      </c>
      <c r="O2853" s="2">
        <v>46251</v>
      </c>
      <c r="P2853" s="2">
        <v>46341</v>
      </c>
      <c r="R2853" t="s">
        <v>7628</v>
      </c>
      <c r="S2853" t="str">
        <f>""</f>
        <v/>
      </c>
      <c r="T2853" t="s">
        <v>41</v>
      </c>
      <c r="U2853">
        <v>37573.64</v>
      </c>
      <c r="V2853">
        <v>37160.33</v>
      </c>
      <c r="W2853">
        <v>37160.33</v>
      </c>
      <c r="X2853">
        <v>0</v>
      </c>
      <c r="Y2853">
        <v>0</v>
      </c>
      <c r="Z2853">
        <v>-566</v>
      </c>
      <c r="AA2853">
        <v>4611</v>
      </c>
      <c r="AD2853" t="s">
        <v>6454</v>
      </c>
      <c r="AE2853" t="s">
        <v>2567</v>
      </c>
      <c r="AF2853" t="s">
        <v>6454</v>
      </c>
      <c r="AG2853" s="1" t="s">
        <v>7629</v>
      </c>
      <c r="AH2853" t="s">
        <v>7010</v>
      </c>
    </row>
    <row r="2854" spans="1:34" x14ac:dyDescent="0.3">
      <c r="A2854">
        <v>101</v>
      </c>
      <c r="B2854" t="s">
        <v>34</v>
      </c>
      <c r="C2854">
        <v>2</v>
      </c>
      <c r="D2854" s="1" t="s">
        <v>7630</v>
      </c>
      <c r="E2854" s="1" t="s">
        <v>36</v>
      </c>
      <c r="G2854">
        <v>452581</v>
      </c>
      <c r="H2854" t="s">
        <v>7626</v>
      </c>
      <c r="I2854" t="s">
        <v>7627</v>
      </c>
      <c r="J2854">
        <v>38</v>
      </c>
      <c r="K2854">
        <v>2695</v>
      </c>
      <c r="L2854">
        <v>95000</v>
      </c>
      <c r="M2854" t="s">
        <v>69</v>
      </c>
      <c r="N2854">
        <v>631</v>
      </c>
      <c r="O2854" s="2">
        <v>46161</v>
      </c>
      <c r="P2854" s="2">
        <v>46316</v>
      </c>
      <c r="R2854" t="s">
        <v>7631</v>
      </c>
      <c r="S2854" t="str">
        <f>""</f>
        <v/>
      </c>
      <c r="T2854" t="s">
        <v>41</v>
      </c>
      <c r="U2854">
        <v>43980.24</v>
      </c>
      <c r="V2854">
        <v>43496.46</v>
      </c>
      <c r="W2854">
        <v>43496.46</v>
      </c>
      <c r="X2854">
        <v>0</v>
      </c>
      <c r="Y2854">
        <v>0</v>
      </c>
      <c r="Z2854">
        <v>-541</v>
      </c>
      <c r="AA2854">
        <v>556</v>
      </c>
      <c r="AD2854" t="s">
        <v>6454</v>
      </c>
      <c r="AE2854" t="s">
        <v>2567</v>
      </c>
      <c r="AF2854" t="s">
        <v>6454</v>
      </c>
      <c r="AG2854" s="1" t="s">
        <v>7629</v>
      </c>
      <c r="AH2854" t="s">
        <v>7010</v>
      </c>
    </row>
    <row r="2855" spans="1:34" x14ac:dyDescent="0.3">
      <c r="A2855">
        <v>101</v>
      </c>
      <c r="B2855" t="s">
        <v>34</v>
      </c>
      <c r="C2855">
        <v>2</v>
      </c>
      <c r="D2855" s="1" t="s">
        <v>7632</v>
      </c>
      <c r="E2855" s="1" t="s">
        <v>36</v>
      </c>
      <c r="G2855">
        <v>452581</v>
      </c>
      <c r="H2855" t="s">
        <v>7626</v>
      </c>
      <c r="I2855" t="s">
        <v>7627</v>
      </c>
      <c r="J2855">
        <v>38</v>
      </c>
      <c r="K2855">
        <v>2695</v>
      </c>
      <c r="L2855">
        <v>95000</v>
      </c>
      <c r="M2855" t="s">
        <v>69</v>
      </c>
      <c r="N2855">
        <v>631</v>
      </c>
      <c r="O2855" s="2">
        <v>46108</v>
      </c>
      <c r="P2855" s="2">
        <v>46266</v>
      </c>
      <c r="R2855" t="s">
        <v>7633</v>
      </c>
      <c r="S2855" t="str">
        <f>""</f>
        <v/>
      </c>
      <c r="T2855" t="s">
        <v>41</v>
      </c>
      <c r="U2855">
        <v>25815.29</v>
      </c>
      <c r="V2855">
        <v>24901.42</v>
      </c>
      <c r="W2855">
        <v>24901.42</v>
      </c>
      <c r="X2855">
        <v>0</v>
      </c>
      <c r="Y2855">
        <v>0</v>
      </c>
      <c r="Z2855">
        <v>-491</v>
      </c>
      <c r="AA2855">
        <v>683233</v>
      </c>
      <c r="AD2855" t="s">
        <v>6454</v>
      </c>
      <c r="AE2855" t="s">
        <v>2567</v>
      </c>
      <c r="AF2855" t="s">
        <v>6454</v>
      </c>
      <c r="AG2855" s="1" t="s">
        <v>7629</v>
      </c>
      <c r="AH2855" t="s">
        <v>7010</v>
      </c>
    </row>
    <row r="2856" spans="1:34" x14ac:dyDescent="0.3">
      <c r="A2856">
        <v>101</v>
      </c>
      <c r="B2856" t="s">
        <v>34</v>
      </c>
      <c r="C2856">
        <v>2</v>
      </c>
      <c r="D2856" s="1" t="s">
        <v>7634</v>
      </c>
      <c r="E2856" s="1" t="s">
        <v>36</v>
      </c>
      <c r="G2856">
        <v>454092</v>
      </c>
      <c r="H2856" t="s">
        <v>7635</v>
      </c>
      <c r="I2856" t="s">
        <v>2413</v>
      </c>
      <c r="J2856">
        <v>38</v>
      </c>
      <c r="K2856">
        <v>2695</v>
      </c>
      <c r="L2856">
        <v>95000</v>
      </c>
      <c r="M2856" t="s">
        <v>69</v>
      </c>
      <c r="N2856">
        <v>631</v>
      </c>
      <c r="O2856" s="2">
        <v>46251</v>
      </c>
      <c r="P2856" s="2">
        <v>46341</v>
      </c>
      <c r="R2856" t="s">
        <v>7636</v>
      </c>
      <c r="S2856" t="str">
        <f>""</f>
        <v/>
      </c>
      <c r="T2856" t="s">
        <v>41</v>
      </c>
      <c r="U2856">
        <v>16167.51</v>
      </c>
      <c r="V2856">
        <v>15989.67</v>
      </c>
      <c r="W2856">
        <v>15989.67</v>
      </c>
      <c r="X2856">
        <v>0</v>
      </c>
      <c r="Y2856">
        <v>0</v>
      </c>
      <c r="Z2856">
        <v>-566</v>
      </c>
      <c r="AA2856">
        <v>4626</v>
      </c>
      <c r="AD2856" t="s">
        <v>5642</v>
      </c>
      <c r="AE2856">
        <v>1134115000</v>
      </c>
      <c r="AF2856" t="s">
        <v>5642</v>
      </c>
      <c r="AG2856" s="1" t="s">
        <v>7637</v>
      </c>
      <c r="AH2856" t="s">
        <v>5644</v>
      </c>
    </row>
    <row r="2857" spans="1:34" x14ac:dyDescent="0.3">
      <c r="A2857">
        <v>101</v>
      </c>
      <c r="B2857" t="s">
        <v>34</v>
      </c>
      <c r="C2857">
        <v>2</v>
      </c>
      <c r="D2857" s="1" t="s">
        <v>7638</v>
      </c>
      <c r="E2857" s="1" t="s">
        <v>36</v>
      </c>
      <c r="G2857">
        <v>455141</v>
      </c>
      <c r="H2857" t="s">
        <v>7639</v>
      </c>
      <c r="I2857" t="s">
        <v>2413</v>
      </c>
      <c r="J2857">
        <v>38</v>
      </c>
      <c r="K2857">
        <v>2695</v>
      </c>
      <c r="L2857">
        <v>95000</v>
      </c>
      <c r="M2857" t="s">
        <v>69</v>
      </c>
      <c r="N2857">
        <v>631</v>
      </c>
      <c r="O2857" s="2">
        <v>46161</v>
      </c>
      <c r="P2857" s="2">
        <v>46329</v>
      </c>
      <c r="R2857" t="s">
        <v>7640</v>
      </c>
      <c r="S2857" t="str">
        <f>""</f>
        <v/>
      </c>
      <c r="T2857" t="s">
        <v>41</v>
      </c>
      <c r="U2857">
        <v>23220.19</v>
      </c>
      <c r="V2857">
        <v>22712.1</v>
      </c>
      <c r="W2857">
        <v>22712.1</v>
      </c>
      <c r="X2857">
        <v>0</v>
      </c>
      <c r="Y2857">
        <v>0</v>
      </c>
      <c r="Z2857">
        <v>-554</v>
      </c>
      <c r="AA2857">
        <v>557</v>
      </c>
      <c r="AD2857" t="s">
        <v>6376</v>
      </c>
      <c r="AE2857">
        <v>1134115000</v>
      </c>
      <c r="AF2857" t="s">
        <v>6376</v>
      </c>
      <c r="AG2857" s="1" t="s">
        <v>7641</v>
      </c>
      <c r="AH2857" t="s">
        <v>6480</v>
      </c>
    </row>
    <row r="2858" spans="1:34" x14ac:dyDescent="0.3">
      <c r="A2858">
        <v>101</v>
      </c>
      <c r="B2858" t="s">
        <v>34</v>
      </c>
      <c r="C2858">
        <v>2</v>
      </c>
      <c r="D2858" s="1" t="s">
        <v>7642</v>
      </c>
      <c r="E2858" s="1" t="s">
        <v>36</v>
      </c>
      <c r="G2858">
        <v>455141</v>
      </c>
      <c r="H2858" t="s">
        <v>7639</v>
      </c>
      <c r="I2858" t="s">
        <v>2413</v>
      </c>
      <c r="J2858">
        <v>38</v>
      </c>
      <c r="K2858">
        <v>2695</v>
      </c>
      <c r="L2858">
        <v>95000</v>
      </c>
      <c r="M2858" t="s">
        <v>69</v>
      </c>
      <c r="N2858">
        <v>631</v>
      </c>
      <c r="O2858" s="2">
        <v>46251</v>
      </c>
      <c r="P2858" s="2">
        <v>46341</v>
      </c>
      <c r="R2858" t="s">
        <v>7643</v>
      </c>
      <c r="S2858" t="str">
        <f>""</f>
        <v/>
      </c>
      <c r="T2858" t="s">
        <v>41</v>
      </c>
      <c r="U2858">
        <v>24873.68</v>
      </c>
      <c r="V2858">
        <v>24600.07</v>
      </c>
      <c r="W2858">
        <v>24600.07</v>
      </c>
      <c r="X2858">
        <v>0</v>
      </c>
      <c r="Y2858">
        <v>0</v>
      </c>
      <c r="Z2858">
        <v>-566</v>
      </c>
      <c r="AA2858">
        <v>4616</v>
      </c>
      <c r="AD2858" t="s">
        <v>6376</v>
      </c>
      <c r="AE2858">
        <v>1134115000</v>
      </c>
      <c r="AF2858" t="s">
        <v>6376</v>
      </c>
      <c r="AG2858" s="1" t="s">
        <v>7641</v>
      </c>
      <c r="AH2858" t="s">
        <v>6480</v>
      </c>
    </row>
    <row r="2859" spans="1:34" x14ac:dyDescent="0.3">
      <c r="A2859">
        <v>101</v>
      </c>
      <c r="B2859" t="s">
        <v>34</v>
      </c>
      <c r="C2859">
        <v>2</v>
      </c>
      <c r="D2859" s="1" t="s">
        <v>7644</v>
      </c>
      <c r="E2859" s="1" t="s">
        <v>36</v>
      </c>
      <c r="G2859">
        <v>455141</v>
      </c>
      <c r="H2859" t="s">
        <v>7639</v>
      </c>
      <c r="I2859" t="s">
        <v>2413</v>
      </c>
      <c r="J2859">
        <v>38</v>
      </c>
      <c r="K2859">
        <v>2695</v>
      </c>
      <c r="L2859">
        <v>95000</v>
      </c>
      <c r="M2859" t="s">
        <v>69</v>
      </c>
      <c r="N2859">
        <v>631</v>
      </c>
      <c r="O2859" s="2">
        <v>46191</v>
      </c>
      <c r="P2859" s="2">
        <v>46329</v>
      </c>
      <c r="R2859" t="s">
        <v>7645</v>
      </c>
      <c r="S2859" t="str">
        <f>""</f>
        <v/>
      </c>
      <c r="T2859" t="s">
        <v>41</v>
      </c>
      <c r="U2859">
        <v>20034.29</v>
      </c>
      <c r="V2859">
        <v>19813.91</v>
      </c>
      <c r="W2859">
        <v>19813.91</v>
      </c>
      <c r="X2859">
        <v>0</v>
      </c>
      <c r="Y2859">
        <v>0</v>
      </c>
      <c r="Z2859">
        <v>-554</v>
      </c>
      <c r="AA2859" t="s">
        <v>7646</v>
      </c>
      <c r="AD2859" t="s">
        <v>6376</v>
      </c>
      <c r="AE2859">
        <v>1134115000</v>
      </c>
      <c r="AF2859" t="s">
        <v>6376</v>
      </c>
      <c r="AG2859" s="1" t="s">
        <v>7641</v>
      </c>
      <c r="AH2859" t="s">
        <v>6480</v>
      </c>
    </row>
    <row r="2860" spans="1:34" x14ac:dyDescent="0.3">
      <c r="A2860">
        <v>101</v>
      </c>
      <c r="B2860" t="s">
        <v>34</v>
      </c>
      <c r="C2860">
        <v>2</v>
      </c>
      <c r="D2860" s="1" t="s">
        <v>7647</v>
      </c>
      <c r="E2860" s="1" t="s">
        <v>36</v>
      </c>
      <c r="G2860">
        <v>456365</v>
      </c>
      <c r="H2860" t="s">
        <v>7648</v>
      </c>
      <c r="I2860" t="s">
        <v>2413</v>
      </c>
      <c r="J2860">
        <v>38</v>
      </c>
      <c r="K2860">
        <v>2695</v>
      </c>
      <c r="L2860">
        <v>95000</v>
      </c>
      <c r="M2860" t="s">
        <v>69</v>
      </c>
      <c r="N2860">
        <v>631</v>
      </c>
      <c r="O2860" s="2">
        <v>46251</v>
      </c>
      <c r="P2860" s="2">
        <v>46341</v>
      </c>
      <c r="R2860" t="s">
        <v>7649</v>
      </c>
      <c r="S2860" t="str">
        <f>""</f>
        <v/>
      </c>
      <c r="T2860" t="s">
        <v>41</v>
      </c>
      <c r="U2860">
        <v>13446.02</v>
      </c>
      <c r="V2860">
        <v>13298.11</v>
      </c>
      <c r="W2860">
        <v>13298.11</v>
      </c>
      <c r="X2860">
        <v>0</v>
      </c>
      <c r="Y2860">
        <v>0</v>
      </c>
      <c r="Z2860">
        <v>-566</v>
      </c>
      <c r="AA2860">
        <v>4629</v>
      </c>
      <c r="AD2860" t="s">
        <v>5614</v>
      </c>
      <c r="AE2860">
        <v>1134115000</v>
      </c>
      <c r="AF2860" t="s">
        <v>5614</v>
      </c>
      <c r="AG2860" s="1" t="s">
        <v>7650</v>
      </c>
      <c r="AH2860" t="s">
        <v>5569</v>
      </c>
    </row>
    <row r="2861" spans="1:34" x14ac:dyDescent="0.3">
      <c r="A2861">
        <v>101</v>
      </c>
      <c r="B2861" t="s">
        <v>34</v>
      </c>
      <c r="C2861">
        <v>2</v>
      </c>
      <c r="D2861" s="1" t="s">
        <v>7651</v>
      </c>
      <c r="E2861" s="1" t="s">
        <v>36</v>
      </c>
      <c r="G2861">
        <v>467215</v>
      </c>
      <c r="H2861" t="s">
        <v>7652</v>
      </c>
      <c r="I2861" t="s">
        <v>2413</v>
      </c>
      <c r="J2861">
        <v>38</v>
      </c>
      <c r="K2861">
        <v>2695</v>
      </c>
      <c r="L2861">
        <v>95000</v>
      </c>
      <c r="M2861" t="s">
        <v>69</v>
      </c>
      <c r="N2861">
        <v>631</v>
      </c>
      <c r="O2861" s="2">
        <v>46191</v>
      </c>
      <c r="P2861" s="2">
        <v>46329</v>
      </c>
      <c r="R2861" t="s">
        <v>7653</v>
      </c>
      <c r="S2861" t="str">
        <f>""</f>
        <v/>
      </c>
      <c r="T2861" t="s">
        <v>41</v>
      </c>
      <c r="U2861">
        <v>7699.88</v>
      </c>
      <c r="V2861">
        <v>7615.18</v>
      </c>
      <c r="W2861">
        <v>7615.18</v>
      </c>
      <c r="X2861">
        <v>0</v>
      </c>
      <c r="Y2861">
        <v>0</v>
      </c>
      <c r="Z2861">
        <v>-554</v>
      </c>
      <c r="AA2861" t="s">
        <v>7654</v>
      </c>
      <c r="AD2861" t="s">
        <v>6376</v>
      </c>
      <c r="AF2861" t="s">
        <v>6376</v>
      </c>
      <c r="AG2861" s="1" t="s">
        <v>7655</v>
      </c>
      <c r="AH2861" t="s">
        <v>6480</v>
      </c>
    </row>
    <row r="2862" spans="1:34" x14ac:dyDescent="0.3">
      <c r="A2862">
        <v>101</v>
      </c>
      <c r="B2862" t="s">
        <v>34</v>
      </c>
      <c r="C2862">
        <v>2</v>
      </c>
      <c r="D2862" s="1" t="s">
        <v>7656</v>
      </c>
      <c r="E2862" s="1" t="s">
        <v>36</v>
      </c>
      <c r="G2862">
        <v>467215</v>
      </c>
      <c r="H2862" t="s">
        <v>7652</v>
      </c>
      <c r="I2862" t="s">
        <v>2413</v>
      </c>
      <c r="J2862">
        <v>38</v>
      </c>
      <c r="K2862">
        <v>2695</v>
      </c>
      <c r="L2862">
        <v>95000</v>
      </c>
      <c r="M2862" t="s">
        <v>69</v>
      </c>
      <c r="N2862">
        <v>631</v>
      </c>
      <c r="O2862" s="2">
        <v>46251</v>
      </c>
      <c r="P2862" s="2">
        <v>46341</v>
      </c>
      <c r="R2862" t="s">
        <v>7657</v>
      </c>
      <c r="S2862" t="str">
        <f>""</f>
        <v/>
      </c>
      <c r="T2862" t="s">
        <v>41</v>
      </c>
      <c r="U2862">
        <v>12781.34</v>
      </c>
      <c r="V2862">
        <v>12640.75</v>
      </c>
      <c r="W2862">
        <v>12640.75</v>
      </c>
      <c r="X2862">
        <v>0</v>
      </c>
      <c r="Y2862">
        <v>0</v>
      </c>
      <c r="Z2862">
        <v>-566</v>
      </c>
      <c r="AA2862">
        <v>4617</v>
      </c>
      <c r="AD2862" t="s">
        <v>6376</v>
      </c>
      <c r="AF2862" t="s">
        <v>6376</v>
      </c>
      <c r="AG2862" s="1" t="s">
        <v>7655</v>
      </c>
      <c r="AH2862" t="s">
        <v>6480</v>
      </c>
    </row>
    <row r="2863" spans="1:34" x14ac:dyDescent="0.3">
      <c r="A2863">
        <v>101</v>
      </c>
      <c r="B2863" t="s">
        <v>34</v>
      </c>
      <c r="C2863">
        <v>2</v>
      </c>
      <c r="D2863" s="1" t="s">
        <v>7658</v>
      </c>
      <c r="E2863" s="1" t="s">
        <v>36</v>
      </c>
      <c r="G2863">
        <v>467215</v>
      </c>
      <c r="H2863" t="s">
        <v>7652</v>
      </c>
      <c r="I2863" t="s">
        <v>2413</v>
      </c>
      <c r="J2863">
        <v>38</v>
      </c>
      <c r="K2863">
        <v>2695</v>
      </c>
      <c r="L2863">
        <v>95000</v>
      </c>
      <c r="M2863" t="s">
        <v>69</v>
      </c>
      <c r="N2863">
        <v>631</v>
      </c>
      <c r="O2863" s="2">
        <v>46161</v>
      </c>
      <c r="P2863" s="2">
        <v>46308</v>
      </c>
      <c r="R2863" t="s">
        <v>7659</v>
      </c>
      <c r="S2863" t="str">
        <f>""</f>
        <v/>
      </c>
      <c r="T2863" t="s">
        <v>41</v>
      </c>
      <c r="U2863">
        <v>10527.71</v>
      </c>
      <c r="V2863">
        <v>10411.91</v>
      </c>
      <c r="W2863">
        <v>10411.91</v>
      </c>
      <c r="X2863">
        <v>0</v>
      </c>
      <c r="Y2863">
        <v>0</v>
      </c>
      <c r="Z2863">
        <v>-533</v>
      </c>
      <c r="AA2863">
        <v>558</v>
      </c>
      <c r="AD2863" t="s">
        <v>6376</v>
      </c>
      <c r="AF2863" t="s">
        <v>6376</v>
      </c>
      <c r="AG2863" s="1" t="s">
        <v>7655</v>
      </c>
      <c r="AH2863" t="s">
        <v>6480</v>
      </c>
    </row>
    <row r="2864" spans="1:34" x14ac:dyDescent="0.3">
      <c r="A2864">
        <v>101</v>
      </c>
      <c r="B2864" t="s">
        <v>34</v>
      </c>
      <c r="C2864">
        <v>2</v>
      </c>
      <c r="D2864" s="1" t="s">
        <v>7660</v>
      </c>
      <c r="E2864" s="1" t="s">
        <v>36</v>
      </c>
      <c r="G2864">
        <v>3747</v>
      </c>
      <c r="H2864" t="s">
        <v>7661</v>
      </c>
      <c r="I2864" t="s">
        <v>7662</v>
      </c>
      <c r="J2864">
        <v>34</v>
      </c>
      <c r="K2864">
        <v>3747</v>
      </c>
      <c r="L2864">
        <v>50033</v>
      </c>
      <c r="M2864" t="s">
        <v>39</v>
      </c>
      <c r="N2864">
        <v>645</v>
      </c>
      <c r="O2864" s="2">
        <v>46239</v>
      </c>
      <c r="P2864" s="2">
        <v>46274</v>
      </c>
      <c r="R2864" t="s">
        <v>7663</v>
      </c>
      <c r="S2864" t="str">
        <f>"0000050412523"</f>
        <v>0000050412523</v>
      </c>
      <c r="T2864" t="s">
        <v>41</v>
      </c>
      <c r="U2864">
        <v>7309.88</v>
      </c>
      <c r="V2864">
        <v>7309.88</v>
      </c>
      <c r="W2864">
        <v>7309.88</v>
      </c>
      <c r="X2864">
        <v>0</v>
      </c>
      <c r="Y2864">
        <v>0</v>
      </c>
      <c r="Z2864">
        <v>-499</v>
      </c>
      <c r="AA2864">
        <v>4327</v>
      </c>
      <c r="AD2864" t="s">
        <v>64</v>
      </c>
      <c r="AE2864" t="s">
        <v>7664</v>
      </c>
      <c r="AF2864" t="s">
        <v>64</v>
      </c>
      <c r="AG2864">
        <v>59350116000101</v>
      </c>
      <c r="AH2864" t="s">
        <v>44</v>
      </c>
    </row>
    <row r="2865" spans="1:34" x14ac:dyDescent="0.3">
      <c r="A2865">
        <v>101</v>
      </c>
      <c r="B2865" t="s">
        <v>34</v>
      </c>
      <c r="C2865">
        <v>2</v>
      </c>
      <c r="D2865" s="1" t="s">
        <v>7665</v>
      </c>
      <c r="E2865" s="1" t="s">
        <v>36</v>
      </c>
      <c r="G2865">
        <v>8935</v>
      </c>
      <c r="H2865" t="s">
        <v>7666</v>
      </c>
      <c r="I2865" t="s">
        <v>7667</v>
      </c>
      <c r="J2865">
        <v>34</v>
      </c>
      <c r="K2865">
        <v>8937</v>
      </c>
      <c r="L2865">
        <v>50033</v>
      </c>
      <c r="M2865" t="s">
        <v>39</v>
      </c>
      <c r="N2865">
        <v>645</v>
      </c>
      <c r="O2865" s="2">
        <v>46230</v>
      </c>
      <c r="P2865" s="2">
        <v>46265</v>
      </c>
      <c r="R2865" t="s">
        <v>7668</v>
      </c>
      <c r="S2865" t="str">
        <f>"0000050411160"</f>
        <v>0000050411160</v>
      </c>
      <c r="T2865" t="s">
        <v>41</v>
      </c>
      <c r="U2865">
        <v>3219.69</v>
      </c>
      <c r="V2865">
        <v>3219.69</v>
      </c>
      <c r="W2865">
        <v>3219.69</v>
      </c>
      <c r="X2865">
        <v>0</v>
      </c>
      <c r="Y2865">
        <v>0</v>
      </c>
      <c r="Z2865">
        <v>-490</v>
      </c>
      <c r="AA2865">
        <v>1692</v>
      </c>
      <c r="AD2865" t="s">
        <v>64</v>
      </c>
      <c r="AE2865" t="s">
        <v>7669</v>
      </c>
      <c r="AF2865" t="s">
        <v>64</v>
      </c>
      <c r="AG2865" s="1" t="s">
        <v>7670</v>
      </c>
      <c r="AH2865" t="s">
        <v>44</v>
      </c>
    </row>
    <row r="2866" spans="1:34" x14ac:dyDescent="0.3">
      <c r="A2866">
        <v>101</v>
      </c>
      <c r="B2866" t="s">
        <v>34</v>
      </c>
      <c r="C2866">
        <v>2</v>
      </c>
      <c r="D2866" s="1" t="s">
        <v>7671</v>
      </c>
      <c r="E2866" s="1" t="s">
        <v>36</v>
      </c>
      <c r="G2866">
        <v>469696</v>
      </c>
      <c r="H2866" t="s">
        <v>7672</v>
      </c>
      <c r="I2866" t="s">
        <v>7673</v>
      </c>
      <c r="J2866">
        <v>34</v>
      </c>
      <c r="K2866">
        <v>469696</v>
      </c>
      <c r="L2866">
        <v>50237</v>
      </c>
      <c r="M2866" t="s">
        <v>39</v>
      </c>
      <c r="N2866">
        <v>645</v>
      </c>
      <c r="O2866" s="2">
        <v>46253</v>
      </c>
      <c r="P2866" s="2">
        <v>46288</v>
      </c>
      <c r="R2866" t="s">
        <v>7674</v>
      </c>
      <c r="S2866" t="str">
        <f>"330000052275"</f>
        <v>330000052275</v>
      </c>
      <c r="T2866" t="s">
        <v>41</v>
      </c>
      <c r="U2866">
        <v>2467.4499999999998</v>
      </c>
      <c r="V2866">
        <v>2467.4499999999998</v>
      </c>
      <c r="W2866">
        <v>2467.4499999999998</v>
      </c>
      <c r="X2866">
        <v>0</v>
      </c>
      <c r="Y2866">
        <v>0</v>
      </c>
      <c r="Z2866">
        <v>-513</v>
      </c>
      <c r="AA2866">
        <v>4358</v>
      </c>
      <c r="AD2866" t="s">
        <v>50</v>
      </c>
      <c r="AE2866" t="s">
        <v>7675</v>
      </c>
      <c r="AF2866" t="s">
        <v>50</v>
      </c>
      <c r="AG2866">
        <v>33601968000122</v>
      </c>
      <c r="AH2866" t="s">
        <v>44</v>
      </c>
    </row>
    <row r="2867" spans="1:34" x14ac:dyDescent="0.3">
      <c r="A2867">
        <v>101</v>
      </c>
      <c r="B2867" t="s">
        <v>34</v>
      </c>
      <c r="C2867">
        <v>2</v>
      </c>
      <c r="D2867" s="1" t="s">
        <v>7676</v>
      </c>
      <c r="E2867" s="1" t="s">
        <v>36</v>
      </c>
      <c r="G2867">
        <v>470656</v>
      </c>
      <c r="H2867" t="s">
        <v>7677</v>
      </c>
      <c r="I2867" t="s">
        <v>7678</v>
      </c>
      <c r="J2867">
        <v>12</v>
      </c>
      <c r="K2867">
        <v>470656</v>
      </c>
      <c r="L2867">
        <v>50001</v>
      </c>
      <c r="M2867" t="s">
        <v>39</v>
      </c>
      <c r="N2867">
        <v>645</v>
      </c>
      <c r="O2867" s="2">
        <v>46235</v>
      </c>
      <c r="P2867" s="2">
        <v>46270</v>
      </c>
      <c r="R2867" t="s">
        <v>7679</v>
      </c>
      <c r="S2867" t="str">
        <f>"25666160000051762"</f>
        <v>25666160000051762</v>
      </c>
      <c r="T2867" t="s">
        <v>41</v>
      </c>
      <c r="U2867">
        <v>2793.65</v>
      </c>
      <c r="V2867">
        <v>2793.65</v>
      </c>
      <c r="W2867">
        <v>2793.65</v>
      </c>
      <c r="X2867">
        <v>0</v>
      </c>
      <c r="Y2867">
        <v>0</v>
      </c>
      <c r="Z2867">
        <v>-495</v>
      </c>
      <c r="AA2867">
        <v>1715</v>
      </c>
      <c r="AD2867" t="s">
        <v>7680</v>
      </c>
      <c r="AE2867" t="s">
        <v>7681</v>
      </c>
      <c r="AF2867" t="s">
        <v>7680</v>
      </c>
      <c r="AG2867">
        <v>43157361000159</v>
      </c>
      <c r="AH2867" t="s">
        <v>44</v>
      </c>
    </row>
    <row r="2868" spans="1:34" x14ac:dyDescent="0.3">
      <c r="A2868">
        <v>101</v>
      </c>
      <c r="B2868" t="s">
        <v>34</v>
      </c>
      <c r="C2868">
        <v>2</v>
      </c>
      <c r="D2868" s="1" t="s">
        <v>7682</v>
      </c>
      <c r="E2868" s="1" t="s">
        <v>116</v>
      </c>
      <c r="G2868">
        <v>467354</v>
      </c>
      <c r="H2868" t="s">
        <v>7683</v>
      </c>
      <c r="I2868" t="s">
        <v>7684</v>
      </c>
      <c r="J2868">
        <v>15</v>
      </c>
      <c r="K2868">
        <v>467354</v>
      </c>
      <c r="L2868">
        <v>50341</v>
      </c>
      <c r="M2868" t="s">
        <v>146</v>
      </c>
      <c r="N2868">
        <v>648</v>
      </c>
      <c r="O2868" s="2">
        <v>46234</v>
      </c>
      <c r="P2868" s="2">
        <v>46324</v>
      </c>
      <c r="R2868" t="s">
        <v>7685</v>
      </c>
      <c r="S2868" t="str">
        <f>"00013515"</f>
        <v>00013515</v>
      </c>
      <c r="T2868" t="s">
        <v>41</v>
      </c>
      <c r="U2868">
        <v>3344.66</v>
      </c>
      <c r="V2868">
        <v>3344.66</v>
      </c>
      <c r="W2868">
        <v>3344.66</v>
      </c>
      <c r="X2868">
        <v>0</v>
      </c>
      <c r="Y2868">
        <v>0</v>
      </c>
      <c r="Z2868">
        <v>-549</v>
      </c>
      <c r="AA2868">
        <v>4175</v>
      </c>
      <c r="AD2868" t="s">
        <v>6763</v>
      </c>
      <c r="AE2868" t="s">
        <v>7686</v>
      </c>
      <c r="AF2868" t="s">
        <v>6763</v>
      </c>
      <c r="AG2868" s="1" t="s">
        <v>7687</v>
      </c>
      <c r="AH2868" t="s">
        <v>4609</v>
      </c>
    </row>
    <row r="2869" spans="1:34" x14ac:dyDescent="0.3">
      <c r="A2869">
        <v>101</v>
      </c>
      <c r="B2869" t="s">
        <v>34</v>
      </c>
      <c r="C2869">
        <v>2</v>
      </c>
      <c r="D2869" s="1" t="s">
        <v>7682</v>
      </c>
      <c r="E2869" s="1" t="s">
        <v>36</v>
      </c>
      <c r="G2869">
        <v>467354</v>
      </c>
      <c r="H2869" t="s">
        <v>7683</v>
      </c>
      <c r="I2869" t="s">
        <v>7684</v>
      </c>
      <c r="J2869">
        <v>15</v>
      </c>
      <c r="K2869">
        <v>467354</v>
      </c>
      <c r="L2869">
        <v>50341</v>
      </c>
      <c r="M2869" t="s">
        <v>146</v>
      </c>
      <c r="N2869">
        <v>648</v>
      </c>
      <c r="O2869" s="2">
        <v>46234</v>
      </c>
      <c r="P2869" s="2">
        <v>46294</v>
      </c>
      <c r="R2869" t="s">
        <v>7685</v>
      </c>
      <c r="S2869" t="str">
        <f>"00013513"</f>
        <v>00013513</v>
      </c>
      <c r="T2869" t="s">
        <v>41</v>
      </c>
      <c r="U2869">
        <v>3343.67</v>
      </c>
      <c r="V2869">
        <v>3343.67</v>
      </c>
      <c r="W2869">
        <v>3343.67</v>
      </c>
      <c r="X2869">
        <v>0</v>
      </c>
      <c r="Y2869">
        <v>0</v>
      </c>
      <c r="Z2869">
        <v>-519</v>
      </c>
      <c r="AA2869">
        <v>4175</v>
      </c>
      <c r="AD2869" t="s">
        <v>6763</v>
      </c>
      <c r="AE2869" t="s">
        <v>7686</v>
      </c>
      <c r="AF2869" t="s">
        <v>6763</v>
      </c>
      <c r="AG2869" s="1" t="s">
        <v>7687</v>
      </c>
      <c r="AH2869" t="s">
        <v>4609</v>
      </c>
    </row>
    <row r="2870" spans="1:34" x14ac:dyDescent="0.3">
      <c r="A2870">
        <v>101</v>
      </c>
      <c r="B2870" t="s">
        <v>34</v>
      </c>
      <c r="C2870">
        <v>2</v>
      </c>
      <c r="D2870" s="1" t="s">
        <v>7682</v>
      </c>
      <c r="E2870" s="1" t="s">
        <v>122</v>
      </c>
      <c r="G2870">
        <v>467354</v>
      </c>
      <c r="H2870" t="s">
        <v>7683</v>
      </c>
      <c r="I2870" t="s">
        <v>7684</v>
      </c>
      <c r="J2870">
        <v>15</v>
      </c>
      <c r="K2870">
        <v>467354</v>
      </c>
      <c r="L2870">
        <v>50341</v>
      </c>
      <c r="M2870" t="s">
        <v>146</v>
      </c>
      <c r="N2870">
        <v>648</v>
      </c>
      <c r="O2870" s="2">
        <v>46234</v>
      </c>
      <c r="P2870" s="2">
        <v>46309</v>
      </c>
      <c r="R2870" t="s">
        <v>7685</v>
      </c>
      <c r="S2870" t="str">
        <f>"00013514"</f>
        <v>00013514</v>
      </c>
      <c r="T2870" t="s">
        <v>41</v>
      </c>
      <c r="U2870">
        <v>3343.67</v>
      </c>
      <c r="V2870">
        <v>3343.67</v>
      </c>
      <c r="W2870">
        <v>3343.67</v>
      </c>
      <c r="X2870">
        <v>0</v>
      </c>
      <c r="Y2870">
        <v>0</v>
      </c>
      <c r="Z2870">
        <v>-534</v>
      </c>
      <c r="AA2870">
        <v>4175</v>
      </c>
      <c r="AD2870" t="s">
        <v>6763</v>
      </c>
      <c r="AE2870" t="s">
        <v>7686</v>
      </c>
      <c r="AF2870" t="s">
        <v>6763</v>
      </c>
      <c r="AG2870" s="1" t="s">
        <v>7687</v>
      </c>
      <c r="AH2870" t="s">
        <v>4609</v>
      </c>
    </row>
    <row r="2871" spans="1:34" x14ac:dyDescent="0.3">
      <c r="A2871">
        <v>101</v>
      </c>
      <c r="B2871" t="s">
        <v>34</v>
      </c>
      <c r="C2871">
        <v>2</v>
      </c>
      <c r="D2871" s="1" t="s">
        <v>7688</v>
      </c>
      <c r="E2871" s="1" t="s">
        <v>4375</v>
      </c>
      <c r="G2871">
        <v>467638</v>
      </c>
      <c r="H2871" t="s">
        <v>7689</v>
      </c>
      <c r="I2871" t="s">
        <v>7690</v>
      </c>
      <c r="J2871">
        <v>15</v>
      </c>
      <c r="K2871">
        <v>467638</v>
      </c>
      <c r="L2871">
        <v>50001</v>
      </c>
      <c r="M2871" t="s">
        <v>39</v>
      </c>
      <c r="N2871">
        <v>648</v>
      </c>
      <c r="O2871" s="2">
        <v>46198</v>
      </c>
      <c r="P2871" s="2">
        <v>46268</v>
      </c>
      <c r="R2871" t="s">
        <v>7691</v>
      </c>
      <c r="S2871" t="str">
        <f>"25666160000051243"</f>
        <v>25666160000051243</v>
      </c>
      <c r="T2871" t="s">
        <v>41</v>
      </c>
      <c r="U2871">
        <v>2201.94</v>
      </c>
      <c r="V2871">
        <v>2201.94</v>
      </c>
      <c r="W2871">
        <v>2201.94</v>
      </c>
      <c r="X2871">
        <v>0</v>
      </c>
      <c r="Y2871">
        <v>0</v>
      </c>
      <c r="Z2871">
        <v>-493</v>
      </c>
      <c r="AA2871">
        <v>692621</v>
      </c>
      <c r="AD2871" t="s">
        <v>6356</v>
      </c>
      <c r="AE2871">
        <v>5195710181</v>
      </c>
      <c r="AF2871" t="s">
        <v>6356</v>
      </c>
      <c r="AG2871">
        <v>53415884000101</v>
      </c>
      <c r="AH2871" t="s">
        <v>4609</v>
      </c>
    </row>
    <row r="2872" spans="1:34" x14ac:dyDescent="0.3">
      <c r="A2872">
        <v>101</v>
      </c>
      <c r="B2872" t="s">
        <v>34</v>
      </c>
      <c r="C2872">
        <v>2</v>
      </c>
      <c r="D2872" s="1" t="s">
        <v>7692</v>
      </c>
      <c r="E2872" s="1" t="s">
        <v>122</v>
      </c>
      <c r="G2872">
        <v>470097</v>
      </c>
      <c r="H2872" t="s">
        <v>7693</v>
      </c>
      <c r="I2872" t="s">
        <v>7694</v>
      </c>
      <c r="J2872">
        <v>15</v>
      </c>
      <c r="K2872">
        <v>470097</v>
      </c>
      <c r="L2872">
        <v>50033</v>
      </c>
      <c r="M2872" t="s">
        <v>39</v>
      </c>
      <c r="N2872">
        <v>648</v>
      </c>
      <c r="O2872" s="2">
        <v>46245</v>
      </c>
      <c r="P2872" s="2">
        <v>46300</v>
      </c>
      <c r="R2872" t="s">
        <v>7695</v>
      </c>
      <c r="S2872" t="str">
        <f>"0000050413112"</f>
        <v>0000050413112</v>
      </c>
      <c r="T2872" t="s">
        <v>41</v>
      </c>
      <c r="U2872">
        <v>1793.09</v>
      </c>
      <c r="V2872">
        <v>1793.09</v>
      </c>
      <c r="W2872">
        <v>1793.09</v>
      </c>
      <c r="X2872">
        <v>0</v>
      </c>
      <c r="Y2872">
        <v>0</v>
      </c>
      <c r="Z2872">
        <v>-525</v>
      </c>
      <c r="AA2872">
        <v>4448</v>
      </c>
      <c r="AD2872" t="s">
        <v>6349</v>
      </c>
      <c r="AE2872" t="s">
        <v>7696</v>
      </c>
      <c r="AF2872" t="s">
        <v>6349</v>
      </c>
      <c r="AG2872">
        <v>25080804000179</v>
      </c>
      <c r="AH2872" t="s">
        <v>4609</v>
      </c>
    </row>
    <row r="2873" spans="1:34" x14ac:dyDescent="0.3">
      <c r="A2873">
        <v>101</v>
      </c>
      <c r="B2873" t="s">
        <v>34</v>
      </c>
      <c r="C2873">
        <v>2</v>
      </c>
      <c r="D2873" s="1" t="s">
        <v>7692</v>
      </c>
      <c r="E2873" s="1" t="s">
        <v>36</v>
      </c>
      <c r="G2873">
        <v>470097</v>
      </c>
      <c r="H2873" t="s">
        <v>7693</v>
      </c>
      <c r="I2873" t="s">
        <v>7694</v>
      </c>
      <c r="J2873">
        <v>15</v>
      </c>
      <c r="K2873">
        <v>470097</v>
      </c>
      <c r="L2873">
        <v>50033</v>
      </c>
      <c r="M2873" t="s">
        <v>39</v>
      </c>
      <c r="N2873">
        <v>648</v>
      </c>
      <c r="O2873" s="2">
        <v>46245</v>
      </c>
      <c r="P2873" s="2">
        <v>46290</v>
      </c>
      <c r="R2873" t="s">
        <v>7695</v>
      </c>
      <c r="S2873" t="str">
        <f>"0000050413104"</f>
        <v>0000050413104</v>
      </c>
      <c r="T2873" t="s">
        <v>41</v>
      </c>
      <c r="U2873">
        <v>1847.4</v>
      </c>
      <c r="V2873">
        <v>1847.4</v>
      </c>
      <c r="W2873">
        <v>1847.4</v>
      </c>
      <c r="X2873">
        <v>0</v>
      </c>
      <c r="Y2873">
        <v>0</v>
      </c>
      <c r="Z2873">
        <v>-515</v>
      </c>
      <c r="AA2873">
        <v>4448</v>
      </c>
      <c r="AD2873" t="s">
        <v>6349</v>
      </c>
      <c r="AE2873" t="s">
        <v>7696</v>
      </c>
      <c r="AF2873" t="s">
        <v>6349</v>
      </c>
      <c r="AG2873">
        <v>25080804000179</v>
      </c>
      <c r="AH2873" t="s">
        <v>4609</v>
      </c>
    </row>
    <row r="2874" spans="1:34" x14ac:dyDescent="0.3">
      <c r="A2874">
        <v>101</v>
      </c>
      <c r="B2874" t="s">
        <v>34</v>
      </c>
      <c r="C2874">
        <v>2</v>
      </c>
      <c r="D2874" s="1" t="s">
        <v>7697</v>
      </c>
      <c r="E2874" s="1" t="s">
        <v>36</v>
      </c>
      <c r="G2874">
        <v>470098</v>
      </c>
      <c r="H2874" t="s">
        <v>7698</v>
      </c>
      <c r="I2874" t="s">
        <v>7694</v>
      </c>
      <c r="J2874">
        <v>15</v>
      </c>
      <c r="K2874">
        <v>470097</v>
      </c>
      <c r="L2874">
        <v>50033</v>
      </c>
      <c r="M2874" t="s">
        <v>39</v>
      </c>
      <c r="N2874">
        <v>648</v>
      </c>
      <c r="O2874" s="2">
        <v>46245</v>
      </c>
      <c r="P2874" s="2">
        <v>46290</v>
      </c>
      <c r="R2874" t="s">
        <v>7699</v>
      </c>
      <c r="S2874" t="str">
        <f>"0000050413120"</f>
        <v>0000050413120</v>
      </c>
      <c r="T2874" t="s">
        <v>41</v>
      </c>
      <c r="U2874">
        <v>1059.2</v>
      </c>
      <c r="V2874">
        <v>1059.2</v>
      </c>
      <c r="W2874">
        <v>1059.2</v>
      </c>
      <c r="X2874">
        <v>0</v>
      </c>
      <c r="Y2874">
        <v>0</v>
      </c>
      <c r="Z2874">
        <v>-515</v>
      </c>
      <c r="AA2874">
        <v>4447</v>
      </c>
      <c r="AD2874" t="s">
        <v>6276</v>
      </c>
      <c r="AE2874" t="s">
        <v>7696</v>
      </c>
      <c r="AF2874" t="s">
        <v>6276</v>
      </c>
      <c r="AG2874">
        <v>25080804000926</v>
      </c>
      <c r="AH2874" t="s">
        <v>4609</v>
      </c>
    </row>
    <row r="2875" spans="1:34" x14ac:dyDescent="0.3">
      <c r="A2875">
        <v>101</v>
      </c>
      <c r="B2875" t="s">
        <v>34</v>
      </c>
      <c r="C2875">
        <v>2</v>
      </c>
      <c r="D2875" s="1" t="s">
        <v>7697</v>
      </c>
      <c r="E2875" s="1" t="s">
        <v>122</v>
      </c>
      <c r="G2875">
        <v>470098</v>
      </c>
      <c r="H2875" t="s">
        <v>7698</v>
      </c>
      <c r="I2875" t="s">
        <v>7694</v>
      </c>
      <c r="J2875">
        <v>15</v>
      </c>
      <c r="K2875">
        <v>470097</v>
      </c>
      <c r="L2875">
        <v>50033</v>
      </c>
      <c r="M2875" t="s">
        <v>39</v>
      </c>
      <c r="N2875">
        <v>648</v>
      </c>
      <c r="O2875" s="2">
        <v>46245</v>
      </c>
      <c r="P2875" s="2">
        <v>46300</v>
      </c>
      <c r="R2875" t="s">
        <v>7699</v>
      </c>
      <c r="S2875" t="str">
        <f>"0000050413139"</f>
        <v>0000050413139</v>
      </c>
      <c r="T2875" t="s">
        <v>41</v>
      </c>
      <c r="U2875">
        <v>1026.2</v>
      </c>
      <c r="V2875">
        <v>1026.2</v>
      </c>
      <c r="W2875">
        <v>1026.2</v>
      </c>
      <c r="X2875">
        <v>0</v>
      </c>
      <c r="Y2875">
        <v>0</v>
      </c>
      <c r="Z2875">
        <v>-525</v>
      </c>
      <c r="AA2875">
        <v>4447</v>
      </c>
      <c r="AD2875" t="s">
        <v>6276</v>
      </c>
      <c r="AE2875" t="s">
        <v>7696</v>
      </c>
      <c r="AF2875" t="s">
        <v>6276</v>
      </c>
      <c r="AG2875">
        <v>25080804000926</v>
      </c>
      <c r="AH2875" t="s">
        <v>4609</v>
      </c>
    </row>
    <row r="2876" spans="1:34" x14ac:dyDescent="0.3">
      <c r="A2876">
        <v>101</v>
      </c>
      <c r="B2876" t="s">
        <v>34</v>
      </c>
      <c r="C2876">
        <v>2</v>
      </c>
      <c r="D2876" s="1" t="s">
        <v>7700</v>
      </c>
      <c r="E2876" s="1" t="s">
        <v>36</v>
      </c>
      <c r="G2876">
        <v>470099</v>
      </c>
      <c r="H2876" t="s">
        <v>7701</v>
      </c>
      <c r="I2876" t="s">
        <v>7694</v>
      </c>
      <c r="J2876">
        <v>15</v>
      </c>
      <c r="K2876">
        <v>470097</v>
      </c>
      <c r="L2876">
        <v>50033</v>
      </c>
      <c r="M2876" t="s">
        <v>39</v>
      </c>
      <c r="N2876">
        <v>648</v>
      </c>
      <c r="O2876" s="2">
        <v>46245</v>
      </c>
      <c r="P2876" s="2">
        <v>46290</v>
      </c>
      <c r="R2876" t="s">
        <v>7702</v>
      </c>
      <c r="S2876" t="str">
        <f>"0000050413147"</f>
        <v>0000050413147</v>
      </c>
      <c r="T2876" t="s">
        <v>41</v>
      </c>
      <c r="U2876">
        <v>2276.42</v>
      </c>
      <c r="V2876">
        <v>2276.42</v>
      </c>
      <c r="W2876">
        <v>2276.42</v>
      </c>
      <c r="X2876">
        <v>0</v>
      </c>
      <c r="Y2876">
        <v>0</v>
      </c>
      <c r="Z2876">
        <v>-515</v>
      </c>
      <c r="AA2876">
        <v>4450</v>
      </c>
      <c r="AD2876" t="s">
        <v>7703</v>
      </c>
      <c r="AE2876" t="s">
        <v>7704</v>
      </c>
      <c r="AF2876" t="s">
        <v>7703</v>
      </c>
      <c r="AG2876">
        <v>25080804000411</v>
      </c>
      <c r="AH2876" t="s">
        <v>4609</v>
      </c>
    </row>
    <row r="2877" spans="1:34" x14ac:dyDescent="0.3">
      <c r="A2877">
        <v>101</v>
      </c>
      <c r="B2877" t="s">
        <v>34</v>
      </c>
      <c r="C2877">
        <v>2</v>
      </c>
      <c r="D2877" s="1" t="s">
        <v>7700</v>
      </c>
      <c r="E2877" s="1" t="s">
        <v>122</v>
      </c>
      <c r="G2877">
        <v>470099</v>
      </c>
      <c r="H2877" t="s">
        <v>7701</v>
      </c>
      <c r="I2877" t="s">
        <v>7694</v>
      </c>
      <c r="J2877">
        <v>15</v>
      </c>
      <c r="K2877">
        <v>470097</v>
      </c>
      <c r="L2877">
        <v>50033</v>
      </c>
      <c r="M2877" t="s">
        <v>39</v>
      </c>
      <c r="N2877">
        <v>648</v>
      </c>
      <c r="O2877" s="2">
        <v>46245</v>
      </c>
      <c r="P2877" s="2">
        <v>46300</v>
      </c>
      <c r="R2877" t="s">
        <v>7702</v>
      </c>
      <c r="S2877" t="str">
        <f>"0000050413155"</f>
        <v>0000050413155</v>
      </c>
      <c r="T2877" t="s">
        <v>41</v>
      </c>
      <c r="U2877">
        <v>2276.42</v>
      </c>
      <c r="V2877">
        <v>2276.42</v>
      </c>
      <c r="W2877">
        <v>2276.42</v>
      </c>
      <c r="X2877">
        <v>0</v>
      </c>
      <c r="Y2877">
        <v>0</v>
      </c>
      <c r="Z2877">
        <v>-525</v>
      </c>
      <c r="AA2877">
        <v>4450</v>
      </c>
      <c r="AD2877" t="s">
        <v>7703</v>
      </c>
      <c r="AE2877" t="s">
        <v>7704</v>
      </c>
      <c r="AF2877" t="s">
        <v>7703</v>
      </c>
      <c r="AG2877">
        <v>25080804000411</v>
      </c>
      <c r="AH2877" t="s">
        <v>4609</v>
      </c>
    </row>
    <row r="2878" spans="1:34" x14ac:dyDescent="0.3">
      <c r="A2878">
        <v>101</v>
      </c>
      <c r="B2878" t="s">
        <v>34</v>
      </c>
      <c r="C2878">
        <v>2</v>
      </c>
      <c r="D2878" s="1" t="s">
        <v>7705</v>
      </c>
      <c r="E2878" s="1" t="s">
        <v>36</v>
      </c>
      <c r="G2878">
        <v>470100</v>
      </c>
      <c r="H2878" t="s">
        <v>7706</v>
      </c>
      <c r="I2878" t="s">
        <v>7694</v>
      </c>
      <c r="J2878">
        <v>15</v>
      </c>
      <c r="K2878">
        <v>470097</v>
      </c>
      <c r="L2878">
        <v>50033</v>
      </c>
      <c r="M2878" t="s">
        <v>39</v>
      </c>
      <c r="N2878">
        <v>648</v>
      </c>
      <c r="O2878" s="2">
        <v>46245</v>
      </c>
      <c r="P2878" s="2">
        <v>46290</v>
      </c>
      <c r="R2878" t="s">
        <v>7707</v>
      </c>
      <c r="S2878" t="str">
        <f>"0000050413163"</f>
        <v>0000050413163</v>
      </c>
      <c r="T2878" t="s">
        <v>41</v>
      </c>
      <c r="U2878">
        <v>1997.94</v>
      </c>
      <c r="V2878">
        <v>1997.94</v>
      </c>
      <c r="W2878">
        <v>1997.94</v>
      </c>
      <c r="X2878">
        <v>0</v>
      </c>
      <c r="Y2878">
        <v>0</v>
      </c>
      <c r="Z2878">
        <v>-515</v>
      </c>
      <c r="AA2878">
        <v>4440</v>
      </c>
      <c r="AD2878" t="s">
        <v>6349</v>
      </c>
      <c r="AE2878" t="s">
        <v>7708</v>
      </c>
      <c r="AF2878" t="s">
        <v>6349</v>
      </c>
      <c r="AG2878">
        <v>25080804000500</v>
      </c>
      <c r="AH2878" t="s">
        <v>4609</v>
      </c>
    </row>
    <row r="2879" spans="1:34" x14ac:dyDescent="0.3">
      <c r="A2879">
        <v>101</v>
      </c>
      <c r="B2879" t="s">
        <v>34</v>
      </c>
      <c r="C2879">
        <v>2</v>
      </c>
      <c r="D2879" s="1" t="s">
        <v>7705</v>
      </c>
      <c r="E2879" s="1" t="s">
        <v>122</v>
      </c>
      <c r="G2879">
        <v>470100</v>
      </c>
      <c r="H2879" t="s">
        <v>7706</v>
      </c>
      <c r="I2879" t="s">
        <v>7694</v>
      </c>
      <c r="J2879">
        <v>15</v>
      </c>
      <c r="K2879">
        <v>470097</v>
      </c>
      <c r="L2879">
        <v>50033</v>
      </c>
      <c r="M2879" t="s">
        <v>39</v>
      </c>
      <c r="N2879">
        <v>648</v>
      </c>
      <c r="O2879" s="2">
        <v>46245</v>
      </c>
      <c r="P2879" s="2">
        <v>46300</v>
      </c>
      <c r="R2879" t="s">
        <v>7707</v>
      </c>
      <c r="S2879" t="str">
        <f>"0000050413171"</f>
        <v>0000050413171</v>
      </c>
      <c r="T2879" t="s">
        <v>41</v>
      </c>
      <c r="U2879">
        <v>1948.43</v>
      </c>
      <c r="V2879">
        <v>1948.43</v>
      </c>
      <c r="W2879">
        <v>1948.43</v>
      </c>
      <c r="X2879">
        <v>0</v>
      </c>
      <c r="Y2879">
        <v>0</v>
      </c>
      <c r="Z2879">
        <v>-525</v>
      </c>
      <c r="AA2879">
        <v>4440</v>
      </c>
      <c r="AD2879" t="s">
        <v>6349</v>
      </c>
      <c r="AE2879" t="s">
        <v>7708</v>
      </c>
      <c r="AF2879" t="s">
        <v>6349</v>
      </c>
      <c r="AG2879">
        <v>25080804000500</v>
      </c>
      <c r="AH2879" t="s">
        <v>4609</v>
      </c>
    </row>
    <row r="2880" spans="1:34" x14ac:dyDescent="0.3">
      <c r="A2880">
        <v>101</v>
      </c>
      <c r="B2880" t="s">
        <v>34</v>
      </c>
      <c r="C2880">
        <v>2</v>
      </c>
      <c r="D2880" s="1" t="s">
        <v>7709</v>
      </c>
      <c r="E2880" s="1" t="s">
        <v>36</v>
      </c>
      <c r="G2880">
        <v>470101</v>
      </c>
      <c r="H2880" t="s">
        <v>7710</v>
      </c>
      <c r="I2880" t="s">
        <v>7694</v>
      </c>
      <c r="J2880">
        <v>15</v>
      </c>
      <c r="K2880">
        <v>470097</v>
      </c>
      <c r="L2880">
        <v>50033</v>
      </c>
      <c r="M2880" t="s">
        <v>39</v>
      </c>
      <c r="N2880">
        <v>648</v>
      </c>
      <c r="O2880" s="2">
        <v>46245</v>
      </c>
      <c r="P2880" s="2">
        <v>46290</v>
      </c>
      <c r="R2880" t="s">
        <v>7711</v>
      </c>
      <c r="S2880" t="str">
        <f>"0000050413180"</f>
        <v>0000050413180</v>
      </c>
      <c r="T2880" t="s">
        <v>41</v>
      </c>
      <c r="U2880">
        <v>2006.67</v>
      </c>
      <c r="V2880">
        <v>2006.67</v>
      </c>
      <c r="W2880">
        <v>2006.67</v>
      </c>
      <c r="X2880">
        <v>0</v>
      </c>
      <c r="Y2880">
        <v>0</v>
      </c>
      <c r="Z2880">
        <v>-515</v>
      </c>
      <c r="AA2880">
        <v>4451</v>
      </c>
      <c r="AD2880" t="s">
        <v>7712</v>
      </c>
      <c r="AE2880" t="s">
        <v>7713</v>
      </c>
      <c r="AF2880" t="s">
        <v>7712</v>
      </c>
      <c r="AG2880">
        <v>25080804000683</v>
      </c>
      <c r="AH2880" t="s">
        <v>4609</v>
      </c>
    </row>
    <row r="2881" spans="1:34" x14ac:dyDescent="0.3">
      <c r="A2881">
        <v>101</v>
      </c>
      <c r="B2881" t="s">
        <v>34</v>
      </c>
      <c r="C2881">
        <v>2</v>
      </c>
      <c r="D2881" s="1" t="s">
        <v>7709</v>
      </c>
      <c r="E2881" s="1" t="s">
        <v>122</v>
      </c>
      <c r="G2881">
        <v>470101</v>
      </c>
      <c r="H2881" t="s">
        <v>7710</v>
      </c>
      <c r="I2881" t="s">
        <v>7694</v>
      </c>
      <c r="J2881">
        <v>15</v>
      </c>
      <c r="K2881">
        <v>470097</v>
      </c>
      <c r="L2881">
        <v>50033</v>
      </c>
      <c r="M2881" t="s">
        <v>39</v>
      </c>
      <c r="N2881">
        <v>648</v>
      </c>
      <c r="O2881" s="2">
        <v>46245</v>
      </c>
      <c r="P2881" s="2">
        <v>46300</v>
      </c>
      <c r="R2881" t="s">
        <v>7711</v>
      </c>
      <c r="S2881" t="str">
        <f>"0000050413198"</f>
        <v>0000050413198</v>
      </c>
      <c r="T2881" t="s">
        <v>41</v>
      </c>
      <c r="U2881">
        <v>1976.43</v>
      </c>
      <c r="V2881">
        <v>1976.43</v>
      </c>
      <c r="W2881">
        <v>1976.43</v>
      </c>
      <c r="X2881">
        <v>0</v>
      </c>
      <c r="Y2881">
        <v>0</v>
      </c>
      <c r="Z2881">
        <v>-525</v>
      </c>
      <c r="AA2881">
        <v>4451</v>
      </c>
      <c r="AD2881" t="s">
        <v>7712</v>
      </c>
      <c r="AE2881" t="s">
        <v>7713</v>
      </c>
      <c r="AF2881" t="s">
        <v>7712</v>
      </c>
      <c r="AG2881">
        <v>25080804000683</v>
      </c>
      <c r="AH2881" t="s">
        <v>4609</v>
      </c>
    </row>
    <row r="2882" spans="1:34" x14ac:dyDescent="0.3">
      <c r="A2882">
        <v>101</v>
      </c>
      <c r="B2882" t="s">
        <v>34</v>
      </c>
      <c r="C2882">
        <v>2</v>
      </c>
      <c r="D2882" s="1" t="s">
        <v>7714</v>
      </c>
      <c r="E2882" s="1" t="s">
        <v>122</v>
      </c>
      <c r="G2882">
        <v>470102</v>
      </c>
      <c r="H2882" t="s">
        <v>7715</v>
      </c>
      <c r="I2882" t="s">
        <v>7716</v>
      </c>
      <c r="J2882">
        <v>15</v>
      </c>
      <c r="K2882">
        <v>470097</v>
      </c>
      <c r="L2882">
        <v>50033</v>
      </c>
      <c r="M2882" t="s">
        <v>39</v>
      </c>
      <c r="N2882">
        <v>648</v>
      </c>
      <c r="O2882" s="2">
        <v>46245</v>
      </c>
      <c r="P2882" s="2">
        <v>46300</v>
      </c>
      <c r="R2882" t="s">
        <v>7717</v>
      </c>
      <c r="S2882" t="str">
        <f>"0000050413210"</f>
        <v>0000050413210</v>
      </c>
      <c r="T2882" t="s">
        <v>41</v>
      </c>
      <c r="U2882">
        <v>1433.73</v>
      </c>
      <c r="V2882">
        <v>1433.73</v>
      </c>
      <c r="W2882">
        <v>1433.73</v>
      </c>
      <c r="X2882">
        <v>0</v>
      </c>
      <c r="Y2882">
        <v>0</v>
      </c>
      <c r="Z2882">
        <v>-525</v>
      </c>
      <c r="AA2882">
        <v>4452</v>
      </c>
      <c r="AD2882" t="s">
        <v>4606</v>
      </c>
      <c r="AE2882" t="s">
        <v>7718</v>
      </c>
      <c r="AF2882" t="s">
        <v>4606</v>
      </c>
      <c r="AG2882">
        <v>25080804000764</v>
      </c>
      <c r="AH2882" t="s">
        <v>4609</v>
      </c>
    </row>
    <row r="2883" spans="1:34" x14ac:dyDescent="0.3">
      <c r="A2883">
        <v>101</v>
      </c>
      <c r="B2883" t="s">
        <v>34</v>
      </c>
      <c r="C2883">
        <v>2</v>
      </c>
      <c r="D2883" s="1" t="s">
        <v>7714</v>
      </c>
      <c r="E2883" s="1" t="s">
        <v>36</v>
      </c>
      <c r="G2883">
        <v>470102</v>
      </c>
      <c r="H2883" t="s">
        <v>7715</v>
      </c>
      <c r="I2883" t="s">
        <v>7716</v>
      </c>
      <c r="J2883">
        <v>15</v>
      </c>
      <c r="K2883">
        <v>470097</v>
      </c>
      <c r="L2883">
        <v>50033</v>
      </c>
      <c r="M2883" t="s">
        <v>39</v>
      </c>
      <c r="N2883">
        <v>648</v>
      </c>
      <c r="O2883" s="2">
        <v>46245</v>
      </c>
      <c r="P2883" s="2">
        <v>46290</v>
      </c>
      <c r="R2883" t="s">
        <v>7717</v>
      </c>
      <c r="S2883" t="str">
        <f>"0000050413201"</f>
        <v>0000050413201</v>
      </c>
      <c r="T2883" t="s">
        <v>41</v>
      </c>
      <c r="U2883">
        <v>1499.74</v>
      </c>
      <c r="V2883">
        <v>1499.74</v>
      </c>
      <c r="W2883">
        <v>1499.74</v>
      </c>
      <c r="X2883">
        <v>0</v>
      </c>
      <c r="Y2883">
        <v>0</v>
      </c>
      <c r="Z2883">
        <v>-515</v>
      </c>
      <c r="AA2883">
        <v>4452</v>
      </c>
      <c r="AD2883" t="s">
        <v>4606</v>
      </c>
      <c r="AE2883" t="s">
        <v>7718</v>
      </c>
      <c r="AF2883" t="s">
        <v>4606</v>
      </c>
      <c r="AG2883">
        <v>25080804000764</v>
      </c>
      <c r="AH2883" t="s">
        <v>4609</v>
      </c>
    </row>
    <row r="2884" spans="1:34" x14ac:dyDescent="0.3">
      <c r="A2884">
        <v>101</v>
      </c>
      <c r="B2884" t="s">
        <v>34</v>
      </c>
      <c r="C2884">
        <v>2</v>
      </c>
      <c r="D2884" s="1" t="s">
        <v>7719</v>
      </c>
      <c r="E2884" s="1" t="s">
        <v>116</v>
      </c>
      <c r="G2884">
        <v>470928</v>
      </c>
      <c r="H2884" t="s">
        <v>7720</v>
      </c>
      <c r="I2884" t="s">
        <v>7721</v>
      </c>
      <c r="J2884">
        <v>15</v>
      </c>
      <c r="K2884">
        <v>470928</v>
      </c>
      <c r="L2884">
        <v>50001</v>
      </c>
      <c r="M2884" t="s">
        <v>39</v>
      </c>
      <c r="N2884">
        <v>648</v>
      </c>
      <c r="O2884" s="2">
        <v>46203</v>
      </c>
      <c r="P2884" s="2">
        <v>46263</v>
      </c>
      <c r="R2884" t="s">
        <v>7722</v>
      </c>
      <c r="S2884" t="str">
        <f>"25666160000051313"</f>
        <v>25666160000051313</v>
      </c>
      <c r="T2884" t="s">
        <v>41</v>
      </c>
      <c r="U2884">
        <v>1672.97</v>
      </c>
      <c r="V2884">
        <v>1672.97</v>
      </c>
      <c r="W2884">
        <v>1672.97</v>
      </c>
      <c r="X2884">
        <v>0</v>
      </c>
      <c r="Y2884">
        <v>0</v>
      </c>
      <c r="Z2884">
        <v>-488</v>
      </c>
      <c r="AA2884">
        <v>693143</v>
      </c>
      <c r="AD2884" t="s">
        <v>4606</v>
      </c>
      <c r="AE2884" t="s">
        <v>7723</v>
      </c>
      <c r="AF2884" t="s">
        <v>4606</v>
      </c>
      <c r="AG2884">
        <v>61255883000175</v>
      </c>
      <c r="AH2884" t="s">
        <v>4609</v>
      </c>
    </row>
    <row r="2885" spans="1:34" x14ac:dyDescent="0.3">
      <c r="A2885">
        <v>101</v>
      </c>
      <c r="B2885" t="s">
        <v>34</v>
      </c>
      <c r="C2885">
        <v>2</v>
      </c>
      <c r="D2885" s="1" t="s">
        <v>7719</v>
      </c>
      <c r="E2885" s="1" t="s">
        <v>4375</v>
      </c>
      <c r="G2885">
        <v>470928</v>
      </c>
      <c r="H2885" t="s">
        <v>7720</v>
      </c>
      <c r="I2885" t="s">
        <v>7721</v>
      </c>
      <c r="J2885">
        <v>15</v>
      </c>
      <c r="K2885">
        <v>470928</v>
      </c>
      <c r="L2885">
        <v>50001</v>
      </c>
      <c r="M2885" t="s">
        <v>39</v>
      </c>
      <c r="N2885">
        <v>648</v>
      </c>
      <c r="O2885" s="2">
        <v>46203</v>
      </c>
      <c r="P2885" s="2">
        <v>46273</v>
      </c>
      <c r="R2885" t="s">
        <v>7722</v>
      </c>
      <c r="S2885" t="str">
        <f>"25666160000051314"</f>
        <v>25666160000051314</v>
      </c>
      <c r="T2885" t="s">
        <v>41</v>
      </c>
      <c r="U2885">
        <v>1672.98</v>
      </c>
      <c r="V2885">
        <v>1672.98</v>
      </c>
      <c r="W2885">
        <v>1672.98</v>
      </c>
      <c r="X2885">
        <v>0</v>
      </c>
      <c r="Y2885">
        <v>0</v>
      </c>
      <c r="Z2885">
        <v>-498</v>
      </c>
      <c r="AA2885">
        <v>693143</v>
      </c>
      <c r="AD2885" t="s">
        <v>4606</v>
      </c>
      <c r="AE2885" t="s">
        <v>7723</v>
      </c>
      <c r="AF2885" t="s">
        <v>4606</v>
      </c>
      <c r="AG2885">
        <v>61255883000175</v>
      </c>
      <c r="AH2885" t="s">
        <v>4609</v>
      </c>
    </row>
    <row r="2886" spans="1:34" x14ac:dyDescent="0.3">
      <c r="A2886">
        <v>101</v>
      </c>
      <c r="B2886" t="s">
        <v>34</v>
      </c>
      <c r="C2886">
        <v>2</v>
      </c>
      <c r="D2886" s="1" t="s">
        <v>7724</v>
      </c>
      <c r="E2886" s="1" t="s">
        <v>36</v>
      </c>
      <c r="G2886">
        <v>471139</v>
      </c>
      <c r="H2886" t="s">
        <v>7725</v>
      </c>
      <c r="I2886" t="s">
        <v>7726</v>
      </c>
      <c r="J2886">
        <v>15</v>
      </c>
      <c r="K2886">
        <v>467354</v>
      </c>
      <c r="L2886">
        <v>50341</v>
      </c>
      <c r="M2886" t="s">
        <v>146</v>
      </c>
      <c r="N2886">
        <v>648</v>
      </c>
      <c r="O2886" s="2">
        <v>46234</v>
      </c>
      <c r="P2886" s="2">
        <v>46294</v>
      </c>
      <c r="R2886" t="s">
        <v>7727</v>
      </c>
      <c r="S2886" t="str">
        <f>"00013532"</f>
        <v>00013532</v>
      </c>
      <c r="T2886" t="s">
        <v>41</v>
      </c>
      <c r="U2886">
        <v>1671.83</v>
      </c>
      <c r="V2886">
        <v>1671.83</v>
      </c>
      <c r="W2886">
        <v>1671.83</v>
      </c>
      <c r="X2886">
        <v>0</v>
      </c>
      <c r="Y2886">
        <v>0</v>
      </c>
      <c r="Z2886">
        <v>-519</v>
      </c>
      <c r="AA2886">
        <v>4168</v>
      </c>
      <c r="AD2886" t="s">
        <v>6763</v>
      </c>
      <c r="AE2886" t="s">
        <v>7728</v>
      </c>
      <c r="AF2886" t="s">
        <v>6763</v>
      </c>
      <c r="AG2886">
        <v>35935523000104</v>
      </c>
      <c r="AH2886" t="s">
        <v>4609</v>
      </c>
    </row>
    <row r="2887" spans="1:34" x14ac:dyDescent="0.3">
      <c r="A2887">
        <v>101</v>
      </c>
      <c r="B2887" t="s">
        <v>34</v>
      </c>
      <c r="C2887">
        <v>2</v>
      </c>
      <c r="D2887" s="1" t="s">
        <v>7724</v>
      </c>
      <c r="E2887" s="1" t="s">
        <v>122</v>
      </c>
      <c r="G2887">
        <v>471139</v>
      </c>
      <c r="H2887" t="s">
        <v>7725</v>
      </c>
      <c r="I2887" t="s">
        <v>7726</v>
      </c>
      <c r="J2887">
        <v>15</v>
      </c>
      <c r="K2887">
        <v>467354</v>
      </c>
      <c r="L2887">
        <v>50341</v>
      </c>
      <c r="M2887" t="s">
        <v>146</v>
      </c>
      <c r="N2887">
        <v>648</v>
      </c>
      <c r="O2887" s="2">
        <v>46234</v>
      </c>
      <c r="P2887" s="2">
        <v>46309</v>
      </c>
      <c r="R2887" t="s">
        <v>7727</v>
      </c>
      <c r="S2887" t="str">
        <f>"00013533"</f>
        <v>00013533</v>
      </c>
      <c r="T2887" t="s">
        <v>41</v>
      </c>
      <c r="U2887">
        <v>1671.83</v>
      </c>
      <c r="V2887">
        <v>1671.83</v>
      </c>
      <c r="W2887">
        <v>1671.83</v>
      </c>
      <c r="X2887">
        <v>0</v>
      </c>
      <c r="Y2887">
        <v>0</v>
      </c>
      <c r="Z2887">
        <v>-534</v>
      </c>
      <c r="AA2887">
        <v>4168</v>
      </c>
      <c r="AD2887" t="s">
        <v>6763</v>
      </c>
      <c r="AE2887" t="s">
        <v>7728</v>
      </c>
      <c r="AF2887" t="s">
        <v>6763</v>
      </c>
      <c r="AG2887">
        <v>35935523000104</v>
      </c>
      <c r="AH2887" t="s">
        <v>4609</v>
      </c>
    </row>
    <row r="2888" spans="1:34" x14ac:dyDescent="0.3">
      <c r="A2888">
        <v>101</v>
      </c>
      <c r="B2888" t="s">
        <v>34</v>
      </c>
      <c r="C2888">
        <v>2</v>
      </c>
      <c r="D2888" s="1" t="s">
        <v>7724</v>
      </c>
      <c r="E2888" s="1" t="s">
        <v>116</v>
      </c>
      <c r="G2888">
        <v>471139</v>
      </c>
      <c r="H2888" t="s">
        <v>7725</v>
      </c>
      <c r="I2888" t="s">
        <v>7726</v>
      </c>
      <c r="J2888">
        <v>15</v>
      </c>
      <c r="K2888">
        <v>467354</v>
      </c>
      <c r="L2888">
        <v>50341</v>
      </c>
      <c r="M2888" t="s">
        <v>146</v>
      </c>
      <c r="N2888">
        <v>648</v>
      </c>
      <c r="O2888" s="2">
        <v>46234</v>
      </c>
      <c r="P2888" s="2">
        <v>46324</v>
      </c>
      <c r="R2888" t="s">
        <v>7727</v>
      </c>
      <c r="S2888" t="str">
        <f>"00013534"</f>
        <v>00013534</v>
      </c>
      <c r="T2888" t="s">
        <v>41</v>
      </c>
      <c r="U2888">
        <v>1672.34</v>
      </c>
      <c r="V2888">
        <v>1672.34</v>
      </c>
      <c r="W2888">
        <v>1672.34</v>
      </c>
      <c r="X2888">
        <v>0</v>
      </c>
      <c r="Y2888">
        <v>0</v>
      </c>
      <c r="Z2888">
        <v>-549</v>
      </c>
      <c r="AA2888">
        <v>4168</v>
      </c>
      <c r="AD2888" t="s">
        <v>6763</v>
      </c>
      <c r="AE2888" t="s">
        <v>7728</v>
      </c>
      <c r="AF2888" t="s">
        <v>6763</v>
      </c>
      <c r="AG2888">
        <v>35935523000104</v>
      </c>
      <c r="AH2888" t="s">
        <v>4609</v>
      </c>
    </row>
    <row r="2889" spans="1:34" x14ac:dyDescent="0.3">
      <c r="A2889">
        <v>101</v>
      </c>
      <c r="B2889" t="s">
        <v>34</v>
      </c>
      <c r="C2889">
        <v>2</v>
      </c>
      <c r="D2889" s="1" t="s">
        <v>7729</v>
      </c>
      <c r="E2889" s="1" t="s">
        <v>36</v>
      </c>
      <c r="G2889">
        <v>471140</v>
      </c>
      <c r="H2889" t="s">
        <v>7730</v>
      </c>
      <c r="I2889" t="s">
        <v>7731</v>
      </c>
      <c r="J2889">
        <v>15</v>
      </c>
      <c r="K2889">
        <v>467354</v>
      </c>
      <c r="L2889">
        <v>50001</v>
      </c>
      <c r="M2889" t="s">
        <v>39</v>
      </c>
      <c r="N2889">
        <v>648</v>
      </c>
      <c r="O2889" s="2">
        <v>46234</v>
      </c>
      <c r="P2889" s="2">
        <v>46294</v>
      </c>
      <c r="R2889" t="s">
        <v>7732</v>
      </c>
      <c r="S2889" t="str">
        <f>"25666160000051769"</f>
        <v>25666160000051769</v>
      </c>
      <c r="T2889" t="s">
        <v>41</v>
      </c>
      <c r="U2889">
        <v>1671.83</v>
      </c>
      <c r="V2889">
        <v>1671.83</v>
      </c>
      <c r="W2889">
        <v>1671.83</v>
      </c>
      <c r="X2889">
        <v>0</v>
      </c>
      <c r="Y2889">
        <v>0</v>
      </c>
      <c r="Z2889">
        <v>-519</v>
      </c>
      <c r="AA2889">
        <v>4176</v>
      </c>
      <c r="AD2889" t="s">
        <v>6763</v>
      </c>
      <c r="AE2889" t="s">
        <v>7728</v>
      </c>
      <c r="AF2889" t="s">
        <v>6763</v>
      </c>
      <c r="AG2889">
        <v>49765404000165</v>
      </c>
      <c r="AH2889" t="s">
        <v>4609</v>
      </c>
    </row>
    <row r="2890" spans="1:34" x14ac:dyDescent="0.3">
      <c r="A2890">
        <v>101</v>
      </c>
      <c r="B2890" t="s">
        <v>34</v>
      </c>
      <c r="C2890">
        <v>2</v>
      </c>
      <c r="D2890" s="1" t="s">
        <v>7729</v>
      </c>
      <c r="E2890" s="1" t="s">
        <v>122</v>
      </c>
      <c r="G2890">
        <v>471140</v>
      </c>
      <c r="H2890" t="s">
        <v>7730</v>
      </c>
      <c r="I2890" t="s">
        <v>7731</v>
      </c>
      <c r="J2890">
        <v>15</v>
      </c>
      <c r="K2890">
        <v>467354</v>
      </c>
      <c r="L2890">
        <v>50001</v>
      </c>
      <c r="M2890" t="s">
        <v>39</v>
      </c>
      <c r="N2890">
        <v>648</v>
      </c>
      <c r="O2890" s="2">
        <v>46234</v>
      </c>
      <c r="P2890" s="2">
        <v>46309</v>
      </c>
      <c r="R2890" t="s">
        <v>7732</v>
      </c>
      <c r="S2890" t="str">
        <f>"25666160000051770"</f>
        <v>25666160000051770</v>
      </c>
      <c r="T2890" t="s">
        <v>41</v>
      </c>
      <c r="U2890">
        <v>1671.83</v>
      </c>
      <c r="V2890">
        <v>1671.83</v>
      </c>
      <c r="W2890">
        <v>1671.83</v>
      </c>
      <c r="X2890">
        <v>0</v>
      </c>
      <c r="Y2890">
        <v>0</v>
      </c>
      <c r="Z2890">
        <v>-534</v>
      </c>
      <c r="AA2890">
        <v>4176</v>
      </c>
      <c r="AD2890" t="s">
        <v>6763</v>
      </c>
      <c r="AE2890" t="s">
        <v>7728</v>
      </c>
      <c r="AF2890" t="s">
        <v>6763</v>
      </c>
      <c r="AG2890">
        <v>49765404000165</v>
      </c>
      <c r="AH2890" t="s">
        <v>4609</v>
      </c>
    </row>
    <row r="2891" spans="1:34" x14ac:dyDescent="0.3">
      <c r="A2891">
        <v>101</v>
      </c>
      <c r="B2891" t="s">
        <v>34</v>
      </c>
      <c r="C2891">
        <v>2</v>
      </c>
      <c r="D2891" s="1" t="s">
        <v>7729</v>
      </c>
      <c r="E2891" s="1" t="s">
        <v>116</v>
      </c>
      <c r="G2891">
        <v>471140</v>
      </c>
      <c r="H2891" t="s">
        <v>7730</v>
      </c>
      <c r="I2891" t="s">
        <v>7731</v>
      </c>
      <c r="J2891">
        <v>15</v>
      </c>
      <c r="K2891">
        <v>467354</v>
      </c>
      <c r="L2891">
        <v>50001</v>
      </c>
      <c r="M2891" t="s">
        <v>39</v>
      </c>
      <c r="N2891">
        <v>648</v>
      </c>
      <c r="O2891" s="2">
        <v>46234</v>
      </c>
      <c r="P2891" s="2">
        <v>46324</v>
      </c>
      <c r="R2891" t="s">
        <v>7732</v>
      </c>
      <c r="S2891" t="str">
        <f>"25666160000051771"</f>
        <v>25666160000051771</v>
      </c>
      <c r="T2891" t="s">
        <v>41</v>
      </c>
      <c r="U2891">
        <v>1672.34</v>
      </c>
      <c r="V2891">
        <v>1672.34</v>
      </c>
      <c r="W2891">
        <v>1672.34</v>
      </c>
      <c r="X2891">
        <v>0</v>
      </c>
      <c r="Y2891">
        <v>0</v>
      </c>
      <c r="Z2891">
        <v>-549</v>
      </c>
      <c r="AA2891">
        <v>4176</v>
      </c>
      <c r="AD2891" t="s">
        <v>6763</v>
      </c>
      <c r="AE2891" t="s">
        <v>7728</v>
      </c>
      <c r="AF2891" t="s">
        <v>6763</v>
      </c>
      <c r="AG2891">
        <v>49765404000165</v>
      </c>
      <c r="AH2891" t="s">
        <v>4609</v>
      </c>
    </row>
    <row r="2892" spans="1:34" x14ac:dyDescent="0.3">
      <c r="A2892">
        <v>101</v>
      </c>
      <c r="B2892" t="s">
        <v>34</v>
      </c>
      <c r="C2892">
        <v>2</v>
      </c>
      <c r="D2892" s="1" t="s">
        <v>7733</v>
      </c>
      <c r="E2892" s="1" t="s">
        <v>116</v>
      </c>
      <c r="G2892">
        <v>450582</v>
      </c>
      <c r="H2892" t="s">
        <v>7734</v>
      </c>
      <c r="I2892" t="s">
        <v>7735</v>
      </c>
      <c r="J2892">
        <v>15</v>
      </c>
      <c r="K2892">
        <v>450582</v>
      </c>
      <c r="L2892">
        <v>50033</v>
      </c>
      <c r="M2892" t="s">
        <v>39</v>
      </c>
      <c r="N2892">
        <v>650</v>
      </c>
      <c r="O2892" s="2">
        <v>46232</v>
      </c>
      <c r="P2892" s="2">
        <v>46292</v>
      </c>
      <c r="R2892" t="s">
        <v>7736</v>
      </c>
      <c r="S2892" t="str">
        <f>"0000050411551"</f>
        <v>0000050411551</v>
      </c>
      <c r="T2892" t="s">
        <v>41</v>
      </c>
      <c r="U2892">
        <v>38765.78</v>
      </c>
      <c r="V2892">
        <v>36827.49</v>
      </c>
      <c r="W2892">
        <v>36827.49</v>
      </c>
      <c r="X2892">
        <v>0</v>
      </c>
      <c r="Y2892">
        <v>0</v>
      </c>
      <c r="Z2892">
        <v>-517</v>
      </c>
      <c r="AA2892">
        <v>1900</v>
      </c>
      <c r="AD2892" t="s">
        <v>7737</v>
      </c>
      <c r="AE2892" t="s">
        <v>7738</v>
      </c>
      <c r="AF2892" t="s">
        <v>7737</v>
      </c>
      <c r="AG2892">
        <v>10702065000132</v>
      </c>
      <c r="AH2892" t="s">
        <v>3024</v>
      </c>
    </row>
    <row r="2893" spans="1:34" x14ac:dyDescent="0.3">
      <c r="A2893">
        <v>101</v>
      </c>
      <c r="B2893" t="s">
        <v>34</v>
      </c>
      <c r="C2893">
        <v>2</v>
      </c>
      <c r="D2893" s="1" t="s">
        <v>7733</v>
      </c>
      <c r="E2893" s="1" t="s">
        <v>122</v>
      </c>
      <c r="G2893">
        <v>450582</v>
      </c>
      <c r="H2893" t="s">
        <v>7734</v>
      </c>
      <c r="I2893" t="s">
        <v>7735</v>
      </c>
      <c r="J2893">
        <v>15</v>
      </c>
      <c r="K2893">
        <v>450582</v>
      </c>
      <c r="L2893">
        <v>50033</v>
      </c>
      <c r="M2893" t="s">
        <v>39</v>
      </c>
      <c r="N2893">
        <v>650</v>
      </c>
      <c r="O2893" s="2">
        <v>46232</v>
      </c>
      <c r="P2893" s="2">
        <v>46277</v>
      </c>
      <c r="R2893" t="s">
        <v>7736</v>
      </c>
      <c r="S2893" t="str">
        <f>"0000050411543"</f>
        <v>0000050411543</v>
      </c>
      <c r="T2893" t="s">
        <v>41</v>
      </c>
      <c r="U2893">
        <v>38765.78</v>
      </c>
      <c r="V2893">
        <v>36827.49</v>
      </c>
      <c r="W2893">
        <v>36827.49</v>
      </c>
      <c r="X2893">
        <v>0</v>
      </c>
      <c r="Y2893">
        <v>0</v>
      </c>
      <c r="Z2893">
        <v>-502</v>
      </c>
      <c r="AA2893">
        <v>1900</v>
      </c>
      <c r="AD2893" t="s">
        <v>7737</v>
      </c>
      <c r="AE2893" t="s">
        <v>7738</v>
      </c>
      <c r="AF2893" t="s">
        <v>7737</v>
      </c>
      <c r="AG2893">
        <v>10702065000132</v>
      </c>
      <c r="AH2893" t="s">
        <v>3024</v>
      </c>
    </row>
    <row r="2894" spans="1:34" x14ac:dyDescent="0.3">
      <c r="A2894">
        <v>101</v>
      </c>
      <c r="B2894" t="s">
        <v>34</v>
      </c>
      <c r="C2894">
        <v>2</v>
      </c>
      <c r="D2894" s="1" t="s">
        <v>7733</v>
      </c>
      <c r="E2894" s="1" t="s">
        <v>4375</v>
      </c>
      <c r="G2894">
        <v>450582</v>
      </c>
      <c r="H2894" t="s">
        <v>7734</v>
      </c>
      <c r="I2894" t="s">
        <v>7735</v>
      </c>
      <c r="J2894">
        <v>15</v>
      </c>
      <c r="K2894">
        <v>450582</v>
      </c>
      <c r="L2894">
        <v>50033</v>
      </c>
      <c r="M2894" t="s">
        <v>39</v>
      </c>
      <c r="N2894">
        <v>650</v>
      </c>
      <c r="O2894" s="2">
        <v>46232</v>
      </c>
      <c r="P2894" s="2">
        <v>46307</v>
      </c>
      <c r="R2894" t="s">
        <v>7736</v>
      </c>
      <c r="S2894" t="str">
        <f>"0000050411560"</f>
        <v>0000050411560</v>
      </c>
      <c r="T2894" t="s">
        <v>41</v>
      </c>
      <c r="U2894">
        <v>38765.79</v>
      </c>
      <c r="V2894">
        <v>36827.5</v>
      </c>
      <c r="W2894">
        <v>36827.5</v>
      </c>
      <c r="X2894">
        <v>0</v>
      </c>
      <c r="Y2894">
        <v>0</v>
      </c>
      <c r="Z2894">
        <v>-532</v>
      </c>
      <c r="AA2894">
        <v>1900</v>
      </c>
      <c r="AD2894" t="s">
        <v>7737</v>
      </c>
      <c r="AE2894" t="s">
        <v>7738</v>
      </c>
      <c r="AF2894" t="s">
        <v>7737</v>
      </c>
      <c r="AG2894">
        <v>10702065000132</v>
      </c>
      <c r="AH2894" t="s">
        <v>3024</v>
      </c>
    </row>
    <row r="2895" spans="1:34" x14ac:dyDescent="0.3">
      <c r="A2895">
        <v>101</v>
      </c>
      <c r="B2895" t="s">
        <v>34</v>
      </c>
      <c r="C2895">
        <v>2</v>
      </c>
      <c r="D2895" s="1" t="s">
        <v>7733</v>
      </c>
      <c r="E2895" s="1" t="s">
        <v>36</v>
      </c>
      <c r="G2895">
        <v>450582</v>
      </c>
      <c r="H2895" t="s">
        <v>7734</v>
      </c>
      <c r="I2895" t="s">
        <v>7735</v>
      </c>
      <c r="J2895">
        <v>15</v>
      </c>
      <c r="K2895">
        <v>450582</v>
      </c>
      <c r="L2895">
        <v>50033</v>
      </c>
      <c r="M2895" t="s">
        <v>39</v>
      </c>
      <c r="N2895">
        <v>650</v>
      </c>
      <c r="O2895" s="2">
        <v>46232</v>
      </c>
      <c r="P2895" s="2">
        <v>46262</v>
      </c>
      <c r="R2895" t="s">
        <v>7736</v>
      </c>
      <c r="S2895" t="str">
        <f>"0000050411535"</f>
        <v>0000050411535</v>
      </c>
      <c r="T2895" t="s">
        <v>41</v>
      </c>
      <c r="U2895">
        <v>38998.44</v>
      </c>
      <c r="V2895">
        <v>37060.15</v>
      </c>
      <c r="W2895">
        <v>37060.15</v>
      </c>
      <c r="X2895">
        <v>0</v>
      </c>
      <c r="Y2895">
        <v>0</v>
      </c>
      <c r="Z2895">
        <v>-487</v>
      </c>
      <c r="AA2895">
        <v>1900</v>
      </c>
      <c r="AD2895" t="s">
        <v>7737</v>
      </c>
      <c r="AE2895" t="s">
        <v>7738</v>
      </c>
      <c r="AF2895" t="s">
        <v>7737</v>
      </c>
      <c r="AG2895">
        <v>10702065000132</v>
      </c>
      <c r="AH2895" t="s">
        <v>3024</v>
      </c>
    </row>
    <row r="2896" spans="1:34" x14ac:dyDescent="0.3">
      <c r="A2896">
        <v>101</v>
      </c>
      <c r="B2896" t="s">
        <v>34</v>
      </c>
      <c r="C2896">
        <v>2</v>
      </c>
      <c r="D2896" s="1" t="s">
        <v>7739</v>
      </c>
      <c r="E2896" s="1" t="s">
        <v>36</v>
      </c>
      <c r="G2896">
        <v>439402</v>
      </c>
      <c r="H2896" t="s">
        <v>7740</v>
      </c>
      <c r="I2896" t="s">
        <v>2413</v>
      </c>
      <c r="J2896">
        <v>28</v>
      </c>
      <c r="K2896">
        <v>2695</v>
      </c>
      <c r="L2896">
        <v>95000</v>
      </c>
      <c r="M2896" t="s">
        <v>69</v>
      </c>
      <c r="N2896">
        <v>651</v>
      </c>
      <c r="O2896" s="2">
        <v>46203</v>
      </c>
      <c r="P2896" s="2">
        <v>46329</v>
      </c>
      <c r="R2896" t="s">
        <v>7741</v>
      </c>
      <c r="S2896" t="str">
        <f>""</f>
        <v/>
      </c>
      <c r="T2896" t="s">
        <v>41</v>
      </c>
      <c r="U2896">
        <v>10354.040000000001</v>
      </c>
      <c r="V2896">
        <v>10240.15</v>
      </c>
      <c r="W2896">
        <v>10240.15</v>
      </c>
      <c r="X2896">
        <v>0</v>
      </c>
      <c r="Y2896">
        <v>0</v>
      </c>
      <c r="Z2896">
        <v>-554</v>
      </c>
      <c r="AA2896">
        <v>693420</v>
      </c>
      <c r="AD2896" t="s">
        <v>3022</v>
      </c>
      <c r="AE2896" t="s">
        <v>7742</v>
      </c>
      <c r="AF2896" t="s">
        <v>3022</v>
      </c>
      <c r="AG2896" s="1" t="s">
        <v>7743</v>
      </c>
      <c r="AH2896" t="s">
        <v>3024</v>
      </c>
    </row>
    <row r="2897" spans="1:34" x14ac:dyDescent="0.3">
      <c r="A2897">
        <v>101</v>
      </c>
      <c r="B2897" t="s">
        <v>34</v>
      </c>
      <c r="C2897">
        <v>2</v>
      </c>
      <c r="D2897" s="1" t="s">
        <v>7744</v>
      </c>
      <c r="E2897" s="1" t="s">
        <v>36</v>
      </c>
      <c r="G2897">
        <v>439402</v>
      </c>
      <c r="H2897" t="s">
        <v>7740</v>
      </c>
      <c r="I2897" t="s">
        <v>2413</v>
      </c>
      <c r="J2897">
        <v>28</v>
      </c>
      <c r="K2897">
        <v>2695</v>
      </c>
      <c r="L2897">
        <v>95000</v>
      </c>
      <c r="M2897" t="s">
        <v>69</v>
      </c>
      <c r="N2897">
        <v>651</v>
      </c>
      <c r="O2897" s="2">
        <v>46167</v>
      </c>
      <c r="P2897" s="2">
        <v>46286</v>
      </c>
      <c r="R2897" t="s">
        <v>7745</v>
      </c>
      <c r="S2897" t="str">
        <f>""</f>
        <v/>
      </c>
      <c r="T2897" t="s">
        <v>41</v>
      </c>
      <c r="U2897">
        <v>5527.2</v>
      </c>
      <c r="V2897">
        <v>5466.4</v>
      </c>
      <c r="W2897">
        <v>5466.4</v>
      </c>
      <c r="X2897">
        <v>0</v>
      </c>
      <c r="Y2897">
        <v>0</v>
      </c>
      <c r="Z2897">
        <v>-511</v>
      </c>
      <c r="AA2897">
        <v>688946</v>
      </c>
      <c r="AD2897" t="s">
        <v>3022</v>
      </c>
      <c r="AE2897" t="s">
        <v>7742</v>
      </c>
      <c r="AF2897" t="s">
        <v>3022</v>
      </c>
      <c r="AG2897" s="1" t="s">
        <v>7743</v>
      </c>
      <c r="AH2897" t="s">
        <v>3024</v>
      </c>
    </row>
    <row r="2898" spans="1:34" x14ac:dyDescent="0.3">
      <c r="A2898">
        <v>101</v>
      </c>
      <c r="B2898" t="s">
        <v>34</v>
      </c>
      <c r="C2898">
        <v>2</v>
      </c>
      <c r="D2898" s="1" t="s">
        <v>7746</v>
      </c>
      <c r="E2898" s="1" t="s">
        <v>36</v>
      </c>
      <c r="G2898">
        <v>439402</v>
      </c>
      <c r="H2898" t="s">
        <v>7740</v>
      </c>
      <c r="I2898" t="s">
        <v>2413</v>
      </c>
      <c r="J2898">
        <v>28</v>
      </c>
      <c r="K2898">
        <v>2695</v>
      </c>
      <c r="L2898">
        <v>95000</v>
      </c>
      <c r="M2898" t="s">
        <v>69</v>
      </c>
      <c r="N2898">
        <v>651</v>
      </c>
      <c r="O2898" s="2">
        <v>46141</v>
      </c>
      <c r="P2898" s="2">
        <v>46266</v>
      </c>
      <c r="R2898" t="s">
        <v>7747</v>
      </c>
      <c r="S2898" t="str">
        <f>""</f>
        <v/>
      </c>
      <c r="T2898" t="s">
        <v>41</v>
      </c>
      <c r="U2898">
        <v>40619.74</v>
      </c>
      <c r="V2898">
        <v>40172.92</v>
      </c>
      <c r="W2898">
        <v>40172.92</v>
      </c>
      <c r="X2898">
        <v>0</v>
      </c>
      <c r="Y2898">
        <v>0</v>
      </c>
      <c r="Z2898">
        <v>-491</v>
      </c>
      <c r="AA2898">
        <v>686975</v>
      </c>
      <c r="AD2898" t="s">
        <v>3022</v>
      </c>
      <c r="AE2898" t="s">
        <v>7742</v>
      </c>
      <c r="AF2898" t="s">
        <v>3022</v>
      </c>
      <c r="AG2898" s="1" t="s">
        <v>7743</v>
      </c>
      <c r="AH2898" t="s">
        <v>3024</v>
      </c>
    </row>
    <row r="2899" spans="1:34" x14ac:dyDescent="0.3">
      <c r="A2899">
        <v>101</v>
      </c>
      <c r="B2899" t="s">
        <v>34</v>
      </c>
      <c r="C2899">
        <v>2</v>
      </c>
      <c r="D2899" s="1" t="s">
        <v>7748</v>
      </c>
      <c r="E2899" s="1" t="s">
        <v>36</v>
      </c>
      <c r="G2899">
        <v>445693</v>
      </c>
      <c r="H2899" t="s">
        <v>7749</v>
      </c>
      <c r="I2899" t="s">
        <v>2413</v>
      </c>
      <c r="J2899">
        <v>28</v>
      </c>
      <c r="K2899">
        <v>2695</v>
      </c>
      <c r="L2899">
        <v>95000</v>
      </c>
      <c r="M2899" t="s">
        <v>69</v>
      </c>
      <c r="N2899">
        <v>651</v>
      </c>
      <c r="O2899" s="2">
        <v>46167</v>
      </c>
      <c r="P2899" s="2">
        <v>46286</v>
      </c>
      <c r="R2899" t="s">
        <v>7750</v>
      </c>
      <c r="S2899" t="str">
        <f>""</f>
        <v/>
      </c>
      <c r="T2899" t="s">
        <v>41</v>
      </c>
      <c r="U2899">
        <v>5527.2</v>
      </c>
      <c r="V2899">
        <v>5466.4</v>
      </c>
      <c r="W2899">
        <v>5466.4</v>
      </c>
      <c r="X2899">
        <v>0</v>
      </c>
      <c r="Y2899">
        <v>0</v>
      </c>
      <c r="Z2899">
        <v>-511</v>
      </c>
      <c r="AA2899">
        <v>688948</v>
      </c>
      <c r="AD2899" t="s">
        <v>3042</v>
      </c>
      <c r="AF2899" t="s">
        <v>3042</v>
      </c>
      <c r="AG2899" s="1" t="s">
        <v>7751</v>
      </c>
      <c r="AH2899" t="s">
        <v>3024</v>
      </c>
    </row>
    <row r="2900" spans="1:34" x14ac:dyDescent="0.3">
      <c r="A2900">
        <v>101</v>
      </c>
      <c r="B2900" t="s">
        <v>34</v>
      </c>
      <c r="C2900">
        <v>2</v>
      </c>
      <c r="D2900" s="1" t="s">
        <v>7752</v>
      </c>
      <c r="E2900" s="1" t="s">
        <v>36</v>
      </c>
      <c r="G2900">
        <v>445693</v>
      </c>
      <c r="H2900" t="s">
        <v>7749</v>
      </c>
      <c r="I2900" t="s">
        <v>2413</v>
      </c>
      <c r="J2900">
        <v>28</v>
      </c>
      <c r="K2900">
        <v>2695</v>
      </c>
      <c r="L2900">
        <v>95000</v>
      </c>
      <c r="M2900" t="s">
        <v>69</v>
      </c>
      <c r="N2900">
        <v>651</v>
      </c>
      <c r="O2900" s="2">
        <v>46127</v>
      </c>
      <c r="P2900" s="2">
        <v>46255</v>
      </c>
      <c r="R2900" t="s">
        <v>7753</v>
      </c>
      <c r="S2900" t="str">
        <f>""</f>
        <v/>
      </c>
      <c r="T2900" t="s">
        <v>41</v>
      </c>
      <c r="U2900">
        <v>3916.75</v>
      </c>
      <c r="V2900">
        <v>3873.67</v>
      </c>
      <c r="W2900">
        <v>3873.67</v>
      </c>
      <c r="X2900">
        <v>0</v>
      </c>
      <c r="Y2900">
        <v>0</v>
      </c>
      <c r="Z2900">
        <v>-480</v>
      </c>
      <c r="AA2900">
        <v>684624</v>
      </c>
      <c r="AD2900" t="s">
        <v>3042</v>
      </c>
      <c r="AF2900" t="s">
        <v>3042</v>
      </c>
      <c r="AG2900" s="1" t="s">
        <v>7751</v>
      </c>
      <c r="AH2900" t="s">
        <v>3024</v>
      </c>
    </row>
    <row r="2901" spans="1:34" x14ac:dyDescent="0.3">
      <c r="A2901">
        <v>101</v>
      </c>
      <c r="B2901" t="s">
        <v>34</v>
      </c>
      <c r="C2901">
        <v>2</v>
      </c>
      <c r="D2901" s="1" t="s">
        <v>7754</v>
      </c>
      <c r="E2901" s="1" t="s">
        <v>36</v>
      </c>
      <c r="G2901">
        <v>445693</v>
      </c>
      <c r="H2901" t="s">
        <v>7749</v>
      </c>
      <c r="I2901" t="s">
        <v>2413</v>
      </c>
      <c r="J2901">
        <v>28</v>
      </c>
      <c r="K2901">
        <v>2695</v>
      </c>
      <c r="L2901">
        <v>95000</v>
      </c>
      <c r="M2901" t="s">
        <v>69</v>
      </c>
      <c r="N2901">
        <v>651</v>
      </c>
      <c r="O2901" s="2">
        <v>46141</v>
      </c>
      <c r="P2901" s="2">
        <v>46266</v>
      </c>
      <c r="R2901" t="s">
        <v>7755</v>
      </c>
      <c r="S2901" t="str">
        <f>""</f>
        <v/>
      </c>
      <c r="T2901" t="s">
        <v>41</v>
      </c>
      <c r="U2901">
        <v>12538.99</v>
      </c>
      <c r="V2901">
        <v>12172.51</v>
      </c>
      <c r="W2901">
        <v>12172.51</v>
      </c>
      <c r="X2901">
        <v>0</v>
      </c>
      <c r="Y2901">
        <v>0</v>
      </c>
      <c r="Z2901">
        <v>-491</v>
      </c>
      <c r="AA2901">
        <v>686977</v>
      </c>
      <c r="AD2901" t="s">
        <v>3042</v>
      </c>
      <c r="AF2901" t="s">
        <v>3042</v>
      </c>
      <c r="AG2901" s="1" t="s">
        <v>7751</v>
      </c>
      <c r="AH2901" t="s">
        <v>3024</v>
      </c>
    </row>
    <row r="2902" spans="1:34" x14ac:dyDescent="0.3">
      <c r="A2902">
        <v>101</v>
      </c>
      <c r="B2902" t="s">
        <v>34</v>
      </c>
      <c r="C2902">
        <v>2</v>
      </c>
      <c r="D2902" s="1" t="s">
        <v>7756</v>
      </c>
      <c r="E2902" s="1" t="s">
        <v>36</v>
      </c>
      <c r="G2902">
        <v>445693</v>
      </c>
      <c r="H2902" t="s">
        <v>7749</v>
      </c>
      <c r="I2902" t="s">
        <v>2413</v>
      </c>
      <c r="J2902">
        <v>28</v>
      </c>
      <c r="K2902">
        <v>2695</v>
      </c>
      <c r="L2902">
        <v>95000</v>
      </c>
      <c r="M2902" t="s">
        <v>69</v>
      </c>
      <c r="N2902">
        <v>651</v>
      </c>
      <c r="O2902" s="2">
        <v>46203</v>
      </c>
      <c r="P2902" s="2">
        <v>46329</v>
      </c>
      <c r="R2902" t="s">
        <v>7757</v>
      </c>
      <c r="S2902" t="str">
        <f>""</f>
        <v/>
      </c>
      <c r="T2902" t="s">
        <v>41</v>
      </c>
      <c r="U2902">
        <v>13303.97</v>
      </c>
      <c r="V2902">
        <v>13157.63</v>
      </c>
      <c r="W2902">
        <v>13157.63</v>
      </c>
      <c r="X2902">
        <v>0</v>
      </c>
      <c r="Y2902">
        <v>0</v>
      </c>
      <c r="Z2902">
        <v>-554</v>
      </c>
      <c r="AA2902">
        <v>693422</v>
      </c>
      <c r="AD2902" t="s">
        <v>3042</v>
      </c>
      <c r="AF2902" t="s">
        <v>3042</v>
      </c>
      <c r="AG2902" s="1" t="s">
        <v>7751</v>
      </c>
      <c r="AH2902" t="s">
        <v>3024</v>
      </c>
    </row>
    <row r="2903" spans="1:34" x14ac:dyDescent="0.3">
      <c r="A2903">
        <v>101</v>
      </c>
      <c r="B2903" t="s">
        <v>34</v>
      </c>
      <c r="C2903">
        <v>2</v>
      </c>
      <c r="D2903" s="1" t="s">
        <v>7758</v>
      </c>
      <c r="E2903" s="1" t="s">
        <v>36</v>
      </c>
      <c r="G2903">
        <v>451054</v>
      </c>
      <c r="H2903" t="s">
        <v>7759</v>
      </c>
      <c r="I2903" t="s">
        <v>2413</v>
      </c>
      <c r="J2903">
        <v>28</v>
      </c>
      <c r="K2903">
        <v>2695</v>
      </c>
      <c r="L2903">
        <v>95000</v>
      </c>
      <c r="M2903" t="s">
        <v>69</v>
      </c>
      <c r="N2903">
        <v>651</v>
      </c>
      <c r="O2903" s="2">
        <v>46203</v>
      </c>
      <c r="P2903" s="2">
        <v>46329</v>
      </c>
      <c r="R2903" t="s">
        <v>7760</v>
      </c>
      <c r="S2903" t="str">
        <f>""</f>
        <v/>
      </c>
      <c r="T2903" t="s">
        <v>41</v>
      </c>
      <c r="U2903">
        <v>5382.86</v>
      </c>
      <c r="V2903">
        <v>5323.65</v>
      </c>
      <c r="W2903">
        <v>5323.65</v>
      </c>
      <c r="X2903">
        <v>0</v>
      </c>
      <c r="Y2903">
        <v>0</v>
      </c>
      <c r="Z2903">
        <v>-554</v>
      </c>
      <c r="AA2903">
        <v>693424</v>
      </c>
      <c r="AD2903" t="s">
        <v>6538</v>
      </c>
      <c r="AE2903" t="s">
        <v>2533</v>
      </c>
      <c r="AF2903" t="s">
        <v>6538</v>
      </c>
      <c r="AG2903" s="1" t="s">
        <v>7761</v>
      </c>
      <c r="AH2903" t="s">
        <v>3024</v>
      </c>
    </row>
    <row r="2904" spans="1:34" x14ac:dyDescent="0.3">
      <c r="A2904">
        <v>101</v>
      </c>
      <c r="B2904" t="s">
        <v>34</v>
      </c>
      <c r="C2904">
        <v>2</v>
      </c>
      <c r="D2904" s="1" t="s">
        <v>7762</v>
      </c>
      <c r="E2904" s="1" t="s">
        <v>36</v>
      </c>
      <c r="G2904">
        <v>451054</v>
      </c>
      <c r="H2904" t="s">
        <v>7759</v>
      </c>
      <c r="I2904" t="s">
        <v>2413</v>
      </c>
      <c r="J2904">
        <v>28</v>
      </c>
      <c r="K2904">
        <v>2695</v>
      </c>
      <c r="L2904">
        <v>95000</v>
      </c>
      <c r="M2904" t="s">
        <v>69</v>
      </c>
      <c r="N2904">
        <v>651</v>
      </c>
      <c r="O2904" s="2">
        <v>46127</v>
      </c>
      <c r="P2904" s="2">
        <v>46266</v>
      </c>
      <c r="R2904" t="s">
        <v>7763</v>
      </c>
      <c r="S2904" t="str">
        <f>""</f>
        <v/>
      </c>
      <c r="T2904" t="s">
        <v>41</v>
      </c>
      <c r="U2904">
        <v>5307.35</v>
      </c>
      <c r="V2904">
        <v>5248.97</v>
      </c>
      <c r="W2904">
        <v>5248.97</v>
      </c>
      <c r="X2904">
        <v>0</v>
      </c>
      <c r="Y2904">
        <v>0</v>
      </c>
      <c r="Z2904">
        <v>-491</v>
      </c>
      <c r="AA2904">
        <v>684626</v>
      </c>
      <c r="AD2904" t="s">
        <v>6538</v>
      </c>
      <c r="AE2904" t="s">
        <v>2533</v>
      </c>
      <c r="AF2904" t="s">
        <v>6538</v>
      </c>
      <c r="AG2904" s="1" t="s">
        <v>7761</v>
      </c>
      <c r="AH2904" t="s">
        <v>3024</v>
      </c>
    </row>
    <row r="2905" spans="1:34" x14ac:dyDescent="0.3">
      <c r="A2905">
        <v>101</v>
      </c>
      <c r="B2905" t="s">
        <v>34</v>
      </c>
      <c r="C2905">
        <v>2</v>
      </c>
      <c r="D2905" s="1" t="s">
        <v>7764</v>
      </c>
      <c r="E2905" s="1" t="s">
        <v>36</v>
      </c>
      <c r="G2905">
        <v>451054</v>
      </c>
      <c r="H2905" t="s">
        <v>7759</v>
      </c>
      <c r="I2905" t="s">
        <v>2413</v>
      </c>
      <c r="J2905">
        <v>28</v>
      </c>
      <c r="K2905">
        <v>2695</v>
      </c>
      <c r="L2905">
        <v>95000</v>
      </c>
      <c r="M2905" t="s">
        <v>69</v>
      </c>
      <c r="N2905">
        <v>651</v>
      </c>
      <c r="O2905" s="2">
        <v>46141</v>
      </c>
      <c r="P2905" s="2">
        <v>46255</v>
      </c>
      <c r="R2905" t="s">
        <v>7765</v>
      </c>
      <c r="S2905" t="str">
        <f>""</f>
        <v/>
      </c>
      <c r="T2905" t="s">
        <v>41</v>
      </c>
      <c r="U2905">
        <v>13025.18</v>
      </c>
      <c r="V2905">
        <v>12787.07</v>
      </c>
      <c r="W2905">
        <v>12787.07</v>
      </c>
      <c r="X2905">
        <v>0</v>
      </c>
      <c r="Y2905">
        <v>0</v>
      </c>
      <c r="Z2905">
        <v>-480</v>
      </c>
      <c r="AA2905">
        <v>686979</v>
      </c>
      <c r="AD2905" t="s">
        <v>6538</v>
      </c>
      <c r="AE2905" t="s">
        <v>2533</v>
      </c>
      <c r="AF2905" t="s">
        <v>6538</v>
      </c>
      <c r="AG2905" s="1" t="s">
        <v>7761</v>
      </c>
      <c r="AH2905" t="s">
        <v>3024</v>
      </c>
    </row>
    <row r="2906" spans="1:34" x14ac:dyDescent="0.3">
      <c r="A2906">
        <v>101</v>
      </c>
      <c r="B2906" t="s">
        <v>34</v>
      </c>
      <c r="C2906">
        <v>2</v>
      </c>
      <c r="D2906" s="1" t="s">
        <v>7766</v>
      </c>
      <c r="E2906" s="1" t="s">
        <v>36</v>
      </c>
      <c r="G2906">
        <v>451054</v>
      </c>
      <c r="H2906" t="s">
        <v>7759</v>
      </c>
      <c r="I2906" t="s">
        <v>2413</v>
      </c>
      <c r="J2906">
        <v>28</v>
      </c>
      <c r="K2906">
        <v>2695</v>
      </c>
      <c r="L2906">
        <v>95000</v>
      </c>
      <c r="M2906" t="s">
        <v>69</v>
      </c>
      <c r="N2906">
        <v>651</v>
      </c>
      <c r="O2906" s="2">
        <v>46167</v>
      </c>
      <c r="P2906" s="2">
        <v>46286</v>
      </c>
      <c r="R2906" t="s">
        <v>7767</v>
      </c>
      <c r="S2906" t="str">
        <f>""</f>
        <v/>
      </c>
      <c r="T2906" t="s">
        <v>41</v>
      </c>
      <c r="U2906">
        <v>5527.2</v>
      </c>
      <c r="V2906">
        <v>5466.4</v>
      </c>
      <c r="W2906">
        <v>5466.4</v>
      </c>
      <c r="X2906">
        <v>0</v>
      </c>
      <c r="Y2906">
        <v>0</v>
      </c>
      <c r="Z2906">
        <v>-511</v>
      </c>
      <c r="AA2906">
        <v>688950</v>
      </c>
      <c r="AD2906" t="s">
        <v>6538</v>
      </c>
      <c r="AE2906" t="s">
        <v>2533</v>
      </c>
      <c r="AF2906" t="s">
        <v>6538</v>
      </c>
      <c r="AG2906" s="1" t="s">
        <v>7761</v>
      </c>
      <c r="AH2906" t="s">
        <v>3024</v>
      </c>
    </row>
    <row r="2907" spans="1:34" x14ac:dyDescent="0.3">
      <c r="A2907">
        <v>101</v>
      </c>
      <c r="B2907" t="s">
        <v>34</v>
      </c>
      <c r="C2907">
        <v>2</v>
      </c>
      <c r="D2907" s="1" t="s">
        <v>7768</v>
      </c>
      <c r="E2907" s="1" t="s">
        <v>36</v>
      </c>
      <c r="G2907">
        <v>451822</v>
      </c>
      <c r="H2907" t="s">
        <v>7769</v>
      </c>
      <c r="I2907" t="s">
        <v>2413</v>
      </c>
      <c r="J2907">
        <v>28</v>
      </c>
      <c r="K2907">
        <v>2695</v>
      </c>
      <c r="L2907">
        <v>95000</v>
      </c>
      <c r="M2907" t="s">
        <v>69</v>
      </c>
      <c r="N2907">
        <v>651</v>
      </c>
      <c r="O2907" s="2">
        <v>46142</v>
      </c>
      <c r="P2907" s="2">
        <v>46266</v>
      </c>
      <c r="R2907" t="s">
        <v>7770</v>
      </c>
      <c r="S2907" t="str">
        <f>""</f>
        <v/>
      </c>
      <c r="T2907" t="s">
        <v>41</v>
      </c>
      <c r="U2907">
        <v>44882.31</v>
      </c>
      <c r="V2907">
        <v>44388.6</v>
      </c>
      <c r="W2907">
        <v>44388.6</v>
      </c>
      <c r="X2907">
        <v>0</v>
      </c>
      <c r="Y2907">
        <v>0</v>
      </c>
      <c r="Z2907">
        <v>-491</v>
      </c>
      <c r="AA2907">
        <v>686983</v>
      </c>
      <c r="AD2907" t="s">
        <v>6417</v>
      </c>
      <c r="AE2907" t="s">
        <v>7771</v>
      </c>
      <c r="AF2907" t="s">
        <v>6417</v>
      </c>
      <c r="AG2907" s="1" t="s">
        <v>7772</v>
      </c>
      <c r="AH2907" t="s">
        <v>6419</v>
      </c>
    </row>
    <row r="2908" spans="1:34" x14ac:dyDescent="0.3">
      <c r="A2908">
        <v>101</v>
      </c>
      <c r="B2908" t="s">
        <v>34</v>
      </c>
      <c r="C2908">
        <v>2</v>
      </c>
      <c r="D2908" s="1" t="s">
        <v>7773</v>
      </c>
      <c r="E2908" s="1" t="s">
        <v>36</v>
      </c>
      <c r="G2908">
        <v>451822</v>
      </c>
      <c r="H2908" t="s">
        <v>7769</v>
      </c>
      <c r="I2908" t="s">
        <v>2413</v>
      </c>
      <c r="J2908">
        <v>28</v>
      </c>
      <c r="K2908">
        <v>2695</v>
      </c>
      <c r="L2908">
        <v>95000</v>
      </c>
      <c r="M2908" t="s">
        <v>69</v>
      </c>
      <c r="N2908">
        <v>651</v>
      </c>
      <c r="O2908" s="2">
        <v>46167</v>
      </c>
      <c r="P2908" s="2">
        <v>46296</v>
      </c>
      <c r="R2908" t="s">
        <v>7774</v>
      </c>
      <c r="S2908" t="str">
        <f>""</f>
        <v/>
      </c>
      <c r="T2908" t="s">
        <v>41</v>
      </c>
      <c r="U2908">
        <v>5140.3</v>
      </c>
      <c r="V2908">
        <v>5083.76</v>
      </c>
      <c r="W2908">
        <v>5083.76</v>
      </c>
      <c r="X2908">
        <v>0</v>
      </c>
      <c r="Y2908">
        <v>0</v>
      </c>
      <c r="Z2908">
        <v>-521</v>
      </c>
      <c r="AA2908">
        <v>688954</v>
      </c>
      <c r="AD2908" t="s">
        <v>6417</v>
      </c>
      <c r="AE2908" t="s">
        <v>7771</v>
      </c>
      <c r="AF2908" t="s">
        <v>6417</v>
      </c>
      <c r="AG2908" s="1" t="s">
        <v>7772</v>
      </c>
      <c r="AH2908" t="s">
        <v>6419</v>
      </c>
    </row>
    <row r="2909" spans="1:34" x14ac:dyDescent="0.3">
      <c r="A2909">
        <v>101</v>
      </c>
      <c r="B2909" t="s">
        <v>34</v>
      </c>
      <c r="C2909">
        <v>2</v>
      </c>
      <c r="D2909" s="1" t="s">
        <v>7775</v>
      </c>
      <c r="E2909" s="1" t="s">
        <v>36</v>
      </c>
      <c r="G2909">
        <v>451822</v>
      </c>
      <c r="H2909" t="s">
        <v>7769</v>
      </c>
      <c r="I2909" t="s">
        <v>2413</v>
      </c>
      <c r="J2909">
        <v>28</v>
      </c>
      <c r="K2909">
        <v>2695</v>
      </c>
      <c r="L2909">
        <v>95000</v>
      </c>
      <c r="M2909" t="s">
        <v>69</v>
      </c>
      <c r="N2909">
        <v>651</v>
      </c>
      <c r="O2909" s="2">
        <v>46112</v>
      </c>
      <c r="P2909" s="2">
        <v>46266</v>
      </c>
      <c r="R2909" t="s">
        <v>7776</v>
      </c>
      <c r="S2909" t="str">
        <f>""</f>
        <v/>
      </c>
      <c r="T2909" t="s">
        <v>41</v>
      </c>
      <c r="U2909">
        <v>39577.29</v>
      </c>
      <c r="V2909">
        <v>39141.94</v>
      </c>
      <c r="W2909">
        <v>39141.94</v>
      </c>
      <c r="X2909">
        <v>0</v>
      </c>
      <c r="Y2909">
        <v>0</v>
      </c>
      <c r="Z2909">
        <v>-491</v>
      </c>
      <c r="AA2909">
        <v>684630</v>
      </c>
      <c r="AD2909" t="s">
        <v>6417</v>
      </c>
      <c r="AE2909" t="s">
        <v>7771</v>
      </c>
      <c r="AF2909" t="s">
        <v>6417</v>
      </c>
      <c r="AG2909" s="1" t="s">
        <v>7772</v>
      </c>
      <c r="AH2909" t="s">
        <v>6419</v>
      </c>
    </row>
    <row r="2910" spans="1:34" x14ac:dyDescent="0.3">
      <c r="A2910">
        <v>101</v>
      </c>
      <c r="B2910" t="s">
        <v>34</v>
      </c>
      <c r="C2910">
        <v>2</v>
      </c>
      <c r="D2910" s="1" t="s">
        <v>7777</v>
      </c>
      <c r="E2910" s="1" t="s">
        <v>36</v>
      </c>
      <c r="G2910">
        <v>451822</v>
      </c>
      <c r="H2910" t="s">
        <v>7769</v>
      </c>
      <c r="I2910" t="s">
        <v>2413</v>
      </c>
      <c r="J2910">
        <v>28</v>
      </c>
      <c r="K2910">
        <v>2695</v>
      </c>
      <c r="L2910">
        <v>95000</v>
      </c>
      <c r="M2910" t="s">
        <v>69</v>
      </c>
      <c r="N2910">
        <v>651</v>
      </c>
      <c r="O2910" s="2">
        <v>46255</v>
      </c>
      <c r="P2910" s="2">
        <v>46345</v>
      </c>
      <c r="R2910" t="s">
        <v>7778</v>
      </c>
      <c r="S2910" t="str">
        <f>""</f>
        <v/>
      </c>
      <c r="T2910" t="s">
        <v>41</v>
      </c>
      <c r="U2910">
        <v>14912.08</v>
      </c>
      <c r="V2910">
        <v>14748.05</v>
      </c>
      <c r="W2910">
        <v>14748.05</v>
      </c>
      <c r="X2910">
        <v>0</v>
      </c>
      <c r="Y2910">
        <v>0</v>
      </c>
      <c r="Z2910">
        <v>-570</v>
      </c>
      <c r="AA2910">
        <v>697108</v>
      </c>
      <c r="AD2910" t="s">
        <v>6417</v>
      </c>
      <c r="AE2910" t="s">
        <v>7771</v>
      </c>
      <c r="AF2910" t="s">
        <v>6417</v>
      </c>
      <c r="AG2910" s="1" t="s">
        <v>7772</v>
      </c>
      <c r="AH2910" t="s">
        <v>6419</v>
      </c>
    </row>
    <row r="2911" spans="1:34" x14ac:dyDescent="0.3">
      <c r="A2911">
        <v>101</v>
      </c>
      <c r="B2911" t="s">
        <v>34</v>
      </c>
      <c r="C2911">
        <v>2</v>
      </c>
      <c r="D2911" s="1" t="s">
        <v>7779</v>
      </c>
      <c r="E2911" s="1" t="s">
        <v>36</v>
      </c>
      <c r="G2911">
        <v>451859</v>
      </c>
      <c r="H2911" t="s">
        <v>7780</v>
      </c>
      <c r="I2911" t="s">
        <v>2413</v>
      </c>
      <c r="J2911">
        <v>28</v>
      </c>
      <c r="K2911">
        <v>2695</v>
      </c>
      <c r="L2911">
        <v>95000</v>
      </c>
      <c r="M2911" t="s">
        <v>69</v>
      </c>
      <c r="N2911">
        <v>651</v>
      </c>
      <c r="O2911" s="2">
        <v>46127</v>
      </c>
      <c r="P2911" s="2">
        <v>46255</v>
      </c>
      <c r="R2911" t="s">
        <v>7781</v>
      </c>
      <c r="S2911" t="str">
        <f>""</f>
        <v/>
      </c>
      <c r="T2911" t="s">
        <v>41</v>
      </c>
      <c r="U2911">
        <v>3118.25</v>
      </c>
      <c r="V2911">
        <v>3083.95</v>
      </c>
      <c r="W2911">
        <v>3083.95</v>
      </c>
      <c r="X2911">
        <v>0</v>
      </c>
      <c r="Y2911">
        <v>0</v>
      </c>
      <c r="Z2911">
        <v>-480</v>
      </c>
      <c r="AA2911">
        <v>684628</v>
      </c>
      <c r="AD2911" t="s">
        <v>7737</v>
      </c>
      <c r="AE2911" t="s">
        <v>7782</v>
      </c>
      <c r="AF2911" t="s">
        <v>7737</v>
      </c>
      <c r="AG2911" s="1" t="s">
        <v>7783</v>
      </c>
      <c r="AH2911" t="s">
        <v>3024</v>
      </c>
    </row>
    <row r="2912" spans="1:34" x14ac:dyDescent="0.3">
      <c r="A2912">
        <v>101</v>
      </c>
      <c r="B2912" t="s">
        <v>34</v>
      </c>
      <c r="C2912">
        <v>2</v>
      </c>
      <c r="D2912" s="1" t="s">
        <v>7784</v>
      </c>
      <c r="E2912" s="1" t="s">
        <v>36</v>
      </c>
      <c r="G2912">
        <v>451859</v>
      </c>
      <c r="H2912" t="s">
        <v>7780</v>
      </c>
      <c r="I2912" t="s">
        <v>2413</v>
      </c>
      <c r="J2912">
        <v>28</v>
      </c>
      <c r="K2912">
        <v>2695</v>
      </c>
      <c r="L2912">
        <v>95000</v>
      </c>
      <c r="M2912" t="s">
        <v>69</v>
      </c>
      <c r="N2912">
        <v>651</v>
      </c>
      <c r="O2912" s="2">
        <v>46141</v>
      </c>
      <c r="P2912" s="2">
        <v>46266</v>
      </c>
      <c r="R2912" t="s">
        <v>7785</v>
      </c>
      <c r="S2912" t="str">
        <f>""</f>
        <v/>
      </c>
      <c r="T2912" t="s">
        <v>41</v>
      </c>
      <c r="U2912">
        <v>31403.279999999999</v>
      </c>
      <c r="V2912">
        <v>31057.84</v>
      </c>
      <c r="W2912">
        <v>31057.84</v>
      </c>
      <c r="X2912">
        <v>0</v>
      </c>
      <c r="Y2912">
        <v>0</v>
      </c>
      <c r="Z2912">
        <v>-491</v>
      </c>
      <c r="AA2912">
        <v>686981</v>
      </c>
      <c r="AD2912" t="s">
        <v>7737</v>
      </c>
      <c r="AE2912" t="s">
        <v>7782</v>
      </c>
      <c r="AF2912" t="s">
        <v>7737</v>
      </c>
      <c r="AG2912" s="1" t="s">
        <v>7783</v>
      </c>
      <c r="AH2912" t="s">
        <v>3024</v>
      </c>
    </row>
    <row r="2913" spans="1:34" x14ac:dyDescent="0.3">
      <c r="A2913">
        <v>101</v>
      </c>
      <c r="B2913" t="s">
        <v>34</v>
      </c>
      <c r="C2913">
        <v>2</v>
      </c>
      <c r="D2913" s="1" t="s">
        <v>7786</v>
      </c>
      <c r="E2913" s="1" t="s">
        <v>36</v>
      </c>
      <c r="G2913">
        <v>451859</v>
      </c>
      <c r="H2913" t="s">
        <v>7780</v>
      </c>
      <c r="I2913" t="s">
        <v>2413</v>
      </c>
      <c r="J2913">
        <v>28</v>
      </c>
      <c r="K2913">
        <v>2695</v>
      </c>
      <c r="L2913">
        <v>95000</v>
      </c>
      <c r="M2913" t="s">
        <v>69</v>
      </c>
      <c r="N2913">
        <v>651</v>
      </c>
      <c r="O2913" s="2">
        <v>46167</v>
      </c>
      <c r="P2913" s="2">
        <v>46286</v>
      </c>
      <c r="R2913" t="s">
        <v>7787</v>
      </c>
      <c r="S2913" t="str">
        <f>""</f>
        <v/>
      </c>
      <c r="T2913" t="s">
        <v>41</v>
      </c>
      <c r="U2913">
        <v>5527.2</v>
      </c>
      <c r="V2913">
        <v>5466.4</v>
      </c>
      <c r="W2913">
        <v>5466.4</v>
      </c>
      <c r="X2913">
        <v>0</v>
      </c>
      <c r="Y2913">
        <v>0</v>
      </c>
      <c r="Z2913">
        <v>-511</v>
      </c>
      <c r="AA2913">
        <v>688952</v>
      </c>
      <c r="AD2913" t="s">
        <v>7737</v>
      </c>
      <c r="AE2913" t="s">
        <v>7782</v>
      </c>
      <c r="AF2913" t="s">
        <v>7737</v>
      </c>
      <c r="AG2913" s="1" t="s">
        <v>7783</v>
      </c>
      <c r="AH2913" t="s">
        <v>3024</v>
      </c>
    </row>
    <row r="2914" spans="1:34" x14ac:dyDescent="0.3">
      <c r="A2914">
        <v>101</v>
      </c>
      <c r="B2914" t="s">
        <v>34</v>
      </c>
      <c r="C2914">
        <v>2</v>
      </c>
      <c r="D2914" s="1" t="s">
        <v>7788</v>
      </c>
      <c r="E2914" s="1" t="s">
        <v>36</v>
      </c>
      <c r="G2914">
        <v>451859</v>
      </c>
      <c r="H2914" t="s">
        <v>7780</v>
      </c>
      <c r="I2914" t="s">
        <v>2413</v>
      </c>
      <c r="J2914">
        <v>28</v>
      </c>
      <c r="K2914">
        <v>2695</v>
      </c>
      <c r="L2914">
        <v>95000</v>
      </c>
      <c r="M2914" t="s">
        <v>69</v>
      </c>
      <c r="N2914">
        <v>651</v>
      </c>
      <c r="O2914" s="2">
        <v>46203</v>
      </c>
      <c r="P2914" s="2">
        <v>46329</v>
      </c>
      <c r="R2914" t="s">
        <v>7789</v>
      </c>
      <c r="S2914" t="str">
        <f>""</f>
        <v/>
      </c>
      <c r="T2914" t="s">
        <v>41</v>
      </c>
      <c r="U2914">
        <v>14584.69</v>
      </c>
      <c r="V2914">
        <v>14305.12</v>
      </c>
      <c r="W2914">
        <v>14305.12</v>
      </c>
      <c r="X2914">
        <v>0</v>
      </c>
      <c r="Y2914">
        <v>0</v>
      </c>
      <c r="Z2914">
        <v>-554</v>
      </c>
      <c r="AA2914">
        <v>693426</v>
      </c>
      <c r="AD2914" t="s">
        <v>7737</v>
      </c>
      <c r="AE2914" t="s">
        <v>7782</v>
      </c>
      <c r="AF2914" t="s">
        <v>7737</v>
      </c>
      <c r="AG2914" s="1" t="s">
        <v>7783</v>
      </c>
      <c r="AH2914" t="s">
        <v>3024</v>
      </c>
    </row>
    <row r="2915" spans="1:34" x14ac:dyDescent="0.3">
      <c r="A2915">
        <v>101</v>
      </c>
      <c r="B2915" t="s">
        <v>34</v>
      </c>
      <c r="C2915">
        <v>2</v>
      </c>
      <c r="D2915" s="1" t="s">
        <v>7790</v>
      </c>
      <c r="E2915" s="1" t="s">
        <v>36</v>
      </c>
      <c r="G2915">
        <v>452056</v>
      </c>
      <c r="H2915" t="s">
        <v>7791</v>
      </c>
      <c r="I2915" t="s">
        <v>2413</v>
      </c>
      <c r="J2915">
        <v>28</v>
      </c>
      <c r="K2915">
        <v>2695</v>
      </c>
      <c r="L2915">
        <v>95000</v>
      </c>
      <c r="M2915" t="s">
        <v>69</v>
      </c>
      <c r="N2915">
        <v>651</v>
      </c>
      <c r="O2915" s="2">
        <v>46203</v>
      </c>
      <c r="P2915" s="2">
        <v>46329</v>
      </c>
      <c r="R2915" t="s">
        <v>7792</v>
      </c>
      <c r="S2915" t="str">
        <f>""</f>
        <v/>
      </c>
      <c r="T2915" t="s">
        <v>41</v>
      </c>
      <c r="U2915">
        <v>26535.58</v>
      </c>
      <c r="V2915">
        <v>26039.45</v>
      </c>
      <c r="W2915">
        <v>26039.45</v>
      </c>
      <c r="X2915">
        <v>0</v>
      </c>
      <c r="Y2915">
        <v>0</v>
      </c>
      <c r="Z2915">
        <v>-554</v>
      </c>
      <c r="AA2915">
        <v>693428</v>
      </c>
      <c r="AD2915" t="s">
        <v>5440</v>
      </c>
      <c r="AE2915" t="s">
        <v>2567</v>
      </c>
      <c r="AF2915" t="s">
        <v>5440</v>
      </c>
      <c r="AG2915" s="1" t="s">
        <v>7793</v>
      </c>
      <c r="AH2915" t="s">
        <v>3024</v>
      </c>
    </row>
    <row r="2916" spans="1:34" x14ac:dyDescent="0.3">
      <c r="A2916">
        <v>101</v>
      </c>
      <c r="B2916" t="s">
        <v>34</v>
      </c>
      <c r="C2916">
        <v>2</v>
      </c>
      <c r="D2916" s="1" t="s">
        <v>7794</v>
      </c>
      <c r="E2916" s="1" t="s">
        <v>36</v>
      </c>
      <c r="G2916">
        <v>452056</v>
      </c>
      <c r="H2916" t="s">
        <v>7791</v>
      </c>
      <c r="I2916" t="s">
        <v>2413</v>
      </c>
      <c r="J2916">
        <v>28</v>
      </c>
      <c r="K2916">
        <v>2695</v>
      </c>
      <c r="L2916">
        <v>95000</v>
      </c>
      <c r="M2916" t="s">
        <v>69</v>
      </c>
      <c r="N2916">
        <v>651</v>
      </c>
      <c r="O2916" s="2">
        <v>46127</v>
      </c>
      <c r="P2916" s="2">
        <v>46266</v>
      </c>
      <c r="R2916" t="s">
        <v>7795</v>
      </c>
      <c r="S2916" t="str">
        <f>""</f>
        <v/>
      </c>
      <c r="T2916" t="s">
        <v>41</v>
      </c>
      <c r="U2916">
        <v>10469.9</v>
      </c>
      <c r="V2916">
        <v>10354.73</v>
      </c>
      <c r="W2916">
        <v>10354.73</v>
      </c>
      <c r="X2916">
        <v>0</v>
      </c>
      <c r="Y2916">
        <v>0</v>
      </c>
      <c r="Z2916">
        <v>-491</v>
      </c>
      <c r="AA2916">
        <v>684632</v>
      </c>
      <c r="AD2916" t="s">
        <v>5440</v>
      </c>
      <c r="AE2916" t="s">
        <v>2567</v>
      </c>
      <c r="AF2916" t="s">
        <v>5440</v>
      </c>
      <c r="AG2916" s="1" t="s">
        <v>7793</v>
      </c>
      <c r="AH2916" t="s">
        <v>3024</v>
      </c>
    </row>
    <row r="2917" spans="1:34" x14ac:dyDescent="0.3">
      <c r="A2917">
        <v>101</v>
      </c>
      <c r="B2917" t="s">
        <v>34</v>
      </c>
      <c r="C2917">
        <v>2</v>
      </c>
      <c r="D2917" s="1" t="s">
        <v>7796</v>
      </c>
      <c r="E2917" s="1" t="s">
        <v>36</v>
      </c>
      <c r="G2917">
        <v>452056</v>
      </c>
      <c r="H2917" t="s">
        <v>7791</v>
      </c>
      <c r="I2917" t="s">
        <v>2413</v>
      </c>
      <c r="J2917">
        <v>28</v>
      </c>
      <c r="K2917">
        <v>2695</v>
      </c>
      <c r="L2917">
        <v>95000</v>
      </c>
      <c r="M2917" t="s">
        <v>69</v>
      </c>
      <c r="N2917">
        <v>651</v>
      </c>
      <c r="O2917" s="2">
        <v>46141</v>
      </c>
      <c r="P2917" s="2">
        <v>46266</v>
      </c>
      <c r="R2917" t="s">
        <v>7797</v>
      </c>
      <c r="S2917" t="str">
        <f>""</f>
        <v/>
      </c>
      <c r="T2917" t="s">
        <v>41</v>
      </c>
      <c r="U2917">
        <v>39541.699999999997</v>
      </c>
      <c r="V2917">
        <v>39106.74</v>
      </c>
      <c r="W2917">
        <v>39106.74</v>
      </c>
      <c r="X2917">
        <v>0</v>
      </c>
      <c r="Y2917">
        <v>0</v>
      </c>
      <c r="Z2917">
        <v>-491</v>
      </c>
      <c r="AA2917">
        <v>686985</v>
      </c>
      <c r="AD2917" t="s">
        <v>5440</v>
      </c>
      <c r="AE2917" t="s">
        <v>2567</v>
      </c>
      <c r="AF2917" t="s">
        <v>5440</v>
      </c>
      <c r="AG2917" s="1" t="s">
        <v>7793</v>
      </c>
      <c r="AH2917" t="s">
        <v>3024</v>
      </c>
    </row>
    <row r="2918" spans="1:34" x14ac:dyDescent="0.3">
      <c r="A2918">
        <v>101</v>
      </c>
      <c r="B2918" t="s">
        <v>34</v>
      </c>
      <c r="C2918">
        <v>2</v>
      </c>
      <c r="D2918" s="1" t="s">
        <v>7798</v>
      </c>
      <c r="E2918" s="1" t="s">
        <v>36</v>
      </c>
      <c r="G2918">
        <v>452056</v>
      </c>
      <c r="H2918" t="s">
        <v>7791</v>
      </c>
      <c r="I2918" t="s">
        <v>2413</v>
      </c>
      <c r="J2918">
        <v>28</v>
      </c>
      <c r="K2918">
        <v>2695</v>
      </c>
      <c r="L2918">
        <v>95000</v>
      </c>
      <c r="M2918" t="s">
        <v>69</v>
      </c>
      <c r="N2918">
        <v>651</v>
      </c>
      <c r="O2918" s="2">
        <v>46167</v>
      </c>
      <c r="P2918" s="2">
        <v>46286</v>
      </c>
      <c r="R2918" t="s">
        <v>7799</v>
      </c>
      <c r="S2918" t="str">
        <f>""</f>
        <v/>
      </c>
      <c r="T2918" t="s">
        <v>41</v>
      </c>
      <c r="U2918">
        <v>5527.2</v>
      </c>
      <c r="V2918">
        <v>5466.4</v>
      </c>
      <c r="W2918">
        <v>5466.4</v>
      </c>
      <c r="X2918">
        <v>0</v>
      </c>
      <c r="Y2918">
        <v>0</v>
      </c>
      <c r="Z2918">
        <v>-511</v>
      </c>
      <c r="AA2918">
        <v>688956</v>
      </c>
      <c r="AD2918" t="s">
        <v>5440</v>
      </c>
      <c r="AE2918" t="s">
        <v>2567</v>
      </c>
      <c r="AF2918" t="s">
        <v>5440</v>
      </c>
      <c r="AG2918" s="1" t="s">
        <v>7793</v>
      </c>
      <c r="AH2918" t="s">
        <v>3024</v>
      </c>
    </row>
    <row r="2919" spans="1:34" x14ac:dyDescent="0.3">
      <c r="A2919">
        <v>101</v>
      </c>
      <c r="B2919" t="s">
        <v>34</v>
      </c>
      <c r="C2919">
        <v>2</v>
      </c>
      <c r="D2919" s="1" t="s">
        <v>7800</v>
      </c>
      <c r="E2919" s="1" t="s">
        <v>36</v>
      </c>
      <c r="G2919">
        <v>456272</v>
      </c>
      <c r="H2919" t="s">
        <v>7801</v>
      </c>
      <c r="I2919" t="s">
        <v>2413</v>
      </c>
      <c r="J2919">
        <v>28</v>
      </c>
      <c r="K2919">
        <v>2695</v>
      </c>
      <c r="L2919">
        <v>95000</v>
      </c>
      <c r="M2919" t="s">
        <v>69</v>
      </c>
      <c r="N2919">
        <v>651</v>
      </c>
      <c r="O2919" s="2">
        <v>46167</v>
      </c>
      <c r="P2919" s="2">
        <v>46286</v>
      </c>
      <c r="R2919" t="s">
        <v>7802</v>
      </c>
      <c r="S2919" t="str">
        <f>""</f>
        <v/>
      </c>
      <c r="T2919" t="s">
        <v>41</v>
      </c>
      <c r="U2919">
        <v>5527.2</v>
      </c>
      <c r="V2919">
        <v>5466.4</v>
      </c>
      <c r="W2919">
        <v>5466.4</v>
      </c>
      <c r="X2919">
        <v>0</v>
      </c>
      <c r="Y2919">
        <v>0</v>
      </c>
      <c r="Z2919">
        <v>-511</v>
      </c>
      <c r="AA2919">
        <v>688958</v>
      </c>
      <c r="AD2919" t="s">
        <v>3022</v>
      </c>
      <c r="AE2919">
        <v>1134115000</v>
      </c>
      <c r="AF2919" t="s">
        <v>3022</v>
      </c>
      <c r="AG2919" s="1" t="s">
        <v>7803</v>
      </c>
      <c r="AH2919" t="s">
        <v>3024</v>
      </c>
    </row>
    <row r="2920" spans="1:34" x14ac:dyDescent="0.3">
      <c r="A2920">
        <v>101</v>
      </c>
      <c r="B2920" t="s">
        <v>34</v>
      </c>
      <c r="C2920">
        <v>2</v>
      </c>
      <c r="D2920" s="1" t="s">
        <v>7804</v>
      </c>
      <c r="E2920" s="1" t="s">
        <v>36</v>
      </c>
      <c r="G2920">
        <v>456272</v>
      </c>
      <c r="H2920" t="s">
        <v>7801</v>
      </c>
      <c r="I2920" t="s">
        <v>2413</v>
      </c>
      <c r="J2920">
        <v>28</v>
      </c>
      <c r="K2920">
        <v>2695</v>
      </c>
      <c r="L2920">
        <v>95000</v>
      </c>
      <c r="M2920" t="s">
        <v>69</v>
      </c>
      <c r="N2920">
        <v>651</v>
      </c>
      <c r="O2920" s="2">
        <v>46141</v>
      </c>
      <c r="P2920" s="2">
        <v>46255</v>
      </c>
      <c r="R2920" t="s">
        <v>7805</v>
      </c>
      <c r="S2920" t="str">
        <f>""</f>
        <v/>
      </c>
      <c r="T2920" t="s">
        <v>41</v>
      </c>
      <c r="U2920">
        <v>53174.64</v>
      </c>
      <c r="V2920">
        <v>52589.72</v>
      </c>
      <c r="W2920">
        <v>52589.72</v>
      </c>
      <c r="X2920">
        <v>0</v>
      </c>
      <c r="Y2920">
        <v>0</v>
      </c>
      <c r="Z2920">
        <v>-480</v>
      </c>
      <c r="AA2920">
        <v>686988</v>
      </c>
      <c r="AD2920" t="s">
        <v>3022</v>
      </c>
      <c r="AE2920">
        <v>1134115000</v>
      </c>
      <c r="AF2920" t="s">
        <v>3022</v>
      </c>
      <c r="AG2920" s="1" t="s">
        <v>7803</v>
      </c>
      <c r="AH2920" t="s">
        <v>3024</v>
      </c>
    </row>
    <row r="2921" spans="1:34" x14ac:dyDescent="0.3">
      <c r="A2921">
        <v>101</v>
      </c>
      <c r="B2921" t="s">
        <v>34</v>
      </c>
      <c r="C2921">
        <v>2</v>
      </c>
      <c r="D2921" s="1" t="s">
        <v>7806</v>
      </c>
      <c r="E2921" s="1" t="s">
        <v>36</v>
      </c>
      <c r="G2921">
        <v>456272</v>
      </c>
      <c r="H2921" t="s">
        <v>7801</v>
      </c>
      <c r="I2921" t="s">
        <v>2413</v>
      </c>
      <c r="J2921">
        <v>28</v>
      </c>
      <c r="K2921">
        <v>2695</v>
      </c>
      <c r="L2921">
        <v>95000</v>
      </c>
      <c r="M2921" t="s">
        <v>69</v>
      </c>
      <c r="N2921">
        <v>651</v>
      </c>
      <c r="O2921" s="2">
        <v>46112</v>
      </c>
      <c r="P2921" s="2">
        <v>46255</v>
      </c>
      <c r="R2921" t="s">
        <v>7807</v>
      </c>
      <c r="S2921" t="str">
        <f>""</f>
        <v/>
      </c>
      <c r="T2921" t="s">
        <v>41</v>
      </c>
      <c r="U2921">
        <v>44511.88</v>
      </c>
      <c r="V2921">
        <v>44022.25</v>
      </c>
      <c r="W2921">
        <v>44022.25</v>
      </c>
      <c r="X2921">
        <v>0</v>
      </c>
      <c r="Y2921">
        <v>0</v>
      </c>
      <c r="Z2921">
        <v>-480</v>
      </c>
      <c r="AA2921">
        <v>684634</v>
      </c>
      <c r="AD2921" t="s">
        <v>3022</v>
      </c>
      <c r="AE2921">
        <v>1134115000</v>
      </c>
      <c r="AF2921" t="s">
        <v>3022</v>
      </c>
      <c r="AG2921" s="1" t="s">
        <v>7803</v>
      </c>
      <c r="AH2921" t="s">
        <v>3024</v>
      </c>
    </row>
    <row r="2922" spans="1:34" x14ac:dyDescent="0.3">
      <c r="A2922">
        <v>101</v>
      </c>
      <c r="B2922" t="s">
        <v>34</v>
      </c>
      <c r="C2922">
        <v>2</v>
      </c>
      <c r="D2922" s="1" t="s">
        <v>7808</v>
      </c>
      <c r="E2922" s="1" t="s">
        <v>36</v>
      </c>
      <c r="G2922">
        <v>456272</v>
      </c>
      <c r="H2922" t="s">
        <v>7801</v>
      </c>
      <c r="I2922" t="s">
        <v>2413</v>
      </c>
      <c r="J2922">
        <v>28</v>
      </c>
      <c r="K2922">
        <v>2695</v>
      </c>
      <c r="L2922">
        <v>95000</v>
      </c>
      <c r="M2922" t="s">
        <v>69</v>
      </c>
      <c r="N2922">
        <v>651</v>
      </c>
      <c r="O2922" s="2">
        <v>46127</v>
      </c>
      <c r="P2922" s="2">
        <v>46255</v>
      </c>
      <c r="R2922" t="s">
        <v>7809</v>
      </c>
      <c r="S2922" t="str">
        <f>""</f>
        <v/>
      </c>
      <c r="T2922" t="s">
        <v>41</v>
      </c>
      <c r="U2922">
        <v>2879.2</v>
      </c>
      <c r="V2922">
        <v>2847.53</v>
      </c>
      <c r="W2922">
        <v>2847.53</v>
      </c>
      <c r="X2922">
        <v>0</v>
      </c>
      <c r="Y2922">
        <v>0</v>
      </c>
      <c r="Z2922">
        <v>-480</v>
      </c>
      <c r="AA2922">
        <v>684634</v>
      </c>
      <c r="AD2922" t="s">
        <v>3022</v>
      </c>
      <c r="AE2922">
        <v>1134115000</v>
      </c>
      <c r="AF2922" t="s">
        <v>3022</v>
      </c>
      <c r="AG2922" s="1" t="s">
        <v>7803</v>
      </c>
      <c r="AH2922" t="s">
        <v>3024</v>
      </c>
    </row>
    <row r="2923" spans="1:34" x14ac:dyDescent="0.3">
      <c r="A2923">
        <v>101</v>
      </c>
      <c r="B2923" t="s">
        <v>34</v>
      </c>
      <c r="C2923">
        <v>2</v>
      </c>
      <c r="D2923" s="1" t="s">
        <v>7810</v>
      </c>
      <c r="E2923" s="1" t="s">
        <v>36</v>
      </c>
      <c r="G2923">
        <v>456272</v>
      </c>
      <c r="H2923" t="s">
        <v>7801</v>
      </c>
      <c r="I2923" t="s">
        <v>2413</v>
      </c>
      <c r="J2923">
        <v>28</v>
      </c>
      <c r="K2923">
        <v>2695</v>
      </c>
      <c r="L2923">
        <v>95000</v>
      </c>
      <c r="M2923" t="s">
        <v>69</v>
      </c>
      <c r="N2923">
        <v>651</v>
      </c>
      <c r="O2923" s="2">
        <v>46203</v>
      </c>
      <c r="P2923" s="2">
        <v>46316</v>
      </c>
      <c r="R2923" t="s">
        <v>7811</v>
      </c>
      <c r="S2923" t="str">
        <f>""</f>
        <v/>
      </c>
      <c r="T2923" t="s">
        <v>41</v>
      </c>
      <c r="U2923">
        <v>15163.28</v>
      </c>
      <c r="V2923">
        <v>14996.48</v>
      </c>
      <c r="W2923">
        <v>14996.48</v>
      </c>
      <c r="X2923">
        <v>0</v>
      </c>
      <c r="Y2923">
        <v>0</v>
      </c>
      <c r="Z2923">
        <v>-541</v>
      </c>
      <c r="AA2923">
        <v>693430</v>
      </c>
      <c r="AD2923" t="s">
        <v>3022</v>
      </c>
      <c r="AE2923">
        <v>1134115000</v>
      </c>
      <c r="AF2923" t="s">
        <v>3022</v>
      </c>
      <c r="AG2923" s="1" t="s">
        <v>7803</v>
      </c>
      <c r="AH2923" t="s">
        <v>3024</v>
      </c>
    </row>
    <row r="2924" spans="1:34" x14ac:dyDescent="0.3">
      <c r="A2924">
        <v>101</v>
      </c>
      <c r="B2924" t="s">
        <v>34</v>
      </c>
      <c r="C2924">
        <v>2</v>
      </c>
      <c r="D2924" s="1" t="s">
        <v>7812</v>
      </c>
      <c r="E2924" s="1" t="s">
        <v>36</v>
      </c>
      <c r="G2924">
        <v>457905</v>
      </c>
      <c r="H2924" t="s">
        <v>7813</v>
      </c>
      <c r="I2924" t="s">
        <v>2413</v>
      </c>
      <c r="J2924">
        <v>28</v>
      </c>
      <c r="K2924">
        <v>2695</v>
      </c>
      <c r="L2924">
        <v>95000</v>
      </c>
      <c r="M2924" t="s">
        <v>69</v>
      </c>
      <c r="N2924">
        <v>651</v>
      </c>
      <c r="O2924" s="2">
        <v>46203</v>
      </c>
      <c r="P2924" s="2">
        <v>46316</v>
      </c>
      <c r="R2924" t="s">
        <v>7814</v>
      </c>
      <c r="S2924" t="str">
        <f>""</f>
        <v/>
      </c>
      <c r="T2924" t="s">
        <v>41</v>
      </c>
      <c r="U2924">
        <v>6839.39</v>
      </c>
      <c r="V2924">
        <v>6764.16</v>
      </c>
      <c r="W2924">
        <v>6764.16</v>
      </c>
      <c r="X2924">
        <v>0</v>
      </c>
      <c r="Y2924">
        <v>0</v>
      </c>
      <c r="Z2924">
        <v>-541</v>
      </c>
      <c r="AA2924">
        <v>693432</v>
      </c>
      <c r="AD2924" t="s">
        <v>3022</v>
      </c>
      <c r="AE2924">
        <v>1134115000</v>
      </c>
      <c r="AF2924" t="s">
        <v>3022</v>
      </c>
      <c r="AG2924" s="1" t="s">
        <v>7815</v>
      </c>
      <c r="AH2924" t="s">
        <v>3024</v>
      </c>
    </row>
    <row r="2925" spans="1:34" x14ac:dyDescent="0.3">
      <c r="A2925">
        <v>101</v>
      </c>
      <c r="B2925" t="s">
        <v>34</v>
      </c>
      <c r="C2925">
        <v>2</v>
      </c>
      <c r="D2925" s="1" t="s">
        <v>7816</v>
      </c>
      <c r="E2925" s="1" t="s">
        <v>36</v>
      </c>
      <c r="G2925">
        <v>457905</v>
      </c>
      <c r="H2925" t="s">
        <v>7813</v>
      </c>
      <c r="I2925" t="s">
        <v>2413</v>
      </c>
      <c r="J2925">
        <v>28</v>
      </c>
      <c r="K2925">
        <v>2695</v>
      </c>
      <c r="L2925">
        <v>95000</v>
      </c>
      <c r="M2925" t="s">
        <v>69</v>
      </c>
      <c r="N2925">
        <v>651</v>
      </c>
      <c r="O2925" s="2">
        <v>46141</v>
      </c>
      <c r="P2925" s="2">
        <v>46266</v>
      </c>
      <c r="R2925" t="s">
        <v>7817</v>
      </c>
      <c r="S2925" t="str">
        <f>""</f>
        <v/>
      </c>
      <c r="T2925" t="s">
        <v>41</v>
      </c>
      <c r="U2925">
        <v>46318.29</v>
      </c>
      <c r="V2925">
        <v>45808.79</v>
      </c>
      <c r="W2925">
        <v>45808.79</v>
      </c>
      <c r="X2925">
        <v>0</v>
      </c>
      <c r="Y2925">
        <v>0</v>
      </c>
      <c r="Z2925">
        <v>-491</v>
      </c>
      <c r="AA2925">
        <v>686990</v>
      </c>
      <c r="AD2925" t="s">
        <v>3022</v>
      </c>
      <c r="AE2925">
        <v>1134115000</v>
      </c>
      <c r="AF2925" t="s">
        <v>3022</v>
      </c>
      <c r="AG2925" s="1" t="s">
        <v>7815</v>
      </c>
      <c r="AH2925" t="s">
        <v>3024</v>
      </c>
    </row>
    <row r="2926" spans="1:34" x14ac:dyDescent="0.3">
      <c r="A2926">
        <v>101</v>
      </c>
      <c r="B2926" t="s">
        <v>34</v>
      </c>
      <c r="C2926">
        <v>2</v>
      </c>
      <c r="D2926" s="1" t="s">
        <v>7818</v>
      </c>
      <c r="E2926" s="1" t="s">
        <v>36</v>
      </c>
      <c r="G2926">
        <v>457905</v>
      </c>
      <c r="H2926" t="s">
        <v>7813</v>
      </c>
      <c r="I2926" t="s">
        <v>2413</v>
      </c>
      <c r="J2926">
        <v>28</v>
      </c>
      <c r="K2926">
        <v>2695</v>
      </c>
      <c r="L2926">
        <v>95000</v>
      </c>
      <c r="M2926" t="s">
        <v>69</v>
      </c>
      <c r="N2926">
        <v>651</v>
      </c>
      <c r="O2926" s="2">
        <v>46167</v>
      </c>
      <c r="P2926" s="2">
        <v>46286</v>
      </c>
      <c r="R2926" t="s">
        <v>7819</v>
      </c>
      <c r="S2926" t="str">
        <f>""</f>
        <v/>
      </c>
      <c r="T2926" t="s">
        <v>41</v>
      </c>
      <c r="U2926">
        <v>5527.2</v>
      </c>
      <c r="V2926">
        <v>5466.4</v>
      </c>
      <c r="W2926">
        <v>5466.4</v>
      </c>
      <c r="X2926">
        <v>0</v>
      </c>
      <c r="Y2926">
        <v>0</v>
      </c>
      <c r="Z2926">
        <v>-511</v>
      </c>
      <c r="AA2926">
        <v>688960</v>
      </c>
      <c r="AD2926" t="s">
        <v>3022</v>
      </c>
      <c r="AE2926">
        <v>1134115000</v>
      </c>
      <c r="AF2926" t="s">
        <v>3022</v>
      </c>
      <c r="AG2926" s="1" t="s">
        <v>7815</v>
      </c>
      <c r="AH2926" t="s">
        <v>3024</v>
      </c>
    </row>
    <row r="2927" spans="1:34" x14ac:dyDescent="0.3">
      <c r="A2927">
        <v>101</v>
      </c>
      <c r="B2927" t="s">
        <v>34</v>
      </c>
      <c r="C2927">
        <v>2</v>
      </c>
      <c r="D2927" s="1" t="s">
        <v>7820</v>
      </c>
      <c r="E2927" s="1" t="s">
        <v>36</v>
      </c>
      <c r="G2927">
        <v>457905</v>
      </c>
      <c r="H2927" t="s">
        <v>7813</v>
      </c>
      <c r="I2927" t="s">
        <v>2413</v>
      </c>
      <c r="J2927">
        <v>28</v>
      </c>
      <c r="K2927">
        <v>2695</v>
      </c>
      <c r="L2927">
        <v>95000</v>
      </c>
      <c r="M2927" t="s">
        <v>69</v>
      </c>
      <c r="N2927">
        <v>651</v>
      </c>
      <c r="O2927" s="2">
        <v>46127</v>
      </c>
      <c r="P2927" s="2">
        <v>46266</v>
      </c>
      <c r="R2927">
        <v>2604154960</v>
      </c>
      <c r="S2927" t="str">
        <f>""</f>
        <v/>
      </c>
      <c r="T2927" t="s">
        <v>41</v>
      </c>
      <c r="U2927">
        <v>5321.15</v>
      </c>
      <c r="V2927">
        <v>5262.62</v>
      </c>
      <c r="W2927">
        <v>5262.62</v>
      </c>
      <c r="X2927">
        <v>0</v>
      </c>
      <c r="Y2927">
        <v>0</v>
      </c>
      <c r="Z2927">
        <v>-491</v>
      </c>
      <c r="AA2927">
        <v>684636</v>
      </c>
      <c r="AD2927" t="s">
        <v>3022</v>
      </c>
      <c r="AE2927">
        <v>1134115000</v>
      </c>
      <c r="AF2927" t="s">
        <v>3022</v>
      </c>
      <c r="AG2927" s="1" t="s">
        <v>7815</v>
      </c>
      <c r="AH2927" t="s">
        <v>3024</v>
      </c>
    </row>
    <row r="2928" spans="1:34" x14ac:dyDescent="0.3">
      <c r="A2928">
        <v>101</v>
      </c>
      <c r="B2928" t="s">
        <v>34</v>
      </c>
      <c r="C2928">
        <v>2</v>
      </c>
      <c r="D2928" s="1" t="s">
        <v>7821</v>
      </c>
      <c r="E2928" s="1" t="s">
        <v>36</v>
      </c>
      <c r="G2928">
        <v>467068</v>
      </c>
      <c r="H2928" t="s">
        <v>7822</v>
      </c>
      <c r="I2928" t="s">
        <v>2413</v>
      </c>
      <c r="J2928">
        <v>28</v>
      </c>
      <c r="K2928">
        <v>2695</v>
      </c>
      <c r="L2928">
        <v>95000</v>
      </c>
      <c r="M2928" t="s">
        <v>69</v>
      </c>
      <c r="N2928">
        <v>651</v>
      </c>
      <c r="O2928" s="2">
        <v>46203</v>
      </c>
      <c r="P2928" s="2">
        <v>46329</v>
      </c>
      <c r="R2928" t="s">
        <v>7823</v>
      </c>
      <c r="S2928" t="str">
        <f>""</f>
        <v/>
      </c>
      <c r="T2928" t="s">
        <v>41</v>
      </c>
      <c r="U2928">
        <v>9047.65</v>
      </c>
      <c r="V2928">
        <v>8948.1299999999992</v>
      </c>
      <c r="W2928">
        <v>8948.1299999999992</v>
      </c>
      <c r="X2928">
        <v>0</v>
      </c>
      <c r="Y2928">
        <v>0</v>
      </c>
      <c r="Z2928">
        <v>-554</v>
      </c>
      <c r="AA2928">
        <v>693436</v>
      </c>
      <c r="AD2928" t="s">
        <v>6417</v>
      </c>
      <c r="AE2928" t="s">
        <v>7824</v>
      </c>
      <c r="AF2928" t="s">
        <v>6417</v>
      </c>
      <c r="AG2928" s="1" t="s">
        <v>7825</v>
      </c>
      <c r="AH2928" t="s">
        <v>6419</v>
      </c>
    </row>
    <row r="2929" spans="1:34" x14ac:dyDescent="0.3">
      <c r="A2929">
        <v>101</v>
      </c>
      <c r="B2929" t="s">
        <v>34</v>
      </c>
      <c r="C2929">
        <v>2</v>
      </c>
      <c r="D2929" s="1" t="s">
        <v>7826</v>
      </c>
      <c r="E2929" s="1" t="s">
        <v>36</v>
      </c>
      <c r="G2929">
        <v>467068</v>
      </c>
      <c r="H2929" t="s">
        <v>7822</v>
      </c>
      <c r="I2929" t="s">
        <v>2413</v>
      </c>
      <c r="J2929">
        <v>28</v>
      </c>
      <c r="K2929">
        <v>2695</v>
      </c>
      <c r="L2929">
        <v>95000</v>
      </c>
      <c r="M2929" t="s">
        <v>69</v>
      </c>
      <c r="N2929">
        <v>651</v>
      </c>
      <c r="O2929" s="2">
        <v>46167</v>
      </c>
      <c r="P2929" s="2">
        <v>46308</v>
      </c>
      <c r="R2929" t="s">
        <v>7827</v>
      </c>
      <c r="S2929" t="str">
        <f>""</f>
        <v/>
      </c>
      <c r="T2929" t="s">
        <v>41</v>
      </c>
      <c r="U2929">
        <v>5140.3</v>
      </c>
      <c r="V2929">
        <v>5083.76</v>
      </c>
      <c r="W2929">
        <v>5083.76</v>
      </c>
      <c r="X2929">
        <v>0</v>
      </c>
      <c r="Y2929">
        <v>0</v>
      </c>
      <c r="Z2929">
        <v>-533</v>
      </c>
      <c r="AA2929">
        <v>688964</v>
      </c>
      <c r="AD2929" t="s">
        <v>6417</v>
      </c>
      <c r="AE2929" t="s">
        <v>7824</v>
      </c>
      <c r="AF2929" t="s">
        <v>6417</v>
      </c>
      <c r="AG2929" s="1" t="s">
        <v>7825</v>
      </c>
      <c r="AH2929" t="s">
        <v>6419</v>
      </c>
    </row>
    <row r="2930" spans="1:34" x14ac:dyDescent="0.3">
      <c r="A2930">
        <v>101</v>
      </c>
      <c r="B2930" t="s">
        <v>34</v>
      </c>
      <c r="C2930">
        <v>2</v>
      </c>
      <c r="D2930" s="1" t="s">
        <v>7828</v>
      </c>
      <c r="E2930" s="1" t="s">
        <v>36</v>
      </c>
      <c r="G2930">
        <v>467068</v>
      </c>
      <c r="H2930" t="s">
        <v>7822</v>
      </c>
      <c r="I2930" t="s">
        <v>2413</v>
      </c>
      <c r="J2930">
        <v>28</v>
      </c>
      <c r="K2930">
        <v>2695</v>
      </c>
      <c r="L2930">
        <v>95000</v>
      </c>
      <c r="M2930" t="s">
        <v>69</v>
      </c>
      <c r="N2930">
        <v>651</v>
      </c>
      <c r="O2930" s="2">
        <v>46112</v>
      </c>
      <c r="P2930" s="2">
        <v>46266</v>
      </c>
      <c r="R2930" t="s">
        <v>7829</v>
      </c>
      <c r="S2930" t="str">
        <f>""</f>
        <v/>
      </c>
      <c r="T2930" t="s">
        <v>41</v>
      </c>
      <c r="U2930">
        <v>17419.03</v>
      </c>
      <c r="V2930">
        <v>15750.11</v>
      </c>
      <c r="W2930">
        <v>15750.11</v>
      </c>
      <c r="X2930">
        <v>0</v>
      </c>
      <c r="Y2930">
        <v>0</v>
      </c>
      <c r="Z2930">
        <v>-491</v>
      </c>
      <c r="AA2930">
        <v>684640</v>
      </c>
      <c r="AD2930" t="s">
        <v>6417</v>
      </c>
      <c r="AE2930" t="s">
        <v>7824</v>
      </c>
      <c r="AF2930" t="s">
        <v>6417</v>
      </c>
      <c r="AG2930" s="1" t="s">
        <v>7825</v>
      </c>
      <c r="AH2930" t="s">
        <v>6419</v>
      </c>
    </row>
    <row r="2931" spans="1:34" x14ac:dyDescent="0.3">
      <c r="A2931">
        <v>101</v>
      </c>
      <c r="B2931" t="s">
        <v>34</v>
      </c>
      <c r="C2931">
        <v>2</v>
      </c>
      <c r="D2931" s="1" t="s">
        <v>7830</v>
      </c>
      <c r="E2931" s="1" t="s">
        <v>36</v>
      </c>
      <c r="G2931">
        <v>467068</v>
      </c>
      <c r="H2931" t="s">
        <v>7822</v>
      </c>
      <c r="I2931" t="s">
        <v>2413</v>
      </c>
      <c r="J2931">
        <v>28</v>
      </c>
      <c r="K2931">
        <v>2695</v>
      </c>
      <c r="L2931">
        <v>95000</v>
      </c>
      <c r="M2931" t="s">
        <v>69</v>
      </c>
      <c r="N2931">
        <v>651</v>
      </c>
      <c r="O2931" s="2">
        <v>46127</v>
      </c>
      <c r="P2931" s="2">
        <v>46276</v>
      </c>
      <c r="R2931">
        <v>2604154962</v>
      </c>
      <c r="S2931" t="str">
        <f>""</f>
        <v/>
      </c>
      <c r="T2931" t="s">
        <v>41</v>
      </c>
      <c r="U2931">
        <v>3474.28</v>
      </c>
      <c r="V2931">
        <v>3436.06</v>
      </c>
      <c r="W2931">
        <v>3436.06</v>
      </c>
      <c r="X2931">
        <v>0</v>
      </c>
      <c r="Y2931">
        <v>0</v>
      </c>
      <c r="Z2931">
        <v>-501</v>
      </c>
      <c r="AA2931">
        <v>684640</v>
      </c>
      <c r="AD2931" t="s">
        <v>6417</v>
      </c>
      <c r="AE2931" t="s">
        <v>7824</v>
      </c>
      <c r="AF2931" t="s">
        <v>6417</v>
      </c>
      <c r="AG2931" s="1" t="s">
        <v>7825</v>
      </c>
      <c r="AH2931" t="s">
        <v>6419</v>
      </c>
    </row>
    <row r="2932" spans="1:34" x14ac:dyDescent="0.3">
      <c r="A2932">
        <v>101</v>
      </c>
      <c r="B2932" t="s">
        <v>34</v>
      </c>
      <c r="C2932">
        <v>2</v>
      </c>
      <c r="D2932" s="1" t="s">
        <v>7831</v>
      </c>
      <c r="E2932" s="1" t="s">
        <v>36</v>
      </c>
      <c r="G2932">
        <v>467068</v>
      </c>
      <c r="H2932" t="s">
        <v>7822</v>
      </c>
      <c r="I2932" t="s">
        <v>2413</v>
      </c>
      <c r="J2932">
        <v>28</v>
      </c>
      <c r="K2932">
        <v>2695</v>
      </c>
      <c r="L2932">
        <v>95000</v>
      </c>
      <c r="M2932" t="s">
        <v>69</v>
      </c>
      <c r="N2932">
        <v>651</v>
      </c>
      <c r="O2932" s="2">
        <v>46142</v>
      </c>
      <c r="P2932" s="2">
        <v>46286</v>
      </c>
      <c r="R2932" t="s">
        <v>7832</v>
      </c>
      <c r="S2932" t="str">
        <f>""</f>
        <v/>
      </c>
      <c r="T2932" t="s">
        <v>41</v>
      </c>
      <c r="U2932">
        <v>21456.2</v>
      </c>
      <c r="V2932">
        <v>21220.18</v>
      </c>
      <c r="W2932">
        <v>21220.18</v>
      </c>
      <c r="X2932">
        <v>0</v>
      </c>
      <c r="Y2932">
        <v>0</v>
      </c>
      <c r="Z2932">
        <v>-511</v>
      </c>
      <c r="AA2932">
        <v>686994</v>
      </c>
      <c r="AD2932" t="s">
        <v>6417</v>
      </c>
      <c r="AE2932" t="s">
        <v>7824</v>
      </c>
      <c r="AF2932" t="s">
        <v>6417</v>
      </c>
      <c r="AG2932" s="1" t="s">
        <v>7825</v>
      </c>
      <c r="AH2932" t="s">
        <v>6419</v>
      </c>
    </row>
    <row r="2933" spans="1:34" x14ac:dyDescent="0.3">
      <c r="A2933">
        <v>101</v>
      </c>
      <c r="B2933" t="s">
        <v>34</v>
      </c>
      <c r="C2933">
        <v>2</v>
      </c>
      <c r="D2933" s="1" t="s">
        <v>7833</v>
      </c>
      <c r="E2933" s="1" t="s">
        <v>36</v>
      </c>
      <c r="G2933">
        <v>467068</v>
      </c>
      <c r="H2933" t="s">
        <v>7822</v>
      </c>
      <c r="I2933" t="s">
        <v>2413</v>
      </c>
      <c r="J2933">
        <v>28</v>
      </c>
      <c r="K2933">
        <v>2695</v>
      </c>
      <c r="L2933">
        <v>95000</v>
      </c>
      <c r="M2933" t="s">
        <v>69</v>
      </c>
      <c r="N2933">
        <v>651</v>
      </c>
      <c r="O2933" s="2">
        <v>46255</v>
      </c>
      <c r="P2933" s="2">
        <v>46345</v>
      </c>
      <c r="R2933" t="s">
        <v>7834</v>
      </c>
      <c r="S2933" t="str">
        <f>""</f>
        <v/>
      </c>
      <c r="T2933" t="s">
        <v>41</v>
      </c>
      <c r="U2933">
        <v>12255.73</v>
      </c>
      <c r="V2933">
        <v>12120.92</v>
      </c>
      <c r="W2933">
        <v>12120.92</v>
      </c>
      <c r="X2933">
        <v>0</v>
      </c>
      <c r="Y2933">
        <v>0</v>
      </c>
      <c r="Z2933">
        <v>-570</v>
      </c>
      <c r="AA2933">
        <v>697118</v>
      </c>
      <c r="AD2933" t="s">
        <v>6417</v>
      </c>
      <c r="AE2933" t="s">
        <v>7824</v>
      </c>
      <c r="AF2933" t="s">
        <v>6417</v>
      </c>
      <c r="AG2933" s="1" t="s">
        <v>7825</v>
      </c>
      <c r="AH2933" t="s">
        <v>6419</v>
      </c>
    </row>
    <row r="2934" spans="1:34" x14ac:dyDescent="0.3">
      <c r="A2934">
        <v>101</v>
      </c>
      <c r="B2934" t="s">
        <v>34</v>
      </c>
      <c r="C2934">
        <v>2</v>
      </c>
      <c r="D2934" s="1" t="s">
        <v>7835</v>
      </c>
      <c r="E2934" s="1" t="s">
        <v>36</v>
      </c>
      <c r="G2934">
        <v>467937</v>
      </c>
      <c r="H2934" t="s">
        <v>7836</v>
      </c>
      <c r="I2934" t="s">
        <v>2413</v>
      </c>
      <c r="J2934">
        <v>28</v>
      </c>
      <c r="K2934">
        <v>2695</v>
      </c>
      <c r="L2934">
        <v>95000</v>
      </c>
      <c r="M2934" t="s">
        <v>69</v>
      </c>
      <c r="N2934">
        <v>651</v>
      </c>
      <c r="O2934" s="2">
        <v>46141</v>
      </c>
      <c r="P2934" s="2">
        <v>46266</v>
      </c>
      <c r="R2934" t="s">
        <v>7837</v>
      </c>
      <c r="S2934" t="str">
        <f>""</f>
        <v/>
      </c>
      <c r="T2934" t="s">
        <v>41</v>
      </c>
      <c r="U2934">
        <v>20373.12</v>
      </c>
      <c r="V2934">
        <v>19411.419999999998</v>
      </c>
      <c r="W2934">
        <v>19411.419999999998</v>
      </c>
      <c r="X2934">
        <v>0</v>
      </c>
      <c r="Y2934">
        <v>0</v>
      </c>
      <c r="Z2934">
        <v>-491</v>
      </c>
      <c r="AA2934">
        <v>686992</v>
      </c>
      <c r="AD2934" t="s">
        <v>3022</v>
      </c>
      <c r="AE2934" t="s">
        <v>7742</v>
      </c>
      <c r="AF2934" t="s">
        <v>3022</v>
      </c>
      <c r="AG2934" s="1" t="s">
        <v>7838</v>
      </c>
      <c r="AH2934" t="s">
        <v>3024</v>
      </c>
    </row>
    <row r="2935" spans="1:34" x14ac:dyDescent="0.3">
      <c r="A2935">
        <v>101</v>
      </c>
      <c r="B2935" t="s">
        <v>34</v>
      </c>
      <c r="C2935">
        <v>2</v>
      </c>
      <c r="D2935" s="1" t="s">
        <v>7839</v>
      </c>
      <c r="E2935" s="1" t="s">
        <v>36</v>
      </c>
      <c r="G2935">
        <v>467937</v>
      </c>
      <c r="H2935" t="s">
        <v>7836</v>
      </c>
      <c r="I2935" t="s">
        <v>2413</v>
      </c>
      <c r="J2935">
        <v>28</v>
      </c>
      <c r="K2935">
        <v>2695</v>
      </c>
      <c r="L2935">
        <v>95000</v>
      </c>
      <c r="M2935" t="s">
        <v>69</v>
      </c>
      <c r="N2935">
        <v>651</v>
      </c>
      <c r="O2935" s="2">
        <v>46167</v>
      </c>
      <c r="P2935" s="2">
        <v>46286</v>
      </c>
      <c r="R2935" t="s">
        <v>7840</v>
      </c>
      <c r="S2935" t="str">
        <f>""</f>
        <v/>
      </c>
      <c r="T2935" t="s">
        <v>41</v>
      </c>
      <c r="U2935">
        <v>5527.2</v>
      </c>
      <c r="V2935">
        <v>5466.4</v>
      </c>
      <c r="W2935">
        <v>5466.4</v>
      </c>
      <c r="X2935">
        <v>0</v>
      </c>
      <c r="Y2935">
        <v>0</v>
      </c>
      <c r="Z2935">
        <v>-511</v>
      </c>
      <c r="AA2935">
        <v>688962</v>
      </c>
      <c r="AD2935" t="s">
        <v>3022</v>
      </c>
      <c r="AE2935" t="s">
        <v>7742</v>
      </c>
      <c r="AF2935" t="s">
        <v>3022</v>
      </c>
      <c r="AG2935" s="1" t="s">
        <v>7838</v>
      </c>
      <c r="AH2935" t="s">
        <v>3024</v>
      </c>
    </row>
    <row r="2936" spans="1:34" x14ac:dyDescent="0.3">
      <c r="A2936">
        <v>101</v>
      </c>
      <c r="B2936" t="s">
        <v>34</v>
      </c>
      <c r="C2936">
        <v>2</v>
      </c>
      <c r="D2936" s="1" t="s">
        <v>7841</v>
      </c>
      <c r="E2936" s="1" t="s">
        <v>36</v>
      </c>
      <c r="G2936">
        <v>467937</v>
      </c>
      <c r="H2936" t="s">
        <v>7836</v>
      </c>
      <c r="I2936" t="s">
        <v>2413</v>
      </c>
      <c r="J2936">
        <v>28</v>
      </c>
      <c r="K2936">
        <v>2695</v>
      </c>
      <c r="L2936">
        <v>95000</v>
      </c>
      <c r="M2936" t="s">
        <v>69</v>
      </c>
      <c r="N2936">
        <v>651</v>
      </c>
      <c r="O2936" s="2">
        <v>46203</v>
      </c>
      <c r="P2936" s="2">
        <v>46316</v>
      </c>
      <c r="R2936" t="s">
        <v>7842</v>
      </c>
      <c r="S2936" t="str">
        <f>""</f>
        <v/>
      </c>
      <c r="T2936" t="s">
        <v>41</v>
      </c>
      <c r="U2936">
        <v>21910.6</v>
      </c>
      <c r="V2936">
        <v>20721.349999999999</v>
      </c>
      <c r="W2936">
        <v>20721.349999999999</v>
      </c>
      <c r="X2936">
        <v>0</v>
      </c>
      <c r="Y2936">
        <v>0</v>
      </c>
      <c r="Z2936">
        <v>-541</v>
      </c>
      <c r="AA2936">
        <v>693434</v>
      </c>
      <c r="AD2936" t="s">
        <v>3022</v>
      </c>
      <c r="AE2936" t="s">
        <v>7742</v>
      </c>
      <c r="AF2936" t="s">
        <v>3022</v>
      </c>
      <c r="AG2936" s="1" t="s">
        <v>7838</v>
      </c>
      <c r="AH2936" t="s">
        <v>3024</v>
      </c>
    </row>
    <row r="2937" spans="1:34" x14ac:dyDescent="0.3">
      <c r="A2937">
        <v>104</v>
      </c>
      <c r="B2937" t="s">
        <v>34</v>
      </c>
      <c r="C2937">
        <v>4</v>
      </c>
      <c r="D2937" s="1" t="s">
        <v>7843</v>
      </c>
      <c r="E2937" s="1" t="s">
        <v>122</v>
      </c>
      <c r="G2937">
        <v>468590</v>
      </c>
      <c r="H2937" t="s">
        <v>7844</v>
      </c>
      <c r="I2937" t="s">
        <v>7845</v>
      </c>
      <c r="J2937">
        <v>15</v>
      </c>
      <c r="K2937">
        <v>450226</v>
      </c>
      <c r="L2937">
        <v>50001</v>
      </c>
      <c r="M2937" t="s">
        <v>39</v>
      </c>
      <c r="N2937">
        <v>651</v>
      </c>
      <c r="O2937" s="2">
        <v>46225</v>
      </c>
      <c r="P2937" s="2">
        <v>46272</v>
      </c>
      <c r="R2937" t="s">
        <v>7846</v>
      </c>
      <c r="S2937" t="str">
        <f>"25666160000051614"</f>
        <v>25666160000051614</v>
      </c>
      <c r="T2937" t="s">
        <v>41</v>
      </c>
      <c r="U2937">
        <v>6655.2</v>
      </c>
      <c r="V2937">
        <v>6655.2</v>
      </c>
      <c r="W2937">
        <v>6655.2</v>
      </c>
      <c r="X2937">
        <v>0</v>
      </c>
      <c r="Y2937">
        <v>0</v>
      </c>
      <c r="Z2937">
        <v>-497</v>
      </c>
      <c r="AA2937">
        <v>1427</v>
      </c>
      <c r="AD2937" t="s">
        <v>5535</v>
      </c>
      <c r="AE2937" t="s">
        <v>7847</v>
      </c>
      <c r="AF2937" t="s">
        <v>5535</v>
      </c>
      <c r="AG2937">
        <v>23472709000276</v>
      </c>
      <c r="AH2937" t="s">
        <v>3024</v>
      </c>
    </row>
    <row r="2938" spans="1:34" x14ac:dyDescent="0.3">
      <c r="A2938">
        <v>104</v>
      </c>
      <c r="B2938" t="s">
        <v>34</v>
      </c>
      <c r="C2938">
        <v>4</v>
      </c>
      <c r="D2938" s="1" t="s">
        <v>7848</v>
      </c>
      <c r="E2938" s="1" t="s">
        <v>116</v>
      </c>
      <c r="G2938">
        <v>468590</v>
      </c>
      <c r="H2938" t="s">
        <v>7844</v>
      </c>
      <c r="I2938" t="s">
        <v>7845</v>
      </c>
      <c r="J2938">
        <v>15</v>
      </c>
      <c r="K2938">
        <v>450226</v>
      </c>
      <c r="L2938">
        <v>50001</v>
      </c>
      <c r="M2938" t="s">
        <v>39</v>
      </c>
      <c r="N2938">
        <v>651</v>
      </c>
      <c r="O2938" s="2">
        <v>46225</v>
      </c>
      <c r="P2938" s="2">
        <v>46286</v>
      </c>
      <c r="R2938" t="s">
        <v>7849</v>
      </c>
      <c r="S2938" t="str">
        <f>"25666160000051612"</f>
        <v>25666160000051612</v>
      </c>
      <c r="T2938" t="s">
        <v>41</v>
      </c>
      <c r="U2938">
        <v>69820.41</v>
      </c>
      <c r="V2938">
        <v>65487.08</v>
      </c>
      <c r="W2938">
        <v>65487.08</v>
      </c>
      <c r="X2938">
        <v>0</v>
      </c>
      <c r="Y2938">
        <v>0</v>
      </c>
      <c r="Z2938">
        <v>-511</v>
      </c>
      <c r="AA2938" t="s">
        <v>7850</v>
      </c>
      <c r="AD2938" t="s">
        <v>5535</v>
      </c>
      <c r="AE2938" t="s">
        <v>7847</v>
      </c>
      <c r="AF2938" t="s">
        <v>5535</v>
      </c>
      <c r="AG2938">
        <v>23472709000276</v>
      </c>
      <c r="AH2938" t="s">
        <v>3024</v>
      </c>
    </row>
    <row r="2939" spans="1:34" x14ac:dyDescent="0.3">
      <c r="A2939">
        <v>104</v>
      </c>
      <c r="B2939" t="s">
        <v>34</v>
      </c>
      <c r="C2939">
        <v>4</v>
      </c>
      <c r="D2939" s="1" t="s">
        <v>7848</v>
      </c>
      <c r="E2939" s="1" t="s">
        <v>122</v>
      </c>
      <c r="G2939">
        <v>468590</v>
      </c>
      <c r="H2939" t="s">
        <v>7844</v>
      </c>
      <c r="I2939" t="s">
        <v>7845</v>
      </c>
      <c r="J2939">
        <v>15</v>
      </c>
      <c r="K2939">
        <v>450226</v>
      </c>
      <c r="L2939">
        <v>50001</v>
      </c>
      <c r="M2939" t="s">
        <v>39</v>
      </c>
      <c r="N2939">
        <v>651</v>
      </c>
      <c r="O2939" s="2">
        <v>46225</v>
      </c>
      <c r="P2939" s="2">
        <v>46272</v>
      </c>
      <c r="R2939" t="s">
        <v>7849</v>
      </c>
      <c r="S2939" t="str">
        <f>"25666160000051611"</f>
        <v>25666160000051611</v>
      </c>
      <c r="T2939" t="s">
        <v>41</v>
      </c>
      <c r="U2939">
        <v>69799.48</v>
      </c>
      <c r="V2939">
        <v>65466.15</v>
      </c>
      <c r="W2939">
        <v>65466.15</v>
      </c>
      <c r="X2939">
        <v>0</v>
      </c>
      <c r="Y2939">
        <v>0</v>
      </c>
      <c r="Z2939">
        <v>-497</v>
      </c>
      <c r="AA2939" t="s">
        <v>7850</v>
      </c>
      <c r="AD2939" t="s">
        <v>5535</v>
      </c>
      <c r="AE2939" t="s">
        <v>7847</v>
      </c>
      <c r="AF2939" t="s">
        <v>5535</v>
      </c>
      <c r="AG2939">
        <v>23472709000276</v>
      </c>
      <c r="AH2939" t="s">
        <v>3024</v>
      </c>
    </row>
    <row r="2940" spans="1:34" x14ac:dyDescent="0.3">
      <c r="A2940">
        <v>104</v>
      </c>
      <c r="B2940" t="s">
        <v>34</v>
      </c>
      <c r="C2940">
        <v>4</v>
      </c>
      <c r="D2940" s="1" t="s">
        <v>7843</v>
      </c>
      <c r="E2940" s="1" t="s">
        <v>116</v>
      </c>
      <c r="G2940">
        <v>468590</v>
      </c>
      <c r="H2940" t="s">
        <v>7844</v>
      </c>
      <c r="I2940" t="s">
        <v>7845</v>
      </c>
      <c r="J2940">
        <v>15</v>
      </c>
      <c r="K2940">
        <v>450226</v>
      </c>
      <c r="L2940">
        <v>50001</v>
      </c>
      <c r="M2940" t="s">
        <v>39</v>
      </c>
      <c r="N2940">
        <v>651</v>
      </c>
      <c r="O2940" s="2">
        <v>46225</v>
      </c>
      <c r="P2940" s="2">
        <v>46286</v>
      </c>
      <c r="R2940" t="s">
        <v>7846</v>
      </c>
      <c r="S2940" t="str">
        <f>"25666160000051615"</f>
        <v>25666160000051615</v>
      </c>
      <c r="T2940" t="s">
        <v>41</v>
      </c>
      <c r="U2940">
        <v>6657.2</v>
      </c>
      <c r="V2940">
        <v>6657.2</v>
      </c>
      <c r="W2940">
        <v>6657.2</v>
      </c>
      <c r="X2940">
        <v>0</v>
      </c>
      <c r="Y2940">
        <v>0</v>
      </c>
      <c r="Z2940">
        <v>-511</v>
      </c>
      <c r="AA2940">
        <v>1427</v>
      </c>
      <c r="AD2940" t="s">
        <v>5535</v>
      </c>
      <c r="AE2940" t="s">
        <v>7847</v>
      </c>
      <c r="AF2940" t="s">
        <v>5535</v>
      </c>
      <c r="AG2940">
        <v>23472709000276</v>
      </c>
      <c r="AH2940" t="s">
        <v>3024</v>
      </c>
    </row>
    <row r="2941" spans="1:34" x14ac:dyDescent="0.3">
      <c r="A2941">
        <v>106</v>
      </c>
      <c r="B2941" t="s">
        <v>34</v>
      </c>
      <c r="C2941">
        <v>2</v>
      </c>
      <c r="D2941" s="1" t="s">
        <v>7851</v>
      </c>
      <c r="E2941" s="1" t="s">
        <v>122</v>
      </c>
      <c r="G2941">
        <v>468590</v>
      </c>
      <c r="H2941" t="s">
        <v>7844</v>
      </c>
      <c r="I2941" t="s">
        <v>7845</v>
      </c>
      <c r="J2941">
        <v>15</v>
      </c>
      <c r="K2941">
        <v>450226</v>
      </c>
      <c r="L2941">
        <v>50001</v>
      </c>
      <c r="M2941" t="s">
        <v>39</v>
      </c>
      <c r="N2941">
        <v>651</v>
      </c>
      <c r="O2941" s="2">
        <v>46225</v>
      </c>
      <c r="P2941" s="2">
        <v>46270</v>
      </c>
      <c r="R2941" t="s">
        <v>7852</v>
      </c>
      <c r="S2941" t="str">
        <f>"25666160000051625"</f>
        <v>25666160000051625</v>
      </c>
      <c r="T2941" t="s">
        <v>41</v>
      </c>
      <c r="U2941">
        <v>24394.58</v>
      </c>
      <c r="V2941">
        <v>24394.58</v>
      </c>
      <c r="W2941">
        <v>24394.58</v>
      </c>
      <c r="X2941">
        <v>0</v>
      </c>
      <c r="Y2941">
        <v>0</v>
      </c>
      <c r="Z2941">
        <v>-495</v>
      </c>
      <c r="AA2941" t="s">
        <v>7853</v>
      </c>
      <c r="AD2941" t="s">
        <v>5535</v>
      </c>
      <c r="AE2941" t="s">
        <v>7847</v>
      </c>
      <c r="AF2941" t="s">
        <v>5535</v>
      </c>
      <c r="AG2941">
        <v>23472709000276</v>
      </c>
      <c r="AH2941" t="s">
        <v>3024</v>
      </c>
    </row>
    <row r="2942" spans="1:34" x14ac:dyDescent="0.3">
      <c r="A2942">
        <v>106</v>
      </c>
      <c r="B2942" t="s">
        <v>34</v>
      </c>
      <c r="C2942">
        <v>2</v>
      </c>
      <c r="D2942" s="1" t="s">
        <v>7851</v>
      </c>
      <c r="E2942" s="1" t="s">
        <v>116</v>
      </c>
      <c r="G2942">
        <v>468590</v>
      </c>
      <c r="H2942" t="s">
        <v>7844</v>
      </c>
      <c r="I2942" t="s">
        <v>7845</v>
      </c>
      <c r="J2942">
        <v>15</v>
      </c>
      <c r="K2942">
        <v>450226</v>
      </c>
      <c r="L2942">
        <v>50001</v>
      </c>
      <c r="M2942" t="s">
        <v>39</v>
      </c>
      <c r="N2942">
        <v>651</v>
      </c>
      <c r="O2942" s="2">
        <v>46225</v>
      </c>
      <c r="P2942" s="2">
        <v>46285</v>
      </c>
      <c r="R2942" t="s">
        <v>7852</v>
      </c>
      <c r="S2942" t="str">
        <f>"25666160000051626"</f>
        <v>25666160000051626</v>
      </c>
      <c r="T2942" t="s">
        <v>41</v>
      </c>
      <c r="U2942">
        <v>24401.89</v>
      </c>
      <c r="V2942">
        <v>24401.89</v>
      </c>
      <c r="W2942">
        <v>24401.89</v>
      </c>
      <c r="X2942">
        <v>0</v>
      </c>
      <c r="Y2942">
        <v>0</v>
      </c>
      <c r="Z2942">
        <v>-510</v>
      </c>
      <c r="AA2942" t="s">
        <v>7853</v>
      </c>
      <c r="AD2942" t="s">
        <v>5535</v>
      </c>
      <c r="AE2942" t="s">
        <v>7847</v>
      </c>
      <c r="AF2942" t="s">
        <v>5535</v>
      </c>
      <c r="AG2942">
        <v>23472709000276</v>
      </c>
      <c r="AH2942" t="s">
        <v>3024</v>
      </c>
    </row>
    <row r="2943" spans="1:34" x14ac:dyDescent="0.3">
      <c r="A2943">
        <v>101</v>
      </c>
      <c r="B2943" t="s">
        <v>34</v>
      </c>
      <c r="C2943">
        <v>2</v>
      </c>
      <c r="D2943" s="1" t="s">
        <v>7854</v>
      </c>
      <c r="E2943" s="1" t="s">
        <v>36</v>
      </c>
      <c r="G2943">
        <v>470595</v>
      </c>
      <c r="H2943" t="s">
        <v>7855</v>
      </c>
      <c r="I2943" t="s">
        <v>7856</v>
      </c>
      <c r="J2943">
        <v>12</v>
      </c>
      <c r="K2943">
        <v>470595</v>
      </c>
      <c r="L2943">
        <v>50001</v>
      </c>
      <c r="M2943" t="s">
        <v>39</v>
      </c>
      <c r="N2943">
        <v>651</v>
      </c>
      <c r="O2943" s="2">
        <v>46251</v>
      </c>
      <c r="P2943" s="2">
        <v>46296</v>
      </c>
      <c r="R2943" t="s">
        <v>7857</v>
      </c>
      <c r="S2943" t="str">
        <f>"25666160000051911"</f>
        <v>25666160000051911</v>
      </c>
      <c r="T2943" t="s">
        <v>41</v>
      </c>
      <c r="U2943">
        <v>856.46</v>
      </c>
      <c r="V2943">
        <v>856.46</v>
      </c>
      <c r="W2943">
        <v>856.46</v>
      </c>
      <c r="X2943">
        <v>0</v>
      </c>
      <c r="Y2943">
        <v>0</v>
      </c>
      <c r="Z2943">
        <v>-521</v>
      </c>
      <c r="AA2943">
        <v>4606</v>
      </c>
      <c r="AD2943" t="s">
        <v>7858</v>
      </c>
      <c r="AE2943" t="s">
        <v>7859</v>
      </c>
      <c r="AF2943" t="s">
        <v>7858</v>
      </c>
      <c r="AG2943">
        <v>10488201000133</v>
      </c>
      <c r="AH2943" t="s">
        <v>3024</v>
      </c>
    </row>
    <row r="2944" spans="1:34" x14ac:dyDescent="0.3">
      <c r="A2944">
        <v>101</v>
      </c>
      <c r="B2944" t="s">
        <v>34</v>
      </c>
      <c r="C2944">
        <v>2</v>
      </c>
      <c r="D2944" s="1" t="s">
        <v>7854</v>
      </c>
      <c r="E2944" s="1" t="s">
        <v>116</v>
      </c>
      <c r="G2944">
        <v>470595</v>
      </c>
      <c r="H2944" t="s">
        <v>7855</v>
      </c>
      <c r="I2944" t="s">
        <v>7856</v>
      </c>
      <c r="J2944">
        <v>12</v>
      </c>
      <c r="K2944">
        <v>470595</v>
      </c>
      <c r="L2944">
        <v>50001</v>
      </c>
      <c r="M2944" t="s">
        <v>39</v>
      </c>
      <c r="N2944">
        <v>651</v>
      </c>
      <c r="O2944" s="2">
        <v>46251</v>
      </c>
      <c r="P2944" s="2">
        <v>46326</v>
      </c>
      <c r="R2944" t="s">
        <v>7857</v>
      </c>
      <c r="S2944" t="str">
        <f>"25666160000051913"</f>
        <v>25666160000051913</v>
      </c>
      <c r="T2944" t="s">
        <v>41</v>
      </c>
      <c r="U2944">
        <v>856.72</v>
      </c>
      <c r="V2944">
        <v>856.72</v>
      </c>
      <c r="W2944">
        <v>856.72</v>
      </c>
      <c r="X2944">
        <v>0</v>
      </c>
      <c r="Y2944">
        <v>0</v>
      </c>
      <c r="Z2944">
        <v>-551</v>
      </c>
      <c r="AA2944">
        <v>4606</v>
      </c>
      <c r="AD2944" t="s">
        <v>7858</v>
      </c>
      <c r="AE2944" t="s">
        <v>7859</v>
      </c>
      <c r="AF2944" t="s">
        <v>7858</v>
      </c>
      <c r="AG2944">
        <v>10488201000133</v>
      </c>
      <c r="AH2944" t="s">
        <v>3024</v>
      </c>
    </row>
    <row r="2945" spans="1:34" x14ac:dyDescent="0.3">
      <c r="A2945">
        <v>101</v>
      </c>
      <c r="B2945" t="s">
        <v>34</v>
      </c>
      <c r="C2945">
        <v>2</v>
      </c>
      <c r="D2945" s="1" t="s">
        <v>7854</v>
      </c>
      <c r="E2945" s="1" t="s">
        <v>122</v>
      </c>
      <c r="G2945">
        <v>470595</v>
      </c>
      <c r="H2945" t="s">
        <v>7855</v>
      </c>
      <c r="I2945" t="s">
        <v>7856</v>
      </c>
      <c r="J2945">
        <v>12</v>
      </c>
      <c r="K2945">
        <v>470595</v>
      </c>
      <c r="L2945">
        <v>50001</v>
      </c>
      <c r="M2945" t="s">
        <v>39</v>
      </c>
      <c r="N2945">
        <v>651</v>
      </c>
      <c r="O2945" s="2">
        <v>46251</v>
      </c>
      <c r="P2945" s="2">
        <v>46311</v>
      </c>
      <c r="R2945" t="s">
        <v>7857</v>
      </c>
      <c r="S2945" t="str">
        <f>"25666160000051912"</f>
        <v>25666160000051912</v>
      </c>
      <c r="T2945" t="s">
        <v>41</v>
      </c>
      <c r="U2945">
        <v>856.46</v>
      </c>
      <c r="V2945">
        <v>856.46</v>
      </c>
      <c r="W2945">
        <v>856.46</v>
      </c>
      <c r="X2945">
        <v>0</v>
      </c>
      <c r="Y2945">
        <v>0</v>
      </c>
      <c r="Z2945">
        <v>-536</v>
      </c>
      <c r="AA2945">
        <v>4606</v>
      </c>
      <c r="AD2945" t="s">
        <v>7858</v>
      </c>
      <c r="AE2945" t="s">
        <v>7859</v>
      </c>
      <c r="AF2945" t="s">
        <v>7858</v>
      </c>
      <c r="AG2945">
        <v>10488201000133</v>
      </c>
      <c r="AH2945" t="s">
        <v>3024</v>
      </c>
    </row>
    <row r="2946" spans="1:34" x14ac:dyDescent="0.3">
      <c r="A2946">
        <v>101</v>
      </c>
      <c r="B2946" t="s">
        <v>34</v>
      </c>
      <c r="C2946">
        <v>2</v>
      </c>
      <c r="D2946" s="1" t="s">
        <v>7860</v>
      </c>
      <c r="E2946" s="1" t="s">
        <v>122</v>
      </c>
      <c r="G2946">
        <v>468813</v>
      </c>
      <c r="H2946" t="s">
        <v>7861</v>
      </c>
      <c r="I2946" t="s">
        <v>7862</v>
      </c>
      <c r="J2946">
        <v>12</v>
      </c>
      <c r="K2946">
        <v>468813</v>
      </c>
      <c r="L2946">
        <v>50237</v>
      </c>
      <c r="M2946" t="s">
        <v>39</v>
      </c>
      <c r="N2946">
        <v>658</v>
      </c>
      <c r="O2946" s="2">
        <v>46198</v>
      </c>
      <c r="P2946" s="2">
        <v>46258</v>
      </c>
      <c r="R2946" t="s">
        <v>7863</v>
      </c>
      <c r="S2946" t="str">
        <f>"330000050612"</f>
        <v>330000050612</v>
      </c>
      <c r="T2946" t="s">
        <v>41</v>
      </c>
      <c r="U2946">
        <v>773.35</v>
      </c>
      <c r="V2946">
        <v>773.35</v>
      </c>
      <c r="W2946">
        <v>773.35</v>
      </c>
      <c r="X2946">
        <v>0</v>
      </c>
      <c r="Y2946">
        <v>0</v>
      </c>
      <c r="Z2946">
        <v>-483</v>
      </c>
      <c r="AA2946">
        <v>691828</v>
      </c>
      <c r="AD2946" t="s">
        <v>5493</v>
      </c>
      <c r="AE2946" t="s">
        <v>7864</v>
      </c>
      <c r="AF2946" t="s">
        <v>5493</v>
      </c>
      <c r="AG2946">
        <v>59458064000183</v>
      </c>
      <c r="AH2946" t="s">
        <v>5494</v>
      </c>
    </row>
    <row r="2947" spans="1:34" x14ac:dyDescent="0.3">
      <c r="A2947">
        <v>101</v>
      </c>
      <c r="B2947" t="s">
        <v>34</v>
      </c>
      <c r="C2947">
        <v>2</v>
      </c>
      <c r="D2947" s="1" t="s">
        <v>7860</v>
      </c>
      <c r="E2947" s="1" t="s">
        <v>116</v>
      </c>
      <c r="G2947">
        <v>468813</v>
      </c>
      <c r="H2947" t="s">
        <v>7861</v>
      </c>
      <c r="I2947" t="s">
        <v>7862</v>
      </c>
      <c r="J2947">
        <v>12</v>
      </c>
      <c r="K2947">
        <v>468813</v>
      </c>
      <c r="L2947">
        <v>50237</v>
      </c>
      <c r="M2947" t="s">
        <v>39</v>
      </c>
      <c r="N2947">
        <v>658</v>
      </c>
      <c r="O2947" s="2">
        <v>46198</v>
      </c>
      <c r="P2947" s="2">
        <v>46274</v>
      </c>
      <c r="R2947" t="s">
        <v>7863</v>
      </c>
      <c r="S2947" t="str">
        <f>"330000050620"</f>
        <v>330000050620</v>
      </c>
      <c r="T2947" t="s">
        <v>41</v>
      </c>
      <c r="U2947">
        <v>773.58</v>
      </c>
      <c r="V2947">
        <v>773.58</v>
      </c>
      <c r="W2947">
        <v>773.58</v>
      </c>
      <c r="X2947">
        <v>0</v>
      </c>
      <c r="Y2947">
        <v>0</v>
      </c>
      <c r="Z2947">
        <v>-499</v>
      </c>
      <c r="AA2947">
        <v>691828</v>
      </c>
      <c r="AD2947" t="s">
        <v>5493</v>
      </c>
      <c r="AE2947" t="s">
        <v>7864</v>
      </c>
      <c r="AF2947" t="s">
        <v>5493</v>
      </c>
      <c r="AG2947">
        <v>59458064000183</v>
      </c>
      <c r="AH2947" t="s">
        <v>5494</v>
      </c>
    </row>
    <row r="2948" spans="1:34" x14ac:dyDescent="0.3">
      <c r="A2948">
        <v>101</v>
      </c>
      <c r="B2948" t="s">
        <v>34</v>
      </c>
      <c r="C2948">
        <v>2</v>
      </c>
      <c r="D2948" s="1" t="s">
        <v>7865</v>
      </c>
      <c r="E2948" s="1" t="s">
        <v>122</v>
      </c>
      <c r="G2948">
        <v>470461</v>
      </c>
      <c r="H2948" t="s">
        <v>7866</v>
      </c>
      <c r="I2948" t="s">
        <v>7867</v>
      </c>
      <c r="J2948">
        <v>12</v>
      </c>
      <c r="K2948">
        <v>470461</v>
      </c>
      <c r="L2948">
        <v>50001</v>
      </c>
      <c r="M2948" t="s">
        <v>39</v>
      </c>
      <c r="N2948">
        <v>658</v>
      </c>
      <c r="O2948" s="2">
        <v>46251</v>
      </c>
      <c r="P2948" s="2">
        <v>46286</v>
      </c>
      <c r="R2948" t="s">
        <v>7868</v>
      </c>
      <c r="S2948" t="str">
        <f>"25666160000051909"</f>
        <v>25666160000051909</v>
      </c>
      <c r="T2948" t="s">
        <v>41</v>
      </c>
      <c r="U2948">
        <v>2108.19</v>
      </c>
      <c r="V2948">
        <v>2108.19</v>
      </c>
      <c r="W2948">
        <v>2108.19</v>
      </c>
      <c r="X2948">
        <v>0</v>
      </c>
      <c r="Y2948">
        <v>0</v>
      </c>
      <c r="Z2948">
        <v>-511</v>
      </c>
      <c r="AA2948">
        <v>4545</v>
      </c>
      <c r="AD2948" t="s">
        <v>7869</v>
      </c>
      <c r="AE2948" t="s">
        <v>7870</v>
      </c>
      <c r="AF2948" t="s">
        <v>7869</v>
      </c>
      <c r="AG2948">
        <v>59777691000187</v>
      </c>
      <c r="AH2948" t="s">
        <v>4609</v>
      </c>
    </row>
    <row r="2949" spans="1:34" x14ac:dyDescent="0.3">
      <c r="A2949">
        <v>101</v>
      </c>
      <c r="B2949" t="s">
        <v>34</v>
      </c>
      <c r="C2949">
        <v>2</v>
      </c>
      <c r="D2949" s="1" t="s">
        <v>7865</v>
      </c>
      <c r="E2949" s="1" t="s">
        <v>36</v>
      </c>
      <c r="G2949">
        <v>470461</v>
      </c>
      <c r="H2949" t="s">
        <v>7866</v>
      </c>
      <c r="I2949" t="s">
        <v>7867</v>
      </c>
      <c r="J2949">
        <v>12</v>
      </c>
      <c r="K2949">
        <v>470461</v>
      </c>
      <c r="L2949">
        <v>50001</v>
      </c>
      <c r="M2949" t="s">
        <v>39</v>
      </c>
      <c r="N2949">
        <v>658</v>
      </c>
      <c r="O2949" s="2">
        <v>46251</v>
      </c>
      <c r="P2949" s="2">
        <v>46279</v>
      </c>
      <c r="R2949" t="s">
        <v>7868</v>
      </c>
      <c r="S2949" t="str">
        <f>"25666160000051908"</f>
        <v>25666160000051908</v>
      </c>
      <c r="T2949" t="s">
        <v>41</v>
      </c>
      <c r="U2949">
        <v>2108.19</v>
      </c>
      <c r="V2949">
        <v>2108.19</v>
      </c>
      <c r="W2949">
        <v>2108.19</v>
      </c>
      <c r="X2949">
        <v>0</v>
      </c>
      <c r="Y2949">
        <v>0</v>
      </c>
      <c r="Z2949">
        <v>-504</v>
      </c>
      <c r="AA2949">
        <v>4545</v>
      </c>
      <c r="AD2949" t="s">
        <v>7869</v>
      </c>
      <c r="AE2949" t="s">
        <v>7870</v>
      </c>
      <c r="AF2949" t="s">
        <v>7869</v>
      </c>
      <c r="AG2949">
        <v>59777691000187</v>
      </c>
      <c r="AH2949" t="s">
        <v>4609</v>
      </c>
    </row>
    <row r="2950" spans="1:34" x14ac:dyDescent="0.3">
      <c r="A2950">
        <v>101</v>
      </c>
      <c r="B2950" t="s">
        <v>34</v>
      </c>
      <c r="C2950">
        <v>2</v>
      </c>
      <c r="D2950" s="1" t="s">
        <v>7865</v>
      </c>
      <c r="E2950" s="1" t="s">
        <v>116</v>
      </c>
      <c r="G2950">
        <v>470461</v>
      </c>
      <c r="H2950" t="s">
        <v>7866</v>
      </c>
      <c r="I2950" t="s">
        <v>7867</v>
      </c>
      <c r="J2950">
        <v>12</v>
      </c>
      <c r="K2950">
        <v>470461</v>
      </c>
      <c r="L2950">
        <v>50001</v>
      </c>
      <c r="M2950" t="s">
        <v>39</v>
      </c>
      <c r="N2950">
        <v>658</v>
      </c>
      <c r="O2950" s="2">
        <v>46251</v>
      </c>
      <c r="P2950" s="2">
        <v>46293</v>
      </c>
      <c r="R2950" t="s">
        <v>7868</v>
      </c>
      <c r="S2950" t="str">
        <f>"25666160000051910"</f>
        <v>25666160000051910</v>
      </c>
      <c r="T2950" t="s">
        <v>41</v>
      </c>
      <c r="U2950">
        <v>2108.8200000000002</v>
      </c>
      <c r="V2950">
        <v>2108.8200000000002</v>
      </c>
      <c r="W2950">
        <v>2108.8200000000002</v>
      </c>
      <c r="X2950">
        <v>0</v>
      </c>
      <c r="Y2950">
        <v>0</v>
      </c>
      <c r="Z2950">
        <v>-518</v>
      </c>
      <c r="AA2950">
        <v>4545</v>
      </c>
      <c r="AD2950" t="s">
        <v>7869</v>
      </c>
      <c r="AE2950" t="s">
        <v>7870</v>
      </c>
      <c r="AF2950" t="s">
        <v>7869</v>
      </c>
      <c r="AG2950">
        <v>59777691000187</v>
      </c>
      <c r="AH2950" t="s">
        <v>4609</v>
      </c>
    </row>
    <row r="2951" spans="1:34" x14ac:dyDescent="0.3">
      <c r="A2951">
        <v>101</v>
      </c>
      <c r="B2951" t="s">
        <v>34</v>
      </c>
      <c r="C2951">
        <v>2</v>
      </c>
      <c r="D2951" s="1" t="s">
        <v>7871</v>
      </c>
      <c r="E2951" s="1" t="s">
        <v>116</v>
      </c>
      <c r="G2951">
        <v>470461</v>
      </c>
      <c r="H2951" t="s">
        <v>7866</v>
      </c>
      <c r="I2951" t="s">
        <v>7867</v>
      </c>
      <c r="J2951">
        <v>12</v>
      </c>
      <c r="K2951">
        <v>470461</v>
      </c>
      <c r="L2951">
        <v>50001</v>
      </c>
      <c r="M2951" t="s">
        <v>39</v>
      </c>
      <c r="N2951">
        <v>658</v>
      </c>
      <c r="O2951" s="2">
        <v>46219</v>
      </c>
      <c r="P2951" s="2">
        <v>46261</v>
      </c>
      <c r="R2951" t="s">
        <v>7872</v>
      </c>
      <c r="S2951" t="str">
        <f>"25666160000051487"</f>
        <v>25666160000051487</v>
      </c>
      <c r="T2951" t="s">
        <v>41</v>
      </c>
      <c r="U2951">
        <v>2108.8200000000002</v>
      </c>
      <c r="V2951">
        <v>2108.8200000000002</v>
      </c>
      <c r="W2951">
        <v>2108.8200000000002</v>
      </c>
      <c r="X2951">
        <v>0</v>
      </c>
      <c r="Y2951">
        <v>0</v>
      </c>
      <c r="Z2951">
        <v>-486</v>
      </c>
      <c r="AA2951">
        <v>1093</v>
      </c>
      <c r="AD2951" t="s">
        <v>7869</v>
      </c>
      <c r="AE2951" t="s">
        <v>7870</v>
      </c>
      <c r="AF2951" t="s">
        <v>7869</v>
      </c>
      <c r="AG2951">
        <v>59777691000187</v>
      </c>
      <c r="AH2951" t="s">
        <v>4609</v>
      </c>
    </row>
    <row r="2952" spans="1:34" x14ac:dyDescent="0.3">
      <c r="A2952">
        <v>101</v>
      </c>
      <c r="B2952" t="s">
        <v>34</v>
      </c>
      <c r="C2952">
        <v>2</v>
      </c>
      <c r="D2952" s="1" t="s">
        <v>7873</v>
      </c>
      <c r="E2952" s="1" t="s">
        <v>116</v>
      </c>
      <c r="G2952">
        <v>470848</v>
      </c>
      <c r="H2952" t="s">
        <v>7874</v>
      </c>
      <c r="I2952" t="s">
        <v>7875</v>
      </c>
      <c r="J2952">
        <v>12</v>
      </c>
      <c r="K2952">
        <v>470848</v>
      </c>
      <c r="L2952">
        <v>50001</v>
      </c>
      <c r="M2952" t="s">
        <v>39</v>
      </c>
      <c r="N2952">
        <v>658</v>
      </c>
      <c r="O2952" s="2">
        <v>46189</v>
      </c>
      <c r="P2952" s="2">
        <v>46260</v>
      </c>
      <c r="R2952" t="s">
        <v>7876</v>
      </c>
      <c r="S2952" t="str">
        <f>"25666160000051052"</f>
        <v>25666160000051052</v>
      </c>
      <c r="T2952" t="s">
        <v>41</v>
      </c>
      <c r="U2952">
        <v>846.65</v>
      </c>
      <c r="V2952">
        <v>846.65</v>
      </c>
      <c r="W2952">
        <v>846.65</v>
      </c>
      <c r="X2952">
        <v>0</v>
      </c>
      <c r="Y2952">
        <v>0</v>
      </c>
      <c r="Z2952">
        <v>-485</v>
      </c>
      <c r="AA2952">
        <v>691472</v>
      </c>
      <c r="AD2952" t="s">
        <v>6356</v>
      </c>
      <c r="AE2952" t="s">
        <v>7877</v>
      </c>
      <c r="AF2952" t="s">
        <v>6356</v>
      </c>
      <c r="AG2952">
        <v>90528084000123</v>
      </c>
      <c r="AH2952" t="s">
        <v>4609</v>
      </c>
    </row>
    <row r="2953" spans="1:34" x14ac:dyDescent="0.3">
      <c r="A2953">
        <v>101</v>
      </c>
      <c r="B2953" t="s">
        <v>34</v>
      </c>
      <c r="C2953">
        <v>2</v>
      </c>
      <c r="D2953" s="1" t="s">
        <v>7878</v>
      </c>
      <c r="E2953" s="1" t="s">
        <v>116</v>
      </c>
      <c r="G2953">
        <v>470849</v>
      </c>
      <c r="H2953" t="s">
        <v>7879</v>
      </c>
      <c r="I2953" t="s">
        <v>7880</v>
      </c>
      <c r="J2953">
        <v>12</v>
      </c>
      <c r="K2953">
        <v>470849</v>
      </c>
      <c r="L2953">
        <v>50001</v>
      </c>
      <c r="M2953" t="s">
        <v>39</v>
      </c>
      <c r="N2953">
        <v>658</v>
      </c>
      <c r="O2953" s="2">
        <v>46189</v>
      </c>
      <c r="P2953" s="2">
        <v>46260</v>
      </c>
      <c r="R2953" t="s">
        <v>7881</v>
      </c>
      <c r="S2953" t="str">
        <f>"25666160000051055"</f>
        <v>25666160000051055</v>
      </c>
      <c r="T2953" t="s">
        <v>41</v>
      </c>
      <c r="U2953">
        <v>846.65</v>
      </c>
      <c r="V2953">
        <v>846.65</v>
      </c>
      <c r="W2953">
        <v>846.65</v>
      </c>
      <c r="X2953">
        <v>0</v>
      </c>
      <c r="Y2953">
        <v>0</v>
      </c>
      <c r="Z2953">
        <v>-485</v>
      </c>
      <c r="AA2953">
        <v>691480</v>
      </c>
      <c r="AD2953" t="s">
        <v>6356</v>
      </c>
      <c r="AE2953" t="s">
        <v>7882</v>
      </c>
      <c r="AF2953" t="s">
        <v>6356</v>
      </c>
      <c r="AG2953">
        <v>32882451000196</v>
      </c>
      <c r="AH2953" t="s">
        <v>4609</v>
      </c>
    </row>
    <row r="2954" spans="1:34" x14ac:dyDescent="0.3">
      <c r="A2954">
        <v>101</v>
      </c>
      <c r="B2954" t="s">
        <v>34</v>
      </c>
      <c r="C2954">
        <v>2</v>
      </c>
      <c r="D2954" s="1" t="s">
        <v>7883</v>
      </c>
      <c r="E2954" s="1" t="s">
        <v>36</v>
      </c>
      <c r="G2954">
        <v>436678</v>
      </c>
      <c r="H2954" t="s">
        <v>7884</v>
      </c>
      <c r="I2954" t="s">
        <v>2413</v>
      </c>
      <c r="J2954">
        <v>28</v>
      </c>
      <c r="K2954">
        <v>2695</v>
      </c>
      <c r="L2954">
        <v>95000</v>
      </c>
      <c r="M2954" t="s">
        <v>69</v>
      </c>
      <c r="N2954">
        <v>663</v>
      </c>
      <c r="O2954" s="2">
        <v>46188</v>
      </c>
      <c r="P2954" s="2">
        <v>46296</v>
      </c>
      <c r="R2954" t="s">
        <v>7885</v>
      </c>
      <c r="S2954" t="str">
        <f>""</f>
        <v/>
      </c>
      <c r="T2954" t="s">
        <v>41</v>
      </c>
      <c r="U2954">
        <v>17298.240000000002</v>
      </c>
      <c r="V2954">
        <v>17107.96</v>
      </c>
      <c r="W2954">
        <v>17107.96</v>
      </c>
      <c r="X2954">
        <v>0</v>
      </c>
      <c r="Y2954">
        <v>0</v>
      </c>
      <c r="Z2954">
        <v>-521</v>
      </c>
      <c r="AA2954">
        <v>691203</v>
      </c>
      <c r="AD2954" t="s">
        <v>5531</v>
      </c>
      <c r="AE2954" t="s">
        <v>7886</v>
      </c>
      <c r="AF2954" t="s">
        <v>5531</v>
      </c>
      <c r="AG2954" s="1" t="s">
        <v>7887</v>
      </c>
      <c r="AH2954" t="s">
        <v>423</v>
      </c>
    </row>
    <row r="2955" spans="1:34" x14ac:dyDescent="0.3">
      <c r="A2955">
        <v>101</v>
      </c>
      <c r="B2955" t="s">
        <v>34</v>
      </c>
      <c r="C2955">
        <v>2</v>
      </c>
      <c r="D2955" s="1" t="s">
        <v>7888</v>
      </c>
      <c r="E2955" s="1" t="s">
        <v>36</v>
      </c>
      <c r="G2955">
        <v>436678</v>
      </c>
      <c r="H2955" t="s">
        <v>7884</v>
      </c>
      <c r="I2955" t="s">
        <v>2413</v>
      </c>
      <c r="J2955">
        <v>28</v>
      </c>
      <c r="K2955">
        <v>2695</v>
      </c>
      <c r="L2955">
        <v>95000</v>
      </c>
      <c r="M2955" t="s">
        <v>69</v>
      </c>
      <c r="N2955">
        <v>663</v>
      </c>
      <c r="O2955" s="2">
        <v>46254</v>
      </c>
      <c r="P2955" s="2">
        <v>46344</v>
      </c>
      <c r="R2955" t="s">
        <v>7889</v>
      </c>
      <c r="S2955" t="str">
        <f>""</f>
        <v/>
      </c>
      <c r="T2955" t="s">
        <v>41</v>
      </c>
      <c r="U2955">
        <v>39221.800000000003</v>
      </c>
      <c r="V2955">
        <v>38790.36</v>
      </c>
      <c r="W2955">
        <v>38790.36</v>
      </c>
      <c r="X2955">
        <v>0</v>
      </c>
      <c r="Y2955">
        <v>0</v>
      </c>
      <c r="Z2955">
        <v>-569</v>
      </c>
      <c r="AA2955">
        <v>697124</v>
      </c>
      <c r="AD2955" t="s">
        <v>5531</v>
      </c>
      <c r="AE2955" t="s">
        <v>7886</v>
      </c>
      <c r="AF2955" t="s">
        <v>5531</v>
      </c>
      <c r="AG2955" s="1" t="s">
        <v>7887</v>
      </c>
      <c r="AH2955" t="s">
        <v>423</v>
      </c>
    </row>
    <row r="2956" spans="1:34" x14ac:dyDescent="0.3">
      <c r="A2956">
        <v>101</v>
      </c>
      <c r="B2956" t="s">
        <v>34</v>
      </c>
      <c r="C2956">
        <v>2</v>
      </c>
      <c r="D2956" s="1" t="s">
        <v>7890</v>
      </c>
      <c r="E2956" s="1" t="s">
        <v>36</v>
      </c>
      <c r="G2956">
        <v>436679</v>
      </c>
      <c r="H2956" t="s">
        <v>7891</v>
      </c>
      <c r="I2956" t="s">
        <v>2413</v>
      </c>
      <c r="J2956">
        <v>28</v>
      </c>
      <c r="K2956">
        <v>2695</v>
      </c>
      <c r="L2956">
        <v>95000</v>
      </c>
      <c r="M2956" t="s">
        <v>69</v>
      </c>
      <c r="N2956">
        <v>663</v>
      </c>
      <c r="O2956" s="2">
        <v>46188</v>
      </c>
      <c r="P2956" s="2">
        <v>46296</v>
      </c>
      <c r="R2956" t="s">
        <v>7892</v>
      </c>
      <c r="S2956" t="str">
        <f>""</f>
        <v/>
      </c>
      <c r="T2956" t="s">
        <v>41</v>
      </c>
      <c r="U2956">
        <v>16005.27</v>
      </c>
      <c r="V2956">
        <v>15829.21</v>
      </c>
      <c r="W2956">
        <v>15829.21</v>
      </c>
      <c r="X2956">
        <v>0</v>
      </c>
      <c r="Y2956">
        <v>0</v>
      </c>
      <c r="Z2956">
        <v>-521</v>
      </c>
      <c r="AA2956">
        <v>691207</v>
      </c>
      <c r="AD2956" t="s">
        <v>4884</v>
      </c>
      <c r="AE2956" t="s">
        <v>2567</v>
      </c>
      <c r="AF2956" t="s">
        <v>4884</v>
      </c>
      <c r="AG2956" s="1" t="s">
        <v>7893</v>
      </c>
      <c r="AH2956" t="s">
        <v>423</v>
      </c>
    </row>
    <row r="2957" spans="1:34" x14ac:dyDescent="0.3">
      <c r="A2957">
        <v>101</v>
      </c>
      <c r="B2957" t="s">
        <v>34</v>
      </c>
      <c r="C2957">
        <v>2</v>
      </c>
      <c r="D2957" s="1" t="s">
        <v>7894</v>
      </c>
      <c r="E2957" s="1" t="s">
        <v>36</v>
      </c>
      <c r="G2957">
        <v>436679</v>
      </c>
      <c r="H2957" t="s">
        <v>7891</v>
      </c>
      <c r="I2957" t="s">
        <v>2413</v>
      </c>
      <c r="J2957">
        <v>28</v>
      </c>
      <c r="K2957">
        <v>2695</v>
      </c>
      <c r="L2957">
        <v>95000</v>
      </c>
      <c r="M2957" t="s">
        <v>69</v>
      </c>
      <c r="N2957">
        <v>663</v>
      </c>
      <c r="O2957" s="2">
        <v>46254</v>
      </c>
      <c r="P2957" s="2">
        <v>46344</v>
      </c>
      <c r="R2957" t="s">
        <v>7895</v>
      </c>
      <c r="S2957" t="str">
        <f>""</f>
        <v/>
      </c>
      <c r="T2957" t="s">
        <v>41</v>
      </c>
      <c r="U2957">
        <v>29220.74</v>
      </c>
      <c r="V2957">
        <v>28899.31</v>
      </c>
      <c r="W2957">
        <v>28899.31</v>
      </c>
      <c r="X2957">
        <v>0</v>
      </c>
      <c r="Y2957">
        <v>0</v>
      </c>
      <c r="Z2957">
        <v>-569</v>
      </c>
      <c r="AA2957">
        <v>697128</v>
      </c>
      <c r="AD2957" t="s">
        <v>4884</v>
      </c>
      <c r="AE2957" t="s">
        <v>2567</v>
      </c>
      <c r="AF2957" t="s">
        <v>4884</v>
      </c>
      <c r="AG2957" s="1" t="s">
        <v>7893</v>
      </c>
      <c r="AH2957" t="s">
        <v>423</v>
      </c>
    </row>
    <row r="2958" spans="1:34" x14ac:dyDescent="0.3">
      <c r="A2958">
        <v>101</v>
      </c>
      <c r="B2958" t="s">
        <v>34</v>
      </c>
      <c r="C2958">
        <v>2</v>
      </c>
      <c r="D2958" s="1" t="s">
        <v>7896</v>
      </c>
      <c r="E2958" s="1" t="s">
        <v>36</v>
      </c>
      <c r="G2958">
        <v>436679</v>
      </c>
      <c r="H2958" t="s">
        <v>7891</v>
      </c>
      <c r="I2958" t="s">
        <v>2413</v>
      </c>
      <c r="J2958">
        <v>28</v>
      </c>
      <c r="K2958">
        <v>2695</v>
      </c>
      <c r="L2958">
        <v>95000</v>
      </c>
      <c r="M2958" t="s">
        <v>69</v>
      </c>
      <c r="N2958">
        <v>663</v>
      </c>
      <c r="O2958" s="2">
        <v>46141</v>
      </c>
      <c r="P2958" s="2">
        <v>46255</v>
      </c>
      <c r="R2958" t="s">
        <v>7897</v>
      </c>
      <c r="S2958" t="str">
        <f>""</f>
        <v/>
      </c>
      <c r="T2958" t="s">
        <v>41</v>
      </c>
      <c r="U2958">
        <v>29561.43</v>
      </c>
      <c r="V2958">
        <v>29236.25</v>
      </c>
      <c r="W2958">
        <v>29236.25</v>
      </c>
      <c r="X2958">
        <v>0</v>
      </c>
      <c r="Y2958">
        <v>0</v>
      </c>
      <c r="Z2958">
        <v>-480</v>
      </c>
      <c r="AA2958">
        <v>687371</v>
      </c>
      <c r="AD2958" t="s">
        <v>4884</v>
      </c>
      <c r="AE2958" t="s">
        <v>2567</v>
      </c>
      <c r="AF2958" t="s">
        <v>4884</v>
      </c>
      <c r="AG2958" s="1" t="s">
        <v>7893</v>
      </c>
      <c r="AH2958" t="s">
        <v>423</v>
      </c>
    </row>
    <row r="2959" spans="1:34" x14ac:dyDescent="0.3">
      <c r="A2959">
        <v>101</v>
      </c>
      <c r="B2959" t="s">
        <v>34</v>
      </c>
      <c r="C2959">
        <v>2</v>
      </c>
      <c r="D2959" s="1" t="s">
        <v>7898</v>
      </c>
      <c r="E2959" s="1" t="s">
        <v>36</v>
      </c>
      <c r="G2959">
        <v>436688</v>
      </c>
      <c r="H2959" t="s">
        <v>7899</v>
      </c>
      <c r="I2959" t="s">
        <v>2413</v>
      </c>
      <c r="J2959">
        <v>28</v>
      </c>
      <c r="K2959">
        <v>2695</v>
      </c>
      <c r="L2959">
        <v>95000</v>
      </c>
      <c r="M2959" t="s">
        <v>69</v>
      </c>
      <c r="N2959">
        <v>663</v>
      </c>
      <c r="O2959" s="2">
        <v>46254</v>
      </c>
      <c r="P2959" s="2">
        <v>46344</v>
      </c>
      <c r="R2959" t="s">
        <v>7900</v>
      </c>
      <c r="S2959" t="str">
        <f>""</f>
        <v/>
      </c>
      <c r="T2959" t="s">
        <v>41</v>
      </c>
      <c r="U2959">
        <v>36494.97</v>
      </c>
      <c r="V2959">
        <v>36093.53</v>
      </c>
      <c r="W2959">
        <v>36093.53</v>
      </c>
      <c r="X2959">
        <v>0</v>
      </c>
      <c r="Y2959">
        <v>0</v>
      </c>
      <c r="Z2959">
        <v>-569</v>
      </c>
      <c r="AA2959">
        <v>697126</v>
      </c>
      <c r="AD2959" t="s">
        <v>6891</v>
      </c>
      <c r="AF2959" t="s">
        <v>6891</v>
      </c>
      <c r="AG2959" s="1" t="s">
        <v>7901</v>
      </c>
      <c r="AH2959" t="s">
        <v>423</v>
      </c>
    </row>
    <row r="2960" spans="1:34" x14ac:dyDescent="0.3">
      <c r="A2960">
        <v>101</v>
      </c>
      <c r="B2960" t="s">
        <v>34</v>
      </c>
      <c r="C2960">
        <v>2</v>
      </c>
      <c r="D2960" s="1" t="s">
        <v>7902</v>
      </c>
      <c r="E2960" s="1" t="s">
        <v>36</v>
      </c>
      <c r="G2960">
        <v>436688</v>
      </c>
      <c r="H2960" t="s">
        <v>7899</v>
      </c>
      <c r="I2960" t="s">
        <v>2413</v>
      </c>
      <c r="J2960">
        <v>28</v>
      </c>
      <c r="K2960">
        <v>2695</v>
      </c>
      <c r="L2960">
        <v>95000</v>
      </c>
      <c r="M2960" t="s">
        <v>69</v>
      </c>
      <c r="N2960">
        <v>663</v>
      </c>
      <c r="O2960" s="2">
        <v>46141</v>
      </c>
      <c r="P2960" s="2">
        <v>46245</v>
      </c>
      <c r="R2960" t="s">
        <v>7903</v>
      </c>
      <c r="S2960" t="str">
        <f>""</f>
        <v/>
      </c>
      <c r="T2960" t="s">
        <v>41</v>
      </c>
      <c r="U2960">
        <v>42754.44</v>
      </c>
      <c r="V2960">
        <v>24692.400000000001</v>
      </c>
      <c r="W2960">
        <v>24692.400000000001</v>
      </c>
      <c r="X2960">
        <v>0</v>
      </c>
      <c r="Y2960">
        <v>0</v>
      </c>
      <c r="Z2960">
        <v>-470</v>
      </c>
      <c r="AA2960">
        <v>687369</v>
      </c>
      <c r="AD2960" t="s">
        <v>6891</v>
      </c>
      <c r="AF2960" t="s">
        <v>6891</v>
      </c>
      <c r="AG2960" s="1" t="s">
        <v>7901</v>
      </c>
      <c r="AH2960" t="s">
        <v>423</v>
      </c>
    </row>
    <row r="2961" spans="1:34" x14ac:dyDescent="0.3">
      <c r="A2961">
        <v>101</v>
      </c>
      <c r="B2961" t="s">
        <v>34</v>
      </c>
      <c r="C2961">
        <v>2</v>
      </c>
      <c r="D2961" s="1" t="s">
        <v>7904</v>
      </c>
      <c r="E2961" s="1" t="s">
        <v>36</v>
      </c>
      <c r="G2961">
        <v>436688</v>
      </c>
      <c r="H2961" t="s">
        <v>7899</v>
      </c>
      <c r="I2961" t="s">
        <v>2413</v>
      </c>
      <c r="J2961">
        <v>28</v>
      </c>
      <c r="K2961">
        <v>2695</v>
      </c>
      <c r="L2961">
        <v>95000</v>
      </c>
      <c r="M2961" t="s">
        <v>69</v>
      </c>
      <c r="N2961">
        <v>663</v>
      </c>
      <c r="O2961" s="2">
        <v>46188</v>
      </c>
      <c r="P2961" s="2">
        <v>46296</v>
      </c>
      <c r="R2961" t="s">
        <v>7905</v>
      </c>
      <c r="S2961" t="str">
        <f>""</f>
        <v/>
      </c>
      <c r="T2961" t="s">
        <v>41</v>
      </c>
      <c r="U2961">
        <v>20591.919999999998</v>
      </c>
      <c r="V2961">
        <v>20365.41</v>
      </c>
      <c r="W2961">
        <v>20365.41</v>
      </c>
      <c r="X2961">
        <v>0</v>
      </c>
      <c r="Y2961">
        <v>0</v>
      </c>
      <c r="Z2961">
        <v>-521</v>
      </c>
      <c r="AA2961">
        <v>691205</v>
      </c>
      <c r="AD2961" t="s">
        <v>6891</v>
      </c>
      <c r="AF2961" t="s">
        <v>6891</v>
      </c>
      <c r="AG2961" s="1" t="s">
        <v>7901</v>
      </c>
      <c r="AH2961" t="s">
        <v>423</v>
      </c>
    </row>
    <row r="2962" spans="1:34" x14ac:dyDescent="0.3">
      <c r="A2962">
        <v>101</v>
      </c>
      <c r="B2962" t="s">
        <v>34</v>
      </c>
      <c r="C2962">
        <v>2</v>
      </c>
      <c r="D2962" s="1" t="s">
        <v>7906</v>
      </c>
      <c r="E2962" s="1" t="s">
        <v>36</v>
      </c>
      <c r="G2962">
        <v>451927</v>
      </c>
      <c r="H2962" t="s">
        <v>7622</v>
      </c>
      <c r="I2962" t="s">
        <v>2413</v>
      </c>
      <c r="J2962">
        <v>38</v>
      </c>
      <c r="K2962">
        <v>2695</v>
      </c>
      <c r="L2962">
        <v>95000</v>
      </c>
      <c r="M2962" t="s">
        <v>69</v>
      </c>
      <c r="N2962">
        <v>663</v>
      </c>
      <c r="O2962" s="2">
        <v>46142</v>
      </c>
      <c r="P2962" s="2">
        <v>46266</v>
      </c>
      <c r="R2962" t="s">
        <v>7907</v>
      </c>
      <c r="S2962" t="str">
        <f>""</f>
        <v/>
      </c>
      <c r="T2962" t="s">
        <v>41</v>
      </c>
      <c r="U2962">
        <v>12442.31</v>
      </c>
      <c r="V2962">
        <v>12305.44</v>
      </c>
      <c r="W2962">
        <v>12305.44</v>
      </c>
      <c r="X2962">
        <v>0</v>
      </c>
      <c r="Y2962">
        <v>0</v>
      </c>
      <c r="Z2962">
        <v>-491</v>
      </c>
      <c r="AA2962">
        <v>687373</v>
      </c>
      <c r="AD2962" t="s">
        <v>5614</v>
      </c>
      <c r="AE2962" t="s">
        <v>5287</v>
      </c>
      <c r="AF2962" t="s">
        <v>5614</v>
      </c>
      <c r="AG2962" s="1" t="s">
        <v>7624</v>
      </c>
      <c r="AH2962" t="s">
        <v>5569</v>
      </c>
    </row>
    <row r="2963" spans="1:34" x14ac:dyDescent="0.3">
      <c r="A2963">
        <v>101</v>
      </c>
      <c r="B2963" t="s">
        <v>34</v>
      </c>
      <c r="C2963">
        <v>2</v>
      </c>
      <c r="D2963" s="1" t="s">
        <v>7908</v>
      </c>
      <c r="E2963" s="1" t="s">
        <v>36</v>
      </c>
      <c r="G2963">
        <v>453415</v>
      </c>
      <c r="H2963" t="s">
        <v>7909</v>
      </c>
      <c r="I2963" t="s">
        <v>2413</v>
      </c>
      <c r="J2963">
        <v>28</v>
      </c>
      <c r="K2963">
        <v>2695</v>
      </c>
      <c r="L2963">
        <v>95000</v>
      </c>
      <c r="M2963" t="s">
        <v>69</v>
      </c>
      <c r="N2963">
        <v>663</v>
      </c>
      <c r="O2963" s="2">
        <v>46188</v>
      </c>
      <c r="P2963" s="2">
        <v>46296</v>
      </c>
      <c r="R2963" t="s">
        <v>7910</v>
      </c>
      <c r="S2963" t="str">
        <f>""</f>
        <v/>
      </c>
      <c r="T2963" t="s">
        <v>41</v>
      </c>
      <c r="U2963">
        <v>54173.22</v>
      </c>
      <c r="V2963">
        <v>53577.31</v>
      </c>
      <c r="W2963">
        <v>53577.31</v>
      </c>
      <c r="X2963">
        <v>0</v>
      </c>
      <c r="Y2963">
        <v>0</v>
      </c>
      <c r="Z2963">
        <v>-521</v>
      </c>
      <c r="AA2963">
        <v>691209</v>
      </c>
      <c r="AD2963" t="s">
        <v>6885</v>
      </c>
      <c r="AE2963" t="s">
        <v>7911</v>
      </c>
      <c r="AF2963" t="s">
        <v>6885</v>
      </c>
      <c r="AG2963" s="1" t="s">
        <v>7912</v>
      </c>
      <c r="AH2963" t="s">
        <v>423</v>
      </c>
    </row>
    <row r="2964" spans="1:34" x14ac:dyDescent="0.3">
      <c r="A2964">
        <v>101</v>
      </c>
      <c r="B2964" t="s">
        <v>34</v>
      </c>
      <c r="C2964">
        <v>2</v>
      </c>
      <c r="D2964" s="1" t="s">
        <v>7913</v>
      </c>
      <c r="E2964" s="1" t="s">
        <v>36</v>
      </c>
      <c r="G2964">
        <v>453415</v>
      </c>
      <c r="H2964" t="s">
        <v>7909</v>
      </c>
      <c r="I2964" t="s">
        <v>2413</v>
      </c>
      <c r="J2964">
        <v>28</v>
      </c>
      <c r="K2964">
        <v>2695</v>
      </c>
      <c r="L2964">
        <v>95000</v>
      </c>
      <c r="M2964" t="s">
        <v>69</v>
      </c>
      <c r="N2964">
        <v>663</v>
      </c>
      <c r="O2964" s="2">
        <v>46254</v>
      </c>
      <c r="P2964" s="2">
        <v>46344</v>
      </c>
      <c r="R2964" t="s">
        <v>7914</v>
      </c>
      <c r="S2964" t="str">
        <f>""</f>
        <v/>
      </c>
      <c r="T2964" t="s">
        <v>41</v>
      </c>
      <c r="U2964">
        <v>52445.21</v>
      </c>
      <c r="V2964">
        <v>51868.31</v>
      </c>
      <c r="W2964">
        <v>51868.31</v>
      </c>
      <c r="X2964">
        <v>0</v>
      </c>
      <c r="Y2964">
        <v>0</v>
      </c>
      <c r="Z2964">
        <v>-569</v>
      </c>
      <c r="AA2964">
        <v>697130</v>
      </c>
      <c r="AD2964" t="s">
        <v>6885</v>
      </c>
      <c r="AE2964" t="s">
        <v>7911</v>
      </c>
      <c r="AF2964" t="s">
        <v>6885</v>
      </c>
      <c r="AG2964" s="1" t="s">
        <v>7912</v>
      </c>
      <c r="AH2964" t="s">
        <v>423</v>
      </c>
    </row>
    <row r="2965" spans="1:34" x14ac:dyDescent="0.3">
      <c r="A2965">
        <v>101</v>
      </c>
      <c r="B2965" t="s">
        <v>34</v>
      </c>
      <c r="C2965">
        <v>2</v>
      </c>
      <c r="D2965" s="1" t="s">
        <v>7915</v>
      </c>
      <c r="E2965" s="1" t="s">
        <v>36</v>
      </c>
      <c r="G2965">
        <v>454092</v>
      </c>
      <c r="H2965" t="s">
        <v>7635</v>
      </c>
      <c r="I2965" t="s">
        <v>2413</v>
      </c>
      <c r="J2965">
        <v>38</v>
      </c>
      <c r="K2965">
        <v>2695</v>
      </c>
      <c r="L2965">
        <v>95000</v>
      </c>
      <c r="M2965" t="s">
        <v>69</v>
      </c>
      <c r="N2965">
        <v>663</v>
      </c>
      <c r="O2965" s="2">
        <v>46142</v>
      </c>
      <c r="P2965" s="2">
        <v>46266</v>
      </c>
      <c r="R2965" t="s">
        <v>7916</v>
      </c>
      <c r="S2965" t="str">
        <f>""</f>
        <v/>
      </c>
      <c r="T2965" t="s">
        <v>41</v>
      </c>
      <c r="U2965">
        <v>22910.5</v>
      </c>
      <c r="V2965">
        <v>22658.48</v>
      </c>
      <c r="W2965">
        <v>22658.48</v>
      </c>
      <c r="X2965">
        <v>0</v>
      </c>
      <c r="Y2965">
        <v>0</v>
      </c>
      <c r="Z2965">
        <v>-491</v>
      </c>
      <c r="AA2965">
        <v>687379</v>
      </c>
      <c r="AD2965" t="s">
        <v>5642</v>
      </c>
      <c r="AE2965">
        <v>1134115000</v>
      </c>
      <c r="AF2965" t="s">
        <v>5642</v>
      </c>
      <c r="AG2965" s="1" t="s">
        <v>7637</v>
      </c>
      <c r="AH2965" t="s">
        <v>5644</v>
      </c>
    </row>
    <row r="2966" spans="1:34" x14ac:dyDescent="0.3">
      <c r="A2966">
        <v>101</v>
      </c>
      <c r="B2966" t="s">
        <v>34</v>
      </c>
      <c r="C2966">
        <v>2</v>
      </c>
      <c r="D2966" s="1" t="s">
        <v>7917</v>
      </c>
      <c r="E2966" s="1" t="s">
        <v>36</v>
      </c>
      <c r="G2966">
        <v>454402</v>
      </c>
      <c r="H2966" t="s">
        <v>7918</v>
      </c>
      <c r="I2966" t="s">
        <v>2413</v>
      </c>
      <c r="J2966">
        <v>28</v>
      </c>
      <c r="K2966">
        <v>2695</v>
      </c>
      <c r="L2966">
        <v>95000</v>
      </c>
      <c r="M2966" t="s">
        <v>69</v>
      </c>
      <c r="N2966">
        <v>663</v>
      </c>
      <c r="O2966" s="2">
        <v>46254</v>
      </c>
      <c r="P2966" s="2">
        <v>46344</v>
      </c>
      <c r="R2966" t="s">
        <v>7919</v>
      </c>
      <c r="S2966" t="str">
        <f>""</f>
        <v/>
      </c>
      <c r="T2966" t="s">
        <v>41</v>
      </c>
      <c r="U2966">
        <v>37234.86</v>
      </c>
      <c r="V2966">
        <v>36825.279999999999</v>
      </c>
      <c r="W2966">
        <v>36825.279999999999</v>
      </c>
      <c r="X2966">
        <v>0</v>
      </c>
      <c r="Y2966">
        <v>0</v>
      </c>
      <c r="Z2966">
        <v>-569</v>
      </c>
      <c r="AA2966">
        <v>697132</v>
      </c>
      <c r="AD2966" t="s">
        <v>5531</v>
      </c>
      <c r="AE2966">
        <v>1134115000</v>
      </c>
      <c r="AF2966" t="s">
        <v>5531</v>
      </c>
      <c r="AG2966" s="1" t="s">
        <v>7920</v>
      </c>
      <c r="AH2966" t="s">
        <v>423</v>
      </c>
    </row>
    <row r="2967" spans="1:34" x14ac:dyDescent="0.3">
      <c r="A2967">
        <v>101</v>
      </c>
      <c r="B2967" t="s">
        <v>34</v>
      </c>
      <c r="C2967">
        <v>2</v>
      </c>
      <c r="D2967" s="1" t="s">
        <v>7921</v>
      </c>
      <c r="E2967" s="1" t="s">
        <v>36</v>
      </c>
      <c r="G2967">
        <v>454402</v>
      </c>
      <c r="H2967" t="s">
        <v>7918</v>
      </c>
      <c r="I2967" t="s">
        <v>2413</v>
      </c>
      <c r="J2967">
        <v>28</v>
      </c>
      <c r="K2967">
        <v>2695</v>
      </c>
      <c r="L2967">
        <v>95000</v>
      </c>
      <c r="M2967" t="s">
        <v>69</v>
      </c>
      <c r="N2967">
        <v>663</v>
      </c>
      <c r="O2967" s="2">
        <v>46141</v>
      </c>
      <c r="P2967" s="2">
        <v>46255</v>
      </c>
      <c r="R2967" t="s">
        <v>7922</v>
      </c>
      <c r="S2967" t="str">
        <f>""</f>
        <v/>
      </c>
      <c r="T2967" t="s">
        <v>41</v>
      </c>
      <c r="U2967">
        <v>12527.82</v>
      </c>
      <c r="V2967">
        <v>12390.01</v>
      </c>
      <c r="W2967">
        <v>12390.01</v>
      </c>
      <c r="X2967">
        <v>0</v>
      </c>
      <c r="Y2967">
        <v>0</v>
      </c>
      <c r="Z2967">
        <v>-480</v>
      </c>
      <c r="AA2967">
        <v>687377</v>
      </c>
      <c r="AD2967" t="s">
        <v>5531</v>
      </c>
      <c r="AE2967">
        <v>1134115000</v>
      </c>
      <c r="AF2967" t="s">
        <v>5531</v>
      </c>
      <c r="AG2967" s="1" t="s">
        <v>7920</v>
      </c>
      <c r="AH2967" t="s">
        <v>423</v>
      </c>
    </row>
    <row r="2968" spans="1:34" x14ac:dyDescent="0.3">
      <c r="A2968">
        <v>101</v>
      </c>
      <c r="B2968" t="s">
        <v>34</v>
      </c>
      <c r="C2968">
        <v>2</v>
      </c>
      <c r="D2968" s="1" t="s">
        <v>7923</v>
      </c>
      <c r="E2968" s="1" t="s">
        <v>36</v>
      </c>
      <c r="G2968">
        <v>454402</v>
      </c>
      <c r="H2968" t="s">
        <v>7918</v>
      </c>
      <c r="I2968" t="s">
        <v>2413</v>
      </c>
      <c r="J2968">
        <v>28</v>
      </c>
      <c r="K2968">
        <v>2695</v>
      </c>
      <c r="L2968">
        <v>95000</v>
      </c>
      <c r="M2968" t="s">
        <v>69</v>
      </c>
      <c r="N2968">
        <v>663</v>
      </c>
      <c r="O2968" s="2">
        <v>46188</v>
      </c>
      <c r="P2968" s="2">
        <v>46296</v>
      </c>
      <c r="R2968" t="s">
        <v>7924</v>
      </c>
      <c r="S2968" t="str">
        <f>""</f>
        <v/>
      </c>
      <c r="T2968" t="s">
        <v>41</v>
      </c>
      <c r="U2968">
        <v>28014.34</v>
      </c>
      <c r="V2968">
        <v>27706.18</v>
      </c>
      <c r="W2968">
        <v>27706.18</v>
      </c>
      <c r="X2968">
        <v>0</v>
      </c>
      <c r="Y2968">
        <v>0</v>
      </c>
      <c r="Z2968">
        <v>-521</v>
      </c>
      <c r="AA2968">
        <v>691211</v>
      </c>
      <c r="AD2968" t="s">
        <v>5531</v>
      </c>
      <c r="AE2968">
        <v>1134115000</v>
      </c>
      <c r="AF2968" t="s">
        <v>5531</v>
      </c>
      <c r="AG2968" s="1" t="s">
        <v>7920</v>
      </c>
      <c r="AH2968" t="s">
        <v>423</v>
      </c>
    </row>
    <row r="2969" spans="1:34" x14ac:dyDescent="0.3">
      <c r="A2969">
        <v>101</v>
      </c>
      <c r="B2969" t="s">
        <v>34</v>
      </c>
      <c r="C2969">
        <v>2</v>
      </c>
      <c r="D2969" s="1" t="s">
        <v>7925</v>
      </c>
      <c r="E2969" s="1" t="s">
        <v>36</v>
      </c>
      <c r="G2969">
        <v>455559</v>
      </c>
      <c r="H2969" t="s">
        <v>7926</v>
      </c>
      <c r="I2969" t="s">
        <v>2413</v>
      </c>
      <c r="J2969">
        <v>28</v>
      </c>
      <c r="K2969">
        <v>2695</v>
      </c>
      <c r="L2969">
        <v>95000</v>
      </c>
      <c r="M2969" t="s">
        <v>69</v>
      </c>
      <c r="N2969">
        <v>663</v>
      </c>
      <c r="O2969" s="2">
        <v>46188</v>
      </c>
      <c r="P2969" s="2">
        <v>46296</v>
      </c>
      <c r="R2969" t="s">
        <v>7927</v>
      </c>
      <c r="S2969" t="str">
        <f>""</f>
        <v/>
      </c>
      <c r="T2969" t="s">
        <v>41</v>
      </c>
      <c r="U2969">
        <v>10740.54</v>
      </c>
      <c r="V2969">
        <v>10622.39</v>
      </c>
      <c r="W2969">
        <v>10622.39</v>
      </c>
      <c r="X2969">
        <v>0</v>
      </c>
      <c r="Y2969">
        <v>0</v>
      </c>
      <c r="Z2969">
        <v>-521</v>
      </c>
      <c r="AA2969">
        <v>691213</v>
      </c>
      <c r="AD2969" t="s">
        <v>4884</v>
      </c>
      <c r="AE2969">
        <v>1134115000</v>
      </c>
      <c r="AF2969" t="s">
        <v>4884</v>
      </c>
      <c r="AG2969" s="1" t="s">
        <v>7928</v>
      </c>
      <c r="AH2969" t="s">
        <v>423</v>
      </c>
    </row>
    <row r="2970" spans="1:34" x14ac:dyDescent="0.3">
      <c r="A2970">
        <v>101</v>
      </c>
      <c r="B2970" t="s">
        <v>34</v>
      </c>
      <c r="C2970">
        <v>2</v>
      </c>
      <c r="D2970" s="1" t="s">
        <v>7929</v>
      </c>
      <c r="E2970" s="1" t="s">
        <v>36</v>
      </c>
      <c r="G2970">
        <v>455559</v>
      </c>
      <c r="H2970" t="s">
        <v>7926</v>
      </c>
      <c r="I2970" t="s">
        <v>2413</v>
      </c>
      <c r="J2970">
        <v>28</v>
      </c>
      <c r="K2970">
        <v>2695</v>
      </c>
      <c r="L2970">
        <v>95000</v>
      </c>
      <c r="M2970" t="s">
        <v>69</v>
      </c>
      <c r="N2970">
        <v>663</v>
      </c>
      <c r="O2970" s="2">
        <v>46254</v>
      </c>
      <c r="P2970" s="2">
        <v>46344</v>
      </c>
      <c r="R2970" t="s">
        <v>7930</v>
      </c>
      <c r="S2970" t="str">
        <f>""</f>
        <v/>
      </c>
      <c r="T2970" t="s">
        <v>41</v>
      </c>
      <c r="U2970">
        <v>31926</v>
      </c>
      <c r="V2970">
        <v>31574.81</v>
      </c>
      <c r="W2970">
        <v>31574.81</v>
      </c>
      <c r="X2970">
        <v>0</v>
      </c>
      <c r="Y2970">
        <v>0</v>
      </c>
      <c r="Z2970">
        <v>-569</v>
      </c>
      <c r="AA2970">
        <v>697134</v>
      </c>
      <c r="AD2970" t="s">
        <v>4884</v>
      </c>
      <c r="AE2970">
        <v>1134115000</v>
      </c>
      <c r="AF2970" t="s">
        <v>4884</v>
      </c>
      <c r="AG2970" s="1" t="s">
        <v>7928</v>
      </c>
      <c r="AH2970" t="s">
        <v>423</v>
      </c>
    </row>
    <row r="2971" spans="1:34" x14ac:dyDescent="0.3">
      <c r="A2971">
        <v>101</v>
      </c>
      <c r="B2971" t="s">
        <v>34</v>
      </c>
      <c r="C2971">
        <v>2</v>
      </c>
      <c r="D2971" s="1" t="s">
        <v>7931</v>
      </c>
      <c r="E2971" s="1" t="s">
        <v>36</v>
      </c>
      <c r="G2971">
        <v>456365</v>
      </c>
      <c r="H2971" t="s">
        <v>7648</v>
      </c>
      <c r="I2971" t="s">
        <v>2413</v>
      </c>
      <c r="J2971">
        <v>38</v>
      </c>
      <c r="K2971">
        <v>2695</v>
      </c>
      <c r="L2971">
        <v>95000</v>
      </c>
      <c r="M2971" t="s">
        <v>69</v>
      </c>
      <c r="N2971">
        <v>663</v>
      </c>
      <c r="O2971" s="2">
        <v>46142</v>
      </c>
      <c r="P2971" s="2">
        <v>46266</v>
      </c>
      <c r="R2971" t="s">
        <v>7932</v>
      </c>
      <c r="S2971" t="str">
        <f>""</f>
        <v/>
      </c>
      <c r="T2971" t="s">
        <v>41</v>
      </c>
      <c r="U2971">
        <v>19262.060000000001</v>
      </c>
      <c r="V2971">
        <v>19050.18</v>
      </c>
      <c r="W2971">
        <v>19050.18</v>
      </c>
      <c r="X2971">
        <v>0</v>
      </c>
      <c r="Y2971">
        <v>0</v>
      </c>
      <c r="Z2971">
        <v>-491</v>
      </c>
      <c r="AA2971">
        <v>687383</v>
      </c>
      <c r="AD2971" t="s">
        <v>5614</v>
      </c>
      <c r="AE2971">
        <v>1134115000</v>
      </c>
      <c r="AF2971" t="s">
        <v>5614</v>
      </c>
      <c r="AG2971" s="1" t="s">
        <v>7650</v>
      </c>
      <c r="AH2971" t="s">
        <v>5569</v>
      </c>
    </row>
    <row r="2972" spans="1:34" x14ac:dyDescent="0.3">
      <c r="A2972">
        <v>101</v>
      </c>
      <c r="B2972" t="s">
        <v>34</v>
      </c>
      <c r="C2972">
        <v>2</v>
      </c>
      <c r="D2972" s="1" t="s">
        <v>7933</v>
      </c>
      <c r="E2972" s="1" t="s">
        <v>36</v>
      </c>
      <c r="G2972">
        <v>466296</v>
      </c>
      <c r="H2972" t="s">
        <v>7934</v>
      </c>
      <c r="I2972" t="s">
        <v>2413</v>
      </c>
      <c r="J2972">
        <v>28</v>
      </c>
      <c r="K2972">
        <v>2695</v>
      </c>
      <c r="L2972">
        <v>95000</v>
      </c>
      <c r="M2972" t="s">
        <v>69</v>
      </c>
      <c r="N2972">
        <v>663</v>
      </c>
      <c r="O2972" s="2">
        <v>46254</v>
      </c>
      <c r="P2972" s="2">
        <v>46344</v>
      </c>
      <c r="R2972" t="s">
        <v>7935</v>
      </c>
      <c r="S2972" t="str">
        <f>""</f>
        <v/>
      </c>
      <c r="T2972" t="s">
        <v>41</v>
      </c>
      <c r="U2972">
        <v>24969.47</v>
      </c>
      <c r="V2972">
        <v>24694.81</v>
      </c>
      <c r="W2972">
        <v>24694.81</v>
      </c>
      <c r="X2972">
        <v>0</v>
      </c>
      <c r="Y2972">
        <v>0</v>
      </c>
      <c r="Z2972">
        <v>-569</v>
      </c>
      <c r="AA2972">
        <v>697136</v>
      </c>
      <c r="AD2972" t="s">
        <v>5531</v>
      </c>
      <c r="AE2972" t="s">
        <v>7886</v>
      </c>
      <c r="AF2972" t="s">
        <v>5531</v>
      </c>
      <c r="AG2972" s="1" t="s">
        <v>7936</v>
      </c>
      <c r="AH2972" t="s">
        <v>423</v>
      </c>
    </row>
    <row r="2973" spans="1:34" x14ac:dyDescent="0.3">
      <c r="A2973">
        <v>101</v>
      </c>
      <c r="B2973" t="s">
        <v>34</v>
      </c>
      <c r="C2973">
        <v>2</v>
      </c>
      <c r="D2973" s="1" t="s">
        <v>7937</v>
      </c>
      <c r="E2973" s="1" t="s">
        <v>36</v>
      </c>
      <c r="G2973">
        <v>466296</v>
      </c>
      <c r="H2973" t="s">
        <v>7934</v>
      </c>
      <c r="I2973" t="s">
        <v>2413</v>
      </c>
      <c r="J2973">
        <v>28</v>
      </c>
      <c r="K2973">
        <v>2695</v>
      </c>
      <c r="L2973">
        <v>95000</v>
      </c>
      <c r="M2973" t="s">
        <v>69</v>
      </c>
      <c r="N2973">
        <v>663</v>
      </c>
      <c r="O2973" s="2">
        <v>46141</v>
      </c>
      <c r="P2973" s="2">
        <v>46255</v>
      </c>
      <c r="R2973" t="s">
        <v>7938</v>
      </c>
      <c r="S2973" t="str">
        <f>""</f>
        <v/>
      </c>
      <c r="T2973" t="s">
        <v>41</v>
      </c>
      <c r="U2973">
        <v>11894.13</v>
      </c>
      <c r="V2973">
        <v>11763.29</v>
      </c>
      <c r="W2973">
        <v>11763.29</v>
      </c>
      <c r="X2973">
        <v>0</v>
      </c>
      <c r="Y2973">
        <v>0</v>
      </c>
      <c r="Z2973">
        <v>-480</v>
      </c>
      <c r="AA2973">
        <v>687385</v>
      </c>
      <c r="AD2973" t="s">
        <v>5531</v>
      </c>
      <c r="AE2973" t="s">
        <v>7886</v>
      </c>
      <c r="AF2973" t="s">
        <v>5531</v>
      </c>
      <c r="AG2973" s="1" t="s">
        <v>7936</v>
      </c>
      <c r="AH2973" t="s">
        <v>423</v>
      </c>
    </row>
    <row r="2974" spans="1:34" x14ac:dyDescent="0.3">
      <c r="A2974">
        <v>101</v>
      </c>
      <c r="B2974" t="s">
        <v>34</v>
      </c>
      <c r="C2974">
        <v>2</v>
      </c>
      <c r="D2974" s="1" t="s">
        <v>7939</v>
      </c>
      <c r="E2974" s="1" t="s">
        <v>36</v>
      </c>
      <c r="G2974">
        <v>466296</v>
      </c>
      <c r="H2974" t="s">
        <v>7934</v>
      </c>
      <c r="I2974" t="s">
        <v>2413</v>
      </c>
      <c r="J2974">
        <v>28</v>
      </c>
      <c r="K2974">
        <v>2695</v>
      </c>
      <c r="L2974">
        <v>95000</v>
      </c>
      <c r="M2974" t="s">
        <v>69</v>
      </c>
      <c r="N2974">
        <v>663</v>
      </c>
      <c r="O2974" s="2">
        <v>46188</v>
      </c>
      <c r="P2974" s="2">
        <v>46308</v>
      </c>
      <c r="R2974" t="s">
        <v>7940</v>
      </c>
      <c r="S2974" t="str">
        <f>""</f>
        <v/>
      </c>
      <c r="T2974" t="s">
        <v>41</v>
      </c>
      <c r="U2974">
        <v>11237.21</v>
      </c>
      <c r="V2974">
        <v>11113.6</v>
      </c>
      <c r="W2974">
        <v>11113.6</v>
      </c>
      <c r="X2974">
        <v>0</v>
      </c>
      <c r="Y2974">
        <v>0</v>
      </c>
      <c r="Z2974">
        <v>-533</v>
      </c>
      <c r="AA2974">
        <v>691215</v>
      </c>
      <c r="AD2974" t="s">
        <v>5531</v>
      </c>
      <c r="AE2974" t="s">
        <v>7886</v>
      </c>
      <c r="AF2974" t="s">
        <v>5531</v>
      </c>
      <c r="AG2974" s="1" t="s">
        <v>7936</v>
      </c>
      <c r="AH2974" t="s">
        <v>423</v>
      </c>
    </row>
    <row r="2975" spans="1:34" x14ac:dyDescent="0.3">
      <c r="A2975">
        <v>101</v>
      </c>
      <c r="B2975" t="s">
        <v>34</v>
      </c>
      <c r="C2975">
        <v>2</v>
      </c>
      <c r="D2975" s="1" t="s">
        <v>7941</v>
      </c>
      <c r="E2975" s="1" t="s">
        <v>36</v>
      </c>
      <c r="G2975">
        <v>469272</v>
      </c>
      <c r="H2975" t="s">
        <v>7942</v>
      </c>
      <c r="I2975" t="s">
        <v>7943</v>
      </c>
      <c r="J2975">
        <v>12</v>
      </c>
      <c r="K2975">
        <v>469262</v>
      </c>
      <c r="L2975">
        <v>95080</v>
      </c>
      <c r="M2975" t="s">
        <v>83</v>
      </c>
      <c r="N2975">
        <v>663</v>
      </c>
      <c r="O2975" s="2">
        <v>46203</v>
      </c>
      <c r="P2975" s="2">
        <v>46233</v>
      </c>
      <c r="R2975" t="s">
        <v>7944</v>
      </c>
      <c r="S2975" t="str">
        <f>""</f>
        <v/>
      </c>
      <c r="T2975" t="s">
        <v>41</v>
      </c>
      <c r="U2975">
        <v>14942.38</v>
      </c>
      <c r="V2975">
        <v>13841.33</v>
      </c>
      <c r="W2975">
        <v>13841.33</v>
      </c>
      <c r="X2975">
        <v>0</v>
      </c>
      <c r="Y2975">
        <v>0</v>
      </c>
      <c r="Z2975">
        <v>-458</v>
      </c>
      <c r="AA2975">
        <v>692920</v>
      </c>
      <c r="AD2975" t="s">
        <v>6891</v>
      </c>
      <c r="AE2975" t="s">
        <v>7945</v>
      </c>
      <c r="AF2975" t="s">
        <v>6891</v>
      </c>
      <c r="AG2975">
        <v>14739053001377</v>
      </c>
      <c r="AH2975" t="s">
        <v>423</v>
      </c>
    </row>
    <row r="2976" spans="1:34" x14ac:dyDescent="0.3">
      <c r="A2976">
        <v>101</v>
      </c>
      <c r="B2976" t="s">
        <v>34</v>
      </c>
      <c r="C2976">
        <v>2</v>
      </c>
      <c r="D2976" s="1" t="s">
        <v>7946</v>
      </c>
      <c r="E2976" s="1" t="s">
        <v>36</v>
      </c>
      <c r="G2976">
        <v>470306</v>
      </c>
      <c r="H2976" t="s">
        <v>7947</v>
      </c>
      <c r="I2976" t="s">
        <v>7948</v>
      </c>
      <c r="J2976">
        <v>12</v>
      </c>
      <c r="K2976">
        <v>470306</v>
      </c>
      <c r="L2976">
        <v>50341</v>
      </c>
      <c r="M2976" t="s">
        <v>146</v>
      </c>
      <c r="N2976">
        <v>663</v>
      </c>
      <c r="O2976" s="2">
        <v>46230</v>
      </c>
      <c r="P2976" s="2">
        <v>46258</v>
      </c>
      <c r="R2976" t="s">
        <v>7949</v>
      </c>
      <c r="S2976" t="str">
        <f>"00013348"</f>
        <v>00013348</v>
      </c>
      <c r="T2976" t="s">
        <v>41</v>
      </c>
      <c r="U2976">
        <v>24850.2</v>
      </c>
      <c r="V2976">
        <v>24850.2</v>
      </c>
      <c r="W2976">
        <v>24850.2</v>
      </c>
      <c r="X2976">
        <v>0</v>
      </c>
      <c r="Y2976">
        <v>0</v>
      </c>
      <c r="Z2976">
        <v>-483</v>
      </c>
      <c r="AA2976">
        <v>1755</v>
      </c>
      <c r="AD2976" t="s">
        <v>5531</v>
      </c>
      <c r="AE2976" t="s">
        <v>7950</v>
      </c>
      <c r="AF2976" t="s">
        <v>5531</v>
      </c>
      <c r="AG2976">
        <v>10425282004209</v>
      </c>
      <c r="AH2976" t="s">
        <v>423</v>
      </c>
    </row>
    <row r="2977" spans="1:34" x14ac:dyDescent="0.3">
      <c r="A2977">
        <v>101</v>
      </c>
      <c r="B2977" t="s">
        <v>34</v>
      </c>
      <c r="C2977">
        <v>2</v>
      </c>
      <c r="D2977" s="1" t="s">
        <v>7951</v>
      </c>
      <c r="E2977" s="1" t="s">
        <v>36</v>
      </c>
      <c r="G2977">
        <v>436785</v>
      </c>
      <c r="H2977" t="s">
        <v>7952</v>
      </c>
      <c r="I2977" t="s">
        <v>2413</v>
      </c>
      <c r="J2977">
        <v>28</v>
      </c>
      <c r="K2977">
        <v>2695</v>
      </c>
      <c r="L2977">
        <v>95000</v>
      </c>
      <c r="M2977" t="s">
        <v>69</v>
      </c>
      <c r="N2977">
        <v>665</v>
      </c>
      <c r="O2977" s="2">
        <v>46223</v>
      </c>
      <c r="P2977" s="2">
        <v>46349</v>
      </c>
      <c r="R2977" t="s">
        <v>7953</v>
      </c>
      <c r="S2977" t="str">
        <f>""</f>
        <v/>
      </c>
      <c r="T2977" t="s">
        <v>41</v>
      </c>
      <c r="U2977">
        <v>3925.63</v>
      </c>
      <c r="V2977">
        <v>3882.45</v>
      </c>
      <c r="W2977">
        <v>3882.45</v>
      </c>
      <c r="X2977">
        <v>0</v>
      </c>
      <c r="Y2977">
        <v>0</v>
      </c>
      <c r="Z2977">
        <v>-574</v>
      </c>
      <c r="AA2977">
        <v>694336</v>
      </c>
      <c r="AD2977" t="s">
        <v>1988</v>
      </c>
      <c r="AF2977" t="s">
        <v>1988</v>
      </c>
      <c r="AG2977" s="1" t="s">
        <v>7954</v>
      </c>
      <c r="AH2977" t="s">
        <v>87</v>
      </c>
    </row>
    <row r="2978" spans="1:34" x14ac:dyDescent="0.3">
      <c r="A2978">
        <v>101</v>
      </c>
      <c r="B2978" t="s">
        <v>34</v>
      </c>
      <c r="C2978">
        <v>2</v>
      </c>
      <c r="D2978" s="1" t="s">
        <v>7955</v>
      </c>
      <c r="E2978" s="1" t="s">
        <v>36</v>
      </c>
      <c r="G2978">
        <v>436785</v>
      </c>
      <c r="H2978" t="s">
        <v>7952</v>
      </c>
      <c r="I2978" t="s">
        <v>2413</v>
      </c>
      <c r="J2978">
        <v>28</v>
      </c>
      <c r="K2978">
        <v>2695</v>
      </c>
      <c r="L2978">
        <v>95000</v>
      </c>
      <c r="M2978" t="s">
        <v>69</v>
      </c>
      <c r="N2978">
        <v>665</v>
      </c>
      <c r="O2978" s="2">
        <v>46141</v>
      </c>
      <c r="P2978" s="2">
        <v>46266</v>
      </c>
      <c r="R2978" t="s">
        <v>7956</v>
      </c>
      <c r="S2978" t="str">
        <f>""</f>
        <v/>
      </c>
      <c r="T2978" t="s">
        <v>41</v>
      </c>
      <c r="U2978">
        <v>2697.84</v>
      </c>
      <c r="V2978">
        <v>2668.16</v>
      </c>
      <c r="W2978">
        <v>2668.16</v>
      </c>
      <c r="X2978">
        <v>0</v>
      </c>
      <c r="Y2978">
        <v>0</v>
      </c>
      <c r="Z2978">
        <v>-491</v>
      </c>
      <c r="AA2978">
        <v>687302</v>
      </c>
      <c r="AD2978" t="s">
        <v>1988</v>
      </c>
      <c r="AF2978" t="s">
        <v>1988</v>
      </c>
      <c r="AG2978" s="1" t="s">
        <v>7954</v>
      </c>
      <c r="AH2978" t="s">
        <v>87</v>
      </c>
    </row>
    <row r="2979" spans="1:34" x14ac:dyDescent="0.3">
      <c r="A2979">
        <v>101</v>
      </c>
      <c r="B2979" t="s">
        <v>34</v>
      </c>
      <c r="C2979">
        <v>2</v>
      </c>
      <c r="D2979" s="1" t="s">
        <v>7957</v>
      </c>
      <c r="E2979" s="1" t="s">
        <v>36</v>
      </c>
      <c r="G2979">
        <v>436785</v>
      </c>
      <c r="H2979" t="s">
        <v>7952</v>
      </c>
      <c r="I2979" t="s">
        <v>2413</v>
      </c>
      <c r="J2979">
        <v>28</v>
      </c>
      <c r="K2979">
        <v>2695</v>
      </c>
      <c r="L2979">
        <v>95000</v>
      </c>
      <c r="M2979" t="s">
        <v>69</v>
      </c>
      <c r="N2979">
        <v>665</v>
      </c>
      <c r="O2979" s="2">
        <v>46171</v>
      </c>
      <c r="P2979" s="2">
        <v>46286</v>
      </c>
      <c r="R2979" t="s">
        <v>7958</v>
      </c>
      <c r="S2979" t="str">
        <f>""</f>
        <v/>
      </c>
      <c r="T2979" t="s">
        <v>41</v>
      </c>
      <c r="U2979">
        <v>9421.58</v>
      </c>
      <c r="V2979">
        <v>8847.2000000000007</v>
      </c>
      <c r="W2979">
        <v>8847.2000000000007</v>
      </c>
      <c r="X2979">
        <v>0</v>
      </c>
      <c r="Y2979">
        <v>0</v>
      </c>
      <c r="Z2979">
        <v>-511</v>
      </c>
      <c r="AA2979">
        <v>690298</v>
      </c>
      <c r="AD2979" t="s">
        <v>1988</v>
      </c>
      <c r="AF2979" t="s">
        <v>1988</v>
      </c>
      <c r="AG2979" s="1" t="s">
        <v>7954</v>
      </c>
      <c r="AH2979" t="s">
        <v>87</v>
      </c>
    </row>
    <row r="2980" spans="1:34" x14ac:dyDescent="0.3">
      <c r="A2980">
        <v>101</v>
      </c>
      <c r="B2980" t="s">
        <v>34</v>
      </c>
      <c r="C2980">
        <v>2</v>
      </c>
      <c r="D2980" s="1" t="s">
        <v>7959</v>
      </c>
      <c r="E2980" s="1" t="s">
        <v>36</v>
      </c>
      <c r="G2980">
        <v>436786</v>
      </c>
      <c r="H2980" t="s">
        <v>7960</v>
      </c>
      <c r="I2980" t="s">
        <v>2413</v>
      </c>
      <c r="J2980">
        <v>28</v>
      </c>
      <c r="K2980">
        <v>2695</v>
      </c>
      <c r="L2980">
        <v>95000</v>
      </c>
      <c r="M2980" t="s">
        <v>69</v>
      </c>
      <c r="N2980">
        <v>665</v>
      </c>
      <c r="O2980" s="2">
        <v>46141</v>
      </c>
      <c r="P2980" s="2">
        <v>46266</v>
      </c>
      <c r="R2980" t="s">
        <v>7961</v>
      </c>
      <c r="S2980" t="str">
        <f>""</f>
        <v/>
      </c>
      <c r="T2980" t="s">
        <v>41</v>
      </c>
      <c r="U2980">
        <v>4675.2</v>
      </c>
      <c r="V2980">
        <v>4623.7700000000004</v>
      </c>
      <c r="W2980">
        <v>4623.7700000000004</v>
      </c>
      <c r="X2980">
        <v>0</v>
      </c>
      <c r="Y2980">
        <v>0</v>
      </c>
      <c r="Z2980">
        <v>-491</v>
      </c>
      <c r="AA2980">
        <v>687307</v>
      </c>
      <c r="AD2980" t="s">
        <v>7962</v>
      </c>
      <c r="AF2980" t="s">
        <v>7962</v>
      </c>
      <c r="AG2980" s="1" t="s">
        <v>7963</v>
      </c>
      <c r="AH2980" t="s">
        <v>87</v>
      </c>
    </row>
    <row r="2981" spans="1:34" x14ac:dyDescent="0.3">
      <c r="A2981">
        <v>101</v>
      </c>
      <c r="B2981" t="s">
        <v>34</v>
      </c>
      <c r="C2981">
        <v>2</v>
      </c>
      <c r="D2981" s="1" t="s">
        <v>7964</v>
      </c>
      <c r="E2981" s="1" t="s">
        <v>36</v>
      </c>
      <c r="G2981">
        <v>436786</v>
      </c>
      <c r="H2981" t="s">
        <v>7960</v>
      </c>
      <c r="I2981" t="s">
        <v>2413</v>
      </c>
      <c r="J2981">
        <v>28</v>
      </c>
      <c r="K2981">
        <v>2695</v>
      </c>
      <c r="L2981">
        <v>95000</v>
      </c>
      <c r="M2981" t="s">
        <v>69</v>
      </c>
      <c r="N2981">
        <v>665</v>
      </c>
      <c r="O2981" s="2">
        <v>46171</v>
      </c>
      <c r="P2981" s="2">
        <v>46337</v>
      </c>
      <c r="R2981" t="s">
        <v>7965</v>
      </c>
      <c r="S2981" t="str">
        <f>""</f>
        <v/>
      </c>
      <c r="T2981" t="s">
        <v>41</v>
      </c>
      <c r="U2981">
        <v>6741.25</v>
      </c>
      <c r="V2981">
        <v>6667.1</v>
      </c>
      <c r="W2981">
        <v>6667.1</v>
      </c>
      <c r="X2981">
        <v>0</v>
      </c>
      <c r="Y2981">
        <v>0</v>
      </c>
      <c r="Z2981">
        <v>-562</v>
      </c>
      <c r="AA2981">
        <v>690302</v>
      </c>
      <c r="AD2981" t="s">
        <v>7962</v>
      </c>
      <c r="AF2981" t="s">
        <v>7962</v>
      </c>
      <c r="AG2981" s="1" t="s">
        <v>7963</v>
      </c>
      <c r="AH2981" t="s">
        <v>87</v>
      </c>
    </row>
    <row r="2982" spans="1:34" x14ac:dyDescent="0.3">
      <c r="A2982">
        <v>101</v>
      </c>
      <c r="B2982" t="s">
        <v>34</v>
      </c>
      <c r="C2982">
        <v>2</v>
      </c>
      <c r="D2982" s="1" t="s">
        <v>7966</v>
      </c>
      <c r="E2982" s="1" t="s">
        <v>36</v>
      </c>
      <c r="G2982">
        <v>436786</v>
      </c>
      <c r="H2982" t="s">
        <v>7960</v>
      </c>
      <c r="I2982" t="s">
        <v>2413</v>
      </c>
      <c r="J2982">
        <v>28</v>
      </c>
      <c r="K2982">
        <v>2695</v>
      </c>
      <c r="L2982">
        <v>95000</v>
      </c>
      <c r="M2982" t="s">
        <v>69</v>
      </c>
      <c r="N2982">
        <v>665</v>
      </c>
      <c r="O2982" s="2">
        <v>46223</v>
      </c>
      <c r="P2982" s="2">
        <v>46337</v>
      </c>
      <c r="R2982" t="s">
        <v>7967</v>
      </c>
      <c r="S2982" t="str">
        <f>""</f>
        <v/>
      </c>
      <c r="T2982" t="s">
        <v>41</v>
      </c>
      <c r="U2982">
        <v>3822.5</v>
      </c>
      <c r="V2982">
        <v>3514.81</v>
      </c>
      <c r="W2982">
        <v>3514.81</v>
      </c>
      <c r="X2982">
        <v>0</v>
      </c>
      <c r="Y2982">
        <v>0</v>
      </c>
      <c r="Z2982">
        <v>-562</v>
      </c>
      <c r="AA2982">
        <v>694340</v>
      </c>
      <c r="AD2982" t="s">
        <v>7962</v>
      </c>
      <c r="AF2982" t="s">
        <v>7962</v>
      </c>
      <c r="AG2982" s="1" t="s">
        <v>7963</v>
      </c>
      <c r="AH2982" t="s">
        <v>87</v>
      </c>
    </row>
    <row r="2983" spans="1:34" x14ac:dyDescent="0.3">
      <c r="A2983">
        <v>101</v>
      </c>
      <c r="B2983" t="s">
        <v>34</v>
      </c>
      <c r="C2983">
        <v>2</v>
      </c>
      <c r="D2983" s="1" t="s">
        <v>7968</v>
      </c>
      <c r="E2983" s="1" t="s">
        <v>36</v>
      </c>
      <c r="G2983">
        <v>436796</v>
      </c>
      <c r="H2983" t="s">
        <v>7969</v>
      </c>
      <c r="I2983" t="s">
        <v>2413</v>
      </c>
      <c r="J2983">
        <v>28</v>
      </c>
      <c r="K2983">
        <v>2695</v>
      </c>
      <c r="L2983">
        <v>95000</v>
      </c>
      <c r="M2983" t="s">
        <v>69</v>
      </c>
      <c r="N2983">
        <v>665</v>
      </c>
      <c r="O2983" s="2">
        <v>46223</v>
      </c>
      <c r="P2983" s="2">
        <v>46349</v>
      </c>
      <c r="R2983" t="s">
        <v>7970</v>
      </c>
      <c r="S2983" t="str">
        <f>""</f>
        <v/>
      </c>
      <c r="T2983" t="s">
        <v>41</v>
      </c>
      <c r="U2983">
        <v>7964.98</v>
      </c>
      <c r="V2983">
        <v>7877.37</v>
      </c>
      <c r="W2983">
        <v>7877.37</v>
      </c>
      <c r="X2983">
        <v>0</v>
      </c>
      <c r="Y2983">
        <v>0</v>
      </c>
      <c r="Z2983">
        <v>-574</v>
      </c>
      <c r="AA2983">
        <v>694329</v>
      </c>
      <c r="AD2983" t="s">
        <v>7971</v>
      </c>
      <c r="AF2983" t="s">
        <v>7971</v>
      </c>
      <c r="AG2983" s="1" t="s">
        <v>7972</v>
      </c>
      <c r="AH2983" t="s">
        <v>87</v>
      </c>
    </row>
    <row r="2984" spans="1:34" x14ac:dyDescent="0.3">
      <c r="A2984">
        <v>101</v>
      </c>
      <c r="B2984" t="s">
        <v>34</v>
      </c>
      <c r="C2984">
        <v>2</v>
      </c>
      <c r="D2984" s="1" t="s">
        <v>7973</v>
      </c>
      <c r="E2984" s="1" t="s">
        <v>36</v>
      </c>
      <c r="G2984">
        <v>436796</v>
      </c>
      <c r="H2984" t="s">
        <v>7969</v>
      </c>
      <c r="I2984" t="s">
        <v>2413</v>
      </c>
      <c r="J2984">
        <v>28</v>
      </c>
      <c r="K2984">
        <v>2695</v>
      </c>
      <c r="L2984">
        <v>95000</v>
      </c>
      <c r="M2984" t="s">
        <v>69</v>
      </c>
      <c r="N2984">
        <v>665</v>
      </c>
      <c r="O2984" s="2">
        <v>46171</v>
      </c>
      <c r="P2984" s="2">
        <v>46329</v>
      </c>
      <c r="R2984" t="s">
        <v>7974</v>
      </c>
      <c r="S2984" t="str">
        <f>""</f>
        <v/>
      </c>
      <c r="T2984" t="s">
        <v>41</v>
      </c>
      <c r="U2984">
        <v>12423.86</v>
      </c>
      <c r="V2984">
        <v>12287.2</v>
      </c>
      <c r="W2984">
        <v>12287.2</v>
      </c>
      <c r="X2984">
        <v>0</v>
      </c>
      <c r="Y2984">
        <v>0</v>
      </c>
      <c r="Z2984">
        <v>-554</v>
      </c>
      <c r="AA2984">
        <v>690291</v>
      </c>
      <c r="AD2984" t="s">
        <v>7971</v>
      </c>
      <c r="AF2984" t="s">
        <v>7971</v>
      </c>
      <c r="AG2984" s="1" t="s">
        <v>7972</v>
      </c>
      <c r="AH2984" t="s">
        <v>87</v>
      </c>
    </row>
    <row r="2985" spans="1:34" x14ac:dyDescent="0.3">
      <c r="A2985">
        <v>101</v>
      </c>
      <c r="B2985" t="s">
        <v>34</v>
      </c>
      <c r="C2985">
        <v>2</v>
      </c>
      <c r="D2985" s="1" t="s">
        <v>7975</v>
      </c>
      <c r="E2985" s="1" t="s">
        <v>36</v>
      </c>
      <c r="G2985">
        <v>436796</v>
      </c>
      <c r="H2985" t="s">
        <v>7969</v>
      </c>
      <c r="I2985" t="s">
        <v>2413</v>
      </c>
      <c r="J2985">
        <v>28</v>
      </c>
      <c r="K2985">
        <v>2695</v>
      </c>
      <c r="L2985">
        <v>95000</v>
      </c>
      <c r="M2985" t="s">
        <v>69</v>
      </c>
      <c r="N2985">
        <v>665</v>
      </c>
      <c r="O2985" s="2">
        <v>46141</v>
      </c>
      <c r="P2985" s="2">
        <v>46266</v>
      </c>
      <c r="R2985" t="s">
        <v>7976</v>
      </c>
      <c r="S2985" t="str">
        <f>""</f>
        <v/>
      </c>
      <c r="T2985" t="s">
        <v>41</v>
      </c>
      <c r="U2985">
        <v>7989.38</v>
      </c>
      <c r="V2985">
        <v>7699.13</v>
      </c>
      <c r="W2985">
        <v>7699.13</v>
      </c>
      <c r="X2985">
        <v>0</v>
      </c>
      <c r="Y2985">
        <v>0</v>
      </c>
      <c r="Z2985">
        <v>-491</v>
      </c>
      <c r="AA2985">
        <v>687296</v>
      </c>
      <c r="AD2985" t="s">
        <v>7971</v>
      </c>
      <c r="AF2985" t="s">
        <v>7971</v>
      </c>
      <c r="AG2985" s="1" t="s">
        <v>7972</v>
      </c>
      <c r="AH2985" t="s">
        <v>87</v>
      </c>
    </row>
    <row r="2986" spans="1:34" x14ac:dyDescent="0.3">
      <c r="A2986">
        <v>101</v>
      </c>
      <c r="B2986" t="s">
        <v>34</v>
      </c>
      <c r="C2986">
        <v>2</v>
      </c>
      <c r="D2986" s="1" t="s">
        <v>7977</v>
      </c>
      <c r="E2986" s="1" t="s">
        <v>36</v>
      </c>
      <c r="G2986">
        <v>436797</v>
      </c>
      <c r="H2986" t="s">
        <v>7978</v>
      </c>
      <c r="I2986" t="s">
        <v>2413</v>
      </c>
      <c r="J2986">
        <v>28</v>
      </c>
      <c r="K2986">
        <v>2695</v>
      </c>
      <c r="L2986">
        <v>95000</v>
      </c>
      <c r="M2986" t="s">
        <v>69</v>
      </c>
      <c r="N2986">
        <v>665</v>
      </c>
      <c r="O2986" s="2">
        <v>46223</v>
      </c>
      <c r="P2986" s="2">
        <v>46337</v>
      </c>
      <c r="R2986" t="s">
        <v>7979</v>
      </c>
      <c r="S2986" t="str">
        <f>""</f>
        <v/>
      </c>
      <c r="T2986" t="s">
        <v>41</v>
      </c>
      <c r="U2986">
        <v>2517.98</v>
      </c>
      <c r="V2986">
        <v>2490.2800000000002</v>
      </c>
      <c r="W2986">
        <v>2490.2800000000002</v>
      </c>
      <c r="X2986">
        <v>0</v>
      </c>
      <c r="Y2986">
        <v>0</v>
      </c>
      <c r="Z2986">
        <v>-562</v>
      </c>
      <c r="AA2986">
        <v>694332</v>
      </c>
      <c r="AD2986" t="s">
        <v>85</v>
      </c>
      <c r="AF2986" t="s">
        <v>85</v>
      </c>
      <c r="AG2986" s="1" t="s">
        <v>7980</v>
      </c>
      <c r="AH2986" t="s">
        <v>87</v>
      </c>
    </row>
    <row r="2987" spans="1:34" x14ac:dyDescent="0.3">
      <c r="A2987">
        <v>101</v>
      </c>
      <c r="B2987" t="s">
        <v>34</v>
      </c>
      <c r="C2987">
        <v>2</v>
      </c>
      <c r="D2987" s="1" t="s">
        <v>7981</v>
      </c>
      <c r="E2987" s="1" t="s">
        <v>36</v>
      </c>
      <c r="G2987">
        <v>436797</v>
      </c>
      <c r="H2987" t="s">
        <v>7978</v>
      </c>
      <c r="I2987" t="s">
        <v>2413</v>
      </c>
      <c r="J2987">
        <v>28</v>
      </c>
      <c r="K2987">
        <v>2695</v>
      </c>
      <c r="L2987">
        <v>95000</v>
      </c>
      <c r="M2987" t="s">
        <v>69</v>
      </c>
      <c r="N2987">
        <v>665</v>
      </c>
      <c r="O2987" s="2">
        <v>46141</v>
      </c>
      <c r="P2987" s="2">
        <v>46255</v>
      </c>
      <c r="R2987" t="s">
        <v>7982</v>
      </c>
      <c r="S2987" t="str">
        <f>""</f>
        <v/>
      </c>
      <c r="T2987" t="s">
        <v>41</v>
      </c>
      <c r="U2987">
        <v>5878.81</v>
      </c>
      <c r="V2987">
        <v>5814.14</v>
      </c>
      <c r="W2987">
        <v>5814.14</v>
      </c>
      <c r="X2987">
        <v>0</v>
      </c>
      <c r="Y2987">
        <v>0</v>
      </c>
      <c r="Z2987">
        <v>-480</v>
      </c>
      <c r="AA2987">
        <v>687298</v>
      </c>
      <c r="AD2987" t="s">
        <v>85</v>
      </c>
      <c r="AF2987" t="s">
        <v>85</v>
      </c>
      <c r="AG2987" s="1" t="s">
        <v>7980</v>
      </c>
      <c r="AH2987" t="s">
        <v>87</v>
      </c>
    </row>
    <row r="2988" spans="1:34" x14ac:dyDescent="0.3">
      <c r="A2988">
        <v>101</v>
      </c>
      <c r="B2988" t="s">
        <v>34</v>
      </c>
      <c r="C2988">
        <v>2</v>
      </c>
      <c r="D2988" s="1" t="s">
        <v>7983</v>
      </c>
      <c r="E2988" s="1" t="s">
        <v>36</v>
      </c>
      <c r="G2988">
        <v>436797</v>
      </c>
      <c r="H2988" t="s">
        <v>7978</v>
      </c>
      <c r="I2988" t="s">
        <v>2413</v>
      </c>
      <c r="J2988">
        <v>28</v>
      </c>
      <c r="K2988">
        <v>2695</v>
      </c>
      <c r="L2988">
        <v>95000</v>
      </c>
      <c r="M2988" t="s">
        <v>69</v>
      </c>
      <c r="N2988">
        <v>665</v>
      </c>
      <c r="O2988" s="2">
        <v>46181</v>
      </c>
      <c r="P2988" s="2">
        <v>46316</v>
      </c>
      <c r="R2988" s="1" t="s">
        <v>7984</v>
      </c>
      <c r="S2988" t="str">
        <f>""</f>
        <v/>
      </c>
      <c r="T2988" t="s">
        <v>41</v>
      </c>
      <c r="U2988">
        <v>1505.36</v>
      </c>
      <c r="V2988">
        <v>1488.8</v>
      </c>
      <c r="W2988">
        <v>1488.8</v>
      </c>
      <c r="X2988">
        <v>0</v>
      </c>
      <c r="Y2988">
        <v>0</v>
      </c>
      <c r="Z2988">
        <v>-541</v>
      </c>
      <c r="AA2988">
        <v>690293</v>
      </c>
      <c r="AD2988" t="s">
        <v>85</v>
      </c>
      <c r="AF2988" t="s">
        <v>85</v>
      </c>
      <c r="AG2988" s="1" t="s">
        <v>7980</v>
      </c>
      <c r="AH2988" t="s">
        <v>87</v>
      </c>
    </row>
    <row r="2989" spans="1:34" x14ac:dyDescent="0.3">
      <c r="A2989">
        <v>101</v>
      </c>
      <c r="B2989" t="s">
        <v>34</v>
      </c>
      <c r="C2989">
        <v>2</v>
      </c>
      <c r="D2989" s="1" t="s">
        <v>7985</v>
      </c>
      <c r="E2989" s="1" t="s">
        <v>36</v>
      </c>
      <c r="G2989">
        <v>436811</v>
      </c>
      <c r="H2989" t="s">
        <v>7986</v>
      </c>
      <c r="I2989" t="s">
        <v>2413</v>
      </c>
      <c r="J2989">
        <v>28</v>
      </c>
      <c r="K2989">
        <v>2695</v>
      </c>
      <c r="L2989">
        <v>95000</v>
      </c>
      <c r="M2989" t="s">
        <v>69</v>
      </c>
      <c r="N2989">
        <v>665</v>
      </c>
      <c r="O2989" s="2">
        <v>46171</v>
      </c>
      <c r="P2989" s="2">
        <v>46308</v>
      </c>
      <c r="R2989" t="s">
        <v>7987</v>
      </c>
      <c r="S2989" t="str">
        <f>""</f>
        <v/>
      </c>
      <c r="T2989" t="s">
        <v>41</v>
      </c>
      <c r="U2989">
        <v>3321.62</v>
      </c>
      <c r="V2989">
        <v>3120.67</v>
      </c>
      <c r="W2989">
        <v>3120.67</v>
      </c>
      <c r="X2989">
        <v>0</v>
      </c>
      <c r="Y2989">
        <v>0</v>
      </c>
      <c r="Z2989">
        <v>-533</v>
      </c>
      <c r="AA2989">
        <v>690306</v>
      </c>
      <c r="AD2989" t="s">
        <v>3145</v>
      </c>
      <c r="AE2989" t="s">
        <v>7988</v>
      </c>
      <c r="AF2989" t="s">
        <v>3145</v>
      </c>
      <c r="AG2989" s="1" t="s">
        <v>7989</v>
      </c>
      <c r="AH2989" t="s">
        <v>2154</v>
      </c>
    </row>
    <row r="2990" spans="1:34" x14ac:dyDescent="0.3">
      <c r="A2990">
        <v>101</v>
      </c>
      <c r="B2990" t="s">
        <v>34</v>
      </c>
      <c r="C2990">
        <v>2</v>
      </c>
      <c r="D2990" s="1" t="s">
        <v>7990</v>
      </c>
      <c r="E2990" s="1" t="s">
        <v>36</v>
      </c>
      <c r="G2990">
        <v>436811</v>
      </c>
      <c r="H2990" t="s">
        <v>7986</v>
      </c>
      <c r="I2990" t="s">
        <v>2413</v>
      </c>
      <c r="J2990">
        <v>28</v>
      </c>
      <c r="K2990">
        <v>2695</v>
      </c>
      <c r="L2990">
        <v>95000</v>
      </c>
      <c r="M2990" t="s">
        <v>69</v>
      </c>
      <c r="N2990">
        <v>665</v>
      </c>
      <c r="O2990" s="2">
        <v>46141</v>
      </c>
      <c r="P2990" s="2">
        <v>46255</v>
      </c>
      <c r="R2990" t="s">
        <v>7991</v>
      </c>
      <c r="S2990" t="str">
        <f>""</f>
        <v/>
      </c>
      <c r="T2990" t="s">
        <v>41</v>
      </c>
      <c r="U2990">
        <v>9285.0300000000007</v>
      </c>
      <c r="V2990">
        <v>9182.89</v>
      </c>
      <c r="W2990">
        <v>9182.89</v>
      </c>
      <c r="X2990">
        <v>0</v>
      </c>
      <c r="Y2990">
        <v>0</v>
      </c>
      <c r="Z2990">
        <v>-480</v>
      </c>
      <c r="AA2990">
        <v>687311</v>
      </c>
      <c r="AD2990" t="s">
        <v>3145</v>
      </c>
      <c r="AE2990" t="s">
        <v>7988</v>
      </c>
      <c r="AF2990" t="s">
        <v>3145</v>
      </c>
      <c r="AG2990" s="1" t="s">
        <v>7989</v>
      </c>
      <c r="AH2990" t="s">
        <v>2154</v>
      </c>
    </row>
    <row r="2991" spans="1:34" x14ac:dyDescent="0.3">
      <c r="A2991">
        <v>101</v>
      </c>
      <c r="B2991" t="s">
        <v>34</v>
      </c>
      <c r="C2991">
        <v>2</v>
      </c>
      <c r="D2991" s="1" t="s">
        <v>7992</v>
      </c>
      <c r="E2991" s="1" t="s">
        <v>36</v>
      </c>
      <c r="G2991">
        <v>438093</v>
      </c>
      <c r="H2991" t="s">
        <v>7993</v>
      </c>
      <c r="I2991" t="s">
        <v>2413</v>
      </c>
      <c r="J2991">
        <v>28</v>
      </c>
      <c r="K2991">
        <v>2695</v>
      </c>
      <c r="L2991">
        <v>95000</v>
      </c>
      <c r="M2991" t="s">
        <v>69</v>
      </c>
      <c r="N2991">
        <v>665</v>
      </c>
      <c r="O2991" s="2">
        <v>46141</v>
      </c>
      <c r="P2991" s="2">
        <v>46255</v>
      </c>
      <c r="R2991" t="s">
        <v>7994</v>
      </c>
      <c r="S2991" t="str">
        <f>""</f>
        <v/>
      </c>
      <c r="T2991" t="s">
        <v>41</v>
      </c>
      <c r="U2991">
        <v>9953.8700000000008</v>
      </c>
      <c r="V2991">
        <v>9844.3799999999992</v>
      </c>
      <c r="W2991">
        <v>9844.3799999999992</v>
      </c>
      <c r="X2991">
        <v>0</v>
      </c>
      <c r="Y2991">
        <v>0</v>
      </c>
      <c r="Z2991">
        <v>-480</v>
      </c>
      <c r="AA2991">
        <v>687317</v>
      </c>
      <c r="AD2991" t="s">
        <v>7995</v>
      </c>
      <c r="AE2991" t="s">
        <v>5720</v>
      </c>
      <c r="AF2991" t="s">
        <v>7995</v>
      </c>
      <c r="AG2991" s="1" t="s">
        <v>7996</v>
      </c>
      <c r="AH2991" t="s">
        <v>87</v>
      </c>
    </row>
    <row r="2992" spans="1:34" x14ac:dyDescent="0.3">
      <c r="A2992">
        <v>101</v>
      </c>
      <c r="B2992" t="s">
        <v>34</v>
      </c>
      <c r="C2992">
        <v>2</v>
      </c>
      <c r="D2992" s="1" t="s">
        <v>7997</v>
      </c>
      <c r="E2992" s="1" t="s">
        <v>36</v>
      </c>
      <c r="G2992">
        <v>438093</v>
      </c>
      <c r="H2992" t="s">
        <v>7993</v>
      </c>
      <c r="I2992" t="s">
        <v>2413</v>
      </c>
      <c r="J2992">
        <v>28</v>
      </c>
      <c r="K2992">
        <v>2695</v>
      </c>
      <c r="L2992">
        <v>95000</v>
      </c>
      <c r="M2992" t="s">
        <v>69</v>
      </c>
      <c r="N2992">
        <v>665</v>
      </c>
      <c r="O2992" s="2">
        <v>46171</v>
      </c>
      <c r="P2992" s="2">
        <v>46316</v>
      </c>
      <c r="R2992" t="s">
        <v>7998</v>
      </c>
      <c r="S2992" t="str">
        <f>""</f>
        <v/>
      </c>
      <c r="T2992" t="s">
        <v>41</v>
      </c>
      <c r="U2992">
        <v>7984.4</v>
      </c>
      <c r="V2992">
        <v>7743.41</v>
      </c>
      <c r="W2992">
        <v>7743.41</v>
      </c>
      <c r="X2992">
        <v>0</v>
      </c>
      <c r="Y2992">
        <v>0</v>
      </c>
      <c r="Z2992">
        <v>-541</v>
      </c>
      <c r="AA2992">
        <v>690312</v>
      </c>
      <c r="AD2992" t="s">
        <v>7995</v>
      </c>
      <c r="AE2992" t="s">
        <v>5720</v>
      </c>
      <c r="AF2992" t="s">
        <v>7995</v>
      </c>
      <c r="AG2992" s="1" t="s">
        <v>7996</v>
      </c>
      <c r="AH2992" t="s">
        <v>87</v>
      </c>
    </row>
    <row r="2993" spans="1:34" x14ac:dyDescent="0.3">
      <c r="A2993">
        <v>101</v>
      </c>
      <c r="B2993" t="s">
        <v>34</v>
      </c>
      <c r="C2993">
        <v>2</v>
      </c>
      <c r="D2993" s="1" t="s">
        <v>7999</v>
      </c>
      <c r="E2993" s="1" t="s">
        <v>36</v>
      </c>
      <c r="G2993">
        <v>438093</v>
      </c>
      <c r="H2993" t="s">
        <v>7993</v>
      </c>
      <c r="I2993" t="s">
        <v>2413</v>
      </c>
      <c r="J2993">
        <v>28</v>
      </c>
      <c r="K2993">
        <v>2695</v>
      </c>
      <c r="L2993">
        <v>95000</v>
      </c>
      <c r="M2993" t="s">
        <v>69</v>
      </c>
      <c r="N2993">
        <v>665</v>
      </c>
      <c r="O2993" s="2">
        <v>46223</v>
      </c>
      <c r="P2993" s="2">
        <v>46337</v>
      </c>
      <c r="R2993" t="s">
        <v>8000</v>
      </c>
      <c r="S2993" t="str">
        <f>""</f>
        <v/>
      </c>
      <c r="T2993" t="s">
        <v>41</v>
      </c>
      <c r="U2993">
        <v>4712.04</v>
      </c>
      <c r="V2993">
        <v>4660.21</v>
      </c>
      <c r="W2993">
        <v>4660.21</v>
      </c>
      <c r="X2993">
        <v>0</v>
      </c>
      <c r="Y2993">
        <v>0</v>
      </c>
      <c r="Z2993">
        <v>-562</v>
      </c>
      <c r="AA2993">
        <v>694348</v>
      </c>
      <c r="AD2993" t="s">
        <v>7995</v>
      </c>
      <c r="AE2993" t="s">
        <v>5720</v>
      </c>
      <c r="AF2993" t="s">
        <v>7995</v>
      </c>
      <c r="AG2993" s="1" t="s">
        <v>7996</v>
      </c>
      <c r="AH2993" t="s">
        <v>87</v>
      </c>
    </row>
    <row r="2994" spans="1:34" x14ac:dyDescent="0.3">
      <c r="A2994">
        <v>101</v>
      </c>
      <c r="B2994" t="s">
        <v>34</v>
      </c>
      <c r="C2994">
        <v>2</v>
      </c>
      <c r="D2994" s="1" t="s">
        <v>8001</v>
      </c>
      <c r="E2994" s="1" t="s">
        <v>36</v>
      </c>
      <c r="G2994">
        <v>438094</v>
      </c>
      <c r="H2994" t="s">
        <v>8002</v>
      </c>
      <c r="I2994" t="s">
        <v>2413</v>
      </c>
      <c r="J2994">
        <v>28</v>
      </c>
      <c r="K2994">
        <v>2695</v>
      </c>
      <c r="L2994">
        <v>95000</v>
      </c>
      <c r="M2994" t="s">
        <v>69</v>
      </c>
      <c r="N2994">
        <v>665</v>
      </c>
      <c r="O2994" s="2">
        <v>46171</v>
      </c>
      <c r="P2994" s="2">
        <v>46286</v>
      </c>
      <c r="R2994" t="s">
        <v>8003</v>
      </c>
      <c r="S2994" t="str">
        <f>""</f>
        <v/>
      </c>
      <c r="T2994" t="s">
        <v>41</v>
      </c>
      <c r="U2994">
        <v>8129.42</v>
      </c>
      <c r="V2994">
        <v>8040</v>
      </c>
      <c r="W2994">
        <v>8040</v>
      </c>
      <c r="X2994">
        <v>0</v>
      </c>
      <c r="Y2994">
        <v>0</v>
      </c>
      <c r="Z2994">
        <v>-511</v>
      </c>
      <c r="AA2994">
        <v>690300</v>
      </c>
      <c r="AD2994" t="s">
        <v>3233</v>
      </c>
      <c r="AE2994" t="s">
        <v>5720</v>
      </c>
      <c r="AF2994" t="s">
        <v>3233</v>
      </c>
      <c r="AG2994" s="1" t="s">
        <v>8004</v>
      </c>
      <c r="AH2994" t="s">
        <v>87</v>
      </c>
    </row>
    <row r="2995" spans="1:34" x14ac:dyDescent="0.3">
      <c r="A2995">
        <v>101</v>
      </c>
      <c r="B2995" t="s">
        <v>34</v>
      </c>
      <c r="C2995">
        <v>2</v>
      </c>
      <c r="D2995" s="1" t="s">
        <v>8005</v>
      </c>
      <c r="E2995" s="1" t="s">
        <v>36</v>
      </c>
      <c r="G2995">
        <v>438094</v>
      </c>
      <c r="H2995" t="s">
        <v>8002</v>
      </c>
      <c r="I2995" t="s">
        <v>2413</v>
      </c>
      <c r="J2995">
        <v>28</v>
      </c>
      <c r="K2995">
        <v>2695</v>
      </c>
      <c r="L2995">
        <v>95000</v>
      </c>
      <c r="M2995" t="s">
        <v>69</v>
      </c>
      <c r="N2995">
        <v>665</v>
      </c>
      <c r="O2995" s="2">
        <v>46141</v>
      </c>
      <c r="P2995" s="2">
        <v>46255</v>
      </c>
      <c r="R2995" t="s">
        <v>8006</v>
      </c>
      <c r="S2995" t="str">
        <f>""</f>
        <v/>
      </c>
      <c r="T2995" t="s">
        <v>41</v>
      </c>
      <c r="U2995">
        <v>4490</v>
      </c>
      <c r="V2995">
        <v>4440.6099999999997</v>
      </c>
      <c r="W2995">
        <v>4440.6099999999997</v>
      </c>
      <c r="X2995">
        <v>0</v>
      </c>
      <c r="Y2995">
        <v>0</v>
      </c>
      <c r="Z2995">
        <v>-480</v>
      </c>
      <c r="AA2995">
        <v>687304</v>
      </c>
      <c r="AD2995" t="s">
        <v>3233</v>
      </c>
      <c r="AE2995" t="s">
        <v>5720</v>
      </c>
      <c r="AF2995" t="s">
        <v>3233</v>
      </c>
      <c r="AG2995" s="1" t="s">
        <v>8004</v>
      </c>
      <c r="AH2995" t="s">
        <v>87</v>
      </c>
    </row>
    <row r="2996" spans="1:34" x14ac:dyDescent="0.3">
      <c r="A2996">
        <v>101</v>
      </c>
      <c r="B2996" t="s">
        <v>34</v>
      </c>
      <c r="C2996">
        <v>2</v>
      </c>
      <c r="D2996" s="1" t="s">
        <v>8007</v>
      </c>
      <c r="E2996" s="1" t="s">
        <v>36</v>
      </c>
      <c r="G2996">
        <v>440500</v>
      </c>
      <c r="H2996" t="s">
        <v>8008</v>
      </c>
      <c r="I2996" t="s">
        <v>2413</v>
      </c>
      <c r="J2996">
        <v>28</v>
      </c>
      <c r="K2996">
        <v>2695</v>
      </c>
      <c r="L2996">
        <v>95000</v>
      </c>
      <c r="M2996" t="s">
        <v>69</v>
      </c>
      <c r="N2996">
        <v>665</v>
      </c>
      <c r="O2996" s="2">
        <v>46141</v>
      </c>
      <c r="P2996" s="2">
        <v>46255</v>
      </c>
      <c r="R2996" t="s">
        <v>8009</v>
      </c>
      <c r="S2996" t="str">
        <f>""</f>
        <v/>
      </c>
      <c r="T2996" t="s">
        <v>41</v>
      </c>
      <c r="U2996">
        <v>5061.43</v>
      </c>
      <c r="V2996">
        <v>4884.8999999999996</v>
      </c>
      <c r="W2996">
        <v>4884.8999999999996</v>
      </c>
      <c r="X2996">
        <v>0</v>
      </c>
      <c r="Y2996">
        <v>0</v>
      </c>
      <c r="Z2996">
        <v>-480</v>
      </c>
      <c r="AA2996">
        <v>687309</v>
      </c>
      <c r="AD2996" t="s">
        <v>8010</v>
      </c>
      <c r="AF2996" t="s">
        <v>8010</v>
      </c>
      <c r="AG2996" s="1" t="s">
        <v>8011</v>
      </c>
      <c r="AH2996" t="s">
        <v>87</v>
      </c>
    </row>
    <row r="2997" spans="1:34" x14ac:dyDescent="0.3">
      <c r="A2997">
        <v>101</v>
      </c>
      <c r="B2997" t="s">
        <v>34</v>
      </c>
      <c r="C2997">
        <v>2</v>
      </c>
      <c r="D2997" s="1" t="s">
        <v>8012</v>
      </c>
      <c r="E2997" s="1" t="s">
        <v>36</v>
      </c>
      <c r="G2997">
        <v>440500</v>
      </c>
      <c r="H2997" t="s">
        <v>8008</v>
      </c>
      <c r="I2997" t="s">
        <v>2413</v>
      </c>
      <c r="J2997">
        <v>28</v>
      </c>
      <c r="K2997">
        <v>2695</v>
      </c>
      <c r="L2997">
        <v>95000</v>
      </c>
      <c r="M2997" t="s">
        <v>69</v>
      </c>
      <c r="N2997">
        <v>665</v>
      </c>
      <c r="O2997" s="2">
        <v>46171</v>
      </c>
      <c r="P2997" s="2">
        <v>46286</v>
      </c>
      <c r="R2997" t="s">
        <v>8013</v>
      </c>
      <c r="S2997" t="str">
        <f>""</f>
        <v/>
      </c>
      <c r="T2997" t="s">
        <v>41</v>
      </c>
      <c r="U2997">
        <v>3249.8</v>
      </c>
      <c r="V2997">
        <v>3214.05</v>
      </c>
      <c r="W2997">
        <v>3214.05</v>
      </c>
      <c r="X2997">
        <v>0</v>
      </c>
      <c r="Y2997">
        <v>0</v>
      </c>
      <c r="Z2997">
        <v>-511</v>
      </c>
      <c r="AA2997">
        <v>690304</v>
      </c>
      <c r="AD2997" t="s">
        <v>8010</v>
      </c>
      <c r="AF2997" t="s">
        <v>8010</v>
      </c>
      <c r="AG2997" s="1" t="s">
        <v>8011</v>
      </c>
      <c r="AH2997" t="s">
        <v>87</v>
      </c>
    </row>
    <row r="2998" spans="1:34" x14ac:dyDescent="0.3">
      <c r="A2998">
        <v>101</v>
      </c>
      <c r="B2998" t="s">
        <v>34</v>
      </c>
      <c r="C2998">
        <v>2</v>
      </c>
      <c r="D2998" s="1" t="s">
        <v>8014</v>
      </c>
      <c r="E2998" s="1" t="s">
        <v>36</v>
      </c>
      <c r="G2998">
        <v>440500</v>
      </c>
      <c r="H2998" t="s">
        <v>8008</v>
      </c>
      <c r="I2998" t="s">
        <v>2413</v>
      </c>
      <c r="J2998">
        <v>28</v>
      </c>
      <c r="K2998">
        <v>2695</v>
      </c>
      <c r="L2998">
        <v>95000</v>
      </c>
      <c r="M2998" t="s">
        <v>69</v>
      </c>
      <c r="N2998">
        <v>665</v>
      </c>
      <c r="O2998" s="2">
        <v>46223</v>
      </c>
      <c r="P2998" s="2">
        <v>46349</v>
      </c>
      <c r="R2998" t="s">
        <v>8015</v>
      </c>
      <c r="S2998" t="str">
        <f>""</f>
        <v/>
      </c>
      <c r="T2998" t="s">
        <v>41</v>
      </c>
      <c r="U2998">
        <v>4779.21</v>
      </c>
      <c r="V2998">
        <v>4726.6400000000003</v>
      </c>
      <c r="W2998">
        <v>4726.6400000000003</v>
      </c>
      <c r="X2998">
        <v>0</v>
      </c>
      <c r="Y2998">
        <v>0</v>
      </c>
      <c r="Z2998">
        <v>-574</v>
      </c>
      <c r="AA2998">
        <v>694342</v>
      </c>
      <c r="AD2998" t="s">
        <v>8010</v>
      </c>
      <c r="AF2998" t="s">
        <v>8010</v>
      </c>
      <c r="AG2998" s="1" t="s">
        <v>8011</v>
      </c>
      <c r="AH2998" t="s">
        <v>87</v>
      </c>
    </row>
    <row r="2999" spans="1:34" x14ac:dyDescent="0.3">
      <c r="A2999">
        <v>101</v>
      </c>
      <c r="B2999" t="s">
        <v>34</v>
      </c>
      <c r="C2999">
        <v>2</v>
      </c>
      <c r="D2999" s="1" t="s">
        <v>8016</v>
      </c>
      <c r="E2999" s="1" t="s">
        <v>36</v>
      </c>
      <c r="G2999">
        <v>446566</v>
      </c>
      <c r="H2999" t="s">
        <v>8017</v>
      </c>
      <c r="I2999" t="s">
        <v>2413</v>
      </c>
      <c r="J2999">
        <v>28</v>
      </c>
      <c r="K2999">
        <v>2695</v>
      </c>
      <c r="L2999">
        <v>95000</v>
      </c>
      <c r="M2999" t="s">
        <v>69</v>
      </c>
      <c r="N2999">
        <v>665</v>
      </c>
      <c r="O2999" s="2">
        <v>46223</v>
      </c>
      <c r="P2999" s="2">
        <v>46337</v>
      </c>
      <c r="R2999" t="s">
        <v>8018</v>
      </c>
      <c r="S2999" t="str">
        <f>""</f>
        <v/>
      </c>
      <c r="T2999" t="s">
        <v>41</v>
      </c>
      <c r="U2999">
        <v>2261.79</v>
      </c>
      <c r="V2999">
        <v>2236.91</v>
      </c>
      <c r="W2999">
        <v>2236.91</v>
      </c>
      <c r="X2999">
        <v>0</v>
      </c>
      <c r="Y2999">
        <v>0</v>
      </c>
      <c r="Z2999">
        <v>-562</v>
      </c>
      <c r="AA2999">
        <v>694334</v>
      </c>
      <c r="AD2999" t="s">
        <v>3233</v>
      </c>
      <c r="AE2999" t="s">
        <v>5734</v>
      </c>
      <c r="AF2999" t="s">
        <v>3233</v>
      </c>
      <c r="AG2999" s="1" t="s">
        <v>8019</v>
      </c>
      <c r="AH2999" t="s">
        <v>87</v>
      </c>
    </row>
    <row r="3000" spans="1:34" x14ac:dyDescent="0.3">
      <c r="A3000">
        <v>101</v>
      </c>
      <c r="B3000" t="s">
        <v>34</v>
      </c>
      <c r="C3000">
        <v>2</v>
      </c>
      <c r="D3000" s="1" t="s">
        <v>8020</v>
      </c>
      <c r="E3000" s="1" t="s">
        <v>36</v>
      </c>
      <c r="G3000">
        <v>446566</v>
      </c>
      <c r="H3000" t="s">
        <v>8017</v>
      </c>
      <c r="I3000" t="s">
        <v>2413</v>
      </c>
      <c r="J3000">
        <v>28</v>
      </c>
      <c r="K3000">
        <v>2695</v>
      </c>
      <c r="L3000">
        <v>95000</v>
      </c>
      <c r="M3000" t="s">
        <v>69</v>
      </c>
      <c r="N3000">
        <v>665</v>
      </c>
      <c r="O3000" s="2">
        <v>46141</v>
      </c>
      <c r="P3000" s="2">
        <v>46255</v>
      </c>
      <c r="R3000" t="s">
        <v>8021</v>
      </c>
      <c r="S3000" t="str">
        <f>""</f>
        <v/>
      </c>
      <c r="T3000" t="s">
        <v>41</v>
      </c>
      <c r="U3000">
        <v>2260</v>
      </c>
      <c r="V3000">
        <v>2235.14</v>
      </c>
      <c r="W3000">
        <v>2235.14</v>
      </c>
      <c r="X3000">
        <v>0</v>
      </c>
      <c r="Y3000">
        <v>0</v>
      </c>
      <c r="Z3000">
        <v>-480</v>
      </c>
      <c r="AA3000">
        <v>687300</v>
      </c>
      <c r="AD3000" t="s">
        <v>3233</v>
      </c>
      <c r="AE3000" t="s">
        <v>5734</v>
      </c>
      <c r="AF3000" t="s">
        <v>3233</v>
      </c>
      <c r="AG3000" s="1" t="s">
        <v>8019</v>
      </c>
      <c r="AH3000" t="s">
        <v>87</v>
      </c>
    </row>
    <row r="3001" spans="1:34" x14ac:dyDescent="0.3">
      <c r="A3001">
        <v>101</v>
      </c>
      <c r="B3001" t="s">
        <v>34</v>
      </c>
      <c r="C3001">
        <v>2</v>
      </c>
      <c r="D3001" s="1" t="s">
        <v>8022</v>
      </c>
      <c r="E3001" s="1" t="s">
        <v>36</v>
      </c>
      <c r="G3001">
        <v>446566</v>
      </c>
      <c r="H3001" t="s">
        <v>8017</v>
      </c>
      <c r="I3001" t="s">
        <v>2413</v>
      </c>
      <c r="J3001">
        <v>28</v>
      </c>
      <c r="K3001">
        <v>2695</v>
      </c>
      <c r="L3001">
        <v>95000</v>
      </c>
      <c r="M3001" t="s">
        <v>69</v>
      </c>
      <c r="N3001">
        <v>665</v>
      </c>
      <c r="O3001" s="2">
        <v>46171</v>
      </c>
      <c r="P3001" s="2">
        <v>46286</v>
      </c>
      <c r="R3001" t="s">
        <v>8023</v>
      </c>
      <c r="S3001" t="str">
        <f>""</f>
        <v/>
      </c>
      <c r="T3001" t="s">
        <v>41</v>
      </c>
      <c r="U3001">
        <v>5484.59</v>
      </c>
      <c r="V3001">
        <v>5424.26</v>
      </c>
      <c r="W3001">
        <v>5424.26</v>
      </c>
      <c r="X3001">
        <v>0</v>
      </c>
      <c r="Y3001">
        <v>0</v>
      </c>
      <c r="Z3001">
        <v>-511</v>
      </c>
      <c r="AA3001">
        <v>690296</v>
      </c>
      <c r="AD3001" t="s">
        <v>3233</v>
      </c>
      <c r="AE3001" t="s">
        <v>5734</v>
      </c>
      <c r="AF3001" t="s">
        <v>3233</v>
      </c>
      <c r="AG3001" s="1" t="s">
        <v>8019</v>
      </c>
      <c r="AH3001" t="s">
        <v>87</v>
      </c>
    </row>
    <row r="3002" spans="1:34" x14ac:dyDescent="0.3">
      <c r="A3002">
        <v>101</v>
      </c>
      <c r="B3002" t="s">
        <v>34</v>
      </c>
      <c r="C3002">
        <v>2</v>
      </c>
      <c r="D3002" s="1" t="s">
        <v>8024</v>
      </c>
      <c r="E3002" s="1" t="s">
        <v>36</v>
      </c>
      <c r="G3002">
        <v>448319</v>
      </c>
      <c r="H3002" t="s">
        <v>8025</v>
      </c>
      <c r="I3002" t="s">
        <v>2413</v>
      </c>
      <c r="J3002">
        <v>28</v>
      </c>
      <c r="K3002">
        <v>2695</v>
      </c>
      <c r="L3002">
        <v>95000</v>
      </c>
      <c r="M3002" t="s">
        <v>69</v>
      </c>
      <c r="N3002">
        <v>665</v>
      </c>
      <c r="O3002" s="2">
        <v>46171</v>
      </c>
      <c r="P3002" s="2">
        <v>46308</v>
      </c>
      <c r="R3002" t="s">
        <v>8026</v>
      </c>
      <c r="S3002" t="str">
        <f>""</f>
        <v/>
      </c>
      <c r="T3002" t="s">
        <v>41</v>
      </c>
      <c r="U3002">
        <v>4745.37</v>
      </c>
      <c r="V3002">
        <v>4693.17</v>
      </c>
      <c r="W3002">
        <v>4693.17</v>
      </c>
      <c r="X3002">
        <v>0</v>
      </c>
      <c r="Y3002">
        <v>0</v>
      </c>
      <c r="Z3002">
        <v>-533</v>
      </c>
      <c r="AA3002">
        <v>690314</v>
      </c>
      <c r="AD3002" t="s">
        <v>8027</v>
      </c>
      <c r="AE3002" t="s">
        <v>8028</v>
      </c>
      <c r="AF3002" t="s">
        <v>8027</v>
      </c>
      <c r="AG3002" s="1" t="s">
        <v>8029</v>
      </c>
      <c r="AH3002" t="s">
        <v>2154</v>
      </c>
    </row>
    <row r="3003" spans="1:34" x14ac:dyDescent="0.3">
      <c r="A3003">
        <v>101</v>
      </c>
      <c r="B3003" t="s">
        <v>34</v>
      </c>
      <c r="C3003">
        <v>2</v>
      </c>
      <c r="D3003" s="1" t="s">
        <v>8030</v>
      </c>
      <c r="E3003" s="1" t="s">
        <v>36</v>
      </c>
      <c r="G3003">
        <v>448319</v>
      </c>
      <c r="H3003" t="s">
        <v>8025</v>
      </c>
      <c r="I3003" t="s">
        <v>2413</v>
      </c>
      <c r="J3003">
        <v>28</v>
      </c>
      <c r="K3003">
        <v>2695</v>
      </c>
      <c r="L3003">
        <v>95000</v>
      </c>
      <c r="M3003" t="s">
        <v>69</v>
      </c>
      <c r="N3003">
        <v>665</v>
      </c>
      <c r="O3003" s="2">
        <v>46141</v>
      </c>
      <c r="P3003" s="2">
        <v>46266</v>
      </c>
      <c r="R3003" t="s">
        <v>8031</v>
      </c>
      <c r="S3003" t="str">
        <f>""</f>
        <v/>
      </c>
      <c r="T3003" t="s">
        <v>41</v>
      </c>
      <c r="U3003">
        <v>7331.28</v>
      </c>
      <c r="V3003">
        <v>7250.64</v>
      </c>
      <c r="W3003">
        <v>7250.64</v>
      </c>
      <c r="X3003">
        <v>0</v>
      </c>
      <c r="Y3003">
        <v>0</v>
      </c>
      <c r="Z3003">
        <v>-491</v>
      </c>
      <c r="AA3003">
        <v>687319</v>
      </c>
      <c r="AD3003" t="s">
        <v>8027</v>
      </c>
      <c r="AE3003" t="s">
        <v>8028</v>
      </c>
      <c r="AF3003" t="s">
        <v>8027</v>
      </c>
      <c r="AG3003" s="1" t="s">
        <v>8029</v>
      </c>
      <c r="AH3003" t="s">
        <v>2154</v>
      </c>
    </row>
    <row r="3004" spans="1:34" x14ac:dyDescent="0.3">
      <c r="A3004">
        <v>101</v>
      </c>
      <c r="B3004" t="s">
        <v>34</v>
      </c>
      <c r="C3004">
        <v>2</v>
      </c>
      <c r="D3004" s="1" t="s">
        <v>8032</v>
      </c>
      <c r="E3004" s="1" t="s">
        <v>36</v>
      </c>
      <c r="G3004">
        <v>450951</v>
      </c>
      <c r="H3004" t="s">
        <v>8033</v>
      </c>
      <c r="I3004" t="s">
        <v>2413</v>
      </c>
      <c r="J3004">
        <v>28</v>
      </c>
      <c r="K3004">
        <v>2695</v>
      </c>
      <c r="L3004">
        <v>95000</v>
      </c>
      <c r="M3004" t="s">
        <v>69</v>
      </c>
      <c r="N3004">
        <v>665</v>
      </c>
      <c r="O3004" s="2">
        <v>46171</v>
      </c>
      <c r="P3004" s="2">
        <v>46286</v>
      </c>
      <c r="R3004" t="s">
        <v>8034</v>
      </c>
      <c r="S3004" t="str">
        <f>""</f>
        <v/>
      </c>
      <c r="T3004" t="s">
        <v>41</v>
      </c>
      <c r="U3004">
        <v>7340.5</v>
      </c>
      <c r="V3004">
        <v>7259.75</v>
      </c>
      <c r="W3004">
        <v>7259.75</v>
      </c>
      <c r="X3004">
        <v>0</v>
      </c>
      <c r="Y3004">
        <v>0</v>
      </c>
      <c r="Z3004">
        <v>-511</v>
      </c>
      <c r="AA3004">
        <v>690316</v>
      </c>
      <c r="AD3004" t="s">
        <v>8035</v>
      </c>
      <c r="AE3004" t="s">
        <v>2533</v>
      </c>
      <c r="AF3004" t="s">
        <v>8035</v>
      </c>
      <c r="AG3004" s="1" t="s">
        <v>8036</v>
      </c>
      <c r="AH3004" t="s">
        <v>87</v>
      </c>
    </row>
    <row r="3005" spans="1:34" x14ac:dyDescent="0.3">
      <c r="A3005">
        <v>101</v>
      </c>
      <c r="B3005" t="s">
        <v>34</v>
      </c>
      <c r="C3005">
        <v>2</v>
      </c>
      <c r="D3005" s="1" t="s">
        <v>8037</v>
      </c>
      <c r="E3005" s="1" t="s">
        <v>36</v>
      </c>
      <c r="G3005">
        <v>450951</v>
      </c>
      <c r="H3005" t="s">
        <v>8033</v>
      </c>
      <c r="I3005" t="s">
        <v>2413</v>
      </c>
      <c r="J3005">
        <v>28</v>
      </c>
      <c r="K3005">
        <v>2695</v>
      </c>
      <c r="L3005">
        <v>95000</v>
      </c>
      <c r="M3005" t="s">
        <v>69</v>
      </c>
      <c r="N3005">
        <v>665</v>
      </c>
      <c r="O3005" s="2">
        <v>46141</v>
      </c>
      <c r="P3005" s="2">
        <v>46266</v>
      </c>
      <c r="R3005" t="s">
        <v>8038</v>
      </c>
      <c r="S3005" t="str">
        <f>""</f>
        <v/>
      </c>
      <c r="T3005" t="s">
        <v>41</v>
      </c>
      <c r="U3005">
        <v>14051.59</v>
      </c>
      <c r="V3005">
        <v>13897.02</v>
      </c>
      <c r="W3005">
        <v>13897.02</v>
      </c>
      <c r="X3005">
        <v>0</v>
      </c>
      <c r="Y3005">
        <v>0</v>
      </c>
      <c r="Z3005">
        <v>-491</v>
      </c>
      <c r="AA3005">
        <v>687321</v>
      </c>
      <c r="AD3005" t="s">
        <v>8035</v>
      </c>
      <c r="AE3005" t="s">
        <v>2533</v>
      </c>
      <c r="AF3005" t="s">
        <v>8035</v>
      </c>
      <c r="AG3005" s="1" t="s">
        <v>8036</v>
      </c>
      <c r="AH3005" t="s">
        <v>87</v>
      </c>
    </row>
    <row r="3006" spans="1:34" x14ac:dyDescent="0.3">
      <c r="A3006">
        <v>101</v>
      </c>
      <c r="B3006" t="s">
        <v>34</v>
      </c>
      <c r="C3006">
        <v>2</v>
      </c>
      <c r="D3006" s="1" t="s">
        <v>8039</v>
      </c>
      <c r="E3006" s="1" t="s">
        <v>36</v>
      </c>
      <c r="G3006">
        <v>450951</v>
      </c>
      <c r="H3006" t="s">
        <v>8033</v>
      </c>
      <c r="I3006" t="s">
        <v>2413</v>
      </c>
      <c r="J3006">
        <v>28</v>
      </c>
      <c r="K3006">
        <v>2695</v>
      </c>
      <c r="L3006">
        <v>95000</v>
      </c>
      <c r="M3006" t="s">
        <v>69</v>
      </c>
      <c r="N3006">
        <v>665</v>
      </c>
      <c r="O3006" s="2">
        <v>46223</v>
      </c>
      <c r="P3006" s="2">
        <v>46329</v>
      </c>
      <c r="R3006" t="s">
        <v>8040</v>
      </c>
      <c r="S3006" t="str">
        <f>""</f>
        <v/>
      </c>
      <c r="T3006" t="s">
        <v>41</v>
      </c>
      <c r="U3006">
        <v>5223.93</v>
      </c>
      <c r="V3006">
        <v>5166.47</v>
      </c>
      <c r="W3006">
        <v>5166.47</v>
      </c>
      <c r="X3006">
        <v>0</v>
      </c>
      <c r="Y3006">
        <v>0</v>
      </c>
      <c r="Z3006">
        <v>-554</v>
      </c>
      <c r="AA3006">
        <v>694352</v>
      </c>
      <c r="AD3006" t="s">
        <v>8035</v>
      </c>
      <c r="AE3006" t="s">
        <v>2533</v>
      </c>
      <c r="AF3006" t="s">
        <v>8035</v>
      </c>
      <c r="AG3006" s="1" t="s">
        <v>8036</v>
      </c>
      <c r="AH3006" t="s">
        <v>87</v>
      </c>
    </row>
    <row r="3007" spans="1:34" x14ac:dyDescent="0.3">
      <c r="A3007">
        <v>101</v>
      </c>
      <c r="B3007" t="s">
        <v>34</v>
      </c>
      <c r="C3007">
        <v>2</v>
      </c>
      <c r="D3007" s="1" t="s">
        <v>8041</v>
      </c>
      <c r="E3007" s="1" t="s">
        <v>36</v>
      </c>
      <c r="G3007">
        <v>451050</v>
      </c>
      <c r="H3007" t="s">
        <v>8042</v>
      </c>
      <c r="I3007" t="s">
        <v>2413</v>
      </c>
      <c r="J3007">
        <v>28</v>
      </c>
      <c r="K3007">
        <v>2695</v>
      </c>
      <c r="L3007">
        <v>95000</v>
      </c>
      <c r="M3007" t="s">
        <v>69</v>
      </c>
      <c r="N3007">
        <v>665</v>
      </c>
      <c r="O3007" s="2">
        <v>46223</v>
      </c>
      <c r="P3007" s="2">
        <v>46337</v>
      </c>
      <c r="R3007" t="s">
        <v>8043</v>
      </c>
      <c r="S3007" t="str">
        <f>""</f>
        <v/>
      </c>
      <c r="T3007" t="s">
        <v>41</v>
      </c>
      <c r="U3007">
        <v>1877.8</v>
      </c>
      <c r="V3007">
        <v>1107.31</v>
      </c>
      <c r="W3007">
        <v>1107.31</v>
      </c>
      <c r="X3007">
        <v>0</v>
      </c>
      <c r="Y3007">
        <v>0</v>
      </c>
      <c r="Z3007">
        <v>-562</v>
      </c>
      <c r="AA3007">
        <v>694354</v>
      </c>
      <c r="AD3007" t="s">
        <v>3233</v>
      </c>
      <c r="AF3007" t="s">
        <v>3233</v>
      </c>
      <c r="AG3007" s="1" t="s">
        <v>8044</v>
      </c>
      <c r="AH3007" t="s">
        <v>87</v>
      </c>
    </row>
    <row r="3008" spans="1:34" x14ac:dyDescent="0.3">
      <c r="A3008">
        <v>101</v>
      </c>
      <c r="B3008" t="s">
        <v>34</v>
      </c>
      <c r="C3008">
        <v>2</v>
      </c>
      <c r="D3008" s="1" t="s">
        <v>8045</v>
      </c>
      <c r="E3008" s="1" t="s">
        <v>36</v>
      </c>
      <c r="G3008">
        <v>451050</v>
      </c>
      <c r="H3008" t="s">
        <v>8042</v>
      </c>
      <c r="I3008" t="s">
        <v>2413</v>
      </c>
      <c r="J3008">
        <v>28</v>
      </c>
      <c r="K3008">
        <v>2695</v>
      </c>
      <c r="L3008">
        <v>95000</v>
      </c>
      <c r="M3008" t="s">
        <v>69</v>
      </c>
      <c r="N3008">
        <v>665</v>
      </c>
      <c r="O3008" s="2">
        <v>46141</v>
      </c>
      <c r="P3008" s="2">
        <v>46255</v>
      </c>
      <c r="R3008" t="s">
        <v>8046</v>
      </c>
      <c r="S3008" t="str">
        <f>""</f>
        <v/>
      </c>
      <c r="T3008" t="s">
        <v>41</v>
      </c>
      <c r="U3008">
        <v>6515.16</v>
      </c>
      <c r="V3008">
        <v>6443.49</v>
      </c>
      <c r="W3008">
        <v>6443.49</v>
      </c>
      <c r="X3008">
        <v>0</v>
      </c>
      <c r="Y3008">
        <v>0</v>
      </c>
      <c r="Z3008">
        <v>-480</v>
      </c>
      <c r="AA3008">
        <v>687323</v>
      </c>
      <c r="AD3008" t="s">
        <v>3233</v>
      </c>
      <c r="AF3008" t="s">
        <v>3233</v>
      </c>
      <c r="AG3008" s="1" t="s">
        <v>8044</v>
      </c>
      <c r="AH3008" t="s">
        <v>87</v>
      </c>
    </row>
    <row r="3009" spans="1:34" x14ac:dyDescent="0.3">
      <c r="A3009">
        <v>101</v>
      </c>
      <c r="B3009" t="s">
        <v>34</v>
      </c>
      <c r="C3009">
        <v>2</v>
      </c>
      <c r="D3009" s="1" t="s">
        <v>8047</v>
      </c>
      <c r="E3009" s="1" t="s">
        <v>36</v>
      </c>
      <c r="G3009">
        <v>451050</v>
      </c>
      <c r="H3009" t="s">
        <v>8042</v>
      </c>
      <c r="I3009" t="s">
        <v>2413</v>
      </c>
      <c r="J3009">
        <v>28</v>
      </c>
      <c r="K3009">
        <v>2695</v>
      </c>
      <c r="L3009">
        <v>95000</v>
      </c>
      <c r="M3009" t="s">
        <v>69</v>
      </c>
      <c r="N3009">
        <v>665</v>
      </c>
      <c r="O3009" s="2">
        <v>46171</v>
      </c>
      <c r="P3009" s="2">
        <v>46286</v>
      </c>
      <c r="R3009" t="s">
        <v>8048</v>
      </c>
      <c r="S3009" t="str">
        <f>""</f>
        <v/>
      </c>
      <c r="T3009" t="s">
        <v>41</v>
      </c>
      <c r="U3009">
        <v>5612.99</v>
      </c>
      <c r="V3009">
        <v>5551.25</v>
      </c>
      <c r="W3009">
        <v>5551.25</v>
      </c>
      <c r="X3009">
        <v>0</v>
      </c>
      <c r="Y3009">
        <v>0</v>
      </c>
      <c r="Z3009">
        <v>-511</v>
      </c>
      <c r="AA3009">
        <v>690318</v>
      </c>
      <c r="AD3009" t="s">
        <v>3233</v>
      </c>
      <c r="AF3009" t="s">
        <v>3233</v>
      </c>
      <c r="AG3009" s="1" t="s">
        <v>8044</v>
      </c>
      <c r="AH3009" t="s">
        <v>87</v>
      </c>
    </row>
    <row r="3010" spans="1:34" x14ac:dyDescent="0.3">
      <c r="A3010">
        <v>101</v>
      </c>
      <c r="B3010" t="s">
        <v>34</v>
      </c>
      <c r="C3010">
        <v>2</v>
      </c>
      <c r="D3010" s="1" t="s">
        <v>8049</v>
      </c>
      <c r="E3010" s="1" t="s">
        <v>36</v>
      </c>
      <c r="G3010">
        <v>451068</v>
      </c>
      <c r="H3010" t="s">
        <v>8050</v>
      </c>
      <c r="I3010" t="s">
        <v>2413</v>
      </c>
      <c r="J3010">
        <v>28</v>
      </c>
      <c r="K3010">
        <v>2695</v>
      </c>
      <c r="L3010">
        <v>95000</v>
      </c>
      <c r="M3010" t="s">
        <v>69</v>
      </c>
      <c r="N3010">
        <v>665</v>
      </c>
      <c r="O3010" s="2">
        <v>46141</v>
      </c>
      <c r="P3010" s="2">
        <v>46255</v>
      </c>
      <c r="R3010" t="s">
        <v>8051</v>
      </c>
      <c r="S3010" t="str">
        <f>""</f>
        <v/>
      </c>
      <c r="T3010" t="s">
        <v>41</v>
      </c>
      <c r="U3010">
        <v>8566.42</v>
      </c>
      <c r="V3010">
        <v>8472.19</v>
      </c>
      <c r="W3010">
        <v>8472.19</v>
      </c>
      <c r="X3010">
        <v>0</v>
      </c>
      <c r="Y3010">
        <v>0</v>
      </c>
      <c r="Z3010">
        <v>-480</v>
      </c>
      <c r="AA3010">
        <v>687315</v>
      </c>
      <c r="AD3010" t="s">
        <v>8052</v>
      </c>
      <c r="AE3010" t="s">
        <v>2567</v>
      </c>
      <c r="AF3010" t="s">
        <v>8052</v>
      </c>
      <c r="AG3010" s="1" t="s">
        <v>8053</v>
      </c>
      <c r="AH3010" t="s">
        <v>87</v>
      </c>
    </row>
    <row r="3011" spans="1:34" x14ac:dyDescent="0.3">
      <c r="A3011">
        <v>101</v>
      </c>
      <c r="B3011" t="s">
        <v>34</v>
      </c>
      <c r="C3011">
        <v>2</v>
      </c>
      <c r="D3011" s="1" t="s">
        <v>8054</v>
      </c>
      <c r="E3011" s="1" t="s">
        <v>36</v>
      </c>
      <c r="G3011">
        <v>451068</v>
      </c>
      <c r="H3011" t="s">
        <v>8050</v>
      </c>
      <c r="I3011" t="s">
        <v>2413</v>
      </c>
      <c r="J3011">
        <v>28</v>
      </c>
      <c r="K3011">
        <v>2695</v>
      </c>
      <c r="L3011">
        <v>95000</v>
      </c>
      <c r="M3011" t="s">
        <v>69</v>
      </c>
      <c r="N3011">
        <v>665</v>
      </c>
      <c r="O3011" s="2">
        <v>46171</v>
      </c>
      <c r="P3011" s="2">
        <v>46329</v>
      </c>
      <c r="R3011" t="s">
        <v>8055</v>
      </c>
      <c r="S3011" t="str">
        <f>""</f>
        <v/>
      </c>
      <c r="T3011" t="s">
        <v>41</v>
      </c>
      <c r="U3011">
        <v>4404.95</v>
      </c>
      <c r="V3011">
        <v>4356.5</v>
      </c>
      <c r="W3011">
        <v>4356.5</v>
      </c>
      <c r="X3011">
        <v>0</v>
      </c>
      <c r="Y3011">
        <v>0</v>
      </c>
      <c r="Z3011">
        <v>-554</v>
      </c>
      <c r="AA3011">
        <v>690310</v>
      </c>
      <c r="AD3011" t="s">
        <v>8052</v>
      </c>
      <c r="AE3011" t="s">
        <v>2567</v>
      </c>
      <c r="AF3011" t="s">
        <v>8052</v>
      </c>
      <c r="AG3011" s="1" t="s">
        <v>8053</v>
      </c>
      <c r="AH3011" t="s">
        <v>87</v>
      </c>
    </row>
    <row r="3012" spans="1:34" x14ac:dyDescent="0.3">
      <c r="A3012">
        <v>101</v>
      </c>
      <c r="B3012" t="s">
        <v>34</v>
      </c>
      <c r="C3012">
        <v>2</v>
      </c>
      <c r="D3012" s="1" t="s">
        <v>8056</v>
      </c>
      <c r="E3012" s="1" t="s">
        <v>36</v>
      </c>
      <c r="G3012">
        <v>451068</v>
      </c>
      <c r="H3012" t="s">
        <v>8050</v>
      </c>
      <c r="I3012" t="s">
        <v>2413</v>
      </c>
      <c r="J3012">
        <v>28</v>
      </c>
      <c r="K3012">
        <v>2695</v>
      </c>
      <c r="L3012">
        <v>95000</v>
      </c>
      <c r="M3012" t="s">
        <v>69</v>
      </c>
      <c r="N3012">
        <v>665</v>
      </c>
      <c r="O3012" s="2">
        <v>46223</v>
      </c>
      <c r="P3012" s="2">
        <v>46337</v>
      </c>
      <c r="R3012" t="s">
        <v>8057</v>
      </c>
      <c r="S3012" t="str">
        <f>""</f>
        <v/>
      </c>
      <c r="T3012" t="s">
        <v>41</v>
      </c>
      <c r="U3012">
        <v>5964.25</v>
      </c>
      <c r="V3012">
        <v>5648.7</v>
      </c>
      <c r="W3012">
        <v>5648.7</v>
      </c>
      <c r="X3012">
        <v>0</v>
      </c>
      <c r="Y3012">
        <v>0</v>
      </c>
      <c r="Z3012">
        <v>-562</v>
      </c>
      <c r="AA3012">
        <v>694346</v>
      </c>
      <c r="AD3012" t="s">
        <v>8052</v>
      </c>
      <c r="AE3012" t="s">
        <v>2567</v>
      </c>
      <c r="AF3012" t="s">
        <v>8052</v>
      </c>
      <c r="AG3012" s="1" t="s">
        <v>8053</v>
      </c>
      <c r="AH3012" t="s">
        <v>87</v>
      </c>
    </row>
    <row r="3013" spans="1:34" x14ac:dyDescent="0.3">
      <c r="A3013">
        <v>101</v>
      </c>
      <c r="B3013" t="s">
        <v>34</v>
      </c>
      <c r="C3013">
        <v>2</v>
      </c>
      <c r="D3013" s="1" t="s">
        <v>8058</v>
      </c>
      <c r="E3013" s="1" t="s">
        <v>36</v>
      </c>
      <c r="G3013">
        <v>451315</v>
      </c>
      <c r="H3013" t="s">
        <v>8059</v>
      </c>
      <c r="I3013" t="s">
        <v>2413</v>
      </c>
      <c r="J3013">
        <v>28</v>
      </c>
      <c r="K3013">
        <v>2695</v>
      </c>
      <c r="L3013">
        <v>95000</v>
      </c>
      <c r="M3013" t="s">
        <v>69</v>
      </c>
      <c r="N3013">
        <v>665</v>
      </c>
      <c r="O3013" s="2">
        <v>46171</v>
      </c>
      <c r="P3013" s="2">
        <v>46308</v>
      </c>
      <c r="R3013" t="s">
        <v>8060</v>
      </c>
      <c r="S3013" t="str">
        <f>""</f>
        <v/>
      </c>
      <c r="T3013" t="s">
        <v>41</v>
      </c>
      <c r="U3013">
        <v>2449.0300000000002</v>
      </c>
      <c r="V3013">
        <v>2422.09</v>
      </c>
      <c r="W3013">
        <v>2422.09</v>
      </c>
      <c r="X3013">
        <v>0</v>
      </c>
      <c r="Y3013">
        <v>0</v>
      </c>
      <c r="Z3013">
        <v>-533</v>
      </c>
      <c r="AA3013">
        <v>690308</v>
      </c>
      <c r="AD3013" t="s">
        <v>3556</v>
      </c>
      <c r="AF3013" t="s">
        <v>3556</v>
      </c>
      <c r="AG3013" s="1" t="s">
        <v>8061</v>
      </c>
      <c r="AH3013" t="s">
        <v>87</v>
      </c>
    </row>
    <row r="3014" spans="1:34" x14ac:dyDescent="0.3">
      <c r="A3014">
        <v>101</v>
      </c>
      <c r="B3014" t="s">
        <v>34</v>
      </c>
      <c r="C3014">
        <v>2</v>
      </c>
      <c r="D3014" s="1" t="s">
        <v>8062</v>
      </c>
      <c r="E3014" s="1" t="s">
        <v>36</v>
      </c>
      <c r="G3014">
        <v>451315</v>
      </c>
      <c r="H3014" t="s">
        <v>8059</v>
      </c>
      <c r="I3014" t="s">
        <v>2413</v>
      </c>
      <c r="J3014">
        <v>28</v>
      </c>
      <c r="K3014">
        <v>2695</v>
      </c>
      <c r="L3014">
        <v>95000</v>
      </c>
      <c r="M3014" t="s">
        <v>69</v>
      </c>
      <c r="N3014">
        <v>665</v>
      </c>
      <c r="O3014" s="2">
        <v>46171</v>
      </c>
      <c r="P3014" s="2">
        <v>46308</v>
      </c>
      <c r="R3014" t="s">
        <v>8063</v>
      </c>
      <c r="S3014" t="str">
        <f>""</f>
        <v/>
      </c>
      <c r="T3014" t="s">
        <v>41</v>
      </c>
      <c r="U3014">
        <v>1185.77</v>
      </c>
      <c r="V3014">
        <v>1172.73</v>
      </c>
      <c r="W3014">
        <v>1172.73</v>
      </c>
      <c r="X3014">
        <v>0</v>
      </c>
      <c r="Y3014">
        <v>0</v>
      </c>
      <c r="Z3014">
        <v>-533</v>
      </c>
      <c r="AA3014">
        <v>687313</v>
      </c>
      <c r="AD3014" t="s">
        <v>3556</v>
      </c>
      <c r="AF3014" t="s">
        <v>3556</v>
      </c>
      <c r="AG3014" s="1" t="s">
        <v>8061</v>
      </c>
      <c r="AH3014" t="s">
        <v>87</v>
      </c>
    </row>
    <row r="3015" spans="1:34" x14ac:dyDescent="0.3">
      <c r="A3015">
        <v>101</v>
      </c>
      <c r="B3015" t="s">
        <v>34</v>
      </c>
      <c r="C3015">
        <v>2</v>
      </c>
      <c r="D3015" s="1" t="s">
        <v>8064</v>
      </c>
      <c r="E3015" s="1" t="s">
        <v>36</v>
      </c>
      <c r="G3015">
        <v>452096</v>
      </c>
      <c r="H3015" t="s">
        <v>8065</v>
      </c>
      <c r="I3015" t="s">
        <v>2413</v>
      </c>
      <c r="J3015">
        <v>28</v>
      </c>
      <c r="K3015">
        <v>2695</v>
      </c>
      <c r="L3015">
        <v>95000</v>
      </c>
      <c r="M3015" t="s">
        <v>69</v>
      </c>
      <c r="N3015">
        <v>665</v>
      </c>
      <c r="O3015" s="2">
        <v>46171</v>
      </c>
      <c r="P3015" s="2">
        <v>46296</v>
      </c>
      <c r="R3015" t="s">
        <v>8066</v>
      </c>
      <c r="S3015" t="str">
        <f>""</f>
        <v/>
      </c>
      <c r="T3015" t="s">
        <v>41</v>
      </c>
      <c r="U3015">
        <v>3129.66</v>
      </c>
      <c r="V3015">
        <v>3095.23</v>
      </c>
      <c r="W3015">
        <v>3095.23</v>
      </c>
      <c r="X3015">
        <v>0</v>
      </c>
      <c r="Y3015">
        <v>0</v>
      </c>
      <c r="Z3015">
        <v>-521</v>
      </c>
      <c r="AA3015">
        <v>690327</v>
      </c>
      <c r="AD3015" t="s">
        <v>8067</v>
      </c>
      <c r="AE3015">
        <v>1134115000</v>
      </c>
      <c r="AF3015" t="s">
        <v>8067</v>
      </c>
      <c r="AG3015" s="1" t="s">
        <v>8068</v>
      </c>
      <c r="AH3015" t="s">
        <v>87</v>
      </c>
    </row>
    <row r="3016" spans="1:34" x14ac:dyDescent="0.3">
      <c r="A3016">
        <v>101</v>
      </c>
      <c r="B3016" t="s">
        <v>34</v>
      </c>
      <c r="C3016">
        <v>2</v>
      </c>
      <c r="D3016" s="1" t="s">
        <v>8069</v>
      </c>
      <c r="E3016" s="1" t="s">
        <v>36</v>
      </c>
      <c r="G3016">
        <v>452096</v>
      </c>
      <c r="H3016" t="s">
        <v>8065</v>
      </c>
      <c r="I3016" t="s">
        <v>2413</v>
      </c>
      <c r="J3016">
        <v>28</v>
      </c>
      <c r="K3016">
        <v>2695</v>
      </c>
      <c r="L3016">
        <v>95000</v>
      </c>
      <c r="M3016" t="s">
        <v>69</v>
      </c>
      <c r="N3016">
        <v>665</v>
      </c>
      <c r="O3016" s="2">
        <v>46141</v>
      </c>
      <c r="P3016" s="2">
        <v>46266</v>
      </c>
      <c r="R3016" t="s">
        <v>8070</v>
      </c>
      <c r="S3016" t="str">
        <f>""</f>
        <v/>
      </c>
      <c r="T3016" t="s">
        <v>41</v>
      </c>
      <c r="U3016">
        <v>6369.74</v>
      </c>
      <c r="V3016">
        <v>6178.82</v>
      </c>
      <c r="W3016">
        <v>6178.82</v>
      </c>
      <c r="X3016">
        <v>0</v>
      </c>
      <c r="Y3016">
        <v>0</v>
      </c>
      <c r="Z3016">
        <v>-491</v>
      </c>
      <c r="AA3016">
        <v>687331</v>
      </c>
      <c r="AD3016" t="s">
        <v>8067</v>
      </c>
      <c r="AE3016">
        <v>1134115000</v>
      </c>
      <c r="AF3016" t="s">
        <v>8067</v>
      </c>
      <c r="AG3016" s="1" t="s">
        <v>8068</v>
      </c>
      <c r="AH3016" t="s">
        <v>87</v>
      </c>
    </row>
    <row r="3017" spans="1:34" x14ac:dyDescent="0.3">
      <c r="A3017">
        <v>101</v>
      </c>
      <c r="B3017" t="s">
        <v>34</v>
      </c>
      <c r="C3017">
        <v>2</v>
      </c>
      <c r="D3017" s="1" t="s">
        <v>8071</v>
      </c>
      <c r="E3017" s="1" t="s">
        <v>36</v>
      </c>
      <c r="G3017">
        <v>452096</v>
      </c>
      <c r="H3017" t="s">
        <v>8065</v>
      </c>
      <c r="I3017" t="s">
        <v>2413</v>
      </c>
      <c r="J3017">
        <v>28</v>
      </c>
      <c r="K3017">
        <v>2695</v>
      </c>
      <c r="L3017">
        <v>95000</v>
      </c>
      <c r="M3017" t="s">
        <v>69</v>
      </c>
      <c r="N3017">
        <v>665</v>
      </c>
      <c r="O3017" s="2">
        <v>46223</v>
      </c>
      <c r="P3017" s="2">
        <v>46349</v>
      </c>
      <c r="R3017" t="s">
        <v>8072</v>
      </c>
      <c r="S3017" t="str">
        <f>""</f>
        <v/>
      </c>
      <c r="T3017" t="s">
        <v>41</v>
      </c>
      <c r="U3017">
        <v>2899.34</v>
      </c>
      <c r="V3017">
        <v>2867.45</v>
      </c>
      <c r="W3017">
        <v>2867.45</v>
      </c>
      <c r="X3017">
        <v>0</v>
      </c>
      <c r="Y3017">
        <v>0</v>
      </c>
      <c r="Z3017">
        <v>-574</v>
      </c>
      <c r="AA3017">
        <v>694362</v>
      </c>
      <c r="AD3017" t="s">
        <v>8067</v>
      </c>
      <c r="AE3017">
        <v>1134115000</v>
      </c>
      <c r="AF3017" t="s">
        <v>8067</v>
      </c>
      <c r="AG3017" s="1" t="s">
        <v>8068</v>
      </c>
      <c r="AH3017" t="s">
        <v>87</v>
      </c>
    </row>
    <row r="3018" spans="1:34" x14ac:dyDescent="0.3">
      <c r="A3018">
        <v>101</v>
      </c>
      <c r="B3018" t="s">
        <v>34</v>
      </c>
      <c r="C3018">
        <v>2</v>
      </c>
      <c r="D3018" s="1" t="s">
        <v>8073</v>
      </c>
      <c r="E3018" s="1" t="s">
        <v>36</v>
      </c>
      <c r="G3018">
        <v>452100</v>
      </c>
      <c r="H3018" t="s">
        <v>8074</v>
      </c>
      <c r="I3018" t="s">
        <v>2413</v>
      </c>
      <c r="J3018">
        <v>28</v>
      </c>
      <c r="K3018">
        <v>2695</v>
      </c>
      <c r="L3018">
        <v>95000</v>
      </c>
      <c r="M3018" t="s">
        <v>69</v>
      </c>
      <c r="N3018">
        <v>665</v>
      </c>
      <c r="O3018" s="2">
        <v>46223</v>
      </c>
      <c r="P3018" s="2">
        <v>46337</v>
      </c>
      <c r="R3018" t="s">
        <v>8075</v>
      </c>
      <c r="S3018" t="str">
        <f>""</f>
        <v/>
      </c>
      <c r="T3018" t="s">
        <v>41</v>
      </c>
      <c r="U3018">
        <v>9329.24</v>
      </c>
      <c r="V3018">
        <v>9226.6200000000008</v>
      </c>
      <c r="W3018">
        <v>9226.6200000000008</v>
      </c>
      <c r="X3018">
        <v>0</v>
      </c>
      <c r="Y3018">
        <v>0</v>
      </c>
      <c r="Z3018">
        <v>-562</v>
      </c>
      <c r="AA3018">
        <v>694360</v>
      </c>
      <c r="AD3018" t="s">
        <v>8076</v>
      </c>
      <c r="AE3018" t="s">
        <v>2567</v>
      </c>
      <c r="AF3018" t="s">
        <v>8076</v>
      </c>
      <c r="AG3018" s="1" t="s">
        <v>8077</v>
      </c>
      <c r="AH3018" t="s">
        <v>87</v>
      </c>
    </row>
    <row r="3019" spans="1:34" x14ac:dyDescent="0.3">
      <c r="A3019">
        <v>101</v>
      </c>
      <c r="B3019" t="s">
        <v>34</v>
      </c>
      <c r="C3019">
        <v>2</v>
      </c>
      <c r="D3019" s="1" t="s">
        <v>8078</v>
      </c>
      <c r="E3019" s="1" t="s">
        <v>36</v>
      </c>
      <c r="G3019">
        <v>452100</v>
      </c>
      <c r="H3019" t="s">
        <v>8074</v>
      </c>
      <c r="I3019" t="s">
        <v>2413</v>
      </c>
      <c r="J3019">
        <v>28</v>
      </c>
      <c r="K3019">
        <v>2695</v>
      </c>
      <c r="L3019">
        <v>95000</v>
      </c>
      <c r="M3019" t="s">
        <v>69</v>
      </c>
      <c r="N3019">
        <v>665</v>
      </c>
      <c r="O3019" s="2">
        <v>46171</v>
      </c>
      <c r="P3019" s="2">
        <v>46308</v>
      </c>
      <c r="R3019" t="s">
        <v>8079</v>
      </c>
      <c r="S3019" t="str">
        <f>""</f>
        <v/>
      </c>
      <c r="T3019" t="s">
        <v>41</v>
      </c>
      <c r="U3019">
        <v>3298.62</v>
      </c>
      <c r="V3019">
        <v>3262.34</v>
      </c>
      <c r="W3019">
        <v>3262.34</v>
      </c>
      <c r="X3019">
        <v>0</v>
      </c>
      <c r="Y3019">
        <v>0</v>
      </c>
      <c r="Z3019">
        <v>-533</v>
      </c>
      <c r="AA3019">
        <v>690325</v>
      </c>
      <c r="AD3019" t="s">
        <v>8076</v>
      </c>
      <c r="AE3019" t="s">
        <v>2567</v>
      </c>
      <c r="AF3019" t="s">
        <v>8076</v>
      </c>
      <c r="AG3019" s="1" t="s">
        <v>8077</v>
      </c>
      <c r="AH3019" t="s">
        <v>87</v>
      </c>
    </row>
    <row r="3020" spans="1:34" x14ac:dyDescent="0.3">
      <c r="A3020">
        <v>101</v>
      </c>
      <c r="B3020" t="s">
        <v>34</v>
      </c>
      <c r="C3020">
        <v>2</v>
      </c>
      <c r="D3020" s="1" t="s">
        <v>8080</v>
      </c>
      <c r="E3020" s="1" t="s">
        <v>36</v>
      </c>
      <c r="G3020">
        <v>452100</v>
      </c>
      <c r="H3020" t="s">
        <v>8074</v>
      </c>
      <c r="I3020" t="s">
        <v>2413</v>
      </c>
      <c r="J3020">
        <v>28</v>
      </c>
      <c r="K3020">
        <v>2695</v>
      </c>
      <c r="L3020">
        <v>95000</v>
      </c>
      <c r="M3020" t="s">
        <v>69</v>
      </c>
      <c r="N3020">
        <v>665</v>
      </c>
      <c r="O3020" s="2">
        <v>46141</v>
      </c>
      <c r="P3020" s="2">
        <v>46308</v>
      </c>
      <c r="R3020" t="s">
        <v>8081</v>
      </c>
      <c r="S3020" t="str">
        <f>""</f>
        <v/>
      </c>
      <c r="T3020" t="s">
        <v>41</v>
      </c>
      <c r="U3020">
        <v>1956.23</v>
      </c>
      <c r="V3020">
        <v>1934.71</v>
      </c>
      <c r="W3020">
        <v>1934.71</v>
      </c>
      <c r="X3020">
        <v>0</v>
      </c>
      <c r="Y3020">
        <v>0</v>
      </c>
      <c r="Z3020">
        <v>-533</v>
      </c>
      <c r="AA3020">
        <v>687329</v>
      </c>
      <c r="AD3020" t="s">
        <v>8076</v>
      </c>
      <c r="AE3020" t="s">
        <v>2567</v>
      </c>
      <c r="AF3020" t="s">
        <v>8076</v>
      </c>
      <c r="AG3020" s="1" t="s">
        <v>8077</v>
      </c>
      <c r="AH3020" t="s">
        <v>87</v>
      </c>
    </row>
    <row r="3021" spans="1:34" x14ac:dyDescent="0.3">
      <c r="A3021">
        <v>101</v>
      </c>
      <c r="B3021" t="s">
        <v>34</v>
      </c>
      <c r="C3021">
        <v>2</v>
      </c>
      <c r="D3021" s="1" t="s">
        <v>8082</v>
      </c>
      <c r="E3021" s="1" t="s">
        <v>36</v>
      </c>
      <c r="G3021">
        <v>452103</v>
      </c>
      <c r="H3021" t="s">
        <v>8083</v>
      </c>
      <c r="I3021" t="s">
        <v>2413</v>
      </c>
      <c r="J3021">
        <v>28</v>
      </c>
      <c r="K3021">
        <v>2695</v>
      </c>
      <c r="L3021">
        <v>95000</v>
      </c>
      <c r="M3021" t="s">
        <v>69</v>
      </c>
      <c r="N3021">
        <v>665</v>
      </c>
      <c r="O3021" s="2">
        <v>46141</v>
      </c>
      <c r="P3021" s="2">
        <v>46255</v>
      </c>
      <c r="R3021" t="s">
        <v>8084</v>
      </c>
      <c r="S3021" t="str">
        <f>""</f>
        <v/>
      </c>
      <c r="T3021" t="s">
        <v>41</v>
      </c>
      <c r="U3021">
        <v>12457.84</v>
      </c>
      <c r="V3021">
        <v>12320.8</v>
      </c>
      <c r="W3021">
        <v>12320.8</v>
      </c>
      <c r="X3021">
        <v>0</v>
      </c>
      <c r="Y3021">
        <v>0</v>
      </c>
      <c r="Z3021">
        <v>-480</v>
      </c>
      <c r="AA3021">
        <v>687327</v>
      </c>
      <c r="AD3021" t="s">
        <v>3145</v>
      </c>
      <c r="AE3021" t="s">
        <v>2567</v>
      </c>
      <c r="AF3021" t="s">
        <v>3145</v>
      </c>
      <c r="AG3021" s="1" t="s">
        <v>8085</v>
      </c>
      <c r="AH3021" t="s">
        <v>2154</v>
      </c>
    </row>
    <row r="3022" spans="1:34" x14ac:dyDescent="0.3">
      <c r="A3022">
        <v>101</v>
      </c>
      <c r="B3022" t="s">
        <v>34</v>
      </c>
      <c r="C3022">
        <v>2</v>
      </c>
      <c r="D3022" s="1" t="s">
        <v>8086</v>
      </c>
      <c r="E3022" s="1" t="s">
        <v>36</v>
      </c>
      <c r="G3022">
        <v>452103</v>
      </c>
      <c r="H3022" t="s">
        <v>8083</v>
      </c>
      <c r="I3022" t="s">
        <v>2413</v>
      </c>
      <c r="J3022">
        <v>28</v>
      </c>
      <c r="K3022">
        <v>2695</v>
      </c>
      <c r="L3022">
        <v>95000</v>
      </c>
      <c r="M3022" t="s">
        <v>69</v>
      </c>
      <c r="N3022">
        <v>665</v>
      </c>
      <c r="O3022" s="2">
        <v>46171</v>
      </c>
      <c r="P3022" s="2">
        <v>46296</v>
      </c>
      <c r="R3022" t="s">
        <v>8087</v>
      </c>
      <c r="S3022" t="str">
        <f>""</f>
        <v/>
      </c>
      <c r="T3022" t="s">
        <v>41</v>
      </c>
      <c r="U3022">
        <v>2750.49</v>
      </c>
      <c r="V3022">
        <v>2720.23</v>
      </c>
      <c r="W3022">
        <v>2720.23</v>
      </c>
      <c r="X3022">
        <v>0</v>
      </c>
      <c r="Y3022">
        <v>0</v>
      </c>
      <c r="Z3022">
        <v>-521</v>
      </c>
      <c r="AA3022">
        <v>690323</v>
      </c>
      <c r="AD3022" t="s">
        <v>3145</v>
      </c>
      <c r="AE3022" t="s">
        <v>2567</v>
      </c>
      <c r="AF3022" t="s">
        <v>3145</v>
      </c>
      <c r="AG3022" s="1" t="s">
        <v>8085</v>
      </c>
      <c r="AH3022" t="s">
        <v>2154</v>
      </c>
    </row>
    <row r="3023" spans="1:34" x14ac:dyDescent="0.3">
      <c r="A3023">
        <v>101</v>
      </c>
      <c r="B3023" t="s">
        <v>34</v>
      </c>
      <c r="C3023">
        <v>2</v>
      </c>
      <c r="D3023" s="1" t="s">
        <v>8088</v>
      </c>
      <c r="E3023" s="1" t="s">
        <v>36</v>
      </c>
      <c r="G3023">
        <v>453715</v>
      </c>
      <c r="H3023" t="s">
        <v>8089</v>
      </c>
      <c r="I3023" t="s">
        <v>2413</v>
      </c>
      <c r="J3023">
        <v>28</v>
      </c>
      <c r="K3023">
        <v>2695</v>
      </c>
      <c r="L3023">
        <v>95000</v>
      </c>
      <c r="M3023" t="s">
        <v>69</v>
      </c>
      <c r="N3023">
        <v>665</v>
      </c>
      <c r="O3023" s="2">
        <v>46171</v>
      </c>
      <c r="P3023" s="2">
        <v>46286</v>
      </c>
      <c r="R3023" t="s">
        <v>8090</v>
      </c>
      <c r="S3023" t="str">
        <f>""</f>
        <v/>
      </c>
      <c r="T3023" t="s">
        <v>41</v>
      </c>
      <c r="U3023">
        <v>4157.54</v>
      </c>
      <c r="V3023">
        <v>4111.8100000000004</v>
      </c>
      <c r="W3023">
        <v>4111.8100000000004</v>
      </c>
      <c r="X3023">
        <v>0</v>
      </c>
      <c r="Y3023">
        <v>0</v>
      </c>
      <c r="Z3023">
        <v>-511</v>
      </c>
      <c r="AA3023">
        <v>690320</v>
      </c>
      <c r="AD3023" t="s">
        <v>3233</v>
      </c>
      <c r="AE3023" t="s">
        <v>2567</v>
      </c>
      <c r="AF3023" t="s">
        <v>3233</v>
      </c>
      <c r="AG3023" s="1" t="s">
        <v>8091</v>
      </c>
      <c r="AH3023" t="s">
        <v>87</v>
      </c>
    </row>
    <row r="3024" spans="1:34" x14ac:dyDescent="0.3">
      <c r="A3024">
        <v>101</v>
      </c>
      <c r="B3024" t="s">
        <v>34</v>
      </c>
      <c r="C3024">
        <v>2</v>
      </c>
      <c r="D3024" s="1" t="s">
        <v>8092</v>
      </c>
      <c r="E3024" s="1" t="s">
        <v>36</v>
      </c>
      <c r="G3024">
        <v>453715</v>
      </c>
      <c r="H3024" t="s">
        <v>8089</v>
      </c>
      <c r="I3024" t="s">
        <v>2413</v>
      </c>
      <c r="J3024">
        <v>28</v>
      </c>
      <c r="K3024">
        <v>2695</v>
      </c>
      <c r="L3024">
        <v>95000</v>
      </c>
      <c r="M3024" t="s">
        <v>69</v>
      </c>
      <c r="N3024">
        <v>665</v>
      </c>
      <c r="O3024" s="2">
        <v>46141</v>
      </c>
      <c r="P3024" s="2">
        <v>46266</v>
      </c>
      <c r="R3024" t="s">
        <v>8093</v>
      </c>
      <c r="S3024" t="str">
        <f>""</f>
        <v/>
      </c>
      <c r="T3024" t="s">
        <v>41</v>
      </c>
      <c r="U3024">
        <v>4023.28</v>
      </c>
      <c r="V3024">
        <v>3786.7</v>
      </c>
      <c r="W3024">
        <v>3786.7</v>
      </c>
      <c r="X3024">
        <v>0</v>
      </c>
      <c r="Y3024">
        <v>0</v>
      </c>
      <c r="Z3024">
        <v>-491</v>
      </c>
      <c r="AA3024">
        <v>687325</v>
      </c>
      <c r="AD3024" t="s">
        <v>3233</v>
      </c>
      <c r="AE3024" t="s">
        <v>2567</v>
      </c>
      <c r="AF3024" t="s">
        <v>3233</v>
      </c>
      <c r="AG3024" s="1" t="s">
        <v>8091</v>
      </c>
      <c r="AH3024" t="s">
        <v>87</v>
      </c>
    </row>
    <row r="3025" spans="1:34" x14ac:dyDescent="0.3">
      <c r="A3025">
        <v>101</v>
      </c>
      <c r="B3025" t="s">
        <v>34</v>
      </c>
      <c r="C3025">
        <v>2</v>
      </c>
      <c r="D3025" s="1" t="s">
        <v>8094</v>
      </c>
      <c r="E3025" s="1" t="s">
        <v>36</v>
      </c>
      <c r="G3025">
        <v>453715</v>
      </c>
      <c r="H3025" t="s">
        <v>8089</v>
      </c>
      <c r="I3025" t="s">
        <v>2413</v>
      </c>
      <c r="J3025">
        <v>28</v>
      </c>
      <c r="K3025">
        <v>2695</v>
      </c>
      <c r="L3025">
        <v>95000</v>
      </c>
      <c r="M3025" t="s">
        <v>69</v>
      </c>
      <c r="N3025">
        <v>665</v>
      </c>
      <c r="O3025" s="2">
        <v>46223</v>
      </c>
      <c r="P3025" s="2">
        <v>46337</v>
      </c>
      <c r="R3025" t="s">
        <v>8095</v>
      </c>
      <c r="S3025" t="str">
        <f>""</f>
        <v/>
      </c>
      <c r="T3025" t="s">
        <v>41</v>
      </c>
      <c r="U3025">
        <v>1634.57</v>
      </c>
      <c r="V3025">
        <v>1616.59</v>
      </c>
      <c r="W3025">
        <v>1616.59</v>
      </c>
      <c r="X3025">
        <v>0</v>
      </c>
      <c r="Y3025">
        <v>0</v>
      </c>
      <c r="Z3025">
        <v>-562</v>
      </c>
      <c r="AA3025">
        <v>694356</v>
      </c>
      <c r="AD3025" t="s">
        <v>3233</v>
      </c>
      <c r="AE3025" t="s">
        <v>2567</v>
      </c>
      <c r="AF3025" t="s">
        <v>3233</v>
      </c>
      <c r="AG3025" s="1" t="s">
        <v>8091</v>
      </c>
      <c r="AH3025" t="s">
        <v>87</v>
      </c>
    </row>
    <row r="3026" spans="1:34" x14ac:dyDescent="0.3">
      <c r="A3026">
        <v>101</v>
      </c>
      <c r="B3026" t="s">
        <v>34</v>
      </c>
      <c r="C3026">
        <v>2</v>
      </c>
      <c r="D3026" s="1" t="s">
        <v>8096</v>
      </c>
      <c r="E3026" s="1" t="s">
        <v>36</v>
      </c>
      <c r="G3026">
        <v>456307</v>
      </c>
      <c r="H3026" t="s">
        <v>8097</v>
      </c>
      <c r="I3026" t="s">
        <v>2413</v>
      </c>
      <c r="J3026">
        <v>28</v>
      </c>
      <c r="K3026">
        <v>2695</v>
      </c>
      <c r="L3026">
        <v>95000</v>
      </c>
      <c r="M3026" t="s">
        <v>69</v>
      </c>
      <c r="N3026">
        <v>665</v>
      </c>
      <c r="O3026" s="2">
        <v>46141</v>
      </c>
      <c r="P3026" s="2">
        <v>46255</v>
      </c>
      <c r="R3026" t="s">
        <v>8098</v>
      </c>
      <c r="S3026" t="str">
        <f>""</f>
        <v/>
      </c>
      <c r="T3026" t="s">
        <v>41</v>
      </c>
      <c r="U3026">
        <v>5647.42</v>
      </c>
      <c r="V3026">
        <v>5479.58</v>
      </c>
      <c r="W3026">
        <v>5479.58</v>
      </c>
      <c r="X3026">
        <v>0</v>
      </c>
      <c r="Y3026">
        <v>0</v>
      </c>
      <c r="Z3026">
        <v>-480</v>
      </c>
      <c r="AA3026">
        <v>687335</v>
      </c>
      <c r="AD3026" t="s">
        <v>85</v>
      </c>
      <c r="AE3026" t="s">
        <v>8099</v>
      </c>
      <c r="AF3026" t="s">
        <v>85</v>
      </c>
      <c r="AG3026" s="1" t="s">
        <v>8100</v>
      </c>
      <c r="AH3026" t="s">
        <v>87</v>
      </c>
    </row>
    <row r="3027" spans="1:34" x14ac:dyDescent="0.3">
      <c r="A3027">
        <v>101</v>
      </c>
      <c r="B3027" t="s">
        <v>34</v>
      </c>
      <c r="C3027">
        <v>2</v>
      </c>
      <c r="D3027" s="1" t="s">
        <v>8101</v>
      </c>
      <c r="E3027" s="1" t="s">
        <v>36</v>
      </c>
      <c r="G3027">
        <v>456307</v>
      </c>
      <c r="H3027" t="s">
        <v>8097</v>
      </c>
      <c r="I3027" t="s">
        <v>2413</v>
      </c>
      <c r="J3027">
        <v>28</v>
      </c>
      <c r="K3027">
        <v>2695</v>
      </c>
      <c r="L3027">
        <v>95000</v>
      </c>
      <c r="M3027" t="s">
        <v>69</v>
      </c>
      <c r="N3027">
        <v>665</v>
      </c>
      <c r="O3027" s="2">
        <v>46223</v>
      </c>
      <c r="P3027" s="2">
        <v>46337</v>
      </c>
      <c r="R3027" t="s">
        <v>8102</v>
      </c>
      <c r="S3027" t="str">
        <f>""</f>
        <v/>
      </c>
      <c r="T3027" t="s">
        <v>41</v>
      </c>
      <c r="U3027">
        <v>2479.0700000000002</v>
      </c>
      <c r="V3027">
        <v>2451.8000000000002</v>
      </c>
      <c r="W3027">
        <v>2451.8000000000002</v>
      </c>
      <c r="X3027">
        <v>0</v>
      </c>
      <c r="Y3027">
        <v>0</v>
      </c>
      <c r="Z3027">
        <v>-562</v>
      </c>
      <c r="AA3027">
        <v>694366</v>
      </c>
      <c r="AD3027" t="s">
        <v>85</v>
      </c>
      <c r="AE3027" t="s">
        <v>8099</v>
      </c>
      <c r="AF3027" t="s">
        <v>85</v>
      </c>
      <c r="AG3027" s="1" t="s">
        <v>8100</v>
      </c>
      <c r="AH3027" t="s">
        <v>87</v>
      </c>
    </row>
    <row r="3028" spans="1:34" x14ac:dyDescent="0.3">
      <c r="A3028">
        <v>101</v>
      </c>
      <c r="B3028" t="s">
        <v>34</v>
      </c>
      <c r="C3028">
        <v>2</v>
      </c>
      <c r="D3028" s="1" t="s">
        <v>8103</v>
      </c>
      <c r="E3028" s="1" t="s">
        <v>36</v>
      </c>
      <c r="G3028">
        <v>456307</v>
      </c>
      <c r="H3028" t="s">
        <v>8097</v>
      </c>
      <c r="I3028" t="s">
        <v>2413</v>
      </c>
      <c r="J3028">
        <v>28</v>
      </c>
      <c r="K3028">
        <v>2695</v>
      </c>
      <c r="L3028">
        <v>95000</v>
      </c>
      <c r="M3028" t="s">
        <v>69</v>
      </c>
      <c r="N3028">
        <v>665</v>
      </c>
      <c r="O3028" s="2">
        <v>46181</v>
      </c>
      <c r="P3028" s="2">
        <v>46308</v>
      </c>
      <c r="R3028" s="1" t="s">
        <v>8104</v>
      </c>
      <c r="S3028" t="str">
        <f>""</f>
        <v/>
      </c>
      <c r="T3028" t="s">
        <v>41</v>
      </c>
      <c r="U3028">
        <v>1570.2</v>
      </c>
      <c r="V3028">
        <v>1552.93</v>
      </c>
      <c r="W3028">
        <v>1552.93</v>
      </c>
      <c r="X3028">
        <v>0</v>
      </c>
      <c r="Y3028">
        <v>0</v>
      </c>
      <c r="Z3028">
        <v>-533</v>
      </c>
      <c r="AA3028">
        <v>690331</v>
      </c>
      <c r="AD3028" t="s">
        <v>85</v>
      </c>
      <c r="AE3028" t="s">
        <v>8099</v>
      </c>
      <c r="AF3028" t="s">
        <v>85</v>
      </c>
      <c r="AG3028" s="1" t="s">
        <v>8100</v>
      </c>
      <c r="AH3028" t="s">
        <v>87</v>
      </c>
    </row>
    <row r="3029" spans="1:34" x14ac:dyDescent="0.3">
      <c r="A3029">
        <v>101</v>
      </c>
      <c r="B3029" t="s">
        <v>34</v>
      </c>
      <c r="C3029">
        <v>2</v>
      </c>
      <c r="D3029" s="1" t="s">
        <v>8105</v>
      </c>
      <c r="E3029" s="1" t="s">
        <v>36</v>
      </c>
      <c r="G3029">
        <v>456309</v>
      </c>
      <c r="H3029" t="s">
        <v>8106</v>
      </c>
      <c r="I3029" t="s">
        <v>2413</v>
      </c>
      <c r="J3029">
        <v>28</v>
      </c>
      <c r="K3029">
        <v>2695</v>
      </c>
      <c r="L3029">
        <v>95000</v>
      </c>
      <c r="M3029" t="s">
        <v>69</v>
      </c>
      <c r="N3029">
        <v>665</v>
      </c>
      <c r="O3029" s="2">
        <v>46223</v>
      </c>
      <c r="P3029" s="2">
        <v>46349</v>
      </c>
      <c r="R3029" t="s">
        <v>8107</v>
      </c>
      <c r="S3029" t="str">
        <f>""</f>
        <v/>
      </c>
      <c r="T3029" t="s">
        <v>41</v>
      </c>
      <c r="U3029">
        <v>5242.51</v>
      </c>
      <c r="V3029">
        <v>5184.84</v>
      </c>
      <c r="W3029">
        <v>5184.84</v>
      </c>
      <c r="X3029">
        <v>0</v>
      </c>
      <c r="Y3029">
        <v>0</v>
      </c>
      <c r="Z3029">
        <v>-574</v>
      </c>
      <c r="AA3029">
        <v>694368</v>
      </c>
      <c r="AD3029" t="s">
        <v>8108</v>
      </c>
      <c r="AE3029" t="s">
        <v>2567</v>
      </c>
      <c r="AF3029" t="s">
        <v>8108</v>
      </c>
      <c r="AG3029" s="1" t="s">
        <v>8109</v>
      </c>
      <c r="AH3029" t="s">
        <v>87</v>
      </c>
    </row>
    <row r="3030" spans="1:34" x14ac:dyDescent="0.3">
      <c r="A3030">
        <v>101</v>
      </c>
      <c r="B3030" t="s">
        <v>34</v>
      </c>
      <c r="C3030">
        <v>2</v>
      </c>
      <c r="D3030" s="1" t="s">
        <v>8110</v>
      </c>
      <c r="E3030" s="1" t="s">
        <v>36</v>
      </c>
      <c r="G3030">
        <v>456309</v>
      </c>
      <c r="H3030" t="s">
        <v>8106</v>
      </c>
      <c r="I3030" t="s">
        <v>2413</v>
      </c>
      <c r="J3030">
        <v>28</v>
      </c>
      <c r="K3030">
        <v>2695</v>
      </c>
      <c r="L3030">
        <v>95000</v>
      </c>
      <c r="M3030" t="s">
        <v>69</v>
      </c>
      <c r="N3030">
        <v>665</v>
      </c>
      <c r="O3030" s="2">
        <v>46171</v>
      </c>
      <c r="P3030" s="2">
        <v>46316</v>
      </c>
      <c r="R3030" t="s">
        <v>8111</v>
      </c>
      <c r="S3030" t="str">
        <f>""</f>
        <v/>
      </c>
      <c r="T3030" t="s">
        <v>41</v>
      </c>
      <c r="U3030">
        <v>4809.8900000000003</v>
      </c>
      <c r="V3030">
        <v>4636.13</v>
      </c>
      <c r="W3030">
        <v>4636.13</v>
      </c>
      <c r="X3030">
        <v>0</v>
      </c>
      <c r="Y3030">
        <v>0</v>
      </c>
      <c r="Z3030">
        <v>-541</v>
      </c>
      <c r="AA3030">
        <v>690333</v>
      </c>
      <c r="AD3030" t="s">
        <v>8108</v>
      </c>
      <c r="AE3030" t="s">
        <v>2567</v>
      </c>
      <c r="AF3030" t="s">
        <v>8108</v>
      </c>
      <c r="AG3030" s="1" t="s">
        <v>8109</v>
      </c>
      <c r="AH3030" t="s">
        <v>87</v>
      </c>
    </row>
    <row r="3031" spans="1:34" x14ac:dyDescent="0.3">
      <c r="A3031">
        <v>101</v>
      </c>
      <c r="B3031" t="s">
        <v>34</v>
      </c>
      <c r="C3031">
        <v>2</v>
      </c>
      <c r="D3031" s="1" t="s">
        <v>8112</v>
      </c>
      <c r="E3031" s="1" t="s">
        <v>36</v>
      </c>
      <c r="G3031">
        <v>456309</v>
      </c>
      <c r="H3031" t="s">
        <v>8106</v>
      </c>
      <c r="I3031" t="s">
        <v>2413</v>
      </c>
      <c r="J3031">
        <v>28</v>
      </c>
      <c r="K3031">
        <v>2695</v>
      </c>
      <c r="L3031">
        <v>95000</v>
      </c>
      <c r="M3031" t="s">
        <v>69</v>
      </c>
      <c r="N3031">
        <v>665</v>
      </c>
      <c r="O3031" s="2">
        <v>46141</v>
      </c>
      <c r="P3031" s="2">
        <v>46266</v>
      </c>
      <c r="R3031" t="s">
        <v>8113</v>
      </c>
      <c r="S3031" t="str">
        <f>""</f>
        <v/>
      </c>
      <c r="T3031" t="s">
        <v>41</v>
      </c>
      <c r="U3031">
        <v>4008.48</v>
      </c>
      <c r="V3031">
        <v>3964.39</v>
      </c>
      <c r="W3031">
        <v>3964.39</v>
      </c>
      <c r="X3031">
        <v>0</v>
      </c>
      <c r="Y3031">
        <v>0</v>
      </c>
      <c r="Z3031">
        <v>-491</v>
      </c>
      <c r="AA3031">
        <v>687337</v>
      </c>
      <c r="AD3031" t="s">
        <v>8108</v>
      </c>
      <c r="AE3031" t="s">
        <v>2567</v>
      </c>
      <c r="AF3031" t="s">
        <v>8108</v>
      </c>
      <c r="AG3031" s="1" t="s">
        <v>8109</v>
      </c>
      <c r="AH3031" t="s">
        <v>87</v>
      </c>
    </row>
    <row r="3032" spans="1:34" x14ac:dyDescent="0.3">
      <c r="A3032">
        <v>101</v>
      </c>
      <c r="B3032" t="s">
        <v>34</v>
      </c>
      <c r="C3032">
        <v>2</v>
      </c>
      <c r="D3032" s="1" t="s">
        <v>8114</v>
      </c>
      <c r="E3032" s="1" t="s">
        <v>36</v>
      </c>
      <c r="G3032">
        <v>456310</v>
      </c>
      <c r="H3032" t="s">
        <v>8115</v>
      </c>
      <c r="I3032" t="s">
        <v>2413</v>
      </c>
      <c r="J3032">
        <v>28</v>
      </c>
      <c r="K3032">
        <v>2695</v>
      </c>
      <c r="L3032">
        <v>95000</v>
      </c>
      <c r="M3032" t="s">
        <v>69</v>
      </c>
      <c r="N3032">
        <v>665</v>
      </c>
      <c r="O3032" s="2">
        <v>46141</v>
      </c>
      <c r="P3032" s="2">
        <v>46255</v>
      </c>
      <c r="R3032" t="s">
        <v>8116</v>
      </c>
      <c r="S3032" t="str">
        <f>""</f>
        <v/>
      </c>
      <c r="T3032" t="s">
        <v>41</v>
      </c>
      <c r="U3032">
        <v>5834.25</v>
      </c>
      <c r="V3032">
        <v>5770.07</v>
      </c>
      <c r="W3032">
        <v>5770.07</v>
      </c>
      <c r="X3032">
        <v>0</v>
      </c>
      <c r="Y3032">
        <v>0</v>
      </c>
      <c r="Z3032">
        <v>-480</v>
      </c>
      <c r="AA3032">
        <v>687339</v>
      </c>
      <c r="AD3032" t="s">
        <v>3233</v>
      </c>
      <c r="AE3032" t="s">
        <v>2567</v>
      </c>
      <c r="AF3032" t="s">
        <v>3233</v>
      </c>
      <c r="AG3032" s="1" t="s">
        <v>8117</v>
      </c>
      <c r="AH3032" t="s">
        <v>87</v>
      </c>
    </row>
    <row r="3033" spans="1:34" x14ac:dyDescent="0.3">
      <c r="A3033">
        <v>101</v>
      </c>
      <c r="B3033" t="s">
        <v>34</v>
      </c>
      <c r="C3033">
        <v>2</v>
      </c>
      <c r="D3033" s="1" t="s">
        <v>8118</v>
      </c>
      <c r="E3033" s="1" t="s">
        <v>36</v>
      </c>
      <c r="G3033">
        <v>456310</v>
      </c>
      <c r="H3033" t="s">
        <v>8115</v>
      </c>
      <c r="I3033" t="s">
        <v>2413</v>
      </c>
      <c r="J3033">
        <v>28</v>
      </c>
      <c r="K3033">
        <v>2695</v>
      </c>
      <c r="L3033">
        <v>95000</v>
      </c>
      <c r="M3033" t="s">
        <v>69</v>
      </c>
      <c r="N3033">
        <v>665</v>
      </c>
      <c r="O3033" s="2">
        <v>46171</v>
      </c>
      <c r="P3033" s="2">
        <v>46308</v>
      </c>
      <c r="R3033" t="s">
        <v>8119</v>
      </c>
      <c r="S3033" t="str">
        <f>""</f>
        <v/>
      </c>
      <c r="T3033" t="s">
        <v>41</v>
      </c>
      <c r="U3033">
        <v>4694.41</v>
      </c>
      <c r="V3033">
        <v>4642.7700000000004</v>
      </c>
      <c r="W3033">
        <v>4642.7700000000004</v>
      </c>
      <c r="X3033">
        <v>0</v>
      </c>
      <c r="Y3033">
        <v>0</v>
      </c>
      <c r="Z3033">
        <v>-533</v>
      </c>
      <c r="AA3033">
        <v>690335</v>
      </c>
      <c r="AD3033" t="s">
        <v>3233</v>
      </c>
      <c r="AE3033" t="s">
        <v>2567</v>
      </c>
      <c r="AF3033" t="s">
        <v>3233</v>
      </c>
      <c r="AG3033" s="1" t="s">
        <v>8117</v>
      </c>
      <c r="AH3033" t="s">
        <v>87</v>
      </c>
    </row>
    <row r="3034" spans="1:34" x14ac:dyDescent="0.3">
      <c r="A3034">
        <v>101</v>
      </c>
      <c r="B3034" t="s">
        <v>34</v>
      </c>
      <c r="C3034">
        <v>2</v>
      </c>
      <c r="D3034" s="1" t="s">
        <v>8120</v>
      </c>
      <c r="E3034" s="1" t="s">
        <v>36</v>
      </c>
      <c r="G3034">
        <v>456321</v>
      </c>
      <c r="H3034" t="s">
        <v>8121</v>
      </c>
      <c r="I3034" t="s">
        <v>2413</v>
      </c>
      <c r="J3034">
        <v>28</v>
      </c>
      <c r="K3034">
        <v>2695</v>
      </c>
      <c r="L3034">
        <v>95000</v>
      </c>
      <c r="M3034" t="s">
        <v>69</v>
      </c>
      <c r="N3034">
        <v>665</v>
      </c>
      <c r="O3034" s="2">
        <v>46171</v>
      </c>
      <c r="P3034" s="2">
        <v>46286</v>
      </c>
      <c r="R3034" t="s">
        <v>8122</v>
      </c>
      <c r="S3034" t="str">
        <f>""</f>
        <v/>
      </c>
      <c r="T3034" t="s">
        <v>41</v>
      </c>
      <c r="U3034">
        <v>5505.49</v>
      </c>
      <c r="V3034">
        <v>5444.93</v>
      </c>
      <c r="W3034">
        <v>5444.93</v>
      </c>
      <c r="X3034">
        <v>0</v>
      </c>
      <c r="Y3034">
        <v>0</v>
      </c>
      <c r="Z3034">
        <v>-511</v>
      </c>
      <c r="AA3034">
        <v>690337</v>
      </c>
      <c r="AD3034" t="s">
        <v>2152</v>
      </c>
      <c r="AE3034" t="s">
        <v>2567</v>
      </c>
      <c r="AF3034" t="s">
        <v>2152</v>
      </c>
      <c r="AG3034" s="1" t="s">
        <v>8123</v>
      </c>
      <c r="AH3034" t="s">
        <v>2154</v>
      </c>
    </row>
    <row r="3035" spans="1:34" x14ac:dyDescent="0.3">
      <c r="A3035">
        <v>101</v>
      </c>
      <c r="B3035" t="s">
        <v>34</v>
      </c>
      <c r="C3035">
        <v>2</v>
      </c>
      <c r="D3035" s="1" t="s">
        <v>8124</v>
      </c>
      <c r="E3035" s="1" t="s">
        <v>36</v>
      </c>
      <c r="G3035">
        <v>456321</v>
      </c>
      <c r="H3035" t="s">
        <v>8121</v>
      </c>
      <c r="I3035" t="s">
        <v>2413</v>
      </c>
      <c r="J3035">
        <v>28</v>
      </c>
      <c r="K3035">
        <v>2695</v>
      </c>
      <c r="L3035">
        <v>95000</v>
      </c>
      <c r="M3035" t="s">
        <v>69</v>
      </c>
      <c r="N3035">
        <v>665</v>
      </c>
      <c r="O3035" s="2">
        <v>46171</v>
      </c>
      <c r="P3035" s="2">
        <v>46286</v>
      </c>
      <c r="R3035" t="s">
        <v>8125</v>
      </c>
      <c r="S3035" t="str">
        <f>""</f>
        <v/>
      </c>
      <c r="T3035" t="s">
        <v>41</v>
      </c>
      <c r="U3035">
        <v>824.3</v>
      </c>
      <c r="V3035">
        <v>815.23</v>
      </c>
      <c r="W3035">
        <v>815.23</v>
      </c>
      <c r="X3035">
        <v>0</v>
      </c>
      <c r="Y3035">
        <v>0</v>
      </c>
      <c r="Z3035">
        <v>-511</v>
      </c>
      <c r="AA3035">
        <v>687341</v>
      </c>
      <c r="AD3035" t="s">
        <v>2152</v>
      </c>
      <c r="AE3035" t="s">
        <v>2567</v>
      </c>
      <c r="AF3035" t="s">
        <v>2152</v>
      </c>
      <c r="AG3035" s="1" t="s">
        <v>8123</v>
      </c>
      <c r="AH3035" t="s">
        <v>2154</v>
      </c>
    </row>
    <row r="3036" spans="1:34" x14ac:dyDescent="0.3">
      <c r="A3036">
        <v>101</v>
      </c>
      <c r="B3036" t="s">
        <v>34</v>
      </c>
      <c r="C3036">
        <v>2</v>
      </c>
      <c r="D3036" s="1" t="s">
        <v>8126</v>
      </c>
      <c r="E3036" s="1" t="s">
        <v>36</v>
      </c>
      <c r="G3036">
        <v>457429</v>
      </c>
      <c r="H3036" t="s">
        <v>8127</v>
      </c>
      <c r="I3036" t="s">
        <v>2413</v>
      </c>
      <c r="J3036">
        <v>28</v>
      </c>
      <c r="K3036">
        <v>2695</v>
      </c>
      <c r="L3036">
        <v>95000</v>
      </c>
      <c r="M3036" t="s">
        <v>69</v>
      </c>
      <c r="N3036">
        <v>665</v>
      </c>
      <c r="O3036" s="2">
        <v>46139</v>
      </c>
      <c r="P3036" s="2">
        <v>46255</v>
      </c>
      <c r="R3036" t="s">
        <v>8128</v>
      </c>
      <c r="S3036" t="str">
        <f>""</f>
        <v/>
      </c>
      <c r="T3036" t="s">
        <v>41</v>
      </c>
      <c r="U3036">
        <v>3255.18</v>
      </c>
      <c r="V3036">
        <v>3219.37</v>
      </c>
      <c r="W3036">
        <v>3219.37</v>
      </c>
      <c r="X3036">
        <v>0</v>
      </c>
      <c r="Y3036">
        <v>0</v>
      </c>
      <c r="Z3036">
        <v>-480</v>
      </c>
      <c r="AA3036">
        <v>686245</v>
      </c>
      <c r="AD3036" t="s">
        <v>2401</v>
      </c>
      <c r="AE3036" t="s">
        <v>8129</v>
      </c>
      <c r="AF3036" t="s">
        <v>2401</v>
      </c>
      <c r="AG3036" s="1" t="s">
        <v>8130</v>
      </c>
      <c r="AH3036" t="s">
        <v>2403</v>
      </c>
    </row>
    <row r="3037" spans="1:34" x14ac:dyDescent="0.3">
      <c r="A3037">
        <v>101</v>
      </c>
      <c r="B3037" t="s">
        <v>34</v>
      </c>
      <c r="C3037">
        <v>2</v>
      </c>
      <c r="D3037" s="1" t="s">
        <v>8131</v>
      </c>
      <c r="E3037" s="1" t="s">
        <v>36</v>
      </c>
      <c r="G3037">
        <v>457429</v>
      </c>
      <c r="H3037" t="s">
        <v>8127</v>
      </c>
      <c r="I3037" t="s">
        <v>2413</v>
      </c>
      <c r="J3037">
        <v>28</v>
      </c>
      <c r="K3037">
        <v>2695</v>
      </c>
      <c r="L3037">
        <v>95000</v>
      </c>
      <c r="M3037" t="s">
        <v>69</v>
      </c>
      <c r="N3037">
        <v>665</v>
      </c>
      <c r="O3037" s="2">
        <v>46181</v>
      </c>
      <c r="P3037" s="2">
        <v>46308</v>
      </c>
      <c r="R3037" t="s">
        <v>8132</v>
      </c>
      <c r="S3037" t="str">
        <f>""</f>
        <v/>
      </c>
      <c r="T3037" t="s">
        <v>41</v>
      </c>
      <c r="U3037">
        <v>2538.1999999999998</v>
      </c>
      <c r="V3037">
        <v>2510.2800000000002</v>
      </c>
      <c r="W3037">
        <v>2510.2800000000002</v>
      </c>
      <c r="X3037">
        <v>0</v>
      </c>
      <c r="Y3037">
        <v>0</v>
      </c>
      <c r="Z3037">
        <v>-533</v>
      </c>
      <c r="AA3037">
        <v>690601</v>
      </c>
      <c r="AD3037" t="s">
        <v>2401</v>
      </c>
      <c r="AE3037" t="s">
        <v>8129</v>
      </c>
      <c r="AF3037" t="s">
        <v>2401</v>
      </c>
      <c r="AG3037" s="1" t="s">
        <v>8130</v>
      </c>
      <c r="AH3037" t="s">
        <v>2403</v>
      </c>
    </row>
    <row r="3038" spans="1:34" x14ac:dyDescent="0.3">
      <c r="A3038">
        <v>101</v>
      </c>
      <c r="B3038" t="s">
        <v>34</v>
      </c>
      <c r="C3038">
        <v>2</v>
      </c>
      <c r="D3038" s="1" t="s">
        <v>8133</v>
      </c>
      <c r="E3038" s="1" t="s">
        <v>36</v>
      </c>
      <c r="G3038">
        <v>457429</v>
      </c>
      <c r="H3038" t="s">
        <v>8127</v>
      </c>
      <c r="I3038" t="s">
        <v>2413</v>
      </c>
      <c r="J3038">
        <v>28</v>
      </c>
      <c r="K3038">
        <v>2695</v>
      </c>
      <c r="L3038">
        <v>95000</v>
      </c>
      <c r="M3038" t="s">
        <v>69</v>
      </c>
      <c r="N3038">
        <v>665</v>
      </c>
      <c r="O3038" s="2">
        <v>46181</v>
      </c>
      <c r="P3038" s="2">
        <v>46308</v>
      </c>
      <c r="R3038" t="s">
        <v>8134</v>
      </c>
      <c r="S3038" t="str">
        <f>""</f>
        <v/>
      </c>
      <c r="T3038" t="s">
        <v>41</v>
      </c>
      <c r="U3038">
        <v>3125.7</v>
      </c>
      <c r="V3038">
        <v>3091.32</v>
      </c>
      <c r="W3038">
        <v>3091.32</v>
      </c>
      <c r="X3038">
        <v>0</v>
      </c>
      <c r="Y3038">
        <v>0</v>
      </c>
      <c r="Z3038">
        <v>-533</v>
      </c>
      <c r="AA3038">
        <v>690637</v>
      </c>
      <c r="AD3038" t="s">
        <v>2401</v>
      </c>
      <c r="AE3038" t="s">
        <v>8129</v>
      </c>
      <c r="AF3038" t="s">
        <v>2401</v>
      </c>
      <c r="AG3038" s="1" t="s">
        <v>8130</v>
      </c>
      <c r="AH3038" t="s">
        <v>2403</v>
      </c>
    </row>
    <row r="3039" spans="1:34" x14ac:dyDescent="0.3">
      <c r="A3039">
        <v>101</v>
      </c>
      <c r="B3039" t="s">
        <v>34</v>
      </c>
      <c r="C3039">
        <v>2</v>
      </c>
      <c r="D3039" s="1" t="s">
        <v>8135</v>
      </c>
      <c r="E3039" s="1" t="s">
        <v>36</v>
      </c>
      <c r="G3039">
        <v>457429</v>
      </c>
      <c r="H3039" t="s">
        <v>8127</v>
      </c>
      <c r="I3039" t="s">
        <v>2413</v>
      </c>
      <c r="J3039">
        <v>28</v>
      </c>
      <c r="K3039">
        <v>2695</v>
      </c>
      <c r="L3039">
        <v>95000</v>
      </c>
      <c r="M3039" t="s">
        <v>69</v>
      </c>
      <c r="N3039">
        <v>665</v>
      </c>
      <c r="O3039" s="2">
        <v>46188</v>
      </c>
      <c r="P3039" s="2">
        <v>46308</v>
      </c>
      <c r="R3039" t="s">
        <v>8136</v>
      </c>
      <c r="S3039" t="str">
        <f>""</f>
        <v/>
      </c>
      <c r="T3039" t="s">
        <v>41</v>
      </c>
      <c r="U3039">
        <v>5903.69</v>
      </c>
      <c r="V3039">
        <v>5838.75</v>
      </c>
      <c r="W3039">
        <v>5838.75</v>
      </c>
      <c r="X3039">
        <v>0</v>
      </c>
      <c r="Y3039">
        <v>0</v>
      </c>
      <c r="Z3039">
        <v>-533</v>
      </c>
      <c r="AA3039">
        <v>691313</v>
      </c>
      <c r="AD3039" t="s">
        <v>2401</v>
      </c>
      <c r="AE3039" t="s">
        <v>8129</v>
      </c>
      <c r="AF3039" t="s">
        <v>2401</v>
      </c>
      <c r="AG3039" s="1" t="s">
        <v>8130</v>
      </c>
      <c r="AH3039" t="s">
        <v>2403</v>
      </c>
    </row>
    <row r="3040" spans="1:34" x14ac:dyDescent="0.3">
      <c r="A3040">
        <v>101</v>
      </c>
      <c r="B3040" t="s">
        <v>34</v>
      </c>
      <c r="C3040">
        <v>2</v>
      </c>
      <c r="D3040" s="1" t="s">
        <v>8137</v>
      </c>
      <c r="E3040" s="1" t="s">
        <v>36</v>
      </c>
      <c r="G3040">
        <v>457950</v>
      </c>
      <c r="H3040" t="s">
        <v>8138</v>
      </c>
      <c r="I3040" t="s">
        <v>2413</v>
      </c>
      <c r="J3040">
        <v>28</v>
      </c>
      <c r="K3040">
        <v>2695</v>
      </c>
      <c r="L3040">
        <v>95000</v>
      </c>
      <c r="M3040" t="s">
        <v>69</v>
      </c>
      <c r="N3040">
        <v>665</v>
      </c>
      <c r="O3040" s="2">
        <v>46181</v>
      </c>
      <c r="P3040" s="2">
        <v>46308</v>
      </c>
      <c r="R3040" s="1" t="s">
        <v>8139</v>
      </c>
      <c r="S3040" t="str">
        <f>""</f>
        <v/>
      </c>
      <c r="T3040" t="s">
        <v>41</v>
      </c>
      <c r="U3040">
        <v>1612.81</v>
      </c>
      <c r="V3040">
        <v>1595.07</v>
      </c>
      <c r="W3040">
        <v>1595.07</v>
      </c>
      <c r="X3040">
        <v>0</v>
      </c>
      <c r="Y3040">
        <v>0</v>
      </c>
      <c r="Z3040">
        <v>-533</v>
      </c>
      <c r="AA3040">
        <v>690345</v>
      </c>
      <c r="AD3040" t="s">
        <v>8140</v>
      </c>
      <c r="AE3040" t="s">
        <v>2567</v>
      </c>
      <c r="AF3040" t="s">
        <v>8140</v>
      </c>
      <c r="AG3040" s="1" t="s">
        <v>8141</v>
      </c>
      <c r="AH3040" t="s">
        <v>87</v>
      </c>
    </row>
    <row r="3041" spans="1:34" x14ac:dyDescent="0.3">
      <c r="A3041">
        <v>101</v>
      </c>
      <c r="B3041" t="s">
        <v>34</v>
      </c>
      <c r="C3041">
        <v>2</v>
      </c>
      <c r="D3041" s="1" t="s">
        <v>8142</v>
      </c>
      <c r="E3041" s="1" t="s">
        <v>36</v>
      </c>
      <c r="G3041">
        <v>457950</v>
      </c>
      <c r="H3041" t="s">
        <v>8138</v>
      </c>
      <c r="I3041" t="s">
        <v>2413</v>
      </c>
      <c r="J3041">
        <v>28</v>
      </c>
      <c r="K3041">
        <v>2695</v>
      </c>
      <c r="L3041">
        <v>95000</v>
      </c>
      <c r="M3041" t="s">
        <v>69</v>
      </c>
      <c r="N3041">
        <v>665</v>
      </c>
      <c r="O3041" s="2">
        <v>46141</v>
      </c>
      <c r="P3041" s="2">
        <v>46266</v>
      </c>
      <c r="R3041" t="s">
        <v>8143</v>
      </c>
      <c r="S3041" t="str">
        <f>""</f>
        <v/>
      </c>
      <c r="T3041" t="s">
        <v>41</v>
      </c>
      <c r="U3041">
        <v>1794.31</v>
      </c>
      <c r="V3041">
        <v>1693.05</v>
      </c>
      <c r="W3041">
        <v>1693.05</v>
      </c>
      <c r="X3041">
        <v>0</v>
      </c>
      <c r="Y3041">
        <v>0</v>
      </c>
      <c r="Z3041">
        <v>-491</v>
      </c>
      <c r="AA3041">
        <v>687349</v>
      </c>
      <c r="AD3041" t="s">
        <v>8140</v>
      </c>
      <c r="AE3041" t="s">
        <v>2567</v>
      </c>
      <c r="AF3041" t="s">
        <v>8140</v>
      </c>
      <c r="AG3041" s="1" t="s">
        <v>8141</v>
      </c>
      <c r="AH3041" t="s">
        <v>87</v>
      </c>
    </row>
    <row r="3042" spans="1:34" x14ac:dyDescent="0.3">
      <c r="A3042">
        <v>101</v>
      </c>
      <c r="B3042" t="s">
        <v>34</v>
      </c>
      <c r="C3042">
        <v>2</v>
      </c>
      <c r="D3042" s="1" t="s">
        <v>8144</v>
      </c>
      <c r="E3042" s="1" t="s">
        <v>36</v>
      </c>
      <c r="G3042">
        <v>460361</v>
      </c>
      <c r="H3042" t="s">
        <v>8145</v>
      </c>
      <c r="I3042" t="s">
        <v>2413</v>
      </c>
      <c r="J3042">
        <v>28</v>
      </c>
      <c r="K3042">
        <v>2695</v>
      </c>
      <c r="L3042">
        <v>95000</v>
      </c>
      <c r="M3042" t="s">
        <v>69</v>
      </c>
      <c r="N3042">
        <v>665</v>
      </c>
      <c r="O3042" s="2">
        <v>46141</v>
      </c>
      <c r="P3042" s="2">
        <v>46266</v>
      </c>
      <c r="R3042" t="s">
        <v>8146</v>
      </c>
      <c r="S3042" t="str">
        <f>""</f>
        <v/>
      </c>
      <c r="T3042" t="s">
        <v>41</v>
      </c>
      <c r="U3042">
        <v>7704.62</v>
      </c>
      <c r="V3042">
        <v>7619.87</v>
      </c>
      <c r="W3042">
        <v>7619.87</v>
      </c>
      <c r="X3042">
        <v>0</v>
      </c>
      <c r="Y3042">
        <v>0</v>
      </c>
      <c r="Z3042">
        <v>-491</v>
      </c>
      <c r="AA3042">
        <v>687347</v>
      </c>
      <c r="AD3042" t="s">
        <v>3145</v>
      </c>
      <c r="AE3042" t="s">
        <v>2567</v>
      </c>
      <c r="AF3042" t="s">
        <v>3145</v>
      </c>
      <c r="AG3042" s="1" t="s">
        <v>8147</v>
      </c>
      <c r="AH3042" t="s">
        <v>2154</v>
      </c>
    </row>
    <row r="3043" spans="1:34" x14ac:dyDescent="0.3">
      <c r="A3043">
        <v>101</v>
      </c>
      <c r="B3043" t="s">
        <v>34</v>
      </c>
      <c r="C3043">
        <v>2</v>
      </c>
      <c r="D3043" s="1" t="s">
        <v>8148</v>
      </c>
      <c r="E3043" s="1" t="s">
        <v>36</v>
      </c>
      <c r="G3043">
        <v>460361</v>
      </c>
      <c r="H3043" t="s">
        <v>8145</v>
      </c>
      <c r="I3043" t="s">
        <v>2413</v>
      </c>
      <c r="J3043">
        <v>28</v>
      </c>
      <c r="K3043">
        <v>2695</v>
      </c>
      <c r="L3043">
        <v>95000</v>
      </c>
      <c r="M3043" t="s">
        <v>69</v>
      </c>
      <c r="N3043">
        <v>665</v>
      </c>
      <c r="O3043" s="2">
        <v>46171</v>
      </c>
      <c r="P3043" s="2">
        <v>46286</v>
      </c>
      <c r="R3043" t="s">
        <v>8149</v>
      </c>
      <c r="S3043" t="str">
        <f>""</f>
        <v/>
      </c>
      <c r="T3043" t="s">
        <v>41</v>
      </c>
      <c r="U3043">
        <v>3594.22</v>
      </c>
      <c r="V3043">
        <v>3554.68</v>
      </c>
      <c r="W3043">
        <v>3554.68</v>
      </c>
      <c r="X3043">
        <v>0</v>
      </c>
      <c r="Y3043">
        <v>0</v>
      </c>
      <c r="Z3043">
        <v>-511</v>
      </c>
      <c r="AA3043">
        <v>690343</v>
      </c>
      <c r="AD3043" t="s">
        <v>3145</v>
      </c>
      <c r="AE3043" t="s">
        <v>2567</v>
      </c>
      <c r="AF3043" t="s">
        <v>3145</v>
      </c>
      <c r="AG3043" s="1" t="s">
        <v>8147</v>
      </c>
      <c r="AH3043" t="s">
        <v>2154</v>
      </c>
    </row>
    <row r="3044" spans="1:34" x14ac:dyDescent="0.3">
      <c r="A3044">
        <v>101</v>
      </c>
      <c r="B3044" t="s">
        <v>34</v>
      </c>
      <c r="C3044">
        <v>2</v>
      </c>
      <c r="D3044" s="1" t="s">
        <v>8150</v>
      </c>
      <c r="E3044" s="1" t="s">
        <v>36</v>
      </c>
      <c r="G3044">
        <v>460361</v>
      </c>
      <c r="H3044" t="s">
        <v>8145</v>
      </c>
      <c r="I3044" t="s">
        <v>2413</v>
      </c>
      <c r="J3044">
        <v>28</v>
      </c>
      <c r="K3044">
        <v>2695</v>
      </c>
      <c r="L3044">
        <v>95000</v>
      </c>
      <c r="M3044" t="s">
        <v>69</v>
      </c>
      <c r="N3044">
        <v>665</v>
      </c>
      <c r="O3044" s="2">
        <v>46223</v>
      </c>
      <c r="P3044" s="2">
        <v>46337</v>
      </c>
      <c r="R3044" t="s">
        <v>8151</v>
      </c>
      <c r="S3044" t="str">
        <f>""</f>
        <v/>
      </c>
      <c r="T3044" t="s">
        <v>41</v>
      </c>
      <c r="U3044">
        <v>2947.54</v>
      </c>
      <c r="V3044">
        <v>2915.12</v>
      </c>
      <c r="W3044">
        <v>2915.12</v>
      </c>
      <c r="X3044">
        <v>0</v>
      </c>
      <c r="Y3044">
        <v>0</v>
      </c>
      <c r="Z3044">
        <v>-562</v>
      </c>
      <c r="AA3044">
        <v>694378</v>
      </c>
      <c r="AD3044" t="s">
        <v>3145</v>
      </c>
      <c r="AE3044" t="s">
        <v>2567</v>
      </c>
      <c r="AF3044" t="s">
        <v>3145</v>
      </c>
      <c r="AG3044" s="1" t="s">
        <v>8147</v>
      </c>
      <c r="AH3044" t="s">
        <v>2154</v>
      </c>
    </row>
    <row r="3045" spans="1:34" x14ac:dyDescent="0.3">
      <c r="A3045">
        <v>101</v>
      </c>
      <c r="B3045" t="s">
        <v>34</v>
      </c>
      <c r="C3045">
        <v>2</v>
      </c>
      <c r="D3045" s="1" t="s">
        <v>8152</v>
      </c>
      <c r="E3045" s="1" t="s">
        <v>36</v>
      </c>
      <c r="G3045">
        <v>463302</v>
      </c>
      <c r="H3045" t="s">
        <v>8153</v>
      </c>
      <c r="I3045" t="s">
        <v>2413</v>
      </c>
      <c r="J3045">
        <v>28</v>
      </c>
      <c r="K3045">
        <v>2695</v>
      </c>
      <c r="L3045">
        <v>95000</v>
      </c>
      <c r="M3045" t="s">
        <v>69</v>
      </c>
      <c r="N3045">
        <v>665</v>
      </c>
      <c r="O3045" s="2">
        <v>46141</v>
      </c>
      <c r="P3045" s="2">
        <v>46255</v>
      </c>
      <c r="R3045" t="s">
        <v>8154</v>
      </c>
      <c r="S3045" t="str">
        <f>""</f>
        <v/>
      </c>
      <c r="T3045" t="s">
        <v>41</v>
      </c>
      <c r="U3045">
        <v>1870.67</v>
      </c>
      <c r="V3045">
        <v>1850.09</v>
      </c>
      <c r="W3045">
        <v>1850.09</v>
      </c>
      <c r="X3045">
        <v>0</v>
      </c>
      <c r="Y3045">
        <v>0</v>
      </c>
      <c r="Z3045">
        <v>-480</v>
      </c>
      <c r="AA3045">
        <v>687333</v>
      </c>
      <c r="AD3045" t="s">
        <v>8155</v>
      </c>
      <c r="AE3045" t="s">
        <v>2567</v>
      </c>
      <c r="AF3045" t="s">
        <v>8155</v>
      </c>
      <c r="AG3045" s="1" t="s">
        <v>8156</v>
      </c>
      <c r="AH3045" t="s">
        <v>87</v>
      </c>
    </row>
    <row r="3046" spans="1:34" x14ac:dyDescent="0.3">
      <c r="A3046">
        <v>101</v>
      </c>
      <c r="B3046" t="s">
        <v>34</v>
      </c>
      <c r="C3046">
        <v>2</v>
      </c>
      <c r="D3046" s="1" t="s">
        <v>8157</v>
      </c>
      <c r="E3046" s="1" t="s">
        <v>36</v>
      </c>
      <c r="G3046">
        <v>463302</v>
      </c>
      <c r="H3046" t="s">
        <v>8153</v>
      </c>
      <c r="I3046" t="s">
        <v>2413</v>
      </c>
      <c r="J3046">
        <v>28</v>
      </c>
      <c r="K3046">
        <v>2695</v>
      </c>
      <c r="L3046">
        <v>95000</v>
      </c>
      <c r="M3046" t="s">
        <v>69</v>
      </c>
      <c r="N3046">
        <v>665</v>
      </c>
      <c r="O3046" s="2">
        <v>46223</v>
      </c>
      <c r="P3046" s="2">
        <v>46349</v>
      </c>
      <c r="R3046" t="s">
        <v>8158</v>
      </c>
      <c r="S3046" t="str">
        <f>""</f>
        <v/>
      </c>
      <c r="T3046" t="s">
        <v>41</v>
      </c>
      <c r="U3046">
        <v>1833.12</v>
      </c>
      <c r="V3046">
        <v>1812.96</v>
      </c>
      <c r="W3046">
        <v>1812.96</v>
      </c>
      <c r="X3046">
        <v>0</v>
      </c>
      <c r="Y3046">
        <v>0</v>
      </c>
      <c r="Z3046">
        <v>-574</v>
      </c>
      <c r="AA3046">
        <v>694364</v>
      </c>
      <c r="AD3046" t="s">
        <v>8155</v>
      </c>
      <c r="AE3046" t="s">
        <v>2567</v>
      </c>
      <c r="AF3046" t="s">
        <v>8155</v>
      </c>
      <c r="AG3046" s="1" t="s">
        <v>8156</v>
      </c>
      <c r="AH3046" t="s">
        <v>87</v>
      </c>
    </row>
    <row r="3047" spans="1:34" x14ac:dyDescent="0.3">
      <c r="A3047">
        <v>101</v>
      </c>
      <c r="B3047" t="s">
        <v>34</v>
      </c>
      <c r="C3047">
        <v>2</v>
      </c>
      <c r="D3047" s="1" t="s">
        <v>8159</v>
      </c>
      <c r="E3047" s="1" t="s">
        <v>36</v>
      </c>
      <c r="G3047">
        <v>463302</v>
      </c>
      <c r="H3047" t="s">
        <v>8153</v>
      </c>
      <c r="I3047" t="s">
        <v>2413</v>
      </c>
      <c r="J3047">
        <v>28</v>
      </c>
      <c r="K3047">
        <v>2695</v>
      </c>
      <c r="L3047">
        <v>95000</v>
      </c>
      <c r="M3047" t="s">
        <v>69</v>
      </c>
      <c r="N3047">
        <v>665</v>
      </c>
      <c r="O3047" s="2">
        <v>46181</v>
      </c>
      <c r="P3047" s="2">
        <v>46308</v>
      </c>
      <c r="R3047" s="1" t="s">
        <v>8160</v>
      </c>
      <c r="S3047" t="str">
        <f>""</f>
        <v/>
      </c>
      <c r="T3047" t="s">
        <v>41</v>
      </c>
      <c r="U3047">
        <v>1349.6</v>
      </c>
      <c r="V3047">
        <v>1334.75</v>
      </c>
      <c r="W3047">
        <v>1334.75</v>
      </c>
      <c r="X3047">
        <v>0</v>
      </c>
      <c r="Y3047">
        <v>0</v>
      </c>
      <c r="Z3047">
        <v>-533</v>
      </c>
      <c r="AA3047">
        <v>690329</v>
      </c>
      <c r="AD3047" t="s">
        <v>8155</v>
      </c>
      <c r="AE3047" t="s">
        <v>2567</v>
      </c>
      <c r="AF3047" t="s">
        <v>8155</v>
      </c>
      <c r="AG3047" s="1" t="s">
        <v>8156</v>
      </c>
      <c r="AH3047" t="s">
        <v>87</v>
      </c>
    </row>
    <row r="3048" spans="1:34" x14ac:dyDescent="0.3">
      <c r="A3048">
        <v>101</v>
      </c>
      <c r="B3048" t="s">
        <v>34</v>
      </c>
      <c r="C3048">
        <v>2</v>
      </c>
      <c r="D3048" s="1" t="s">
        <v>8161</v>
      </c>
      <c r="E3048" s="1" t="s">
        <v>36</v>
      </c>
      <c r="G3048">
        <v>468736</v>
      </c>
      <c r="H3048" t="s">
        <v>8162</v>
      </c>
      <c r="I3048" t="s">
        <v>8163</v>
      </c>
      <c r="J3048">
        <v>28</v>
      </c>
      <c r="K3048">
        <v>2695</v>
      </c>
      <c r="L3048">
        <v>95000</v>
      </c>
      <c r="M3048" t="s">
        <v>69</v>
      </c>
      <c r="N3048">
        <v>665</v>
      </c>
      <c r="O3048" s="2">
        <v>46223</v>
      </c>
      <c r="P3048" s="2">
        <v>46337</v>
      </c>
      <c r="R3048" t="s">
        <v>8164</v>
      </c>
      <c r="S3048" t="str">
        <f>""</f>
        <v/>
      </c>
      <c r="T3048" t="s">
        <v>41</v>
      </c>
      <c r="U3048">
        <v>3402.49</v>
      </c>
      <c r="V3048">
        <v>3120.49</v>
      </c>
      <c r="W3048">
        <v>3120.49</v>
      </c>
      <c r="X3048">
        <v>0</v>
      </c>
      <c r="Y3048">
        <v>0</v>
      </c>
      <c r="Z3048">
        <v>-562</v>
      </c>
      <c r="AA3048">
        <v>694384</v>
      </c>
      <c r="AD3048" t="s">
        <v>3233</v>
      </c>
      <c r="AF3048" t="s">
        <v>3233</v>
      </c>
      <c r="AG3048" s="1" t="s">
        <v>8165</v>
      </c>
      <c r="AH3048" t="s">
        <v>87</v>
      </c>
    </row>
    <row r="3049" spans="1:34" x14ac:dyDescent="0.3">
      <c r="A3049">
        <v>101</v>
      </c>
      <c r="B3049" t="s">
        <v>34</v>
      </c>
      <c r="C3049">
        <v>2</v>
      </c>
      <c r="D3049" s="1" t="s">
        <v>8166</v>
      </c>
      <c r="E3049" s="1" t="s">
        <v>36</v>
      </c>
      <c r="G3049">
        <v>468736</v>
      </c>
      <c r="H3049" t="s">
        <v>8162</v>
      </c>
      <c r="I3049" t="s">
        <v>8163</v>
      </c>
      <c r="J3049">
        <v>28</v>
      </c>
      <c r="K3049">
        <v>2695</v>
      </c>
      <c r="L3049">
        <v>95000</v>
      </c>
      <c r="M3049" t="s">
        <v>69</v>
      </c>
      <c r="N3049">
        <v>665</v>
      </c>
      <c r="O3049" s="2">
        <v>46171</v>
      </c>
      <c r="P3049" s="2">
        <v>46329</v>
      </c>
      <c r="R3049" t="s">
        <v>8167</v>
      </c>
      <c r="S3049" t="str">
        <f>""</f>
        <v/>
      </c>
      <c r="T3049" t="s">
        <v>41</v>
      </c>
      <c r="U3049">
        <v>2232.02</v>
      </c>
      <c r="V3049">
        <v>2207.4699999999998</v>
      </c>
      <c r="W3049">
        <v>2207.4699999999998</v>
      </c>
      <c r="X3049">
        <v>0</v>
      </c>
      <c r="Y3049">
        <v>0</v>
      </c>
      <c r="Z3049">
        <v>-554</v>
      </c>
      <c r="AA3049">
        <v>690349</v>
      </c>
      <c r="AD3049" t="s">
        <v>3233</v>
      </c>
      <c r="AF3049" t="s">
        <v>3233</v>
      </c>
      <c r="AG3049" s="1" t="s">
        <v>8165</v>
      </c>
      <c r="AH3049" t="s">
        <v>87</v>
      </c>
    </row>
    <row r="3050" spans="1:34" x14ac:dyDescent="0.3">
      <c r="A3050">
        <v>101</v>
      </c>
      <c r="B3050" t="s">
        <v>34</v>
      </c>
      <c r="C3050">
        <v>2</v>
      </c>
      <c r="D3050" s="1" t="s">
        <v>8168</v>
      </c>
      <c r="E3050" s="1" t="s">
        <v>36</v>
      </c>
      <c r="G3050">
        <v>468736</v>
      </c>
      <c r="H3050" t="s">
        <v>8162</v>
      </c>
      <c r="I3050" t="s">
        <v>8163</v>
      </c>
      <c r="J3050">
        <v>28</v>
      </c>
      <c r="K3050">
        <v>2695</v>
      </c>
      <c r="L3050">
        <v>95000</v>
      </c>
      <c r="M3050" t="s">
        <v>69</v>
      </c>
      <c r="N3050">
        <v>665</v>
      </c>
      <c r="O3050" s="2">
        <v>46141</v>
      </c>
      <c r="P3050" s="2">
        <v>46255</v>
      </c>
      <c r="R3050" t="s">
        <v>8169</v>
      </c>
      <c r="S3050" t="str">
        <f>""</f>
        <v/>
      </c>
      <c r="T3050" t="s">
        <v>41</v>
      </c>
      <c r="U3050">
        <v>8511.2800000000007</v>
      </c>
      <c r="V3050">
        <v>8417.66</v>
      </c>
      <c r="W3050">
        <v>8417.66</v>
      </c>
      <c r="X3050">
        <v>0</v>
      </c>
      <c r="Y3050">
        <v>0</v>
      </c>
      <c r="Z3050">
        <v>-480</v>
      </c>
      <c r="AA3050">
        <v>687353</v>
      </c>
      <c r="AD3050" t="s">
        <v>3233</v>
      </c>
      <c r="AF3050" t="s">
        <v>3233</v>
      </c>
      <c r="AG3050" s="1" t="s">
        <v>8165</v>
      </c>
      <c r="AH3050" t="s">
        <v>87</v>
      </c>
    </row>
    <row r="3051" spans="1:34" x14ac:dyDescent="0.3">
      <c r="A3051">
        <v>101</v>
      </c>
      <c r="B3051" t="s">
        <v>34</v>
      </c>
      <c r="C3051">
        <v>2</v>
      </c>
      <c r="D3051" s="1" t="s">
        <v>8170</v>
      </c>
      <c r="E3051" s="1" t="s">
        <v>36</v>
      </c>
      <c r="G3051">
        <v>468737</v>
      </c>
      <c r="H3051" t="s">
        <v>8171</v>
      </c>
      <c r="I3051" t="s">
        <v>8163</v>
      </c>
      <c r="J3051">
        <v>28</v>
      </c>
      <c r="K3051">
        <v>2695</v>
      </c>
      <c r="L3051">
        <v>95000</v>
      </c>
      <c r="M3051" t="s">
        <v>69</v>
      </c>
      <c r="N3051">
        <v>665</v>
      </c>
      <c r="O3051" s="2">
        <v>46171</v>
      </c>
      <c r="P3051" s="2">
        <v>46308</v>
      </c>
      <c r="R3051" t="s">
        <v>8172</v>
      </c>
      <c r="S3051" t="str">
        <f>""</f>
        <v/>
      </c>
      <c r="T3051" t="s">
        <v>41</v>
      </c>
      <c r="U3051">
        <v>4014.5</v>
      </c>
      <c r="V3051">
        <v>3509.12</v>
      </c>
      <c r="W3051">
        <v>3509.12</v>
      </c>
      <c r="X3051">
        <v>0</v>
      </c>
      <c r="Y3051">
        <v>0</v>
      </c>
      <c r="Z3051">
        <v>-533</v>
      </c>
      <c r="AA3051">
        <v>690347</v>
      </c>
      <c r="AD3051" t="s">
        <v>3233</v>
      </c>
      <c r="AF3051" t="s">
        <v>3233</v>
      </c>
      <c r="AG3051" s="1" t="s">
        <v>8173</v>
      </c>
      <c r="AH3051" t="s">
        <v>87</v>
      </c>
    </row>
    <row r="3052" spans="1:34" x14ac:dyDescent="0.3">
      <c r="A3052">
        <v>101</v>
      </c>
      <c r="B3052" t="s">
        <v>34</v>
      </c>
      <c r="C3052">
        <v>2</v>
      </c>
      <c r="D3052" s="1" t="s">
        <v>8174</v>
      </c>
      <c r="E3052" s="1" t="s">
        <v>36</v>
      </c>
      <c r="G3052">
        <v>468737</v>
      </c>
      <c r="H3052" t="s">
        <v>8171</v>
      </c>
      <c r="I3052" t="s">
        <v>8163</v>
      </c>
      <c r="J3052">
        <v>28</v>
      </c>
      <c r="K3052">
        <v>2695</v>
      </c>
      <c r="L3052">
        <v>95000</v>
      </c>
      <c r="M3052" t="s">
        <v>69</v>
      </c>
      <c r="N3052">
        <v>665</v>
      </c>
      <c r="O3052" s="2">
        <v>46141</v>
      </c>
      <c r="P3052" s="2">
        <v>46255</v>
      </c>
      <c r="R3052" t="s">
        <v>8175</v>
      </c>
      <c r="S3052" t="str">
        <f>""</f>
        <v/>
      </c>
      <c r="T3052" t="s">
        <v>41</v>
      </c>
      <c r="U3052">
        <v>7314.68</v>
      </c>
      <c r="V3052">
        <v>7234.22</v>
      </c>
      <c r="W3052">
        <v>7234.22</v>
      </c>
      <c r="X3052">
        <v>0</v>
      </c>
      <c r="Y3052">
        <v>0</v>
      </c>
      <c r="Z3052">
        <v>-480</v>
      </c>
      <c r="AA3052">
        <v>687351</v>
      </c>
      <c r="AD3052" t="s">
        <v>3233</v>
      </c>
      <c r="AF3052" t="s">
        <v>3233</v>
      </c>
      <c r="AG3052" s="1" t="s">
        <v>8173</v>
      </c>
      <c r="AH3052" t="s">
        <v>87</v>
      </c>
    </row>
    <row r="3053" spans="1:34" x14ac:dyDescent="0.3">
      <c r="A3053">
        <v>101</v>
      </c>
      <c r="B3053" t="s">
        <v>34</v>
      </c>
      <c r="C3053">
        <v>2</v>
      </c>
      <c r="D3053" s="1" t="s">
        <v>8176</v>
      </c>
      <c r="E3053" s="1" t="s">
        <v>36</v>
      </c>
      <c r="G3053">
        <v>468737</v>
      </c>
      <c r="H3053" t="s">
        <v>8171</v>
      </c>
      <c r="I3053" t="s">
        <v>8163</v>
      </c>
      <c r="J3053">
        <v>28</v>
      </c>
      <c r="K3053">
        <v>2695</v>
      </c>
      <c r="L3053">
        <v>95000</v>
      </c>
      <c r="M3053" t="s">
        <v>69</v>
      </c>
      <c r="N3053">
        <v>665</v>
      </c>
      <c r="O3053" s="2">
        <v>46223</v>
      </c>
      <c r="P3053" s="2">
        <v>46337</v>
      </c>
      <c r="R3053" t="s">
        <v>8177</v>
      </c>
      <c r="S3053" t="str">
        <f>""</f>
        <v/>
      </c>
      <c r="T3053" t="s">
        <v>41</v>
      </c>
      <c r="U3053">
        <v>4756.32</v>
      </c>
      <c r="V3053">
        <v>4704</v>
      </c>
      <c r="W3053">
        <v>4704</v>
      </c>
      <c r="X3053">
        <v>0</v>
      </c>
      <c r="Y3053">
        <v>0</v>
      </c>
      <c r="Z3053">
        <v>-562</v>
      </c>
      <c r="AA3053">
        <v>694382</v>
      </c>
      <c r="AD3053" t="s">
        <v>3233</v>
      </c>
      <c r="AF3053" t="s">
        <v>3233</v>
      </c>
      <c r="AG3053" s="1" t="s">
        <v>8173</v>
      </c>
      <c r="AH3053" t="s">
        <v>87</v>
      </c>
    </row>
    <row r="3054" spans="1:34" x14ac:dyDescent="0.3">
      <c r="A3054">
        <v>101</v>
      </c>
      <c r="B3054" t="s">
        <v>34</v>
      </c>
      <c r="C3054">
        <v>2</v>
      </c>
      <c r="D3054" s="1" t="s">
        <v>8178</v>
      </c>
      <c r="E3054" s="1" t="s">
        <v>36</v>
      </c>
      <c r="G3054">
        <v>468797</v>
      </c>
      <c r="H3054" t="s">
        <v>8179</v>
      </c>
      <c r="I3054" t="s">
        <v>2413</v>
      </c>
      <c r="J3054">
        <v>28</v>
      </c>
      <c r="K3054">
        <v>2695</v>
      </c>
      <c r="L3054">
        <v>95000</v>
      </c>
      <c r="M3054" t="s">
        <v>69</v>
      </c>
      <c r="N3054">
        <v>665</v>
      </c>
      <c r="O3054" s="2">
        <v>46171</v>
      </c>
      <c r="P3054" s="2">
        <v>46286</v>
      </c>
      <c r="R3054" t="s">
        <v>8180</v>
      </c>
      <c r="S3054" t="str">
        <f>""</f>
        <v/>
      </c>
      <c r="T3054" t="s">
        <v>41</v>
      </c>
      <c r="U3054">
        <v>3634.38</v>
      </c>
      <c r="V3054">
        <v>3594.4</v>
      </c>
      <c r="W3054">
        <v>3594.4</v>
      </c>
      <c r="X3054">
        <v>0</v>
      </c>
      <c r="Y3054">
        <v>0</v>
      </c>
      <c r="Z3054">
        <v>-511</v>
      </c>
      <c r="AA3054">
        <v>690339</v>
      </c>
      <c r="AD3054" t="s">
        <v>3233</v>
      </c>
      <c r="AF3054" t="s">
        <v>3233</v>
      </c>
      <c r="AG3054" s="1" t="s">
        <v>8181</v>
      </c>
      <c r="AH3054" t="s">
        <v>87</v>
      </c>
    </row>
    <row r="3055" spans="1:34" x14ac:dyDescent="0.3">
      <c r="A3055">
        <v>101</v>
      </c>
      <c r="B3055" t="s">
        <v>34</v>
      </c>
      <c r="C3055">
        <v>2</v>
      </c>
      <c r="D3055" s="1" t="s">
        <v>8182</v>
      </c>
      <c r="E3055" s="1" t="s">
        <v>36</v>
      </c>
      <c r="G3055">
        <v>468797</v>
      </c>
      <c r="H3055" t="s">
        <v>8179</v>
      </c>
      <c r="I3055" t="s">
        <v>2413</v>
      </c>
      <c r="J3055">
        <v>28</v>
      </c>
      <c r="K3055">
        <v>2695</v>
      </c>
      <c r="L3055">
        <v>95000</v>
      </c>
      <c r="M3055" t="s">
        <v>69</v>
      </c>
      <c r="N3055">
        <v>665</v>
      </c>
      <c r="O3055" s="2">
        <v>46141</v>
      </c>
      <c r="P3055" s="2">
        <v>46255</v>
      </c>
      <c r="R3055" t="s">
        <v>8183</v>
      </c>
      <c r="S3055" t="str">
        <f>""</f>
        <v/>
      </c>
      <c r="T3055" t="s">
        <v>41</v>
      </c>
      <c r="U3055">
        <v>3728.8</v>
      </c>
      <c r="V3055">
        <v>3687.78</v>
      </c>
      <c r="W3055">
        <v>3687.78</v>
      </c>
      <c r="X3055">
        <v>0</v>
      </c>
      <c r="Y3055">
        <v>0</v>
      </c>
      <c r="Z3055">
        <v>-480</v>
      </c>
      <c r="AA3055">
        <v>687343</v>
      </c>
      <c r="AD3055" t="s">
        <v>3233</v>
      </c>
      <c r="AF3055" t="s">
        <v>3233</v>
      </c>
      <c r="AG3055" s="1" t="s">
        <v>8181</v>
      </c>
      <c r="AH3055" t="s">
        <v>87</v>
      </c>
    </row>
    <row r="3056" spans="1:34" x14ac:dyDescent="0.3">
      <c r="A3056">
        <v>101</v>
      </c>
      <c r="B3056" t="s">
        <v>34</v>
      </c>
      <c r="C3056">
        <v>2</v>
      </c>
      <c r="D3056" s="1" t="s">
        <v>8184</v>
      </c>
      <c r="E3056" s="1" t="s">
        <v>36</v>
      </c>
      <c r="G3056">
        <v>468798</v>
      </c>
      <c r="H3056" t="s">
        <v>8185</v>
      </c>
      <c r="I3056" t="s">
        <v>2413</v>
      </c>
      <c r="J3056">
        <v>28</v>
      </c>
      <c r="K3056">
        <v>2695</v>
      </c>
      <c r="L3056">
        <v>95000</v>
      </c>
      <c r="M3056" t="s">
        <v>69</v>
      </c>
      <c r="N3056">
        <v>665</v>
      </c>
      <c r="O3056" s="2">
        <v>46141</v>
      </c>
      <c r="P3056" s="2">
        <v>46255</v>
      </c>
      <c r="R3056" t="s">
        <v>8186</v>
      </c>
      <c r="S3056" t="str">
        <f>""</f>
        <v/>
      </c>
      <c r="T3056" t="s">
        <v>41</v>
      </c>
      <c r="U3056">
        <v>6469.63</v>
      </c>
      <c r="V3056">
        <v>6398.46</v>
      </c>
      <c r="W3056">
        <v>6398.46</v>
      </c>
      <c r="X3056">
        <v>0</v>
      </c>
      <c r="Y3056">
        <v>0</v>
      </c>
      <c r="Z3056">
        <v>-480</v>
      </c>
      <c r="AA3056">
        <v>687345</v>
      </c>
      <c r="AD3056" t="s">
        <v>3233</v>
      </c>
      <c r="AF3056" t="s">
        <v>3233</v>
      </c>
      <c r="AG3056" s="1" t="s">
        <v>8187</v>
      </c>
      <c r="AH3056" t="s">
        <v>87</v>
      </c>
    </row>
    <row r="3057" spans="1:34" x14ac:dyDescent="0.3">
      <c r="A3057">
        <v>101</v>
      </c>
      <c r="B3057" t="s">
        <v>34</v>
      </c>
      <c r="C3057">
        <v>2</v>
      </c>
      <c r="D3057" s="1" t="s">
        <v>8188</v>
      </c>
      <c r="E3057" s="1" t="s">
        <v>36</v>
      </c>
      <c r="G3057">
        <v>468798</v>
      </c>
      <c r="H3057" t="s">
        <v>8185</v>
      </c>
      <c r="I3057" t="s">
        <v>2413</v>
      </c>
      <c r="J3057">
        <v>28</v>
      </c>
      <c r="K3057">
        <v>2695</v>
      </c>
      <c r="L3057">
        <v>95000</v>
      </c>
      <c r="M3057" t="s">
        <v>69</v>
      </c>
      <c r="N3057">
        <v>665</v>
      </c>
      <c r="O3057" s="2">
        <v>46171</v>
      </c>
      <c r="P3057" s="2">
        <v>46316</v>
      </c>
      <c r="R3057" t="s">
        <v>8189</v>
      </c>
      <c r="S3057" t="str">
        <f>""</f>
        <v/>
      </c>
      <c r="T3057" t="s">
        <v>41</v>
      </c>
      <c r="U3057">
        <v>5993.04</v>
      </c>
      <c r="V3057">
        <v>5514.94</v>
      </c>
      <c r="W3057">
        <v>5514.94</v>
      </c>
      <c r="X3057">
        <v>0</v>
      </c>
      <c r="Y3057">
        <v>0</v>
      </c>
      <c r="Z3057">
        <v>-541</v>
      </c>
      <c r="AA3057">
        <v>690341</v>
      </c>
      <c r="AD3057" t="s">
        <v>3233</v>
      </c>
      <c r="AF3057" t="s">
        <v>3233</v>
      </c>
      <c r="AG3057" s="1" t="s">
        <v>8187</v>
      </c>
      <c r="AH3057" t="s">
        <v>87</v>
      </c>
    </row>
    <row r="3058" spans="1:34" x14ac:dyDescent="0.3">
      <c r="A3058">
        <v>104</v>
      </c>
      <c r="B3058" t="s">
        <v>34</v>
      </c>
      <c r="C3058">
        <v>4</v>
      </c>
      <c r="D3058" s="1" t="s">
        <v>8190</v>
      </c>
      <c r="E3058" s="1" t="s">
        <v>36</v>
      </c>
      <c r="G3058">
        <v>452110</v>
      </c>
      <c r="H3058" t="s">
        <v>8191</v>
      </c>
      <c r="I3058" t="s">
        <v>8192</v>
      </c>
      <c r="J3058">
        <v>18</v>
      </c>
      <c r="K3058">
        <v>452110</v>
      </c>
      <c r="L3058">
        <v>50001</v>
      </c>
      <c r="M3058" t="s">
        <v>39</v>
      </c>
      <c r="N3058">
        <v>670</v>
      </c>
      <c r="O3058" s="2">
        <v>46202</v>
      </c>
      <c r="P3058" s="2">
        <v>46269</v>
      </c>
      <c r="R3058" t="s">
        <v>8193</v>
      </c>
      <c r="S3058" t="str">
        <f>"25666160000051320"</f>
        <v>25666160000051320</v>
      </c>
      <c r="T3058" t="s">
        <v>41</v>
      </c>
      <c r="U3058">
        <v>47564.07</v>
      </c>
      <c r="V3058">
        <v>39232.199999999997</v>
      </c>
      <c r="W3058">
        <v>39232.199999999997</v>
      </c>
      <c r="X3058">
        <v>0</v>
      </c>
      <c r="Y3058">
        <v>0</v>
      </c>
      <c r="Z3058">
        <v>-494</v>
      </c>
      <c r="AA3058" t="s">
        <v>8194</v>
      </c>
      <c r="AD3058" t="s">
        <v>5008</v>
      </c>
      <c r="AE3058" t="s">
        <v>8195</v>
      </c>
      <c r="AF3058" t="s">
        <v>5008</v>
      </c>
      <c r="AG3058">
        <v>32267292001949</v>
      </c>
      <c r="AH3058" t="s">
        <v>3530</v>
      </c>
    </row>
    <row r="3059" spans="1:34" x14ac:dyDescent="0.3">
      <c r="A3059">
        <v>104</v>
      </c>
      <c r="B3059" t="s">
        <v>34</v>
      </c>
      <c r="C3059">
        <v>4</v>
      </c>
      <c r="D3059" s="1" t="s">
        <v>8190</v>
      </c>
      <c r="E3059" s="1" t="s">
        <v>122</v>
      </c>
      <c r="G3059">
        <v>452110</v>
      </c>
      <c r="H3059" t="s">
        <v>8191</v>
      </c>
      <c r="I3059" t="s">
        <v>8192</v>
      </c>
      <c r="J3059">
        <v>18</v>
      </c>
      <c r="K3059">
        <v>452110</v>
      </c>
      <c r="L3059">
        <v>50001</v>
      </c>
      <c r="M3059" t="s">
        <v>39</v>
      </c>
      <c r="N3059">
        <v>670</v>
      </c>
      <c r="O3059" s="2">
        <v>46202</v>
      </c>
      <c r="P3059" s="2">
        <v>46286</v>
      </c>
      <c r="R3059" t="s">
        <v>8193</v>
      </c>
      <c r="S3059" t="str">
        <f>"25666160000051321"</f>
        <v>25666160000051321</v>
      </c>
      <c r="T3059" t="s">
        <v>41</v>
      </c>
      <c r="U3059">
        <v>47564.07</v>
      </c>
      <c r="V3059">
        <v>39232.199999999997</v>
      </c>
      <c r="W3059">
        <v>39232.199999999997</v>
      </c>
      <c r="X3059">
        <v>0</v>
      </c>
      <c r="Y3059">
        <v>0</v>
      </c>
      <c r="Z3059">
        <v>-511</v>
      </c>
      <c r="AA3059" t="s">
        <v>8194</v>
      </c>
      <c r="AD3059" t="s">
        <v>5008</v>
      </c>
      <c r="AE3059" t="s">
        <v>8195</v>
      </c>
      <c r="AF3059" t="s">
        <v>5008</v>
      </c>
      <c r="AG3059">
        <v>32267292001949</v>
      </c>
      <c r="AH3059" t="s">
        <v>3530</v>
      </c>
    </row>
    <row r="3060" spans="1:34" x14ac:dyDescent="0.3">
      <c r="A3060">
        <v>104</v>
      </c>
      <c r="B3060" t="s">
        <v>34</v>
      </c>
      <c r="C3060">
        <v>4</v>
      </c>
      <c r="D3060" s="1" t="s">
        <v>8190</v>
      </c>
      <c r="E3060" s="1" t="s">
        <v>116</v>
      </c>
      <c r="G3060">
        <v>452110</v>
      </c>
      <c r="H3060" t="s">
        <v>8191</v>
      </c>
      <c r="I3060" t="s">
        <v>8192</v>
      </c>
      <c r="J3060">
        <v>18</v>
      </c>
      <c r="K3060">
        <v>452110</v>
      </c>
      <c r="L3060">
        <v>50001</v>
      </c>
      <c r="M3060" t="s">
        <v>39</v>
      </c>
      <c r="N3060">
        <v>670</v>
      </c>
      <c r="O3060" s="2">
        <v>46202</v>
      </c>
      <c r="P3060" s="2">
        <v>46300</v>
      </c>
      <c r="R3060" t="s">
        <v>8193</v>
      </c>
      <c r="S3060" t="str">
        <f>"25666160000051322"</f>
        <v>25666160000051322</v>
      </c>
      <c r="T3060" t="s">
        <v>41</v>
      </c>
      <c r="U3060">
        <v>47578.34</v>
      </c>
      <c r="V3060">
        <v>39245.75</v>
      </c>
      <c r="W3060">
        <v>39245.75</v>
      </c>
      <c r="X3060">
        <v>0</v>
      </c>
      <c r="Y3060">
        <v>0</v>
      </c>
      <c r="Z3060">
        <v>-525</v>
      </c>
      <c r="AA3060" t="s">
        <v>8194</v>
      </c>
      <c r="AD3060" t="s">
        <v>5008</v>
      </c>
      <c r="AE3060" t="s">
        <v>8195</v>
      </c>
      <c r="AF3060" t="s">
        <v>5008</v>
      </c>
      <c r="AG3060">
        <v>32267292001949</v>
      </c>
      <c r="AH3060" t="s">
        <v>3530</v>
      </c>
    </row>
    <row r="3061" spans="1:34" x14ac:dyDescent="0.3">
      <c r="A3061">
        <v>106</v>
      </c>
      <c r="B3061" t="s">
        <v>34</v>
      </c>
      <c r="C3061">
        <v>2</v>
      </c>
      <c r="D3061" s="1" t="s">
        <v>8196</v>
      </c>
      <c r="E3061" s="1" t="s">
        <v>36</v>
      </c>
      <c r="G3061">
        <v>452110</v>
      </c>
      <c r="H3061" t="s">
        <v>8191</v>
      </c>
      <c r="I3061" t="s">
        <v>8192</v>
      </c>
      <c r="J3061">
        <v>18</v>
      </c>
      <c r="K3061">
        <v>452110</v>
      </c>
      <c r="L3061">
        <v>50001</v>
      </c>
      <c r="M3061" t="s">
        <v>39</v>
      </c>
      <c r="N3061">
        <v>670</v>
      </c>
      <c r="O3061" s="2">
        <v>46202</v>
      </c>
      <c r="P3061" s="2">
        <v>46269</v>
      </c>
      <c r="R3061" t="s">
        <v>8197</v>
      </c>
      <c r="S3061" t="str">
        <f>"25666160000051327"</f>
        <v>25666160000051327</v>
      </c>
      <c r="T3061" t="s">
        <v>41</v>
      </c>
      <c r="U3061">
        <v>7568.43</v>
      </c>
      <c r="V3061">
        <v>7190.01</v>
      </c>
      <c r="W3061">
        <v>7190.01</v>
      </c>
      <c r="X3061">
        <v>0</v>
      </c>
      <c r="Y3061">
        <v>0</v>
      </c>
      <c r="Z3061">
        <v>-494</v>
      </c>
      <c r="AA3061" t="s">
        <v>8198</v>
      </c>
      <c r="AD3061" t="s">
        <v>5008</v>
      </c>
      <c r="AE3061" t="s">
        <v>8195</v>
      </c>
      <c r="AF3061" t="s">
        <v>5008</v>
      </c>
      <c r="AG3061">
        <v>32267292001949</v>
      </c>
      <c r="AH3061" t="s">
        <v>3530</v>
      </c>
    </row>
    <row r="3062" spans="1:34" x14ac:dyDescent="0.3">
      <c r="A3062">
        <v>106</v>
      </c>
      <c r="B3062" t="s">
        <v>34</v>
      </c>
      <c r="C3062">
        <v>2</v>
      </c>
      <c r="D3062" s="1" t="s">
        <v>8196</v>
      </c>
      <c r="E3062" s="1" t="s">
        <v>122</v>
      </c>
      <c r="G3062">
        <v>452110</v>
      </c>
      <c r="H3062" t="s">
        <v>8191</v>
      </c>
      <c r="I3062" t="s">
        <v>8192</v>
      </c>
      <c r="J3062">
        <v>18</v>
      </c>
      <c r="K3062">
        <v>452110</v>
      </c>
      <c r="L3062">
        <v>50001</v>
      </c>
      <c r="M3062" t="s">
        <v>39</v>
      </c>
      <c r="N3062">
        <v>670</v>
      </c>
      <c r="O3062" s="2">
        <v>46202</v>
      </c>
      <c r="P3062" s="2">
        <v>46284</v>
      </c>
      <c r="R3062" t="s">
        <v>8197</v>
      </c>
      <c r="S3062" t="str">
        <f>"25666160000051328"</f>
        <v>25666160000051328</v>
      </c>
      <c r="T3062" t="s">
        <v>41</v>
      </c>
      <c r="U3062">
        <v>7568.43</v>
      </c>
      <c r="V3062">
        <v>7190.01</v>
      </c>
      <c r="W3062">
        <v>7190.01</v>
      </c>
      <c r="X3062">
        <v>0</v>
      </c>
      <c r="Y3062">
        <v>0</v>
      </c>
      <c r="Z3062">
        <v>-509</v>
      </c>
      <c r="AA3062" t="s">
        <v>8198</v>
      </c>
      <c r="AD3062" t="s">
        <v>5008</v>
      </c>
      <c r="AE3062" t="s">
        <v>8195</v>
      </c>
      <c r="AF3062" t="s">
        <v>5008</v>
      </c>
      <c r="AG3062">
        <v>32267292001949</v>
      </c>
      <c r="AH3062" t="s">
        <v>3530</v>
      </c>
    </row>
    <row r="3063" spans="1:34" x14ac:dyDescent="0.3">
      <c r="A3063">
        <v>106</v>
      </c>
      <c r="B3063" t="s">
        <v>34</v>
      </c>
      <c r="C3063">
        <v>2</v>
      </c>
      <c r="D3063" s="1" t="s">
        <v>8196</v>
      </c>
      <c r="E3063" s="1" t="s">
        <v>116</v>
      </c>
      <c r="G3063">
        <v>452110</v>
      </c>
      <c r="H3063" t="s">
        <v>8191</v>
      </c>
      <c r="I3063" t="s">
        <v>8192</v>
      </c>
      <c r="J3063">
        <v>18</v>
      </c>
      <c r="K3063">
        <v>452110</v>
      </c>
      <c r="L3063">
        <v>50001</v>
      </c>
      <c r="M3063" t="s">
        <v>39</v>
      </c>
      <c r="N3063">
        <v>670</v>
      </c>
      <c r="O3063" s="2">
        <v>46202</v>
      </c>
      <c r="P3063" s="2">
        <v>46299</v>
      </c>
      <c r="R3063" t="s">
        <v>8197</v>
      </c>
      <c r="S3063" t="str">
        <f>"25666160000051329"</f>
        <v>25666160000051329</v>
      </c>
      <c r="T3063" t="s">
        <v>41</v>
      </c>
      <c r="U3063">
        <v>7570.69</v>
      </c>
      <c r="V3063">
        <v>7192.16</v>
      </c>
      <c r="W3063">
        <v>7192.16</v>
      </c>
      <c r="X3063">
        <v>0</v>
      </c>
      <c r="Y3063">
        <v>0</v>
      </c>
      <c r="Z3063">
        <v>-524</v>
      </c>
      <c r="AA3063" t="s">
        <v>8198</v>
      </c>
      <c r="AD3063" t="s">
        <v>5008</v>
      </c>
      <c r="AE3063" t="s">
        <v>8195</v>
      </c>
      <c r="AF3063" t="s">
        <v>5008</v>
      </c>
      <c r="AG3063">
        <v>32267292001949</v>
      </c>
      <c r="AH3063" t="s">
        <v>3530</v>
      </c>
    </row>
    <row r="3064" spans="1:34" x14ac:dyDescent="0.3">
      <c r="A3064">
        <v>106</v>
      </c>
      <c r="B3064" t="s">
        <v>34</v>
      </c>
      <c r="C3064">
        <v>2</v>
      </c>
      <c r="D3064" s="1" t="s">
        <v>8199</v>
      </c>
      <c r="E3064" s="1" t="s">
        <v>36</v>
      </c>
      <c r="G3064">
        <v>469160</v>
      </c>
      <c r="H3064" t="s">
        <v>8200</v>
      </c>
      <c r="I3064" t="s">
        <v>8192</v>
      </c>
      <c r="J3064">
        <v>18</v>
      </c>
      <c r="K3064">
        <v>452110</v>
      </c>
      <c r="L3064">
        <v>50237</v>
      </c>
      <c r="M3064" t="s">
        <v>39</v>
      </c>
      <c r="N3064">
        <v>670</v>
      </c>
      <c r="O3064" s="2">
        <v>46202</v>
      </c>
      <c r="P3064" s="2">
        <v>46262</v>
      </c>
      <c r="R3064" t="s">
        <v>8201</v>
      </c>
      <c r="S3064" t="str">
        <f>"330000051147"</f>
        <v>330000051147</v>
      </c>
      <c r="T3064" t="s">
        <v>41</v>
      </c>
      <c r="U3064">
        <v>3492.41</v>
      </c>
      <c r="V3064">
        <v>3317.79</v>
      </c>
      <c r="W3064">
        <v>3317.79</v>
      </c>
      <c r="X3064">
        <v>0</v>
      </c>
      <c r="Y3064">
        <v>0</v>
      </c>
      <c r="Z3064">
        <v>-487</v>
      </c>
      <c r="AA3064" t="s">
        <v>8202</v>
      </c>
      <c r="AD3064" t="s">
        <v>8203</v>
      </c>
      <c r="AE3064" t="s">
        <v>8204</v>
      </c>
      <c r="AF3064" t="s">
        <v>8203</v>
      </c>
      <c r="AG3064">
        <v>32267292005189</v>
      </c>
      <c r="AH3064" t="s">
        <v>3443</v>
      </c>
    </row>
    <row r="3065" spans="1:34" x14ac:dyDescent="0.3">
      <c r="A3065">
        <v>106</v>
      </c>
      <c r="B3065" t="s">
        <v>34</v>
      </c>
      <c r="C3065">
        <v>2</v>
      </c>
      <c r="D3065" s="1" t="s">
        <v>8199</v>
      </c>
      <c r="E3065" s="1" t="s">
        <v>122</v>
      </c>
      <c r="G3065">
        <v>469160</v>
      </c>
      <c r="H3065" t="s">
        <v>8200</v>
      </c>
      <c r="I3065" t="s">
        <v>8192</v>
      </c>
      <c r="J3065">
        <v>18</v>
      </c>
      <c r="K3065">
        <v>452110</v>
      </c>
      <c r="L3065">
        <v>50237</v>
      </c>
      <c r="M3065" t="s">
        <v>39</v>
      </c>
      <c r="N3065">
        <v>670</v>
      </c>
      <c r="O3065" s="2">
        <v>46202</v>
      </c>
      <c r="P3065" s="2">
        <v>46277</v>
      </c>
      <c r="R3065" t="s">
        <v>8201</v>
      </c>
      <c r="S3065" t="str">
        <f>"330000051155"</f>
        <v>330000051155</v>
      </c>
      <c r="T3065" t="s">
        <v>41</v>
      </c>
      <c r="U3065">
        <v>3492.41</v>
      </c>
      <c r="V3065">
        <v>3317.79</v>
      </c>
      <c r="W3065">
        <v>3317.79</v>
      </c>
      <c r="X3065">
        <v>0</v>
      </c>
      <c r="Y3065">
        <v>0</v>
      </c>
      <c r="Z3065">
        <v>-502</v>
      </c>
      <c r="AA3065" t="s">
        <v>8202</v>
      </c>
      <c r="AD3065" t="s">
        <v>8203</v>
      </c>
      <c r="AE3065" t="s">
        <v>8204</v>
      </c>
      <c r="AF3065" t="s">
        <v>8203</v>
      </c>
      <c r="AG3065">
        <v>32267292005189</v>
      </c>
      <c r="AH3065" t="s">
        <v>3443</v>
      </c>
    </row>
    <row r="3066" spans="1:34" x14ac:dyDescent="0.3">
      <c r="A3066">
        <v>106</v>
      </c>
      <c r="B3066" t="s">
        <v>34</v>
      </c>
      <c r="C3066">
        <v>2</v>
      </c>
      <c r="D3066" s="1" t="s">
        <v>8199</v>
      </c>
      <c r="E3066" s="1" t="s">
        <v>116</v>
      </c>
      <c r="G3066">
        <v>469160</v>
      </c>
      <c r="H3066" t="s">
        <v>8200</v>
      </c>
      <c r="I3066" t="s">
        <v>8192</v>
      </c>
      <c r="J3066">
        <v>18</v>
      </c>
      <c r="K3066">
        <v>452110</v>
      </c>
      <c r="L3066">
        <v>50237</v>
      </c>
      <c r="M3066" t="s">
        <v>39</v>
      </c>
      <c r="N3066">
        <v>670</v>
      </c>
      <c r="O3066" s="2">
        <v>46202</v>
      </c>
      <c r="P3066" s="2">
        <v>46292</v>
      </c>
      <c r="R3066" t="s">
        <v>8201</v>
      </c>
      <c r="S3066" t="str">
        <f>"330000051163"</f>
        <v>330000051163</v>
      </c>
      <c r="T3066" t="s">
        <v>41</v>
      </c>
      <c r="U3066">
        <v>3493.47</v>
      </c>
      <c r="V3066">
        <v>3318.8</v>
      </c>
      <c r="W3066">
        <v>3318.8</v>
      </c>
      <c r="X3066">
        <v>0</v>
      </c>
      <c r="Y3066">
        <v>0</v>
      </c>
      <c r="Z3066">
        <v>-517</v>
      </c>
      <c r="AA3066" t="s">
        <v>8202</v>
      </c>
      <c r="AD3066" t="s">
        <v>8203</v>
      </c>
      <c r="AE3066" t="s">
        <v>8204</v>
      </c>
      <c r="AF3066" t="s">
        <v>8203</v>
      </c>
      <c r="AG3066">
        <v>32267292005189</v>
      </c>
      <c r="AH3066" t="s">
        <v>3443</v>
      </c>
    </row>
    <row r="3067" spans="1:34" x14ac:dyDescent="0.3">
      <c r="A3067">
        <v>104</v>
      </c>
      <c r="B3067" t="s">
        <v>34</v>
      </c>
      <c r="C3067">
        <v>4</v>
      </c>
      <c r="D3067" s="1" t="s">
        <v>8205</v>
      </c>
      <c r="E3067" s="1" t="s">
        <v>122</v>
      </c>
      <c r="G3067">
        <v>469160</v>
      </c>
      <c r="H3067" t="s">
        <v>8200</v>
      </c>
      <c r="I3067" t="s">
        <v>8192</v>
      </c>
      <c r="J3067">
        <v>18</v>
      </c>
      <c r="K3067">
        <v>452110</v>
      </c>
      <c r="L3067">
        <v>50237</v>
      </c>
      <c r="M3067" t="s">
        <v>39</v>
      </c>
      <c r="N3067">
        <v>670</v>
      </c>
      <c r="O3067" s="2">
        <v>46202</v>
      </c>
      <c r="P3067" s="2">
        <v>46279</v>
      </c>
      <c r="R3067" t="s">
        <v>8206</v>
      </c>
      <c r="S3067" t="str">
        <f>"330000051120"</f>
        <v>330000051120</v>
      </c>
      <c r="T3067" t="s">
        <v>41</v>
      </c>
      <c r="U3067">
        <v>12641.44</v>
      </c>
      <c r="V3067">
        <v>12009.37</v>
      </c>
      <c r="W3067">
        <v>12009.37</v>
      </c>
      <c r="X3067">
        <v>0</v>
      </c>
      <c r="Y3067">
        <v>0</v>
      </c>
      <c r="Z3067">
        <v>-504</v>
      </c>
      <c r="AA3067" t="s">
        <v>8207</v>
      </c>
      <c r="AD3067" t="s">
        <v>8203</v>
      </c>
      <c r="AE3067" t="s">
        <v>8204</v>
      </c>
      <c r="AF3067" t="s">
        <v>8203</v>
      </c>
      <c r="AG3067">
        <v>32267292005189</v>
      </c>
      <c r="AH3067" t="s">
        <v>3443</v>
      </c>
    </row>
    <row r="3068" spans="1:34" x14ac:dyDescent="0.3">
      <c r="A3068">
        <v>104</v>
      </c>
      <c r="B3068" t="s">
        <v>34</v>
      </c>
      <c r="C3068">
        <v>4</v>
      </c>
      <c r="D3068" s="1" t="s">
        <v>8205</v>
      </c>
      <c r="E3068" s="1" t="s">
        <v>116</v>
      </c>
      <c r="G3068">
        <v>469160</v>
      </c>
      <c r="H3068" t="s">
        <v>8200</v>
      </c>
      <c r="I3068" t="s">
        <v>8192</v>
      </c>
      <c r="J3068">
        <v>18</v>
      </c>
      <c r="K3068">
        <v>452110</v>
      </c>
      <c r="L3068">
        <v>50237</v>
      </c>
      <c r="M3068" t="s">
        <v>39</v>
      </c>
      <c r="N3068">
        <v>670</v>
      </c>
      <c r="O3068" s="2">
        <v>46202</v>
      </c>
      <c r="P3068" s="2">
        <v>46293</v>
      </c>
      <c r="R3068" t="s">
        <v>8206</v>
      </c>
      <c r="S3068" t="str">
        <f>"330000051139"</f>
        <v>330000051139</v>
      </c>
      <c r="T3068" t="s">
        <v>41</v>
      </c>
      <c r="U3068">
        <v>12645.22</v>
      </c>
      <c r="V3068">
        <v>12012.96</v>
      </c>
      <c r="W3068">
        <v>12012.96</v>
      </c>
      <c r="X3068">
        <v>0</v>
      </c>
      <c r="Y3068">
        <v>0</v>
      </c>
      <c r="Z3068">
        <v>-518</v>
      </c>
      <c r="AA3068" t="s">
        <v>8207</v>
      </c>
      <c r="AD3068" t="s">
        <v>8203</v>
      </c>
      <c r="AE3068" t="s">
        <v>8204</v>
      </c>
      <c r="AF3068" t="s">
        <v>8203</v>
      </c>
      <c r="AG3068">
        <v>32267292005189</v>
      </c>
      <c r="AH3068" t="s">
        <v>3443</v>
      </c>
    </row>
    <row r="3069" spans="1:34" x14ac:dyDescent="0.3">
      <c r="A3069">
        <v>104</v>
      </c>
      <c r="B3069" t="s">
        <v>34</v>
      </c>
      <c r="C3069">
        <v>4</v>
      </c>
      <c r="D3069" s="1" t="s">
        <v>8205</v>
      </c>
      <c r="E3069" s="1" t="s">
        <v>36</v>
      </c>
      <c r="G3069">
        <v>469160</v>
      </c>
      <c r="H3069" t="s">
        <v>8200</v>
      </c>
      <c r="I3069" t="s">
        <v>8192</v>
      </c>
      <c r="J3069">
        <v>18</v>
      </c>
      <c r="K3069">
        <v>452110</v>
      </c>
      <c r="L3069">
        <v>50237</v>
      </c>
      <c r="M3069" t="s">
        <v>39</v>
      </c>
      <c r="N3069">
        <v>670</v>
      </c>
      <c r="O3069" s="2">
        <v>46202</v>
      </c>
      <c r="P3069" s="2">
        <v>46262</v>
      </c>
      <c r="R3069" t="s">
        <v>8206</v>
      </c>
      <c r="S3069" t="str">
        <f>"330000051112"</f>
        <v>330000051112</v>
      </c>
      <c r="T3069" t="s">
        <v>41</v>
      </c>
      <c r="U3069">
        <v>12641.44</v>
      </c>
      <c r="V3069">
        <v>12009.37</v>
      </c>
      <c r="W3069">
        <v>12009.37</v>
      </c>
      <c r="X3069">
        <v>0</v>
      </c>
      <c r="Y3069">
        <v>0</v>
      </c>
      <c r="Z3069">
        <v>-487</v>
      </c>
      <c r="AA3069" t="s">
        <v>8207</v>
      </c>
      <c r="AD3069" t="s">
        <v>8203</v>
      </c>
      <c r="AE3069" t="s">
        <v>8204</v>
      </c>
      <c r="AF3069" t="s">
        <v>8203</v>
      </c>
      <c r="AG3069">
        <v>32267292005189</v>
      </c>
      <c r="AH3069" t="s">
        <v>3443</v>
      </c>
    </row>
    <row r="3070" spans="1:34" x14ac:dyDescent="0.3">
      <c r="A3070">
        <v>101</v>
      </c>
      <c r="B3070" t="s">
        <v>34</v>
      </c>
      <c r="C3070">
        <v>2</v>
      </c>
      <c r="D3070" s="1" t="s">
        <v>8208</v>
      </c>
      <c r="E3070" s="1" t="s">
        <v>36</v>
      </c>
      <c r="G3070">
        <v>8073</v>
      </c>
      <c r="H3070" t="s">
        <v>8209</v>
      </c>
      <c r="I3070" t="s">
        <v>8210</v>
      </c>
      <c r="J3070">
        <v>12</v>
      </c>
      <c r="K3070">
        <v>8073</v>
      </c>
      <c r="L3070">
        <v>95080</v>
      </c>
      <c r="M3070" t="s">
        <v>83</v>
      </c>
      <c r="N3070">
        <v>671</v>
      </c>
      <c r="O3070" s="2">
        <v>46111</v>
      </c>
      <c r="P3070" s="2">
        <v>46139</v>
      </c>
      <c r="R3070">
        <v>2603304764</v>
      </c>
      <c r="S3070" t="str">
        <f>""</f>
        <v/>
      </c>
      <c r="T3070" t="s">
        <v>41</v>
      </c>
      <c r="U3070">
        <v>1923.7</v>
      </c>
      <c r="V3070">
        <v>1923.7</v>
      </c>
      <c r="W3070">
        <v>1923.7</v>
      </c>
      <c r="X3070">
        <v>0</v>
      </c>
      <c r="Y3070">
        <v>0</v>
      </c>
      <c r="Z3070">
        <v>-364</v>
      </c>
      <c r="AA3070">
        <v>683852</v>
      </c>
      <c r="AD3070" t="s">
        <v>64</v>
      </c>
      <c r="AE3070" t="s">
        <v>8211</v>
      </c>
      <c r="AF3070" t="s">
        <v>64</v>
      </c>
      <c r="AG3070" s="1" t="s">
        <v>8212</v>
      </c>
      <c r="AH3070" t="s">
        <v>44</v>
      </c>
    </row>
    <row r="3071" spans="1:34" x14ac:dyDescent="0.3">
      <c r="A3071">
        <v>101</v>
      </c>
      <c r="B3071" t="s">
        <v>34</v>
      </c>
      <c r="C3071">
        <v>2</v>
      </c>
      <c r="D3071" s="1" t="s">
        <v>8213</v>
      </c>
      <c r="E3071" s="1" t="s">
        <v>36</v>
      </c>
      <c r="G3071">
        <v>8073</v>
      </c>
      <c r="H3071" t="s">
        <v>8209</v>
      </c>
      <c r="I3071" t="s">
        <v>8210</v>
      </c>
      <c r="J3071">
        <v>12</v>
      </c>
      <c r="K3071">
        <v>8073</v>
      </c>
      <c r="L3071">
        <v>50001</v>
      </c>
      <c r="M3071" t="s">
        <v>39</v>
      </c>
      <c r="N3071">
        <v>671</v>
      </c>
      <c r="O3071" s="2">
        <v>46251</v>
      </c>
      <c r="P3071" s="2">
        <v>46279</v>
      </c>
      <c r="R3071" t="s">
        <v>8214</v>
      </c>
      <c r="S3071" t="str">
        <f>"25666160000051905"</f>
        <v>25666160000051905</v>
      </c>
      <c r="T3071" t="s">
        <v>41</v>
      </c>
      <c r="U3071">
        <v>5556.74</v>
      </c>
      <c r="V3071">
        <v>5556.74</v>
      </c>
      <c r="W3071">
        <v>5556.74</v>
      </c>
      <c r="X3071">
        <v>0</v>
      </c>
      <c r="Y3071">
        <v>0</v>
      </c>
      <c r="Z3071">
        <v>-504</v>
      </c>
      <c r="AA3071">
        <v>4581</v>
      </c>
      <c r="AD3071" t="s">
        <v>64</v>
      </c>
      <c r="AE3071" t="s">
        <v>8211</v>
      </c>
      <c r="AF3071" t="s">
        <v>64</v>
      </c>
      <c r="AG3071" s="1" t="s">
        <v>8212</v>
      </c>
      <c r="AH3071" t="s">
        <v>44</v>
      </c>
    </row>
    <row r="3072" spans="1:34" x14ac:dyDescent="0.3">
      <c r="A3072">
        <v>101</v>
      </c>
      <c r="B3072" t="s">
        <v>34</v>
      </c>
      <c r="C3072">
        <v>2</v>
      </c>
      <c r="D3072" s="1" t="s">
        <v>8215</v>
      </c>
      <c r="E3072" s="1" t="s">
        <v>36</v>
      </c>
      <c r="G3072">
        <v>12720</v>
      </c>
      <c r="H3072" t="s">
        <v>8216</v>
      </c>
      <c r="I3072" t="s">
        <v>8217</v>
      </c>
      <c r="J3072">
        <v>12</v>
      </c>
      <c r="K3072">
        <v>12720</v>
      </c>
      <c r="L3072">
        <v>50033</v>
      </c>
      <c r="M3072" t="s">
        <v>39</v>
      </c>
      <c r="N3072">
        <v>671</v>
      </c>
      <c r="O3072" s="2">
        <v>46230</v>
      </c>
      <c r="P3072" s="2">
        <v>46260</v>
      </c>
      <c r="R3072" t="s">
        <v>8218</v>
      </c>
      <c r="S3072" t="str">
        <f>"0000050412515"</f>
        <v>0000050412515</v>
      </c>
      <c r="T3072" t="s">
        <v>41</v>
      </c>
      <c r="U3072">
        <v>16527.14</v>
      </c>
      <c r="V3072">
        <v>16527.14</v>
      </c>
      <c r="W3072">
        <v>16527.14</v>
      </c>
      <c r="X3072">
        <v>0</v>
      </c>
      <c r="Y3072">
        <v>0</v>
      </c>
      <c r="Z3072">
        <v>-485</v>
      </c>
      <c r="AA3072">
        <v>694826</v>
      </c>
      <c r="AD3072" t="s">
        <v>64</v>
      </c>
      <c r="AE3072" t="s">
        <v>8219</v>
      </c>
      <c r="AF3072" t="s">
        <v>64</v>
      </c>
      <c r="AG3072">
        <v>43031392000169</v>
      </c>
      <c r="AH3072" t="s">
        <v>44</v>
      </c>
    </row>
    <row r="3073" spans="1:34" x14ac:dyDescent="0.3">
      <c r="A3073">
        <v>101</v>
      </c>
      <c r="B3073" t="s">
        <v>34</v>
      </c>
      <c r="C3073">
        <v>2</v>
      </c>
      <c r="D3073" s="1" t="s">
        <v>8220</v>
      </c>
      <c r="E3073" s="1" t="s">
        <v>36</v>
      </c>
      <c r="G3073">
        <v>435360</v>
      </c>
      <c r="H3073" t="s">
        <v>8221</v>
      </c>
      <c r="I3073" t="s">
        <v>8222</v>
      </c>
      <c r="J3073">
        <v>12</v>
      </c>
      <c r="K3073">
        <v>435360</v>
      </c>
      <c r="L3073">
        <v>50341</v>
      </c>
      <c r="M3073" t="s">
        <v>146</v>
      </c>
      <c r="N3073">
        <v>671</v>
      </c>
      <c r="O3073" s="2">
        <v>46235</v>
      </c>
      <c r="P3073" s="2">
        <v>46269</v>
      </c>
      <c r="R3073" t="s">
        <v>8223</v>
      </c>
      <c r="S3073" t="str">
        <f>"00013448"</f>
        <v>00013448</v>
      </c>
      <c r="T3073" t="s">
        <v>41</v>
      </c>
      <c r="U3073">
        <v>4964.66</v>
      </c>
      <c r="V3073">
        <v>4964.66</v>
      </c>
      <c r="W3073">
        <v>4964.66</v>
      </c>
      <c r="X3073">
        <v>0</v>
      </c>
      <c r="Y3073">
        <v>0</v>
      </c>
      <c r="Z3073">
        <v>-494</v>
      </c>
      <c r="AA3073">
        <v>695807</v>
      </c>
      <c r="AD3073" t="s">
        <v>64</v>
      </c>
      <c r="AE3073" t="s">
        <v>8224</v>
      </c>
      <c r="AF3073" t="s">
        <v>64</v>
      </c>
      <c r="AG3073">
        <v>19845936000141</v>
      </c>
      <c r="AH3073" t="s">
        <v>44</v>
      </c>
    </row>
    <row r="3074" spans="1:34" x14ac:dyDescent="0.3">
      <c r="A3074">
        <v>101</v>
      </c>
      <c r="B3074" t="s">
        <v>34</v>
      </c>
      <c r="C3074">
        <v>2</v>
      </c>
      <c r="D3074" s="1" t="s">
        <v>8225</v>
      </c>
      <c r="E3074" s="1" t="s">
        <v>36</v>
      </c>
      <c r="G3074">
        <v>458151</v>
      </c>
      <c r="H3074" t="s">
        <v>8226</v>
      </c>
      <c r="I3074" t="s">
        <v>8222</v>
      </c>
      <c r="J3074">
        <v>12</v>
      </c>
      <c r="K3074">
        <v>435360</v>
      </c>
      <c r="L3074">
        <v>50033</v>
      </c>
      <c r="M3074" t="s">
        <v>39</v>
      </c>
      <c r="N3074">
        <v>671</v>
      </c>
      <c r="O3074" s="2">
        <v>46235</v>
      </c>
      <c r="P3074" s="2">
        <v>46269</v>
      </c>
      <c r="R3074" t="s">
        <v>8227</v>
      </c>
      <c r="S3074" t="str">
        <f>"0000050412140"</f>
        <v>0000050412140</v>
      </c>
      <c r="T3074" t="s">
        <v>41</v>
      </c>
      <c r="U3074">
        <v>3132.1</v>
      </c>
      <c r="V3074">
        <v>3132.1</v>
      </c>
      <c r="W3074">
        <v>3132.1</v>
      </c>
      <c r="X3074">
        <v>0</v>
      </c>
      <c r="Y3074">
        <v>0</v>
      </c>
      <c r="Z3074">
        <v>-494</v>
      </c>
      <c r="AA3074">
        <v>695817</v>
      </c>
      <c r="AD3074" t="s">
        <v>64</v>
      </c>
      <c r="AE3074">
        <v>1158322100</v>
      </c>
      <c r="AF3074" t="s">
        <v>64</v>
      </c>
      <c r="AG3074">
        <v>19845936000222</v>
      </c>
      <c r="AH3074" t="s">
        <v>44</v>
      </c>
    </row>
    <row r="3075" spans="1:34" x14ac:dyDescent="0.3">
      <c r="A3075">
        <v>101</v>
      </c>
      <c r="B3075" t="s">
        <v>34</v>
      </c>
      <c r="C3075">
        <v>2</v>
      </c>
      <c r="D3075" s="1" t="s">
        <v>8228</v>
      </c>
      <c r="E3075" s="1" t="s">
        <v>36</v>
      </c>
      <c r="G3075">
        <v>469383</v>
      </c>
      <c r="H3075" t="s">
        <v>8229</v>
      </c>
      <c r="I3075" t="s">
        <v>8230</v>
      </c>
      <c r="J3075">
        <v>12</v>
      </c>
      <c r="K3075">
        <v>469383</v>
      </c>
      <c r="L3075">
        <v>50237</v>
      </c>
      <c r="M3075" t="s">
        <v>39</v>
      </c>
      <c r="N3075">
        <v>671</v>
      </c>
      <c r="O3075" s="2">
        <v>46226</v>
      </c>
      <c r="P3075" s="2">
        <v>46256</v>
      </c>
      <c r="R3075" t="s">
        <v>8231</v>
      </c>
      <c r="S3075" t="str">
        <f>"330000051643"</f>
        <v>330000051643</v>
      </c>
      <c r="T3075" t="s">
        <v>41</v>
      </c>
      <c r="U3075">
        <v>2557.2600000000002</v>
      </c>
      <c r="V3075">
        <v>2557.2600000000002</v>
      </c>
      <c r="W3075">
        <v>2557.2600000000002</v>
      </c>
      <c r="X3075">
        <v>0</v>
      </c>
      <c r="Y3075">
        <v>0</v>
      </c>
      <c r="Z3075">
        <v>-481</v>
      </c>
      <c r="AA3075">
        <v>694575</v>
      </c>
      <c r="AD3075" t="s">
        <v>64</v>
      </c>
      <c r="AE3075" t="s">
        <v>8232</v>
      </c>
      <c r="AF3075" t="s">
        <v>64</v>
      </c>
      <c r="AG3075">
        <v>31622352000102</v>
      </c>
      <c r="AH3075" t="s">
        <v>44</v>
      </c>
    </row>
    <row r="3076" spans="1:34" x14ac:dyDescent="0.3">
      <c r="A3076">
        <v>101</v>
      </c>
      <c r="B3076" t="s">
        <v>34</v>
      </c>
      <c r="C3076">
        <v>2</v>
      </c>
      <c r="D3076" s="1" t="s">
        <v>8233</v>
      </c>
      <c r="E3076" s="1" t="s">
        <v>36</v>
      </c>
      <c r="G3076">
        <v>436680</v>
      </c>
      <c r="H3076" t="s">
        <v>8234</v>
      </c>
      <c r="I3076" t="s">
        <v>2413</v>
      </c>
      <c r="J3076">
        <v>28</v>
      </c>
      <c r="K3076">
        <v>2695</v>
      </c>
      <c r="L3076">
        <v>95000</v>
      </c>
      <c r="M3076" t="s">
        <v>69</v>
      </c>
      <c r="N3076">
        <v>675</v>
      </c>
      <c r="O3076" s="2">
        <v>46142</v>
      </c>
      <c r="P3076" s="2">
        <v>46255</v>
      </c>
      <c r="R3076" t="s">
        <v>8235</v>
      </c>
      <c r="S3076" t="str">
        <f>""</f>
        <v/>
      </c>
      <c r="T3076" t="s">
        <v>41</v>
      </c>
      <c r="U3076">
        <v>11393.98</v>
      </c>
      <c r="V3076">
        <v>11268.65</v>
      </c>
      <c r="W3076">
        <v>11268.65</v>
      </c>
      <c r="X3076">
        <v>0</v>
      </c>
      <c r="Y3076">
        <v>0</v>
      </c>
      <c r="Z3076">
        <v>-480</v>
      </c>
      <c r="AA3076">
        <v>687588</v>
      </c>
      <c r="AD3076" t="s">
        <v>6261</v>
      </c>
      <c r="AE3076" t="s">
        <v>8236</v>
      </c>
      <c r="AF3076" t="s">
        <v>6261</v>
      </c>
      <c r="AG3076" s="1" t="s">
        <v>8237</v>
      </c>
      <c r="AH3076" t="s">
        <v>5494</v>
      </c>
    </row>
    <row r="3077" spans="1:34" x14ac:dyDescent="0.3">
      <c r="A3077">
        <v>101</v>
      </c>
      <c r="B3077" t="s">
        <v>34</v>
      </c>
      <c r="C3077">
        <v>2</v>
      </c>
      <c r="D3077" s="1" t="s">
        <v>8238</v>
      </c>
      <c r="E3077" s="1" t="s">
        <v>36</v>
      </c>
      <c r="G3077">
        <v>436680</v>
      </c>
      <c r="H3077" t="s">
        <v>8234</v>
      </c>
      <c r="I3077" t="s">
        <v>2413</v>
      </c>
      <c r="J3077">
        <v>28</v>
      </c>
      <c r="K3077">
        <v>2695</v>
      </c>
      <c r="L3077">
        <v>95000</v>
      </c>
      <c r="M3077" t="s">
        <v>69</v>
      </c>
      <c r="N3077">
        <v>675</v>
      </c>
      <c r="O3077" s="2">
        <v>46232</v>
      </c>
      <c r="P3077" s="2">
        <v>46337</v>
      </c>
      <c r="R3077" t="s">
        <v>8239</v>
      </c>
      <c r="S3077" t="str">
        <f>""</f>
        <v/>
      </c>
      <c r="T3077" t="s">
        <v>41</v>
      </c>
      <c r="U3077">
        <v>8582.2900000000009</v>
      </c>
      <c r="V3077">
        <v>8487.8799999999992</v>
      </c>
      <c r="W3077">
        <v>8487.8799999999992</v>
      </c>
      <c r="X3077">
        <v>0</v>
      </c>
      <c r="Y3077">
        <v>0</v>
      </c>
      <c r="Z3077">
        <v>-562</v>
      </c>
      <c r="AA3077">
        <v>695383</v>
      </c>
      <c r="AD3077" t="s">
        <v>6261</v>
      </c>
      <c r="AE3077" t="s">
        <v>8236</v>
      </c>
      <c r="AF3077" t="s">
        <v>6261</v>
      </c>
      <c r="AG3077" s="1" t="s">
        <v>8237</v>
      </c>
      <c r="AH3077" t="s">
        <v>5494</v>
      </c>
    </row>
    <row r="3078" spans="1:34" x14ac:dyDescent="0.3">
      <c r="A3078">
        <v>101</v>
      </c>
      <c r="B3078" t="s">
        <v>34</v>
      </c>
      <c r="C3078">
        <v>2</v>
      </c>
      <c r="D3078" s="1" t="s">
        <v>8240</v>
      </c>
      <c r="E3078" s="1" t="s">
        <v>36</v>
      </c>
      <c r="G3078">
        <v>436680</v>
      </c>
      <c r="H3078" t="s">
        <v>8234</v>
      </c>
      <c r="I3078" t="s">
        <v>2413</v>
      </c>
      <c r="J3078">
        <v>28</v>
      </c>
      <c r="K3078">
        <v>2695</v>
      </c>
      <c r="L3078">
        <v>95000</v>
      </c>
      <c r="M3078" t="s">
        <v>69</v>
      </c>
      <c r="N3078">
        <v>675</v>
      </c>
      <c r="O3078" s="2">
        <v>46189</v>
      </c>
      <c r="P3078" s="2">
        <v>46308</v>
      </c>
      <c r="R3078" t="s">
        <v>8241</v>
      </c>
      <c r="S3078" t="str">
        <f>""</f>
        <v/>
      </c>
      <c r="T3078" t="s">
        <v>41</v>
      </c>
      <c r="U3078">
        <v>4013.38</v>
      </c>
      <c r="V3078">
        <v>3969.23</v>
      </c>
      <c r="W3078">
        <v>3969.23</v>
      </c>
      <c r="X3078">
        <v>0</v>
      </c>
      <c r="Y3078">
        <v>0</v>
      </c>
      <c r="Z3078">
        <v>-533</v>
      </c>
      <c r="AA3078">
        <v>691454</v>
      </c>
      <c r="AD3078" t="s">
        <v>6261</v>
      </c>
      <c r="AE3078" t="s">
        <v>8236</v>
      </c>
      <c r="AF3078" t="s">
        <v>6261</v>
      </c>
      <c r="AG3078" s="1" t="s">
        <v>8237</v>
      </c>
      <c r="AH3078" t="s">
        <v>5494</v>
      </c>
    </row>
    <row r="3079" spans="1:34" x14ac:dyDescent="0.3">
      <c r="A3079">
        <v>101</v>
      </c>
      <c r="B3079" t="s">
        <v>34</v>
      </c>
      <c r="C3079">
        <v>2</v>
      </c>
      <c r="D3079" s="1" t="s">
        <v>8242</v>
      </c>
      <c r="E3079" s="1" t="s">
        <v>36</v>
      </c>
      <c r="G3079">
        <v>436684</v>
      </c>
      <c r="H3079" t="s">
        <v>8243</v>
      </c>
      <c r="I3079" t="s">
        <v>2413</v>
      </c>
      <c r="J3079">
        <v>28</v>
      </c>
      <c r="K3079">
        <v>2695</v>
      </c>
      <c r="L3079">
        <v>95000</v>
      </c>
      <c r="M3079" t="s">
        <v>69</v>
      </c>
      <c r="N3079">
        <v>675</v>
      </c>
      <c r="O3079" s="2">
        <v>46232</v>
      </c>
      <c r="P3079" s="2">
        <v>46337</v>
      </c>
      <c r="R3079" t="s">
        <v>8244</v>
      </c>
      <c r="S3079" t="str">
        <f>""</f>
        <v/>
      </c>
      <c r="T3079" t="s">
        <v>41</v>
      </c>
      <c r="U3079">
        <v>3149.08</v>
      </c>
      <c r="V3079">
        <v>3114.44</v>
      </c>
      <c r="W3079">
        <v>3114.44</v>
      </c>
      <c r="X3079">
        <v>0</v>
      </c>
      <c r="Y3079">
        <v>0</v>
      </c>
      <c r="Z3079">
        <v>-562</v>
      </c>
      <c r="AA3079">
        <v>695381</v>
      </c>
      <c r="AD3079" t="s">
        <v>6290</v>
      </c>
      <c r="AE3079" t="s">
        <v>2567</v>
      </c>
      <c r="AF3079" t="s">
        <v>6290</v>
      </c>
      <c r="AG3079" s="1" t="s">
        <v>8245</v>
      </c>
      <c r="AH3079" t="s">
        <v>5494</v>
      </c>
    </row>
    <row r="3080" spans="1:34" x14ac:dyDescent="0.3">
      <c r="A3080">
        <v>101</v>
      </c>
      <c r="B3080" t="s">
        <v>34</v>
      </c>
      <c r="C3080">
        <v>2</v>
      </c>
      <c r="D3080" s="1" t="s">
        <v>8246</v>
      </c>
      <c r="E3080" s="1" t="s">
        <v>36</v>
      </c>
      <c r="G3080">
        <v>436684</v>
      </c>
      <c r="H3080" t="s">
        <v>8243</v>
      </c>
      <c r="I3080" t="s">
        <v>2413</v>
      </c>
      <c r="J3080">
        <v>28</v>
      </c>
      <c r="K3080">
        <v>2695</v>
      </c>
      <c r="L3080">
        <v>95000</v>
      </c>
      <c r="M3080" t="s">
        <v>69</v>
      </c>
      <c r="N3080">
        <v>675</v>
      </c>
      <c r="O3080" s="2">
        <v>46189</v>
      </c>
      <c r="P3080" s="2">
        <v>46308</v>
      </c>
      <c r="R3080" t="s">
        <v>8247</v>
      </c>
      <c r="S3080" t="str">
        <f>""</f>
        <v/>
      </c>
      <c r="T3080" t="s">
        <v>41</v>
      </c>
      <c r="U3080">
        <v>2210.7199999999998</v>
      </c>
      <c r="V3080">
        <v>2186.4</v>
      </c>
      <c r="W3080">
        <v>2186.4</v>
      </c>
      <c r="X3080">
        <v>0</v>
      </c>
      <c r="Y3080">
        <v>0</v>
      </c>
      <c r="Z3080">
        <v>-533</v>
      </c>
      <c r="AA3080">
        <v>691452</v>
      </c>
      <c r="AD3080" t="s">
        <v>6290</v>
      </c>
      <c r="AE3080" t="s">
        <v>2567</v>
      </c>
      <c r="AF3080" t="s">
        <v>6290</v>
      </c>
      <c r="AG3080" s="1" t="s">
        <v>8245</v>
      </c>
      <c r="AH3080" t="s">
        <v>5494</v>
      </c>
    </row>
    <row r="3081" spans="1:34" x14ac:dyDescent="0.3">
      <c r="A3081">
        <v>101</v>
      </c>
      <c r="B3081" t="s">
        <v>34</v>
      </c>
      <c r="C3081">
        <v>2</v>
      </c>
      <c r="D3081" s="1" t="s">
        <v>8248</v>
      </c>
      <c r="E3081" s="1" t="s">
        <v>36</v>
      </c>
      <c r="G3081">
        <v>436684</v>
      </c>
      <c r="H3081" t="s">
        <v>8243</v>
      </c>
      <c r="I3081" t="s">
        <v>2413</v>
      </c>
      <c r="J3081">
        <v>28</v>
      </c>
      <c r="K3081">
        <v>2695</v>
      </c>
      <c r="L3081">
        <v>95000</v>
      </c>
      <c r="M3081" t="s">
        <v>69</v>
      </c>
      <c r="N3081">
        <v>675</v>
      </c>
      <c r="O3081" s="2">
        <v>46142</v>
      </c>
      <c r="P3081" s="2">
        <v>46255</v>
      </c>
      <c r="R3081" t="s">
        <v>8249</v>
      </c>
      <c r="S3081" t="str">
        <f>""</f>
        <v/>
      </c>
      <c r="T3081" t="s">
        <v>41</v>
      </c>
      <c r="U3081">
        <v>11228.65</v>
      </c>
      <c r="V3081">
        <v>11105.13</v>
      </c>
      <c r="W3081">
        <v>11105.13</v>
      </c>
      <c r="X3081">
        <v>0</v>
      </c>
      <c r="Y3081">
        <v>0</v>
      </c>
      <c r="Z3081">
        <v>-480</v>
      </c>
      <c r="AA3081">
        <v>687586</v>
      </c>
      <c r="AD3081" t="s">
        <v>6290</v>
      </c>
      <c r="AE3081" t="s">
        <v>2567</v>
      </c>
      <c r="AF3081" t="s">
        <v>6290</v>
      </c>
      <c r="AG3081" s="1" t="s">
        <v>8245</v>
      </c>
      <c r="AH3081" t="s">
        <v>5494</v>
      </c>
    </row>
    <row r="3082" spans="1:34" x14ac:dyDescent="0.3">
      <c r="A3082">
        <v>101</v>
      </c>
      <c r="B3082" t="s">
        <v>34</v>
      </c>
      <c r="C3082">
        <v>2</v>
      </c>
      <c r="D3082" s="1" t="s">
        <v>8250</v>
      </c>
      <c r="E3082" s="1" t="s">
        <v>36</v>
      </c>
      <c r="G3082">
        <v>445363</v>
      </c>
      <c r="H3082" t="s">
        <v>8251</v>
      </c>
      <c r="I3082" t="s">
        <v>2413</v>
      </c>
      <c r="J3082">
        <v>28</v>
      </c>
      <c r="K3082">
        <v>2695</v>
      </c>
      <c r="L3082">
        <v>95000</v>
      </c>
      <c r="M3082" t="s">
        <v>69</v>
      </c>
      <c r="N3082">
        <v>675</v>
      </c>
      <c r="O3082" s="2">
        <v>46189</v>
      </c>
      <c r="P3082" s="2">
        <v>46308</v>
      </c>
      <c r="R3082" t="s">
        <v>8252</v>
      </c>
      <c r="S3082" t="str">
        <f>""</f>
        <v/>
      </c>
      <c r="T3082" t="s">
        <v>41</v>
      </c>
      <c r="U3082">
        <v>3343.46</v>
      </c>
      <c r="V3082">
        <v>3306.68</v>
      </c>
      <c r="W3082">
        <v>3306.68</v>
      </c>
      <c r="X3082">
        <v>0</v>
      </c>
      <c r="Y3082">
        <v>0</v>
      </c>
      <c r="Z3082">
        <v>-533</v>
      </c>
      <c r="AA3082">
        <v>691458</v>
      </c>
      <c r="AD3082" t="s">
        <v>6290</v>
      </c>
      <c r="AE3082" t="s">
        <v>2533</v>
      </c>
      <c r="AF3082" t="s">
        <v>6290</v>
      </c>
      <c r="AG3082" s="1" t="s">
        <v>8253</v>
      </c>
      <c r="AH3082" t="s">
        <v>5494</v>
      </c>
    </row>
    <row r="3083" spans="1:34" x14ac:dyDescent="0.3">
      <c r="A3083">
        <v>101</v>
      </c>
      <c r="B3083" t="s">
        <v>34</v>
      </c>
      <c r="C3083">
        <v>2</v>
      </c>
      <c r="D3083" s="1" t="s">
        <v>8254</v>
      </c>
      <c r="E3083" s="1" t="s">
        <v>36</v>
      </c>
      <c r="G3083">
        <v>445363</v>
      </c>
      <c r="H3083" t="s">
        <v>8251</v>
      </c>
      <c r="I3083" t="s">
        <v>2413</v>
      </c>
      <c r="J3083">
        <v>28</v>
      </c>
      <c r="K3083">
        <v>2695</v>
      </c>
      <c r="L3083">
        <v>95000</v>
      </c>
      <c r="M3083" t="s">
        <v>69</v>
      </c>
      <c r="N3083">
        <v>675</v>
      </c>
      <c r="O3083" s="2">
        <v>46142</v>
      </c>
      <c r="P3083" s="2">
        <v>46255</v>
      </c>
      <c r="R3083" t="s">
        <v>8255</v>
      </c>
      <c r="S3083" t="str">
        <f>""</f>
        <v/>
      </c>
      <c r="T3083" t="s">
        <v>41</v>
      </c>
      <c r="U3083">
        <v>7173.85</v>
      </c>
      <c r="V3083">
        <v>7094.94</v>
      </c>
      <c r="W3083">
        <v>7094.94</v>
      </c>
      <c r="X3083">
        <v>0</v>
      </c>
      <c r="Y3083">
        <v>0</v>
      </c>
      <c r="Z3083">
        <v>-480</v>
      </c>
      <c r="AA3083">
        <v>687592</v>
      </c>
      <c r="AD3083" t="s">
        <v>6290</v>
      </c>
      <c r="AE3083" t="s">
        <v>2533</v>
      </c>
      <c r="AF3083" t="s">
        <v>6290</v>
      </c>
      <c r="AG3083" s="1" t="s">
        <v>8253</v>
      </c>
      <c r="AH3083" t="s">
        <v>5494</v>
      </c>
    </row>
    <row r="3084" spans="1:34" x14ac:dyDescent="0.3">
      <c r="A3084">
        <v>101</v>
      </c>
      <c r="B3084" t="s">
        <v>34</v>
      </c>
      <c r="C3084">
        <v>2</v>
      </c>
      <c r="D3084" s="1" t="s">
        <v>8256</v>
      </c>
      <c r="E3084" s="1" t="s">
        <v>36</v>
      </c>
      <c r="G3084">
        <v>445363</v>
      </c>
      <c r="H3084" t="s">
        <v>8251</v>
      </c>
      <c r="I3084" t="s">
        <v>2413</v>
      </c>
      <c r="J3084">
        <v>28</v>
      </c>
      <c r="K3084">
        <v>2695</v>
      </c>
      <c r="L3084">
        <v>95000</v>
      </c>
      <c r="M3084" t="s">
        <v>69</v>
      </c>
      <c r="N3084">
        <v>675</v>
      </c>
      <c r="O3084" s="2">
        <v>46232</v>
      </c>
      <c r="P3084" s="2">
        <v>46337</v>
      </c>
      <c r="R3084" t="s">
        <v>8257</v>
      </c>
      <c r="S3084" t="str">
        <f>""</f>
        <v/>
      </c>
      <c r="T3084" t="s">
        <v>41</v>
      </c>
      <c r="U3084">
        <v>4190.42</v>
      </c>
      <c r="V3084">
        <v>4144.33</v>
      </c>
      <c r="W3084">
        <v>4144.33</v>
      </c>
      <c r="X3084">
        <v>0</v>
      </c>
      <c r="Y3084">
        <v>0</v>
      </c>
      <c r="Z3084">
        <v>-562</v>
      </c>
      <c r="AA3084">
        <v>695387</v>
      </c>
      <c r="AD3084" t="s">
        <v>6290</v>
      </c>
      <c r="AE3084" t="s">
        <v>2533</v>
      </c>
      <c r="AF3084" t="s">
        <v>6290</v>
      </c>
      <c r="AG3084" s="1" t="s">
        <v>8253</v>
      </c>
      <c r="AH3084" t="s">
        <v>5494</v>
      </c>
    </row>
    <row r="3085" spans="1:34" x14ac:dyDescent="0.3">
      <c r="A3085">
        <v>101</v>
      </c>
      <c r="B3085" t="s">
        <v>34</v>
      </c>
      <c r="C3085">
        <v>2</v>
      </c>
      <c r="D3085" s="1" t="s">
        <v>8258</v>
      </c>
      <c r="E3085" s="1" t="s">
        <v>36</v>
      </c>
      <c r="G3085">
        <v>449046</v>
      </c>
      <c r="H3085" t="s">
        <v>8259</v>
      </c>
      <c r="I3085" t="s">
        <v>2413</v>
      </c>
      <c r="J3085">
        <v>28</v>
      </c>
      <c r="K3085">
        <v>2695</v>
      </c>
      <c r="L3085">
        <v>95000</v>
      </c>
      <c r="M3085" t="s">
        <v>69</v>
      </c>
      <c r="N3085">
        <v>675</v>
      </c>
      <c r="O3085" s="2">
        <v>46142</v>
      </c>
      <c r="P3085" s="2">
        <v>46255</v>
      </c>
      <c r="R3085" t="s">
        <v>8260</v>
      </c>
      <c r="S3085" t="str">
        <f>""</f>
        <v/>
      </c>
      <c r="T3085" t="s">
        <v>41</v>
      </c>
      <c r="U3085">
        <v>5079.75</v>
      </c>
      <c r="V3085">
        <v>5023.87</v>
      </c>
      <c r="W3085">
        <v>5023.87</v>
      </c>
      <c r="X3085">
        <v>0</v>
      </c>
      <c r="Y3085">
        <v>0</v>
      </c>
      <c r="Z3085">
        <v>-480</v>
      </c>
      <c r="AA3085">
        <v>687590</v>
      </c>
      <c r="AD3085" t="s">
        <v>6704</v>
      </c>
      <c r="AE3085" t="s">
        <v>2533</v>
      </c>
      <c r="AF3085" t="s">
        <v>6704</v>
      </c>
      <c r="AG3085" s="1" t="s">
        <v>8261</v>
      </c>
      <c r="AH3085" t="s">
        <v>5494</v>
      </c>
    </row>
    <row r="3086" spans="1:34" x14ac:dyDescent="0.3">
      <c r="A3086">
        <v>101</v>
      </c>
      <c r="B3086" t="s">
        <v>34</v>
      </c>
      <c r="C3086">
        <v>2</v>
      </c>
      <c r="D3086" s="1" t="s">
        <v>8262</v>
      </c>
      <c r="E3086" s="1" t="s">
        <v>36</v>
      </c>
      <c r="G3086">
        <v>449046</v>
      </c>
      <c r="H3086" t="s">
        <v>8259</v>
      </c>
      <c r="I3086" t="s">
        <v>2413</v>
      </c>
      <c r="J3086">
        <v>28</v>
      </c>
      <c r="K3086">
        <v>2695</v>
      </c>
      <c r="L3086">
        <v>95000</v>
      </c>
      <c r="M3086" t="s">
        <v>69</v>
      </c>
      <c r="N3086">
        <v>675</v>
      </c>
      <c r="O3086" s="2">
        <v>46232</v>
      </c>
      <c r="P3086" s="2">
        <v>46337</v>
      </c>
      <c r="R3086" t="s">
        <v>8263</v>
      </c>
      <c r="S3086" t="str">
        <f>""</f>
        <v/>
      </c>
      <c r="T3086" t="s">
        <v>41</v>
      </c>
      <c r="U3086">
        <v>4730.8500000000004</v>
      </c>
      <c r="V3086">
        <v>4478.34</v>
      </c>
      <c r="W3086">
        <v>4478.34</v>
      </c>
      <c r="X3086">
        <v>0</v>
      </c>
      <c r="Y3086">
        <v>0</v>
      </c>
      <c r="Z3086">
        <v>-562</v>
      </c>
      <c r="AA3086">
        <v>695385</v>
      </c>
      <c r="AD3086" t="s">
        <v>6704</v>
      </c>
      <c r="AE3086" t="s">
        <v>2533</v>
      </c>
      <c r="AF3086" t="s">
        <v>6704</v>
      </c>
      <c r="AG3086" s="1" t="s">
        <v>8261</v>
      </c>
      <c r="AH3086" t="s">
        <v>5494</v>
      </c>
    </row>
    <row r="3087" spans="1:34" x14ac:dyDescent="0.3">
      <c r="A3087">
        <v>101</v>
      </c>
      <c r="B3087" t="s">
        <v>34</v>
      </c>
      <c r="C3087">
        <v>2</v>
      </c>
      <c r="D3087" s="1" t="s">
        <v>8264</v>
      </c>
      <c r="E3087" s="1" t="s">
        <v>36</v>
      </c>
      <c r="G3087">
        <v>449046</v>
      </c>
      <c r="H3087" t="s">
        <v>8259</v>
      </c>
      <c r="I3087" t="s">
        <v>2413</v>
      </c>
      <c r="J3087">
        <v>28</v>
      </c>
      <c r="K3087">
        <v>2695</v>
      </c>
      <c r="L3087">
        <v>95000</v>
      </c>
      <c r="M3087" t="s">
        <v>69</v>
      </c>
      <c r="N3087">
        <v>675</v>
      </c>
      <c r="O3087" s="2">
        <v>46189</v>
      </c>
      <c r="P3087" s="2">
        <v>46296</v>
      </c>
      <c r="R3087" t="s">
        <v>8265</v>
      </c>
      <c r="S3087" t="str">
        <f>""</f>
        <v/>
      </c>
      <c r="T3087" t="s">
        <v>41</v>
      </c>
      <c r="U3087">
        <v>3027.35</v>
      </c>
      <c r="V3087">
        <v>2994.05</v>
      </c>
      <c r="W3087">
        <v>2994.05</v>
      </c>
      <c r="X3087">
        <v>0</v>
      </c>
      <c r="Y3087">
        <v>0</v>
      </c>
      <c r="Z3087">
        <v>-521</v>
      </c>
      <c r="AA3087">
        <v>691456</v>
      </c>
      <c r="AD3087" t="s">
        <v>6704</v>
      </c>
      <c r="AE3087" t="s">
        <v>2533</v>
      </c>
      <c r="AF3087" t="s">
        <v>6704</v>
      </c>
      <c r="AG3087" s="1" t="s">
        <v>8261</v>
      </c>
      <c r="AH3087" t="s">
        <v>5494</v>
      </c>
    </row>
    <row r="3088" spans="1:34" x14ac:dyDescent="0.3">
      <c r="A3088">
        <v>101</v>
      </c>
      <c r="B3088" t="s">
        <v>34</v>
      </c>
      <c r="C3088">
        <v>2</v>
      </c>
      <c r="D3088" s="1" t="s">
        <v>8266</v>
      </c>
      <c r="E3088" s="1" t="s">
        <v>36</v>
      </c>
      <c r="G3088">
        <v>452074</v>
      </c>
      <c r="H3088" t="s">
        <v>8267</v>
      </c>
      <c r="I3088" t="s">
        <v>2413</v>
      </c>
      <c r="J3088">
        <v>28</v>
      </c>
      <c r="K3088">
        <v>2695</v>
      </c>
      <c r="L3088">
        <v>95000</v>
      </c>
      <c r="M3088" t="s">
        <v>69</v>
      </c>
      <c r="N3088">
        <v>675</v>
      </c>
      <c r="O3088" s="2">
        <v>46232</v>
      </c>
      <c r="P3088" s="2">
        <v>46337</v>
      </c>
      <c r="R3088" t="s">
        <v>8268</v>
      </c>
      <c r="S3088" t="str">
        <f>""</f>
        <v/>
      </c>
      <c r="T3088" t="s">
        <v>41</v>
      </c>
      <c r="U3088">
        <v>2592.75</v>
      </c>
      <c r="V3088">
        <v>2564.23</v>
      </c>
      <c r="W3088">
        <v>2564.23</v>
      </c>
      <c r="X3088">
        <v>0</v>
      </c>
      <c r="Y3088">
        <v>0</v>
      </c>
      <c r="Z3088">
        <v>-562</v>
      </c>
      <c r="AA3088">
        <v>695389</v>
      </c>
      <c r="AD3088" t="s">
        <v>6704</v>
      </c>
      <c r="AE3088" t="s">
        <v>2567</v>
      </c>
      <c r="AF3088" t="s">
        <v>6704</v>
      </c>
      <c r="AG3088" s="1" t="s">
        <v>8269</v>
      </c>
      <c r="AH3088" t="s">
        <v>5494</v>
      </c>
    </row>
    <row r="3089" spans="1:34" x14ac:dyDescent="0.3">
      <c r="A3089">
        <v>101</v>
      </c>
      <c r="B3089" t="s">
        <v>34</v>
      </c>
      <c r="C3089">
        <v>2</v>
      </c>
      <c r="D3089" s="1" t="s">
        <v>8270</v>
      </c>
      <c r="E3089" s="1" t="s">
        <v>36</v>
      </c>
      <c r="G3089">
        <v>452074</v>
      </c>
      <c r="H3089" t="s">
        <v>8267</v>
      </c>
      <c r="I3089" t="s">
        <v>2413</v>
      </c>
      <c r="J3089">
        <v>28</v>
      </c>
      <c r="K3089">
        <v>2695</v>
      </c>
      <c r="L3089">
        <v>95000</v>
      </c>
      <c r="M3089" t="s">
        <v>69</v>
      </c>
      <c r="N3089">
        <v>675</v>
      </c>
      <c r="O3089" s="2">
        <v>46189</v>
      </c>
      <c r="P3089" s="2">
        <v>46308</v>
      </c>
      <c r="R3089" t="s">
        <v>8271</v>
      </c>
      <c r="S3089" t="str">
        <f>""</f>
        <v/>
      </c>
      <c r="T3089" t="s">
        <v>41</v>
      </c>
      <c r="U3089">
        <v>2454.7800000000002</v>
      </c>
      <c r="V3089">
        <v>2427.7800000000002</v>
      </c>
      <c r="W3089">
        <v>2427.7800000000002</v>
      </c>
      <c r="X3089">
        <v>0</v>
      </c>
      <c r="Y3089">
        <v>0</v>
      </c>
      <c r="Z3089">
        <v>-533</v>
      </c>
      <c r="AA3089">
        <v>691460</v>
      </c>
      <c r="AD3089" t="s">
        <v>6704</v>
      </c>
      <c r="AE3089" t="s">
        <v>2567</v>
      </c>
      <c r="AF3089" t="s">
        <v>6704</v>
      </c>
      <c r="AG3089" s="1" t="s">
        <v>8269</v>
      </c>
      <c r="AH3089" t="s">
        <v>5494</v>
      </c>
    </row>
    <row r="3090" spans="1:34" x14ac:dyDescent="0.3">
      <c r="A3090">
        <v>101</v>
      </c>
      <c r="B3090" t="s">
        <v>34</v>
      </c>
      <c r="C3090">
        <v>2</v>
      </c>
      <c r="D3090" s="1" t="s">
        <v>8272</v>
      </c>
      <c r="E3090" s="1" t="s">
        <v>36</v>
      </c>
      <c r="G3090">
        <v>452074</v>
      </c>
      <c r="H3090" t="s">
        <v>8267</v>
      </c>
      <c r="I3090" t="s">
        <v>2413</v>
      </c>
      <c r="J3090">
        <v>28</v>
      </c>
      <c r="K3090">
        <v>2695</v>
      </c>
      <c r="L3090">
        <v>95000</v>
      </c>
      <c r="M3090" t="s">
        <v>69</v>
      </c>
      <c r="N3090">
        <v>675</v>
      </c>
      <c r="O3090" s="2">
        <v>46142</v>
      </c>
      <c r="P3090" s="2">
        <v>46255</v>
      </c>
      <c r="R3090" t="s">
        <v>8273</v>
      </c>
      <c r="S3090" t="str">
        <f>""</f>
        <v/>
      </c>
      <c r="T3090" t="s">
        <v>41</v>
      </c>
      <c r="U3090">
        <v>2157.38</v>
      </c>
      <c r="V3090">
        <v>2133.65</v>
      </c>
      <c r="W3090">
        <v>2133.65</v>
      </c>
      <c r="X3090">
        <v>0</v>
      </c>
      <c r="Y3090">
        <v>0</v>
      </c>
      <c r="Z3090">
        <v>-480</v>
      </c>
      <c r="AA3090">
        <v>687594</v>
      </c>
      <c r="AD3090" t="s">
        <v>6704</v>
      </c>
      <c r="AE3090" t="s">
        <v>2567</v>
      </c>
      <c r="AF3090" t="s">
        <v>6704</v>
      </c>
      <c r="AG3090" s="1" t="s">
        <v>8269</v>
      </c>
      <c r="AH3090" t="s">
        <v>5494</v>
      </c>
    </row>
    <row r="3091" spans="1:34" x14ac:dyDescent="0.3">
      <c r="A3091">
        <v>101</v>
      </c>
      <c r="B3091" t="s">
        <v>34</v>
      </c>
      <c r="C3091">
        <v>2</v>
      </c>
      <c r="D3091" s="1" t="s">
        <v>8274</v>
      </c>
      <c r="E3091" s="1" t="s">
        <v>36</v>
      </c>
      <c r="G3091">
        <v>456500</v>
      </c>
      <c r="H3091" t="s">
        <v>8275</v>
      </c>
      <c r="I3091" t="s">
        <v>2413</v>
      </c>
      <c r="J3091">
        <v>28</v>
      </c>
      <c r="K3091">
        <v>2695</v>
      </c>
      <c r="L3091">
        <v>95000</v>
      </c>
      <c r="M3091" t="s">
        <v>69</v>
      </c>
      <c r="N3091">
        <v>675</v>
      </c>
      <c r="O3091" s="2">
        <v>46189</v>
      </c>
      <c r="P3091" s="2">
        <v>46296</v>
      </c>
      <c r="R3091" t="s">
        <v>8276</v>
      </c>
      <c r="S3091" t="str">
        <f>""</f>
        <v/>
      </c>
      <c r="T3091" t="s">
        <v>41</v>
      </c>
      <c r="U3091">
        <v>1953.57</v>
      </c>
      <c r="V3091">
        <v>1932.08</v>
      </c>
      <c r="W3091">
        <v>1932.08</v>
      </c>
      <c r="X3091">
        <v>0</v>
      </c>
      <c r="Y3091">
        <v>0</v>
      </c>
      <c r="Z3091">
        <v>-521</v>
      </c>
      <c r="AA3091">
        <v>691464</v>
      </c>
      <c r="AD3091" t="s">
        <v>6704</v>
      </c>
      <c r="AE3091">
        <v>1134115000</v>
      </c>
      <c r="AF3091" t="s">
        <v>6704</v>
      </c>
      <c r="AG3091" s="1" t="s">
        <v>8277</v>
      </c>
      <c r="AH3091" t="s">
        <v>5494</v>
      </c>
    </row>
    <row r="3092" spans="1:34" x14ac:dyDescent="0.3">
      <c r="A3092">
        <v>101</v>
      </c>
      <c r="B3092" t="s">
        <v>34</v>
      </c>
      <c r="C3092">
        <v>2</v>
      </c>
      <c r="D3092" s="1" t="s">
        <v>8278</v>
      </c>
      <c r="E3092" s="1" t="s">
        <v>36</v>
      </c>
      <c r="G3092">
        <v>456500</v>
      </c>
      <c r="H3092" t="s">
        <v>8275</v>
      </c>
      <c r="I3092" t="s">
        <v>2413</v>
      </c>
      <c r="J3092">
        <v>28</v>
      </c>
      <c r="K3092">
        <v>2695</v>
      </c>
      <c r="L3092">
        <v>95000</v>
      </c>
      <c r="M3092" t="s">
        <v>69</v>
      </c>
      <c r="N3092">
        <v>675</v>
      </c>
      <c r="O3092" s="2">
        <v>46232</v>
      </c>
      <c r="P3092" s="2">
        <v>46337</v>
      </c>
      <c r="R3092" t="s">
        <v>8279</v>
      </c>
      <c r="S3092" t="str">
        <f>""</f>
        <v/>
      </c>
      <c r="T3092" t="s">
        <v>41</v>
      </c>
      <c r="U3092">
        <v>2769.55</v>
      </c>
      <c r="V3092">
        <v>2739.08</v>
      </c>
      <c r="W3092">
        <v>2739.08</v>
      </c>
      <c r="X3092">
        <v>0</v>
      </c>
      <c r="Y3092">
        <v>0</v>
      </c>
      <c r="Z3092">
        <v>-562</v>
      </c>
      <c r="AA3092">
        <v>695393</v>
      </c>
      <c r="AD3092" t="s">
        <v>6704</v>
      </c>
      <c r="AE3092">
        <v>1134115000</v>
      </c>
      <c r="AF3092" t="s">
        <v>6704</v>
      </c>
      <c r="AG3092" s="1" t="s">
        <v>8277</v>
      </c>
      <c r="AH3092" t="s">
        <v>5494</v>
      </c>
    </row>
    <row r="3093" spans="1:34" x14ac:dyDescent="0.3">
      <c r="A3093">
        <v>101</v>
      </c>
      <c r="B3093" t="s">
        <v>34</v>
      </c>
      <c r="C3093">
        <v>2</v>
      </c>
      <c r="D3093" s="1" t="s">
        <v>8280</v>
      </c>
      <c r="E3093" s="1" t="s">
        <v>36</v>
      </c>
      <c r="G3093">
        <v>456534</v>
      </c>
      <c r="H3093" t="s">
        <v>8281</v>
      </c>
      <c r="I3093" t="s">
        <v>2413</v>
      </c>
      <c r="J3093">
        <v>28</v>
      </c>
      <c r="K3093">
        <v>2695</v>
      </c>
      <c r="L3093">
        <v>95000</v>
      </c>
      <c r="M3093" t="s">
        <v>69</v>
      </c>
      <c r="N3093">
        <v>675</v>
      </c>
      <c r="O3093" s="2">
        <v>46189</v>
      </c>
      <c r="P3093" s="2">
        <v>46316</v>
      </c>
      <c r="R3093" t="s">
        <v>8282</v>
      </c>
      <c r="S3093" t="str">
        <f>""</f>
        <v/>
      </c>
      <c r="T3093" t="s">
        <v>41</v>
      </c>
      <c r="U3093">
        <v>7683.7</v>
      </c>
      <c r="V3093">
        <v>7599.18</v>
      </c>
      <c r="W3093">
        <v>7599.18</v>
      </c>
      <c r="X3093">
        <v>0</v>
      </c>
      <c r="Y3093">
        <v>0</v>
      </c>
      <c r="Z3093">
        <v>-541</v>
      </c>
      <c r="AA3093">
        <v>691462</v>
      </c>
      <c r="AD3093" t="s">
        <v>6261</v>
      </c>
      <c r="AE3093">
        <v>1134115000</v>
      </c>
      <c r="AF3093" t="s">
        <v>6261</v>
      </c>
      <c r="AG3093" s="1" t="s">
        <v>8283</v>
      </c>
      <c r="AH3093" t="s">
        <v>5494</v>
      </c>
    </row>
    <row r="3094" spans="1:34" x14ac:dyDescent="0.3">
      <c r="A3094">
        <v>101</v>
      </c>
      <c r="B3094" t="s">
        <v>34</v>
      </c>
      <c r="C3094">
        <v>2</v>
      </c>
      <c r="D3094" s="1" t="s">
        <v>8284</v>
      </c>
      <c r="E3094" s="1" t="s">
        <v>36</v>
      </c>
      <c r="G3094">
        <v>456534</v>
      </c>
      <c r="H3094" t="s">
        <v>8281</v>
      </c>
      <c r="I3094" t="s">
        <v>2413</v>
      </c>
      <c r="J3094">
        <v>28</v>
      </c>
      <c r="K3094">
        <v>2695</v>
      </c>
      <c r="L3094">
        <v>95000</v>
      </c>
      <c r="M3094" t="s">
        <v>69</v>
      </c>
      <c r="N3094">
        <v>675</v>
      </c>
      <c r="O3094" s="2">
        <v>46232</v>
      </c>
      <c r="P3094" s="2">
        <v>46337</v>
      </c>
      <c r="R3094" t="s">
        <v>8285</v>
      </c>
      <c r="S3094" t="str">
        <f>""</f>
        <v/>
      </c>
      <c r="T3094" t="s">
        <v>41</v>
      </c>
      <c r="U3094">
        <v>6407.68</v>
      </c>
      <c r="V3094">
        <v>6337.2</v>
      </c>
      <c r="W3094">
        <v>6337.2</v>
      </c>
      <c r="X3094">
        <v>0</v>
      </c>
      <c r="Y3094">
        <v>0</v>
      </c>
      <c r="Z3094">
        <v>-562</v>
      </c>
      <c r="AA3094">
        <v>695391</v>
      </c>
      <c r="AD3094" t="s">
        <v>6261</v>
      </c>
      <c r="AE3094">
        <v>1134115000</v>
      </c>
      <c r="AF3094" t="s">
        <v>6261</v>
      </c>
      <c r="AG3094" s="1" t="s">
        <v>8283</v>
      </c>
      <c r="AH3094" t="s">
        <v>5494</v>
      </c>
    </row>
    <row r="3095" spans="1:34" x14ac:dyDescent="0.3">
      <c r="A3095">
        <v>101</v>
      </c>
      <c r="B3095" t="s">
        <v>34</v>
      </c>
      <c r="C3095">
        <v>2</v>
      </c>
      <c r="D3095" s="1" t="s">
        <v>8286</v>
      </c>
      <c r="E3095" s="1" t="s">
        <v>36</v>
      </c>
      <c r="G3095">
        <v>456534</v>
      </c>
      <c r="H3095" t="s">
        <v>8281</v>
      </c>
      <c r="I3095" t="s">
        <v>2413</v>
      </c>
      <c r="J3095">
        <v>28</v>
      </c>
      <c r="K3095">
        <v>2695</v>
      </c>
      <c r="L3095">
        <v>95000</v>
      </c>
      <c r="M3095" t="s">
        <v>69</v>
      </c>
      <c r="N3095">
        <v>675</v>
      </c>
      <c r="O3095" s="2">
        <v>46142</v>
      </c>
      <c r="P3095" s="2">
        <v>46255</v>
      </c>
      <c r="R3095" t="s">
        <v>8287</v>
      </c>
      <c r="S3095" t="str">
        <f>""</f>
        <v/>
      </c>
      <c r="T3095" t="s">
        <v>41</v>
      </c>
      <c r="U3095">
        <v>4103.6899999999996</v>
      </c>
      <c r="V3095">
        <v>4058.55</v>
      </c>
      <c r="W3095">
        <v>4058.55</v>
      </c>
      <c r="X3095">
        <v>0</v>
      </c>
      <c r="Y3095">
        <v>0</v>
      </c>
      <c r="Z3095">
        <v>-480</v>
      </c>
      <c r="AA3095">
        <v>687596</v>
      </c>
      <c r="AD3095" t="s">
        <v>6261</v>
      </c>
      <c r="AE3095">
        <v>1134115000</v>
      </c>
      <c r="AF3095" t="s">
        <v>6261</v>
      </c>
      <c r="AG3095" s="1" t="s">
        <v>8283</v>
      </c>
      <c r="AH3095" t="s">
        <v>5494</v>
      </c>
    </row>
    <row r="3096" spans="1:34" x14ac:dyDescent="0.3">
      <c r="A3096">
        <v>101</v>
      </c>
      <c r="B3096" t="s">
        <v>34</v>
      </c>
      <c r="C3096">
        <v>2</v>
      </c>
      <c r="D3096" s="1" t="s">
        <v>8288</v>
      </c>
      <c r="E3096" s="1" t="s">
        <v>36</v>
      </c>
      <c r="G3096">
        <v>457992</v>
      </c>
      <c r="H3096" t="s">
        <v>8289</v>
      </c>
      <c r="I3096" t="s">
        <v>2413</v>
      </c>
      <c r="J3096">
        <v>28</v>
      </c>
      <c r="K3096">
        <v>2695</v>
      </c>
      <c r="L3096">
        <v>95000</v>
      </c>
      <c r="M3096" t="s">
        <v>69</v>
      </c>
      <c r="N3096">
        <v>675</v>
      </c>
      <c r="O3096" s="2">
        <v>46232</v>
      </c>
      <c r="P3096" s="2">
        <v>46337</v>
      </c>
      <c r="R3096" t="s">
        <v>8290</v>
      </c>
      <c r="S3096" t="str">
        <f>""</f>
        <v/>
      </c>
      <c r="T3096" t="s">
        <v>41</v>
      </c>
      <c r="U3096">
        <v>3923.45</v>
      </c>
      <c r="V3096">
        <v>3880.29</v>
      </c>
      <c r="W3096">
        <v>3880.29</v>
      </c>
      <c r="X3096">
        <v>0</v>
      </c>
      <c r="Y3096">
        <v>0</v>
      </c>
      <c r="Z3096">
        <v>-562</v>
      </c>
      <c r="AA3096">
        <v>695397</v>
      </c>
      <c r="AD3096" t="s">
        <v>6704</v>
      </c>
      <c r="AE3096" t="s">
        <v>2567</v>
      </c>
      <c r="AF3096" t="s">
        <v>6704</v>
      </c>
      <c r="AG3096" s="1" t="s">
        <v>8291</v>
      </c>
      <c r="AH3096" t="s">
        <v>5494</v>
      </c>
    </row>
    <row r="3097" spans="1:34" x14ac:dyDescent="0.3">
      <c r="A3097">
        <v>101</v>
      </c>
      <c r="B3097" t="s">
        <v>34</v>
      </c>
      <c r="C3097">
        <v>2</v>
      </c>
      <c r="D3097" s="1" t="s">
        <v>8292</v>
      </c>
      <c r="E3097" s="1" t="s">
        <v>36</v>
      </c>
      <c r="G3097">
        <v>457992</v>
      </c>
      <c r="H3097" t="s">
        <v>8289</v>
      </c>
      <c r="I3097" t="s">
        <v>2413</v>
      </c>
      <c r="J3097">
        <v>28</v>
      </c>
      <c r="K3097">
        <v>2695</v>
      </c>
      <c r="L3097">
        <v>95000</v>
      </c>
      <c r="M3097" t="s">
        <v>69</v>
      </c>
      <c r="N3097">
        <v>675</v>
      </c>
      <c r="O3097" s="2">
        <v>46142</v>
      </c>
      <c r="P3097" s="2">
        <v>46255</v>
      </c>
      <c r="R3097" t="s">
        <v>8293</v>
      </c>
      <c r="S3097" t="str">
        <f>""</f>
        <v/>
      </c>
      <c r="T3097" t="s">
        <v>41</v>
      </c>
      <c r="U3097">
        <v>4182.24</v>
      </c>
      <c r="V3097">
        <v>4136.24</v>
      </c>
      <c r="W3097">
        <v>4136.24</v>
      </c>
      <c r="X3097">
        <v>0</v>
      </c>
      <c r="Y3097">
        <v>0</v>
      </c>
      <c r="Z3097">
        <v>-480</v>
      </c>
      <c r="AA3097">
        <v>687602</v>
      </c>
      <c r="AD3097" t="s">
        <v>6704</v>
      </c>
      <c r="AE3097" t="s">
        <v>2567</v>
      </c>
      <c r="AF3097" t="s">
        <v>6704</v>
      </c>
      <c r="AG3097" s="1" t="s">
        <v>8291</v>
      </c>
      <c r="AH3097" t="s">
        <v>5494</v>
      </c>
    </row>
    <row r="3098" spans="1:34" x14ac:dyDescent="0.3">
      <c r="A3098">
        <v>101</v>
      </c>
      <c r="B3098" t="s">
        <v>34</v>
      </c>
      <c r="C3098">
        <v>2</v>
      </c>
      <c r="D3098" s="1" t="s">
        <v>8294</v>
      </c>
      <c r="E3098" s="1" t="s">
        <v>36</v>
      </c>
      <c r="G3098">
        <v>457992</v>
      </c>
      <c r="H3098" t="s">
        <v>8289</v>
      </c>
      <c r="I3098" t="s">
        <v>2413</v>
      </c>
      <c r="J3098">
        <v>28</v>
      </c>
      <c r="K3098">
        <v>2695</v>
      </c>
      <c r="L3098">
        <v>95000</v>
      </c>
      <c r="M3098" t="s">
        <v>69</v>
      </c>
      <c r="N3098">
        <v>675</v>
      </c>
      <c r="O3098" s="2">
        <v>46189</v>
      </c>
      <c r="P3098" s="2">
        <v>46308</v>
      </c>
      <c r="R3098" t="s">
        <v>8295</v>
      </c>
      <c r="S3098" t="str">
        <f>""</f>
        <v/>
      </c>
      <c r="T3098" t="s">
        <v>41</v>
      </c>
      <c r="U3098">
        <v>2545.5500000000002</v>
      </c>
      <c r="V3098">
        <v>2517.5500000000002</v>
      </c>
      <c r="W3098">
        <v>2517.5500000000002</v>
      </c>
      <c r="X3098">
        <v>0</v>
      </c>
      <c r="Y3098">
        <v>0</v>
      </c>
      <c r="Z3098">
        <v>-533</v>
      </c>
      <c r="AA3098">
        <v>691468</v>
      </c>
      <c r="AD3098" t="s">
        <v>6704</v>
      </c>
      <c r="AE3098" t="s">
        <v>2567</v>
      </c>
      <c r="AF3098" t="s">
        <v>6704</v>
      </c>
      <c r="AG3098" s="1" t="s">
        <v>8291</v>
      </c>
      <c r="AH3098" t="s">
        <v>5494</v>
      </c>
    </row>
    <row r="3099" spans="1:34" x14ac:dyDescent="0.3">
      <c r="A3099">
        <v>101</v>
      </c>
      <c r="B3099" t="s">
        <v>34</v>
      </c>
      <c r="C3099">
        <v>2</v>
      </c>
      <c r="D3099" s="1" t="s">
        <v>8296</v>
      </c>
      <c r="E3099" s="1" t="s">
        <v>36</v>
      </c>
      <c r="G3099">
        <v>457993</v>
      </c>
      <c r="H3099" t="s">
        <v>8297</v>
      </c>
      <c r="I3099" t="s">
        <v>2413</v>
      </c>
      <c r="J3099">
        <v>28</v>
      </c>
      <c r="K3099">
        <v>2695</v>
      </c>
      <c r="L3099">
        <v>95000</v>
      </c>
      <c r="M3099" t="s">
        <v>69</v>
      </c>
      <c r="N3099">
        <v>675</v>
      </c>
      <c r="O3099" s="2">
        <v>46142</v>
      </c>
      <c r="P3099" s="2">
        <v>46255</v>
      </c>
      <c r="R3099" t="s">
        <v>8298</v>
      </c>
      <c r="S3099" t="str">
        <f>""</f>
        <v/>
      </c>
      <c r="T3099" t="s">
        <v>41</v>
      </c>
      <c r="U3099">
        <v>3730.77</v>
      </c>
      <c r="V3099">
        <v>3689.73</v>
      </c>
      <c r="W3099">
        <v>3689.73</v>
      </c>
      <c r="X3099">
        <v>0</v>
      </c>
      <c r="Y3099">
        <v>0</v>
      </c>
      <c r="Z3099">
        <v>-480</v>
      </c>
      <c r="AA3099">
        <v>687600</v>
      </c>
      <c r="AD3099" t="s">
        <v>6704</v>
      </c>
      <c r="AE3099" t="s">
        <v>2567</v>
      </c>
      <c r="AF3099" t="s">
        <v>6704</v>
      </c>
      <c r="AG3099" s="1" t="s">
        <v>8299</v>
      </c>
      <c r="AH3099" t="s">
        <v>5494</v>
      </c>
    </row>
    <row r="3100" spans="1:34" x14ac:dyDescent="0.3">
      <c r="A3100">
        <v>101</v>
      </c>
      <c r="B3100" t="s">
        <v>34</v>
      </c>
      <c r="C3100">
        <v>2</v>
      </c>
      <c r="D3100" s="1" t="s">
        <v>8300</v>
      </c>
      <c r="E3100" s="1" t="s">
        <v>36</v>
      </c>
      <c r="G3100">
        <v>457993</v>
      </c>
      <c r="H3100" t="s">
        <v>8297</v>
      </c>
      <c r="I3100" t="s">
        <v>2413</v>
      </c>
      <c r="J3100">
        <v>28</v>
      </c>
      <c r="K3100">
        <v>2695</v>
      </c>
      <c r="L3100">
        <v>95000</v>
      </c>
      <c r="M3100" t="s">
        <v>69</v>
      </c>
      <c r="N3100">
        <v>675</v>
      </c>
      <c r="O3100" s="2">
        <v>46189</v>
      </c>
      <c r="P3100" s="2">
        <v>46308</v>
      </c>
      <c r="R3100" t="s">
        <v>8301</v>
      </c>
      <c r="S3100" t="str">
        <f>""</f>
        <v/>
      </c>
      <c r="T3100" t="s">
        <v>41</v>
      </c>
      <c r="U3100">
        <v>2027.05</v>
      </c>
      <c r="V3100">
        <v>2004.75</v>
      </c>
      <c r="W3100">
        <v>2004.75</v>
      </c>
      <c r="X3100">
        <v>0</v>
      </c>
      <c r="Y3100">
        <v>0</v>
      </c>
      <c r="Z3100">
        <v>-533</v>
      </c>
      <c r="AA3100">
        <v>691466</v>
      </c>
      <c r="AD3100" t="s">
        <v>6704</v>
      </c>
      <c r="AE3100" t="s">
        <v>2567</v>
      </c>
      <c r="AF3100" t="s">
        <v>6704</v>
      </c>
      <c r="AG3100" s="1" t="s">
        <v>8299</v>
      </c>
      <c r="AH3100" t="s">
        <v>5494</v>
      </c>
    </row>
    <row r="3101" spans="1:34" x14ac:dyDescent="0.3">
      <c r="A3101">
        <v>101</v>
      </c>
      <c r="B3101" t="s">
        <v>34</v>
      </c>
      <c r="C3101">
        <v>2</v>
      </c>
      <c r="D3101" s="1" t="s">
        <v>8302</v>
      </c>
      <c r="E3101" s="1" t="s">
        <v>36</v>
      </c>
      <c r="G3101">
        <v>457993</v>
      </c>
      <c r="H3101" t="s">
        <v>8297</v>
      </c>
      <c r="I3101" t="s">
        <v>2413</v>
      </c>
      <c r="J3101">
        <v>28</v>
      </c>
      <c r="K3101">
        <v>2695</v>
      </c>
      <c r="L3101">
        <v>95000</v>
      </c>
      <c r="M3101" t="s">
        <v>69</v>
      </c>
      <c r="N3101">
        <v>675</v>
      </c>
      <c r="O3101" s="2">
        <v>46232</v>
      </c>
      <c r="P3101" s="2">
        <v>46337</v>
      </c>
      <c r="R3101" t="s">
        <v>8303</v>
      </c>
      <c r="S3101" t="str">
        <f>""</f>
        <v/>
      </c>
      <c r="T3101" t="s">
        <v>41</v>
      </c>
      <c r="U3101">
        <v>2428.92</v>
      </c>
      <c r="V3101">
        <v>2402.1999999999998</v>
      </c>
      <c r="W3101">
        <v>2402.1999999999998</v>
      </c>
      <c r="X3101">
        <v>0</v>
      </c>
      <c r="Y3101">
        <v>0</v>
      </c>
      <c r="Z3101">
        <v>-562</v>
      </c>
      <c r="AA3101">
        <v>695395</v>
      </c>
      <c r="AD3101" t="s">
        <v>6704</v>
      </c>
      <c r="AE3101" t="s">
        <v>2567</v>
      </c>
      <c r="AF3101" t="s">
        <v>6704</v>
      </c>
      <c r="AG3101" s="1" t="s">
        <v>8299</v>
      </c>
      <c r="AH3101" t="s">
        <v>5494</v>
      </c>
    </row>
    <row r="3102" spans="1:34" x14ac:dyDescent="0.3">
      <c r="A3102">
        <v>101</v>
      </c>
      <c r="B3102" t="s">
        <v>34</v>
      </c>
      <c r="C3102">
        <v>2</v>
      </c>
      <c r="D3102" s="1" t="s">
        <v>8304</v>
      </c>
      <c r="E3102" s="1" t="s">
        <v>36</v>
      </c>
      <c r="G3102">
        <v>462609</v>
      </c>
      <c r="H3102" t="s">
        <v>8305</v>
      </c>
      <c r="I3102" t="s">
        <v>2413</v>
      </c>
      <c r="J3102">
        <v>28</v>
      </c>
      <c r="K3102">
        <v>2695</v>
      </c>
      <c r="L3102">
        <v>95000</v>
      </c>
      <c r="M3102" t="s">
        <v>69</v>
      </c>
      <c r="N3102">
        <v>675</v>
      </c>
      <c r="O3102" s="2">
        <v>46232</v>
      </c>
      <c r="P3102" s="2">
        <v>46349</v>
      </c>
      <c r="R3102" t="s">
        <v>8306</v>
      </c>
      <c r="S3102" t="str">
        <f>""</f>
        <v/>
      </c>
      <c r="T3102" t="s">
        <v>41</v>
      </c>
      <c r="U3102">
        <v>3330.03</v>
      </c>
      <c r="V3102">
        <v>3293.4</v>
      </c>
      <c r="W3102">
        <v>3293.4</v>
      </c>
      <c r="X3102">
        <v>0</v>
      </c>
      <c r="Y3102">
        <v>0</v>
      </c>
      <c r="Z3102">
        <v>-574</v>
      </c>
      <c r="AA3102">
        <v>695399</v>
      </c>
      <c r="AD3102" t="s">
        <v>8307</v>
      </c>
      <c r="AE3102" t="s">
        <v>2567</v>
      </c>
      <c r="AF3102" t="s">
        <v>8307</v>
      </c>
      <c r="AG3102" s="1" t="s">
        <v>8308</v>
      </c>
      <c r="AH3102" t="s">
        <v>5494</v>
      </c>
    </row>
    <row r="3103" spans="1:34" x14ac:dyDescent="0.3">
      <c r="A3103">
        <v>101</v>
      </c>
      <c r="B3103" t="s">
        <v>34</v>
      </c>
      <c r="C3103">
        <v>2</v>
      </c>
      <c r="D3103" s="1" t="s">
        <v>8309</v>
      </c>
      <c r="E3103" s="1" t="s">
        <v>36</v>
      </c>
      <c r="G3103">
        <v>462609</v>
      </c>
      <c r="H3103" t="s">
        <v>8305</v>
      </c>
      <c r="I3103" t="s">
        <v>2413</v>
      </c>
      <c r="J3103">
        <v>28</v>
      </c>
      <c r="K3103">
        <v>2695</v>
      </c>
      <c r="L3103">
        <v>95000</v>
      </c>
      <c r="M3103" t="s">
        <v>69</v>
      </c>
      <c r="N3103">
        <v>675</v>
      </c>
      <c r="O3103" s="2">
        <v>46142</v>
      </c>
      <c r="P3103" s="2">
        <v>46255</v>
      </c>
      <c r="R3103" t="s">
        <v>8310</v>
      </c>
      <c r="S3103" t="str">
        <f>""</f>
        <v/>
      </c>
      <c r="T3103" t="s">
        <v>41</v>
      </c>
      <c r="U3103">
        <v>2493.3000000000002</v>
      </c>
      <c r="V3103">
        <v>2465.87</v>
      </c>
      <c r="W3103">
        <v>2465.87</v>
      </c>
      <c r="X3103">
        <v>0</v>
      </c>
      <c r="Y3103">
        <v>0</v>
      </c>
      <c r="Z3103">
        <v>-480</v>
      </c>
      <c r="AA3103">
        <v>687604</v>
      </c>
      <c r="AD3103" t="s">
        <v>8307</v>
      </c>
      <c r="AE3103" t="s">
        <v>2567</v>
      </c>
      <c r="AF3103" t="s">
        <v>8307</v>
      </c>
      <c r="AG3103" s="1" t="s">
        <v>8308</v>
      </c>
      <c r="AH3103" t="s">
        <v>5494</v>
      </c>
    </row>
    <row r="3104" spans="1:34" x14ac:dyDescent="0.3">
      <c r="A3104">
        <v>101</v>
      </c>
      <c r="B3104" t="s">
        <v>34</v>
      </c>
      <c r="C3104">
        <v>2</v>
      </c>
      <c r="D3104" s="1" t="s">
        <v>8311</v>
      </c>
      <c r="E3104" s="1" t="s">
        <v>36</v>
      </c>
      <c r="G3104">
        <v>467710</v>
      </c>
      <c r="H3104" t="s">
        <v>8312</v>
      </c>
      <c r="I3104" t="s">
        <v>8313</v>
      </c>
      <c r="J3104">
        <v>15</v>
      </c>
      <c r="K3104">
        <v>463867</v>
      </c>
      <c r="L3104">
        <v>50001</v>
      </c>
      <c r="M3104" t="s">
        <v>39</v>
      </c>
      <c r="N3104">
        <v>675</v>
      </c>
      <c r="O3104" s="2">
        <v>46163</v>
      </c>
      <c r="P3104" s="2">
        <v>46247</v>
      </c>
      <c r="R3104" t="s">
        <v>8314</v>
      </c>
      <c r="S3104" t="str">
        <f>"25666160000050662"</f>
        <v>25666160000050662</v>
      </c>
      <c r="T3104" t="s">
        <v>41</v>
      </c>
      <c r="U3104">
        <v>10363.030000000001</v>
      </c>
      <c r="V3104">
        <v>621.79</v>
      </c>
      <c r="W3104">
        <v>621.79</v>
      </c>
      <c r="X3104">
        <v>0</v>
      </c>
      <c r="Y3104">
        <v>0</v>
      </c>
      <c r="Z3104">
        <v>-472</v>
      </c>
      <c r="AA3104">
        <v>688631</v>
      </c>
      <c r="AD3104" t="s">
        <v>8315</v>
      </c>
      <c r="AE3104" t="s">
        <v>8316</v>
      </c>
      <c r="AF3104" t="s">
        <v>8315</v>
      </c>
      <c r="AG3104">
        <v>55407478000394</v>
      </c>
      <c r="AH3104" t="s">
        <v>5494</v>
      </c>
    </row>
    <row r="3105" spans="1:34" x14ac:dyDescent="0.3">
      <c r="A3105">
        <v>101</v>
      </c>
      <c r="B3105" t="s">
        <v>34</v>
      </c>
      <c r="C3105">
        <v>2</v>
      </c>
      <c r="D3105" s="1" t="s">
        <v>8317</v>
      </c>
      <c r="E3105" s="1" t="s">
        <v>36</v>
      </c>
      <c r="G3105">
        <v>468618</v>
      </c>
      <c r="H3105" t="s">
        <v>8318</v>
      </c>
      <c r="I3105" t="s">
        <v>8319</v>
      </c>
      <c r="J3105">
        <v>15</v>
      </c>
      <c r="K3105">
        <v>468618</v>
      </c>
      <c r="L3105">
        <v>50001</v>
      </c>
      <c r="M3105" t="s">
        <v>39</v>
      </c>
      <c r="N3105">
        <v>675</v>
      </c>
      <c r="O3105" s="2">
        <v>46226</v>
      </c>
      <c r="P3105" s="2">
        <v>46271</v>
      </c>
      <c r="R3105" t="s">
        <v>8320</v>
      </c>
      <c r="S3105" t="str">
        <f>"25666160000051583"</f>
        <v>25666160000051583</v>
      </c>
      <c r="T3105" t="s">
        <v>41</v>
      </c>
      <c r="U3105">
        <v>3942.6</v>
      </c>
      <c r="V3105">
        <v>3942.6</v>
      </c>
      <c r="W3105">
        <v>3942.6</v>
      </c>
      <c r="X3105">
        <v>0</v>
      </c>
      <c r="Y3105">
        <v>0</v>
      </c>
      <c r="Z3105">
        <v>-496</v>
      </c>
      <c r="AA3105">
        <v>1364</v>
      </c>
      <c r="AD3105" t="s">
        <v>8321</v>
      </c>
      <c r="AE3105" t="s">
        <v>8322</v>
      </c>
      <c r="AF3105" t="s">
        <v>8321</v>
      </c>
      <c r="AG3105">
        <v>12300418000101</v>
      </c>
      <c r="AH3105" t="s">
        <v>5494</v>
      </c>
    </row>
    <row r="3106" spans="1:34" x14ac:dyDescent="0.3">
      <c r="A3106">
        <v>101</v>
      </c>
      <c r="B3106" t="s">
        <v>34</v>
      </c>
      <c r="C3106">
        <v>2</v>
      </c>
      <c r="D3106" s="1" t="s">
        <v>8323</v>
      </c>
      <c r="E3106" s="1" t="s">
        <v>36</v>
      </c>
      <c r="G3106">
        <v>471006</v>
      </c>
      <c r="H3106" t="s">
        <v>8324</v>
      </c>
      <c r="I3106" t="s">
        <v>8325</v>
      </c>
      <c r="J3106">
        <v>15</v>
      </c>
      <c r="K3106">
        <v>463867</v>
      </c>
      <c r="L3106">
        <v>50001</v>
      </c>
      <c r="M3106" t="s">
        <v>39</v>
      </c>
      <c r="N3106">
        <v>675</v>
      </c>
      <c r="O3106" s="2">
        <v>46226</v>
      </c>
      <c r="P3106" s="2">
        <v>46303</v>
      </c>
      <c r="R3106" t="s">
        <v>8326</v>
      </c>
      <c r="S3106" t="str">
        <f>"25666160000051585"</f>
        <v>25666160000051585</v>
      </c>
      <c r="T3106" t="s">
        <v>41</v>
      </c>
      <c r="U3106">
        <v>21584.240000000002</v>
      </c>
      <c r="V3106">
        <v>20289.189999999999</v>
      </c>
      <c r="W3106">
        <v>20289.189999999999</v>
      </c>
      <c r="X3106">
        <v>0</v>
      </c>
      <c r="Y3106">
        <v>0</v>
      </c>
      <c r="Z3106">
        <v>-528</v>
      </c>
      <c r="AA3106">
        <v>1306</v>
      </c>
      <c r="AD3106" t="s">
        <v>6261</v>
      </c>
      <c r="AE3106" t="s">
        <v>8327</v>
      </c>
      <c r="AF3106" t="s">
        <v>6261</v>
      </c>
      <c r="AG3106">
        <v>55407478001102</v>
      </c>
      <c r="AH3106" t="s">
        <v>5494</v>
      </c>
    </row>
    <row r="3107" spans="1:34" x14ac:dyDescent="0.3">
      <c r="A3107">
        <v>101</v>
      </c>
      <c r="B3107" t="s">
        <v>34</v>
      </c>
      <c r="C3107">
        <v>2</v>
      </c>
      <c r="D3107" s="1" t="s">
        <v>8328</v>
      </c>
      <c r="E3107" s="1" t="s">
        <v>36</v>
      </c>
      <c r="G3107">
        <v>9736</v>
      </c>
      <c r="H3107" t="s">
        <v>8329</v>
      </c>
      <c r="I3107" t="s">
        <v>8330</v>
      </c>
      <c r="J3107">
        <v>15</v>
      </c>
      <c r="K3107">
        <v>9090</v>
      </c>
      <c r="L3107">
        <v>95000</v>
      </c>
      <c r="M3107" t="s">
        <v>69</v>
      </c>
      <c r="N3107">
        <v>679</v>
      </c>
      <c r="O3107" s="2">
        <v>46226</v>
      </c>
      <c r="P3107" s="2">
        <v>46280</v>
      </c>
      <c r="R3107" t="s">
        <v>8331</v>
      </c>
      <c r="S3107" t="str">
        <f>""</f>
        <v/>
      </c>
      <c r="T3107" t="s">
        <v>41</v>
      </c>
      <c r="U3107">
        <v>21274.68</v>
      </c>
      <c r="V3107">
        <v>17381.41</v>
      </c>
      <c r="W3107">
        <v>17381.41</v>
      </c>
      <c r="X3107">
        <v>0</v>
      </c>
      <c r="Y3107">
        <v>0</v>
      </c>
      <c r="Z3107">
        <v>-505</v>
      </c>
      <c r="AA3107">
        <v>1627</v>
      </c>
      <c r="AD3107" t="s">
        <v>3301</v>
      </c>
      <c r="AE3107" t="s">
        <v>8332</v>
      </c>
      <c r="AF3107" t="s">
        <v>64</v>
      </c>
      <c r="AG3107" s="1" t="s">
        <v>8333</v>
      </c>
      <c r="AH3107" t="s">
        <v>44</v>
      </c>
    </row>
    <row r="3108" spans="1:34" x14ac:dyDescent="0.3">
      <c r="A3108">
        <v>101</v>
      </c>
      <c r="B3108" t="s">
        <v>34</v>
      </c>
      <c r="C3108">
        <v>2</v>
      </c>
      <c r="D3108" s="1" t="s">
        <v>8334</v>
      </c>
      <c r="E3108" s="1" t="s">
        <v>36</v>
      </c>
      <c r="G3108">
        <v>9736</v>
      </c>
      <c r="H3108" t="s">
        <v>8329</v>
      </c>
      <c r="I3108" t="s">
        <v>8330</v>
      </c>
      <c r="J3108">
        <v>15</v>
      </c>
      <c r="K3108">
        <v>9090</v>
      </c>
      <c r="L3108">
        <v>95000</v>
      </c>
      <c r="M3108" t="s">
        <v>69</v>
      </c>
      <c r="N3108">
        <v>679</v>
      </c>
      <c r="O3108" s="2">
        <v>46198</v>
      </c>
      <c r="P3108" s="2">
        <v>46254</v>
      </c>
      <c r="R3108" t="s">
        <v>8335</v>
      </c>
      <c r="S3108" t="str">
        <f>""</f>
        <v/>
      </c>
      <c r="T3108" t="s">
        <v>41</v>
      </c>
      <c r="U3108">
        <v>42499.68</v>
      </c>
      <c r="V3108">
        <v>3289.82</v>
      </c>
      <c r="W3108">
        <v>3289.82</v>
      </c>
      <c r="X3108">
        <v>0</v>
      </c>
      <c r="Y3108">
        <v>0</v>
      </c>
      <c r="Z3108">
        <v>-479</v>
      </c>
      <c r="AA3108">
        <v>692697</v>
      </c>
      <c r="AD3108" t="s">
        <v>3301</v>
      </c>
      <c r="AE3108" t="s">
        <v>8332</v>
      </c>
      <c r="AF3108" t="s">
        <v>64</v>
      </c>
      <c r="AG3108" s="1" t="s">
        <v>8333</v>
      </c>
      <c r="AH3108" t="s">
        <v>44</v>
      </c>
    </row>
    <row r="3109" spans="1:34" x14ac:dyDescent="0.3">
      <c r="A3109">
        <v>101</v>
      </c>
      <c r="B3109" t="s">
        <v>34</v>
      </c>
      <c r="C3109">
        <v>2</v>
      </c>
      <c r="D3109" s="1" t="s">
        <v>8336</v>
      </c>
      <c r="E3109" s="1" t="s">
        <v>36</v>
      </c>
      <c r="G3109">
        <v>10030</v>
      </c>
      <c r="H3109" t="s">
        <v>8337</v>
      </c>
      <c r="I3109" t="s">
        <v>8338</v>
      </c>
      <c r="J3109">
        <v>15</v>
      </c>
      <c r="K3109">
        <v>10030</v>
      </c>
      <c r="L3109">
        <v>95000</v>
      </c>
      <c r="M3109" t="s">
        <v>69</v>
      </c>
      <c r="N3109">
        <v>679</v>
      </c>
      <c r="O3109" s="2">
        <v>46235</v>
      </c>
      <c r="P3109" s="2">
        <v>46295</v>
      </c>
      <c r="R3109" t="s">
        <v>8339</v>
      </c>
      <c r="S3109" t="str">
        <f>""</f>
        <v/>
      </c>
      <c r="T3109" t="s">
        <v>41</v>
      </c>
      <c r="U3109">
        <v>104972.36</v>
      </c>
      <c r="V3109">
        <v>100773.47</v>
      </c>
      <c r="W3109">
        <v>100773.47</v>
      </c>
      <c r="X3109">
        <v>0</v>
      </c>
      <c r="Y3109">
        <v>0</v>
      </c>
      <c r="Z3109">
        <v>-520</v>
      </c>
      <c r="AA3109">
        <v>1834</v>
      </c>
      <c r="AD3109" t="s">
        <v>8340</v>
      </c>
      <c r="AE3109" t="s">
        <v>8341</v>
      </c>
      <c r="AF3109" t="s">
        <v>8340</v>
      </c>
      <c r="AG3109">
        <v>49092398000394</v>
      </c>
      <c r="AH3109" t="s">
        <v>44</v>
      </c>
    </row>
    <row r="3110" spans="1:34" x14ac:dyDescent="0.3">
      <c r="A3110">
        <v>101</v>
      </c>
      <c r="B3110" t="s">
        <v>4016</v>
      </c>
      <c r="C3110">
        <v>2</v>
      </c>
      <c r="D3110" s="1" t="s">
        <v>8336</v>
      </c>
      <c r="E3110" s="1" t="s">
        <v>36</v>
      </c>
      <c r="G3110">
        <v>10030</v>
      </c>
      <c r="H3110" t="s">
        <v>8337</v>
      </c>
      <c r="I3110" t="s">
        <v>8338</v>
      </c>
      <c r="J3110">
        <v>15</v>
      </c>
      <c r="K3110">
        <v>10030</v>
      </c>
      <c r="N3110">
        <v>679</v>
      </c>
      <c r="O3110" s="2">
        <v>46255</v>
      </c>
      <c r="P3110" s="2">
        <v>46255</v>
      </c>
      <c r="R3110" t="s">
        <v>8342</v>
      </c>
      <c r="S3110" t="str">
        <f>""</f>
        <v/>
      </c>
      <c r="T3110" t="s">
        <v>41</v>
      </c>
      <c r="U3110">
        <v>-3966.3</v>
      </c>
      <c r="V3110">
        <v>-3966.3</v>
      </c>
      <c r="W3110">
        <v>-3966.3</v>
      </c>
      <c r="X3110">
        <v>0</v>
      </c>
      <c r="Y3110">
        <v>0</v>
      </c>
      <c r="Z3110">
        <v>-480</v>
      </c>
      <c r="AD3110" t="s">
        <v>8340</v>
      </c>
      <c r="AE3110" t="s">
        <v>8341</v>
      </c>
      <c r="AF3110" t="s">
        <v>8340</v>
      </c>
      <c r="AG3110">
        <v>49092398000394</v>
      </c>
      <c r="AH3110" t="s">
        <v>44</v>
      </c>
    </row>
    <row r="3111" spans="1:34" x14ac:dyDescent="0.3">
      <c r="A3111">
        <v>101</v>
      </c>
      <c r="B3111" t="s">
        <v>34</v>
      </c>
      <c r="C3111">
        <v>2</v>
      </c>
      <c r="D3111" s="1" t="s">
        <v>8343</v>
      </c>
      <c r="E3111" s="1" t="s">
        <v>36</v>
      </c>
      <c r="G3111">
        <v>10032</v>
      </c>
      <c r="H3111" t="s">
        <v>8344</v>
      </c>
      <c r="I3111" t="s">
        <v>8345</v>
      </c>
      <c r="J3111">
        <v>15</v>
      </c>
      <c r="K3111">
        <v>10032</v>
      </c>
      <c r="L3111">
        <v>10001</v>
      </c>
      <c r="M3111" t="s">
        <v>3135</v>
      </c>
      <c r="N3111">
        <v>679</v>
      </c>
      <c r="O3111" s="2">
        <v>46154</v>
      </c>
      <c r="P3111" s="2">
        <v>46259</v>
      </c>
      <c r="R3111" t="s">
        <v>8346</v>
      </c>
      <c r="S3111" t="str">
        <f>"1219"</f>
        <v>1219</v>
      </c>
      <c r="T3111" t="s">
        <v>41</v>
      </c>
      <c r="U3111">
        <v>11770.6</v>
      </c>
      <c r="V3111">
        <v>11683.82</v>
      </c>
      <c r="W3111">
        <v>11683.82</v>
      </c>
      <c r="X3111">
        <v>0</v>
      </c>
      <c r="Y3111">
        <v>0</v>
      </c>
      <c r="Z3111">
        <v>-484</v>
      </c>
      <c r="AA3111">
        <v>684548</v>
      </c>
      <c r="AD3111" t="s">
        <v>50</v>
      </c>
      <c r="AE3111" t="s">
        <v>8347</v>
      </c>
      <c r="AF3111" t="s">
        <v>50</v>
      </c>
      <c r="AG3111" s="1" t="s">
        <v>8348</v>
      </c>
      <c r="AH3111" t="s">
        <v>44</v>
      </c>
    </row>
    <row r="3112" spans="1:34" x14ac:dyDescent="0.3">
      <c r="A3112">
        <v>101</v>
      </c>
      <c r="B3112" t="s">
        <v>34</v>
      </c>
      <c r="C3112">
        <v>2</v>
      </c>
      <c r="D3112" s="1" t="s">
        <v>8349</v>
      </c>
      <c r="E3112" s="1" t="s">
        <v>36</v>
      </c>
      <c r="G3112">
        <v>10032</v>
      </c>
      <c r="H3112" t="s">
        <v>8344</v>
      </c>
      <c r="I3112" t="s">
        <v>8345</v>
      </c>
      <c r="J3112">
        <v>15</v>
      </c>
      <c r="K3112">
        <v>10032</v>
      </c>
      <c r="L3112">
        <v>95000</v>
      </c>
      <c r="M3112" t="s">
        <v>69</v>
      </c>
      <c r="N3112">
        <v>679</v>
      </c>
      <c r="O3112" s="2">
        <v>46188</v>
      </c>
      <c r="P3112" s="2">
        <v>46290</v>
      </c>
      <c r="R3112" t="s">
        <v>8350</v>
      </c>
      <c r="S3112" t="str">
        <f>""</f>
        <v/>
      </c>
      <c r="T3112" t="s">
        <v>41</v>
      </c>
      <c r="U3112">
        <v>49089</v>
      </c>
      <c r="V3112">
        <v>49089</v>
      </c>
      <c r="W3112">
        <v>49089</v>
      </c>
      <c r="X3112">
        <v>0</v>
      </c>
      <c r="Y3112">
        <v>0</v>
      </c>
      <c r="Z3112">
        <v>-515</v>
      </c>
      <c r="AA3112">
        <v>688593</v>
      </c>
      <c r="AD3112" t="s">
        <v>50</v>
      </c>
      <c r="AE3112" t="s">
        <v>8347</v>
      </c>
      <c r="AF3112" t="s">
        <v>50</v>
      </c>
      <c r="AG3112" s="1" t="s">
        <v>8348</v>
      </c>
      <c r="AH3112" t="s">
        <v>44</v>
      </c>
    </row>
    <row r="3113" spans="1:34" x14ac:dyDescent="0.3">
      <c r="A3113">
        <v>101</v>
      </c>
      <c r="B3113" t="s">
        <v>34</v>
      </c>
      <c r="C3113">
        <v>2</v>
      </c>
      <c r="D3113" s="1" t="s">
        <v>8351</v>
      </c>
      <c r="E3113" s="1" t="s">
        <v>36</v>
      </c>
      <c r="G3113">
        <v>10032</v>
      </c>
      <c r="H3113" t="s">
        <v>8344</v>
      </c>
      <c r="I3113" t="s">
        <v>8345</v>
      </c>
      <c r="J3113">
        <v>15</v>
      </c>
      <c r="K3113">
        <v>10032</v>
      </c>
      <c r="L3113">
        <v>95000</v>
      </c>
      <c r="M3113" t="s">
        <v>69</v>
      </c>
      <c r="N3113">
        <v>679</v>
      </c>
      <c r="O3113" s="2">
        <v>46234</v>
      </c>
      <c r="P3113" s="2">
        <v>46341</v>
      </c>
      <c r="R3113" t="s">
        <v>8352</v>
      </c>
      <c r="S3113" t="str">
        <f>""</f>
        <v/>
      </c>
      <c r="T3113" t="s">
        <v>41</v>
      </c>
      <c r="U3113">
        <v>78100.7</v>
      </c>
      <c r="V3113">
        <v>78100.7</v>
      </c>
      <c r="W3113">
        <v>78100.7</v>
      </c>
      <c r="X3113">
        <v>0</v>
      </c>
      <c r="Y3113">
        <v>0</v>
      </c>
      <c r="Z3113">
        <v>-566</v>
      </c>
      <c r="AA3113">
        <v>1840</v>
      </c>
      <c r="AD3113" t="s">
        <v>50</v>
      </c>
      <c r="AE3113" t="s">
        <v>8347</v>
      </c>
      <c r="AF3113" t="s">
        <v>50</v>
      </c>
      <c r="AG3113" s="1" t="s">
        <v>8348</v>
      </c>
      <c r="AH3113" t="s">
        <v>44</v>
      </c>
    </row>
    <row r="3114" spans="1:34" x14ac:dyDescent="0.3">
      <c r="A3114">
        <v>101</v>
      </c>
      <c r="B3114" t="s">
        <v>34</v>
      </c>
      <c r="C3114">
        <v>2</v>
      </c>
      <c r="D3114" s="1" t="s">
        <v>8353</v>
      </c>
      <c r="E3114" s="1" t="s">
        <v>36</v>
      </c>
      <c r="G3114">
        <v>10032</v>
      </c>
      <c r="H3114" t="s">
        <v>8344</v>
      </c>
      <c r="I3114" t="s">
        <v>8345</v>
      </c>
      <c r="J3114">
        <v>15</v>
      </c>
      <c r="K3114">
        <v>10032</v>
      </c>
      <c r="L3114">
        <v>95000</v>
      </c>
      <c r="M3114" t="s">
        <v>69</v>
      </c>
      <c r="N3114">
        <v>679</v>
      </c>
      <c r="O3114" s="2">
        <v>46245</v>
      </c>
      <c r="P3114" s="2">
        <v>46351</v>
      </c>
      <c r="R3114" t="s">
        <v>8354</v>
      </c>
      <c r="S3114" t="str">
        <f>""</f>
        <v/>
      </c>
      <c r="T3114" t="s">
        <v>41</v>
      </c>
      <c r="U3114">
        <v>9466.2000000000007</v>
      </c>
      <c r="V3114">
        <v>9466.2000000000007</v>
      </c>
      <c r="W3114">
        <v>9466.2000000000007</v>
      </c>
      <c r="X3114">
        <v>0</v>
      </c>
      <c r="Y3114">
        <v>0</v>
      </c>
      <c r="Z3114">
        <v>-576</v>
      </c>
      <c r="AA3114">
        <v>1840</v>
      </c>
      <c r="AD3114" t="s">
        <v>50</v>
      </c>
      <c r="AE3114" t="s">
        <v>8347</v>
      </c>
      <c r="AF3114" t="s">
        <v>50</v>
      </c>
      <c r="AG3114" s="1" t="s">
        <v>8348</v>
      </c>
      <c r="AH3114" t="s">
        <v>44</v>
      </c>
    </row>
    <row r="3115" spans="1:34" x14ac:dyDescent="0.3">
      <c r="A3115">
        <v>101</v>
      </c>
      <c r="B3115" t="s">
        <v>34</v>
      </c>
      <c r="C3115">
        <v>2</v>
      </c>
      <c r="D3115" s="1" t="s">
        <v>8355</v>
      </c>
      <c r="E3115" s="1" t="s">
        <v>36</v>
      </c>
      <c r="G3115">
        <v>10032</v>
      </c>
      <c r="H3115" t="s">
        <v>8344</v>
      </c>
      <c r="I3115" t="s">
        <v>8345</v>
      </c>
      <c r="J3115">
        <v>15</v>
      </c>
      <c r="K3115">
        <v>10032</v>
      </c>
      <c r="L3115">
        <v>10001</v>
      </c>
      <c r="M3115" t="s">
        <v>3135</v>
      </c>
      <c r="N3115">
        <v>679</v>
      </c>
      <c r="O3115" s="2">
        <v>46162</v>
      </c>
      <c r="P3115" s="2">
        <v>46259</v>
      </c>
      <c r="R3115" t="s">
        <v>8356</v>
      </c>
      <c r="S3115" t="str">
        <f>"1219"</f>
        <v>1219</v>
      </c>
      <c r="T3115" t="s">
        <v>41</v>
      </c>
      <c r="U3115">
        <v>72960.800000000003</v>
      </c>
      <c r="V3115">
        <v>72960.800000000003</v>
      </c>
      <c r="W3115">
        <v>72960.800000000003</v>
      </c>
      <c r="X3115">
        <v>0</v>
      </c>
      <c r="Y3115">
        <v>0</v>
      </c>
      <c r="Z3115">
        <v>-484</v>
      </c>
      <c r="AA3115">
        <v>687441</v>
      </c>
      <c r="AD3115" t="s">
        <v>50</v>
      </c>
      <c r="AE3115" t="s">
        <v>8347</v>
      </c>
      <c r="AF3115" t="s">
        <v>50</v>
      </c>
      <c r="AG3115" s="1" t="s">
        <v>8348</v>
      </c>
      <c r="AH3115" t="s">
        <v>44</v>
      </c>
    </row>
    <row r="3116" spans="1:34" x14ac:dyDescent="0.3">
      <c r="A3116">
        <v>101</v>
      </c>
      <c r="B3116" t="s">
        <v>34</v>
      </c>
      <c r="C3116">
        <v>2</v>
      </c>
      <c r="D3116" s="1" t="s">
        <v>8357</v>
      </c>
      <c r="E3116" s="1" t="s">
        <v>36</v>
      </c>
      <c r="G3116">
        <v>10032</v>
      </c>
      <c r="H3116" t="s">
        <v>8344</v>
      </c>
      <c r="I3116" t="s">
        <v>8345</v>
      </c>
      <c r="J3116">
        <v>15</v>
      </c>
      <c r="K3116">
        <v>10032</v>
      </c>
      <c r="L3116">
        <v>95000</v>
      </c>
      <c r="M3116" t="s">
        <v>69</v>
      </c>
      <c r="N3116">
        <v>679</v>
      </c>
      <c r="O3116" s="2">
        <v>46203</v>
      </c>
      <c r="P3116" s="2">
        <v>46310</v>
      </c>
      <c r="R3116" t="s">
        <v>8358</v>
      </c>
      <c r="S3116" t="str">
        <f>""</f>
        <v/>
      </c>
      <c r="T3116" t="s">
        <v>41</v>
      </c>
      <c r="U3116">
        <v>103818.7</v>
      </c>
      <c r="V3116">
        <v>103818.7</v>
      </c>
      <c r="W3116">
        <v>103818.7</v>
      </c>
      <c r="X3116">
        <v>0</v>
      </c>
      <c r="Y3116">
        <v>0</v>
      </c>
      <c r="Z3116">
        <v>-535</v>
      </c>
      <c r="AA3116">
        <v>693189</v>
      </c>
      <c r="AD3116" t="s">
        <v>50</v>
      </c>
      <c r="AE3116" t="s">
        <v>8347</v>
      </c>
      <c r="AF3116" t="s">
        <v>50</v>
      </c>
      <c r="AG3116" s="1" t="s">
        <v>8348</v>
      </c>
      <c r="AH3116" t="s">
        <v>44</v>
      </c>
    </row>
    <row r="3117" spans="1:34" x14ac:dyDescent="0.3">
      <c r="A3117">
        <v>101</v>
      </c>
      <c r="B3117" t="s">
        <v>34</v>
      </c>
      <c r="C3117">
        <v>2</v>
      </c>
      <c r="D3117" s="1" t="s">
        <v>8359</v>
      </c>
      <c r="E3117" s="1" t="s">
        <v>36</v>
      </c>
      <c r="G3117">
        <v>10032</v>
      </c>
      <c r="H3117" t="s">
        <v>8344</v>
      </c>
      <c r="I3117" t="s">
        <v>8345</v>
      </c>
      <c r="J3117">
        <v>15</v>
      </c>
      <c r="K3117">
        <v>10032</v>
      </c>
      <c r="L3117">
        <v>95000</v>
      </c>
      <c r="M3117" t="s">
        <v>69</v>
      </c>
      <c r="N3117">
        <v>679</v>
      </c>
      <c r="O3117" s="2">
        <v>46209</v>
      </c>
      <c r="P3117" s="2">
        <v>46331</v>
      </c>
      <c r="R3117" t="s">
        <v>8360</v>
      </c>
      <c r="S3117" t="str">
        <f>""</f>
        <v/>
      </c>
      <c r="T3117" t="s">
        <v>41</v>
      </c>
      <c r="U3117">
        <v>8940.2999999999993</v>
      </c>
      <c r="V3117">
        <v>8940.2999999999993</v>
      </c>
      <c r="W3117">
        <v>8940.2999999999993</v>
      </c>
      <c r="X3117">
        <v>0</v>
      </c>
      <c r="Y3117">
        <v>0</v>
      </c>
      <c r="Z3117">
        <v>-556</v>
      </c>
      <c r="AA3117">
        <v>693189</v>
      </c>
      <c r="AD3117" t="s">
        <v>50</v>
      </c>
      <c r="AE3117" t="s">
        <v>8347</v>
      </c>
      <c r="AF3117" t="s">
        <v>50</v>
      </c>
      <c r="AG3117" s="1" t="s">
        <v>8348</v>
      </c>
      <c r="AH3117" t="s">
        <v>44</v>
      </c>
    </row>
    <row r="3118" spans="1:34" x14ac:dyDescent="0.3">
      <c r="A3118">
        <v>101</v>
      </c>
      <c r="B3118" t="s">
        <v>34</v>
      </c>
      <c r="C3118">
        <v>2</v>
      </c>
      <c r="D3118" s="1" t="s">
        <v>8361</v>
      </c>
      <c r="E3118" s="1" t="s">
        <v>36</v>
      </c>
      <c r="G3118">
        <v>437890</v>
      </c>
      <c r="H3118" t="s">
        <v>8362</v>
      </c>
      <c r="I3118" t="s">
        <v>8345</v>
      </c>
      <c r="J3118">
        <v>15</v>
      </c>
      <c r="K3118">
        <v>10032</v>
      </c>
      <c r="L3118">
        <v>10001</v>
      </c>
      <c r="M3118" t="s">
        <v>3135</v>
      </c>
      <c r="N3118">
        <v>679</v>
      </c>
      <c r="O3118" s="2">
        <v>46162</v>
      </c>
      <c r="P3118" s="2">
        <v>46273</v>
      </c>
      <c r="R3118" t="s">
        <v>8363</v>
      </c>
      <c r="S3118" t="str">
        <f>"1219"</f>
        <v>1219</v>
      </c>
      <c r="T3118" t="s">
        <v>41</v>
      </c>
      <c r="U3118">
        <v>2442.9299999999998</v>
      </c>
      <c r="V3118">
        <v>2442.9299999999998</v>
      </c>
      <c r="W3118">
        <v>2442.9299999999998</v>
      </c>
      <c r="X3118">
        <v>0</v>
      </c>
      <c r="Y3118">
        <v>0</v>
      </c>
      <c r="Z3118">
        <v>-498</v>
      </c>
      <c r="AA3118">
        <v>687731</v>
      </c>
      <c r="AD3118" t="s">
        <v>4997</v>
      </c>
      <c r="AE3118">
        <v>1931243640</v>
      </c>
      <c r="AF3118" t="s">
        <v>4997</v>
      </c>
      <c r="AG3118" s="1" t="s">
        <v>8364</v>
      </c>
      <c r="AH3118" t="s">
        <v>44</v>
      </c>
    </row>
    <row r="3119" spans="1:34" x14ac:dyDescent="0.3">
      <c r="A3119">
        <v>101</v>
      </c>
      <c r="B3119" t="s">
        <v>34</v>
      </c>
      <c r="C3119">
        <v>2</v>
      </c>
      <c r="D3119" s="1" t="s">
        <v>8365</v>
      </c>
      <c r="E3119" s="1" t="s">
        <v>36</v>
      </c>
      <c r="G3119">
        <v>437890</v>
      </c>
      <c r="H3119" t="s">
        <v>8362</v>
      </c>
      <c r="I3119" t="s">
        <v>8345</v>
      </c>
      <c r="J3119">
        <v>15</v>
      </c>
      <c r="K3119">
        <v>10032</v>
      </c>
      <c r="L3119">
        <v>95000</v>
      </c>
      <c r="M3119" t="s">
        <v>69</v>
      </c>
      <c r="N3119">
        <v>679</v>
      </c>
      <c r="O3119" s="2">
        <v>46203</v>
      </c>
      <c r="P3119" s="2">
        <v>46320</v>
      </c>
      <c r="R3119" t="s">
        <v>8366</v>
      </c>
      <c r="S3119" t="str">
        <f>""</f>
        <v/>
      </c>
      <c r="T3119" t="s">
        <v>41</v>
      </c>
      <c r="U3119">
        <v>2142.29</v>
      </c>
      <c r="V3119">
        <v>2142.29</v>
      </c>
      <c r="W3119">
        <v>2142.29</v>
      </c>
      <c r="X3119">
        <v>0</v>
      </c>
      <c r="Y3119">
        <v>0</v>
      </c>
      <c r="Z3119">
        <v>-545</v>
      </c>
      <c r="AA3119">
        <v>693522</v>
      </c>
      <c r="AD3119" t="s">
        <v>4997</v>
      </c>
      <c r="AE3119">
        <v>1931243640</v>
      </c>
      <c r="AF3119" t="s">
        <v>4997</v>
      </c>
      <c r="AG3119" s="1" t="s">
        <v>8364</v>
      </c>
      <c r="AH3119" t="s">
        <v>44</v>
      </c>
    </row>
    <row r="3120" spans="1:34" x14ac:dyDescent="0.3">
      <c r="A3120">
        <v>101</v>
      </c>
      <c r="B3120" t="s">
        <v>34</v>
      </c>
      <c r="C3120">
        <v>2</v>
      </c>
      <c r="D3120" s="1" t="s">
        <v>8367</v>
      </c>
      <c r="E3120" s="1" t="s">
        <v>36</v>
      </c>
      <c r="G3120">
        <v>437890</v>
      </c>
      <c r="H3120" t="s">
        <v>8362</v>
      </c>
      <c r="I3120" t="s">
        <v>8345</v>
      </c>
      <c r="J3120">
        <v>15</v>
      </c>
      <c r="K3120">
        <v>10032</v>
      </c>
      <c r="L3120">
        <v>95000</v>
      </c>
      <c r="M3120" t="s">
        <v>69</v>
      </c>
      <c r="N3120">
        <v>679</v>
      </c>
      <c r="O3120" s="2">
        <v>46234</v>
      </c>
      <c r="P3120" s="2">
        <v>46324</v>
      </c>
      <c r="R3120" t="s">
        <v>8368</v>
      </c>
      <c r="S3120" t="str">
        <f>""</f>
        <v/>
      </c>
      <c r="T3120" t="s">
        <v>41</v>
      </c>
      <c r="U3120">
        <v>1896.16</v>
      </c>
      <c r="V3120">
        <v>1896.16</v>
      </c>
      <c r="W3120">
        <v>1896.16</v>
      </c>
      <c r="X3120">
        <v>0</v>
      </c>
      <c r="Y3120">
        <v>0</v>
      </c>
      <c r="Z3120">
        <v>-549</v>
      </c>
      <c r="AA3120">
        <v>695135</v>
      </c>
      <c r="AD3120" t="s">
        <v>4997</v>
      </c>
      <c r="AE3120">
        <v>1931243640</v>
      </c>
      <c r="AF3120" t="s">
        <v>4997</v>
      </c>
      <c r="AG3120" s="1" t="s">
        <v>8364</v>
      </c>
      <c r="AH3120" t="s">
        <v>44</v>
      </c>
    </row>
    <row r="3121" spans="1:34" x14ac:dyDescent="0.3">
      <c r="A3121">
        <v>101</v>
      </c>
      <c r="B3121" t="s">
        <v>34</v>
      </c>
      <c r="C3121">
        <v>2</v>
      </c>
      <c r="D3121" s="1" t="s">
        <v>8369</v>
      </c>
      <c r="E3121" s="1" t="s">
        <v>36</v>
      </c>
      <c r="G3121">
        <v>437890</v>
      </c>
      <c r="H3121" t="s">
        <v>8362</v>
      </c>
      <c r="I3121" t="s">
        <v>8345</v>
      </c>
      <c r="J3121">
        <v>15</v>
      </c>
      <c r="K3121">
        <v>10032</v>
      </c>
      <c r="L3121">
        <v>10001</v>
      </c>
      <c r="M3121" t="s">
        <v>3135</v>
      </c>
      <c r="N3121">
        <v>679</v>
      </c>
      <c r="O3121" s="2">
        <v>46172</v>
      </c>
      <c r="P3121" s="2">
        <v>46280</v>
      </c>
      <c r="R3121" t="s">
        <v>8370</v>
      </c>
      <c r="S3121" t="str">
        <f>"1219"</f>
        <v>1219</v>
      </c>
      <c r="T3121" t="s">
        <v>41</v>
      </c>
      <c r="U3121">
        <v>3789.91</v>
      </c>
      <c r="V3121">
        <v>3789.91</v>
      </c>
      <c r="W3121">
        <v>3789.91</v>
      </c>
      <c r="X3121">
        <v>0</v>
      </c>
      <c r="Y3121">
        <v>0</v>
      </c>
      <c r="Z3121">
        <v>-505</v>
      </c>
      <c r="AA3121">
        <v>689998</v>
      </c>
      <c r="AD3121" t="s">
        <v>4997</v>
      </c>
      <c r="AE3121">
        <v>1931243640</v>
      </c>
      <c r="AF3121" t="s">
        <v>4997</v>
      </c>
      <c r="AG3121" s="1" t="s">
        <v>8364</v>
      </c>
      <c r="AH3121" t="s">
        <v>44</v>
      </c>
    </row>
    <row r="3122" spans="1:34" x14ac:dyDescent="0.3">
      <c r="A3122">
        <v>101</v>
      </c>
      <c r="B3122" t="s">
        <v>34</v>
      </c>
      <c r="C3122">
        <v>2</v>
      </c>
      <c r="D3122" s="1" t="s">
        <v>8371</v>
      </c>
      <c r="E3122" s="1" t="s">
        <v>36</v>
      </c>
      <c r="G3122">
        <v>437894</v>
      </c>
      <c r="H3122" t="s">
        <v>8372</v>
      </c>
      <c r="I3122" t="s">
        <v>8345</v>
      </c>
      <c r="J3122">
        <v>15</v>
      </c>
      <c r="K3122">
        <v>10032</v>
      </c>
      <c r="L3122">
        <v>95000</v>
      </c>
      <c r="M3122" t="s">
        <v>69</v>
      </c>
      <c r="N3122">
        <v>679</v>
      </c>
      <c r="O3122" s="2">
        <v>46234</v>
      </c>
      <c r="P3122" s="2">
        <v>46324</v>
      </c>
      <c r="R3122" t="s">
        <v>8373</v>
      </c>
      <c r="S3122" t="str">
        <f>""</f>
        <v/>
      </c>
      <c r="T3122" t="s">
        <v>41</v>
      </c>
      <c r="U3122">
        <v>8516.2199999999993</v>
      </c>
      <c r="V3122">
        <v>8516.2199999999993</v>
      </c>
      <c r="W3122">
        <v>8516.2199999999993</v>
      </c>
      <c r="X3122">
        <v>0</v>
      </c>
      <c r="Y3122">
        <v>0</v>
      </c>
      <c r="Z3122">
        <v>-549</v>
      </c>
      <c r="AA3122">
        <v>695093</v>
      </c>
      <c r="AD3122" t="s">
        <v>57</v>
      </c>
      <c r="AE3122" t="s">
        <v>8374</v>
      </c>
      <c r="AF3122" t="s">
        <v>57</v>
      </c>
      <c r="AG3122" s="1" t="s">
        <v>8375</v>
      </c>
      <c r="AH3122" t="s">
        <v>44</v>
      </c>
    </row>
    <row r="3123" spans="1:34" x14ac:dyDescent="0.3">
      <c r="A3123">
        <v>101</v>
      </c>
      <c r="B3123" t="s">
        <v>34</v>
      </c>
      <c r="C3123">
        <v>2</v>
      </c>
      <c r="D3123" s="1" t="s">
        <v>8376</v>
      </c>
      <c r="E3123" s="1" t="s">
        <v>36</v>
      </c>
      <c r="G3123">
        <v>437894</v>
      </c>
      <c r="H3123" t="s">
        <v>8372</v>
      </c>
      <c r="I3123" t="s">
        <v>8345</v>
      </c>
      <c r="J3123">
        <v>15</v>
      </c>
      <c r="K3123">
        <v>10032</v>
      </c>
      <c r="L3123">
        <v>95000</v>
      </c>
      <c r="M3123" t="s">
        <v>69</v>
      </c>
      <c r="N3123">
        <v>679</v>
      </c>
      <c r="O3123" s="2">
        <v>46203</v>
      </c>
      <c r="P3123" s="2">
        <v>46310</v>
      </c>
      <c r="R3123" t="s">
        <v>8377</v>
      </c>
      <c r="S3123" t="str">
        <f>""</f>
        <v/>
      </c>
      <c r="T3123" t="s">
        <v>41</v>
      </c>
      <c r="U3123">
        <v>4399.47</v>
      </c>
      <c r="V3123">
        <v>4399.47</v>
      </c>
      <c r="W3123">
        <v>4399.47</v>
      </c>
      <c r="X3123">
        <v>0</v>
      </c>
      <c r="Y3123">
        <v>0</v>
      </c>
      <c r="Z3123">
        <v>-535</v>
      </c>
      <c r="AA3123">
        <v>693480</v>
      </c>
      <c r="AD3123" t="s">
        <v>57</v>
      </c>
      <c r="AE3123" t="s">
        <v>8374</v>
      </c>
      <c r="AF3123" t="s">
        <v>57</v>
      </c>
      <c r="AG3123" s="1" t="s">
        <v>8375</v>
      </c>
      <c r="AH3123" t="s">
        <v>44</v>
      </c>
    </row>
    <row r="3124" spans="1:34" x14ac:dyDescent="0.3">
      <c r="A3124">
        <v>101</v>
      </c>
      <c r="B3124" t="s">
        <v>34</v>
      </c>
      <c r="C3124">
        <v>2</v>
      </c>
      <c r="D3124" s="1" t="s">
        <v>8378</v>
      </c>
      <c r="E3124" s="1" t="s">
        <v>36</v>
      </c>
      <c r="G3124">
        <v>437894</v>
      </c>
      <c r="H3124" t="s">
        <v>8372</v>
      </c>
      <c r="I3124" t="s">
        <v>8345</v>
      </c>
      <c r="J3124">
        <v>15</v>
      </c>
      <c r="K3124">
        <v>10032</v>
      </c>
      <c r="L3124">
        <v>10001</v>
      </c>
      <c r="M3124" t="s">
        <v>3135</v>
      </c>
      <c r="N3124">
        <v>679</v>
      </c>
      <c r="O3124" s="2">
        <v>46162</v>
      </c>
      <c r="P3124" s="2">
        <v>46273</v>
      </c>
      <c r="R3124" t="s">
        <v>8379</v>
      </c>
      <c r="S3124" t="str">
        <f>"1219"</f>
        <v>1219</v>
      </c>
      <c r="T3124" t="s">
        <v>41</v>
      </c>
      <c r="U3124">
        <v>3353.46</v>
      </c>
      <c r="V3124">
        <v>3353.46</v>
      </c>
      <c r="W3124">
        <v>3353.46</v>
      </c>
      <c r="X3124">
        <v>0</v>
      </c>
      <c r="Y3124">
        <v>0</v>
      </c>
      <c r="Z3124">
        <v>-498</v>
      </c>
      <c r="AA3124">
        <v>687696</v>
      </c>
      <c r="AD3124" t="s">
        <v>57</v>
      </c>
      <c r="AE3124" t="s">
        <v>8374</v>
      </c>
      <c r="AF3124" t="s">
        <v>57</v>
      </c>
      <c r="AG3124" s="1" t="s">
        <v>8375</v>
      </c>
      <c r="AH3124" t="s">
        <v>44</v>
      </c>
    </row>
    <row r="3125" spans="1:34" x14ac:dyDescent="0.3">
      <c r="A3125">
        <v>101</v>
      </c>
      <c r="B3125" t="s">
        <v>34</v>
      </c>
      <c r="C3125">
        <v>2</v>
      </c>
      <c r="D3125" s="1" t="s">
        <v>8380</v>
      </c>
      <c r="E3125" s="1" t="s">
        <v>36</v>
      </c>
      <c r="G3125">
        <v>437894</v>
      </c>
      <c r="H3125" t="s">
        <v>8372</v>
      </c>
      <c r="I3125" t="s">
        <v>8345</v>
      </c>
      <c r="J3125">
        <v>15</v>
      </c>
      <c r="K3125">
        <v>10032</v>
      </c>
      <c r="L3125">
        <v>10001</v>
      </c>
      <c r="M3125" t="s">
        <v>3135</v>
      </c>
      <c r="N3125">
        <v>679</v>
      </c>
      <c r="O3125" s="2">
        <v>46171</v>
      </c>
      <c r="P3125" s="2">
        <v>46280</v>
      </c>
      <c r="R3125" t="s">
        <v>8381</v>
      </c>
      <c r="S3125" t="str">
        <f>"1219"</f>
        <v>1219</v>
      </c>
      <c r="T3125" t="s">
        <v>41</v>
      </c>
      <c r="U3125">
        <v>4856.24</v>
      </c>
      <c r="V3125">
        <v>4856.24</v>
      </c>
      <c r="W3125">
        <v>4856.24</v>
      </c>
      <c r="X3125">
        <v>0</v>
      </c>
      <c r="Y3125">
        <v>0</v>
      </c>
      <c r="Z3125">
        <v>-505</v>
      </c>
      <c r="AA3125">
        <v>689956</v>
      </c>
      <c r="AD3125" t="s">
        <v>57</v>
      </c>
      <c r="AE3125" t="s">
        <v>8374</v>
      </c>
      <c r="AF3125" t="s">
        <v>57</v>
      </c>
      <c r="AG3125" s="1" t="s">
        <v>8375</v>
      </c>
      <c r="AH3125" t="s">
        <v>44</v>
      </c>
    </row>
    <row r="3126" spans="1:34" x14ac:dyDescent="0.3">
      <c r="A3126">
        <v>101</v>
      </c>
      <c r="B3126" t="s">
        <v>34</v>
      </c>
      <c r="C3126">
        <v>2</v>
      </c>
      <c r="D3126" s="1" t="s">
        <v>8382</v>
      </c>
      <c r="E3126" s="1" t="s">
        <v>36</v>
      </c>
      <c r="G3126">
        <v>437895</v>
      </c>
      <c r="H3126" t="s">
        <v>8383</v>
      </c>
      <c r="I3126" t="s">
        <v>8345</v>
      </c>
      <c r="J3126">
        <v>15</v>
      </c>
      <c r="K3126">
        <v>10032</v>
      </c>
      <c r="L3126">
        <v>95000</v>
      </c>
      <c r="M3126" t="s">
        <v>69</v>
      </c>
      <c r="N3126">
        <v>679</v>
      </c>
      <c r="O3126" s="2">
        <v>46203</v>
      </c>
      <c r="P3126" s="2">
        <v>46310</v>
      </c>
      <c r="R3126" t="s">
        <v>8384</v>
      </c>
      <c r="S3126" t="str">
        <f>""</f>
        <v/>
      </c>
      <c r="T3126" t="s">
        <v>41</v>
      </c>
      <c r="U3126">
        <v>2193.94</v>
      </c>
      <c r="V3126">
        <v>2193.94</v>
      </c>
      <c r="W3126">
        <v>2193.94</v>
      </c>
      <c r="X3126">
        <v>0</v>
      </c>
      <c r="Y3126">
        <v>0</v>
      </c>
      <c r="Z3126">
        <v>-535</v>
      </c>
      <c r="AA3126">
        <v>693484</v>
      </c>
      <c r="AD3126" t="s">
        <v>3224</v>
      </c>
      <c r="AE3126" t="s">
        <v>8385</v>
      </c>
      <c r="AF3126" t="s">
        <v>3224</v>
      </c>
      <c r="AG3126" s="1" t="s">
        <v>8386</v>
      </c>
      <c r="AH3126" t="s">
        <v>44</v>
      </c>
    </row>
    <row r="3127" spans="1:34" x14ac:dyDescent="0.3">
      <c r="A3127">
        <v>101</v>
      </c>
      <c r="B3127" t="s">
        <v>34</v>
      </c>
      <c r="C3127">
        <v>2</v>
      </c>
      <c r="D3127" s="1" t="s">
        <v>8387</v>
      </c>
      <c r="E3127" s="1" t="s">
        <v>36</v>
      </c>
      <c r="G3127">
        <v>437895</v>
      </c>
      <c r="H3127" t="s">
        <v>8383</v>
      </c>
      <c r="I3127" t="s">
        <v>8345</v>
      </c>
      <c r="J3127">
        <v>15</v>
      </c>
      <c r="K3127">
        <v>10032</v>
      </c>
      <c r="L3127">
        <v>10001</v>
      </c>
      <c r="M3127" t="s">
        <v>3135</v>
      </c>
      <c r="N3127">
        <v>679</v>
      </c>
      <c r="O3127" s="2">
        <v>46171</v>
      </c>
      <c r="P3127" s="2">
        <v>46280</v>
      </c>
      <c r="R3127" t="s">
        <v>8388</v>
      </c>
      <c r="S3127" t="str">
        <f>"1219"</f>
        <v>1219</v>
      </c>
      <c r="T3127" t="s">
        <v>41</v>
      </c>
      <c r="U3127">
        <v>4069.26</v>
      </c>
      <c r="V3127">
        <v>4069.26</v>
      </c>
      <c r="W3127">
        <v>4069.26</v>
      </c>
      <c r="X3127">
        <v>0</v>
      </c>
      <c r="Y3127">
        <v>0</v>
      </c>
      <c r="Z3127">
        <v>-505</v>
      </c>
      <c r="AA3127">
        <v>689960</v>
      </c>
      <c r="AD3127" t="s">
        <v>3224</v>
      </c>
      <c r="AE3127" t="s">
        <v>8385</v>
      </c>
      <c r="AF3127" t="s">
        <v>3224</v>
      </c>
      <c r="AG3127" s="1" t="s">
        <v>8386</v>
      </c>
      <c r="AH3127" t="s">
        <v>44</v>
      </c>
    </row>
    <row r="3128" spans="1:34" x14ac:dyDescent="0.3">
      <c r="A3128">
        <v>101</v>
      </c>
      <c r="B3128" t="s">
        <v>34</v>
      </c>
      <c r="C3128">
        <v>2</v>
      </c>
      <c r="D3128" s="1" t="s">
        <v>8389</v>
      </c>
      <c r="E3128" s="1" t="s">
        <v>36</v>
      </c>
      <c r="G3128">
        <v>437895</v>
      </c>
      <c r="H3128" t="s">
        <v>8383</v>
      </c>
      <c r="I3128" t="s">
        <v>8345</v>
      </c>
      <c r="J3128">
        <v>15</v>
      </c>
      <c r="K3128">
        <v>10032</v>
      </c>
      <c r="L3128">
        <v>10001</v>
      </c>
      <c r="M3128" t="s">
        <v>3135</v>
      </c>
      <c r="N3128">
        <v>679</v>
      </c>
      <c r="O3128" s="2">
        <v>46162</v>
      </c>
      <c r="P3128" s="2">
        <v>46273</v>
      </c>
      <c r="R3128" t="s">
        <v>8390</v>
      </c>
      <c r="S3128" t="str">
        <f>"1219"</f>
        <v>1219</v>
      </c>
      <c r="T3128" t="s">
        <v>41</v>
      </c>
      <c r="U3128">
        <v>3445.73</v>
      </c>
      <c r="V3128">
        <v>3445.73</v>
      </c>
      <c r="W3128">
        <v>3445.73</v>
      </c>
      <c r="X3128">
        <v>0</v>
      </c>
      <c r="Y3128">
        <v>0</v>
      </c>
      <c r="Z3128">
        <v>-498</v>
      </c>
      <c r="AA3128">
        <v>687700</v>
      </c>
      <c r="AD3128" t="s">
        <v>3224</v>
      </c>
      <c r="AE3128" t="s">
        <v>8385</v>
      </c>
      <c r="AF3128" t="s">
        <v>3224</v>
      </c>
      <c r="AG3128" s="1" t="s">
        <v>8386</v>
      </c>
      <c r="AH3128" t="s">
        <v>44</v>
      </c>
    </row>
    <row r="3129" spans="1:34" x14ac:dyDescent="0.3">
      <c r="A3129">
        <v>101</v>
      </c>
      <c r="B3129" t="s">
        <v>34</v>
      </c>
      <c r="C3129">
        <v>2</v>
      </c>
      <c r="D3129" s="1" t="s">
        <v>8391</v>
      </c>
      <c r="E3129" s="1" t="s">
        <v>36</v>
      </c>
      <c r="G3129">
        <v>437895</v>
      </c>
      <c r="H3129" t="s">
        <v>8383</v>
      </c>
      <c r="I3129" t="s">
        <v>8345</v>
      </c>
      <c r="J3129">
        <v>15</v>
      </c>
      <c r="K3129">
        <v>10032</v>
      </c>
      <c r="L3129">
        <v>95000</v>
      </c>
      <c r="M3129" t="s">
        <v>69</v>
      </c>
      <c r="N3129">
        <v>679</v>
      </c>
      <c r="O3129" s="2">
        <v>46234</v>
      </c>
      <c r="P3129" s="2">
        <v>46324</v>
      </c>
      <c r="R3129" t="s">
        <v>8392</v>
      </c>
      <c r="S3129" t="str">
        <f>""</f>
        <v/>
      </c>
      <c r="T3129" t="s">
        <v>41</v>
      </c>
      <c r="U3129">
        <v>4752.3100000000004</v>
      </c>
      <c r="V3129">
        <v>4752.3100000000004</v>
      </c>
      <c r="W3129">
        <v>4752.3100000000004</v>
      </c>
      <c r="X3129">
        <v>0</v>
      </c>
      <c r="Y3129">
        <v>0</v>
      </c>
      <c r="Z3129">
        <v>-549</v>
      </c>
      <c r="AA3129">
        <v>695097</v>
      </c>
      <c r="AD3129" t="s">
        <v>3224</v>
      </c>
      <c r="AE3129" t="s">
        <v>8385</v>
      </c>
      <c r="AF3129" t="s">
        <v>3224</v>
      </c>
      <c r="AG3129" s="1" t="s">
        <v>8386</v>
      </c>
      <c r="AH3129" t="s">
        <v>44</v>
      </c>
    </row>
    <row r="3130" spans="1:34" x14ac:dyDescent="0.3">
      <c r="A3130">
        <v>101</v>
      </c>
      <c r="B3130" t="s">
        <v>34</v>
      </c>
      <c r="C3130">
        <v>2</v>
      </c>
      <c r="D3130" s="1" t="s">
        <v>8393</v>
      </c>
      <c r="E3130" s="1" t="s">
        <v>36</v>
      </c>
      <c r="G3130">
        <v>437896</v>
      </c>
      <c r="H3130" t="s">
        <v>8394</v>
      </c>
      <c r="I3130" t="s">
        <v>8345</v>
      </c>
      <c r="J3130">
        <v>15</v>
      </c>
      <c r="K3130">
        <v>10032</v>
      </c>
      <c r="L3130">
        <v>10001</v>
      </c>
      <c r="M3130" t="s">
        <v>3135</v>
      </c>
      <c r="N3130">
        <v>679</v>
      </c>
      <c r="O3130" s="2">
        <v>46162</v>
      </c>
      <c r="P3130" s="2">
        <v>46273</v>
      </c>
      <c r="R3130" t="s">
        <v>8395</v>
      </c>
      <c r="S3130" t="str">
        <f>"1219"</f>
        <v>1219</v>
      </c>
      <c r="T3130" t="s">
        <v>41</v>
      </c>
      <c r="U3130">
        <v>2227.2199999999998</v>
      </c>
      <c r="V3130">
        <v>2227.2199999999998</v>
      </c>
      <c r="W3130">
        <v>2227.2199999999998</v>
      </c>
      <c r="X3130">
        <v>0</v>
      </c>
      <c r="Y3130">
        <v>0</v>
      </c>
      <c r="Z3130">
        <v>-498</v>
      </c>
      <c r="AA3130">
        <v>687705</v>
      </c>
      <c r="AD3130" t="s">
        <v>8396</v>
      </c>
      <c r="AE3130" t="s">
        <v>8397</v>
      </c>
      <c r="AF3130" t="s">
        <v>8396</v>
      </c>
      <c r="AG3130" s="1" t="s">
        <v>8398</v>
      </c>
      <c r="AH3130" t="s">
        <v>44</v>
      </c>
    </row>
    <row r="3131" spans="1:34" x14ac:dyDescent="0.3">
      <c r="A3131">
        <v>101</v>
      </c>
      <c r="B3131" t="s">
        <v>34</v>
      </c>
      <c r="C3131">
        <v>2</v>
      </c>
      <c r="D3131" s="1" t="s">
        <v>8399</v>
      </c>
      <c r="E3131" s="1" t="s">
        <v>36</v>
      </c>
      <c r="G3131">
        <v>437896</v>
      </c>
      <c r="H3131" t="s">
        <v>8394</v>
      </c>
      <c r="I3131" t="s">
        <v>8345</v>
      </c>
      <c r="J3131">
        <v>15</v>
      </c>
      <c r="K3131">
        <v>10032</v>
      </c>
      <c r="L3131">
        <v>95000</v>
      </c>
      <c r="M3131" t="s">
        <v>69</v>
      </c>
      <c r="N3131">
        <v>679</v>
      </c>
      <c r="O3131" s="2">
        <v>46234</v>
      </c>
      <c r="P3131" s="2">
        <v>46324</v>
      </c>
      <c r="R3131" t="s">
        <v>8400</v>
      </c>
      <c r="S3131" t="str">
        <f>""</f>
        <v/>
      </c>
      <c r="T3131" t="s">
        <v>41</v>
      </c>
      <c r="U3131">
        <v>7029</v>
      </c>
      <c r="V3131">
        <v>7029</v>
      </c>
      <c r="W3131">
        <v>7029</v>
      </c>
      <c r="X3131">
        <v>0</v>
      </c>
      <c r="Y3131">
        <v>0</v>
      </c>
      <c r="Z3131">
        <v>-549</v>
      </c>
      <c r="AA3131">
        <v>695101</v>
      </c>
      <c r="AD3131" t="s">
        <v>8396</v>
      </c>
      <c r="AE3131" t="s">
        <v>8397</v>
      </c>
      <c r="AF3131" t="s">
        <v>8396</v>
      </c>
      <c r="AG3131" s="1" t="s">
        <v>8398</v>
      </c>
      <c r="AH3131" t="s">
        <v>44</v>
      </c>
    </row>
    <row r="3132" spans="1:34" x14ac:dyDescent="0.3">
      <c r="A3132">
        <v>101</v>
      </c>
      <c r="B3132" t="s">
        <v>34</v>
      </c>
      <c r="C3132">
        <v>2</v>
      </c>
      <c r="D3132" s="1" t="s">
        <v>8401</v>
      </c>
      <c r="E3132" s="1" t="s">
        <v>36</v>
      </c>
      <c r="G3132">
        <v>437896</v>
      </c>
      <c r="H3132" t="s">
        <v>8394</v>
      </c>
      <c r="I3132" t="s">
        <v>8345</v>
      </c>
      <c r="J3132">
        <v>15</v>
      </c>
      <c r="K3132">
        <v>10032</v>
      </c>
      <c r="L3132">
        <v>95000</v>
      </c>
      <c r="M3132" t="s">
        <v>69</v>
      </c>
      <c r="N3132">
        <v>679</v>
      </c>
      <c r="O3132" s="2">
        <v>46203</v>
      </c>
      <c r="P3132" s="2">
        <v>46320</v>
      </c>
      <c r="R3132" t="s">
        <v>8402</v>
      </c>
      <c r="S3132" t="str">
        <f>""</f>
        <v/>
      </c>
      <c r="T3132" t="s">
        <v>41</v>
      </c>
      <c r="U3132">
        <v>3503.99</v>
      </c>
      <c r="V3132">
        <v>3503.99</v>
      </c>
      <c r="W3132">
        <v>3503.99</v>
      </c>
      <c r="X3132">
        <v>0</v>
      </c>
      <c r="Y3132">
        <v>0</v>
      </c>
      <c r="Z3132">
        <v>-545</v>
      </c>
      <c r="AA3132">
        <v>693488</v>
      </c>
      <c r="AD3132" t="s">
        <v>8396</v>
      </c>
      <c r="AE3132" t="s">
        <v>8397</v>
      </c>
      <c r="AF3132" t="s">
        <v>8396</v>
      </c>
      <c r="AG3132" s="1" t="s">
        <v>8398</v>
      </c>
      <c r="AH3132" t="s">
        <v>44</v>
      </c>
    </row>
    <row r="3133" spans="1:34" x14ac:dyDescent="0.3">
      <c r="A3133">
        <v>101</v>
      </c>
      <c r="B3133" t="s">
        <v>34</v>
      </c>
      <c r="C3133">
        <v>2</v>
      </c>
      <c r="D3133" s="1" t="s">
        <v>8403</v>
      </c>
      <c r="E3133" s="1" t="s">
        <v>36</v>
      </c>
      <c r="G3133">
        <v>437896</v>
      </c>
      <c r="H3133" t="s">
        <v>8394</v>
      </c>
      <c r="I3133" t="s">
        <v>8345</v>
      </c>
      <c r="J3133">
        <v>15</v>
      </c>
      <c r="K3133">
        <v>10032</v>
      </c>
      <c r="L3133">
        <v>10001</v>
      </c>
      <c r="M3133" t="s">
        <v>3135</v>
      </c>
      <c r="N3133">
        <v>679</v>
      </c>
      <c r="O3133" s="2">
        <v>46172</v>
      </c>
      <c r="P3133" s="2">
        <v>46280</v>
      </c>
      <c r="R3133" t="s">
        <v>8404</v>
      </c>
      <c r="S3133" t="str">
        <f>"1219"</f>
        <v>1219</v>
      </c>
      <c r="T3133" t="s">
        <v>41</v>
      </c>
      <c r="U3133">
        <v>3755.4</v>
      </c>
      <c r="V3133">
        <v>3755.4</v>
      </c>
      <c r="W3133">
        <v>3755.4</v>
      </c>
      <c r="X3133">
        <v>0</v>
      </c>
      <c r="Y3133">
        <v>0</v>
      </c>
      <c r="Z3133">
        <v>-505</v>
      </c>
      <c r="AA3133">
        <v>689964</v>
      </c>
      <c r="AD3133" t="s">
        <v>8396</v>
      </c>
      <c r="AE3133" t="s">
        <v>8397</v>
      </c>
      <c r="AF3133" t="s">
        <v>8396</v>
      </c>
      <c r="AG3133" s="1" t="s">
        <v>8398</v>
      </c>
      <c r="AH3133" t="s">
        <v>44</v>
      </c>
    </row>
    <row r="3134" spans="1:34" x14ac:dyDescent="0.3">
      <c r="A3134">
        <v>101</v>
      </c>
      <c r="B3134" t="s">
        <v>34</v>
      </c>
      <c r="C3134">
        <v>2</v>
      </c>
      <c r="D3134" s="1" t="s">
        <v>8405</v>
      </c>
      <c r="E3134" s="1" t="s">
        <v>36</v>
      </c>
      <c r="G3134">
        <v>437897</v>
      </c>
      <c r="H3134" t="s">
        <v>8406</v>
      </c>
      <c r="I3134" t="s">
        <v>8345</v>
      </c>
      <c r="J3134">
        <v>15</v>
      </c>
      <c r="K3134">
        <v>10032</v>
      </c>
      <c r="L3134">
        <v>95000</v>
      </c>
      <c r="M3134" t="s">
        <v>69</v>
      </c>
      <c r="N3134">
        <v>679</v>
      </c>
      <c r="O3134" s="2">
        <v>46203</v>
      </c>
      <c r="P3134" s="2">
        <v>46320</v>
      </c>
      <c r="R3134" t="s">
        <v>8407</v>
      </c>
      <c r="S3134" t="str">
        <f>""</f>
        <v/>
      </c>
      <c r="T3134" t="s">
        <v>41</v>
      </c>
      <c r="U3134">
        <v>6003.45</v>
      </c>
      <c r="V3134">
        <v>6003.45</v>
      </c>
      <c r="W3134">
        <v>6003.45</v>
      </c>
      <c r="X3134">
        <v>0</v>
      </c>
      <c r="Y3134">
        <v>0</v>
      </c>
      <c r="Z3134">
        <v>-545</v>
      </c>
      <c r="AA3134">
        <v>693492</v>
      </c>
      <c r="AD3134" t="s">
        <v>3341</v>
      </c>
      <c r="AE3134" t="s">
        <v>8408</v>
      </c>
      <c r="AF3134" t="s">
        <v>3341</v>
      </c>
      <c r="AG3134" s="1" t="s">
        <v>8409</v>
      </c>
      <c r="AH3134" t="s">
        <v>44</v>
      </c>
    </row>
    <row r="3135" spans="1:34" x14ac:dyDescent="0.3">
      <c r="A3135">
        <v>101</v>
      </c>
      <c r="B3135" t="s">
        <v>34</v>
      </c>
      <c r="C3135">
        <v>2</v>
      </c>
      <c r="D3135" s="1" t="s">
        <v>8410</v>
      </c>
      <c r="E3135" s="1" t="s">
        <v>36</v>
      </c>
      <c r="G3135">
        <v>437897</v>
      </c>
      <c r="H3135" t="s">
        <v>8406</v>
      </c>
      <c r="I3135" t="s">
        <v>8345</v>
      </c>
      <c r="J3135">
        <v>15</v>
      </c>
      <c r="K3135">
        <v>10032</v>
      </c>
      <c r="L3135">
        <v>95000</v>
      </c>
      <c r="M3135" t="s">
        <v>69</v>
      </c>
      <c r="N3135">
        <v>679</v>
      </c>
      <c r="O3135" s="2">
        <v>46234</v>
      </c>
      <c r="P3135" s="2">
        <v>46324</v>
      </c>
      <c r="R3135" t="s">
        <v>8411</v>
      </c>
      <c r="S3135" t="str">
        <f>""</f>
        <v/>
      </c>
      <c r="T3135" t="s">
        <v>41</v>
      </c>
      <c r="U3135">
        <v>12643.69</v>
      </c>
      <c r="V3135">
        <v>12643.69</v>
      </c>
      <c r="W3135">
        <v>12643.69</v>
      </c>
      <c r="X3135">
        <v>0</v>
      </c>
      <c r="Y3135">
        <v>0</v>
      </c>
      <c r="Z3135">
        <v>-549</v>
      </c>
      <c r="AA3135">
        <v>695105</v>
      </c>
      <c r="AD3135" t="s">
        <v>3341</v>
      </c>
      <c r="AE3135" t="s">
        <v>8408</v>
      </c>
      <c r="AF3135" t="s">
        <v>3341</v>
      </c>
      <c r="AG3135" s="1" t="s">
        <v>8409</v>
      </c>
      <c r="AH3135" t="s">
        <v>44</v>
      </c>
    </row>
    <row r="3136" spans="1:34" x14ac:dyDescent="0.3">
      <c r="A3136">
        <v>101</v>
      </c>
      <c r="B3136" t="s">
        <v>34</v>
      </c>
      <c r="C3136">
        <v>2</v>
      </c>
      <c r="D3136" s="1" t="s">
        <v>8412</v>
      </c>
      <c r="E3136" s="1" t="s">
        <v>36</v>
      </c>
      <c r="G3136">
        <v>437897</v>
      </c>
      <c r="H3136" t="s">
        <v>8406</v>
      </c>
      <c r="I3136" t="s">
        <v>8345</v>
      </c>
      <c r="J3136">
        <v>15</v>
      </c>
      <c r="K3136">
        <v>10032</v>
      </c>
      <c r="L3136">
        <v>10001</v>
      </c>
      <c r="M3136" t="s">
        <v>3135</v>
      </c>
      <c r="N3136">
        <v>679</v>
      </c>
      <c r="O3136" s="2">
        <v>46171</v>
      </c>
      <c r="P3136" s="2">
        <v>46280</v>
      </c>
      <c r="R3136" t="s">
        <v>8413</v>
      </c>
      <c r="S3136" t="str">
        <f>"1219"</f>
        <v>1219</v>
      </c>
      <c r="T3136" t="s">
        <v>41</v>
      </c>
      <c r="U3136">
        <v>6837.64</v>
      </c>
      <c r="V3136">
        <v>6837.64</v>
      </c>
      <c r="W3136">
        <v>6837.64</v>
      </c>
      <c r="X3136">
        <v>0</v>
      </c>
      <c r="Y3136">
        <v>0</v>
      </c>
      <c r="Z3136">
        <v>-505</v>
      </c>
      <c r="AA3136">
        <v>689968</v>
      </c>
      <c r="AD3136" t="s">
        <v>3341</v>
      </c>
      <c r="AE3136" t="s">
        <v>8408</v>
      </c>
      <c r="AF3136" t="s">
        <v>3341</v>
      </c>
      <c r="AG3136" s="1" t="s">
        <v>8409</v>
      </c>
      <c r="AH3136" t="s">
        <v>44</v>
      </c>
    </row>
    <row r="3137" spans="1:34" x14ac:dyDescent="0.3">
      <c r="A3137">
        <v>101</v>
      </c>
      <c r="B3137" t="s">
        <v>34</v>
      </c>
      <c r="C3137">
        <v>2</v>
      </c>
      <c r="D3137" s="1" t="s">
        <v>8414</v>
      </c>
      <c r="E3137" s="1" t="s">
        <v>36</v>
      </c>
      <c r="G3137">
        <v>437897</v>
      </c>
      <c r="H3137" t="s">
        <v>8406</v>
      </c>
      <c r="I3137" t="s">
        <v>8345</v>
      </c>
      <c r="J3137">
        <v>15</v>
      </c>
      <c r="K3137">
        <v>10032</v>
      </c>
      <c r="L3137">
        <v>10001</v>
      </c>
      <c r="M3137" t="s">
        <v>3135</v>
      </c>
      <c r="N3137">
        <v>679</v>
      </c>
      <c r="O3137" s="2">
        <v>46162</v>
      </c>
      <c r="P3137" s="2">
        <v>46273</v>
      </c>
      <c r="R3137" t="s">
        <v>8415</v>
      </c>
      <c r="S3137" t="str">
        <f>"1219"</f>
        <v>1219</v>
      </c>
      <c r="T3137" t="s">
        <v>41</v>
      </c>
      <c r="U3137">
        <v>3345.49</v>
      </c>
      <c r="V3137">
        <v>3345.49</v>
      </c>
      <c r="W3137">
        <v>3345.49</v>
      </c>
      <c r="X3137">
        <v>0</v>
      </c>
      <c r="Y3137">
        <v>0</v>
      </c>
      <c r="Z3137">
        <v>-498</v>
      </c>
      <c r="AA3137">
        <v>687707</v>
      </c>
      <c r="AD3137" t="s">
        <v>3341</v>
      </c>
      <c r="AE3137" t="s">
        <v>8408</v>
      </c>
      <c r="AF3137" t="s">
        <v>3341</v>
      </c>
      <c r="AG3137" s="1" t="s">
        <v>8409</v>
      </c>
      <c r="AH3137" t="s">
        <v>44</v>
      </c>
    </row>
    <row r="3138" spans="1:34" x14ac:dyDescent="0.3">
      <c r="A3138">
        <v>101</v>
      </c>
      <c r="B3138" t="s">
        <v>34</v>
      </c>
      <c r="C3138">
        <v>2</v>
      </c>
      <c r="D3138" s="1" t="s">
        <v>8416</v>
      </c>
      <c r="E3138" s="1" t="s">
        <v>36</v>
      </c>
      <c r="G3138">
        <v>437898</v>
      </c>
      <c r="H3138" t="s">
        <v>8417</v>
      </c>
      <c r="I3138" t="s">
        <v>8345</v>
      </c>
      <c r="J3138">
        <v>15</v>
      </c>
      <c r="K3138">
        <v>10032</v>
      </c>
      <c r="L3138">
        <v>95000</v>
      </c>
      <c r="M3138" t="s">
        <v>69</v>
      </c>
      <c r="N3138">
        <v>679</v>
      </c>
      <c r="O3138" s="2">
        <v>46234</v>
      </c>
      <c r="P3138" s="2">
        <v>46324</v>
      </c>
      <c r="R3138" t="s">
        <v>8418</v>
      </c>
      <c r="S3138" t="str">
        <f>""</f>
        <v/>
      </c>
      <c r="T3138" t="s">
        <v>41</v>
      </c>
      <c r="U3138">
        <v>4066.58</v>
      </c>
      <c r="V3138">
        <v>4066.58</v>
      </c>
      <c r="W3138">
        <v>4066.58</v>
      </c>
      <c r="X3138">
        <v>0</v>
      </c>
      <c r="Y3138">
        <v>0</v>
      </c>
      <c r="Z3138">
        <v>-549</v>
      </c>
      <c r="AA3138">
        <v>695109</v>
      </c>
      <c r="AD3138" t="s">
        <v>3373</v>
      </c>
      <c r="AE3138" t="s">
        <v>8419</v>
      </c>
      <c r="AF3138" t="s">
        <v>3373</v>
      </c>
      <c r="AG3138" s="1" t="s">
        <v>8420</v>
      </c>
      <c r="AH3138" t="s">
        <v>44</v>
      </c>
    </row>
    <row r="3139" spans="1:34" x14ac:dyDescent="0.3">
      <c r="A3139">
        <v>101</v>
      </c>
      <c r="B3139" t="s">
        <v>34</v>
      </c>
      <c r="C3139">
        <v>2</v>
      </c>
      <c r="D3139" s="1" t="s">
        <v>8421</v>
      </c>
      <c r="E3139" s="1" t="s">
        <v>36</v>
      </c>
      <c r="G3139">
        <v>437898</v>
      </c>
      <c r="H3139" t="s">
        <v>8417</v>
      </c>
      <c r="I3139" t="s">
        <v>8345</v>
      </c>
      <c r="J3139">
        <v>15</v>
      </c>
      <c r="K3139">
        <v>10032</v>
      </c>
      <c r="L3139">
        <v>10001</v>
      </c>
      <c r="M3139" t="s">
        <v>3135</v>
      </c>
      <c r="N3139">
        <v>679</v>
      </c>
      <c r="O3139" s="2">
        <v>46171</v>
      </c>
      <c r="P3139" s="2">
        <v>46280</v>
      </c>
      <c r="R3139" t="s">
        <v>8422</v>
      </c>
      <c r="S3139" t="str">
        <f>"1219"</f>
        <v>1219</v>
      </c>
      <c r="T3139" t="s">
        <v>41</v>
      </c>
      <c r="U3139">
        <v>5579.13</v>
      </c>
      <c r="V3139">
        <v>5579.13</v>
      </c>
      <c r="W3139">
        <v>5579.13</v>
      </c>
      <c r="X3139">
        <v>0</v>
      </c>
      <c r="Y3139">
        <v>0</v>
      </c>
      <c r="Z3139">
        <v>-505</v>
      </c>
      <c r="AA3139">
        <v>689972</v>
      </c>
      <c r="AD3139" t="s">
        <v>3373</v>
      </c>
      <c r="AE3139" t="s">
        <v>8419</v>
      </c>
      <c r="AF3139" t="s">
        <v>3373</v>
      </c>
      <c r="AG3139" s="1" t="s">
        <v>8420</v>
      </c>
      <c r="AH3139" t="s">
        <v>44</v>
      </c>
    </row>
    <row r="3140" spans="1:34" x14ac:dyDescent="0.3">
      <c r="A3140">
        <v>101</v>
      </c>
      <c r="B3140" t="s">
        <v>34</v>
      </c>
      <c r="C3140">
        <v>2</v>
      </c>
      <c r="D3140" s="1" t="s">
        <v>8423</v>
      </c>
      <c r="E3140" s="1" t="s">
        <v>36</v>
      </c>
      <c r="G3140">
        <v>437898</v>
      </c>
      <c r="H3140" t="s">
        <v>8417</v>
      </c>
      <c r="I3140" t="s">
        <v>8345</v>
      </c>
      <c r="J3140">
        <v>15</v>
      </c>
      <c r="K3140">
        <v>10032</v>
      </c>
      <c r="L3140">
        <v>95000</v>
      </c>
      <c r="M3140" t="s">
        <v>69</v>
      </c>
      <c r="N3140">
        <v>679</v>
      </c>
      <c r="O3140" s="2">
        <v>46203</v>
      </c>
      <c r="P3140" s="2">
        <v>46310</v>
      </c>
      <c r="R3140" t="s">
        <v>8424</v>
      </c>
      <c r="S3140" t="str">
        <f>""</f>
        <v/>
      </c>
      <c r="T3140" t="s">
        <v>41</v>
      </c>
      <c r="U3140">
        <v>3665.81</v>
      </c>
      <c r="V3140">
        <v>3665.81</v>
      </c>
      <c r="W3140">
        <v>3665.81</v>
      </c>
      <c r="X3140">
        <v>0</v>
      </c>
      <c r="Y3140">
        <v>0</v>
      </c>
      <c r="Z3140">
        <v>-535</v>
      </c>
      <c r="AA3140">
        <v>693496</v>
      </c>
      <c r="AD3140" t="s">
        <v>3373</v>
      </c>
      <c r="AE3140" t="s">
        <v>8419</v>
      </c>
      <c r="AF3140" t="s">
        <v>3373</v>
      </c>
      <c r="AG3140" s="1" t="s">
        <v>8420</v>
      </c>
      <c r="AH3140" t="s">
        <v>44</v>
      </c>
    </row>
    <row r="3141" spans="1:34" x14ac:dyDescent="0.3">
      <c r="A3141">
        <v>101</v>
      </c>
      <c r="B3141" t="s">
        <v>34</v>
      </c>
      <c r="C3141">
        <v>2</v>
      </c>
      <c r="D3141" s="1" t="s">
        <v>8425</v>
      </c>
      <c r="E3141" s="1" t="s">
        <v>36</v>
      </c>
      <c r="G3141">
        <v>437899</v>
      </c>
      <c r="H3141" t="s">
        <v>8426</v>
      </c>
      <c r="I3141" t="s">
        <v>8345</v>
      </c>
      <c r="J3141">
        <v>15</v>
      </c>
      <c r="K3141">
        <v>10032</v>
      </c>
      <c r="L3141">
        <v>10001</v>
      </c>
      <c r="M3141" t="s">
        <v>3135</v>
      </c>
      <c r="N3141">
        <v>679</v>
      </c>
      <c r="O3141" s="2">
        <v>46171</v>
      </c>
      <c r="P3141" s="2">
        <v>46280</v>
      </c>
      <c r="R3141" t="s">
        <v>8427</v>
      </c>
      <c r="S3141" t="str">
        <f>"1219"</f>
        <v>1219</v>
      </c>
      <c r="T3141" t="s">
        <v>41</v>
      </c>
      <c r="U3141">
        <v>5418.5</v>
      </c>
      <c r="V3141">
        <v>5418.5</v>
      </c>
      <c r="W3141">
        <v>5418.5</v>
      </c>
      <c r="X3141">
        <v>0</v>
      </c>
      <c r="Y3141">
        <v>0</v>
      </c>
      <c r="Z3141">
        <v>-505</v>
      </c>
      <c r="AA3141">
        <v>689976</v>
      </c>
      <c r="AD3141" t="s">
        <v>8428</v>
      </c>
      <c r="AE3141" t="s">
        <v>8429</v>
      </c>
      <c r="AF3141" t="s">
        <v>8428</v>
      </c>
      <c r="AG3141" s="1" t="s">
        <v>8430</v>
      </c>
      <c r="AH3141" t="s">
        <v>44</v>
      </c>
    </row>
    <row r="3142" spans="1:34" x14ac:dyDescent="0.3">
      <c r="A3142">
        <v>101</v>
      </c>
      <c r="B3142" t="s">
        <v>34</v>
      </c>
      <c r="C3142">
        <v>2</v>
      </c>
      <c r="D3142" s="1" t="s">
        <v>8431</v>
      </c>
      <c r="E3142" s="1" t="s">
        <v>36</v>
      </c>
      <c r="G3142">
        <v>437899</v>
      </c>
      <c r="H3142" t="s">
        <v>8426</v>
      </c>
      <c r="I3142" t="s">
        <v>8345</v>
      </c>
      <c r="J3142">
        <v>15</v>
      </c>
      <c r="K3142">
        <v>10032</v>
      </c>
      <c r="L3142">
        <v>95000</v>
      </c>
      <c r="M3142" t="s">
        <v>69</v>
      </c>
      <c r="N3142">
        <v>679</v>
      </c>
      <c r="O3142" s="2">
        <v>46203</v>
      </c>
      <c r="P3142" s="2">
        <v>46310</v>
      </c>
      <c r="R3142" t="s">
        <v>8432</v>
      </c>
      <c r="S3142" t="str">
        <f>""</f>
        <v/>
      </c>
      <c r="T3142" t="s">
        <v>41</v>
      </c>
      <c r="U3142">
        <v>2579.02</v>
      </c>
      <c r="V3142">
        <v>2579.02</v>
      </c>
      <c r="W3142">
        <v>2579.02</v>
      </c>
      <c r="X3142">
        <v>0</v>
      </c>
      <c r="Y3142">
        <v>0</v>
      </c>
      <c r="Z3142">
        <v>-535</v>
      </c>
      <c r="AA3142">
        <v>693500</v>
      </c>
      <c r="AD3142" t="s">
        <v>8428</v>
      </c>
      <c r="AE3142" t="s">
        <v>8429</v>
      </c>
      <c r="AF3142" t="s">
        <v>8428</v>
      </c>
      <c r="AG3142" s="1" t="s">
        <v>8430</v>
      </c>
      <c r="AH3142" t="s">
        <v>44</v>
      </c>
    </row>
    <row r="3143" spans="1:34" x14ac:dyDescent="0.3">
      <c r="A3143">
        <v>101</v>
      </c>
      <c r="B3143" t="s">
        <v>34</v>
      </c>
      <c r="C3143">
        <v>2</v>
      </c>
      <c r="D3143" s="1" t="s">
        <v>8433</v>
      </c>
      <c r="E3143" s="1" t="s">
        <v>36</v>
      </c>
      <c r="G3143">
        <v>437899</v>
      </c>
      <c r="H3143" t="s">
        <v>8426</v>
      </c>
      <c r="I3143" t="s">
        <v>8345</v>
      </c>
      <c r="J3143">
        <v>15</v>
      </c>
      <c r="K3143">
        <v>10032</v>
      </c>
      <c r="L3143">
        <v>10001</v>
      </c>
      <c r="M3143" t="s">
        <v>3135</v>
      </c>
      <c r="N3143">
        <v>679</v>
      </c>
      <c r="O3143" s="2">
        <v>46162</v>
      </c>
      <c r="P3143" s="2">
        <v>46273</v>
      </c>
      <c r="R3143" t="s">
        <v>8434</v>
      </c>
      <c r="S3143" t="str">
        <f>"1219"</f>
        <v>1219</v>
      </c>
      <c r="T3143" t="s">
        <v>41</v>
      </c>
      <c r="U3143">
        <v>2769.96</v>
      </c>
      <c r="V3143">
        <v>2769.96</v>
      </c>
      <c r="W3143">
        <v>2769.96</v>
      </c>
      <c r="X3143">
        <v>0</v>
      </c>
      <c r="Y3143">
        <v>0</v>
      </c>
      <c r="Z3143">
        <v>-498</v>
      </c>
      <c r="AA3143">
        <v>687713</v>
      </c>
      <c r="AD3143" t="s">
        <v>8428</v>
      </c>
      <c r="AE3143" t="s">
        <v>8429</v>
      </c>
      <c r="AF3143" t="s">
        <v>8428</v>
      </c>
      <c r="AG3143" s="1" t="s">
        <v>8430</v>
      </c>
      <c r="AH3143" t="s">
        <v>44</v>
      </c>
    </row>
    <row r="3144" spans="1:34" x14ac:dyDescent="0.3">
      <c r="A3144">
        <v>101</v>
      </c>
      <c r="B3144" t="s">
        <v>34</v>
      </c>
      <c r="C3144">
        <v>2</v>
      </c>
      <c r="D3144" s="1" t="s">
        <v>8435</v>
      </c>
      <c r="E3144" s="1" t="s">
        <v>36</v>
      </c>
      <c r="G3144">
        <v>437899</v>
      </c>
      <c r="H3144" t="s">
        <v>8426</v>
      </c>
      <c r="I3144" t="s">
        <v>8345</v>
      </c>
      <c r="J3144">
        <v>15</v>
      </c>
      <c r="K3144">
        <v>10032</v>
      </c>
      <c r="L3144">
        <v>95000</v>
      </c>
      <c r="M3144" t="s">
        <v>69</v>
      </c>
      <c r="N3144">
        <v>679</v>
      </c>
      <c r="O3144" s="2">
        <v>46234</v>
      </c>
      <c r="P3144" s="2">
        <v>46324</v>
      </c>
      <c r="R3144" t="s">
        <v>8436</v>
      </c>
      <c r="S3144" t="str">
        <f>""</f>
        <v/>
      </c>
      <c r="T3144" t="s">
        <v>41</v>
      </c>
      <c r="U3144">
        <v>4126.55</v>
      </c>
      <c r="V3144">
        <v>4126.55</v>
      </c>
      <c r="W3144">
        <v>4126.55</v>
      </c>
      <c r="X3144">
        <v>0</v>
      </c>
      <c r="Y3144">
        <v>0</v>
      </c>
      <c r="Z3144">
        <v>-549</v>
      </c>
      <c r="AA3144">
        <v>695113</v>
      </c>
      <c r="AD3144" t="s">
        <v>8428</v>
      </c>
      <c r="AE3144" t="s">
        <v>8429</v>
      </c>
      <c r="AF3144" t="s">
        <v>8428</v>
      </c>
      <c r="AG3144" s="1" t="s">
        <v>8430</v>
      </c>
      <c r="AH3144" t="s">
        <v>44</v>
      </c>
    </row>
    <row r="3145" spans="1:34" x14ac:dyDescent="0.3">
      <c r="A3145">
        <v>101</v>
      </c>
      <c r="B3145" t="s">
        <v>34</v>
      </c>
      <c r="C3145">
        <v>2</v>
      </c>
      <c r="D3145" s="1" t="s">
        <v>8437</v>
      </c>
      <c r="E3145" s="1" t="s">
        <v>36</v>
      </c>
      <c r="G3145">
        <v>437900</v>
      </c>
      <c r="H3145" t="s">
        <v>8438</v>
      </c>
      <c r="I3145" t="s">
        <v>8345</v>
      </c>
      <c r="J3145">
        <v>15</v>
      </c>
      <c r="K3145">
        <v>10032</v>
      </c>
      <c r="L3145">
        <v>10001</v>
      </c>
      <c r="M3145" t="s">
        <v>3135</v>
      </c>
      <c r="N3145">
        <v>679</v>
      </c>
      <c r="O3145" s="2">
        <v>46171</v>
      </c>
      <c r="P3145" s="2">
        <v>46280</v>
      </c>
      <c r="R3145" t="s">
        <v>8439</v>
      </c>
      <c r="S3145" t="str">
        <f>"1219"</f>
        <v>1219</v>
      </c>
      <c r="T3145" t="s">
        <v>41</v>
      </c>
      <c r="U3145">
        <v>2877.64</v>
      </c>
      <c r="V3145">
        <v>2877.64</v>
      </c>
      <c r="W3145">
        <v>2877.64</v>
      </c>
      <c r="X3145">
        <v>0</v>
      </c>
      <c r="Y3145">
        <v>0</v>
      </c>
      <c r="Z3145">
        <v>-505</v>
      </c>
      <c r="AA3145">
        <v>689980</v>
      </c>
      <c r="AD3145" t="s">
        <v>5192</v>
      </c>
      <c r="AE3145" t="s">
        <v>8440</v>
      </c>
      <c r="AF3145" t="s">
        <v>5192</v>
      </c>
      <c r="AG3145" s="1" t="s">
        <v>8441</v>
      </c>
      <c r="AH3145" t="s">
        <v>44</v>
      </c>
    </row>
    <row r="3146" spans="1:34" x14ac:dyDescent="0.3">
      <c r="A3146">
        <v>101</v>
      </c>
      <c r="B3146" t="s">
        <v>34</v>
      </c>
      <c r="C3146">
        <v>2</v>
      </c>
      <c r="D3146" s="1" t="s">
        <v>8442</v>
      </c>
      <c r="E3146" s="1" t="s">
        <v>36</v>
      </c>
      <c r="G3146">
        <v>437900</v>
      </c>
      <c r="H3146" t="s">
        <v>8438</v>
      </c>
      <c r="I3146" t="s">
        <v>8345</v>
      </c>
      <c r="J3146">
        <v>15</v>
      </c>
      <c r="K3146">
        <v>10032</v>
      </c>
      <c r="L3146">
        <v>95000</v>
      </c>
      <c r="M3146" t="s">
        <v>69</v>
      </c>
      <c r="N3146">
        <v>679</v>
      </c>
      <c r="O3146" s="2">
        <v>46234</v>
      </c>
      <c r="P3146" s="2">
        <v>46324</v>
      </c>
      <c r="R3146" t="s">
        <v>8443</v>
      </c>
      <c r="S3146" t="str">
        <f>""</f>
        <v/>
      </c>
      <c r="T3146" t="s">
        <v>41</v>
      </c>
      <c r="U3146">
        <v>4312.92</v>
      </c>
      <c r="V3146">
        <v>4312.92</v>
      </c>
      <c r="W3146">
        <v>4312.92</v>
      </c>
      <c r="X3146">
        <v>0</v>
      </c>
      <c r="Y3146">
        <v>0</v>
      </c>
      <c r="Z3146">
        <v>-549</v>
      </c>
      <c r="AA3146">
        <v>695117</v>
      </c>
      <c r="AD3146" t="s">
        <v>5192</v>
      </c>
      <c r="AE3146" t="s">
        <v>8440</v>
      </c>
      <c r="AF3146" t="s">
        <v>5192</v>
      </c>
      <c r="AG3146" s="1" t="s">
        <v>8441</v>
      </c>
      <c r="AH3146" t="s">
        <v>44</v>
      </c>
    </row>
    <row r="3147" spans="1:34" x14ac:dyDescent="0.3">
      <c r="A3147">
        <v>101</v>
      </c>
      <c r="B3147" t="s">
        <v>34</v>
      </c>
      <c r="C3147">
        <v>2</v>
      </c>
      <c r="D3147" s="1" t="s">
        <v>8444</v>
      </c>
      <c r="E3147" s="1" t="s">
        <v>36</v>
      </c>
      <c r="G3147">
        <v>437900</v>
      </c>
      <c r="H3147" t="s">
        <v>8438</v>
      </c>
      <c r="I3147" t="s">
        <v>8345</v>
      </c>
      <c r="J3147">
        <v>15</v>
      </c>
      <c r="K3147">
        <v>10032</v>
      </c>
      <c r="L3147">
        <v>95000</v>
      </c>
      <c r="M3147" t="s">
        <v>69</v>
      </c>
      <c r="N3147">
        <v>679</v>
      </c>
      <c r="O3147" s="2">
        <v>46203</v>
      </c>
      <c r="P3147" s="2">
        <v>46320</v>
      </c>
      <c r="R3147" t="s">
        <v>8445</v>
      </c>
      <c r="S3147" t="str">
        <f>""</f>
        <v/>
      </c>
      <c r="T3147" t="s">
        <v>41</v>
      </c>
      <c r="U3147">
        <v>3354.93</v>
      </c>
      <c r="V3147">
        <v>3354.93</v>
      </c>
      <c r="W3147">
        <v>3354.93</v>
      </c>
      <c r="X3147">
        <v>0</v>
      </c>
      <c r="Y3147">
        <v>0</v>
      </c>
      <c r="Z3147">
        <v>-545</v>
      </c>
      <c r="AA3147">
        <v>693504</v>
      </c>
      <c r="AD3147" t="s">
        <v>5192</v>
      </c>
      <c r="AE3147" t="s">
        <v>8440</v>
      </c>
      <c r="AF3147" t="s">
        <v>5192</v>
      </c>
      <c r="AG3147" s="1" t="s">
        <v>8441</v>
      </c>
      <c r="AH3147" t="s">
        <v>44</v>
      </c>
    </row>
    <row r="3148" spans="1:34" x14ac:dyDescent="0.3">
      <c r="A3148">
        <v>101</v>
      </c>
      <c r="B3148" t="s">
        <v>34</v>
      </c>
      <c r="C3148">
        <v>2</v>
      </c>
      <c r="D3148" s="1" t="s">
        <v>8446</v>
      </c>
      <c r="E3148" s="1" t="s">
        <v>36</v>
      </c>
      <c r="G3148">
        <v>437901</v>
      </c>
      <c r="H3148" t="s">
        <v>8447</v>
      </c>
      <c r="I3148" t="s">
        <v>8345</v>
      </c>
      <c r="J3148">
        <v>15</v>
      </c>
      <c r="K3148">
        <v>10032</v>
      </c>
      <c r="L3148">
        <v>95000</v>
      </c>
      <c r="M3148" t="s">
        <v>69</v>
      </c>
      <c r="N3148">
        <v>679</v>
      </c>
      <c r="O3148" s="2">
        <v>46234</v>
      </c>
      <c r="P3148" s="2">
        <v>46324</v>
      </c>
      <c r="R3148" t="s">
        <v>8448</v>
      </c>
      <c r="S3148" t="str">
        <f>""</f>
        <v/>
      </c>
      <c r="T3148" t="s">
        <v>41</v>
      </c>
      <c r="U3148">
        <v>7663.29</v>
      </c>
      <c r="V3148">
        <v>7663.29</v>
      </c>
      <c r="W3148">
        <v>7663.29</v>
      </c>
      <c r="X3148">
        <v>0</v>
      </c>
      <c r="Y3148">
        <v>0</v>
      </c>
      <c r="Z3148">
        <v>-549</v>
      </c>
      <c r="AA3148">
        <v>695121</v>
      </c>
      <c r="AD3148" t="s">
        <v>139</v>
      </c>
      <c r="AE3148" t="s">
        <v>8449</v>
      </c>
      <c r="AF3148" t="s">
        <v>139</v>
      </c>
      <c r="AG3148" s="1" t="s">
        <v>8450</v>
      </c>
      <c r="AH3148" t="s">
        <v>44</v>
      </c>
    </row>
    <row r="3149" spans="1:34" x14ac:dyDescent="0.3">
      <c r="A3149">
        <v>101</v>
      </c>
      <c r="B3149" t="s">
        <v>34</v>
      </c>
      <c r="C3149">
        <v>2</v>
      </c>
      <c r="D3149" s="1" t="s">
        <v>8451</v>
      </c>
      <c r="E3149" s="1" t="s">
        <v>36</v>
      </c>
      <c r="G3149">
        <v>437901</v>
      </c>
      <c r="H3149" t="s">
        <v>8447</v>
      </c>
      <c r="I3149" t="s">
        <v>8345</v>
      </c>
      <c r="J3149">
        <v>15</v>
      </c>
      <c r="K3149">
        <v>10032</v>
      </c>
      <c r="L3149">
        <v>95000</v>
      </c>
      <c r="M3149" t="s">
        <v>69</v>
      </c>
      <c r="N3149">
        <v>679</v>
      </c>
      <c r="O3149" s="2">
        <v>46203</v>
      </c>
      <c r="P3149" s="2">
        <v>46320</v>
      </c>
      <c r="R3149" t="s">
        <v>8452</v>
      </c>
      <c r="S3149" t="str">
        <f>""</f>
        <v/>
      </c>
      <c r="T3149" t="s">
        <v>41</v>
      </c>
      <c r="U3149">
        <v>3861.36</v>
      </c>
      <c r="V3149">
        <v>3861.36</v>
      </c>
      <c r="W3149">
        <v>3861.36</v>
      </c>
      <c r="X3149">
        <v>0</v>
      </c>
      <c r="Y3149">
        <v>0</v>
      </c>
      <c r="Z3149">
        <v>-545</v>
      </c>
      <c r="AA3149">
        <v>693508</v>
      </c>
      <c r="AD3149" t="s">
        <v>139</v>
      </c>
      <c r="AE3149" t="s">
        <v>8449</v>
      </c>
      <c r="AF3149" t="s">
        <v>139</v>
      </c>
      <c r="AG3149" s="1" t="s">
        <v>8450</v>
      </c>
      <c r="AH3149" t="s">
        <v>44</v>
      </c>
    </row>
    <row r="3150" spans="1:34" x14ac:dyDescent="0.3">
      <c r="A3150">
        <v>101</v>
      </c>
      <c r="B3150" t="s">
        <v>34</v>
      </c>
      <c r="C3150">
        <v>2</v>
      </c>
      <c r="D3150" s="1" t="s">
        <v>8453</v>
      </c>
      <c r="E3150" s="1" t="s">
        <v>36</v>
      </c>
      <c r="G3150">
        <v>437901</v>
      </c>
      <c r="H3150" t="s">
        <v>8447</v>
      </c>
      <c r="I3150" t="s">
        <v>8345</v>
      </c>
      <c r="J3150">
        <v>15</v>
      </c>
      <c r="K3150">
        <v>10032</v>
      </c>
      <c r="L3150">
        <v>10001</v>
      </c>
      <c r="M3150" t="s">
        <v>3135</v>
      </c>
      <c r="N3150">
        <v>679</v>
      </c>
      <c r="O3150" s="2">
        <v>46171</v>
      </c>
      <c r="P3150" s="2">
        <v>46280</v>
      </c>
      <c r="R3150" t="s">
        <v>8454</v>
      </c>
      <c r="S3150" t="str">
        <f>"1219"</f>
        <v>1219</v>
      </c>
      <c r="T3150" t="s">
        <v>41</v>
      </c>
      <c r="U3150">
        <v>5422.61</v>
      </c>
      <c r="V3150">
        <v>5422.61</v>
      </c>
      <c r="W3150">
        <v>5422.61</v>
      </c>
      <c r="X3150">
        <v>0</v>
      </c>
      <c r="Y3150">
        <v>0</v>
      </c>
      <c r="Z3150">
        <v>-505</v>
      </c>
      <c r="AA3150">
        <v>689984</v>
      </c>
      <c r="AD3150" t="s">
        <v>139</v>
      </c>
      <c r="AE3150" t="s">
        <v>8449</v>
      </c>
      <c r="AF3150" t="s">
        <v>139</v>
      </c>
      <c r="AG3150" s="1" t="s">
        <v>8450</v>
      </c>
      <c r="AH3150" t="s">
        <v>44</v>
      </c>
    </row>
    <row r="3151" spans="1:34" x14ac:dyDescent="0.3">
      <c r="A3151">
        <v>101</v>
      </c>
      <c r="B3151" t="s">
        <v>34</v>
      </c>
      <c r="C3151">
        <v>2</v>
      </c>
      <c r="D3151" s="1" t="s">
        <v>8455</v>
      </c>
      <c r="E3151" s="1" t="s">
        <v>36</v>
      </c>
      <c r="G3151">
        <v>437901</v>
      </c>
      <c r="H3151" t="s">
        <v>8447</v>
      </c>
      <c r="I3151" t="s">
        <v>8345</v>
      </c>
      <c r="J3151">
        <v>15</v>
      </c>
      <c r="K3151">
        <v>10032</v>
      </c>
      <c r="L3151">
        <v>10001</v>
      </c>
      <c r="M3151" t="s">
        <v>3135</v>
      </c>
      <c r="N3151">
        <v>679</v>
      </c>
      <c r="O3151" s="2">
        <v>46162</v>
      </c>
      <c r="P3151" s="2">
        <v>46273</v>
      </c>
      <c r="R3151" t="s">
        <v>8456</v>
      </c>
      <c r="S3151" t="str">
        <f>"1219"</f>
        <v>1219</v>
      </c>
      <c r="T3151" t="s">
        <v>41</v>
      </c>
      <c r="U3151">
        <v>2923.47</v>
      </c>
      <c r="V3151">
        <v>2923.47</v>
      </c>
      <c r="W3151">
        <v>2923.47</v>
      </c>
      <c r="X3151">
        <v>0</v>
      </c>
      <c r="Y3151">
        <v>0</v>
      </c>
      <c r="Z3151">
        <v>-498</v>
      </c>
      <c r="AA3151">
        <v>687717</v>
      </c>
      <c r="AD3151" t="s">
        <v>139</v>
      </c>
      <c r="AE3151" t="s">
        <v>8449</v>
      </c>
      <c r="AF3151" t="s">
        <v>139</v>
      </c>
      <c r="AG3151" s="1" t="s">
        <v>8450</v>
      </c>
      <c r="AH3151" t="s">
        <v>44</v>
      </c>
    </row>
    <row r="3152" spans="1:34" x14ac:dyDescent="0.3">
      <c r="A3152">
        <v>101</v>
      </c>
      <c r="B3152" t="s">
        <v>34</v>
      </c>
      <c r="C3152">
        <v>2</v>
      </c>
      <c r="D3152" s="1" t="s">
        <v>8457</v>
      </c>
      <c r="E3152" s="1" t="s">
        <v>36</v>
      </c>
      <c r="G3152">
        <v>437902</v>
      </c>
      <c r="H3152" t="s">
        <v>8458</v>
      </c>
      <c r="I3152" t="s">
        <v>8345</v>
      </c>
      <c r="J3152">
        <v>15</v>
      </c>
      <c r="K3152">
        <v>10032</v>
      </c>
      <c r="L3152">
        <v>95000</v>
      </c>
      <c r="M3152" t="s">
        <v>69</v>
      </c>
      <c r="N3152">
        <v>679</v>
      </c>
      <c r="O3152" s="2">
        <v>46203</v>
      </c>
      <c r="P3152" s="2">
        <v>46320</v>
      </c>
      <c r="R3152" t="s">
        <v>8459</v>
      </c>
      <c r="S3152" t="str">
        <f>""</f>
        <v/>
      </c>
      <c r="T3152" t="s">
        <v>41</v>
      </c>
      <c r="U3152">
        <v>5116.6000000000004</v>
      </c>
      <c r="V3152">
        <v>5116.6000000000004</v>
      </c>
      <c r="W3152">
        <v>5116.6000000000004</v>
      </c>
      <c r="X3152">
        <v>0</v>
      </c>
      <c r="Y3152">
        <v>0</v>
      </c>
      <c r="Z3152">
        <v>-545</v>
      </c>
      <c r="AA3152">
        <v>693512</v>
      </c>
      <c r="AD3152" t="s">
        <v>4984</v>
      </c>
      <c r="AE3152" t="s">
        <v>8460</v>
      </c>
      <c r="AF3152" t="s">
        <v>4984</v>
      </c>
      <c r="AG3152" s="1" t="s">
        <v>8461</v>
      </c>
      <c r="AH3152" t="s">
        <v>44</v>
      </c>
    </row>
    <row r="3153" spans="1:34" x14ac:dyDescent="0.3">
      <c r="A3153">
        <v>101</v>
      </c>
      <c r="B3153" t="s">
        <v>34</v>
      </c>
      <c r="C3153">
        <v>2</v>
      </c>
      <c r="D3153" s="1" t="s">
        <v>8462</v>
      </c>
      <c r="E3153" s="1" t="s">
        <v>36</v>
      </c>
      <c r="G3153">
        <v>437902</v>
      </c>
      <c r="H3153" t="s">
        <v>8458</v>
      </c>
      <c r="I3153" t="s">
        <v>8345</v>
      </c>
      <c r="J3153">
        <v>15</v>
      </c>
      <c r="K3153">
        <v>10032</v>
      </c>
      <c r="L3153">
        <v>10001</v>
      </c>
      <c r="M3153" t="s">
        <v>3135</v>
      </c>
      <c r="N3153">
        <v>679</v>
      </c>
      <c r="O3153" s="2">
        <v>46162</v>
      </c>
      <c r="P3153" s="2">
        <v>46273</v>
      </c>
      <c r="R3153" t="s">
        <v>8463</v>
      </c>
      <c r="S3153" t="str">
        <f>"1219"</f>
        <v>1219</v>
      </c>
      <c r="T3153" t="s">
        <v>41</v>
      </c>
      <c r="U3153">
        <v>3686.9</v>
      </c>
      <c r="V3153">
        <v>3686.9</v>
      </c>
      <c r="W3153">
        <v>3686.9</v>
      </c>
      <c r="X3153">
        <v>0</v>
      </c>
      <c r="Y3153">
        <v>0</v>
      </c>
      <c r="Z3153">
        <v>-498</v>
      </c>
      <c r="AA3153">
        <v>687721</v>
      </c>
      <c r="AD3153" t="s">
        <v>4984</v>
      </c>
      <c r="AE3153" t="s">
        <v>8460</v>
      </c>
      <c r="AF3153" t="s">
        <v>4984</v>
      </c>
      <c r="AG3153" s="1" t="s">
        <v>8461</v>
      </c>
      <c r="AH3153" t="s">
        <v>44</v>
      </c>
    </row>
    <row r="3154" spans="1:34" x14ac:dyDescent="0.3">
      <c r="A3154">
        <v>101</v>
      </c>
      <c r="B3154" t="s">
        <v>34</v>
      </c>
      <c r="C3154">
        <v>2</v>
      </c>
      <c r="D3154" s="1" t="s">
        <v>8464</v>
      </c>
      <c r="E3154" s="1" t="s">
        <v>36</v>
      </c>
      <c r="G3154">
        <v>437902</v>
      </c>
      <c r="H3154" t="s">
        <v>8458</v>
      </c>
      <c r="I3154" t="s">
        <v>8345</v>
      </c>
      <c r="J3154">
        <v>15</v>
      </c>
      <c r="K3154">
        <v>10032</v>
      </c>
      <c r="L3154">
        <v>10001</v>
      </c>
      <c r="M3154" t="s">
        <v>3135</v>
      </c>
      <c r="N3154">
        <v>679</v>
      </c>
      <c r="O3154" s="2">
        <v>46171</v>
      </c>
      <c r="P3154" s="2">
        <v>46280</v>
      </c>
      <c r="R3154" t="s">
        <v>8465</v>
      </c>
      <c r="S3154" t="str">
        <f>"1219"</f>
        <v>1219</v>
      </c>
      <c r="T3154" t="s">
        <v>41</v>
      </c>
      <c r="U3154">
        <v>4924.79</v>
      </c>
      <c r="V3154">
        <v>4924.79</v>
      </c>
      <c r="W3154">
        <v>4924.79</v>
      </c>
      <c r="X3154">
        <v>0</v>
      </c>
      <c r="Y3154">
        <v>0</v>
      </c>
      <c r="Z3154">
        <v>-505</v>
      </c>
      <c r="AA3154">
        <v>689988</v>
      </c>
      <c r="AD3154" t="s">
        <v>4984</v>
      </c>
      <c r="AE3154" t="s">
        <v>8460</v>
      </c>
      <c r="AF3154" t="s">
        <v>4984</v>
      </c>
      <c r="AG3154" s="1" t="s">
        <v>8461</v>
      </c>
      <c r="AH3154" t="s">
        <v>44</v>
      </c>
    </row>
    <row r="3155" spans="1:34" x14ac:dyDescent="0.3">
      <c r="A3155">
        <v>101</v>
      </c>
      <c r="B3155" t="s">
        <v>34</v>
      </c>
      <c r="C3155">
        <v>2</v>
      </c>
      <c r="D3155" s="1" t="s">
        <v>8466</v>
      </c>
      <c r="E3155" s="1" t="s">
        <v>36</v>
      </c>
      <c r="G3155">
        <v>437902</v>
      </c>
      <c r="H3155" t="s">
        <v>8458</v>
      </c>
      <c r="I3155" t="s">
        <v>8345</v>
      </c>
      <c r="J3155">
        <v>15</v>
      </c>
      <c r="K3155">
        <v>10032</v>
      </c>
      <c r="L3155">
        <v>95000</v>
      </c>
      <c r="M3155" t="s">
        <v>69</v>
      </c>
      <c r="N3155">
        <v>679</v>
      </c>
      <c r="O3155" s="2">
        <v>46234</v>
      </c>
      <c r="P3155" s="2">
        <v>46324</v>
      </c>
      <c r="R3155" t="s">
        <v>8467</v>
      </c>
      <c r="S3155" t="str">
        <f>""</f>
        <v/>
      </c>
      <c r="T3155" t="s">
        <v>41</v>
      </c>
      <c r="U3155">
        <v>6199</v>
      </c>
      <c r="V3155">
        <v>6199</v>
      </c>
      <c r="W3155">
        <v>6199</v>
      </c>
      <c r="X3155">
        <v>0</v>
      </c>
      <c r="Y3155">
        <v>0</v>
      </c>
      <c r="Z3155">
        <v>-549</v>
      </c>
      <c r="AA3155">
        <v>695125</v>
      </c>
      <c r="AD3155" t="s">
        <v>4984</v>
      </c>
      <c r="AE3155" t="s">
        <v>8460</v>
      </c>
      <c r="AF3155" t="s">
        <v>4984</v>
      </c>
      <c r="AG3155" s="1" t="s">
        <v>8461</v>
      </c>
      <c r="AH3155" t="s">
        <v>44</v>
      </c>
    </row>
    <row r="3156" spans="1:34" x14ac:dyDescent="0.3">
      <c r="A3156">
        <v>101</v>
      </c>
      <c r="B3156" t="s">
        <v>34</v>
      </c>
      <c r="C3156">
        <v>2</v>
      </c>
      <c r="D3156" s="1" t="s">
        <v>8468</v>
      </c>
      <c r="E3156" s="1" t="s">
        <v>36</v>
      </c>
      <c r="G3156">
        <v>437903</v>
      </c>
      <c r="H3156" t="s">
        <v>8469</v>
      </c>
      <c r="I3156" t="s">
        <v>8345</v>
      </c>
      <c r="J3156">
        <v>15</v>
      </c>
      <c r="K3156">
        <v>10032</v>
      </c>
      <c r="L3156">
        <v>10001</v>
      </c>
      <c r="M3156" t="s">
        <v>3135</v>
      </c>
      <c r="N3156">
        <v>679</v>
      </c>
      <c r="O3156" s="2">
        <v>46171</v>
      </c>
      <c r="P3156" s="2">
        <v>46280</v>
      </c>
      <c r="R3156" t="s">
        <v>8470</v>
      </c>
      <c r="S3156" t="str">
        <f>"1219"</f>
        <v>1219</v>
      </c>
      <c r="T3156" t="s">
        <v>41</v>
      </c>
      <c r="U3156">
        <v>5037.63</v>
      </c>
      <c r="V3156">
        <v>5037.63</v>
      </c>
      <c r="W3156">
        <v>5037.63</v>
      </c>
      <c r="X3156">
        <v>0</v>
      </c>
      <c r="Y3156">
        <v>0</v>
      </c>
      <c r="Z3156">
        <v>-505</v>
      </c>
      <c r="AA3156">
        <v>689992</v>
      </c>
      <c r="AD3156" t="s">
        <v>8471</v>
      </c>
      <c r="AE3156" t="s">
        <v>8472</v>
      </c>
      <c r="AF3156" t="s">
        <v>8471</v>
      </c>
      <c r="AG3156" s="1" t="s">
        <v>8473</v>
      </c>
      <c r="AH3156" t="s">
        <v>44</v>
      </c>
    </row>
    <row r="3157" spans="1:34" x14ac:dyDescent="0.3">
      <c r="A3157">
        <v>101</v>
      </c>
      <c r="B3157" t="s">
        <v>34</v>
      </c>
      <c r="C3157">
        <v>2</v>
      </c>
      <c r="D3157" s="1" t="s">
        <v>8474</v>
      </c>
      <c r="E3157" s="1" t="s">
        <v>36</v>
      </c>
      <c r="G3157">
        <v>437903</v>
      </c>
      <c r="H3157" t="s">
        <v>8469</v>
      </c>
      <c r="I3157" t="s">
        <v>8345</v>
      </c>
      <c r="J3157">
        <v>15</v>
      </c>
      <c r="K3157">
        <v>10032</v>
      </c>
      <c r="L3157">
        <v>95000</v>
      </c>
      <c r="M3157" t="s">
        <v>69</v>
      </c>
      <c r="N3157">
        <v>679</v>
      </c>
      <c r="O3157" s="2">
        <v>46234</v>
      </c>
      <c r="P3157" s="2">
        <v>46324</v>
      </c>
      <c r="R3157" t="s">
        <v>8475</v>
      </c>
      <c r="S3157" t="str">
        <f>""</f>
        <v/>
      </c>
      <c r="T3157" t="s">
        <v>41</v>
      </c>
      <c r="U3157">
        <v>8970.5</v>
      </c>
      <c r="V3157">
        <v>8970.5</v>
      </c>
      <c r="W3157">
        <v>8970.5</v>
      </c>
      <c r="X3157">
        <v>0</v>
      </c>
      <c r="Y3157">
        <v>0</v>
      </c>
      <c r="Z3157">
        <v>-549</v>
      </c>
      <c r="AA3157">
        <v>695129</v>
      </c>
      <c r="AD3157" t="s">
        <v>8471</v>
      </c>
      <c r="AE3157" t="s">
        <v>8472</v>
      </c>
      <c r="AF3157" t="s">
        <v>8471</v>
      </c>
      <c r="AG3157" s="1" t="s">
        <v>8473</v>
      </c>
      <c r="AH3157" t="s">
        <v>44</v>
      </c>
    </row>
    <row r="3158" spans="1:34" x14ac:dyDescent="0.3">
      <c r="A3158">
        <v>101</v>
      </c>
      <c r="B3158" t="s">
        <v>34</v>
      </c>
      <c r="C3158">
        <v>2</v>
      </c>
      <c r="D3158" s="1" t="s">
        <v>8476</v>
      </c>
      <c r="E3158" s="1" t="s">
        <v>36</v>
      </c>
      <c r="G3158">
        <v>437903</v>
      </c>
      <c r="H3158" t="s">
        <v>8469</v>
      </c>
      <c r="I3158" t="s">
        <v>8345</v>
      </c>
      <c r="J3158">
        <v>15</v>
      </c>
      <c r="K3158">
        <v>10032</v>
      </c>
      <c r="L3158">
        <v>10001</v>
      </c>
      <c r="M3158" t="s">
        <v>3135</v>
      </c>
      <c r="N3158">
        <v>679</v>
      </c>
      <c r="O3158" s="2">
        <v>46162</v>
      </c>
      <c r="P3158" s="2">
        <v>46273</v>
      </c>
      <c r="R3158" t="s">
        <v>8477</v>
      </c>
      <c r="S3158" t="str">
        <f>"1219"</f>
        <v>1219</v>
      </c>
      <c r="T3158" t="s">
        <v>41</v>
      </c>
      <c r="U3158">
        <v>5599.34</v>
      </c>
      <c r="V3158">
        <v>5599.34</v>
      </c>
      <c r="W3158">
        <v>5599.34</v>
      </c>
      <c r="X3158">
        <v>0</v>
      </c>
      <c r="Y3158">
        <v>0</v>
      </c>
      <c r="Z3158">
        <v>-498</v>
      </c>
      <c r="AA3158">
        <v>687725</v>
      </c>
      <c r="AD3158" t="s">
        <v>8471</v>
      </c>
      <c r="AE3158" t="s">
        <v>8472</v>
      </c>
      <c r="AF3158" t="s">
        <v>8471</v>
      </c>
      <c r="AG3158" s="1" t="s">
        <v>8473</v>
      </c>
      <c r="AH3158" t="s">
        <v>44</v>
      </c>
    </row>
    <row r="3159" spans="1:34" x14ac:dyDescent="0.3">
      <c r="A3159">
        <v>101</v>
      </c>
      <c r="B3159" t="s">
        <v>34</v>
      </c>
      <c r="C3159">
        <v>2</v>
      </c>
      <c r="D3159" s="1" t="s">
        <v>8478</v>
      </c>
      <c r="E3159" s="1" t="s">
        <v>36</v>
      </c>
      <c r="G3159">
        <v>437903</v>
      </c>
      <c r="H3159" t="s">
        <v>8469</v>
      </c>
      <c r="I3159" t="s">
        <v>8345</v>
      </c>
      <c r="J3159">
        <v>15</v>
      </c>
      <c r="K3159">
        <v>10032</v>
      </c>
      <c r="L3159">
        <v>95000</v>
      </c>
      <c r="M3159" t="s">
        <v>69</v>
      </c>
      <c r="N3159">
        <v>679</v>
      </c>
      <c r="O3159" s="2">
        <v>46203</v>
      </c>
      <c r="P3159" s="2">
        <v>46310</v>
      </c>
      <c r="R3159" t="s">
        <v>8479</v>
      </c>
      <c r="S3159" t="str">
        <f>""</f>
        <v/>
      </c>
      <c r="T3159" t="s">
        <v>41</v>
      </c>
      <c r="U3159">
        <v>2203.62</v>
      </c>
      <c r="V3159">
        <v>2203.62</v>
      </c>
      <c r="W3159">
        <v>2203.62</v>
      </c>
      <c r="X3159">
        <v>0</v>
      </c>
      <c r="Y3159">
        <v>0</v>
      </c>
      <c r="Z3159">
        <v>-535</v>
      </c>
      <c r="AA3159">
        <v>693516</v>
      </c>
      <c r="AD3159" t="s">
        <v>8471</v>
      </c>
      <c r="AE3159" t="s">
        <v>8472</v>
      </c>
      <c r="AF3159" t="s">
        <v>8471</v>
      </c>
      <c r="AG3159" s="1" t="s">
        <v>8473</v>
      </c>
      <c r="AH3159" t="s">
        <v>44</v>
      </c>
    </row>
    <row r="3160" spans="1:34" x14ac:dyDescent="0.3">
      <c r="A3160">
        <v>101</v>
      </c>
      <c r="B3160" t="s">
        <v>34</v>
      </c>
      <c r="C3160">
        <v>2</v>
      </c>
      <c r="D3160" s="1" t="s">
        <v>8480</v>
      </c>
      <c r="E3160" s="1" t="s">
        <v>36</v>
      </c>
      <c r="G3160">
        <v>437904</v>
      </c>
      <c r="H3160" t="s">
        <v>8481</v>
      </c>
      <c r="I3160" t="s">
        <v>8345</v>
      </c>
      <c r="J3160">
        <v>15</v>
      </c>
      <c r="K3160">
        <v>10032</v>
      </c>
      <c r="L3160">
        <v>10001</v>
      </c>
      <c r="M3160" t="s">
        <v>3135</v>
      </c>
      <c r="N3160">
        <v>679</v>
      </c>
      <c r="O3160" s="2">
        <v>46162</v>
      </c>
      <c r="P3160" s="2">
        <v>46273</v>
      </c>
      <c r="R3160" t="s">
        <v>8482</v>
      </c>
      <c r="S3160" t="str">
        <f>"1219"</f>
        <v>1219</v>
      </c>
      <c r="T3160" t="s">
        <v>41</v>
      </c>
      <c r="U3160">
        <v>7234.19</v>
      </c>
      <c r="V3160">
        <v>7234.19</v>
      </c>
      <c r="W3160">
        <v>7234.19</v>
      </c>
      <c r="X3160">
        <v>0</v>
      </c>
      <c r="Y3160">
        <v>0</v>
      </c>
      <c r="Z3160">
        <v>-498</v>
      </c>
      <c r="AA3160">
        <v>687729</v>
      </c>
      <c r="AD3160" t="s">
        <v>8483</v>
      </c>
      <c r="AE3160" t="s">
        <v>8484</v>
      </c>
      <c r="AF3160" t="s">
        <v>8483</v>
      </c>
      <c r="AG3160" s="1" t="s">
        <v>8485</v>
      </c>
      <c r="AH3160" t="s">
        <v>44</v>
      </c>
    </row>
    <row r="3161" spans="1:34" x14ac:dyDescent="0.3">
      <c r="A3161">
        <v>101</v>
      </c>
      <c r="B3161" t="s">
        <v>34</v>
      </c>
      <c r="C3161">
        <v>2</v>
      </c>
      <c r="D3161" s="1" t="s">
        <v>8486</v>
      </c>
      <c r="E3161" s="1" t="s">
        <v>36</v>
      </c>
      <c r="G3161">
        <v>437904</v>
      </c>
      <c r="H3161" t="s">
        <v>8481</v>
      </c>
      <c r="I3161" t="s">
        <v>8345</v>
      </c>
      <c r="J3161">
        <v>15</v>
      </c>
      <c r="K3161">
        <v>10032</v>
      </c>
      <c r="L3161">
        <v>95000</v>
      </c>
      <c r="M3161" t="s">
        <v>69</v>
      </c>
      <c r="N3161">
        <v>679</v>
      </c>
      <c r="O3161" s="2">
        <v>46203</v>
      </c>
      <c r="P3161" s="2">
        <v>46320</v>
      </c>
      <c r="R3161" t="s">
        <v>8487</v>
      </c>
      <c r="S3161" t="str">
        <f>""</f>
        <v/>
      </c>
      <c r="T3161" t="s">
        <v>41</v>
      </c>
      <c r="U3161">
        <v>4988.1499999999996</v>
      </c>
      <c r="V3161">
        <v>4988.1499999999996</v>
      </c>
      <c r="W3161">
        <v>4988.1499999999996</v>
      </c>
      <c r="X3161">
        <v>0</v>
      </c>
      <c r="Y3161">
        <v>0</v>
      </c>
      <c r="Z3161">
        <v>-545</v>
      </c>
      <c r="AA3161">
        <v>693520</v>
      </c>
      <c r="AD3161" t="s">
        <v>8483</v>
      </c>
      <c r="AE3161" t="s">
        <v>8484</v>
      </c>
      <c r="AF3161" t="s">
        <v>8483</v>
      </c>
      <c r="AG3161" s="1" t="s">
        <v>8485</v>
      </c>
      <c r="AH3161" t="s">
        <v>44</v>
      </c>
    </row>
    <row r="3162" spans="1:34" x14ac:dyDescent="0.3">
      <c r="A3162">
        <v>101</v>
      </c>
      <c r="B3162" t="s">
        <v>34</v>
      </c>
      <c r="C3162">
        <v>2</v>
      </c>
      <c r="D3162" s="1" t="s">
        <v>8488</v>
      </c>
      <c r="E3162" s="1" t="s">
        <v>36</v>
      </c>
      <c r="G3162">
        <v>437904</v>
      </c>
      <c r="H3162" t="s">
        <v>8481</v>
      </c>
      <c r="I3162" t="s">
        <v>8345</v>
      </c>
      <c r="J3162">
        <v>15</v>
      </c>
      <c r="K3162">
        <v>10032</v>
      </c>
      <c r="L3162">
        <v>95000</v>
      </c>
      <c r="M3162" t="s">
        <v>69</v>
      </c>
      <c r="N3162">
        <v>679</v>
      </c>
      <c r="O3162" s="2">
        <v>46234</v>
      </c>
      <c r="P3162" s="2">
        <v>46324</v>
      </c>
      <c r="R3162" t="s">
        <v>8489</v>
      </c>
      <c r="S3162" t="str">
        <f>""</f>
        <v/>
      </c>
      <c r="T3162" t="s">
        <v>41</v>
      </c>
      <c r="U3162">
        <v>7208.61</v>
      </c>
      <c r="V3162">
        <v>7208.61</v>
      </c>
      <c r="W3162">
        <v>7208.61</v>
      </c>
      <c r="X3162">
        <v>0</v>
      </c>
      <c r="Y3162">
        <v>0</v>
      </c>
      <c r="Z3162">
        <v>-549</v>
      </c>
      <c r="AA3162">
        <v>695133</v>
      </c>
      <c r="AD3162" t="s">
        <v>8483</v>
      </c>
      <c r="AE3162" t="s">
        <v>8484</v>
      </c>
      <c r="AF3162" t="s">
        <v>8483</v>
      </c>
      <c r="AG3162" s="1" t="s">
        <v>8485</v>
      </c>
      <c r="AH3162" t="s">
        <v>44</v>
      </c>
    </row>
    <row r="3163" spans="1:34" x14ac:dyDescent="0.3">
      <c r="A3163">
        <v>101</v>
      </c>
      <c r="B3163" t="s">
        <v>34</v>
      </c>
      <c r="C3163">
        <v>2</v>
      </c>
      <c r="D3163" s="1" t="s">
        <v>8490</v>
      </c>
      <c r="E3163" s="1" t="s">
        <v>36</v>
      </c>
      <c r="G3163">
        <v>437904</v>
      </c>
      <c r="H3163" t="s">
        <v>8481</v>
      </c>
      <c r="I3163" t="s">
        <v>8345</v>
      </c>
      <c r="J3163">
        <v>15</v>
      </c>
      <c r="K3163">
        <v>10032</v>
      </c>
      <c r="L3163">
        <v>10001</v>
      </c>
      <c r="M3163" t="s">
        <v>3135</v>
      </c>
      <c r="N3163">
        <v>679</v>
      </c>
      <c r="O3163" s="2">
        <v>46172</v>
      </c>
      <c r="P3163" s="2">
        <v>46280</v>
      </c>
      <c r="R3163" t="s">
        <v>8491</v>
      </c>
      <c r="S3163" t="str">
        <f>"1219"</f>
        <v>1219</v>
      </c>
      <c r="T3163" t="s">
        <v>41</v>
      </c>
      <c r="U3163">
        <v>3576.65</v>
      </c>
      <c r="V3163">
        <v>3576.65</v>
      </c>
      <c r="W3163">
        <v>3576.65</v>
      </c>
      <c r="X3163">
        <v>0</v>
      </c>
      <c r="Y3163">
        <v>0</v>
      </c>
      <c r="Z3163">
        <v>-505</v>
      </c>
      <c r="AA3163">
        <v>689996</v>
      </c>
      <c r="AD3163" t="s">
        <v>8483</v>
      </c>
      <c r="AE3163" t="s">
        <v>8484</v>
      </c>
      <c r="AF3163" t="s">
        <v>8483</v>
      </c>
      <c r="AG3163" s="1" t="s">
        <v>8485</v>
      </c>
      <c r="AH3163" t="s">
        <v>44</v>
      </c>
    </row>
    <row r="3164" spans="1:34" x14ac:dyDescent="0.3">
      <c r="A3164">
        <v>101</v>
      </c>
      <c r="B3164" t="s">
        <v>34</v>
      </c>
      <c r="C3164">
        <v>2</v>
      </c>
      <c r="D3164" s="1" t="s">
        <v>8492</v>
      </c>
      <c r="E3164" s="1" t="s">
        <v>36</v>
      </c>
      <c r="G3164">
        <v>437905</v>
      </c>
      <c r="H3164" t="s">
        <v>8493</v>
      </c>
      <c r="I3164" t="s">
        <v>8345</v>
      </c>
      <c r="J3164">
        <v>15</v>
      </c>
      <c r="K3164">
        <v>10032</v>
      </c>
      <c r="L3164">
        <v>95000</v>
      </c>
      <c r="M3164" t="s">
        <v>69</v>
      </c>
      <c r="N3164">
        <v>679</v>
      </c>
      <c r="O3164" s="2">
        <v>46234</v>
      </c>
      <c r="P3164" s="2">
        <v>46341</v>
      </c>
      <c r="R3164" t="s">
        <v>8494</v>
      </c>
      <c r="S3164" t="str">
        <f>""</f>
        <v/>
      </c>
      <c r="T3164" t="s">
        <v>41</v>
      </c>
      <c r="U3164">
        <v>3927.81</v>
      </c>
      <c r="V3164">
        <v>3927.81</v>
      </c>
      <c r="W3164">
        <v>3927.81</v>
      </c>
      <c r="X3164">
        <v>0</v>
      </c>
      <c r="Y3164">
        <v>0</v>
      </c>
      <c r="Z3164">
        <v>-566</v>
      </c>
      <c r="AA3164">
        <v>695137</v>
      </c>
      <c r="AD3164" t="s">
        <v>2278</v>
      </c>
      <c r="AE3164" t="s">
        <v>8495</v>
      </c>
      <c r="AF3164" t="s">
        <v>2278</v>
      </c>
      <c r="AG3164" s="1" t="s">
        <v>8496</v>
      </c>
      <c r="AH3164" t="s">
        <v>44</v>
      </c>
    </row>
    <row r="3165" spans="1:34" x14ac:dyDescent="0.3">
      <c r="A3165">
        <v>101</v>
      </c>
      <c r="B3165" t="s">
        <v>34</v>
      </c>
      <c r="C3165">
        <v>2</v>
      </c>
      <c r="D3165" s="1" t="s">
        <v>8497</v>
      </c>
      <c r="E3165" s="1" t="s">
        <v>36</v>
      </c>
      <c r="G3165">
        <v>437905</v>
      </c>
      <c r="H3165" t="s">
        <v>8493</v>
      </c>
      <c r="I3165" t="s">
        <v>8345</v>
      </c>
      <c r="J3165">
        <v>15</v>
      </c>
      <c r="K3165">
        <v>10032</v>
      </c>
      <c r="L3165">
        <v>95000</v>
      </c>
      <c r="M3165" t="s">
        <v>69</v>
      </c>
      <c r="N3165">
        <v>679</v>
      </c>
      <c r="O3165" s="2">
        <v>46203</v>
      </c>
      <c r="P3165" s="2">
        <v>46310</v>
      </c>
      <c r="R3165" t="s">
        <v>8498</v>
      </c>
      <c r="S3165" t="str">
        <f>""</f>
        <v/>
      </c>
      <c r="T3165" t="s">
        <v>41</v>
      </c>
      <c r="U3165">
        <v>2115.9899999999998</v>
      </c>
      <c r="V3165">
        <v>2115.9899999999998</v>
      </c>
      <c r="W3165">
        <v>2115.9899999999998</v>
      </c>
      <c r="X3165">
        <v>0</v>
      </c>
      <c r="Y3165">
        <v>0</v>
      </c>
      <c r="Z3165">
        <v>-535</v>
      </c>
      <c r="AA3165">
        <v>693524</v>
      </c>
      <c r="AD3165" t="s">
        <v>2278</v>
      </c>
      <c r="AE3165" t="s">
        <v>8495</v>
      </c>
      <c r="AF3165" t="s">
        <v>2278</v>
      </c>
      <c r="AG3165" s="1" t="s">
        <v>8496</v>
      </c>
      <c r="AH3165" t="s">
        <v>44</v>
      </c>
    </row>
    <row r="3166" spans="1:34" x14ac:dyDescent="0.3">
      <c r="A3166">
        <v>101</v>
      </c>
      <c r="B3166" t="s">
        <v>34</v>
      </c>
      <c r="C3166">
        <v>2</v>
      </c>
      <c r="D3166" s="1" t="s">
        <v>8499</v>
      </c>
      <c r="E3166" s="1" t="s">
        <v>36</v>
      </c>
      <c r="G3166">
        <v>437905</v>
      </c>
      <c r="H3166" t="s">
        <v>8493</v>
      </c>
      <c r="I3166" t="s">
        <v>8345</v>
      </c>
      <c r="J3166">
        <v>15</v>
      </c>
      <c r="K3166">
        <v>10032</v>
      </c>
      <c r="L3166">
        <v>10001</v>
      </c>
      <c r="M3166" t="s">
        <v>3135</v>
      </c>
      <c r="N3166">
        <v>679</v>
      </c>
      <c r="O3166" s="2">
        <v>46162</v>
      </c>
      <c r="P3166" s="2">
        <v>46273</v>
      </c>
      <c r="R3166" t="s">
        <v>8500</v>
      </c>
      <c r="S3166" t="str">
        <f>"1219"</f>
        <v>1219</v>
      </c>
      <c r="T3166" t="s">
        <v>41</v>
      </c>
      <c r="U3166">
        <v>2443.6799999999998</v>
      </c>
      <c r="V3166">
        <v>2443.6799999999998</v>
      </c>
      <c r="W3166">
        <v>2443.6799999999998</v>
      </c>
      <c r="X3166">
        <v>0</v>
      </c>
      <c r="Y3166">
        <v>0</v>
      </c>
      <c r="Z3166">
        <v>-498</v>
      </c>
      <c r="AA3166">
        <v>687733</v>
      </c>
      <c r="AD3166" t="s">
        <v>2278</v>
      </c>
      <c r="AE3166" t="s">
        <v>8495</v>
      </c>
      <c r="AF3166" t="s">
        <v>2278</v>
      </c>
      <c r="AG3166" s="1" t="s">
        <v>8496</v>
      </c>
      <c r="AH3166" t="s">
        <v>44</v>
      </c>
    </row>
    <row r="3167" spans="1:34" x14ac:dyDescent="0.3">
      <c r="A3167">
        <v>101</v>
      </c>
      <c r="B3167" t="s">
        <v>34</v>
      </c>
      <c r="C3167">
        <v>2</v>
      </c>
      <c r="D3167" s="1" t="s">
        <v>8501</v>
      </c>
      <c r="E3167" s="1" t="s">
        <v>36</v>
      </c>
      <c r="G3167">
        <v>437905</v>
      </c>
      <c r="H3167" t="s">
        <v>8493</v>
      </c>
      <c r="I3167" t="s">
        <v>8345</v>
      </c>
      <c r="J3167">
        <v>15</v>
      </c>
      <c r="K3167">
        <v>10032</v>
      </c>
      <c r="L3167">
        <v>10001</v>
      </c>
      <c r="M3167" t="s">
        <v>3135</v>
      </c>
      <c r="N3167">
        <v>679</v>
      </c>
      <c r="O3167" s="2">
        <v>46171</v>
      </c>
      <c r="P3167" s="2">
        <v>46280</v>
      </c>
      <c r="R3167" t="s">
        <v>8502</v>
      </c>
      <c r="S3167" t="str">
        <f>"1219"</f>
        <v>1219</v>
      </c>
      <c r="T3167" t="s">
        <v>41</v>
      </c>
      <c r="U3167">
        <v>3725.47</v>
      </c>
      <c r="V3167">
        <v>3725.47</v>
      </c>
      <c r="W3167">
        <v>3725.47</v>
      </c>
      <c r="X3167">
        <v>0</v>
      </c>
      <c r="Y3167">
        <v>0</v>
      </c>
      <c r="Z3167">
        <v>-505</v>
      </c>
      <c r="AA3167">
        <v>690000</v>
      </c>
      <c r="AD3167" t="s">
        <v>2278</v>
      </c>
      <c r="AE3167" t="s">
        <v>8495</v>
      </c>
      <c r="AF3167" t="s">
        <v>2278</v>
      </c>
      <c r="AG3167" s="1" t="s">
        <v>8496</v>
      </c>
      <c r="AH3167" t="s">
        <v>44</v>
      </c>
    </row>
    <row r="3168" spans="1:34" x14ac:dyDescent="0.3">
      <c r="A3168">
        <v>101</v>
      </c>
      <c r="B3168" t="s">
        <v>34</v>
      </c>
      <c r="C3168">
        <v>2</v>
      </c>
      <c r="D3168" s="1" t="s">
        <v>8503</v>
      </c>
      <c r="E3168" s="1" t="s">
        <v>36</v>
      </c>
      <c r="G3168">
        <v>437906</v>
      </c>
      <c r="H3168" t="s">
        <v>8504</v>
      </c>
      <c r="I3168" t="s">
        <v>8345</v>
      </c>
      <c r="J3168">
        <v>15</v>
      </c>
      <c r="K3168">
        <v>10032</v>
      </c>
      <c r="L3168">
        <v>95000</v>
      </c>
      <c r="M3168" t="s">
        <v>69</v>
      </c>
      <c r="N3168">
        <v>679</v>
      </c>
      <c r="O3168" s="2">
        <v>46203</v>
      </c>
      <c r="P3168" s="2">
        <v>46310</v>
      </c>
      <c r="R3168" t="s">
        <v>8505</v>
      </c>
      <c r="S3168" t="str">
        <f>""</f>
        <v/>
      </c>
      <c r="T3168" t="s">
        <v>41</v>
      </c>
      <c r="U3168">
        <v>2296.9899999999998</v>
      </c>
      <c r="V3168">
        <v>2296.9899999999998</v>
      </c>
      <c r="W3168">
        <v>2296.9899999999998</v>
      </c>
      <c r="X3168">
        <v>0</v>
      </c>
      <c r="Y3168">
        <v>0</v>
      </c>
      <c r="Z3168">
        <v>-535</v>
      </c>
      <c r="AA3168">
        <v>693478</v>
      </c>
      <c r="AD3168" t="s">
        <v>57</v>
      </c>
      <c r="AE3168" t="s">
        <v>8506</v>
      </c>
      <c r="AF3168" t="s">
        <v>57</v>
      </c>
      <c r="AG3168" s="1" t="s">
        <v>8507</v>
      </c>
      <c r="AH3168" t="s">
        <v>44</v>
      </c>
    </row>
    <row r="3169" spans="1:34" x14ac:dyDescent="0.3">
      <c r="A3169">
        <v>101</v>
      </c>
      <c r="B3169" t="s">
        <v>34</v>
      </c>
      <c r="C3169">
        <v>2</v>
      </c>
      <c r="D3169" s="1" t="s">
        <v>8508</v>
      </c>
      <c r="E3169" s="1" t="s">
        <v>36</v>
      </c>
      <c r="G3169">
        <v>437906</v>
      </c>
      <c r="H3169" t="s">
        <v>8504</v>
      </c>
      <c r="I3169" t="s">
        <v>8345</v>
      </c>
      <c r="J3169">
        <v>15</v>
      </c>
      <c r="K3169">
        <v>10032</v>
      </c>
      <c r="L3169">
        <v>10001</v>
      </c>
      <c r="M3169" t="s">
        <v>3135</v>
      </c>
      <c r="N3169">
        <v>679</v>
      </c>
      <c r="O3169" s="2">
        <v>46162</v>
      </c>
      <c r="P3169" s="2">
        <v>46273</v>
      </c>
      <c r="R3169" t="s">
        <v>8509</v>
      </c>
      <c r="S3169" t="str">
        <f>"1219"</f>
        <v>1219</v>
      </c>
      <c r="T3169" t="s">
        <v>41</v>
      </c>
      <c r="U3169">
        <v>2135.61</v>
      </c>
      <c r="V3169">
        <v>2135.61</v>
      </c>
      <c r="W3169">
        <v>2135.61</v>
      </c>
      <c r="X3169">
        <v>0</v>
      </c>
      <c r="Y3169">
        <v>0</v>
      </c>
      <c r="Z3169">
        <v>-498</v>
      </c>
      <c r="AA3169">
        <v>687694</v>
      </c>
      <c r="AD3169" t="s">
        <v>57</v>
      </c>
      <c r="AE3169" t="s">
        <v>8506</v>
      </c>
      <c r="AF3169" t="s">
        <v>57</v>
      </c>
      <c r="AG3169" s="1" t="s">
        <v>8507</v>
      </c>
      <c r="AH3169" t="s">
        <v>44</v>
      </c>
    </row>
    <row r="3170" spans="1:34" x14ac:dyDescent="0.3">
      <c r="A3170">
        <v>101</v>
      </c>
      <c r="B3170" t="s">
        <v>34</v>
      </c>
      <c r="C3170">
        <v>2</v>
      </c>
      <c r="D3170" s="1" t="s">
        <v>8510</v>
      </c>
      <c r="E3170" s="1" t="s">
        <v>36</v>
      </c>
      <c r="G3170">
        <v>437906</v>
      </c>
      <c r="H3170" t="s">
        <v>8504</v>
      </c>
      <c r="I3170" t="s">
        <v>8345</v>
      </c>
      <c r="J3170">
        <v>15</v>
      </c>
      <c r="K3170">
        <v>10032</v>
      </c>
      <c r="L3170">
        <v>10001</v>
      </c>
      <c r="M3170" t="s">
        <v>3135</v>
      </c>
      <c r="N3170">
        <v>679</v>
      </c>
      <c r="O3170" s="2">
        <v>46171</v>
      </c>
      <c r="P3170" s="2">
        <v>46280</v>
      </c>
      <c r="R3170" t="s">
        <v>8511</v>
      </c>
      <c r="S3170" t="str">
        <f>"1219"</f>
        <v>1219</v>
      </c>
      <c r="T3170" t="s">
        <v>41</v>
      </c>
      <c r="U3170">
        <v>4473.32</v>
      </c>
      <c r="V3170">
        <v>4473.32</v>
      </c>
      <c r="W3170">
        <v>4473.32</v>
      </c>
      <c r="X3170">
        <v>0</v>
      </c>
      <c r="Y3170">
        <v>0</v>
      </c>
      <c r="Z3170">
        <v>-505</v>
      </c>
      <c r="AA3170">
        <v>689954</v>
      </c>
      <c r="AD3170" t="s">
        <v>57</v>
      </c>
      <c r="AE3170" t="s">
        <v>8506</v>
      </c>
      <c r="AF3170" t="s">
        <v>57</v>
      </c>
      <c r="AG3170" s="1" t="s">
        <v>8507</v>
      </c>
      <c r="AH3170" t="s">
        <v>44</v>
      </c>
    </row>
    <row r="3171" spans="1:34" x14ac:dyDescent="0.3">
      <c r="A3171">
        <v>101</v>
      </c>
      <c r="B3171" t="s">
        <v>34</v>
      </c>
      <c r="C3171">
        <v>2</v>
      </c>
      <c r="D3171" s="1" t="s">
        <v>8512</v>
      </c>
      <c r="E3171" s="1" t="s">
        <v>36</v>
      </c>
      <c r="G3171">
        <v>437906</v>
      </c>
      <c r="H3171" t="s">
        <v>8504</v>
      </c>
      <c r="I3171" t="s">
        <v>8345</v>
      </c>
      <c r="J3171">
        <v>15</v>
      </c>
      <c r="K3171">
        <v>10032</v>
      </c>
      <c r="L3171">
        <v>95000</v>
      </c>
      <c r="M3171" t="s">
        <v>69</v>
      </c>
      <c r="N3171">
        <v>679</v>
      </c>
      <c r="O3171" s="2">
        <v>46234</v>
      </c>
      <c r="P3171" s="2">
        <v>46324</v>
      </c>
      <c r="R3171" t="s">
        <v>8513</v>
      </c>
      <c r="S3171" t="str">
        <f>""</f>
        <v/>
      </c>
      <c r="T3171" t="s">
        <v>41</v>
      </c>
      <c r="U3171">
        <v>3927.43</v>
      </c>
      <c r="V3171">
        <v>3927.43</v>
      </c>
      <c r="W3171">
        <v>3927.43</v>
      </c>
      <c r="X3171">
        <v>0</v>
      </c>
      <c r="Y3171">
        <v>0</v>
      </c>
      <c r="Z3171">
        <v>-549</v>
      </c>
      <c r="AA3171">
        <v>695091</v>
      </c>
      <c r="AD3171" t="s">
        <v>57</v>
      </c>
      <c r="AE3171" t="s">
        <v>8506</v>
      </c>
      <c r="AF3171" t="s">
        <v>57</v>
      </c>
      <c r="AG3171" s="1" t="s">
        <v>8507</v>
      </c>
      <c r="AH3171" t="s">
        <v>44</v>
      </c>
    </row>
    <row r="3172" spans="1:34" x14ac:dyDescent="0.3">
      <c r="A3172">
        <v>101</v>
      </c>
      <c r="B3172" t="s">
        <v>34</v>
      </c>
      <c r="C3172">
        <v>2</v>
      </c>
      <c r="D3172" s="1" t="s">
        <v>8514</v>
      </c>
      <c r="E3172" s="1" t="s">
        <v>36</v>
      </c>
      <c r="G3172">
        <v>437907</v>
      </c>
      <c r="H3172" t="s">
        <v>8515</v>
      </c>
      <c r="I3172" t="s">
        <v>8345</v>
      </c>
      <c r="J3172">
        <v>15</v>
      </c>
      <c r="K3172">
        <v>10032</v>
      </c>
      <c r="L3172">
        <v>10001</v>
      </c>
      <c r="M3172" t="s">
        <v>3135</v>
      </c>
      <c r="N3172">
        <v>679</v>
      </c>
      <c r="O3172" s="2">
        <v>46171</v>
      </c>
      <c r="P3172" s="2">
        <v>46280</v>
      </c>
      <c r="R3172" t="s">
        <v>8516</v>
      </c>
      <c r="S3172" t="str">
        <f>"1219"</f>
        <v>1219</v>
      </c>
      <c r="T3172" t="s">
        <v>41</v>
      </c>
      <c r="U3172">
        <v>7321.23</v>
      </c>
      <c r="V3172">
        <v>7321.23</v>
      </c>
      <c r="W3172">
        <v>7321.23</v>
      </c>
      <c r="X3172">
        <v>0</v>
      </c>
      <c r="Y3172">
        <v>0</v>
      </c>
      <c r="Z3172">
        <v>-505</v>
      </c>
      <c r="AA3172">
        <v>689962</v>
      </c>
      <c r="AD3172" t="s">
        <v>64</v>
      </c>
      <c r="AE3172" t="s">
        <v>8517</v>
      </c>
      <c r="AF3172" t="s">
        <v>64</v>
      </c>
      <c r="AG3172" s="1" t="s">
        <v>8518</v>
      </c>
      <c r="AH3172" t="s">
        <v>44</v>
      </c>
    </row>
    <row r="3173" spans="1:34" x14ac:dyDescent="0.3">
      <c r="A3173">
        <v>101</v>
      </c>
      <c r="B3173" t="s">
        <v>34</v>
      </c>
      <c r="C3173">
        <v>2</v>
      </c>
      <c r="D3173" s="1" t="s">
        <v>8519</v>
      </c>
      <c r="E3173" s="1" t="s">
        <v>36</v>
      </c>
      <c r="G3173">
        <v>437907</v>
      </c>
      <c r="H3173" t="s">
        <v>8515</v>
      </c>
      <c r="I3173" t="s">
        <v>8345</v>
      </c>
      <c r="J3173">
        <v>15</v>
      </c>
      <c r="K3173">
        <v>10032</v>
      </c>
      <c r="L3173">
        <v>95000</v>
      </c>
      <c r="M3173" t="s">
        <v>69</v>
      </c>
      <c r="N3173">
        <v>679</v>
      </c>
      <c r="O3173" s="2">
        <v>46234</v>
      </c>
      <c r="P3173" s="2">
        <v>46324</v>
      </c>
      <c r="R3173" t="s">
        <v>8520</v>
      </c>
      <c r="S3173" t="str">
        <f>""</f>
        <v/>
      </c>
      <c r="T3173" t="s">
        <v>41</v>
      </c>
      <c r="U3173">
        <v>8071.59</v>
      </c>
      <c r="V3173">
        <v>8071.59</v>
      </c>
      <c r="W3173">
        <v>8071.59</v>
      </c>
      <c r="X3173">
        <v>0</v>
      </c>
      <c r="Y3173">
        <v>0</v>
      </c>
      <c r="Z3173">
        <v>-549</v>
      </c>
      <c r="AA3173">
        <v>695099</v>
      </c>
      <c r="AD3173" t="s">
        <v>64</v>
      </c>
      <c r="AE3173" t="s">
        <v>8517</v>
      </c>
      <c r="AF3173" t="s">
        <v>64</v>
      </c>
      <c r="AG3173" s="1" t="s">
        <v>8518</v>
      </c>
      <c r="AH3173" t="s">
        <v>44</v>
      </c>
    </row>
    <row r="3174" spans="1:34" x14ac:dyDescent="0.3">
      <c r="A3174">
        <v>101</v>
      </c>
      <c r="B3174" t="s">
        <v>34</v>
      </c>
      <c r="C3174">
        <v>2</v>
      </c>
      <c r="D3174" s="1" t="s">
        <v>8521</v>
      </c>
      <c r="E3174" s="1" t="s">
        <v>36</v>
      </c>
      <c r="G3174">
        <v>437907</v>
      </c>
      <c r="H3174" t="s">
        <v>8515</v>
      </c>
      <c r="I3174" t="s">
        <v>8345</v>
      </c>
      <c r="J3174">
        <v>15</v>
      </c>
      <c r="K3174">
        <v>10032</v>
      </c>
      <c r="L3174">
        <v>10001</v>
      </c>
      <c r="M3174" t="s">
        <v>3135</v>
      </c>
      <c r="N3174">
        <v>679</v>
      </c>
      <c r="O3174" s="2">
        <v>46162</v>
      </c>
      <c r="P3174" s="2">
        <v>46273</v>
      </c>
      <c r="R3174" t="s">
        <v>8522</v>
      </c>
      <c r="S3174" t="str">
        <f>"1219"</f>
        <v>1219</v>
      </c>
      <c r="T3174" t="s">
        <v>41</v>
      </c>
      <c r="U3174">
        <v>9988.2099999999991</v>
      </c>
      <c r="V3174">
        <v>9988.2099999999991</v>
      </c>
      <c r="W3174">
        <v>9988.2099999999991</v>
      </c>
      <c r="X3174">
        <v>0</v>
      </c>
      <c r="Y3174">
        <v>0</v>
      </c>
      <c r="Z3174">
        <v>-498</v>
      </c>
      <c r="AA3174">
        <v>687703</v>
      </c>
      <c r="AD3174" t="s">
        <v>64</v>
      </c>
      <c r="AE3174" t="s">
        <v>8517</v>
      </c>
      <c r="AF3174" t="s">
        <v>64</v>
      </c>
      <c r="AG3174" s="1" t="s">
        <v>8518</v>
      </c>
      <c r="AH3174" t="s">
        <v>44</v>
      </c>
    </row>
    <row r="3175" spans="1:34" x14ac:dyDescent="0.3">
      <c r="A3175">
        <v>101</v>
      </c>
      <c r="B3175" t="s">
        <v>34</v>
      </c>
      <c r="C3175">
        <v>2</v>
      </c>
      <c r="D3175" s="1" t="s">
        <v>8523</v>
      </c>
      <c r="E3175" s="1" t="s">
        <v>36</v>
      </c>
      <c r="G3175">
        <v>437907</v>
      </c>
      <c r="H3175" t="s">
        <v>8515</v>
      </c>
      <c r="I3175" t="s">
        <v>8345</v>
      </c>
      <c r="J3175">
        <v>15</v>
      </c>
      <c r="K3175">
        <v>10032</v>
      </c>
      <c r="L3175">
        <v>95000</v>
      </c>
      <c r="M3175" t="s">
        <v>69</v>
      </c>
      <c r="N3175">
        <v>679</v>
      </c>
      <c r="O3175" s="2">
        <v>46203</v>
      </c>
      <c r="P3175" s="2">
        <v>46320</v>
      </c>
      <c r="R3175" t="s">
        <v>8524</v>
      </c>
      <c r="S3175" t="str">
        <f>""</f>
        <v/>
      </c>
      <c r="T3175" t="s">
        <v>41</v>
      </c>
      <c r="U3175">
        <v>5072.47</v>
      </c>
      <c r="V3175">
        <v>5072.47</v>
      </c>
      <c r="W3175">
        <v>5072.47</v>
      </c>
      <c r="X3175">
        <v>0</v>
      </c>
      <c r="Y3175">
        <v>0</v>
      </c>
      <c r="Z3175">
        <v>-545</v>
      </c>
      <c r="AA3175">
        <v>693486</v>
      </c>
      <c r="AD3175" t="s">
        <v>64</v>
      </c>
      <c r="AE3175" t="s">
        <v>8517</v>
      </c>
      <c r="AF3175" t="s">
        <v>64</v>
      </c>
      <c r="AG3175" s="1" t="s">
        <v>8518</v>
      </c>
      <c r="AH3175" t="s">
        <v>44</v>
      </c>
    </row>
    <row r="3176" spans="1:34" x14ac:dyDescent="0.3">
      <c r="A3176">
        <v>101</v>
      </c>
      <c r="B3176" t="s">
        <v>34</v>
      </c>
      <c r="C3176">
        <v>2</v>
      </c>
      <c r="D3176" s="1" t="s">
        <v>8525</v>
      </c>
      <c r="E3176" s="1" t="s">
        <v>36</v>
      </c>
      <c r="G3176">
        <v>437908</v>
      </c>
      <c r="H3176" t="s">
        <v>8526</v>
      </c>
      <c r="I3176" t="s">
        <v>8345</v>
      </c>
      <c r="J3176">
        <v>15</v>
      </c>
      <c r="K3176">
        <v>10032</v>
      </c>
      <c r="L3176">
        <v>10001</v>
      </c>
      <c r="M3176" t="s">
        <v>3135</v>
      </c>
      <c r="N3176">
        <v>679</v>
      </c>
      <c r="O3176" s="2">
        <v>46171</v>
      </c>
      <c r="P3176" s="2">
        <v>46280</v>
      </c>
      <c r="R3176" t="s">
        <v>8527</v>
      </c>
      <c r="S3176" t="str">
        <f>"1219"</f>
        <v>1219</v>
      </c>
      <c r="T3176" t="s">
        <v>41</v>
      </c>
      <c r="U3176">
        <v>5135.62</v>
      </c>
      <c r="V3176">
        <v>5135.62</v>
      </c>
      <c r="W3176">
        <v>5135.62</v>
      </c>
      <c r="X3176">
        <v>0</v>
      </c>
      <c r="Y3176">
        <v>0</v>
      </c>
      <c r="Z3176">
        <v>-505</v>
      </c>
      <c r="AA3176">
        <v>689966</v>
      </c>
      <c r="AD3176" t="s">
        <v>50</v>
      </c>
      <c r="AE3176">
        <v>1124892900</v>
      </c>
      <c r="AF3176" t="s">
        <v>50</v>
      </c>
      <c r="AG3176" s="1" t="s">
        <v>8528</v>
      </c>
      <c r="AH3176" t="s">
        <v>44</v>
      </c>
    </row>
    <row r="3177" spans="1:34" x14ac:dyDescent="0.3">
      <c r="A3177">
        <v>101</v>
      </c>
      <c r="B3177" t="s">
        <v>34</v>
      </c>
      <c r="C3177">
        <v>2</v>
      </c>
      <c r="D3177" s="1" t="s">
        <v>8529</v>
      </c>
      <c r="E3177" s="1" t="s">
        <v>36</v>
      </c>
      <c r="G3177">
        <v>437908</v>
      </c>
      <c r="H3177" t="s">
        <v>8526</v>
      </c>
      <c r="I3177" t="s">
        <v>8345</v>
      </c>
      <c r="J3177">
        <v>15</v>
      </c>
      <c r="K3177">
        <v>10032</v>
      </c>
      <c r="L3177">
        <v>95000</v>
      </c>
      <c r="M3177" t="s">
        <v>69</v>
      </c>
      <c r="N3177">
        <v>679</v>
      </c>
      <c r="O3177" s="2">
        <v>46203</v>
      </c>
      <c r="P3177" s="2">
        <v>46320</v>
      </c>
      <c r="R3177" t="s">
        <v>8530</v>
      </c>
      <c r="S3177" t="str">
        <f>""</f>
        <v/>
      </c>
      <c r="T3177" t="s">
        <v>41</v>
      </c>
      <c r="U3177">
        <v>2963.05</v>
      </c>
      <c r="V3177">
        <v>2963.05</v>
      </c>
      <c r="W3177">
        <v>2963.05</v>
      </c>
      <c r="X3177">
        <v>0</v>
      </c>
      <c r="Y3177">
        <v>0</v>
      </c>
      <c r="Z3177">
        <v>-545</v>
      </c>
      <c r="AA3177">
        <v>693490</v>
      </c>
      <c r="AD3177" t="s">
        <v>50</v>
      </c>
      <c r="AE3177">
        <v>1124892900</v>
      </c>
      <c r="AF3177" t="s">
        <v>50</v>
      </c>
      <c r="AG3177" s="1" t="s">
        <v>8528</v>
      </c>
      <c r="AH3177" t="s">
        <v>44</v>
      </c>
    </row>
    <row r="3178" spans="1:34" x14ac:dyDescent="0.3">
      <c r="A3178">
        <v>101</v>
      </c>
      <c r="B3178" t="s">
        <v>34</v>
      </c>
      <c r="C3178">
        <v>2</v>
      </c>
      <c r="D3178" s="1" t="s">
        <v>8531</v>
      </c>
      <c r="E3178" s="1" t="s">
        <v>36</v>
      </c>
      <c r="G3178">
        <v>437908</v>
      </c>
      <c r="H3178" t="s">
        <v>8526</v>
      </c>
      <c r="I3178" t="s">
        <v>8345</v>
      </c>
      <c r="J3178">
        <v>15</v>
      </c>
      <c r="K3178">
        <v>10032</v>
      </c>
      <c r="L3178">
        <v>95000</v>
      </c>
      <c r="M3178" t="s">
        <v>69</v>
      </c>
      <c r="N3178">
        <v>679</v>
      </c>
      <c r="O3178" s="2">
        <v>46234</v>
      </c>
      <c r="P3178" s="2">
        <v>46324</v>
      </c>
      <c r="R3178" t="s">
        <v>8532</v>
      </c>
      <c r="S3178" t="str">
        <f>""</f>
        <v/>
      </c>
      <c r="T3178" t="s">
        <v>41</v>
      </c>
      <c r="U3178">
        <v>4781.0200000000004</v>
      </c>
      <c r="V3178">
        <v>4781.0200000000004</v>
      </c>
      <c r="W3178">
        <v>4781.0200000000004</v>
      </c>
      <c r="X3178">
        <v>0</v>
      </c>
      <c r="Y3178">
        <v>0</v>
      </c>
      <c r="Z3178">
        <v>-549</v>
      </c>
      <c r="AA3178">
        <v>695103</v>
      </c>
      <c r="AD3178" t="s">
        <v>50</v>
      </c>
      <c r="AE3178">
        <v>1124892900</v>
      </c>
      <c r="AF3178" t="s">
        <v>50</v>
      </c>
      <c r="AG3178" s="1" t="s">
        <v>8528</v>
      </c>
      <c r="AH3178" t="s">
        <v>44</v>
      </c>
    </row>
    <row r="3179" spans="1:34" x14ac:dyDescent="0.3">
      <c r="A3179">
        <v>101</v>
      </c>
      <c r="B3179" t="s">
        <v>34</v>
      </c>
      <c r="C3179">
        <v>2</v>
      </c>
      <c r="D3179" s="1" t="s">
        <v>8533</v>
      </c>
      <c r="E3179" s="1" t="s">
        <v>36</v>
      </c>
      <c r="G3179">
        <v>437909</v>
      </c>
      <c r="H3179" t="s">
        <v>8534</v>
      </c>
      <c r="I3179" t="s">
        <v>8345</v>
      </c>
      <c r="J3179">
        <v>15</v>
      </c>
      <c r="K3179">
        <v>10032</v>
      </c>
      <c r="L3179">
        <v>95000</v>
      </c>
      <c r="M3179" t="s">
        <v>69</v>
      </c>
      <c r="N3179">
        <v>679</v>
      </c>
      <c r="O3179" s="2">
        <v>46203</v>
      </c>
      <c r="P3179" s="2">
        <v>46310</v>
      </c>
      <c r="R3179" t="s">
        <v>8535</v>
      </c>
      <c r="S3179" t="str">
        <f>""</f>
        <v/>
      </c>
      <c r="T3179" t="s">
        <v>41</v>
      </c>
      <c r="U3179">
        <v>2141.09</v>
      </c>
      <c r="V3179">
        <v>2141.09</v>
      </c>
      <c r="W3179">
        <v>2141.09</v>
      </c>
      <c r="X3179">
        <v>0</v>
      </c>
      <c r="Y3179">
        <v>0</v>
      </c>
      <c r="Z3179">
        <v>-535</v>
      </c>
      <c r="AA3179">
        <v>693494</v>
      </c>
      <c r="AD3179" t="s">
        <v>4402</v>
      </c>
      <c r="AE3179">
        <v>1135566200</v>
      </c>
      <c r="AF3179" t="s">
        <v>4402</v>
      </c>
      <c r="AG3179" s="1" t="s">
        <v>8536</v>
      </c>
      <c r="AH3179" t="s">
        <v>44</v>
      </c>
    </row>
    <row r="3180" spans="1:34" x14ac:dyDescent="0.3">
      <c r="A3180">
        <v>101</v>
      </c>
      <c r="B3180" t="s">
        <v>34</v>
      </c>
      <c r="C3180">
        <v>2</v>
      </c>
      <c r="D3180" s="1" t="s">
        <v>8537</v>
      </c>
      <c r="E3180" s="1" t="s">
        <v>36</v>
      </c>
      <c r="G3180">
        <v>437909</v>
      </c>
      <c r="H3180" t="s">
        <v>8534</v>
      </c>
      <c r="I3180" t="s">
        <v>8345</v>
      </c>
      <c r="J3180">
        <v>15</v>
      </c>
      <c r="K3180">
        <v>10032</v>
      </c>
      <c r="L3180">
        <v>10001</v>
      </c>
      <c r="M3180" t="s">
        <v>3135</v>
      </c>
      <c r="N3180">
        <v>679</v>
      </c>
      <c r="O3180" s="2">
        <v>46162</v>
      </c>
      <c r="P3180" s="2">
        <v>46273</v>
      </c>
      <c r="R3180" t="s">
        <v>8538</v>
      </c>
      <c r="S3180" t="str">
        <f>"1219"</f>
        <v>1219</v>
      </c>
      <c r="T3180" t="s">
        <v>41</v>
      </c>
      <c r="U3180">
        <v>2601.38</v>
      </c>
      <c r="V3180">
        <v>2601.38</v>
      </c>
      <c r="W3180">
        <v>2601.38</v>
      </c>
      <c r="X3180">
        <v>0</v>
      </c>
      <c r="Y3180">
        <v>0</v>
      </c>
      <c r="Z3180">
        <v>-498</v>
      </c>
      <c r="AA3180">
        <v>687709</v>
      </c>
      <c r="AD3180" t="s">
        <v>4402</v>
      </c>
      <c r="AE3180">
        <v>1135566200</v>
      </c>
      <c r="AF3180" t="s">
        <v>4402</v>
      </c>
      <c r="AG3180" s="1" t="s">
        <v>8536</v>
      </c>
      <c r="AH3180" t="s">
        <v>44</v>
      </c>
    </row>
    <row r="3181" spans="1:34" x14ac:dyDescent="0.3">
      <c r="A3181">
        <v>101</v>
      </c>
      <c r="B3181" t="s">
        <v>34</v>
      </c>
      <c r="C3181">
        <v>2</v>
      </c>
      <c r="D3181" s="1" t="s">
        <v>8539</v>
      </c>
      <c r="E3181" s="1" t="s">
        <v>36</v>
      </c>
      <c r="G3181">
        <v>437909</v>
      </c>
      <c r="H3181" t="s">
        <v>8534</v>
      </c>
      <c r="I3181" t="s">
        <v>8345</v>
      </c>
      <c r="J3181">
        <v>15</v>
      </c>
      <c r="K3181">
        <v>10032</v>
      </c>
      <c r="L3181">
        <v>10001</v>
      </c>
      <c r="M3181" t="s">
        <v>3135</v>
      </c>
      <c r="N3181">
        <v>679</v>
      </c>
      <c r="O3181" s="2">
        <v>46172</v>
      </c>
      <c r="P3181" s="2">
        <v>46280</v>
      </c>
      <c r="R3181" t="s">
        <v>8540</v>
      </c>
      <c r="S3181" t="str">
        <f>"1219"</f>
        <v>1219</v>
      </c>
      <c r="T3181" t="s">
        <v>41</v>
      </c>
      <c r="U3181">
        <v>3767</v>
      </c>
      <c r="V3181">
        <v>3767</v>
      </c>
      <c r="W3181">
        <v>3767</v>
      </c>
      <c r="X3181">
        <v>0</v>
      </c>
      <c r="Y3181">
        <v>0</v>
      </c>
      <c r="Z3181">
        <v>-505</v>
      </c>
      <c r="AA3181">
        <v>689970</v>
      </c>
      <c r="AD3181" t="s">
        <v>4402</v>
      </c>
      <c r="AE3181">
        <v>1135566200</v>
      </c>
      <c r="AF3181" t="s">
        <v>4402</v>
      </c>
      <c r="AG3181" s="1" t="s">
        <v>8536</v>
      </c>
      <c r="AH3181" t="s">
        <v>44</v>
      </c>
    </row>
    <row r="3182" spans="1:34" x14ac:dyDescent="0.3">
      <c r="A3182">
        <v>101</v>
      </c>
      <c r="B3182" t="s">
        <v>34</v>
      </c>
      <c r="C3182">
        <v>2</v>
      </c>
      <c r="D3182" s="1" t="s">
        <v>8541</v>
      </c>
      <c r="E3182" s="1" t="s">
        <v>36</v>
      </c>
      <c r="G3182">
        <v>437910</v>
      </c>
      <c r="H3182" t="s">
        <v>8542</v>
      </c>
      <c r="I3182" t="s">
        <v>8345</v>
      </c>
      <c r="J3182">
        <v>15</v>
      </c>
      <c r="K3182">
        <v>10032</v>
      </c>
      <c r="L3182">
        <v>10001</v>
      </c>
      <c r="M3182" t="s">
        <v>3135</v>
      </c>
      <c r="N3182">
        <v>679</v>
      </c>
      <c r="O3182" s="2">
        <v>46162</v>
      </c>
      <c r="P3182" s="2">
        <v>46273</v>
      </c>
      <c r="R3182" t="s">
        <v>8543</v>
      </c>
      <c r="S3182" t="str">
        <f>"1219"</f>
        <v>1219</v>
      </c>
      <c r="T3182" t="s">
        <v>41</v>
      </c>
      <c r="U3182">
        <v>4415.3100000000004</v>
      </c>
      <c r="V3182">
        <v>4415.3100000000004</v>
      </c>
      <c r="W3182">
        <v>4415.3100000000004</v>
      </c>
      <c r="X3182">
        <v>0</v>
      </c>
      <c r="Y3182">
        <v>0</v>
      </c>
      <c r="Z3182">
        <v>-498</v>
      </c>
      <c r="AA3182">
        <v>687711</v>
      </c>
      <c r="AD3182" t="s">
        <v>4729</v>
      </c>
      <c r="AE3182">
        <v>1221272100</v>
      </c>
      <c r="AF3182" t="s">
        <v>4729</v>
      </c>
      <c r="AG3182" s="1" t="s">
        <v>8544</v>
      </c>
      <c r="AH3182" t="s">
        <v>44</v>
      </c>
    </row>
    <row r="3183" spans="1:34" x14ac:dyDescent="0.3">
      <c r="A3183">
        <v>101</v>
      </c>
      <c r="B3183" t="s">
        <v>34</v>
      </c>
      <c r="C3183">
        <v>2</v>
      </c>
      <c r="D3183" s="1" t="s">
        <v>8545</v>
      </c>
      <c r="E3183" s="1" t="s">
        <v>36</v>
      </c>
      <c r="G3183">
        <v>437910</v>
      </c>
      <c r="H3183" t="s">
        <v>8542</v>
      </c>
      <c r="I3183" t="s">
        <v>8345</v>
      </c>
      <c r="J3183">
        <v>15</v>
      </c>
      <c r="K3183">
        <v>10032</v>
      </c>
      <c r="L3183">
        <v>95000</v>
      </c>
      <c r="M3183" t="s">
        <v>69</v>
      </c>
      <c r="N3183">
        <v>679</v>
      </c>
      <c r="O3183" s="2">
        <v>46203</v>
      </c>
      <c r="P3183" s="2">
        <v>46310</v>
      </c>
      <c r="R3183" t="s">
        <v>8546</v>
      </c>
      <c r="S3183" t="str">
        <f>""</f>
        <v/>
      </c>
      <c r="T3183" t="s">
        <v>41</v>
      </c>
      <c r="U3183">
        <v>3798.58</v>
      </c>
      <c r="V3183">
        <v>3798.58</v>
      </c>
      <c r="W3183">
        <v>3798.58</v>
      </c>
      <c r="X3183">
        <v>0</v>
      </c>
      <c r="Y3183">
        <v>0</v>
      </c>
      <c r="Z3183">
        <v>-535</v>
      </c>
      <c r="AA3183">
        <v>693498</v>
      </c>
      <c r="AD3183" t="s">
        <v>4729</v>
      </c>
      <c r="AE3183">
        <v>1221272100</v>
      </c>
      <c r="AF3183" t="s">
        <v>4729</v>
      </c>
      <c r="AG3183" s="1" t="s">
        <v>8544</v>
      </c>
      <c r="AH3183" t="s">
        <v>44</v>
      </c>
    </row>
    <row r="3184" spans="1:34" x14ac:dyDescent="0.3">
      <c r="A3184">
        <v>101</v>
      </c>
      <c r="B3184" t="s">
        <v>34</v>
      </c>
      <c r="C3184">
        <v>2</v>
      </c>
      <c r="D3184" s="1" t="s">
        <v>8547</v>
      </c>
      <c r="E3184" s="1" t="s">
        <v>36</v>
      </c>
      <c r="G3184">
        <v>437910</v>
      </c>
      <c r="H3184" t="s">
        <v>8542</v>
      </c>
      <c r="I3184" t="s">
        <v>8345</v>
      </c>
      <c r="J3184">
        <v>15</v>
      </c>
      <c r="K3184">
        <v>10032</v>
      </c>
      <c r="L3184">
        <v>10001</v>
      </c>
      <c r="M3184" t="s">
        <v>3135</v>
      </c>
      <c r="N3184">
        <v>679</v>
      </c>
      <c r="O3184" s="2">
        <v>46171</v>
      </c>
      <c r="P3184" s="2">
        <v>46280</v>
      </c>
      <c r="R3184" t="s">
        <v>8548</v>
      </c>
      <c r="S3184" t="str">
        <f>"1219"</f>
        <v>1219</v>
      </c>
      <c r="T3184" t="s">
        <v>41</v>
      </c>
      <c r="U3184">
        <v>4755.3</v>
      </c>
      <c r="V3184">
        <v>4755.3</v>
      </c>
      <c r="W3184">
        <v>4755.3</v>
      </c>
      <c r="X3184">
        <v>0</v>
      </c>
      <c r="Y3184">
        <v>0</v>
      </c>
      <c r="Z3184">
        <v>-505</v>
      </c>
      <c r="AA3184">
        <v>689974</v>
      </c>
      <c r="AD3184" t="s">
        <v>4729</v>
      </c>
      <c r="AE3184">
        <v>1221272100</v>
      </c>
      <c r="AF3184" t="s">
        <v>4729</v>
      </c>
      <c r="AG3184" s="1" t="s">
        <v>8544</v>
      </c>
      <c r="AH3184" t="s">
        <v>44</v>
      </c>
    </row>
    <row r="3185" spans="1:34" x14ac:dyDescent="0.3">
      <c r="A3185">
        <v>101</v>
      </c>
      <c r="B3185" t="s">
        <v>34</v>
      </c>
      <c r="C3185">
        <v>2</v>
      </c>
      <c r="D3185" s="1" t="s">
        <v>8549</v>
      </c>
      <c r="E3185" s="1" t="s">
        <v>36</v>
      </c>
      <c r="G3185">
        <v>437910</v>
      </c>
      <c r="H3185" t="s">
        <v>8542</v>
      </c>
      <c r="I3185" t="s">
        <v>8345</v>
      </c>
      <c r="J3185">
        <v>15</v>
      </c>
      <c r="K3185">
        <v>10032</v>
      </c>
      <c r="L3185">
        <v>95000</v>
      </c>
      <c r="M3185" t="s">
        <v>69</v>
      </c>
      <c r="N3185">
        <v>679</v>
      </c>
      <c r="O3185" s="2">
        <v>46234</v>
      </c>
      <c r="P3185" s="2">
        <v>46324</v>
      </c>
      <c r="R3185" t="s">
        <v>8550</v>
      </c>
      <c r="S3185" t="str">
        <f>""</f>
        <v/>
      </c>
      <c r="T3185" t="s">
        <v>41</v>
      </c>
      <c r="U3185">
        <v>6132.62</v>
      </c>
      <c r="V3185">
        <v>6132.62</v>
      </c>
      <c r="W3185">
        <v>6132.62</v>
      </c>
      <c r="X3185">
        <v>0</v>
      </c>
      <c r="Y3185">
        <v>0</v>
      </c>
      <c r="Z3185">
        <v>-549</v>
      </c>
      <c r="AA3185">
        <v>695111</v>
      </c>
      <c r="AD3185" t="s">
        <v>4729</v>
      </c>
      <c r="AE3185">
        <v>1221272100</v>
      </c>
      <c r="AF3185" t="s">
        <v>4729</v>
      </c>
      <c r="AG3185" s="1" t="s">
        <v>8544</v>
      </c>
      <c r="AH3185" t="s">
        <v>44</v>
      </c>
    </row>
    <row r="3186" spans="1:34" x14ac:dyDescent="0.3">
      <c r="A3186">
        <v>101</v>
      </c>
      <c r="B3186" t="s">
        <v>34</v>
      </c>
      <c r="C3186">
        <v>2</v>
      </c>
      <c r="D3186" s="1" t="s">
        <v>8551</v>
      </c>
      <c r="E3186" s="1" t="s">
        <v>36</v>
      </c>
      <c r="G3186">
        <v>437911</v>
      </c>
      <c r="H3186" t="s">
        <v>8552</v>
      </c>
      <c r="I3186" t="s">
        <v>8345</v>
      </c>
      <c r="J3186">
        <v>15</v>
      </c>
      <c r="K3186">
        <v>10032</v>
      </c>
      <c r="L3186">
        <v>10001</v>
      </c>
      <c r="M3186" t="s">
        <v>3135</v>
      </c>
      <c r="N3186">
        <v>679</v>
      </c>
      <c r="O3186" s="2">
        <v>46172</v>
      </c>
      <c r="P3186" s="2">
        <v>46280</v>
      </c>
      <c r="R3186" t="s">
        <v>8553</v>
      </c>
      <c r="S3186" t="str">
        <f>"1219"</f>
        <v>1219</v>
      </c>
      <c r="T3186" t="s">
        <v>41</v>
      </c>
      <c r="U3186">
        <v>3253.36</v>
      </c>
      <c r="V3186">
        <v>3253.36</v>
      </c>
      <c r="W3186">
        <v>3253.36</v>
      </c>
      <c r="X3186">
        <v>0</v>
      </c>
      <c r="Y3186">
        <v>0</v>
      </c>
      <c r="Z3186">
        <v>-505</v>
      </c>
      <c r="AA3186">
        <v>689978</v>
      </c>
      <c r="AD3186" t="s">
        <v>3188</v>
      </c>
      <c r="AE3186" t="s">
        <v>8554</v>
      </c>
      <c r="AF3186" t="s">
        <v>3188</v>
      </c>
      <c r="AG3186" s="1" t="s">
        <v>8555</v>
      </c>
      <c r="AH3186" t="s">
        <v>44</v>
      </c>
    </row>
    <row r="3187" spans="1:34" x14ac:dyDescent="0.3">
      <c r="A3187">
        <v>101</v>
      </c>
      <c r="B3187" t="s">
        <v>34</v>
      </c>
      <c r="C3187">
        <v>2</v>
      </c>
      <c r="D3187" s="1" t="s">
        <v>8556</v>
      </c>
      <c r="E3187" s="1" t="s">
        <v>36</v>
      </c>
      <c r="G3187">
        <v>437911</v>
      </c>
      <c r="H3187" t="s">
        <v>8552</v>
      </c>
      <c r="I3187" t="s">
        <v>8345</v>
      </c>
      <c r="J3187">
        <v>15</v>
      </c>
      <c r="K3187">
        <v>10032</v>
      </c>
      <c r="L3187">
        <v>95000</v>
      </c>
      <c r="M3187" t="s">
        <v>69</v>
      </c>
      <c r="N3187">
        <v>679</v>
      </c>
      <c r="O3187" s="2">
        <v>46203</v>
      </c>
      <c r="P3187" s="2">
        <v>46320</v>
      </c>
      <c r="R3187" t="s">
        <v>8557</v>
      </c>
      <c r="S3187" t="str">
        <f>""</f>
        <v/>
      </c>
      <c r="T3187" t="s">
        <v>41</v>
      </c>
      <c r="U3187">
        <v>2156.73</v>
      </c>
      <c r="V3187">
        <v>2156.73</v>
      </c>
      <c r="W3187">
        <v>2156.73</v>
      </c>
      <c r="X3187">
        <v>0</v>
      </c>
      <c r="Y3187">
        <v>0</v>
      </c>
      <c r="Z3187">
        <v>-545</v>
      </c>
      <c r="AA3187">
        <v>693502</v>
      </c>
      <c r="AD3187" t="s">
        <v>3188</v>
      </c>
      <c r="AE3187" t="s">
        <v>8554</v>
      </c>
      <c r="AF3187" t="s">
        <v>3188</v>
      </c>
      <c r="AG3187" s="1" t="s">
        <v>8555</v>
      </c>
      <c r="AH3187" t="s">
        <v>44</v>
      </c>
    </row>
    <row r="3188" spans="1:34" x14ac:dyDescent="0.3">
      <c r="A3188">
        <v>101</v>
      </c>
      <c r="B3188" t="s">
        <v>34</v>
      </c>
      <c r="C3188">
        <v>2</v>
      </c>
      <c r="D3188" s="1" t="s">
        <v>8558</v>
      </c>
      <c r="E3188" s="1" t="s">
        <v>36</v>
      </c>
      <c r="G3188">
        <v>437911</v>
      </c>
      <c r="H3188" t="s">
        <v>8552</v>
      </c>
      <c r="I3188" t="s">
        <v>8345</v>
      </c>
      <c r="J3188">
        <v>15</v>
      </c>
      <c r="K3188">
        <v>10032</v>
      </c>
      <c r="L3188">
        <v>95000</v>
      </c>
      <c r="M3188" t="s">
        <v>69</v>
      </c>
      <c r="N3188">
        <v>679</v>
      </c>
      <c r="O3188" s="2">
        <v>46238</v>
      </c>
      <c r="P3188" s="2">
        <v>46328</v>
      </c>
      <c r="R3188" t="s">
        <v>8559</v>
      </c>
      <c r="S3188" t="str">
        <f>""</f>
        <v/>
      </c>
      <c r="T3188" t="s">
        <v>41</v>
      </c>
      <c r="U3188">
        <v>1203.93</v>
      </c>
      <c r="V3188">
        <v>1203.93</v>
      </c>
      <c r="W3188">
        <v>1203.93</v>
      </c>
      <c r="X3188">
        <v>0</v>
      </c>
      <c r="Y3188">
        <v>0</v>
      </c>
      <c r="Z3188">
        <v>-553</v>
      </c>
      <c r="AA3188">
        <v>695115</v>
      </c>
      <c r="AD3188" t="s">
        <v>3188</v>
      </c>
      <c r="AE3188" t="s">
        <v>8554</v>
      </c>
      <c r="AF3188" t="s">
        <v>3188</v>
      </c>
      <c r="AG3188" s="1" t="s">
        <v>8555</v>
      </c>
      <c r="AH3188" t="s">
        <v>44</v>
      </c>
    </row>
    <row r="3189" spans="1:34" x14ac:dyDescent="0.3">
      <c r="A3189">
        <v>101</v>
      </c>
      <c r="B3189" t="s">
        <v>34</v>
      </c>
      <c r="C3189">
        <v>2</v>
      </c>
      <c r="D3189" s="1" t="s">
        <v>8560</v>
      </c>
      <c r="E3189" s="1" t="s">
        <v>36</v>
      </c>
      <c r="G3189">
        <v>437912</v>
      </c>
      <c r="H3189" t="s">
        <v>8561</v>
      </c>
      <c r="I3189" t="s">
        <v>8345</v>
      </c>
      <c r="J3189">
        <v>15</v>
      </c>
      <c r="K3189">
        <v>10032</v>
      </c>
      <c r="L3189">
        <v>95000</v>
      </c>
      <c r="M3189" t="s">
        <v>69</v>
      </c>
      <c r="N3189">
        <v>679</v>
      </c>
      <c r="O3189" s="2">
        <v>46203</v>
      </c>
      <c r="P3189" s="2">
        <v>46310</v>
      </c>
      <c r="R3189" t="s">
        <v>8562</v>
      </c>
      <c r="S3189" t="str">
        <f>""</f>
        <v/>
      </c>
      <c r="T3189" t="s">
        <v>41</v>
      </c>
      <c r="U3189">
        <v>2053.36</v>
      </c>
      <c r="V3189">
        <v>2053.36</v>
      </c>
      <c r="W3189">
        <v>2053.36</v>
      </c>
      <c r="X3189">
        <v>0</v>
      </c>
      <c r="Y3189">
        <v>0</v>
      </c>
      <c r="Z3189">
        <v>-535</v>
      </c>
      <c r="AA3189">
        <v>693506</v>
      </c>
      <c r="AD3189" t="s">
        <v>5205</v>
      </c>
      <c r="AE3189">
        <v>1938258888</v>
      </c>
      <c r="AF3189" t="s">
        <v>5205</v>
      </c>
      <c r="AG3189" s="1" t="s">
        <v>8563</v>
      </c>
      <c r="AH3189" t="s">
        <v>44</v>
      </c>
    </row>
    <row r="3190" spans="1:34" x14ac:dyDescent="0.3">
      <c r="A3190">
        <v>101</v>
      </c>
      <c r="B3190" t="s">
        <v>34</v>
      </c>
      <c r="C3190">
        <v>2</v>
      </c>
      <c r="D3190" s="1" t="s">
        <v>8564</v>
      </c>
      <c r="E3190" s="1" t="s">
        <v>36</v>
      </c>
      <c r="G3190">
        <v>437912</v>
      </c>
      <c r="H3190" t="s">
        <v>8561</v>
      </c>
      <c r="I3190" t="s">
        <v>8345</v>
      </c>
      <c r="J3190">
        <v>15</v>
      </c>
      <c r="K3190">
        <v>10032</v>
      </c>
      <c r="L3190">
        <v>95000</v>
      </c>
      <c r="M3190" t="s">
        <v>69</v>
      </c>
      <c r="N3190">
        <v>679</v>
      </c>
      <c r="O3190" s="2">
        <v>46234</v>
      </c>
      <c r="P3190" s="2">
        <v>46324</v>
      </c>
      <c r="R3190" t="s">
        <v>8565</v>
      </c>
      <c r="S3190" t="str">
        <f>""</f>
        <v/>
      </c>
      <c r="T3190" t="s">
        <v>41</v>
      </c>
      <c r="U3190">
        <v>3725.46</v>
      </c>
      <c r="V3190">
        <v>3725.46</v>
      </c>
      <c r="W3190">
        <v>3725.46</v>
      </c>
      <c r="X3190">
        <v>0</v>
      </c>
      <c r="Y3190">
        <v>0</v>
      </c>
      <c r="Z3190">
        <v>-549</v>
      </c>
      <c r="AA3190">
        <v>695119</v>
      </c>
      <c r="AD3190" t="s">
        <v>5205</v>
      </c>
      <c r="AE3190">
        <v>1938258888</v>
      </c>
      <c r="AF3190" t="s">
        <v>5205</v>
      </c>
      <c r="AG3190" s="1" t="s">
        <v>8563</v>
      </c>
      <c r="AH3190" t="s">
        <v>44</v>
      </c>
    </row>
    <row r="3191" spans="1:34" x14ac:dyDescent="0.3">
      <c r="A3191">
        <v>101</v>
      </c>
      <c r="B3191" t="s">
        <v>34</v>
      </c>
      <c r="C3191">
        <v>2</v>
      </c>
      <c r="D3191" s="1" t="s">
        <v>8566</v>
      </c>
      <c r="E3191" s="1" t="s">
        <v>36</v>
      </c>
      <c r="G3191">
        <v>437912</v>
      </c>
      <c r="H3191" t="s">
        <v>8561</v>
      </c>
      <c r="I3191" t="s">
        <v>8345</v>
      </c>
      <c r="J3191">
        <v>15</v>
      </c>
      <c r="K3191">
        <v>10032</v>
      </c>
      <c r="L3191">
        <v>10001</v>
      </c>
      <c r="M3191" t="s">
        <v>3135</v>
      </c>
      <c r="N3191">
        <v>679</v>
      </c>
      <c r="O3191" s="2">
        <v>46162</v>
      </c>
      <c r="P3191" s="2">
        <v>46273</v>
      </c>
      <c r="R3191" t="s">
        <v>8567</v>
      </c>
      <c r="S3191" t="str">
        <f>"1219"</f>
        <v>1219</v>
      </c>
      <c r="T3191" t="s">
        <v>41</v>
      </c>
      <c r="U3191">
        <v>4457.3100000000004</v>
      </c>
      <c r="V3191">
        <v>4457.3100000000004</v>
      </c>
      <c r="W3191">
        <v>4457.3100000000004</v>
      </c>
      <c r="X3191">
        <v>0</v>
      </c>
      <c r="Y3191">
        <v>0</v>
      </c>
      <c r="Z3191">
        <v>-498</v>
      </c>
      <c r="AA3191">
        <v>687715</v>
      </c>
      <c r="AD3191" t="s">
        <v>5205</v>
      </c>
      <c r="AE3191">
        <v>1938258888</v>
      </c>
      <c r="AF3191" t="s">
        <v>5205</v>
      </c>
      <c r="AG3191" s="1" t="s">
        <v>8563</v>
      </c>
      <c r="AH3191" t="s">
        <v>44</v>
      </c>
    </row>
    <row r="3192" spans="1:34" x14ac:dyDescent="0.3">
      <c r="A3192">
        <v>101</v>
      </c>
      <c r="B3192" t="s">
        <v>34</v>
      </c>
      <c r="C3192">
        <v>2</v>
      </c>
      <c r="D3192" s="1" t="s">
        <v>8568</v>
      </c>
      <c r="E3192" s="1" t="s">
        <v>36</v>
      </c>
      <c r="G3192">
        <v>437912</v>
      </c>
      <c r="H3192" t="s">
        <v>8561</v>
      </c>
      <c r="I3192" t="s">
        <v>8345</v>
      </c>
      <c r="J3192">
        <v>15</v>
      </c>
      <c r="K3192">
        <v>10032</v>
      </c>
      <c r="L3192">
        <v>10001</v>
      </c>
      <c r="M3192" t="s">
        <v>3135</v>
      </c>
      <c r="N3192">
        <v>679</v>
      </c>
      <c r="O3192" s="2">
        <v>46171</v>
      </c>
      <c r="P3192" s="2">
        <v>46280</v>
      </c>
      <c r="R3192" t="s">
        <v>8569</v>
      </c>
      <c r="S3192" t="str">
        <f>"1219"</f>
        <v>1219</v>
      </c>
      <c r="T3192" t="s">
        <v>41</v>
      </c>
      <c r="U3192">
        <v>4638.4799999999996</v>
      </c>
      <c r="V3192">
        <v>4638.4799999999996</v>
      </c>
      <c r="W3192">
        <v>4638.4799999999996</v>
      </c>
      <c r="X3192">
        <v>0</v>
      </c>
      <c r="Y3192">
        <v>0</v>
      </c>
      <c r="Z3192">
        <v>-505</v>
      </c>
      <c r="AA3192">
        <v>689982</v>
      </c>
      <c r="AD3192" t="s">
        <v>5205</v>
      </c>
      <c r="AE3192">
        <v>1938258888</v>
      </c>
      <c r="AF3192" t="s">
        <v>5205</v>
      </c>
      <c r="AG3192" s="1" t="s">
        <v>8563</v>
      </c>
      <c r="AH3192" t="s">
        <v>44</v>
      </c>
    </row>
    <row r="3193" spans="1:34" x14ac:dyDescent="0.3">
      <c r="A3193">
        <v>101</v>
      </c>
      <c r="B3193" t="s">
        <v>34</v>
      </c>
      <c r="C3193">
        <v>2</v>
      </c>
      <c r="D3193" s="1" t="s">
        <v>8570</v>
      </c>
      <c r="E3193" s="1" t="s">
        <v>36</v>
      </c>
      <c r="G3193">
        <v>437913</v>
      </c>
      <c r="H3193" t="s">
        <v>8571</v>
      </c>
      <c r="I3193" t="s">
        <v>8345</v>
      </c>
      <c r="J3193">
        <v>15</v>
      </c>
      <c r="K3193">
        <v>10032</v>
      </c>
      <c r="L3193">
        <v>95000</v>
      </c>
      <c r="M3193" t="s">
        <v>69</v>
      </c>
      <c r="N3193">
        <v>679</v>
      </c>
      <c r="O3193" s="2">
        <v>46234</v>
      </c>
      <c r="P3193" s="2">
        <v>46324</v>
      </c>
      <c r="R3193" t="s">
        <v>8572</v>
      </c>
      <c r="S3193" t="str">
        <f>""</f>
        <v/>
      </c>
      <c r="T3193" t="s">
        <v>41</v>
      </c>
      <c r="U3193">
        <v>6899.5</v>
      </c>
      <c r="V3193">
        <v>6899.5</v>
      </c>
      <c r="W3193">
        <v>6899.5</v>
      </c>
      <c r="X3193">
        <v>0</v>
      </c>
      <c r="Y3193">
        <v>0</v>
      </c>
      <c r="Z3193">
        <v>-549</v>
      </c>
      <c r="AA3193">
        <v>695123</v>
      </c>
      <c r="AD3193" t="s">
        <v>2286</v>
      </c>
      <c r="AE3193">
        <v>1633663214</v>
      </c>
      <c r="AF3193" t="s">
        <v>2286</v>
      </c>
      <c r="AG3193" s="1" t="s">
        <v>8573</v>
      </c>
      <c r="AH3193" t="s">
        <v>44</v>
      </c>
    </row>
    <row r="3194" spans="1:34" x14ac:dyDescent="0.3">
      <c r="A3194">
        <v>101</v>
      </c>
      <c r="B3194" t="s">
        <v>34</v>
      </c>
      <c r="C3194">
        <v>2</v>
      </c>
      <c r="D3194" s="1" t="s">
        <v>8574</v>
      </c>
      <c r="E3194" s="1" t="s">
        <v>36</v>
      </c>
      <c r="G3194">
        <v>437913</v>
      </c>
      <c r="H3194" t="s">
        <v>8571</v>
      </c>
      <c r="I3194" t="s">
        <v>8345</v>
      </c>
      <c r="J3194">
        <v>15</v>
      </c>
      <c r="K3194">
        <v>10032</v>
      </c>
      <c r="L3194">
        <v>10001</v>
      </c>
      <c r="M3194" t="s">
        <v>3135</v>
      </c>
      <c r="N3194">
        <v>679</v>
      </c>
      <c r="O3194" s="2">
        <v>46162</v>
      </c>
      <c r="P3194" s="2">
        <v>46273</v>
      </c>
      <c r="R3194" t="s">
        <v>8575</v>
      </c>
      <c r="S3194" t="str">
        <f>"1219"</f>
        <v>1219</v>
      </c>
      <c r="T3194" t="s">
        <v>41</v>
      </c>
      <c r="U3194">
        <v>4083.05</v>
      </c>
      <c r="V3194">
        <v>4083.05</v>
      </c>
      <c r="W3194">
        <v>4083.05</v>
      </c>
      <c r="X3194">
        <v>0</v>
      </c>
      <c r="Y3194">
        <v>0</v>
      </c>
      <c r="Z3194">
        <v>-498</v>
      </c>
      <c r="AA3194">
        <v>687719</v>
      </c>
      <c r="AD3194" t="s">
        <v>2286</v>
      </c>
      <c r="AE3194">
        <v>1633663214</v>
      </c>
      <c r="AF3194" t="s">
        <v>2286</v>
      </c>
      <c r="AG3194" s="1" t="s">
        <v>8573</v>
      </c>
      <c r="AH3194" t="s">
        <v>44</v>
      </c>
    </row>
    <row r="3195" spans="1:34" x14ac:dyDescent="0.3">
      <c r="A3195">
        <v>101</v>
      </c>
      <c r="B3195" t="s">
        <v>34</v>
      </c>
      <c r="C3195">
        <v>2</v>
      </c>
      <c r="D3195" s="1" t="s">
        <v>8576</v>
      </c>
      <c r="E3195" s="1" t="s">
        <v>36</v>
      </c>
      <c r="G3195">
        <v>437913</v>
      </c>
      <c r="H3195" t="s">
        <v>8571</v>
      </c>
      <c r="I3195" t="s">
        <v>8345</v>
      </c>
      <c r="J3195">
        <v>15</v>
      </c>
      <c r="K3195">
        <v>10032</v>
      </c>
      <c r="L3195">
        <v>95000</v>
      </c>
      <c r="M3195" t="s">
        <v>69</v>
      </c>
      <c r="N3195">
        <v>679</v>
      </c>
      <c r="O3195" s="2">
        <v>46203</v>
      </c>
      <c r="P3195" s="2">
        <v>46320</v>
      </c>
      <c r="R3195" t="s">
        <v>8577</v>
      </c>
      <c r="S3195" t="str">
        <f>""</f>
        <v/>
      </c>
      <c r="T3195" t="s">
        <v>41</v>
      </c>
      <c r="U3195">
        <v>3654.79</v>
      </c>
      <c r="V3195">
        <v>3654.79</v>
      </c>
      <c r="W3195">
        <v>3654.79</v>
      </c>
      <c r="X3195">
        <v>0</v>
      </c>
      <c r="Y3195">
        <v>0</v>
      </c>
      <c r="Z3195">
        <v>-545</v>
      </c>
      <c r="AA3195">
        <v>693510</v>
      </c>
      <c r="AD3195" t="s">
        <v>2286</v>
      </c>
      <c r="AE3195">
        <v>1633663214</v>
      </c>
      <c r="AF3195" t="s">
        <v>2286</v>
      </c>
      <c r="AG3195" s="1" t="s">
        <v>8573</v>
      </c>
      <c r="AH3195" t="s">
        <v>44</v>
      </c>
    </row>
    <row r="3196" spans="1:34" x14ac:dyDescent="0.3">
      <c r="A3196">
        <v>101</v>
      </c>
      <c r="B3196" t="s">
        <v>34</v>
      </c>
      <c r="C3196">
        <v>2</v>
      </c>
      <c r="D3196" s="1" t="s">
        <v>8578</v>
      </c>
      <c r="E3196" s="1" t="s">
        <v>36</v>
      </c>
      <c r="G3196">
        <v>437913</v>
      </c>
      <c r="H3196" t="s">
        <v>8571</v>
      </c>
      <c r="I3196" t="s">
        <v>8345</v>
      </c>
      <c r="J3196">
        <v>15</v>
      </c>
      <c r="K3196">
        <v>10032</v>
      </c>
      <c r="L3196">
        <v>10001</v>
      </c>
      <c r="M3196" t="s">
        <v>3135</v>
      </c>
      <c r="N3196">
        <v>679</v>
      </c>
      <c r="O3196" s="2">
        <v>46172</v>
      </c>
      <c r="P3196" s="2">
        <v>46280</v>
      </c>
      <c r="R3196" t="s">
        <v>8579</v>
      </c>
      <c r="S3196" t="str">
        <f>"1219"</f>
        <v>1219</v>
      </c>
      <c r="T3196" t="s">
        <v>41</v>
      </c>
      <c r="U3196">
        <v>4550.75</v>
      </c>
      <c r="V3196">
        <v>4550.75</v>
      </c>
      <c r="W3196">
        <v>4550.75</v>
      </c>
      <c r="X3196">
        <v>0</v>
      </c>
      <c r="Y3196">
        <v>0</v>
      </c>
      <c r="Z3196">
        <v>-505</v>
      </c>
      <c r="AA3196">
        <v>689986</v>
      </c>
      <c r="AD3196" t="s">
        <v>2286</v>
      </c>
      <c r="AE3196">
        <v>1633663214</v>
      </c>
      <c r="AF3196" t="s">
        <v>2286</v>
      </c>
      <c r="AG3196" s="1" t="s">
        <v>8573</v>
      </c>
      <c r="AH3196" t="s">
        <v>44</v>
      </c>
    </row>
    <row r="3197" spans="1:34" x14ac:dyDescent="0.3">
      <c r="A3197">
        <v>101</v>
      </c>
      <c r="B3197" t="s">
        <v>34</v>
      </c>
      <c r="C3197">
        <v>2</v>
      </c>
      <c r="D3197" s="1" t="s">
        <v>8580</v>
      </c>
      <c r="E3197" s="1" t="s">
        <v>36</v>
      </c>
      <c r="G3197">
        <v>437914</v>
      </c>
      <c r="H3197" t="s">
        <v>8581</v>
      </c>
      <c r="I3197" t="s">
        <v>8345</v>
      </c>
      <c r="J3197">
        <v>15</v>
      </c>
      <c r="K3197">
        <v>10032</v>
      </c>
      <c r="L3197">
        <v>95000</v>
      </c>
      <c r="M3197" t="s">
        <v>69</v>
      </c>
      <c r="N3197">
        <v>679</v>
      </c>
      <c r="O3197" s="2">
        <v>46203</v>
      </c>
      <c r="P3197" s="2">
        <v>46310</v>
      </c>
      <c r="R3197" t="s">
        <v>8582</v>
      </c>
      <c r="S3197" t="str">
        <f>""</f>
        <v/>
      </c>
      <c r="T3197" t="s">
        <v>41</v>
      </c>
      <c r="U3197">
        <v>5406.27</v>
      </c>
      <c r="V3197">
        <v>5406.27</v>
      </c>
      <c r="W3197">
        <v>5406.27</v>
      </c>
      <c r="X3197">
        <v>0</v>
      </c>
      <c r="Y3197">
        <v>0</v>
      </c>
      <c r="Z3197">
        <v>-535</v>
      </c>
      <c r="AA3197">
        <v>693514</v>
      </c>
      <c r="AD3197" t="s">
        <v>2940</v>
      </c>
      <c r="AE3197">
        <v>1334211770</v>
      </c>
      <c r="AF3197" t="s">
        <v>2940</v>
      </c>
      <c r="AG3197" s="1" t="s">
        <v>8583</v>
      </c>
      <c r="AH3197" t="s">
        <v>44</v>
      </c>
    </row>
    <row r="3198" spans="1:34" x14ac:dyDescent="0.3">
      <c r="A3198">
        <v>101</v>
      </c>
      <c r="B3198" t="s">
        <v>34</v>
      </c>
      <c r="C3198">
        <v>2</v>
      </c>
      <c r="D3198" s="1" t="s">
        <v>8584</v>
      </c>
      <c r="E3198" s="1" t="s">
        <v>36</v>
      </c>
      <c r="G3198">
        <v>437914</v>
      </c>
      <c r="H3198" t="s">
        <v>8581</v>
      </c>
      <c r="I3198" t="s">
        <v>8345</v>
      </c>
      <c r="J3198">
        <v>15</v>
      </c>
      <c r="K3198">
        <v>10032</v>
      </c>
      <c r="L3198">
        <v>10001</v>
      </c>
      <c r="M3198" t="s">
        <v>3135</v>
      </c>
      <c r="N3198">
        <v>679</v>
      </c>
      <c r="O3198" s="2">
        <v>46162</v>
      </c>
      <c r="P3198" s="2">
        <v>46273</v>
      </c>
      <c r="R3198" t="s">
        <v>8585</v>
      </c>
      <c r="S3198" t="str">
        <f>"1219"</f>
        <v>1219</v>
      </c>
      <c r="T3198" t="s">
        <v>41</v>
      </c>
      <c r="U3198">
        <v>5073.3599999999997</v>
      </c>
      <c r="V3198">
        <v>5073.3599999999997</v>
      </c>
      <c r="W3198">
        <v>5073.3599999999997</v>
      </c>
      <c r="X3198">
        <v>0</v>
      </c>
      <c r="Y3198">
        <v>0</v>
      </c>
      <c r="Z3198">
        <v>-498</v>
      </c>
      <c r="AA3198">
        <v>687723</v>
      </c>
      <c r="AD3198" t="s">
        <v>2940</v>
      </c>
      <c r="AE3198">
        <v>1334211770</v>
      </c>
      <c r="AF3198" t="s">
        <v>2940</v>
      </c>
      <c r="AG3198" s="1" t="s">
        <v>8583</v>
      </c>
      <c r="AH3198" t="s">
        <v>44</v>
      </c>
    </row>
    <row r="3199" spans="1:34" x14ac:dyDescent="0.3">
      <c r="A3199">
        <v>101</v>
      </c>
      <c r="B3199" t="s">
        <v>34</v>
      </c>
      <c r="C3199">
        <v>2</v>
      </c>
      <c r="D3199" s="1" t="s">
        <v>8586</v>
      </c>
      <c r="E3199" s="1" t="s">
        <v>36</v>
      </c>
      <c r="G3199">
        <v>437914</v>
      </c>
      <c r="H3199" t="s">
        <v>8581</v>
      </c>
      <c r="I3199" t="s">
        <v>8345</v>
      </c>
      <c r="J3199">
        <v>15</v>
      </c>
      <c r="K3199">
        <v>10032</v>
      </c>
      <c r="L3199">
        <v>10001</v>
      </c>
      <c r="M3199" t="s">
        <v>3135</v>
      </c>
      <c r="N3199">
        <v>679</v>
      </c>
      <c r="O3199" s="2">
        <v>46171</v>
      </c>
      <c r="P3199" s="2">
        <v>46280</v>
      </c>
      <c r="R3199" t="s">
        <v>8587</v>
      </c>
      <c r="S3199" t="str">
        <f>"1219"</f>
        <v>1219</v>
      </c>
      <c r="T3199" t="s">
        <v>41</v>
      </c>
      <c r="U3199">
        <v>8500.74</v>
      </c>
      <c r="V3199">
        <v>8500.74</v>
      </c>
      <c r="W3199">
        <v>8500.74</v>
      </c>
      <c r="X3199">
        <v>0</v>
      </c>
      <c r="Y3199">
        <v>0</v>
      </c>
      <c r="Z3199">
        <v>-505</v>
      </c>
      <c r="AA3199">
        <v>689990</v>
      </c>
      <c r="AD3199" t="s">
        <v>2940</v>
      </c>
      <c r="AE3199">
        <v>1334211770</v>
      </c>
      <c r="AF3199" t="s">
        <v>2940</v>
      </c>
      <c r="AG3199" s="1" t="s">
        <v>8583</v>
      </c>
      <c r="AH3199" t="s">
        <v>44</v>
      </c>
    </row>
    <row r="3200" spans="1:34" x14ac:dyDescent="0.3">
      <c r="A3200">
        <v>101</v>
      </c>
      <c r="B3200" t="s">
        <v>34</v>
      </c>
      <c r="C3200">
        <v>2</v>
      </c>
      <c r="D3200" s="1" t="s">
        <v>8588</v>
      </c>
      <c r="E3200" s="1" t="s">
        <v>36</v>
      </c>
      <c r="G3200">
        <v>437914</v>
      </c>
      <c r="H3200" t="s">
        <v>8581</v>
      </c>
      <c r="I3200" t="s">
        <v>8345</v>
      </c>
      <c r="J3200">
        <v>15</v>
      </c>
      <c r="K3200">
        <v>10032</v>
      </c>
      <c r="L3200">
        <v>95000</v>
      </c>
      <c r="M3200" t="s">
        <v>69</v>
      </c>
      <c r="N3200">
        <v>679</v>
      </c>
      <c r="O3200" s="2">
        <v>46234</v>
      </c>
      <c r="P3200" s="2">
        <v>46324</v>
      </c>
      <c r="R3200" t="s">
        <v>8589</v>
      </c>
      <c r="S3200" t="str">
        <f>""</f>
        <v/>
      </c>
      <c r="T3200" t="s">
        <v>41</v>
      </c>
      <c r="U3200">
        <v>8213.2900000000009</v>
      </c>
      <c r="V3200">
        <v>8213.2900000000009</v>
      </c>
      <c r="W3200">
        <v>8213.2900000000009</v>
      </c>
      <c r="X3200">
        <v>0</v>
      </c>
      <c r="Y3200">
        <v>0</v>
      </c>
      <c r="Z3200">
        <v>-549</v>
      </c>
      <c r="AA3200">
        <v>695127</v>
      </c>
      <c r="AD3200" t="s">
        <v>2940</v>
      </c>
      <c r="AE3200">
        <v>1334211770</v>
      </c>
      <c r="AF3200" t="s">
        <v>2940</v>
      </c>
      <c r="AG3200" s="1" t="s">
        <v>8583</v>
      </c>
      <c r="AH3200" t="s">
        <v>44</v>
      </c>
    </row>
    <row r="3201" spans="1:34" x14ac:dyDescent="0.3">
      <c r="A3201">
        <v>101</v>
      </c>
      <c r="B3201" t="s">
        <v>34</v>
      </c>
      <c r="C3201">
        <v>2</v>
      </c>
      <c r="D3201" s="1" t="s">
        <v>8590</v>
      </c>
      <c r="E3201" s="1" t="s">
        <v>36</v>
      </c>
      <c r="G3201">
        <v>437915</v>
      </c>
      <c r="H3201" t="s">
        <v>8591</v>
      </c>
      <c r="I3201" t="s">
        <v>8345</v>
      </c>
      <c r="J3201">
        <v>15</v>
      </c>
      <c r="K3201">
        <v>10032</v>
      </c>
      <c r="L3201">
        <v>10001</v>
      </c>
      <c r="M3201" t="s">
        <v>3135</v>
      </c>
      <c r="N3201">
        <v>679</v>
      </c>
      <c r="O3201" s="2">
        <v>46162</v>
      </c>
      <c r="P3201" s="2">
        <v>46280</v>
      </c>
      <c r="R3201" t="s">
        <v>8592</v>
      </c>
      <c r="S3201" t="str">
        <f>"1219"</f>
        <v>1219</v>
      </c>
      <c r="T3201" t="s">
        <v>41</v>
      </c>
      <c r="U3201">
        <v>3039.52</v>
      </c>
      <c r="V3201">
        <v>3039.52</v>
      </c>
      <c r="W3201">
        <v>3039.52</v>
      </c>
      <c r="X3201">
        <v>0</v>
      </c>
      <c r="Y3201">
        <v>0</v>
      </c>
      <c r="Z3201">
        <v>-505</v>
      </c>
      <c r="AA3201">
        <v>687727</v>
      </c>
      <c r="AD3201" t="s">
        <v>8593</v>
      </c>
      <c r="AE3201">
        <v>1438112990</v>
      </c>
      <c r="AF3201" t="s">
        <v>8593</v>
      </c>
      <c r="AG3201" s="1" t="s">
        <v>8594</v>
      </c>
      <c r="AH3201" t="s">
        <v>44</v>
      </c>
    </row>
    <row r="3202" spans="1:34" x14ac:dyDescent="0.3">
      <c r="A3202">
        <v>101</v>
      </c>
      <c r="B3202" t="s">
        <v>34</v>
      </c>
      <c r="C3202">
        <v>2</v>
      </c>
      <c r="D3202" s="1" t="s">
        <v>8595</v>
      </c>
      <c r="E3202" s="1" t="s">
        <v>36</v>
      </c>
      <c r="G3202">
        <v>437915</v>
      </c>
      <c r="H3202" t="s">
        <v>8591</v>
      </c>
      <c r="I3202" t="s">
        <v>8345</v>
      </c>
      <c r="J3202">
        <v>15</v>
      </c>
      <c r="K3202">
        <v>10032</v>
      </c>
      <c r="L3202">
        <v>95000</v>
      </c>
      <c r="M3202" t="s">
        <v>69</v>
      </c>
      <c r="N3202">
        <v>679</v>
      </c>
      <c r="O3202" s="2">
        <v>46234</v>
      </c>
      <c r="P3202" s="2">
        <v>46324</v>
      </c>
      <c r="R3202" t="s">
        <v>8596</v>
      </c>
      <c r="S3202" t="str">
        <f>""</f>
        <v/>
      </c>
      <c r="T3202" t="s">
        <v>41</v>
      </c>
      <c r="U3202">
        <v>2706.29</v>
      </c>
      <c r="V3202">
        <v>2706.29</v>
      </c>
      <c r="W3202">
        <v>2706.29</v>
      </c>
      <c r="X3202">
        <v>0</v>
      </c>
      <c r="Y3202">
        <v>0</v>
      </c>
      <c r="Z3202">
        <v>-549</v>
      </c>
      <c r="AA3202">
        <v>695131</v>
      </c>
      <c r="AD3202" t="s">
        <v>8593</v>
      </c>
      <c r="AE3202">
        <v>1438112990</v>
      </c>
      <c r="AF3202" t="s">
        <v>8593</v>
      </c>
      <c r="AG3202" s="1" t="s">
        <v>8594</v>
      </c>
      <c r="AH3202" t="s">
        <v>44</v>
      </c>
    </row>
    <row r="3203" spans="1:34" x14ac:dyDescent="0.3">
      <c r="A3203">
        <v>101</v>
      </c>
      <c r="B3203" t="s">
        <v>34</v>
      </c>
      <c r="C3203">
        <v>2</v>
      </c>
      <c r="D3203" s="1" t="s">
        <v>8597</v>
      </c>
      <c r="E3203" s="1" t="s">
        <v>36</v>
      </c>
      <c r="G3203">
        <v>437915</v>
      </c>
      <c r="H3203" t="s">
        <v>8591</v>
      </c>
      <c r="I3203" t="s">
        <v>8345</v>
      </c>
      <c r="J3203">
        <v>15</v>
      </c>
      <c r="K3203">
        <v>10032</v>
      </c>
      <c r="L3203">
        <v>95000</v>
      </c>
      <c r="M3203" t="s">
        <v>69</v>
      </c>
      <c r="N3203">
        <v>679</v>
      </c>
      <c r="O3203" s="2">
        <v>46203</v>
      </c>
      <c r="P3203" s="2">
        <v>46310</v>
      </c>
      <c r="R3203" t="s">
        <v>8598</v>
      </c>
      <c r="S3203" t="str">
        <f>""</f>
        <v/>
      </c>
      <c r="T3203" t="s">
        <v>41</v>
      </c>
      <c r="U3203">
        <v>2138.1799999999998</v>
      </c>
      <c r="V3203">
        <v>2138.1799999999998</v>
      </c>
      <c r="W3203">
        <v>2138.1799999999998</v>
      </c>
      <c r="X3203">
        <v>0</v>
      </c>
      <c r="Y3203">
        <v>0</v>
      </c>
      <c r="Z3203">
        <v>-535</v>
      </c>
      <c r="AA3203">
        <v>693518</v>
      </c>
      <c r="AD3203" t="s">
        <v>8593</v>
      </c>
      <c r="AE3203">
        <v>1438112990</v>
      </c>
      <c r="AF3203" t="s">
        <v>8593</v>
      </c>
      <c r="AG3203" s="1" t="s">
        <v>8594</v>
      </c>
      <c r="AH3203" t="s">
        <v>44</v>
      </c>
    </row>
    <row r="3204" spans="1:34" x14ac:dyDescent="0.3">
      <c r="A3204">
        <v>101</v>
      </c>
      <c r="B3204" t="s">
        <v>34</v>
      </c>
      <c r="C3204">
        <v>2</v>
      </c>
      <c r="D3204" s="1" t="s">
        <v>8599</v>
      </c>
      <c r="E3204" s="1" t="s">
        <v>36</v>
      </c>
      <c r="G3204">
        <v>437915</v>
      </c>
      <c r="H3204" t="s">
        <v>8591</v>
      </c>
      <c r="I3204" t="s">
        <v>8345</v>
      </c>
      <c r="J3204">
        <v>15</v>
      </c>
      <c r="K3204">
        <v>10032</v>
      </c>
      <c r="L3204">
        <v>10001</v>
      </c>
      <c r="M3204" t="s">
        <v>3135</v>
      </c>
      <c r="N3204">
        <v>679</v>
      </c>
      <c r="O3204" s="2">
        <v>46172</v>
      </c>
      <c r="P3204" s="2">
        <v>46280</v>
      </c>
      <c r="R3204" t="s">
        <v>8600</v>
      </c>
      <c r="S3204" t="str">
        <f>"1219"</f>
        <v>1219</v>
      </c>
      <c r="T3204" t="s">
        <v>41</v>
      </c>
      <c r="U3204">
        <v>5117.74</v>
      </c>
      <c r="V3204">
        <v>5117.74</v>
      </c>
      <c r="W3204">
        <v>5117.74</v>
      </c>
      <c r="X3204">
        <v>0</v>
      </c>
      <c r="Y3204">
        <v>0</v>
      </c>
      <c r="Z3204">
        <v>-505</v>
      </c>
      <c r="AA3204">
        <v>689994</v>
      </c>
      <c r="AD3204" t="s">
        <v>8593</v>
      </c>
      <c r="AE3204">
        <v>1438112990</v>
      </c>
      <c r="AF3204" t="s">
        <v>8593</v>
      </c>
      <c r="AG3204" s="1" t="s">
        <v>8594</v>
      </c>
      <c r="AH3204" t="s">
        <v>44</v>
      </c>
    </row>
    <row r="3205" spans="1:34" x14ac:dyDescent="0.3">
      <c r="A3205">
        <v>101</v>
      </c>
      <c r="B3205" t="s">
        <v>34</v>
      </c>
      <c r="C3205">
        <v>2</v>
      </c>
      <c r="D3205" s="1" t="s">
        <v>8601</v>
      </c>
      <c r="E3205" s="1" t="s">
        <v>36</v>
      </c>
      <c r="G3205">
        <v>437916</v>
      </c>
      <c r="H3205" t="s">
        <v>8602</v>
      </c>
      <c r="I3205" t="s">
        <v>8345</v>
      </c>
      <c r="J3205">
        <v>15</v>
      </c>
      <c r="K3205">
        <v>10032</v>
      </c>
      <c r="L3205">
        <v>95000</v>
      </c>
      <c r="M3205" t="s">
        <v>69</v>
      </c>
      <c r="N3205">
        <v>679</v>
      </c>
      <c r="O3205" s="2">
        <v>46203</v>
      </c>
      <c r="P3205" s="2">
        <v>46310</v>
      </c>
      <c r="R3205" t="s">
        <v>8603</v>
      </c>
      <c r="S3205" t="str">
        <f>""</f>
        <v/>
      </c>
      <c r="T3205" t="s">
        <v>41</v>
      </c>
      <c r="U3205">
        <v>2987.58</v>
      </c>
      <c r="V3205">
        <v>2987.58</v>
      </c>
      <c r="W3205">
        <v>2987.58</v>
      </c>
      <c r="X3205">
        <v>0</v>
      </c>
      <c r="Y3205">
        <v>0</v>
      </c>
      <c r="Z3205">
        <v>-535</v>
      </c>
      <c r="AA3205">
        <v>693482</v>
      </c>
      <c r="AD3205" t="s">
        <v>64</v>
      </c>
      <c r="AE3205">
        <v>1156935844</v>
      </c>
      <c r="AF3205" t="s">
        <v>64</v>
      </c>
      <c r="AG3205" s="1" t="s">
        <v>8604</v>
      </c>
      <c r="AH3205" t="s">
        <v>44</v>
      </c>
    </row>
    <row r="3206" spans="1:34" x14ac:dyDescent="0.3">
      <c r="A3206">
        <v>101</v>
      </c>
      <c r="B3206" t="s">
        <v>34</v>
      </c>
      <c r="C3206">
        <v>2</v>
      </c>
      <c r="D3206" s="1" t="s">
        <v>8605</v>
      </c>
      <c r="E3206" s="1" t="s">
        <v>36</v>
      </c>
      <c r="G3206">
        <v>437916</v>
      </c>
      <c r="H3206" t="s">
        <v>8602</v>
      </c>
      <c r="I3206" t="s">
        <v>8345</v>
      </c>
      <c r="J3206">
        <v>15</v>
      </c>
      <c r="K3206">
        <v>10032</v>
      </c>
      <c r="L3206">
        <v>95000</v>
      </c>
      <c r="M3206" t="s">
        <v>69</v>
      </c>
      <c r="N3206">
        <v>679</v>
      </c>
      <c r="O3206" s="2">
        <v>46234</v>
      </c>
      <c r="P3206" s="2">
        <v>46324</v>
      </c>
      <c r="R3206" t="s">
        <v>8606</v>
      </c>
      <c r="S3206" t="str">
        <f>""</f>
        <v/>
      </c>
      <c r="T3206" t="s">
        <v>41</v>
      </c>
      <c r="U3206">
        <v>5836.32</v>
      </c>
      <c r="V3206">
        <v>5836.32</v>
      </c>
      <c r="W3206">
        <v>5836.32</v>
      </c>
      <c r="X3206">
        <v>0</v>
      </c>
      <c r="Y3206">
        <v>0</v>
      </c>
      <c r="Z3206">
        <v>-549</v>
      </c>
      <c r="AA3206">
        <v>695095</v>
      </c>
      <c r="AD3206" t="s">
        <v>64</v>
      </c>
      <c r="AE3206">
        <v>1156935844</v>
      </c>
      <c r="AF3206" t="s">
        <v>64</v>
      </c>
      <c r="AG3206" s="1" t="s">
        <v>8604</v>
      </c>
      <c r="AH3206" t="s">
        <v>44</v>
      </c>
    </row>
    <row r="3207" spans="1:34" x14ac:dyDescent="0.3">
      <c r="A3207">
        <v>101</v>
      </c>
      <c r="B3207" t="s">
        <v>34</v>
      </c>
      <c r="C3207">
        <v>2</v>
      </c>
      <c r="D3207" s="1" t="s">
        <v>8607</v>
      </c>
      <c r="E3207" s="1" t="s">
        <v>36</v>
      </c>
      <c r="G3207">
        <v>437916</v>
      </c>
      <c r="H3207" t="s">
        <v>8602</v>
      </c>
      <c r="I3207" t="s">
        <v>8345</v>
      </c>
      <c r="J3207">
        <v>15</v>
      </c>
      <c r="K3207">
        <v>10032</v>
      </c>
      <c r="L3207">
        <v>10001</v>
      </c>
      <c r="M3207" t="s">
        <v>3135</v>
      </c>
      <c r="N3207">
        <v>679</v>
      </c>
      <c r="O3207" s="2">
        <v>46171</v>
      </c>
      <c r="P3207" s="2">
        <v>46280</v>
      </c>
      <c r="R3207" t="s">
        <v>8608</v>
      </c>
      <c r="S3207" t="str">
        <f>"1219"</f>
        <v>1219</v>
      </c>
      <c r="T3207" t="s">
        <v>41</v>
      </c>
      <c r="U3207">
        <v>3666.43</v>
      </c>
      <c r="V3207">
        <v>3666.43</v>
      </c>
      <c r="W3207">
        <v>3666.43</v>
      </c>
      <c r="X3207">
        <v>0</v>
      </c>
      <c r="Y3207">
        <v>0</v>
      </c>
      <c r="Z3207">
        <v>-505</v>
      </c>
      <c r="AA3207">
        <v>689958</v>
      </c>
      <c r="AD3207" t="s">
        <v>64</v>
      </c>
      <c r="AE3207">
        <v>1156935844</v>
      </c>
      <c r="AF3207" t="s">
        <v>64</v>
      </c>
      <c r="AG3207" s="1" t="s">
        <v>8604</v>
      </c>
      <c r="AH3207" t="s">
        <v>44</v>
      </c>
    </row>
    <row r="3208" spans="1:34" x14ac:dyDescent="0.3">
      <c r="A3208">
        <v>101</v>
      </c>
      <c r="B3208" t="s">
        <v>34</v>
      </c>
      <c r="C3208">
        <v>2</v>
      </c>
      <c r="D3208" s="1" t="s">
        <v>8609</v>
      </c>
      <c r="E3208" s="1" t="s">
        <v>36</v>
      </c>
      <c r="G3208">
        <v>437916</v>
      </c>
      <c r="H3208" t="s">
        <v>8602</v>
      </c>
      <c r="I3208" t="s">
        <v>8345</v>
      </c>
      <c r="J3208">
        <v>15</v>
      </c>
      <c r="K3208">
        <v>10032</v>
      </c>
      <c r="L3208">
        <v>10001</v>
      </c>
      <c r="M3208" t="s">
        <v>3135</v>
      </c>
      <c r="N3208">
        <v>679</v>
      </c>
      <c r="O3208" s="2">
        <v>46162</v>
      </c>
      <c r="P3208" s="2">
        <v>46273</v>
      </c>
      <c r="R3208" t="s">
        <v>8610</v>
      </c>
      <c r="S3208" t="str">
        <f>"1219"</f>
        <v>1219</v>
      </c>
      <c r="T3208" t="s">
        <v>41</v>
      </c>
      <c r="U3208">
        <v>3474.89</v>
      </c>
      <c r="V3208">
        <v>3474.89</v>
      </c>
      <c r="W3208">
        <v>3474.89</v>
      </c>
      <c r="X3208">
        <v>0</v>
      </c>
      <c r="Y3208">
        <v>0</v>
      </c>
      <c r="Z3208">
        <v>-498</v>
      </c>
      <c r="AA3208">
        <v>687698</v>
      </c>
      <c r="AD3208" t="s">
        <v>64</v>
      </c>
      <c r="AE3208">
        <v>1156935844</v>
      </c>
      <c r="AF3208" t="s">
        <v>64</v>
      </c>
      <c r="AG3208" s="1" t="s">
        <v>8604</v>
      </c>
      <c r="AH3208" t="s">
        <v>44</v>
      </c>
    </row>
    <row r="3209" spans="1:34" x14ac:dyDescent="0.3">
      <c r="A3209">
        <v>101</v>
      </c>
      <c r="B3209" t="s">
        <v>34</v>
      </c>
      <c r="C3209">
        <v>2</v>
      </c>
      <c r="D3209" s="1" t="s">
        <v>8611</v>
      </c>
      <c r="E3209" s="1" t="s">
        <v>36</v>
      </c>
      <c r="G3209">
        <v>438210</v>
      </c>
      <c r="H3209" t="s">
        <v>8612</v>
      </c>
      <c r="I3209" t="s">
        <v>8345</v>
      </c>
      <c r="J3209">
        <v>15</v>
      </c>
      <c r="K3209">
        <v>10032</v>
      </c>
      <c r="L3209">
        <v>95000</v>
      </c>
      <c r="M3209" t="s">
        <v>69</v>
      </c>
      <c r="N3209">
        <v>679</v>
      </c>
      <c r="O3209" s="2">
        <v>46234</v>
      </c>
      <c r="P3209" s="2">
        <v>46324</v>
      </c>
      <c r="R3209" t="s">
        <v>8613</v>
      </c>
      <c r="S3209" t="str">
        <f>""</f>
        <v/>
      </c>
      <c r="T3209" t="s">
        <v>41</v>
      </c>
      <c r="U3209">
        <v>2499.35</v>
      </c>
      <c r="V3209">
        <v>2499.35</v>
      </c>
      <c r="W3209">
        <v>2499.35</v>
      </c>
      <c r="X3209">
        <v>0</v>
      </c>
      <c r="Y3209">
        <v>0</v>
      </c>
      <c r="Z3209">
        <v>-549</v>
      </c>
      <c r="AA3209">
        <v>695139</v>
      </c>
      <c r="AD3209" t="s">
        <v>8614</v>
      </c>
      <c r="AE3209" t="s">
        <v>8615</v>
      </c>
      <c r="AF3209" t="s">
        <v>8614</v>
      </c>
      <c r="AG3209" s="1" t="s">
        <v>8616</v>
      </c>
      <c r="AH3209" t="s">
        <v>44</v>
      </c>
    </row>
    <row r="3210" spans="1:34" x14ac:dyDescent="0.3">
      <c r="A3210">
        <v>101</v>
      </c>
      <c r="B3210" t="s">
        <v>34</v>
      </c>
      <c r="C3210">
        <v>2</v>
      </c>
      <c r="D3210" s="1" t="s">
        <v>8617</v>
      </c>
      <c r="E3210" s="1" t="s">
        <v>36</v>
      </c>
      <c r="G3210">
        <v>438210</v>
      </c>
      <c r="H3210" t="s">
        <v>8612</v>
      </c>
      <c r="I3210" t="s">
        <v>8345</v>
      </c>
      <c r="J3210">
        <v>15</v>
      </c>
      <c r="K3210">
        <v>10032</v>
      </c>
      <c r="L3210">
        <v>95000</v>
      </c>
      <c r="M3210" t="s">
        <v>69</v>
      </c>
      <c r="N3210">
        <v>679</v>
      </c>
      <c r="O3210" s="2">
        <v>46203</v>
      </c>
      <c r="P3210" s="2">
        <v>46320</v>
      </c>
      <c r="R3210" t="s">
        <v>8618</v>
      </c>
      <c r="S3210" t="str">
        <f>""</f>
        <v/>
      </c>
      <c r="T3210" t="s">
        <v>41</v>
      </c>
      <c r="U3210">
        <v>2150</v>
      </c>
      <c r="V3210">
        <v>2150</v>
      </c>
      <c r="W3210">
        <v>2150</v>
      </c>
      <c r="X3210">
        <v>0</v>
      </c>
      <c r="Y3210">
        <v>0</v>
      </c>
      <c r="Z3210">
        <v>-545</v>
      </c>
      <c r="AA3210">
        <v>693526</v>
      </c>
      <c r="AD3210" t="s">
        <v>8614</v>
      </c>
      <c r="AE3210" t="s">
        <v>8615</v>
      </c>
      <c r="AF3210" t="s">
        <v>8614</v>
      </c>
      <c r="AG3210" s="1" t="s">
        <v>8616</v>
      </c>
      <c r="AH3210" t="s">
        <v>44</v>
      </c>
    </row>
    <row r="3211" spans="1:34" x14ac:dyDescent="0.3">
      <c r="A3211">
        <v>101</v>
      </c>
      <c r="B3211" t="s">
        <v>34</v>
      </c>
      <c r="C3211">
        <v>2</v>
      </c>
      <c r="D3211" s="1" t="s">
        <v>8619</v>
      </c>
      <c r="E3211" s="1" t="s">
        <v>36</v>
      </c>
      <c r="G3211">
        <v>438210</v>
      </c>
      <c r="H3211" t="s">
        <v>8612</v>
      </c>
      <c r="I3211" t="s">
        <v>8345</v>
      </c>
      <c r="J3211">
        <v>15</v>
      </c>
      <c r="K3211">
        <v>10032</v>
      </c>
      <c r="L3211">
        <v>10001</v>
      </c>
      <c r="M3211" t="s">
        <v>3135</v>
      </c>
      <c r="N3211">
        <v>679</v>
      </c>
      <c r="O3211" s="2">
        <v>46172</v>
      </c>
      <c r="P3211" s="2">
        <v>46280</v>
      </c>
      <c r="R3211" t="s">
        <v>8620</v>
      </c>
      <c r="S3211" t="str">
        <f>"1219"</f>
        <v>1219</v>
      </c>
      <c r="T3211" t="s">
        <v>41</v>
      </c>
      <c r="U3211">
        <v>3133.74</v>
      </c>
      <c r="V3211">
        <v>3133.74</v>
      </c>
      <c r="W3211">
        <v>3133.74</v>
      </c>
      <c r="X3211">
        <v>0</v>
      </c>
      <c r="Y3211">
        <v>0</v>
      </c>
      <c r="Z3211">
        <v>-505</v>
      </c>
      <c r="AA3211">
        <v>690002</v>
      </c>
      <c r="AD3211" t="s">
        <v>8614</v>
      </c>
      <c r="AE3211" t="s">
        <v>8615</v>
      </c>
      <c r="AF3211" t="s">
        <v>8614</v>
      </c>
      <c r="AG3211" s="1" t="s">
        <v>8616</v>
      </c>
      <c r="AH3211" t="s">
        <v>44</v>
      </c>
    </row>
    <row r="3212" spans="1:34" x14ac:dyDescent="0.3">
      <c r="A3212">
        <v>101</v>
      </c>
      <c r="B3212" t="s">
        <v>34</v>
      </c>
      <c r="C3212">
        <v>2</v>
      </c>
      <c r="D3212" s="1" t="s">
        <v>8621</v>
      </c>
      <c r="E3212" s="1" t="s">
        <v>36</v>
      </c>
      <c r="G3212">
        <v>447189</v>
      </c>
      <c r="H3212" t="s">
        <v>8622</v>
      </c>
      <c r="I3212" t="s">
        <v>8623</v>
      </c>
      <c r="J3212">
        <v>15</v>
      </c>
      <c r="K3212">
        <v>999002158</v>
      </c>
      <c r="L3212">
        <v>50341</v>
      </c>
      <c r="M3212" t="s">
        <v>146</v>
      </c>
      <c r="N3212">
        <v>679</v>
      </c>
      <c r="O3212" s="2">
        <v>46235</v>
      </c>
      <c r="P3212" s="2">
        <v>46263</v>
      </c>
      <c r="R3212" t="s">
        <v>8624</v>
      </c>
      <c r="S3212" t="str">
        <f>"00013477"</f>
        <v>00013477</v>
      </c>
      <c r="T3212" t="s">
        <v>41</v>
      </c>
      <c r="U3212">
        <v>8488.98</v>
      </c>
      <c r="V3212">
        <v>8404.09</v>
      </c>
      <c r="W3212">
        <v>8404.09</v>
      </c>
      <c r="X3212">
        <v>0</v>
      </c>
      <c r="Y3212">
        <v>0</v>
      </c>
      <c r="Z3212">
        <v>-488</v>
      </c>
      <c r="AA3212">
        <v>694662</v>
      </c>
      <c r="AD3212" t="s">
        <v>64</v>
      </c>
      <c r="AE3212" t="s">
        <v>8625</v>
      </c>
      <c r="AF3212" t="s">
        <v>64</v>
      </c>
      <c r="AG3212">
        <v>10250585000232</v>
      </c>
      <c r="AH3212" t="s">
        <v>44</v>
      </c>
    </row>
    <row r="3213" spans="1:34" x14ac:dyDescent="0.3">
      <c r="A3213">
        <v>106</v>
      </c>
      <c r="B3213" t="s">
        <v>34</v>
      </c>
      <c r="C3213">
        <v>2</v>
      </c>
      <c r="D3213" s="1" t="s">
        <v>8626</v>
      </c>
      <c r="E3213" s="1" t="s">
        <v>36</v>
      </c>
      <c r="G3213">
        <v>447189</v>
      </c>
      <c r="H3213" t="s">
        <v>8622</v>
      </c>
      <c r="I3213" t="s">
        <v>8623</v>
      </c>
      <c r="J3213">
        <v>15</v>
      </c>
      <c r="K3213">
        <v>999002158</v>
      </c>
      <c r="L3213">
        <v>50341</v>
      </c>
      <c r="M3213" t="s">
        <v>146</v>
      </c>
      <c r="N3213">
        <v>679</v>
      </c>
      <c r="O3213" s="2">
        <v>46235</v>
      </c>
      <c r="P3213" s="2">
        <v>46263</v>
      </c>
      <c r="R3213" t="s">
        <v>8627</v>
      </c>
      <c r="S3213" t="str">
        <f>"00013563"</f>
        <v>00013563</v>
      </c>
      <c r="T3213" t="s">
        <v>41</v>
      </c>
      <c r="U3213">
        <v>6097.31</v>
      </c>
      <c r="V3213">
        <v>6036.34</v>
      </c>
      <c r="W3213">
        <v>6036.34</v>
      </c>
      <c r="X3213">
        <v>0</v>
      </c>
      <c r="Y3213">
        <v>0</v>
      </c>
      <c r="Z3213">
        <v>-488</v>
      </c>
      <c r="AA3213">
        <v>694726</v>
      </c>
      <c r="AD3213" t="s">
        <v>64</v>
      </c>
      <c r="AE3213" t="s">
        <v>8625</v>
      </c>
      <c r="AF3213" t="s">
        <v>64</v>
      </c>
      <c r="AG3213">
        <v>10250585000232</v>
      </c>
      <c r="AH3213" t="s">
        <v>44</v>
      </c>
    </row>
    <row r="3214" spans="1:34" x14ac:dyDescent="0.3">
      <c r="A3214">
        <v>106</v>
      </c>
      <c r="B3214" t="s">
        <v>34</v>
      </c>
      <c r="C3214">
        <v>2</v>
      </c>
      <c r="D3214" s="1" t="s">
        <v>8628</v>
      </c>
      <c r="E3214" s="1" t="s">
        <v>36</v>
      </c>
      <c r="G3214">
        <v>447190</v>
      </c>
      <c r="H3214" t="s">
        <v>8629</v>
      </c>
      <c r="I3214" t="s">
        <v>8623</v>
      </c>
      <c r="J3214">
        <v>15</v>
      </c>
      <c r="K3214">
        <v>999002158</v>
      </c>
      <c r="L3214">
        <v>50341</v>
      </c>
      <c r="M3214" t="s">
        <v>146</v>
      </c>
      <c r="N3214">
        <v>679</v>
      </c>
      <c r="O3214" s="2">
        <v>46235</v>
      </c>
      <c r="P3214" s="2">
        <v>46263</v>
      </c>
      <c r="R3214" t="s">
        <v>8630</v>
      </c>
      <c r="S3214" t="str">
        <f>"00013564"</f>
        <v>00013564</v>
      </c>
      <c r="T3214" t="s">
        <v>41</v>
      </c>
      <c r="U3214">
        <v>4557.75</v>
      </c>
      <c r="V3214">
        <v>4512.17</v>
      </c>
      <c r="W3214">
        <v>4512.17</v>
      </c>
      <c r="X3214">
        <v>0</v>
      </c>
      <c r="Y3214">
        <v>0</v>
      </c>
      <c r="Z3214">
        <v>-488</v>
      </c>
      <c r="AA3214">
        <v>694728</v>
      </c>
      <c r="AD3214" t="s">
        <v>3301</v>
      </c>
      <c r="AE3214" t="s">
        <v>8631</v>
      </c>
      <c r="AF3214" t="s">
        <v>3301</v>
      </c>
      <c r="AG3214">
        <v>10250585000313</v>
      </c>
      <c r="AH3214" t="s">
        <v>44</v>
      </c>
    </row>
    <row r="3215" spans="1:34" x14ac:dyDescent="0.3">
      <c r="A3215">
        <v>101</v>
      </c>
      <c r="B3215" t="s">
        <v>34</v>
      </c>
      <c r="C3215">
        <v>2</v>
      </c>
      <c r="D3215" s="1" t="s">
        <v>8632</v>
      </c>
      <c r="E3215" s="1" t="s">
        <v>36</v>
      </c>
      <c r="G3215">
        <v>447190</v>
      </c>
      <c r="H3215" t="s">
        <v>8629</v>
      </c>
      <c r="I3215" t="s">
        <v>8623</v>
      </c>
      <c r="J3215">
        <v>15</v>
      </c>
      <c r="K3215">
        <v>999002158</v>
      </c>
      <c r="L3215">
        <v>50341</v>
      </c>
      <c r="M3215" t="s">
        <v>146</v>
      </c>
      <c r="N3215">
        <v>679</v>
      </c>
      <c r="O3215" s="2">
        <v>46235</v>
      </c>
      <c r="P3215" s="2">
        <v>46263</v>
      </c>
      <c r="R3215" t="s">
        <v>8633</v>
      </c>
      <c r="S3215" t="str">
        <f>"00013478"</f>
        <v>00013478</v>
      </c>
      <c r="T3215" t="s">
        <v>41</v>
      </c>
      <c r="U3215">
        <v>4853.42</v>
      </c>
      <c r="V3215">
        <v>4804.8900000000003</v>
      </c>
      <c r="W3215">
        <v>4804.8900000000003</v>
      </c>
      <c r="X3215">
        <v>0</v>
      </c>
      <c r="Y3215">
        <v>0</v>
      </c>
      <c r="Z3215">
        <v>-488</v>
      </c>
      <c r="AA3215">
        <v>694664</v>
      </c>
      <c r="AD3215" t="s">
        <v>3301</v>
      </c>
      <c r="AE3215" t="s">
        <v>8631</v>
      </c>
      <c r="AF3215" t="s">
        <v>3301</v>
      </c>
      <c r="AG3215">
        <v>10250585000313</v>
      </c>
      <c r="AH3215" t="s">
        <v>44</v>
      </c>
    </row>
    <row r="3216" spans="1:34" x14ac:dyDescent="0.3">
      <c r="A3216">
        <v>101</v>
      </c>
      <c r="B3216" t="s">
        <v>34</v>
      </c>
      <c r="C3216">
        <v>2</v>
      </c>
      <c r="D3216" s="1" t="s">
        <v>8634</v>
      </c>
      <c r="E3216" s="1" t="s">
        <v>36</v>
      </c>
      <c r="G3216">
        <v>447193</v>
      </c>
      <c r="H3216" t="s">
        <v>8635</v>
      </c>
      <c r="I3216" t="s">
        <v>8636</v>
      </c>
      <c r="J3216">
        <v>15</v>
      </c>
      <c r="K3216">
        <v>999002158</v>
      </c>
      <c r="L3216">
        <v>50341</v>
      </c>
      <c r="M3216" t="s">
        <v>146</v>
      </c>
      <c r="N3216">
        <v>679</v>
      </c>
      <c r="O3216" s="2">
        <v>46251</v>
      </c>
      <c r="P3216" s="2">
        <v>46279</v>
      </c>
      <c r="R3216" t="s">
        <v>8637</v>
      </c>
      <c r="S3216" t="str">
        <f>"00013684"</f>
        <v>00013684</v>
      </c>
      <c r="T3216" t="s">
        <v>41</v>
      </c>
      <c r="U3216">
        <v>2276</v>
      </c>
      <c r="V3216">
        <v>2253.2399999999998</v>
      </c>
      <c r="W3216">
        <v>2253.2399999999998</v>
      </c>
      <c r="X3216">
        <v>0</v>
      </c>
      <c r="Y3216">
        <v>0</v>
      </c>
      <c r="Z3216">
        <v>-504</v>
      </c>
      <c r="AA3216">
        <v>694666</v>
      </c>
      <c r="AD3216" t="s">
        <v>3228</v>
      </c>
      <c r="AE3216" t="s">
        <v>8638</v>
      </c>
      <c r="AF3216" t="s">
        <v>3228</v>
      </c>
      <c r="AG3216">
        <v>10250585000402</v>
      </c>
      <c r="AH3216" t="s">
        <v>44</v>
      </c>
    </row>
    <row r="3217" spans="1:34" x14ac:dyDescent="0.3">
      <c r="A3217">
        <v>106</v>
      </c>
      <c r="B3217" t="s">
        <v>34</v>
      </c>
      <c r="C3217">
        <v>2</v>
      </c>
      <c r="D3217" s="1" t="s">
        <v>8639</v>
      </c>
      <c r="E3217" s="1" t="s">
        <v>36</v>
      </c>
      <c r="G3217">
        <v>447193</v>
      </c>
      <c r="H3217" t="s">
        <v>8635</v>
      </c>
      <c r="I3217" t="s">
        <v>8636</v>
      </c>
      <c r="J3217">
        <v>15</v>
      </c>
      <c r="K3217">
        <v>999002158</v>
      </c>
      <c r="L3217">
        <v>50341</v>
      </c>
      <c r="M3217" t="s">
        <v>146</v>
      </c>
      <c r="N3217">
        <v>679</v>
      </c>
      <c r="O3217" s="2">
        <v>46235</v>
      </c>
      <c r="P3217" s="2">
        <v>46263</v>
      </c>
      <c r="R3217" t="s">
        <v>8640</v>
      </c>
      <c r="S3217" t="str">
        <f>"00013565"</f>
        <v>00013565</v>
      </c>
      <c r="T3217" t="s">
        <v>41</v>
      </c>
      <c r="U3217">
        <v>2681.19</v>
      </c>
      <c r="V3217">
        <v>2654.38</v>
      </c>
      <c r="W3217">
        <v>2654.38</v>
      </c>
      <c r="X3217">
        <v>0</v>
      </c>
      <c r="Y3217">
        <v>0</v>
      </c>
      <c r="Z3217">
        <v>-488</v>
      </c>
      <c r="AA3217">
        <v>694730</v>
      </c>
      <c r="AD3217" t="s">
        <v>3228</v>
      </c>
      <c r="AE3217" t="s">
        <v>8638</v>
      </c>
      <c r="AF3217" t="s">
        <v>3228</v>
      </c>
      <c r="AG3217">
        <v>10250585000402</v>
      </c>
      <c r="AH3217" t="s">
        <v>44</v>
      </c>
    </row>
    <row r="3218" spans="1:34" x14ac:dyDescent="0.3">
      <c r="A3218">
        <v>101</v>
      </c>
      <c r="B3218" t="s">
        <v>34</v>
      </c>
      <c r="C3218">
        <v>2</v>
      </c>
      <c r="D3218" s="1" t="s">
        <v>8641</v>
      </c>
      <c r="E3218" s="1" t="s">
        <v>36</v>
      </c>
      <c r="G3218">
        <v>447197</v>
      </c>
      <c r="H3218" t="s">
        <v>8642</v>
      </c>
      <c r="I3218" t="s">
        <v>8345</v>
      </c>
      <c r="J3218">
        <v>15</v>
      </c>
      <c r="K3218">
        <v>10032</v>
      </c>
      <c r="L3218">
        <v>95000</v>
      </c>
      <c r="M3218" t="s">
        <v>69</v>
      </c>
      <c r="N3218">
        <v>679</v>
      </c>
      <c r="O3218" s="2">
        <v>46203</v>
      </c>
      <c r="P3218" s="2">
        <v>46320</v>
      </c>
      <c r="R3218" t="s">
        <v>8643</v>
      </c>
      <c r="S3218" t="str">
        <f>""</f>
        <v/>
      </c>
      <c r="T3218" t="s">
        <v>41</v>
      </c>
      <c r="U3218">
        <v>3006.57</v>
      </c>
      <c r="V3218">
        <v>3006.57</v>
      </c>
      <c r="W3218">
        <v>3006.57</v>
      </c>
      <c r="X3218">
        <v>0</v>
      </c>
      <c r="Y3218">
        <v>0</v>
      </c>
      <c r="Z3218">
        <v>-545</v>
      </c>
      <c r="AA3218">
        <v>693528</v>
      </c>
      <c r="AD3218" t="s">
        <v>8644</v>
      </c>
      <c r="AE3218" t="s">
        <v>8645</v>
      </c>
      <c r="AF3218" t="s">
        <v>8644</v>
      </c>
      <c r="AG3218" s="1" t="s">
        <v>8646</v>
      </c>
      <c r="AH3218" t="s">
        <v>44</v>
      </c>
    </row>
    <row r="3219" spans="1:34" x14ac:dyDescent="0.3">
      <c r="A3219">
        <v>101</v>
      </c>
      <c r="B3219" t="s">
        <v>34</v>
      </c>
      <c r="C3219">
        <v>2</v>
      </c>
      <c r="D3219" s="1" t="s">
        <v>8647</v>
      </c>
      <c r="E3219" s="1" t="s">
        <v>36</v>
      </c>
      <c r="G3219">
        <v>447197</v>
      </c>
      <c r="H3219" t="s">
        <v>8642</v>
      </c>
      <c r="I3219" t="s">
        <v>8345</v>
      </c>
      <c r="J3219">
        <v>15</v>
      </c>
      <c r="K3219">
        <v>10032</v>
      </c>
      <c r="L3219">
        <v>95000</v>
      </c>
      <c r="M3219" t="s">
        <v>69</v>
      </c>
      <c r="N3219">
        <v>679</v>
      </c>
      <c r="O3219" s="2">
        <v>46234</v>
      </c>
      <c r="P3219" s="2">
        <v>46341</v>
      </c>
      <c r="R3219" t="s">
        <v>8648</v>
      </c>
      <c r="S3219" t="str">
        <f>""</f>
        <v/>
      </c>
      <c r="T3219" t="s">
        <v>41</v>
      </c>
      <c r="U3219">
        <v>5479.71</v>
      </c>
      <c r="V3219">
        <v>5479.71</v>
      </c>
      <c r="W3219">
        <v>5479.71</v>
      </c>
      <c r="X3219">
        <v>0</v>
      </c>
      <c r="Y3219">
        <v>0</v>
      </c>
      <c r="Z3219">
        <v>-566</v>
      </c>
      <c r="AA3219">
        <v>695141</v>
      </c>
      <c r="AD3219" t="s">
        <v>8644</v>
      </c>
      <c r="AE3219" t="s">
        <v>8645</v>
      </c>
      <c r="AF3219" t="s">
        <v>8644</v>
      </c>
      <c r="AG3219" s="1" t="s">
        <v>8646</v>
      </c>
      <c r="AH3219" t="s">
        <v>44</v>
      </c>
    </row>
    <row r="3220" spans="1:34" x14ac:dyDescent="0.3">
      <c r="A3220">
        <v>101</v>
      </c>
      <c r="B3220" t="s">
        <v>34</v>
      </c>
      <c r="C3220">
        <v>2</v>
      </c>
      <c r="D3220" s="1" t="s">
        <v>8649</v>
      </c>
      <c r="E3220" s="1" t="s">
        <v>36</v>
      </c>
      <c r="G3220">
        <v>447197</v>
      </c>
      <c r="H3220" t="s">
        <v>8642</v>
      </c>
      <c r="I3220" t="s">
        <v>8345</v>
      </c>
      <c r="J3220">
        <v>15</v>
      </c>
      <c r="K3220">
        <v>10032</v>
      </c>
      <c r="L3220">
        <v>10001</v>
      </c>
      <c r="M3220" t="s">
        <v>3135</v>
      </c>
      <c r="N3220">
        <v>679</v>
      </c>
      <c r="O3220" s="2">
        <v>46171</v>
      </c>
      <c r="P3220" s="2">
        <v>46280</v>
      </c>
      <c r="R3220" t="s">
        <v>8650</v>
      </c>
      <c r="S3220" t="str">
        <f>"1219"</f>
        <v>1219</v>
      </c>
      <c r="T3220" t="s">
        <v>41</v>
      </c>
      <c r="U3220">
        <v>5131.76</v>
      </c>
      <c r="V3220">
        <v>5131.76</v>
      </c>
      <c r="W3220">
        <v>5131.76</v>
      </c>
      <c r="X3220">
        <v>0</v>
      </c>
      <c r="Y3220">
        <v>0</v>
      </c>
      <c r="Z3220">
        <v>-505</v>
      </c>
      <c r="AA3220">
        <v>690004</v>
      </c>
      <c r="AD3220" t="s">
        <v>8644</v>
      </c>
      <c r="AE3220" t="s">
        <v>8645</v>
      </c>
      <c r="AF3220" t="s">
        <v>8644</v>
      </c>
      <c r="AG3220" s="1" t="s">
        <v>8646</v>
      </c>
      <c r="AH3220" t="s">
        <v>44</v>
      </c>
    </row>
    <row r="3221" spans="1:34" x14ac:dyDescent="0.3">
      <c r="A3221">
        <v>101</v>
      </c>
      <c r="B3221" t="s">
        <v>34</v>
      </c>
      <c r="C3221">
        <v>2</v>
      </c>
      <c r="D3221" s="1" t="s">
        <v>8651</v>
      </c>
      <c r="E3221" s="1" t="s">
        <v>36</v>
      </c>
      <c r="G3221">
        <v>447197</v>
      </c>
      <c r="H3221" t="s">
        <v>8642</v>
      </c>
      <c r="I3221" t="s">
        <v>8345</v>
      </c>
      <c r="J3221">
        <v>15</v>
      </c>
      <c r="K3221">
        <v>10032</v>
      </c>
      <c r="L3221">
        <v>10001</v>
      </c>
      <c r="M3221" t="s">
        <v>3135</v>
      </c>
      <c r="N3221">
        <v>679</v>
      </c>
      <c r="O3221" s="2">
        <v>46162</v>
      </c>
      <c r="P3221" s="2">
        <v>46273</v>
      </c>
      <c r="R3221" t="s">
        <v>8652</v>
      </c>
      <c r="S3221" t="str">
        <f>"1219"</f>
        <v>1219</v>
      </c>
      <c r="T3221" t="s">
        <v>41</v>
      </c>
      <c r="U3221">
        <v>2280.9699999999998</v>
      </c>
      <c r="V3221">
        <v>2280.9699999999998</v>
      </c>
      <c r="W3221">
        <v>2280.9699999999998</v>
      </c>
      <c r="X3221">
        <v>0</v>
      </c>
      <c r="Y3221">
        <v>0</v>
      </c>
      <c r="Z3221">
        <v>-498</v>
      </c>
      <c r="AA3221">
        <v>687735</v>
      </c>
      <c r="AD3221" t="s">
        <v>8644</v>
      </c>
      <c r="AE3221" t="s">
        <v>8645</v>
      </c>
      <c r="AF3221" t="s">
        <v>8644</v>
      </c>
      <c r="AG3221" s="1" t="s">
        <v>8646</v>
      </c>
      <c r="AH3221" t="s">
        <v>44</v>
      </c>
    </row>
    <row r="3222" spans="1:34" x14ac:dyDescent="0.3">
      <c r="A3222">
        <v>101</v>
      </c>
      <c r="B3222" t="s">
        <v>34</v>
      </c>
      <c r="C3222">
        <v>2</v>
      </c>
      <c r="D3222" s="1" t="s">
        <v>8653</v>
      </c>
      <c r="E3222" s="1" t="s">
        <v>36</v>
      </c>
      <c r="G3222">
        <v>447286</v>
      </c>
      <c r="H3222" t="s">
        <v>8654</v>
      </c>
      <c r="I3222" t="s">
        <v>8345</v>
      </c>
      <c r="J3222">
        <v>15</v>
      </c>
      <c r="K3222">
        <v>10032</v>
      </c>
      <c r="L3222">
        <v>95000</v>
      </c>
      <c r="M3222" t="s">
        <v>69</v>
      </c>
      <c r="N3222">
        <v>679</v>
      </c>
      <c r="O3222" s="2">
        <v>46238</v>
      </c>
      <c r="P3222" s="2">
        <v>46328</v>
      </c>
      <c r="R3222" t="s">
        <v>8655</v>
      </c>
      <c r="S3222" t="str">
        <f>""</f>
        <v/>
      </c>
      <c r="T3222" t="s">
        <v>41</v>
      </c>
      <c r="U3222">
        <v>1394.68</v>
      </c>
      <c r="V3222">
        <v>1394.68</v>
      </c>
      <c r="W3222">
        <v>1394.68</v>
      </c>
      <c r="X3222">
        <v>0</v>
      </c>
      <c r="Y3222">
        <v>0</v>
      </c>
      <c r="Z3222">
        <v>-553</v>
      </c>
      <c r="AA3222">
        <v>695143</v>
      </c>
      <c r="AD3222" t="s">
        <v>8656</v>
      </c>
      <c r="AE3222" t="s">
        <v>8645</v>
      </c>
      <c r="AF3222" t="s">
        <v>8656</v>
      </c>
      <c r="AG3222" s="1" t="s">
        <v>8657</v>
      </c>
      <c r="AH3222" t="s">
        <v>44</v>
      </c>
    </row>
    <row r="3223" spans="1:34" x14ac:dyDescent="0.3">
      <c r="A3223">
        <v>101</v>
      </c>
      <c r="B3223" t="s">
        <v>34</v>
      </c>
      <c r="C3223">
        <v>2</v>
      </c>
      <c r="D3223" s="1" t="s">
        <v>8658</v>
      </c>
      <c r="E3223" s="1" t="s">
        <v>36</v>
      </c>
      <c r="G3223">
        <v>447286</v>
      </c>
      <c r="H3223" t="s">
        <v>8654</v>
      </c>
      <c r="I3223" t="s">
        <v>8345</v>
      </c>
      <c r="J3223">
        <v>15</v>
      </c>
      <c r="K3223">
        <v>10032</v>
      </c>
      <c r="L3223">
        <v>95000</v>
      </c>
      <c r="M3223" t="s">
        <v>69</v>
      </c>
      <c r="N3223">
        <v>679</v>
      </c>
      <c r="O3223" s="2">
        <v>46203</v>
      </c>
      <c r="P3223" s="2">
        <v>46310</v>
      </c>
      <c r="R3223" t="s">
        <v>8659</v>
      </c>
      <c r="S3223" t="str">
        <f>""</f>
        <v/>
      </c>
      <c r="T3223" t="s">
        <v>41</v>
      </c>
      <c r="U3223">
        <v>2039.94</v>
      </c>
      <c r="V3223">
        <v>2039.94</v>
      </c>
      <c r="W3223">
        <v>2039.94</v>
      </c>
      <c r="X3223">
        <v>0</v>
      </c>
      <c r="Y3223">
        <v>0</v>
      </c>
      <c r="Z3223">
        <v>-535</v>
      </c>
      <c r="AA3223">
        <v>693530</v>
      </c>
      <c r="AD3223" t="s">
        <v>8656</v>
      </c>
      <c r="AE3223" t="s">
        <v>8645</v>
      </c>
      <c r="AF3223" t="s">
        <v>8656</v>
      </c>
      <c r="AG3223" s="1" t="s">
        <v>8657</v>
      </c>
      <c r="AH3223" t="s">
        <v>44</v>
      </c>
    </row>
    <row r="3224" spans="1:34" x14ac:dyDescent="0.3">
      <c r="A3224">
        <v>101</v>
      </c>
      <c r="B3224" t="s">
        <v>34</v>
      </c>
      <c r="C3224">
        <v>2</v>
      </c>
      <c r="D3224" s="1" t="s">
        <v>8660</v>
      </c>
      <c r="E3224" s="1" t="s">
        <v>36</v>
      </c>
      <c r="G3224">
        <v>447286</v>
      </c>
      <c r="H3224" t="s">
        <v>8654</v>
      </c>
      <c r="I3224" t="s">
        <v>8345</v>
      </c>
      <c r="J3224">
        <v>15</v>
      </c>
      <c r="K3224">
        <v>10032</v>
      </c>
      <c r="L3224">
        <v>10001</v>
      </c>
      <c r="M3224" t="s">
        <v>3135</v>
      </c>
      <c r="N3224">
        <v>679</v>
      </c>
      <c r="O3224" s="2">
        <v>46172</v>
      </c>
      <c r="P3224" s="2">
        <v>46280</v>
      </c>
      <c r="R3224" t="s">
        <v>8661</v>
      </c>
      <c r="S3224" t="str">
        <f>"1219"</f>
        <v>1219</v>
      </c>
      <c r="T3224" t="s">
        <v>41</v>
      </c>
      <c r="U3224">
        <v>2377.21</v>
      </c>
      <c r="V3224">
        <v>2377.21</v>
      </c>
      <c r="W3224">
        <v>2377.21</v>
      </c>
      <c r="X3224">
        <v>0</v>
      </c>
      <c r="Y3224">
        <v>0</v>
      </c>
      <c r="Z3224">
        <v>-505</v>
      </c>
      <c r="AA3224">
        <v>690006</v>
      </c>
      <c r="AD3224" t="s">
        <v>8656</v>
      </c>
      <c r="AE3224" t="s">
        <v>8645</v>
      </c>
      <c r="AF3224" t="s">
        <v>8656</v>
      </c>
      <c r="AG3224" s="1" t="s">
        <v>8657</v>
      </c>
      <c r="AH3224" t="s">
        <v>44</v>
      </c>
    </row>
    <row r="3225" spans="1:34" x14ac:dyDescent="0.3">
      <c r="A3225">
        <v>101</v>
      </c>
      <c r="B3225" t="s">
        <v>34</v>
      </c>
      <c r="C3225">
        <v>2</v>
      </c>
      <c r="D3225" s="1" t="s">
        <v>8662</v>
      </c>
      <c r="E3225" s="1" t="s">
        <v>36</v>
      </c>
      <c r="G3225">
        <v>450174</v>
      </c>
      <c r="H3225" t="s">
        <v>8663</v>
      </c>
      <c r="I3225" t="s">
        <v>8345</v>
      </c>
      <c r="J3225">
        <v>15</v>
      </c>
      <c r="K3225">
        <v>10032</v>
      </c>
      <c r="L3225">
        <v>10001</v>
      </c>
      <c r="M3225" t="s">
        <v>3135</v>
      </c>
      <c r="N3225">
        <v>679</v>
      </c>
      <c r="O3225" s="2">
        <v>46172</v>
      </c>
      <c r="P3225" s="2">
        <v>46280</v>
      </c>
      <c r="R3225" t="s">
        <v>8664</v>
      </c>
      <c r="S3225" t="str">
        <f>"1219"</f>
        <v>1219</v>
      </c>
      <c r="T3225" t="s">
        <v>41</v>
      </c>
      <c r="U3225">
        <v>2881.75</v>
      </c>
      <c r="V3225">
        <v>2881.75</v>
      </c>
      <c r="W3225">
        <v>2881.75</v>
      </c>
      <c r="X3225">
        <v>0</v>
      </c>
      <c r="Y3225">
        <v>0</v>
      </c>
      <c r="Z3225">
        <v>-505</v>
      </c>
      <c r="AA3225">
        <v>690008</v>
      </c>
      <c r="AD3225" t="s">
        <v>3308</v>
      </c>
      <c r="AE3225" t="s">
        <v>8665</v>
      </c>
      <c r="AF3225" t="s">
        <v>3308</v>
      </c>
      <c r="AG3225" s="1" t="s">
        <v>8666</v>
      </c>
      <c r="AH3225" t="s">
        <v>44</v>
      </c>
    </row>
    <row r="3226" spans="1:34" x14ac:dyDescent="0.3">
      <c r="A3226">
        <v>101</v>
      </c>
      <c r="B3226" t="s">
        <v>34</v>
      </c>
      <c r="C3226">
        <v>2</v>
      </c>
      <c r="D3226" s="1" t="s">
        <v>8667</v>
      </c>
      <c r="E3226" s="1" t="s">
        <v>36</v>
      </c>
      <c r="G3226">
        <v>450174</v>
      </c>
      <c r="H3226" t="s">
        <v>8663</v>
      </c>
      <c r="I3226" t="s">
        <v>8345</v>
      </c>
      <c r="J3226">
        <v>15</v>
      </c>
      <c r="K3226">
        <v>10032</v>
      </c>
      <c r="L3226">
        <v>95000</v>
      </c>
      <c r="M3226" t="s">
        <v>69</v>
      </c>
      <c r="N3226">
        <v>679</v>
      </c>
      <c r="O3226" s="2">
        <v>46203</v>
      </c>
      <c r="P3226" s="2">
        <v>46310</v>
      </c>
      <c r="R3226" t="s">
        <v>8668</v>
      </c>
      <c r="S3226" t="str">
        <f>""</f>
        <v/>
      </c>
      <c r="T3226" t="s">
        <v>41</v>
      </c>
      <c r="U3226">
        <v>2090.61</v>
      </c>
      <c r="V3226">
        <v>2090.61</v>
      </c>
      <c r="W3226">
        <v>2090.61</v>
      </c>
      <c r="X3226">
        <v>0</v>
      </c>
      <c r="Y3226">
        <v>0</v>
      </c>
      <c r="Z3226">
        <v>-535</v>
      </c>
      <c r="AA3226">
        <v>693532</v>
      </c>
      <c r="AD3226" t="s">
        <v>3308</v>
      </c>
      <c r="AE3226" t="s">
        <v>8665</v>
      </c>
      <c r="AF3226" t="s">
        <v>3308</v>
      </c>
      <c r="AG3226" s="1" t="s">
        <v>8666</v>
      </c>
      <c r="AH3226" t="s">
        <v>44</v>
      </c>
    </row>
    <row r="3227" spans="1:34" x14ac:dyDescent="0.3">
      <c r="A3227">
        <v>101</v>
      </c>
      <c r="B3227" t="s">
        <v>34</v>
      </c>
      <c r="C3227">
        <v>2</v>
      </c>
      <c r="D3227" s="1" t="s">
        <v>8669</v>
      </c>
      <c r="E3227" s="1" t="s">
        <v>36</v>
      </c>
      <c r="G3227">
        <v>451212</v>
      </c>
      <c r="H3227" t="s">
        <v>8670</v>
      </c>
      <c r="I3227" t="s">
        <v>8345</v>
      </c>
      <c r="J3227">
        <v>15</v>
      </c>
      <c r="K3227">
        <v>10032</v>
      </c>
      <c r="L3227">
        <v>95000</v>
      </c>
      <c r="M3227" t="s">
        <v>69</v>
      </c>
      <c r="N3227">
        <v>679</v>
      </c>
      <c r="O3227" s="2">
        <v>46238</v>
      </c>
      <c r="P3227" s="2">
        <v>46328</v>
      </c>
      <c r="R3227" t="s">
        <v>8671</v>
      </c>
      <c r="S3227" t="str">
        <f>""</f>
        <v/>
      </c>
      <c r="T3227" t="s">
        <v>41</v>
      </c>
      <c r="U3227">
        <v>1329.14</v>
      </c>
      <c r="V3227">
        <v>1329.14</v>
      </c>
      <c r="W3227">
        <v>1329.14</v>
      </c>
      <c r="X3227">
        <v>0</v>
      </c>
      <c r="Y3227">
        <v>0</v>
      </c>
      <c r="Z3227">
        <v>-553</v>
      </c>
      <c r="AA3227">
        <v>695147</v>
      </c>
      <c r="AD3227" t="s">
        <v>50</v>
      </c>
      <c r="AE3227" t="s">
        <v>8672</v>
      </c>
      <c r="AF3227" t="s">
        <v>50</v>
      </c>
      <c r="AG3227" s="1" t="s">
        <v>8673</v>
      </c>
      <c r="AH3227" t="s">
        <v>44</v>
      </c>
    </row>
    <row r="3228" spans="1:34" x14ac:dyDescent="0.3">
      <c r="A3228">
        <v>101</v>
      </c>
      <c r="B3228" t="s">
        <v>34</v>
      </c>
      <c r="C3228">
        <v>2</v>
      </c>
      <c r="D3228" s="1" t="s">
        <v>8674</v>
      </c>
      <c r="E3228" s="1" t="s">
        <v>36</v>
      </c>
      <c r="G3228">
        <v>451212</v>
      </c>
      <c r="H3228" t="s">
        <v>8670</v>
      </c>
      <c r="I3228" t="s">
        <v>8345</v>
      </c>
      <c r="J3228">
        <v>15</v>
      </c>
      <c r="K3228">
        <v>10032</v>
      </c>
      <c r="L3228">
        <v>95000</v>
      </c>
      <c r="M3228" t="s">
        <v>69</v>
      </c>
      <c r="N3228">
        <v>679</v>
      </c>
      <c r="O3228" s="2">
        <v>46203</v>
      </c>
      <c r="P3228" s="2">
        <v>46310</v>
      </c>
      <c r="R3228" t="s">
        <v>8675</v>
      </c>
      <c r="S3228" t="str">
        <f>""</f>
        <v/>
      </c>
      <c r="T3228" t="s">
        <v>41</v>
      </c>
      <c r="U3228">
        <v>1313.49</v>
      </c>
      <c r="V3228">
        <v>1313.49</v>
      </c>
      <c r="W3228">
        <v>1313.49</v>
      </c>
      <c r="X3228">
        <v>0</v>
      </c>
      <c r="Y3228">
        <v>0</v>
      </c>
      <c r="Z3228">
        <v>-535</v>
      </c>
      <c r="AA3228">
        <v>693534</v>
      </c>
      <c r="AD3228" t="s">
        <v>50</v>
      </c>
      <c r="AE3228" t="s">
        <v>8672</v>
      </c>
      <c r="AF3228" t="s">
        <v>50</v>
      </c>
      <c r="AG3228" s="1" t="s">
        <v>8673</v>
      </c>
      <c r="AH3228" t="s">
        <v>44</v>
      </c>
    </row>
    <row r="3229" spans="1:34" x14ac:dyDescent="0.3">
      <c r="A3229">
        <v>101</v>
      </c>
      <c r="B3229" t="s">
        <v>34</v>
      </c>
      <c r="C3229">
        <v>2</v>
      </c>
      <c r="D3229" s="1" t="s">
        <v>8676</v>
      </c>
      <c r="E3229" s="1" t="s">
        <v>36</v>
      </c>
      <c r="G3229">
        <v>451212</v>
      </c>
      <c r="H3229" t="s">
        <v>8670</v>
      </c>
      <c r="I3229" t="s">
        <v>8345</v>
      </c>
      <c r="J3229">
        <v>15</v>
      </c>
      <c r="K3229">
        <v>10032</v>
      </c>
      <c r="L3229">
        <v>10001</v>
      </c>
      <c r="M3229" t="s">
        <v>3135</v>
      </c>
      <c r="N3229">
        <v>679</v>
      </c>
      <c r="O3229" s="2">
        <v>46171</v>
      </c>
      <c r="P3229" s="2">
        <v>46280</v>
      </c>
      <c r="R3229" t="s">
        <v>8677</v>
      </c>
      <c r="S3229" t="str">
        <f>"1219"</f>
        <v>1219</v>
      </c>
      <c r="T3229" t="s">
        <v>41</v>
      </c>
      <c r="U3229">
        <v>1888.28</v>
      </c>
      <c r="V3229">
        <v>1888.28</v>
      </c>
      <c r="W3229">
        <v>1888.28</v>
      </c>
      <c r="X3229">
        <v>0</v>
      </c>
      <c r="Y3229">
        <v>0</v>
      </c>
      <c r="Z3229">
        <v>-505</v>
      </c>
      <c r="AA3229">
        <v>690010</v>
      </c>
      <c r="AD3229" t="s">
        <v>50</v>
      </c>
      <c r="AE3229" t="s">
        <v>8672</v>
      </c>
      <c r="AF3229" t="s">
        <v>50</v>
      </c>
      <c r="AG3229" s="1" t="s">
        <v>8673</v>
      </c>
      <c r="AH3229" t="s">
        <v>44</v>
      </c>
    </row>
    <row r="3230" spans="1:34" x14ac:dyDescent="0.3">
      <c r="A3230">
        <v>101</v>
      </c>
      <c r="B3230" t="s">
        <v>34</v>
      </c>
      <c r="C3230">
        <v>2</v>
      </c>
      <c r="D3230" s="1" t="s">
        <v>8678</v>
      </c>
      <c r="E3230" s="1" t="s">
        <v>36</v>
      </c>
      <c r="G3230">
        <v>451213</v>
      </c>
      <c r="H3230" t="s">
        <v>8679</v>
      </c>
      <c r="I3230" t="s">
        <v>8345</v>
      </c>
      <c r="J3230">
        <v>15</v>
      </c>
      <c r="K3230">
        <v>10032</v>
      </c>
      <c r="L3230">
        <v>10001</v>
      </c>
      <c r="M3230" t="s">
        <v>3135</v>
      </c>
      <c r="N3230">
        <v>679</v>
      </c>
      <c r="O3230" s="2">
        <v>46171</v>
      </c>
      <c r="P3230" s="2">
        <v>46280</v>
      </c>
      <c r="R3230" t="s">
        <v>8680</v>
      </c>
      <c r="S3230" t="str">
        <f>"1219"</f>
        <v>1219</v>
      </c>
      <c r="T3230" t="s">
        <v>41</v>
      </c>
      <c r="U3230">
        <v>1845.01</v>
      </c>
      <c r="V3230">
        <v>1845.01</v>
      </c>
      <c r="W3230">
        <v>1845.01</v>
      </c>
      <c r="X3230">
        <v>0</v>
      </c>
      <c r="Y3230">
        <v>0</v>
      </c>
      <c r="Z3230">
        <v>-505</v>
      </c>
      <c r="AA3230">
        <v>690012</v>
      </c>
      <c r="AD3230" t="s">
        <v>50</v>
      </c>
      <c r="AE3230" t="s">
        <v>8672</v>
      </c>
      <c r="AF3230" t="s">
        <v>50</v>
      </c>
      <c r="AG3230" s="1" t="s">
        <v>8681</v>
      </c>
      <c r="AH3230" t="s">
        <v>44</v>
      </c>
    </row>
    <row r="3231" spans="1:34" x14ac:dyDescent="0.3">
      <c r="A3231">
        <v>101</v>
      </c>
      <c r="B3231" t="s">
        <v>34</v>
      </c>
      <c r="C3231">
        <v>2</v>
      </c>
      <c r="D3231" s="1" t="s">
        <v>8682</v>
      </c>
      <c r="E3231" s="1" t="s">
        <v>36</v>
      </c>
      <c r="G3231">
        <v>451213</v>
      </c>
      <c r="H3231" t="s">
        <v>8679</v>
      </c>
      <c r="I3231" t="s">
        <v>8345</v>
      </c>
      <c r="J3231">
        <v>15</v>
      </c>
      <c r="K3231">
        <v>10032</v>
      </c>
      <c r="L3231">
        <v>95000</v>
      </c>
      <c r="M3231" t="s">
        <v>69</v>
      </c>
      <c r="N3231">
        <v>679</v>
      </c>
      <c r="O3231" s="2">
        <v>46203</v>
      </c>
      <c r="P3231" s="2">
        <v>46320</v>
      </c>
      <c r="R3231" t="s">
        <v>8683</v>
      </c>
      <c r="S3231" t="str">
        <f>""</f>
        <v/>
      </c>
      <c r="T3231" t="s">
        <v>41</v>
      </c>
      <c r="U3231">
        <v>1484.34</v>
      </c>
      <c r="V3231">
        <v>1484.34</v>
      </c>
      <c r="W3231">
        <v>1484.34</v>
      </c>
      <c r="X3231">
        <v>0</v>
      </c>
      <c r="Y3231">
        <v>0</v>
      </c>
      <c r="Z3231">
        <v>-545</v>
      </c>
      <c r="AA3231">
        <v>693536</v>
      </c>
      <c r="AD3231" t="s">
        <v>50</v>
      </c>
      <c r="AE3231" t="s">
        <v>8672</v>
      </c>
      <c r="AF3231" t="s">
        <v>50</v>
      </c>
      <c r="AG3231" s="1" t="s">
        <v>8681</v>
      </c>
      <c r="AH3231" t="s">
        <v>44</v>
      </c>
    </row>
    <row r="3232" spans="1:34" x14ac:dyDescent="0.3">
      <c r="A3232">
        <v>101</v>
      </c>
      <c r="B3232" t="s">
        <v>34</v>
      </c>
      <c r="C3232">
        <v>2</v>
      </c>
      <c r="D3232" s="1" t="s">
        <v>8684</v>
      </c>
      <c r="E3232" s="1" t="s">
        <v>36</v>
      </c>
      <c r="G3232">
        <v>451214</v>
      </c>
      <c r="H3232" t="s">
        <v>8685</v>
      </c>
      <c r="I3232" t="s">
        <v>8345</v>
      </c>
      <c r="J3232">
        <v>15</v>
      </c>
      <c r="K3232">
        <v>10032</v>
      </c>
      <c r="L3232">
        <v>10001</v>
      </c>
      <c r="M3232" t="s">
        <v>3135</v>
      </c>
      <c r="N3232">
        <v>679</v>
      </c>
      <c r="O3232" s="2">
        <v>46171</v>
      </c>
      <c r="P3232" s="2">
        <v>46280</v>
      </c>
      <c r="R3232" t="s">
        <v>8686</v>
      </c>
      <c r="S3232" t="str">
        <f>"1219"</f>
        <v>1219</v>
      </c>
      <c r="T3232" t="s">
        <v>41</v>
      </c>
      <c r="U3232">
        <v>2031.28</v>
      </c>
      <c r="V3232">
        <v>2031.28</v>
      </c>
      <c r="W3232">
        <v>2031.28</v>
      </c>
      <c r="X3232">
        <v>0</v>
      </c>
      <c r="Y3232">
        <v>0</v>
      </c>
      <c r="Z3232">
        <v>-505</v>
      </c>
      <c r="AA3232">
        <v>690018</v>
      </c>
      <c r="AD3232" t="s">
        <v>2873</v>
      </c>
      <c r="AE3232" t="s">
        <v>8672</v>
      </c>
      <c r="AF3232" t="s">
        <v>2873</v>
      </c>
      <c r="AG3232" s="1" t="s">
        <v>8687</v>
      </c>
      <c r="AH3232" t="s">
        <v>44</v>
      </c>
    </row>
    <row r="3233" spans="1:34" x14ac:dyDescent="0.3">
      <c r="A3233">
        <v>101</v>
      </c>
      <c r="B3233" t="s">
        <v>34</v>
      </c>
      <c r="C3233">
        <v>2</v>
      </c>
      <c r="D3233" s="1" t="s">
        <v>8688</v>
      </c>
      <c r="E3233" s="1" t="s">
        <v>36</v>
      </c>
      <c r="G3233">
        <v>451214</v>
      </c>
      <c r="H3233" t="s">
        <v>8685</v>
      </c>
      <c r="I3233" t="s">
        <v>8345</v>
      </c>
      <c r="J3233">
        <v>15</v>
      </c>
      <c r="K3233">
        <v>10032</v>
      </c>
      <c r="L3233">
        <v>95000</v>
      </c>
      <c r="M3233" t="s">
        <v>69</v>
      </c>
      <c r="N3233">
        <v>679</v>
      </c>
      <c r="O3233" s="2">
        <v>46203</v>
      </c>
      <c r="P3233" s="2">
        <v>46310</v>
      </c>
      <c r="R3233" t="s">
        <v>8689</v>
      </c>
      <c r="S3233" t="str">
        <f>""</f>
        <v/>
      </c>
      <c r="T3233" t="s">
        <v>41</v>
      </c>
      <c r="U3233">
        <v>2125.41</v>
      </c>
      <c r="V3233">
        <v>2125.41</v>
      </c>
      <c r="W3233">
        <v>2125.41</v>
      </c>
      <c r="X3233">
        <v>0</v>
      </c>
      <c r="Y3233">
        <v>0</v>
      </c>
      <c r="Z3233">
        <v>-535</v>
      </c>
      <c r="AA3233">
        <v>693542</v>
      </c>
      <c r="AD3233" t="s">
        <v>2873</v>
      </c>
      <c r="AE3233" t="s">
        <v>8672</v>
      </c>
      <c r="AF3233" t="s">
        <v>2873</v>
      </c>
      <c r="AG3233" s="1" t="s">
        <v>8687</v>
      </c>
      <c r="AH3233" t="s">
        <v>44</v>
      </c>
    </row>
    <row r="3234" spans="1:34" x14ac:dyDescent="0.3">
      <c r="A3234">
        <v>101</v>
      </c>
      <c r="B3234" t="s">
        <v>34</v>
      </c>
      <c r="C3234">
        <v>2</v>
      </c>
      <c r="D3234" s="1" t="s">
        <v>8690</v>
      </c>
      <c r="E3234" s="1" t="s">
        <v>36</v>
      </c>
      <c r="G3234">
        <v>451214</v>
      </c>
      <c r="H3234" t="s">
        <v>8685</v>
      </c>
      <c r="I3234" t="s">
        <v>8345</v>
      </c>
      <c r="J3234">
        <v>15</v>
      </c>
      <c r="K3234">
        <v>10032</v>
      </c>
      <c r="L3234">
        <v>95000</v>
      </c>
      <c r="M3234" t="s">
        <v>69</v>
      </c>
      <c r="N3234">
        <v>679</v>
      </c>
      <c r="O3234" s="2">
        <v>46234</v>
      </c>
      <c r="P3234" s="2">
        <v>46341</v>
      </c>
      <c r="R3234" t="s">
        <v>8691</v>
      </c>
      <c r="S3234" t="str">
        <f>""</f>
        <v/>
      </c>
      <c r="T3234" t="s">
        <v>41</v>
      </c>
      <c r="U3234">
        <v>2097.2800000000002</v>
      </c>
      <c r="V3234">
        <v>2097.2800000000002</v>
      </c>
      <c r="W3234">
        <v>2097.2800000000002</v>
      </c>
      <c r="X3234">
        <v>0</v>
      </c>
      <c r="Y3234">
        <v>0</v>
      </c>
      <c r="Z3234">
        <v>-566</v>
      </c>
      <c r="AA3234">
        <v>695155</v>
      </c>
      <c r="AD3234" t="s">
        <v>2873</v>
      </c>
      <c r="AE3234" t="s">
        <v>8672</v>
      </c>
      <c r="AF3234" t="s">
        <v>2873</v>
      </c>
      <c r="AG3234" s="1" t="s">
        <v>8687</v>
      </c>
      <c r="AH3234" t="s">
        <v>44</v>
      </c>
    </row>
    <row r="3235" spans="1:34" x14ac:dyDescent="0.3">
      <c r="A3235">
        <v>101</v>
      </c>
      <c r="B3235" t="s">
        <v>34</v>
      </c>
      <c r="C3235">
        <v>2</v>
      </c>
      <c r="D3235" s="1" t="s">
        <v>8692</v>
      </c>
      <c r="E3235" s="1" t="s">
        <v>36</v>
      </c>
      <c r="G3235">
        <v>451215</v>
      </c>
      <c r="H3235" t="s">
        <v>8693</v>
      </c>
      <c r="I3235" t="s">
        <v>8345</v>
      </c>
      <c r="J3235">
        <v>15</v>
      </c>
      <c r="K3235">
        <v>10032</v>
      </c>
      <c r="L3235">
        <v>95000</v>
      </c>
      <c r="M3235" t="s">
        <v>69</v>
      </c>
      <c r="N3235">
        <v>679</v>
      </c>
      <c r="O3235" s="2">
        <v>46203</v>
      </c>
      <c r="P3235" s="2">
        <v>46320</v>
      </c>
      <c r="R3235" t="s">
        <v>8694</v>
      </c>
      <c r="S3235" t="str">
        <f>""</f>
        <v/>
      </c>
      <c r="T3235" t="s">
        <v>41</v>
      </c>
      <c r="U3235">
        <v>2039.47</v>
      </c>
      <c r="V3235">
        <v>2039.47</v>
      </c>
      <c r="W3235">
        <v>2039.47</v>
      </c>
      <c r="X3235">
        <v>0</v>
      </c>
      <c r="Y3235">
        <v>0</v>
      </c>
      <c r="Z3235">
        <v>-545</v>
      </c>
      <c r="AA3235">
        <v>693538</v>
      </c>
      <c r="AD3235" t="s">
        <v>64</v>
      </c>
      <c r="AE3235" t="s">
        <v>8672</v>
      </c>
      <c r="AF3235" t="s">
        <v>64</v>
      </c>
      <c r="AG3235" s="1" t="s">
        <v>8695</v>
      </c>
      <c r="AH3235" t="s">
        <v>44</v>
      </c>
    </row>
    <row r="3236" spans="1:34" x14ac:dyDescent="0.3">
      <c r="A3236">
        <v>101</v>
      </c>
      <c r="B3236" t="s">
        <v>34</v>
      </c>
      <c r="C3236">
        <v>2</v>
      </c>
      <c r="D3236" s="1" t="s">
        <v>8696</v>
      </c>
      <c r="E3236" s="1" t="s">
        <v>36</v>
      </c>
      <c r="G3236">
        <v>451215</v>
      </c>
      <c r="H3236" t="s">
        <v>8693</v>
      </c>
      <c r="I3236" t="s">
        <v>8345</v>
      </c>
      <c r="J3236">
        <v>15</v>
      </c>
      <c r="K3236">
        <v>10032</v>
      </c>
      <c r="L3236">
        <v>10001</v>
      </c>
      <c r="M3236" t="s">
        <v>3135</v>
      </c>
      <c r="N3236">
        <v>679</v>
      </c>
      <c r="O3236" s="2">
        <v>46171</v>
      </c>
      <c r="P3236" s="2">
        <v>46280</v>
      </c>
      <c r="R3236" t="s">
        <v>8697</v>
      </c>
      <c r="S3236" t="str">
        <f>"1219"</f>
        <v>1219</v>
      </c>
      <c r="T3236" t="s">
        <v>41</v>
      </c>
      <c r="U3236">
        <v>2165.9499999999998</v>
      </c>
      <c r="V3236">
        <v>2165.9499999999998</v>
      </c>
      <c r="W3236">
        <v>2165.9499999999998</v>
      </c>
      <c r="X3236">
        <v>0</v>
      </c>
      <c r="Y3236">
        <v>0</v>
      </c>
      <c r="Z3236">
        <v>-505</v>
      </c>
      <c r="AA3236">
        <v>690014</v>
      </c>
      <c r="AD3236" t="s">
        <v>64</v>
      </c>
      <c r="AE3236" t="s">
        <v>8672</v>
      </c>
      <c r="AF3236" t="s">
        <v>64</v>
      </c>
      <c r="AG3236" s="1" t="s">
        <v>8695</v>
      </c>
      <c r="AH3236" t="s">
        <v>44</v>
      </c>
    </row>
    <row r="3237" spans="1:34" x14ac:dyDescent="0.3">
      <c r="A3237">
        <v>101</v>
      </c>
      <c r="B3237" t="s">
        <v>34</v>
      </c>
      <c r="C3237">
        <v>2</v>
      </c>
      <c r="D3237" s="1" t="s">
        <v>8698</v>
      </c>
      <c r="E3237" s="1" t="s">
        <v>36</v>
      </c>
      <c r="G3237">
        <v>451216</v>
      </c>
      <c r="H3237" t="s">
        <v>8699</v>
      </c>
      <c r="I3237" t="s">
        <v>8345</v>
      </c>
      <c r="J3237">
        <v>15</v>
      </c>
      <c r="K3237">
        <v>10032</v>
      </c>
      <c r="L3237">
        <v>95000</v>
      </c>
      <c r="M3237" t="s">
        <v>69</v>
      </c>
      <c r="N3237">
        <v>679</v>
      </c>
      <c r="O3237" s="2">
        <v>46203</v>
      </c>
      <c r="P3237" s="2">
        <v>46320</v>
      </c>
      <c r="R3237" t="s">
        <v>8700</v>
      </c>
      <c r="S3237" t="str">
        <f>""</f>
        <v/>
      </c>
      <c r="T3237" t="s">
        <v>41</v>
      </c>
      <c r="U3237">
        <v>2081.37</v>
      </c>
      <c r="V3237">
        <v>2081.37</v>
      </c>
      <c r="W3237">
        <v>2081.37</v>
      </c>
      <c r="X3237">
        <v>0</v>
      </c>
      <c r="Y3237">
        <v>0</v>
      </c>
      <c r="Z3237">
        <v>-545</v>
      </c>
      <c r="AA3237">
        <v>693540</v>
      </c>
      <c r="AD3237" t="s">
        <v>234</v>
      </c>
      <c r="AE3237" t="s">
        <v>8672</v>
      </c>
      <c r="AF3237" t="s">
        <v>234</v>
      </c>
      <c r="AG3237" s="1" t="s">
        <v>8701</v>
      </c>
      <c r="AH3237" t="s">
        <v>44</v>
      </c>
    </row>
    <row r="3238" spans="1:34" x14ac:dyDescent="0.3">
      <c r="A3238">
        <v>101</v>
      </c>
      <c r="B3238" t="s">
        <v>34</v>
      </c>
      <c r="C3238">
        <v>2</v>
      </c>
      <c r="D3238" s="1" t="s">
        <v>8702</v>
      </c>
      <c r="E3238" s="1" t="s">
        <v>36</v>
      </c>
      <c r="G3238">
        <v>451216</v>
      </c>
      <c r="H3238" t="s">
        <v>8699</v>
      </c>
      <c r="I3238" t="s">
        <v>8345</v>
      </c>
      <c r="J3238">
        <v>15</v>
      </c>
      <c r="K3238">
        <v>10032</v>
      </c>
      <c r="L3238">
        <v>95000</v>
      </c>
      <c r="M3238" t="s">
        <v>69</v>
      </c>
      <c r="N3238">
        <v>679</v>
      </c>
      <c r="O3238" s="2">
        <v>46234</v>
      </c>
      <c r="P3238" s="2">
        <v>46324</v>
      </c>
      <c r="R3238" t="s">
        <v>8703</v>
      </c>
      <c r="S3238" t="str">
        <f>""</f>
        <v/>
      </c>
      <c r="T3238" t="s">
        <v>41</v>
      </c>
      <c r="U3238">
        <v>1670.08</v>
      </c>
      <c r="V3238">
        <v>1670.08</v>
      </c>
      <c r="W3238">
        <v>1670.08</v>
      </c>
      <c r="X3238">
        <v>0</v>
      </c>
      <c r="Y3238">
        <v>0</v>
      </c>
      <c r="Z3238">
        <v>-549</v>
      </c>
      <c r="AA3238">
        <v>695153</v>
      </c>
      <c r="AD3238" t="s">
        <v>234</v>
      </c>
      <c r="AE3238" t="s">
        <v>8672</v>
      </c>
      <c r="AF3238" t="s">
        <v>234</v>
      </c>
      <c r="AG3238" s="1" t="s">
        <v>8701</v>
      </c>
      <c r="AH3238" t="s">
        <v>44</v>
      </c>
    </row>
    <row r="3239" spans="1:34" x14ac:dyDescent="0.3">
      <c r="A3239">
        <v>101</v>
      </c>
      <c r="B3239" t="s">
        <v>34</v>
      </c>
      <c r="C3239">
        <v>2</v>
      </c>
      <c r="D3239" s="1" t="s">
        <v>8704</v>
      </c>
      <c r="E3239" s="1" t="s">
        <v>36</v>
      </c>
      <c r="G3239">
        <v>451216</v>
      </c>
      <c r="H3239" t="s">
        <v>8699</v>
      </c>
      <c r="I3239" t="s">
        <v>8345</v>
      </c>
      <c r="J3239">
        <v>15</v>
      </c>
      <c r="K3239">
        <v>10032</v>
      </c>
      <c r="L3239">
        <v>10001</v>
      </c>
      <c r="M3239" t="s">
        <v>3135</v>
      </c>
      <c r="N3239">
        <v>679</v>
      </c>
      <c r="O3239" s="2">
        <v>46172</v>
      </c>
      <c r="P3239" s="2">
        <v>46280</v>
      </c>
      <c r="R3239" t="s">
        <v>8705</v>
      </c>
      <c r="S3239" t="str">
        <f>"1219"</f>
        <v>1219</v>
      </c>
      <c r="T3239" t="s">
        <v>41</v>
      </c>
      <c r="U3239">
        <v>2154.75</v>
      </c>
      <c r="V3239">
        <v>2154.75</v>
      </c>
      <c r="W3239">
        <v>2154.75</v>
      </c>
      <c r="X3239">
        <v>0</v>
      </c>
      <c r="Y3239">
        <v>0</v>
      </c>
      <c r="Z3239">
        <v>-505</v>
      </c>
      <c r="AA3239">
        <v>690016</v>
      </c>
      <c r="AD3239" t="s">
        <v>234</v>
      </c>
      <c r="AE3239" t="s">
        <v>8672</v>
      </c>
      <c r="AF3239" t="s">
        <v>234</v>
      </c>
      <c r="AG3239" s="1" t="s">
        <v>8701</v>
      </c>
      <c r="AH3239" t="s">
        <v>44</v>
      </c>
    </row>
    <row r="3240" spans="1:34" x14ac:dyDescent="0.3">
      <c r="A3240">
        <v>101</v>
      </c>
      <c r="B3240" t="s">
        <v>34</v>
      </c>
      <c r="C3240">
        <v>2</v>
      </c>
      <c r="D3240" s="1" t="s">
        <v>8706</v>
      </c>
      <c r="E3240" s="1" t="s">
        <v>36</v>
      </c>
      <c r="G3240">
        <v>451589</v>
      </c>
      <c r="H3240" t="s">
        <v>8707</v>
      </c>
      <c r="I3240" t="s">
        <v>8708</v>
      </c>
      <c r="J3240">
        <v>12</v>
      </c>
      <c r="K3240">
        <v>447136</v>
      </c>
      <c r="L3240">
        <v>50001</v>
      </c>
      <c r="M3240" t="s">
        <v>39</v>
      </c>
      <c r="N3240">
        <v>679</v>
      </c>
      <c r="O3240" s="2">
        <v>46226</v>
      </c>
      <c r="P3240" s="2">
        <v>46271</v>
      </c>
      <c r="R3240" t="s">
        <v>8709</v>
      </c>
      <c r="S3240" t="str">
        <f>"25666160000051571"</f>
        <v>25666160000051571</v>
      </c>
      <c r="T3240" t="s">
        <v>41</v>
      </c>
      <c r="U3240">
        <v>15103.59</v>
      </c>
      <c r="V3240">
        <v>15103.59</v>
      </c>
      <c r="W3240">
        <v>15103.59</v>
      </c>
      <c r="X3240">
        <v>0</v>
      </c>
      <c r="Y3240">
        <v>0</v>
      </c>
      <c r="Z3240">
        <v>-496</v>
      </c>
      <c r="AA3240">
        <v>1651</v>
      </c>
      <c r="AD3240" t="s">
        <v>4997</v>
      </c>
      <c r="AE3240" t="s">
        <v>8710</v>
      </c>
      <c r="AF3240" t="s">
        <v>4997</v>
      </c>
      <c r="AG3240">
        <v>54375647003738</v>
      </c>
      <c r="AH3240" t="s">
        <v>44</v>
      </c>
    </row>
    <row r="3241" spans="1:34" x14ac:dyDescent="0.3">
      <c r="A3241">
        <v>101</v>
      </c>
      <c r="B3241" t="s">
        <v>34</v>
      </c>
      <c r="C3241">
        <v>2</v>
      </c>
      <c r="D3241" s="1" t="s">
        <v>8706</v>
      </c>
      <c r="E3241" s="1" t="s">
        <v>122</v>
      </c>
      <c r="G3241">
        <v>451589</v>
      </c>
      <c r="H3241" t="s">
        <v>8707</v>
      </c>
      <c r="I3241" t="s">
        <v>8708</v>
      </c>
      <c r="J3241">
        <v>12</v>
      </c>
      <c r="K3241">
        <v>447136</v>
      </c>
      <c r="L3241">
        <v>50001</v>
      </c>
      <c r="M3241" t="s">
        <v>39</v>
      </c>
      <c r="N3241">
        <v>679</v>
      </c>
      <c r="O3241" s="2">
        <v>46226</v>
      </c>
      <c r="P3241" s="2">
        <v>46286</v>
      </c>
      <c r="R3241" t="s">
        <v>8709</v>
      </c>
      <c r="S3241" t="str">
        <f>"25666160000051572"</f>
        <v>25666160000051572</v>
      </c>
      <c r="T3241" t="s">
        <v>41</v>
      </c>
      <c r="U3241">
        <v>15103.58</v>
      </c>
      <c r="V3241">
        <v>15103.58</v>
      </c>
      <c r="W3241">
        <v>15103.58</v>
      </c>
      <c r="X3241">
        <v>0</v>
      </c>
      <c r="Y3241">
        <v>0</v>
      </c>
      <c r="Z3241">
        <v>-511</v>
      </c>
      <c r="AA3241">
        <v>1651</v>
      </c>
      <c r="AD3241" t="s">
        <v>4997</v>
      </c>
      <c r="AE3241" t="s">
        <v>8710</v>
      </c>
      <c r="AF3241" t="s">
        <v>4997</v>
      </c>
      <c r="AG3241">
        <v>54375647003738</v>
      </c>
      <c r="AH3241" t="s">
        <v>44</v>
      </c>
    </row>
    <row r="3242" spans="1:34" x14ac:dyDescent="0.3">
      <c r="A3242">
        <v>101</v>
      </c>
      <c r="B3242" t="s">
        <v>34</v>
      </c>
      <c r="C3242">
        <v>2</v>
      </c>
      <c r="D3242" s="1" t="s">
        <v>8711</v>
      </c>
      <c r="E3242" s="1" t="s">
        <v>36</v>
      </c>
      <c r="G3242">
        <v>451721</v>
      </c>
      <c r="H3242" t="s">
        <v>8712</v>
      </c>
      <c r="I3242" t="s">
        <v>8713</v>
      </c>
      <c r="J3242">
        <v>12</v>
      </c>
      <c r="K3242">
        <v>451746</v>
      </c>
      <c r="L3242">
        <v>50237</v>
      </c>
      <c r="M3242" t="s">
        <v>39</v>
      </c>
      <c r="N3242">
        <v>679</v>
      </c>
      <c r="O3242" s="2">
        <v>46235</v>
      </c>
      <c r="P3242" s="2">
        <v>46280</v>
      </c>
      <c r="R3242" t="s">
        <v>8714</v>
      </c>
      <c r="S3242" t="str">
        <f>"330000051813"</f>
        <v>330000051813</v>
      </c>
      <c r="T3242" t="s">
        <v>41</v>
      </c>
      <c r="U3242">
        <v>3350</v>
      </c>
      <c r="V3242">
        <v>3350</v>
      </c>
      <c r="W3242">
        <v>3350</v>
      </c>
      <c r="X3242">
        <v>0</v>
      </c>
      <c r="Y3242">
        <v>0</v>
      </c>
      <c r="Z3242">
        <v>-505</v>
      </c>
      <c r="AA3242">
        <v>4068</v>
      </c>
      <c r="AD3242" t="s">
        <v>1467</v>
      </c>
      <c r="AE3242" t="s">
        <v>8715</v>
      </c>
      <c r="AF3242" t="s">
        <v>1467</v>
      </c>
      <c r="AG3242">
        <v>17384587001073</v>
      </c>
      <c r="AH3242" t="s">
        <v>1462</v>
      </c>
    </row>
    <row r="3243" spans="1:34" x14ac:dyDescent="0.3">
      <c r="A3243">
        <v>106</v>
      </c>
      <c r="B3243" t="s">
        <v>34</v>
      </c>
      <c r="C3243">
        <v>2</v>
      </c>
      <c r="D3243" s="1" t="s">
        <v>8716</v>
      </c>
      <c r="E3243" s="1" t="s">
        <v>36</v>
      </c>
      <c r="G3243">
        <v>451776</v>
      </c>
      <c r="H3243" t="s">
        <v>8717</v>
      </c>
      <c r="I3243" t="s">
        <v>8718</v>
      </c>
      <c r="J3243">
        <v>15</v>
      </c>
      <c r="K3243">
        <v>999002158</v>
      </c>
      <c r="L3243">
        <v>50341</v>
      </c>
      <c r="M3243" t="s">
        <v>146</v>
      </c>
      <c r="N3243">
        <v>679</v>
      </c>
      <c r="O3243" s="2">
        <v>46235</v>
      </c>
      <c r="P3243" s="2">
        <v>46263</v>
      </c>
      <c r="R3243" t="s">
        <v>8719</v>
      </c>
      <c r="S3243" t="str">
        <f>"00013566"</f>
        <v>00013566</v>
      </c>
      <c r="T3243" t="s">
        <v>41</v>
      </c>
      <c r="U3243">
        <v>4031.94</v>
      </c>
      <c r="V3243">
        <v>3991.62</v>
      </c>
      <c r="W3243">
        <v>3991.62</v>
      </c>
      <c r="X3243">
        <v>0</v>
      </c>
      <c r="Y3243">
        <v>0</v>
      </c>
      <c r="Z3243">
        <v>-488</v>
      </c>
      <c r="AA3243">
        <v>694732</v>
      </c>
      <c r="AD3243" t="s">
        <v>3373</v>
      </c>
      <c r="AE3243" t="s">
        <v>8720</v>
      </c>
      <c r="AF3243" t="s">
        <v>3373</v>
      </c>
      <c r="AG3243">
        <v>10250585000585</v>
      </c>
      <c r="AH3243" t="s">
        <v>44</v>
      </c>
    </row>
    <row r="3244" spans="1:34" x14ac:dyDescent="0.3">
      <c r="A3244">
        <v>106</v>
      </c>
      <c r="B3244" t="s">
        <v>34</v>
      </c>
      <c r="C3244">
        <v>2</v>
      </c>
      <c r="D3244" s="1" t="s">
        <v>8721</v>
      </c>
      <c r="E3244" s="1" t="s">
        <v>36</v>
      </c>
      <c r="G3244">
        <v>451777</v>
      </c>
      <c r="H3244" t="s">
        <v>8722</v>
      </c>
      <c r="I3244" t="s">
        <v>8718</v>
      </c>
      <c r="J3244">
        <v>15</v>
      </c>
      <c r="K3244">
        <v>999002158</v>
      </c>
      <c r="L3244">
        <v>50341</v>
      </c>
      <c r="M3244" t="s">
        <v>146</v>
      </c>
      <c r="N3244">
        <v>679</v>
      </c>
      <c r="O3244" s="2">
        <v>46235</v>
      </c>
      <c r="P3244" s="2">
        <v>46263</v>
      </c>
      <c r="R3244" t="s">
        <v>8723</v>
      </c>
      <c r="S3244" t="str">
        <f>"00013567"</f>
        <v>00013567</v>
      </c>
      <c r="T3244" t="s">
        <v>41</v>
      </c>
      <c r="U3244">
        <v>2428.46</v>
      </c>
      <c r="V3244">
        <v>2404.1799999999998</v>
      </c>
      <c r="W3244">
        <v>2404.1799999999998</v>
      </c>
      <c r="X3244">
        <v>0</v>
      </c>
      <c r="Y3244">
        <v>0</v>
      </c>
      <c r="Z3244">
        <v>-488</v>
      </c>
      <c r="AA3244">
        <v>694734</v>
      </c>
      <c r="AD3244" t="s">
        <v>64</v>
      </c>
      <c r="AE3244" t="s">
        <v>8720</v>
      </c>
      <c r="AF3244" t="s">
        <v>64</v>
      </c>
      <c r="AG3244">
        <v>10250585000666</v>
      </c>
      <c r="AH3244" t="s">
        <v>44</v>
      </c>
    </row>
    <row r="3245" spans="1:34" x14ac:dyDescent="0.3">
      <c r="A3245">
        <v>106</v>
      </c>
      <c r="B3245" t="s">
        <v>34</v>
      </c>
      <c r="C3245">
        <v>2</v>
      </c>
      <c r="D3245" s="1" t="s">
        <v>8724</v>
      </c>
      <c r="E3245" s="1" t="s">
        <v>36</v>
      </c>
      <c r="G3245">
        <v>451779</v>
      </c>
      <c r="H3245" t="s">
        <v>8725</v>
      </c>
      <c r="I3245" t="s">
        <v>8726</v>
      </c>
      <c r="J3245">
        <v>15</v>
      </c>
      <c r="K3245">
        <v>999002158</v>
      </c>
      <c r="L3245">
        <v>50341</v>
      </c>
      <c r="M3245" t="s">
        <v>146</v>
      </c>
      <c r="N3245">
        <v>679</v>
      </c>
      <c r="O3245" s="2">
        <v>46235</v>
      </c>
      <c r="P3245" s="2">
        <v>46263</v>
      </c>
      <c r="R3245" t="s">
        <v>8727</v>
      </c>
      <c r="S3245" t="str">
        <f>"00013568"</f>
        <v>00013568</v>
      </c>
      <c r="T3245" t="s">
        <v>41</v>
      </c>
      <c r="U3245">
        <v>6777.05</v>
      </c>
      <c r="V3245">
        <v>6709.28</v>
      </c>
      <c r="W3245">
        <v>6709.28</v>
      </c>
      <c r="X3245">
        <v>0</v>
      </c>
      <c r="Y3245">
        <v>0</v>
      </c>
      <c r="Z3245">
        <v>-488</v>
      </c>
      <c r="AA3245">
        <v>694736</v>
      </c>
      <c r="AD3245" t="s">
        <v>3301</v>
      </c>
      <c r="AE3245" t="s">
        <v>8720</v>
      </c>
      <c r="AF3245" t="s">
        <v>3301</v>
      </c>
      <c r="AG3245">
        <v>10250585000747</v>
      </c>
      <c r="AH3245" t="s">
        <v>44</v>
      </c>
    </row>
    <row r="3246" spans="1:34" x14ac:dyDescent="0.3">
      <c r="A3246">
        <v>101</v>
      </c>
      <c r="B3246" t="s">
        <v>34</v>
      </c>
      <c r="C3246">
        <v>2</v>
      </c>
      <c r="D3246" s="1" t="s">
        <v>8728</v>
      </c>
      <c r="E3246" s="1" t="s">
        <v>36</v>
      </c>
      <c r="G3246">
        <v>452476</v>
      </c>
      <c r="H3246" t="s">
        <v>8729</v>
      </c>
      <c r="I3246" t="s">
        <v>8730</v>
      </c>
      <c r="J3246">
        <v>15</v>
      </c>
      <c r="K3246">
        <v>10032</v>
      </c>
      <c r="L3246">
        <v>10001</v>
      </c>
      <c r="M3246" t="s">
        <v>3135</v>
      </c>
      <c r="N3246">
        <v>679</v>
      </c>
      <c r="O3246" s="2">
        <v>46172</v>
      </c>
      <c r="P3246" s="2">
        <v>46280</v>
      </c>
      <c r="R3246" t="s">
        <v>8731</v>
      </c>
      <c r="S3246" t="str">
        <f>"1219"</f>
        <v>1219</v>
      </c>
      <c r="T3246" t="s">
        <v>41</v>
      </c>
      <c r="U3246">
        <v>2686.95</v>
      </c>
      <c r="V3246">
        <v>2686.95</v>
      </c>
      <c r="W3246">
        <v>2686.95</v>
      </c>
      <c r="X3246">
        <v>0</v>
      </c>
      <c r="Y3246">
        <v>0</v>
      </c>
      <c r="Z3246">
        <v>-505</v>
      </c>
      <c r="AA3246">
        <v>690020</v>
      </c>
      <c r="AD3246" t="s">
        <v>3337</v>
      </c>
      <c r="AE3246">
        <v>1120972165</v>
      </c>
      <c r="AF3246" t="s">
        <v>3337</v>
      </c>
      <c r="AG3246" s="1" t="s">
        <v>8732</v>
      </c>
      <c r="AH3246" t="s">
        <v>44</v>
      </c>
    </row>
    <row r="3247" spans="1:34" x14ac:dyDescent="0.3">
      <c r="A3247">
        <v>101</v>
      </c>
      <c r="B3247" t="s">
        <v>34</v>
      </c>
      <c r="C3247">
        <v>2</v>
      </c>
      <c r="D3247" s="1" t="s">
        <v>8733</v>
      </c>
      <c r="E3247" s="1" t="s">
        <v>36</v>
      </c>
      <c r="G3247">
        <v>452476</v>
      </c>
      <c r="H3247" t="s">
        <v>8729</v>
      </c>
      <c r="I3247" t="s">
        <v>8730</v>
      </c>
      <c r="J3247">
        <v>15</v>
      </c>
      <c r="K3247">
        <v>10032</v>
      </c>
      <c r="L3247">
        <v>95000</v>
      </c>
      <c r="M3247" t="s">
        <v>69</v>
      </c>
      <c r="N3247">
        <v>679</v>
      </c>
      <c r="O3247" s="2">
        <v>46234</v>
      </c>
      <c r="P3247" s="2">
        <v>46341</v>
      </c>
      <c r="R3247" t="s">
        <v>8734</v>
      </c>
      <c r="S3247" t="str">
        <f>""</f>
        <v/>
      </c>
      <c r="T3247" t="s">
        <v>41</v>
      </c>
      <c r="U3247">
        <v>2413.59</v>
      </c>
      <c r="V3247">
        <v>2413.59</v>
      </c>
      <c r="W3247">
        <v>2413.59</v>
      </c>
      <c r="X3247">
        <v>0</v>
      </c>
      <c r="Y3247">
        <v>0</v>
      </c>
      <c r="Z3247">
        <v>-566</v>
      </c>
      <c r="AA3247">
        <v>695157</v>
      </c>
      <c r="AD3247" t="s">
        <v>3337</v>
      </c>
      <c r="AE3247">
        <v>1120972165</v>
      </c>
      <c r="AF3247" t="s">
        <v>3337</v>
      </c>
      <c r="AG3247" s="1" t="s">
        <v>8732</v>
      </c>
      <c r="AH3247" t="s">
        <v>44</v>
      </c>
    </row>
    <row r="3248" spans="1:34" x14ac:dyDescent="0.3">
      <c r="A3248">
        <v>101</v>
      </c>
      <c r="B3248" t="s">
        <v>34</v>
      </c>
      <c r="C3248">
        <v>2</v>
      </c>
      <c r="D3248" s="1" t="s">
        <v>8735</v>
      </c>
      <c r="E3248" s="1" t="s">
        <v>36</v>
      </c>
      <c r="G3248">
        <v>452476</v>
      </c>
      <c r="H3248" t="s">
        <v>8729</v>
      </c>
      <c r="I3248" t="s">
        <v>8730</v>
      </c>
      <c r="J3248">
        <v>15</v>
      </c>
      <c r="K3248">
        <v>10032</v>
      </c>
      <c r="L3248">
        <v>95000</v>
      </c>
      <c r="M3248" t="s">
        <v>69</v>
      </c>
      <c r="N3248">
        <v>679</v>
      </c>
      <c r="O3248" s="2">
        <v>46203</v>
      </c>
      <c r="P3248" s="2">
        <v>46310</v>
      </c>
      <c r="R3248" t="s">
        <v>8736</v>
      </c>
      <c r="S3248" t="str">
        <f>""</f>
        <v/>
      </c>
      <c r="T3248" t="s">
        <v>41</v>
      </c>
      <c r="U3248">
        <v>2078.46</v>
      </c>
      <c r="V3248">
        <v>2078.46</v>
      </c>
      <c r="W3248">
        <v>2078.46</v>
      </c>
      <c r="X3248">
        <v>0</v>
      </c>
      <c r="Y3248">
        <v>0</v>
      </c>
      <c r="Z3248">
        <v>-535</v>
      </c>
      <c r="AA3248">
        <v>693544</v>
      </c>
      <c r="AD3248" t="s">
        <v>3337</v>
      </c>
      <c r="AE3248">
        <v>1120972165</v>
      </c>
      <c r="AF3248" t="s">
        <v>3337</v>
      </c>
      <c r="AG3248" s="1" t="s">
        <v>8732</v>
      </c>
      <c r="AH3248" t="s">
        <v>44</v>
      </c>
    </row>
    <row r="3249" spans="1:34" x14ac:dyDescent="0.3">
      <c r="A3249">
        <v>101</v>
      </c>
      <c r="B3249" t="s">
        <v>34</v>
      </c>
      <c r="C3249">
        <v>2</v>
      </c>
      <c r="D3249" s="1" t="s">
        <v>8737</v>
      </c>
      <c r="E3249" s="1" t="s">
        <v>36</v>
      </c>
      <c r="G3249">
        <v>452476</v>
      </c>
      <c r="H3249" t="s">
        <v>8729</v>
      </c>
      <c r="I3249" t="s">
        <v>8730</v>
      </c>
      <c r="J3249">
        <v>15</v>
      </c>
      <c r="K3249">
        <v>10032</v>
      </c>
      <c r="L3249">
        <v>10001</v>
      </c>
      <c r="M3249" t="s">
        <v>3135</v>
      </c>
      <c r="N3249">
        <v>679</v>
      </c>
      <c r="O3249" s="2">
        <v>46162</v>
      </c>
      <c r="P3249" s="2">
        <v>46273</v>
      </c>
      <c r="R3249" t="s">
        <v>8738</v>
      </c>
      <c r="S3249" t="str">
        <f>"1219"</f>
        <v>1219</v>
      </c>
      <c r="T3249" t="s">
        <v>41</v>
      </c>
      <c r="U3249">
        <v>2226.85</v>
      </c>
      <c r="V3249">
        <v>2226.85</v>
      </c>
      <c r="W3249">
        <v>2226.85</v>
      </c>
      <c r="X3249">
        <v>0</v>
      </c>
      <c r="Y3249">
        <v>0</v>
      </c>
      <c r="Z3249">
        <v>-498</v>
      </c>
      <c r="AA3249">
        <v>687737</v>
      </c>
      <c r="AD3249" t="s">
        <v>3337</v>
      </c>
      <c r="AE3249">
        <v>1120972165</v>
      </c>
      <c r="AF3249" t="s">
        <v>3337</v>
      </c>
      <c r="AG3249" s="1" t="s">
        <v>8732</v>
      </c>
      <c r="AH3249" t="s">
        <v>44</v>
      </c>
    </row>
    <row r="3250" spans="1:34" x14ac:dyDescent="0.3">
      <c r="A3250">
        <v>106</v>
      </c>
      <c r="B3250" t="s">
        <v>34</v>
      </c>
      <c r="C3250">
        <v>2</v>
      </c>
      <c r="D3250" s="1" t="s">
        <v>8739</v>
      </c>
      <c r="E3250" s="1" t="s">
        <v>36</v>
      </c>
      <c r="G3250">
        <v>452541</v>
      </c>
      <c r="H3250" t="s">
        <v>8740</v>
      </c>
      <c r="I3250" t="s">
        <v>8741</v>
      </c>
      <c r="J3250">
        <v>15</v>
      </c>
      <c r="K3250">
        <v>999002158</v>
      </c>
      <c r="L3250">
        <v>50341</v>
      </c>
      <c r="M3250" t="s">
        <v>146</v>
      </c>
      <c r="N3250">
        <v>679</v>
      </c>
      <c r="O3250" s="2">
        <v>46235</v>
      </c>
      <c r="P3250" s="2">
        <v>46263</v>
      </c>
      <c r="R3250" t="s">
        <v>8742</v>
      </c>
      <c r="S3250" t="str">
        <f>"00013569"</f>
        <v>00013569</v>
      </c>
      <c r="T3250" t="s">
        <v>41</v>
      </c>
      <c r="U3250">
        <v>9318.83</v>
      </c>
      <c r="V3250">
        <v>9225.64</v>
      </c>
      <c r="W3250">
        <v>9225.64</v>
      </c>
      <c r="X3250">
        <v>0</v>
      </c>
      <c r="Y3250">
        <v>0</v>
      </c>
      <c r="Z3250">
        <v>-488</v>
      </c>
      <c r="AA3250">
        <v>694738</v>
      </c>
      <c r="AD3250" t="s">
        <v>3301</v>
      </c>
      <c r="AE3250" t="s">
        <v>8720</v>
      </c>
      <c r="AF3250" t="s">
        <v>3301</v>
      </c>
      <c r="AG3250">
        <v>10250585000828</v>
      </c>
      <c r="AH3250" t="s">
        <v>44</v>
      </c>
    </row>
    <row r="3251" spans="1:34" x14ac:dyDescent="0.3">
      <c r="A3251">
        <v>106</v>
      </c>
      <c r="B3251" t="s">
        <v>34</v>
      </c>
      <c r="C3251">
        <v>2</v>
      </c>
      <c r="D3251" s="1" t="s">
        <v>8743</v>
      </c>
      <c r="E3251" s="1" t="s">
        <v>36</v>
      </c>
      <c r="G3251">
        <v>452541</v>
      </c>
      <c r="H3251" t="s">
        <v>8740</v>
      </c>
      <c r="I3251" t="s">
        <v>8741</v>
      </c>
      <c r="J3251">
        <v>15</v>
      </c>
      <c r="K3251">
        <v>999002158</v>
      </c>
      <c r="L3251">
        <v>95080</v>
      </c>
      <c r="M3251" t="s">
        <v>83</v>
      </c>
      <c r="N3251">
        <v>679</v>
      </c>
      <c r="O3251" s="2">
        <v>46203</v>
      </c>
      <c r="P3251" s="2">
        <v>46231</v>
      </c>
      <c r="R3251" t="s">
        <v>8744</v>
      </c>
      <c r="S3251" t="str">
        <f>""</f>
        <v/>
      </c>
      <c r="T3251" t="s">
        <v>41</v>
      </c>
      <c r="U3251">
        <v>7968.06</v>
      </c>
      <c r="V3251">
        <v>7888.38</v>
      </c>
      <c r="W3251">
        <v>7888.38</v>
      </c>
      <c r="X3251">
        <v>0</v>
      </c>
      <c r="Y3251">
        <v>0</v>
      </c>
      <c r="Z3251">
        <v>-456</v>
      </c>
      <c r="AA3251">
        <v>692429</v>
      </c>
      <c r="AD3251" t="s">
        <v>3301</v>
      </c>
      <c r="AE3251" t="s">
        <v>8720</v>
      </c>
      <c r="AF3251" t="s">
        <v>3301</v>
      </c>
      <c r="AG3251">
        <v>10250585000828</v>
      </c>
      <c r="AH3251" t="s">
        <v>44</v>
      </c>
    </row>
    <row r="3252" spans="1:34" x14ac:dyDescent="0.3">
      <c r="A3252">
        <v>101</v>
      </c>
      <c r="B3252" t="s">
        <v>34</v>
      </c>
      <c r="C3252">
        <v>2</v>
      </c>
      <c r="D3252" s="1" t="s">
        <v>8745</v>
      </c>
      <c r="E3252" s="1" t="s">
        <v>36</v>
      </c>
      <c r="G3252">
        <v>452622</v>
      </c>
      <c r="H3252" t="s">
        <v>8746</v>
      </c>
      <c r="I3252" t="s">
        <v>8730</v>
      </c>
      <c r="J3252">
        <v>15</v>
      </c>
      <c r="K3252">
        <v>10032</v>
      </c>
      <c r="L3252">
        <v>10001</v>
      </c>
      <c r="M3252" t="s">
        <v>3135</v>
      </c>
      <c r="N3252">
        <v>679</v>
      </c>
      <c r="O3252" s="2">
        <v>46171</v>
      </c>
      <c r="P3252" s="2">
        <v>46280</v>
      </c>
      <c r="R3252" t="s">
        <v>8747</v>
      </c>
      <c r="S3252" t="str">
        <f>"1219"</f>
        <v>1219</v>
      </c>
      <c r="T3252" t="s">
        <v>41</v>
      </c>
      <c r="U3252">
        <v>2670.21</v>
      </c>
      <c r="V3252">
        <v>2670.21</v>
      </c>
      <c r="W3252">
        <v>2670.21</v>
      </c>
      <c r="X3252">
        <v>0</v>
      </c>
      <c r="Y3252">
        <v>0</v>
      </c>
      <c r="Z3252">
        <v>-505</v>
      </c>
      <c r="AA3252">
        <v>690022</v>
      </c>
      <c r="AD3252" t="s">
        <v>8748</v>
      </c>
      <c r="AE3252" t="s">
        <v>8645</v>
      </c>
      <c r="AF3252" t="s">
        <v>8748</v>
      </c>
      <c r="AG3252" s="1" t="s">
        <v>8749</v>
      </c>
      <c r="AH3252" t="s">
        <v>44</v>
      </c>
    </row>
    <row r="3253" spans="1:34" x14ac:dyDescent="0.3">
      <c r="A3253">
        <v>101</v>
      </c>
      <c r="B3253" t="s">
        <v>34</v>
      </c>
      <c r="C3253">
        <v>2</v>
      </c>
      <c r="D3253" s="1" t="s">
        <v>8750</v>
      </c>
      <c r="E3253" s="1" t="s">
        <v>36</v>
      </c>
      <c r="G3253">
        <v>452622</v>
      </c>
      <c r="H3253" t="s">
        <v>8746</v>
      </c>
      <c r="I3253" t="s">
        <v>8730</v>
      </c>
      <c r="J3253">
        <v>15</v>
      </c>
      <c r="K3253">
        <v>10032</v>
      </c>
      <c r="L3253">
        <v>95000</v>
      </c>
      <c r="M3253" t="s">
        <v>69</v>
      </c>
      <c r="N3253">
        <v>679</v>
      </c>
      <c r="O3253" s="2">
        <v>46203</v>
      </c>
      <c r="P3253" s="2">
        <v>46310</v>
      </c>
      <c r="R3253" t="s">
        <v>8751</v>
      </c>
      <c r="S3253" t="str">
        <f>""</f>
        <v/>
      </c>
      <c r="T3253" t="s">
        <v>41</v>
      </c>
      <c r="U3253">
        <v>2859.75</v>
      </c>
      <c r="V3253">
        <v>2859.75</v>
      </c>
      <c r="W3253">
        <v>2859.75</v>
      </c>
      <c r="X3253">
        <v>0</v>
      </c>
      <c r="Y3253">
        <v>0</v>
      </c>
      <c r="Z3253">
        <v>-535</v>
      </c>
      <c r="AA3253">
        <v>693546</v>
      </c>
      <c r="AD3253" t="s">
        <v>8748</v>
      </c>
      <c r="AE3253" t="s">
        <v>8645</v>
      </c>
      <c r="AF3253" t="s">
        <v>8748</v>
      </c>
      <c r="AG3253" s="1" t="s">
        <v>8749</v>
      </c>
      <c r="AH3253" t="s">
        <v>44</v>
      </c>
    </row>
    <row r="3254" spans="1:34" x14ac:dyDescent="0.3">
      <c r="A3254">
        <v>101</v>
      </c>
      <c r="B3254" t="s">
        <v>34</v>
      </c>
      <c r="C3254">
        <v>2</v>
      </c>
      <c r="D3254" s="1" t="s">
        <v>8752</v>
      </c>
      <c r="E3254" s="1" t="s">
        <v>36</v>
      </c>
      <c r="G3254">
        <v>452622</v>
      </c>
      <c r="H3254" t="s">
        <v>8746</v>
      </c>
      <c r="I3254" t="s">
        <v>8730</v>
      </c>
      <c r="J3254">
        <v>15</v>
      </c>
      <c r="K3254">
        <v>10032</v>
      </c>
      <c r="L3254">
        <v>95000</v>
      </c>
      <c r="M3254" t="s">
        <v>69</v>
      </c>
      <c r="N3254">
        <v>679</v>
      </c>
      <c r="O3254" s="2">
        <v>46234</v>
      </c>
      <c r="P3254" s="2">
        <v>46341</v>
      </c>
      <c r="R3254" t="s">
        <v>8753</v>
      </c>
      <c r="S3254" t="str">
        <f>""</f>
        <v/>
      </c>
      <c r="T3254" t="s">
        <v>41</v>
      </c>
      <c r="U3254">
        <v>4417.79</v>
      </c>
      <c r="V3254">
        <v>4417.79</v>
      </c>
      <c r="W3254">
        <v>4417.79</v>
      </c>
      <c r="X3254">
        <v>0</v>
      </c>
      <c r="Y3254">
        <v>0</v>
      </c>
      <c r="Z3254">
        <v>-566</v>
      </c>
      <c r="AA3254">
        <v>695159</v>
      </c>
      <c r="AD3254" t="s">
        <v>8748</v>
      </c>
      <c r="AE3254" t="s">
        <v>8645</v>
      </c>
      <c r="AF3254" t="s">
        <v>8748</v>
      </c>
      <c r="AG3254" s="1" t="s">
        <v>8749</v>
      </c>
      <c r="AH3254" t="s">
        <v>44</v>
      </c>
    </row>
    <row r="3255" spans="1:34" x14ac:dyDescent="0.3">
      <c r="A3255">
        <v>106</v>
      </c>
      <c r="B3255" t="s">
        <v>34</v>
      </c>
      <c r="C3255">
        <v>2</v>
      </c>
      <c r="D3255" s="1" t="s">
        <v>8754</v>
      </c>
      <c r="E3255" s="1" t="s">
        <v>36</v>
      </c>
      <c r="G3255">
        <v>455573</v>
      </c>
      <c r="H3255" t="s">
        <v>8755</v>
      </c>
      <c r="I3255" t="s">
        <v>8756</v>
      </c>
      <c r="J3255">
        <v>15</v>
      </c>
      <c r="K3255">
        <v>999002158</v>
      </c>
      <c r="L3255">
        <v>50341</v>
      </c>
      <c r="M3255" t="s">
        <v>146</v>
      </c>
      <c r="N3255">
        <v>679</v>
      </c>
      <c r="O3255" s="2">
        <v>46235</v>
      </c>
      <c r="P3255" s="2">
        <v>46263</v>
      </c>
      <c r="R3255" t="s">
        <v>8757</v>
      </c>
      <c r="S3255" t="str">
        <f>"00013570"</f>
        <v>00013570</v>
      </c>
      <c r="T3255" t="s">
        <v>41</v>
      </c>
      <c r="U3255">
        <v>3648.5</v>
      </c>
      <c r="V3255">
        <v>3612.02</v>
      </c>
      <c r="W3255">
        <v>3612.02</v>
      </c>
      <c r="X3255">
        <v>0</v>
      </c>
      <c r="Y3255">
        <v>0</v>
      </c>
      <c r="Z3255">
        <v>-488</v>
      </c>
      <c r="AA3255">
        <v>694744</v>
      </c>
      <c r="AD3255" t="s">
        <v>64</v>
      </c>
      <c r="AE3255">
        <v>1130605400</v>
      </c>
      <c r="AF3255" t="s">
        <v>7680</v>
      </c>
      <c r="AG3255">
        <v>10250585001123</v>
      </c>
      <c r="AH3255" t="s">
        <v>44</v>
      </c>
    </row>
    <row r="3256" spans="1:34" x14ac:dyDescent="0.3">
      <c r="A3256">
        <v>101</v>
      </c>
      <c r="B3256" t="s">
        <v>34</v>
      </c>
      <c r="C3256">
        <v>2</v>
      </c>
      <c r="D3256" s="1" t="s">
        <v>8758</v>
      </c>
      <c r="E3256" s="1" t="s">
        <v>36</v>
      </c>
      <c r="G3256">
        <v>455573</v>
      </c>
      <c r="H3256" t="s">
        <v>8755</v>
      </c>
      <c r="I3256" t="s">
        <v>8756</v>
      </c>
      <c r="J3256">
        <v>15</v>
      </c>
      <c r="K3256">
        <v>999002158</v>
      </c>
      <c r="L3256">
        <v>50341</v>
      </c>
      <c r="M3256" t="s">
        <v>146</v>
      </c>
      <c r="N3256">
        <v>679</v>
      </c>
      <c r="O3256" s="2">
        <v>46235</v>
      </c>
      <c r="P3256" s="2">
        <v>46263</v>
      </c>
      <c r="R3256" t="s">
        <v>8759</v>
      </c>
      <c r="S3256" t="str">
        <f>"00013489"</f>
        <v>00013489</v>
      </c>
      <c r="T3256" t="s">
        <v>41</v>
      </c>
      <c r="U3256">
        <v>8286.44</v>
      </c>
      <c r="V3256">
        <v>8203.58</v>
      </c>
      <c r="W3256">
        <v>8203.58</v>
      </c>
      <c r="X3256">
        <v>0</v>
      </c>
      <c r="Y3256">
        <v>0</v>
      </c>
      <c r="Z3256">
        <v>-488</v>
      </c>
      <c r="AA3256">
        <v>694680</v>
      </c>
      <c r="AD3256" t="s">
        <v>64</v>
      </c>
      <c r="AE3256">
        <v>1130605400</v>
      </c>
      <c r="AF3256" t="s">
        <v>7680</v>
      </c>
      <c r="AG3256">
        <v>10250585001123</v>
      </c>
      <c r="AH3256" t="s">
        <v>44</v>
      </c>
    </row>
    <row r="3257" spans="1:34" x14ac:dyDescent="0.3">
      <c r="A3257">
        <v>101</v>
      </c>
      <c r="B3257" t="s">
        <v>34</v>
      </c>
      <c r="C3257">
        <v>2</v>
      </c>
      <c r="D3257" s="1" t="s">
        <v>8760</v>
      </c>
      <c r="E3257" s="1" t="s">
        <v>36</v>
      </c>
      <c r="G3257">
        <v>455573</v>
      </c>
      <c r="H3257" t="s">
        <v>8755</v>
      </c>
      <c r="I3257" t="s">
        <v>8756</v>
      </c>
      <c r="J3257">
        <v>15</v>
      </c>
      <c r="K3257">
        <v>999002158</v>
      </c>
      <c r="L3257">
        <v>50341</v>
      </c>
      <c r="M3257" t="s">
        <v>146</v>
      </c>
      <c r="N3257">
        <v>679</v>
      </c>
      <c r="O3257" s="2">
        <v>46235</v>
      </c>
      <c r="P3257" s="2">
        <v>46263</v>
      </c>
      <c r="R3257" t="s">
        <v>8761</v>
      </c>
      <c r="S3257" t="str">
        <f>"00013490"</f>
        <v>00013490</v>
      </c>
      <c r="T3257" t="s">
        <v>41</v>
      </c>
      <c r="U3257">
        <v>246.94</v>
      </c>
      <c r="V3257">
        <v>244.47</v>
      </c>
      <c r="W3257">
        <v>244.47</v>
      </c>
      <c r="X3257">
        <v>0</v>
      </c>
      <c r="Y3257">
        <v>0</v>
      </c>
      <c r="Z3257">
        <v>-488</v>
      </c>
      <c r="AA3257">
        <v>692371</v>
      </c>
      <c r="AD3257" t="s">
        <v>64</v>
      </c>
      <c r="AE3257">
        <v>1130605400</v>
      </c>
      <c r="AF3257" t="s">
        <v>7680</v>
      </c>
      <c r="AG3257">
        <v>10250585001123</v>
      </c>
      <c r="AH3257" t="s">
        <v>44</v>
      </c>
    </row>
    <row r="3258" spans="1:34" x14ac:dyDescent="0.3">
      <c r="A3258">
        <v>106</v>
      </c>
      <c r="B3258" t="s">
        <v>34</v>
      </c>
      <c r="C3258">
        <v>2</v>
      </c>
      <c r="D3258" s="1" t="s">
        <v>8762</v>
      </c>
      <c r="E3258" s="1" t="s">
        <v>36</v>
      </c>
      <c r="G3258">
        <v>456974</v>
      </c>
      <c r="H3258" t="s">
        <v>8763</v>
      </c>
      <c r="I3258" t="s">
        <v>8764</v>
      </c>
      <c r="J3258">
        <v>15</v>
      </c>
      <c r="K3258">
        <v>999002158</v>
      </c>
      <c r="L3258">
        <v>50341</v>
      </c>
      <c r="M3258" t="s">
        <v>146</v>
      </c>
      <c r="N3258">
        <v>679</v>
      </c>
      <c r="O3258" s="2">
        <v>46235</v>
      </c>
      <c r="P3258" s="2">
        <v>46263</v>
      </c>
      <c r="R3258" t="s">
        <v>8765</v>
      </c>
      <c r="S3258" t="str">
        <f>"00013571"</f>
        <v>00013571</v>
      </c>
      <c r="T3258" t="s">
        <v>41</v>
      </c>
      <c r="U3258">
        <v>8787.24</v>
      </c>
      <c r="V3258">
        <v>8699.3700000000008</v>
      </c>
      <c r="W3258">
        <v>8699.3700000000008</v>
      </c>
      <c r="X3258">
        <v>0</v>
      </c>
      <c r="Y3258">
        <v>0</v>
      </c>
      <c r="Z3258">
        <v>-488</v>
      </c>
      <c r="AA3258">
        <v>694740</v>
      </c>
      <c r="AD3258" t="s">
        <v>64</v>
      </c>
      <c r="AE3258">
        <v>1130605400</v>
      </c>
      <c r="AF3258" t="s">
        <v>64</v>
      </c>
      <c r="AG3258">
        <v>10250585000909</v>
      </c>
      <c r="AH3258" t="s">
        <v>44</v>
      </c>
    </row>
    <row r="3259" spans="1:34" x14ac:dyDescent="0.3">
      <c r="A3259">
        <v>101</v>
      </c>
      <c r="B3259" t="s">
        <v>34</v>
      </c>
      <c r="C3259">
        <v>2</v>
      </c>
      <c r="D3259" s="1" t="s">
        <v>8766</v>
      </c>
      <c r="E3259" s="1" t="s">
        <v>36</v>
      </c>
      <c r="G3259">
        <v>457549</v>
      </c>
      <c r="H3259" t="s">
        <v>8767</v>
      </c>
      <c r="I3259" t="s">
        <v>8768</v>
      </c>
      <c r="J3259">
        <v>12</v>
      </c>
      <c r="K3259">
        <v>451746</v>
      </c>
      <c r="L3259">
        <v>50341</v>
      </c>
      <c r="M3259" t="s">
        <v>146</v>
      </c>
      <c r="N3259">
        <v>679</v>
      </c>
      <c r="O3259" s="2">
        <v>46235</v>
      </c>
      <c r="P3259" s="2">
        <v>46280</v>
      </c>
      <c r="R3259" t="s">
        <v>8769</v>
      </c>
      <c r="S3259" t="str">
        <f>"00013496"</f>
        <v>00013496</v>
      </c>
      <c r="T3259" t="s">
        <v>41</v>
      </c>
      <c r="U3259">
        <v>2702.8</v>
      </c>
      <c r="V3259">
        <v>2702.8</v>
      </c>
      <c r="W3259">
        <v>2702.8</v>
      </c>
      <c r="X3259">
        <v>0</v>
      </c>
      <c r="Y3259">
        <v>0</v>
      </c>
      <c r="Z3259">
        <v>-505</v>
      </c>
      <c r="AA3259">
        <v>4073</v>
      </c>
      <c r="AD3259" t="s">
        <v>1533</v>
      </c>
      <c r="AE3259" t="s">
        <v>8770</v>
      </c>
      <c r="AF3259" t="s">
        <v>1533</v>
      </c>
      <c r="AG3259">
        <v>21206040000911</v>
      </c>
      <c r="AH3259" t="s">
        <v>1462</v>
      </c>
    </row>
    <row r="3260" spans="1:34" x14ac:dyDescent="0.3">
      <c r="A3260">
        <v>101</v>
      </c>
      <c r="B3260" t="s">
        <v>34</v>
      </c>
      <c r="C3260">
        <v>2</v>
      </c>
      <c r="D3260" s="1" t="s">
        <v>8771</v>
      </c>
      <c r="E3260" s="1" t="s">
        <v>36</v>
      </c>
      <c r="G3260">
        <v>459140</v>
      </c>
      <c r="H3260" t="s">
        <v>8772</v>
      </c>
      <c r="I3260" t="s">
        <v>8773</v>
      </c>
      <c r="J3260">
        <v>12</v>
      </c>
      <c r="K3260">
        <v>451746</v>
      </c>
      <c r="L3260">
        <v>50001</v>
      </c>
      <c r="M3260" t="s">
        <v>39</v>
      </c>
      <c r="N3260">
        <v>679</v>
      </c>
      <c r="O3260" s="2">
        <v>46226</v>
      </c>
      <c r="P3260" s="2">
        <v>46271</v>
      </c>
      <c r="R3260" t="s">
        <v>8774</v>
      </c>
      <c r="S3260" t="str">
        <f>"25666160000051582"</f>
        <v>25666160000051582</v>
      </c>
      <c r="T3260" t="s">
        <v>41</v>
      </c>
      <c r="U3260">
        <v>6946.85</v>
      </c>
      <c r="V3260">
        <v>6946.85</v>
      </c>
      <c r="W3260">
        <v>6946.85</v>
      </c>
      <c r="X3260">
        <v>0</v>
      </c>
      <c r="Y3260">
        <v>0</v>
      </c>
      <c r="Z3260">
        <v>-496</v>
      </c>
      <c r="AA3260">
        <v>1645</v>
      </c>
      <c r="AD3260" t="s">
        <v>8775</v>
      </c>
      <c r="AE3260">
        <v>4136576257</v>
      </c>
      <c r="AF3260" t="s">
        <v>8775</v>
      </c>
      <c r="AG3260" s="1" t="s">
        <v>8776</v>
      </c>
      <c r="AH3260" t="s">
        <v>5494</v>
      </c>
    </row>
    <row r="3261" spans="1:34" x14ac:dyDescent="0.3">
      <c r="A3261">
        <v>101</v>
      </c>
      <c r="B3261" t="s">
        <v>34</v>
      </c>
      <c r="C3261">
        <v>2</v>
      </c>
      <c r="D3261" s="1" t="s">
        <v>8777</v>
      </c>
      <c r="E3261" s="1" t="s">
        <v>36</v>
      </c>
      <c r="G3261">
        <v>459140</v>
      </c>
      <c r="H3261" t="s">
        <v>8772</v>
      </c>
      <c r="I3261" t="s">
        <v>8773</v>
      </c>
      <c r="J3261">
        <v>12</v>
      </c>
      <c r="K3261">
        <v>451746</v>
      </c>
      <c r="L3261">
        <v>50001</v>
      </c>
      <c r="M3261" t="s">
        <v>39</v>
      </c>
      <c r="N3261">
        <v>679</v>
      </c>
      <c r="O3261" s="2">
        <v>46234</v>
      </c>
      <c r="P3261" s="2">
        <v>46279</v>
      </c>
      <c r="R3261" t="s">
        <v>8778</v>
      </c>
      <c r="S3261" t="str">
        <f>"25666160000051707"</f>
        <v>25666160000051707</v>
      </c>
      <c r="T3261" t="s">
        <v>41</v>
      </c>
      <c r="U3261">
        <v>6008.58</v>
      </c>
      <c r="V3261">
        <v>6008.58</v>
      </c>
      <c r="W3261">
        <v>6008.58</v>
      </c>
      <c r="X3261">
        <v>0</v>
      </c>
      <c r="Y3261">
        <v>0</v>
      </c>
      <c r="Z3261">
        <v>-504</v>
      </c>
      <c r="AA3261">
        <v>4076</v>
      </c>
      <c r="AD3261" t="s">
        <v>8775</v>
      </c>
      <c r="AE3261">
        <v>4136576257</v>
      </c>
      <c r="AF3261" t="s">
        <v>8775</v>
      </c>
      <c r="AG3261" s="1" t="s">
        <v>8776</v>
      </c>
      <c r="AH3261" t="s">
        <v>5494</v>
      </c>
    </row>
    <row r="3262" spans="1:34" x14ac:dyDescent="0.3">
      <c r="A3262">
        <v>101</v>
      </c>
      <c r="B3262" t="s">
        <v>34</v>
      </c>
      <c r="C3262">
        <v>2</v>
      </c>
      <c r="D3262" s="1" t="s">
        <v>8779</v>
      </c>
      <c r="E3262" s="1" t="s">
        <v>36</v>
      </c>
      <c r="G3262">
        <v>460690</v>
      </c>
      <c r="H3262" t="s">
        <v>8780</v>
      </c>
      <c r="I3262" t="s">
        <v>8764</v>
      </c>
      <c r="J3262">
        <v>15</v>
      </c>
      <c r="K3262">
        <v>999002158</v>
      </c>
      <c r="L3262">
        <v>50341</v>
      </c>
      <c r="M3262" t="s">
        <v>146</v>
      </c>
      <c r="N3262">
        <v>679</v>
      </c>
      <c r="O3262" s="2">
        <v>46235</v>
      </c>
      <c r="P3262" s="2">
        <v>46263</v>
      </c>
      <c r="R3262" t="s">
        <v>8781</v>
      </c>
      <c r="S3262" t="str">
        <f>"00013497"</f>
        <v>00013497</v>
      </c>
      <c r="T3262" t="s">
        <v>41</v>
      </c>
      <c r="U3262">
        <v>8323.51</v>
      </c>
      <c r="V3262">
        <v>8240.27</v>
      </c>
      <c r="W3262">
        <v>8240.27</v>
      </c>
      <c r="X3262">
        <v>0</v>
      </c>
      <c r="Y3262">
        <v>0</v>
      </c>
      <c r="Z3262">
        <v>-488</v>
      </c>
      <c r="AA3262">
        <v>694678</v>
      </c>
      <c r="AD3262" t="s">
        <v>64</v>
      </c>
      <c r="AE3262">
        <v>1130605400</v>
      </c>
      <c r="AF3262" t="s">
        <v>64</v>
      </c>
      <c r="AG3262">
        <v>10250585001042</v>
      </c>
      <c r="AH3262" t="s">
        <v>44</v>
      </c>
    </row>
    <row r="3263" spans="1:34" x14ac:dyDescent="0.3">
      <c r="A3263">
        <v>106</v>
      </c>
      <c r="B3263" t="s">
        <v>34</v>
      </c>
      <c r="C3263">
        <v>2</v>
      </c>
      <c r="D3263" s="1" t="s">
        <v>8782</v>
      </c>
      <c r="E3263" s="1" t="s">
        <v>36</v>
      </c>
      <c r="G3263">
        <v>460690</v>
      </c>
      <c r="H3263" t="s">
        <v>8780</v>
      </c>
      <c r="I3263" t="s">
        <v>8764</v>
      </c>
      <c r="J3263">
        <v>15</v>
      </c>
      <c r="K3263">
        <v>999002158</v>
      </c>
      <c r="L3263">
        <v>50341</v>
      </c>
      <c r="M3263" t="s">
        <v>146</v>
      </c>
      <c r="N3263">
        <v>679</v>
      </c>
      <c r="O3263" s="2">
        <v>46235</v>
      </c>
      <c r="P3263" s="2">
        <v>46263</v>
      </c>
      <c r="R3263" t="s">
        <v>8783</v>
      </c>
      <c r="S3263" t="str">
        <f>"00013572"</f>
        <v>00013572</v>
      </c>
      <c r="T3263" t="s">
        <v>41</v>
      </c>
      <c r="U3263">
        <v>5664.5</v>
      </c>
      <c r="V3263">
        <v>5607.86</v>
      </c>
      <c r="W3263">
        <v>5607.86</v>
      </c>
      <c r="X3263">
        <v>0</v>
      </c>
      <c r="Y3263">
        <v>0</v>
      </c>
      <c r="Z3263">
        <v>-488</v>
      </c>
      <c r="AA3263">
        <v>694742</v>
      </c>
      <c r="AD3263" t="s">
        <v>64</v>
      </c>
      <c r="AE3263">
        <v>1130605400</v>
      </c>
      <c r="AF3263" t="s">
        <v>64</v>
      </c>
      <c r="AG3263">
        <v>10250585001042</v>
      </c>
      <c r="AH3263" t="s">
        <v>44</v>
      </c>
    </row>
    <row r="3264" spans="1:34" x14ac:dyDescent="0.3">
      <c r="A3264">
        <v>101</v>
      </c>
      <c r="B3264" t="s">
        <v>34</v>
      </c>
      <c r="C3264">
        <v>2</v>
      </c>
      <c r="D3264" s="1" t="s">
        <v>8784</v>
      </c>
      <c r="E3264" s="1" t="s">
        <v>36</v>
      </c>
      <c r="G3264">
        <v>463974</v>
      </c>
      <c r="H3264" t="s">
        <v>8785</v>
      </c>
      <c r="I3264" t="s">
        <v>8786</v>
      </c>
      <c r="J3264">
        <v>12</v>
      </c>
      <c r="K3264">
        <v>451746</v>
      </c>
      <c r="L3264">
        <v>50001</v>
      </c>
      <c r="M3264" t="s">
        <v>39</v>
      </c>
      <c r="N3264">
        <v>679</v>
      </c>
      <c r="O3264" s="2">
        <v>46235</v>
      </c>
      <c r="P3264" s="2">
        <v>46280</v>
      </c>
      <c r="R3264" t="s">
        <v>8787</v>
      </c>
      <c r="S3264" t="str">
        <f>"25666160000051746"</f>
        <v>25666160000051746</v>
      </c>
      <c r="T3264" t="s">
        <v>41</v>
      </c>
      <c r="U3264">
        <v>2763.46</v>
      </c>
      <c r="V3264">
        <v>2763.46</v>
      </c>
      <c r="W3264">
        <v>2763.46</v>
      </c>
      <c r="X3264">
        <v>0</v>
      </c>
      <c r="Y3264">
        <v>0</v>
      </c>
      <c r="Z3264">
        <v>-505</v>
      </c>
      <c r="AA3264">
        <v>4077</v>
      </c>
      <c r="AD3264" t="s">
        <v>3660</v>
      </c>
      <c r="AE3264" t="s">
        <v>8788</v>
      </c>
      <c r="AF3264" t="s">
        <v>3660</v>
      </c>
      <c r="AG3264" s="1" t="s">
        <v>8789</v>
      </c>
      <c r="AH3264" t="s">
        <v>44</v>
      </c>
    </row>
    <row r="3265" spans="1:34" x14ac:dyDescent="0.3">
      <c r="A3265">
        <v>106</v>
      </c>
      <c r="B3265" t="s">
        <v>34</v>
      </c>
      <c r="C3265">
        <v>2</v>
      </c>
      <c r="D3265" s="1" t="s">
        <v>8790</v>
      </c>
      <c r="E3265" s="1" t="s">
        <v>36</v>
      </c>
      <c r="G3265">
        <v>466378</v>
      </c>
      <c r="H3265" t="s">
        <v>8791</v>
      </c>
      <c r="I3265" t="s">
        <v>8764</v>
      </c>
      <c r="J3265">
        <v>15</v>
      </c>
      <c r="K3265">
        <v>999002158</v>
      </c>
      <c r="L3265">
        <v>50341</v>
      </c>
      <c r="M3265" t="s">
        <v>146</v>
      </c>
      <c r="N3265">
        <v>679</v>
      </c>
      <c r="O3265" s="2">
        <v>46235</v>
      </c>
      <c r="P3265" s="2">
        <v>46263</v>
      </c>
      <c r="R3265" t="s">
        <v>8792</v>
      </c>
      <c r="S3265" t="str">
        <f>"00013573"</f>
        <v>00013573</v>
      </c>
      <c r="T3265" t="s">
        <v>41</v>
      </c>
      <c r="U3265">
        <v>2254.17</v>
      </c>
      <c r="V3265">
        <v>2231.63</v>
      </c>
      <c r="W3265">
        <v>2231.63</v>
      </c>
      <c r="X3265">
        <v>0</v>
      </c>
      <c r="Y3265">
        <v>0</v>
      </c>
      <c r="Z3265">
        <v>-488</v>
      </c>
      <c r="AA3265">
        <v>694746</v>
      </c>
      <c r="AD3265" t="s">
        <v>64</v>
      </c>
      <c r="AE3265" t="s">
        <v>8793</v>
      </c>
      <c r="AF3265" t="s">
        <v>64</v>
      </c>
      <c r="AG3265">
        <v>10250585001395</v>
      </c>
      <c r="AH3265" t="s">
        <v>44</v>
      </c>
    </row>
    <row r="3266" spans="1:34" x14ac:dyDescent="0.3">
      <c r="A3266">
        <v>101</v>
      </c>
      <c r="B3266" t="s">
        <v>34</v>
      </c>
      <c r="C3266">
        <v>2</v>
      </c>
      <c r="D3266" s="1" t="s">
        <v>8794</v>
      </c>
      <c r="E3266" s="1" t="s">
        <v>36</v>
      </c>
      <c r="G3266">
        <v>466378</v>
      </c>
      <c r="H3266" t="s">
        <v>8791</v>
      </c>
      <c r="I3266" t="s">
        <v>8764</v>
      </c>
      <c r="J3266">
        <v>15</v>
      </c>
      <c r="K3266">
        <v>999002158</v>
      </c>
      <c r="L3266">
        <v>50341</v>
      </c>
      <c r="M3266" t="s">
        <v>146</v>
      </c>
      <c r="N3266">
        <v>679</v>
      </c>
      <c r="O3266" s="2">
        <v>46235</v>
      </c>
      <c r="P3266" s="2">
        <v>46263</v>
      </c>
      <c r="R3266" t="s">
        <v>8795</v>
      </c>
      <c r="S3266" t="str">
        <f>"00013508"</f>
        <v>00013508</v>
      </c>
      <c r="T3266" t="s">
        <v>41</v>
      </c>
      <c r="U3266">
        <v>7412.75</v>
      </c>
      <c r="V3266">
        <v>7338.62</v>
      </c>
      <c r="W3266">
        <v>7338.62</v>
      </c>
      <c r="X3266">
        <v>0</v>
      </c>
      <c r="Y3266">
        <v>0</v>
      </c>
      <c r="Z3266">
        <v>-488</v>
      </c>
      <c r="AA3266">
        <v>694682</v>
      </c>
      <c r="AD3266" t="s">
        <v>64</v>
      </c>
      <c r="AE3266" t="s">
        <v>8793</v>
      </c>
      <c r="AF3266" t="s">
        <v>64</v>
      </c>
      <c r="AG3266">
        <v>10250585001395</v>
      </c>
      <c r="AH3266" t="s">
        <v>44</v>
      </c>
    </row>
    <row r="3267" spans="1:34" x14ac:dyDescent="0.3">
      <c r="A3267">
        <v>101</v>
      </c>
      <c r="B3267" t="s">
        <v>34</v>
      </c>
      <c r="C3267">
        <v>2</v>
      </c>
      <c r="D3267" s="1" t="s">
        <v>8796</v>
      </c>
      <c r="E3267" s="1" t="s">
        <v>36</v>
      </c>
      <c r="G3267">
        <v>466391</v>
      </c>
      <c r="H3267" t="s">
        <v>8797</v>
      </c>
      <c r="I3267" t="s">
        <v>8798</v>
      </c>
      <c r="J3267">
        <v>15</v>
      </c>
      <c r="K3267">
        <v>999002158</v>
      </c>
      <c r="L3267">
        <v>50341</v>
      </c>
      <c r="M3267" t="s">
        <v>146</v>
      </c>
      <c r="N3267">
        <v>679</v>
      </c>
      <c r="O3267" s="2">
        <v>46235</v>
      </c>
      <c r="P3267" s="2">
        <v>46263</v>
      </c>
      <c r="R3267" t="s">
        <v>8799</v>
      </c>
      <c r="S3267" t="str">
        <f>"00013509"</f>
        <v>00013509</v>
      </c>
      <c r="T3267" t="s">
        <v>41</v>
      </c>
      <c r="U3267">
        <v>4896.93</v>
      </c>
      <c r="V3267">
        <v>4847.96</v>
      </c>
      <c r="W3267">
        <v>4847.96</v>
      </c>
      <c r="X3267">
        <v>0</v>
      </c>
      <c r="Y3267">
        <v>0</v>
      </c>
      <c r="Z3267">
        <v>-488</v>
      </c>
      <c r="AA3267">
        <v>694686</v>
      </c>
      <c r="AD3267" t="s">
        <v>3327</v>
      </c>
      <c r="AE3267" t="s">
        <v>8800</v>
      </c>
      <c r="AF3267" t="s">
        <v>3327</v>
      </c>
      <c r="AG3267">
        <v>10250585001557</v>
      </c>
      <c r="AH3267" t="s">
        <v>44</v>
      </c>
    </row>
    <row r="3268" spans="1:34" x14ac:dyDescent="0.3">
      <c r="A3268">
        <v>106</v>
      </c>
      <c r="B3268" t="s">
        <v>34</v>
      </c>
      <c r="C3268">
        <v>2</v>
      </c>
      <c r="D3268" s="1" t="s">
        <v>8801</v>
      </c>
      <c r="E3268" s="1" t="s">
        <v>36</v>
      </c>
      <c r="G3268">
        <v>466391</v>
      </c>
      <c r="H3268" t="s">
        <v>8797</v>
      </c>
      <c r="I3268" t="s">
        <v>8798</v>
      </c>
      <c r="J3268">
        <v>15</v>
      </c>
      <c r="K3268">
        <v>999002158</v>
      </c>
      <c r="L3268">
        <v>50341</v>
      </c>
      <c r="M3268" t="s">
        <v>146</v>
      </c>
      <c r="N3268">
        <v>679</v>
      </c>
      <c r="O3268" s="2">
        <v>46235</v>
      </c>
      <c r="P3268" s="2">
        <v>46263</v>
      </c>
      <c r="R3268" t="s">
        <v>8802</v>
      </c>
      <c r="S3268" t="str">
        <f>"00013574"</f>
        <v>00013574</v>
      </c>
      <c r="T3268" t="s">
        <v>41</v>
      </c>
      <c r="U3268">
        <v>6126.36</v>
      </c>
      <c r="V3268">
        <v>6065.1</v>
      </c>
      <c r="W3268">
        <v>6065.1</v>
      </c>
      <c r="X3268">
        <v>0</v>
      </c>
      <c r="Y3268">
        <v>0</v>
      </c>
      <c r="Z3268">
        <v>-488</v>
      </c>
      <c r="AA3268">
        <v>694750</v>
      </c>
      <c r="AD3268" t="s">
        <v>3327</v>
      </c>
      <c r="AE3268" t="s">
        <v>8800</v>
      </c>
      <c r="AF3268" t="s">
        <v>3327</v>
      </c>
      <c r="AG3268">
        <v>10250585001557</v>
      </c>
      <c r="AH3268" t="s">
        <v>44</v>
      </c>
    </row>
    <row r="3269" spans="1:34" x14ac:dyDescent="0.3">
      <c r="A3269">
        <v>101</v>
      </c>
      <c r="B3269" t="s">
        <v>34</v>
      </c>
      <c r="C3269">
        <v>2</v>
      </c>
      <c r="D3269" s="1" t="s">
        <v>8803</v>
      </c>
      <c r="E3269" s="1" t="s">
        <v>36</v>
      </c>
      <c r="G3269">
        <v>467247</v>
      </c>
      <c r="H3269" t="s">
        <v>8804</v>
      </c>
      <c r="I3269" t="s">
        <v>8805</v>
      </c>
      <c r="J3269">
        <v>12</v>
      </c>
      <c r="K3269">
        <v>467247</v>
      </c>
      <c r="L3269">
        <v>50033</v>
      </c>
      <c r="M3269" t="s">
        <v>39</v>
      </c>
      <c r="N3269">
        <v>679</v>
      </c>
      <c r="O3269" s="2">
        <v>46231</v>
      </c>
      <c r="P3269" s="2">
        <v>46266</v>
      </c>
      <c r="R3269" t="s">
        <v>8806</v>
      </c>
      <c r="S3269" t="str">
        <f>"0000050411357"</f>
        <v>0000050411357</v>
      </c>
      <c r="T3269" t="s">
        <v>41</v>
      </c>
      <c r="U3269">
        <v>2064.54</v>
      </c>
      <c r="V3269">
        <v>2064.54</v>
      </c>
      <c r="W3269">
        <v>2064.54</v>
      </c>
      <c r="X3269">
        <v>0</v>
      </c>
      <c r="Y3269">
        <v>0</v>
      </c>
      <c r="Z3269">
        <v>-491</v>
      </c>
      <c r="AA3269">
        <v>1633</v>
      </c>
      <c r="AD3269" t="s">
        <v>50</v>
      </c>
      <c r="AE3269" t="s">
        <v>8807</v>
      </c>
      <c r="AF3269" t="s">
        <v>50</v>
      </c>
      <c r="AG3269">
        <v>43046178000186</v>
      </c>
      <c r="AH3269" t="s">
        <v>44</v>
      </c>
    </row>
    <row r="3270" spans="1:34" x14ac:dyDescent="0.3">
      <c r="A3270">
        <v>106</v>
      </c>
      <c r="B3270" t="s">
        <v>34</v>
      </c>
      <c r="C3270">
        <v>2</v>
      </c>
      <c r="D3270" s="1" t="s">
        <v>8808</v>
      </c>
      <c r="E3270" s="1" t="s">
        <v>36</v>
      </c>
      <c r="G3270">
        <v>467295</v>
      </c>
      <c r="H3270" t="s">
        <v>8809</v>
      </c>
      <c r="I3270" t="s">
        <v>8756</v>
      </c>
      <c r="J3270">
        <v>15</v>
      </c>
      <c r="K3270">
        <v>999002158</v>
      </c>
      <c r="L3270">
        <v>50341</v>
      </c>
      <c r="M3270" t="s">
        <v>146</v>
      </c>
      <c r="N3270">
        <v>679</v>
      </c>
      <c r="O3270" s="2">
        <v>46235</v>
      </c>
      <c r="P3270" s="2">
        <v>46263</v>
      </c>
      <c r="R3270" t="s">
        <v>8810</v>
      </c>
      <c r="S3270" t="str">
        <f>"00013575"</f>
        <v>00013575</v>
      </c>
      <c r="T3270" t="s">
        <v>41</v>
      </c>
      <c r="U3270">
        <v>854.03</v>
      </c>
      <c r="V3270">
        <v>845.49</v>
      </c>
      <c r="W3270">
        <v>845.49</v>
      </c>
      <c r="X3270">
        <v>0</v>
      </c>
      <c r="Y3270">
        <v>0</v>
      </c>
      <c r="Z3270">
        <v>-488</v>
      </c>
      <c r="AA3270">
        <v>694754</v>
      </c>
      <c r="AD3270" t="s">
        <v>3228</v>
      </c>
      <c r="AE3270" t="s">
        <v>8811</v>
      </c>
      <c r="AF3270" t="s">
        <v>3228</v>
      </c>
      <c r="AG3270">
        <v>10250585001719</v>
      </c>
      <c r="AH3270" t="s">
        <v>44</v>
      </c>
    </row>
    <row r="3271" spans="1:34" x14ac:dyDescent="0.3">
      <c r="A3271">
        <v>101</v>
      </c>
      <c r="B3271" t="s">
        <v>34</v>
      </c>
      <c r="C3271">
        <v>2</v>
      </c>
      <c r="D3271" s="1" t="s">
        <v>8812</v>
      </c>
      <c r="E3271" s="1" t="s">
        <v>36</v>
      </c>
      <c r="G3271">
        <v>467295</v>
      </c>
      <c r="H3271" t="s">
        <v>8809</v>
      </c>
      <c r="I3271" t="s">
        <v>8756</v>
      </c>
      <c r="J3271">
        <v>15</v>
      </c>
      <c r="K3271">
        <v>999002158</v>
      </c>
      <c r="L3271">
        <v>95080</v>
      </c>
      <c r="M3271" t="s">
        <v>83</v>
      </c>
      <c r="N3271">
        <v>679</v>
      </c>
      <c r="O3271" s="2">
        <v>46235</v>
      </c>
      <c r="P3271" s="2">
        <v>46263</v>
      </c>
      <c r="R3271" t="s">
        <v>8813</v>
      </c>
      <c r="S3271" t="str">
        <f>""</f>
        <v/>
      </c>
      <c r="T3271" t="s">
        <v>41</v>
      </c>
      <c r="U3271">
        <v>623.22</v>
      </c>
      <c r="V3271">
        <v>616.99</v>
      </c>
      <c r="W3271">
        <v>616.99</v>
      </c>
      <c r="X3271">
        <v>0</v>
      </c>
      <c r="Y3271">
        <v>0</v>
      </c>
      <c r="Z3271">
        <v>-488</v>
      </c>
      <c r="AA3271">
        <v>691251</v>
      </c>
      <c r="AD3271" t="s">
        <v>3228</v>
      </c>
      <c r="AE3271" t="s">
        <v>8811</v>
      </c>
      <c r="AF3271" t="s">
        <v>3228</v>
      </c>
      <c r="AG3271">
        <v>10250585001719</v>
      </c>
      <c r="AH3271" t="s">
        <v>44</v>
      </c>
    </row>
    <row r="3272" spans="1:34" x14ac:dyDescent="0.3">
      <c r="A3272">
        <v>101</v>
      </c>
      <c r="B3272" t="s">
        <v>34</v>
      </c>
      <c r="C3272">
        <v>2</v>
      </c>
      <c r="D3272" s="1" t="s">
        <v>8814</v>
      </c>
      <c r="E3272" s="1" t="s">
        <v>36</v>
      </c>
      <c r="G3272">
        <v>467295</v>
      </c>
      <c r="H3272" t="s">
        <v>8809</v>
      </c>
      <c r="I3272" t="s">
        <v>8756</v>
      </c>
      <c r="J3272">
        <v>15</v>
      </c>
      <c r="K3272">
        <v>999002158</v>
      </c>
      <c r="L3272">
        <v>50341</v>
      </c>
      <c r="M3272" t="s">
        <v>146</v>
      </c>
      <c r="N3272">
        <v>679</v>
      </c>
      <c r="O3272" s="2">
        <v>46235</v>
      </c>
      <c r="P3272" s="2">
        <v>46263</v>
      </c>
      <c r="R3272" t="s">
        <v>8815</v>
      </c>
      <c r="S3272" t="str">
        <f>"00013511"</f>
        <v>00013511</v>
      </c>
      <c r="T3272" t="s">
        <v>41</v>
      </c>
      <c r="U3272">
        <v>820.25</v>
      </c>
      <c r="V3272">
        <v>812.05</v>
      </c>
      <c r="W3272">
        <v>812.05</v>
      </c>
      <c r="X3272">
        <v>0</v>
      </c>
      <c r="Y3272">
        <v>0</v>
      </c>
      <c r="Z3272">
        <v>-488</v>
      </c>
      <c r="AA3272">
        <v>692381</v>
      </c>
      <c r="AD3272" t="s">
        <v>3228</v>
      </c>
      <c r="AE3272" t="s">
        <v>8811</v>
      </c>
      <c r="AF3272" t="s">
        <v>3228</v>
      </c>
      <c r="AG3272">
        <v>10250585001719</v>
      </c>
      <c r="AH3272" t="s">
        <v>44</v>
      </c>
    </row>
    <row r="3273" spans="1:34" x14ac:dyDescent="0.3">
      <c r="A3273">
        <v>101</v>
      </c>
      <c r="B3273" t="s">
        <v>34</v>
      </c>
      <c r="C3273">
        <v>2</v>
      </c>
      <c r="D3273" s="1" t="s">
        <v>8816</v>
      </c>
      <c r="E3273" s="1" t="s">
        <v>36</v>
      </c>
      <c r="G3273">
        <v>467295</v>
      </c>
      <c r="H3273" t="s">
        <v>8809</v>
      </c>
      <c r="I3273" t="s">
        <v>8756</v>
      </c>
      <c r="J3273">
        <v>15</v>
      </c>
      <c r="K3273">
        <v>999002158</v>
      </c>
      <c r="L3273">
        <v>50341</v>
      </c>
      <c r="M3273" t="s">
        <v>146</v>
      </c>
      <c r="N3273">
        <v>679</v>
      </c>
      <c r="O3273" s="2">
        <v>46235</v>
      </c>
      <c r="P3273" s="2">
        <v>46263</v>
      </c>
      <c r="R3273" t="s">
        <v>8817</v>
      </c>
      <c r="S3273" t="str">
        <f>"00013512"</f>
        <v>00013512</v>
      </c>
      <c r="T3273" t="s">
        <v>41</v>
      </c>
      <c r="U3273">
        <v>5259.86</v>
      </c>
      <c r="V3273">
        <v>5207.26</v>
      </c>
      <c r="W3273">
        <v>5207.26</v>
      </c>
      <c r="X3273">
        <v>0</v>
      </c>
      <c r="Y3273">
        <v>0</v>
      </c>
      <c r="Z3273">
        <v>-488</v>
      </c>
      <c r="AA3273">
        <v>694690</v>
      </c>
      <c r="AD3273" t="s">
        <v>3228</v>
      </c>
      <c r="AE3273" t="s">
        <v>8811</v>
      </c>
      <c r="AF3273" t="s">
        <v>3228</v>
      </c>
      <c r="AG3273">
        <v>10250585001719</v>
      </c>
      <c r="AH3273" t="s">
        <v>44</v>
      </c>
    </row>
    <row r="3274" spans="1:34" x14ac:dyDescent="0.3">
      <c r="A3274">
        <v>106</v>
      </c>
      <c r="B3274" t="s">
        <v>34</v>
      </c>
      <c r="C3274">
        <v>2</v>
      </c>
      <c r="D3274" s="1" t="s">
        <v>8818</v>
      </c>
      <c r="E3274" s="1" t="s">
        <v>36</v>
      </c>
      <c r="G3274">
        <v>467635</v>
      </c>
      <c r="H3274" t="s">
        <v>8819</v>
      </c>
      <c r="I3274" t="s">
        <v>8820</v>
      </c>
      <c r="J3274">
        <v>15</v>
      </c>
      <c r="K3274">
        <v>999002158</v>
      </c>
      <c r="L3274">
        <v>50341</v>
      </c>
      <c r="M3274" t="s">
        <v>146</v>
      </c>
      <c r="N3274">
        <v>679</v>
      </c>
      <c r="O3274" s="2">
        <v>46235</v>
      </c>
      <c r="P3274" s="2">
        <v>46263</v>
      </c>
      <c r="R3274" t="s">
        <v>8821</v>
      </c>
      <c r="S3274" t="str">
        <f>"00013576"</f>
        <v>00013576</v>
      </c>
      <c r="T3274" t="s">
        <v>41</v>
      </c>
      <c r="U3274">
        <v>2318.08</v>
      </c>
      <c r="V3274">
        <v>2294.9</v>
      </c>
      <c r="W3274">
        <v>2294.9</v>
      </c>
      <c r="X3274">
        <v>0</v>
      </c>
      <c r="Y3274">
        <v>0</v>
      </c>
      <c r="Z3274">
        <v>-488</v>
      </c>
      <c r="AA3274">
        <v>694718</v>
      </c>
      <c r="AD3274" t="s">
        <v>3301</v>
      </c>
      <c r="AE3274" t="s">
        <v>8720</v>
      </c>
      <c r="AF3274" t="s">
        <v>3301</v>
      </c>
      <c r="AG3274">
        <v>10250585001980</v>
      </c>
      <c r="AH3274" t="s">
        <v>44</v>
      </c>
    </row>
    <row r="3275" spans="1:34" x14ac:dyDescent="0.3">
      <c r="A3275">
        <v>106</v>
      </c>
      <c r="B3275" t="s">
        <v>34</v>
      </c>
      <c r="C3275">
        <v>2</v>
      </c>
      <c r="D3275" s="1" t="s">
        <v>8822</v>
      </c>
      <c r="E3275" s="1" t="s">
        <v>36</v>
      </c>
      <c r="G3275">
        <v>467636</v>
      </c>
      <c r="H3275" t="s">
        <v>8823</v>
      </c>
      <c r="I3275" t="s">
        <v>8764</v>
      </c>
      <c r="J3275">
        <v>15</v>
      </c>
      <c r="K3275">
        <v>999002158</v>
      </c>
      <c r="L3275">
        <v>50341</v>
      </c>
      <c r="M3275" t="s">
        <v>146</v>
      </c>
      <c r="N3275">
        <v>679</v>
      </c>
      <c r="O3275" s="2">
        <v>46235</v>
      </c>
      <c r="P3275" s="2">
        <v>46263</v>
      </c>
      <c r="R3275" t="s">
        <v>8824</v>
      </c>
      <c r="S3275" t="str">
        <f>"00013577"</f>
        <v>00013577</v>
      </c>
      <c r="T3275" t="s">
        <v>41</v>
      </c>
      <c r="U3275">
        <v>4130.71</v>
      </c>
      <c r="V3275">
        <v>4089.4</v>
      </c>
      <c r="W3275">
        <v>4089.4</v>
      </c>
      <c r="X3275">
        <v>0</v>
      </c>
      <c r="Y3275">
        <v>0</v>
      </c>
      <c r="Z3275">
        <v>-488</v>
      </c>
      <c r="AA3275">
        <v>694720</v>
      </c>
      <c r="AD3275" t="s">
        <v>3373</v>
      </c>
      <c r="AE3275" t="s">
        <v>8720</v>
      </c>
      <c r="AF3275" t="s">
        <v>3373</v>
      </c>
      <c r="AG3275">
        <v>10250585002014</v>
      </c>
      <c r="AH3275" t="s">
        <v>44</v>
      </c>
    </row>
    <row r="3276" spans="1:34" x14ac:dyDescent="0.3">
      <c r="A3276">
        <v>106</v>
      </c>
      <c r="B3276" t="s">
        <v>34</v>
      </c>
      <c r="C3276">
        <v>2</v>
      </c>
      <c r="D3276" s="1" t="s">
        <v>8825</v>
      </c>
      <c r="E3276" s="1" t="s">
        <v>36</v>
      </c>
      <c r="G3276">
        <v>467637</v>
      </c>
      <c r="H3276" t="s">
        <v>8826</v>
      </c>
      <c r="I3276" t="s">
        <v>8827</v>
      </c>
      <c r="J3276">
        <v>15</v>
      </c>
      <c r="K3276">
        <v>999002158</v>
      </c>
      <c r="L3276">
        <v>50341</v>
      </c>
      <c r="M3276" t="s">
        <v>146</v>
      </c>
      <c r="N3276">
        <v>679</v>
      </c>
      <c r="O3276" s="2">
        <v>46235</v>
      </c>
      <c r="P3276" s="2">
        <v>46263</v>
      </c>
      <c r="R3276" t="s">
        <v>8828</v>
      </c>
      <c r="S3276" t="str">
        <f>"00013578"</f>
        <v>00013578</v>
      </c>
      <c r="T3276" t="s">
        <v>41</v>
      </c>
      <c r="U3276">
        <v>2954.23</v>
      </c>
      <c r="V3276">
        <v>2924.69</v>
      </c>
      <c r="W3276">
        <v>2924.69</v>
      </c>
      <c r="X3276">
        <v>0</v>
      </c>
      <c r="Y3276">
        <v>0</v>
      </c>
      <c r="Z3276">
        <v>-488</v>
      </c>
      <c r="AA3276">
        <v>694722</v>
      </c>
      <c r="AD3276" t="s">
        <v>64</v>
      </c>
      <c r="AE3276" t="s">
        <v>8829</v>
      </c>
      <c r="AF3276" t="s">
        <v>64</v>
      </c>
      <c r="AG3276">
        <v>10250585001808</v>
      </c>
      <c r="AH3276" t="s">
        <v>44</v>
      </c>
    </row>
    <row r="3277" spans="1:34" x14ac:dyDescent="0.3">
      <c r="A3277">
        <v>106</v>
      </c>
      <c r="B3277" t="s">
        <v>34</v>
      </c>
      <c r="C3277">
        <v>2</v>
      </c>
      <c r="D3277" s="1" t="s">
        <v>8830</v>
      </c>
      <c r="E3277" s="1" t="s">
        <v>36</v>
      </c>
      <c r="G3277">
        <v>467873</v>
      </c>
      <c r="H3277" t="s">
        <v>8831</v>
      </c>
      <c r="I3277" t="s">
        <v>8764</v>
      </c>
      <c r="J3277">
        <v>15</v>
      </c>
      <c r="K3277">
        <v>999002158</v>
      </c>
      <c r="L3277">
        <v>50341</v>
      </c>
      <c r="M3277" t="s">
        <v>146</v>
      </c>
      <c r="N3277">
        <v>679</v>
      </c>
      <c r="O3277" s="2">
        <v>46235</v>
      </c>
      <c r="P3277" s="2">
        <v>46263</v>
      </c>
      <c r="R3277" t="s">
        <v>8832</v>
      </c>
      <c r="S3277" t="str">
        <f>"00013579"</f>
        <v>00013579</v>
      </c>
      <c r="T3277" t="s">
        <v>41</v>
      </c>
      <c r="U3277">
        <v>1295.57</v>
      </c>
      <c r="V3277">
        <v>1282.6099999999999</v>
      </c>
      <c r="W3277">
        <v>1282.6099999999999</v>
      </c>
      <c r="X3277">
        <v>0</v>
      </c>
      <c r="Y3277">
        <v>0</v>
      </c>
      <c r="Z3277">
        <v>-488</v>
      </c>
      <c r="AA3277">
        <v>694756</v>
      </c>
      <c r="AD3277" t="s">
        <v>8833</v>
      </c>
      <c r="AE3277" t="s">
        <v>8811</v>
      </c>
      <c r="AF3277" t="s">
        <v>8833</v>
      </c>
      <c r="AG3277">
        <v>10250585002286</v>
      </c>
      <c r="AH3277" t="s">
        <v>44</v>
      </c>
    </row>
    <row r="3278" spans="1:34" x14ac:dyDescent="0.3">
      <c r="A3278">
        <v>101</v>
      </c>
      <c r="B3278" t="s">
        <v>34</v>
      </c>
      <c r="C3278">
        <v>2</v>
      </c>
      <c r="D3278" s="1" t="s">
        <v>8834</v>
      </c>
      <c r="E3278" s="1" t="s">
        <v>36</v>
      </c>
      <c r="G3278">
        <v>467873</v>
      </c>
      <c r="H3278" t="s">
        <v>8831</v>
      </c>
      <c r="I3278" t="s">
        <v>8764</v>
      </c>
      <c r="J3278">
        <v>15</v>
      </c>
      <c r="K3278">
        <v>999002158</v>
      </c>
      <c r="L3278">
        <v>50341</v>
      </c>
      <c r="M3278" t="s">
        <v>146</v>
      </c>
      <c r="N3278">
        <v>679</v>
      </c>
      <c r="O3278" s="2">
        <v>46235</v>
      </c>
      <c r="P3278" s="2">
        <v>46263</v>
      </c>
      <c r="R3278" t="s">
        <v>8835</v>
      </c>
      <c r="S3278" t="str">
        <f>"00013517"</f>
        <v>00013517</v>
      </c>
      <c r="T3278" t="s">
        <v>41</v>
      </c>
      <c r="U3278">
        <v>3278.84</v>
      </c>
      <c r="V3278">
        <v>3246.05</v>
      </c>
      <c r="W3278">
        <v>3246.05</v>
      </c>
      <c r="X3278">
        <v>0</v>
      </c>
      <c r="Y3278">
        <v>0</v>
      </c>
      <c r="Z3278">
        <v>-488</v>
      </c>
      <c r="AA3278">
        <v>694692</v>
      </c>
      <c r="AD3278" t="s">
        <v>8833</v>
      </c>
      <c r="AE3278" t="s">
        <v>8811</v>
      </c>
      <c r="AF3278" t="s">
        <v>8833</v>
      </c>
      <c r="AG3278">
        <v>10250585002286</v>
      </c>
      <c r="AH3278" t="s">
        <v>44</v>
      </c>
    </row>
    <row r="3279" spans="1:34" x14ac:dyDescent="0.3">
      <c r="A3279">
        <v>101</v>
      </c>
      <c r="B3279" t="s">
        <v>34</v>
      </c>
      <c r="C3279">
        <v>2</v>
      </c>
      <c r="D3279" s="1" t="s">
        <v>8836</v>
      </c>
      <c r="E3279" s="1" t="s">
        <v>36</v>
      </c>
      <c r="G3279">
        <v>467873</v>
      </c>
      <c r="H3279" t="s">
        <v>8831</v>
      </c>
      <c r="I3279" t="s">
        <v>8764</v>
      </c>
      <c r="J3279">
        <v>15</v>
      </c>
      <c r="K3279">
        <v>999002158</v>
      </c>
      <c r="L3279">
        <v>50341</v>
      </c>
      <c r="M3279" t="s">
        <v>146</v>
      </c>
      <c r="N3279">
        <v>679</v>
      </c>
      <c r="O3279" s="2">
        <v>46235</v>
      </c>
      <c r="P3279" s="2">
        <v>46263</v>
      </c>
      <c r="R3279" t="s">
        <v>8837</v>
      </c>
      <c r="S3279" t="str">
        <f>"00013516"</f>
        <v>00013516</v>
      </c>
      <c r="T3279" t="s">
        <v>41</v>
      </c>
      <c r="U3279">
        <v>711.25</v>
      </c>
      <c r="V3279">
        <v>704.14</v>
      </c>
      <c r="W3279">
        <v>704.14</v>
      </c>
      <c r="X3279">
        <v>0</v>
      </c>
      <c r="Y3279">
        <v>0</v>
      </c>
      <c r="Z3279">
        <v>-488</v>
      </c>
      <c r="AA3279">
        <v>692383</v>
      </c>
      <c r="AD3279" t="s">
        <v>8833</v>
      </c>
      <c r="AE3279" t="s">
        <v>8811</v>
      </c>
      <c r="AF3279" t="s">
        <v>8833</v>
      </c>
      <c r="AG3279">
        <v>10250585002286</v>
      </c>
      <c r="AH3279" t="s">
        <v>44</v>
      </c>
    </row>
    <row r="3280" spans="1:34" x14ac:dyDescent="0.3">
      <c r="A3280">
        <v>101</v>
      </c>
      <c r="B3280" t="s">
        <v>34</v>
      </c>
      <c r="C3280">
        <v>2</v>
      </c>
      <c r="D3280" s="1" t="s">
        <v>8838</v>
      </c>
      <c r="E3280" s="1" t="s">
        <v>36</v>
      </c>
      <c r="G3280">
        <v>468054</v>
      </c>
      <c r="H3280" t="s">
        <v>8839</v>
      </c>
      <c r="I3280" t="s">
        <v>8756</v>
      </c>
      <c r="J3280">
        <v>15</v>
      </c>
      <c r="K3280">
        <v>999002158</v>
      </c>
      <c r="L3280">
        <v>50341</v>
      </c>
      <c r="M3280" t="s">
        <v>146</v>
      </c>
      <c r="N3280">
        <v>679</v>
      </c>
      <c r="O3280" s="2">
        <v>46235</v>
      </c>
      <c r="P3280" s="2">
        <v>46263</v>
      </c>
      <c r="R3280" t="s">
        <v>8840</v>
      </c>
      <c r="S3280" t="str">
        <f>"00013518"</f>
        <v>00013518</v>
      </c>
      <c r="T3280" t="s">
        <v>41</v>
      </c>
      <c r="U3280">
        <v>8174.6</v>
      </c>
      <c r="V3280">
        <v>8092.85</v>
      </c>
      <c r="W3280">
        <v>8092.85</v>
      </c>
      <c r="X3280">
        <v>0</v>
      </c>
      <c r="Y3280">
        <v>0</v>
      </c>
      <c r="Z3280">
        <v>-488</v>
      </c>
      <c r="AA3280">
        <v>694684</v>
      </c>
      <c r="AD3280" t="s">
        <v>8833</v>
      </c>
      <c r="AE3280" t="s">
        <v>8811</v>
      </c>
      <c r="AF3280" t="s">
        <v>8833</v>
      </c>
      <c r="AG3280">
        <v>10250585001476</v>
      </c>
      <c r="AH3280" t="s">
        <v>44</v>
      </c>
    </row>
    <row r="3281" spans="1:34" x14ac:dyDescent="0.3">
      <c r="A3281">
        <v>106</v>
      </c>
      <c r="B3281" t="s">
        <v>34</v>
      </c>
      <c r="C3281">
        <v>2</v>
      </c>
      <c r="D3281" s="1" t="s">
        <v>8841</v>
      </c>
      <c r="E3281" s="1" t="s">
        <v>36</v>
      </c>
      <c r="G3281">
        <v>468054</v>
      </c>
      <c r="H3281" t="s">
        <v>8839</v>
      </c>
      <c r="I3281" t="s">
        <v>8756</v>
      </c>
      <c r="J3281">
        <v>15</v>
      </c>
      <c r="K3281">
        <v>999002158</v>
      </c>
      <c r="L3281">
        <v>50341</v>
      </c>
      <c r="M3281" t="s">
        <v>146</v>
      </c>
      <c r="N3281">
        <v>679</v>
      </c>
      <c r="O3281" s="2">
        <v>46235</v>
      </c>
      <c r="P3281" s="2">
        <v>46263</v>
      </c>
      <c r="R3281" t="s">
        <v>8842</v>
      </c>
      <c r="S3281" t="str">
        <f>"00013580"</f>
        <v>00013580</v>
      </c>
      <c r="T3281" t="s">
        <v>41</v>
      </c>
      <c r="U3281">
        <v>4368.92</v>
      </c>
      <c r="V3281">
        <v>4325.2299999999996</v>
      </c>
      <c r="W3281">
        <v>4325.2299999999996</v>
      </c>
      <c r="X3281">
        <v>0</v>
      </c>
      <c r="Y3281">
        <v>0</v>
      </c>
      <c r="Z3281">
        <v>-488</v>
      </c>
      <c r="AA3281">
        <v>694748</v>
      </c>
      <c r="AD3281" t="s">
        <v>8833</v>
      </c>
      <c r="AE3281" t="s">
        <v>8811</v>
      </c>
      <c r="AF3281" t="s">
        <v>8833</v>
      </c>
      <c r="AG3281">
        <v>10250585001476</v>
      </c>
      <c r="AH3281" t="s">
        <v>44</v>
      </c>
    </row>
    <row r="3282" spans="1:34" x14ac:dyDescent="0.3">
      <c r="A3282">
        <v>101</v>
      </c>
      <c r="B3282" t="s">
        <v>34</v>
      </c>
      <c r="C3282">
        <v>2</v>
      </c>
      <c r="D3282" s="1" t="s">
        <v>8843</v>
      </c>
      <c r="E3282" s="1" t="s">
        <v>36</v>
      </c>
      <c r="G3282">
        <v>468802</v>
      </c>
      <c r="H3282" t="s">
        <v>8844</v>
      </c>
      <c r="I3282" t="s">
        <v>8730</v>
      </c>
      <c r="J3282">
        <v>15</v>
      </c>
      <c r="K3282">
        <v>10032</v>
      </c>
      <c r="L3282">
        <v>95000</v>
      </c>
      <c r="M3282" t="s">
        <v>69</v>
      </c>
      <c r="N3282">
        <v>679</v>
      </c>
      <c r="O3282" s="2">
        <v>46203</v>
      </c>
      <c r="P3282" s="2">
        <v>46320</v>
      </c>
      <c r="R3282" t="s">
        <v>8845</v>
      </c>
      <c r="S3282" t="str">
        <f>""</f>
        <v/>
      </c>
      <c r="T3282" t="s">
        <v>41</v>
      </c>
      <c r="U3282">
        <v>2298.19</v>
      </c>
      <c r="V3282">
        <v>2298.19</v>
      </c>
      <c r="W3282">
        <v>2298.19</v>
      </c>
      <c r="X3282">
        <v>0</v>
      </c>
      <c r="Y3282">
        <v>0</v>
      </c>
      <c r="Z3282">
        <v>-545</v>
      </c>
      <c r="AA3282">
        <v>693552</v>
      </c>
      <c r="AD3282" t="s">
        <v>8846</v>
      </c>
      <c r="AE3282" t="s">
        <v>8847</v>
      </c>
      <c r="AF3282" t="s">
        <v>8846</v>
      </c>
      <c r="AG3282" s="1" t="s">
        <v>8848</v>
      </c>
      <c r="AH3282" t="s">
        <v>44</v>
      </c>
    </row>
    <row r="3283" spans="1:34" x14ac:dyDescent="0.3">
      <c r="A3283">
        <v>101</v>
      </c>
      <c r="B3283" t="s">
        <v>34</v>
      </c>
      <c r="C3283">
        <v>2</v>
      </c>
      <c r="D3283" s="1" t="s">
        <v>8849</v>
      </c>
      <c r="E3283" s="1" t="s">
        <v>36</v>
      </c>
      <c r="G3283">
        <v>468802</v>
      </c>
      <c r="H3283" t="s">
        <v>8844</v>
      </c>
      <c r="I3283" t="s">
        <v>8730</v>
      </c>
      <c r="J3283">
        <v>15</v>
      </c>
      <c r="K3283">
        <v>10032</v>
      </c>
      <c r="L3283">
        <v>95000</v>
      </c>
      <c r="M3283" t="s">
        <v>69</v>
      </c>
      <c r="N3283">
        <v>679</v>
      </c>
      <c r="O3283" s="2">
        <v>46234</v>
      </c>
      <c r="P3283" s="2">
        <v>46324</v>
      </c>
      <c r="R3283" t="s">
        <v>8850</v>
      </c>
      <c r="S3283" t="str">
        <f>""</f>
        <v/>
      </c>
      <c r="T3283" t="s">
        <v>41</v>
      </c>
      <c r="U3283">
        <v>5258.56</v>
      </c>
      <c r="V3283">
        <v>5258.56</v>
      </c>
      <c r="W3283">
        <v>5258.56</v>
      </c>
      <c r="X3283">
        <v>0</v>
      </c>
      <c r="Y3283">
        <v>0</v>
      </c>
      <c r="Z3283">
        <v>-549</v>
      </c>
      <c r="AA3283">
        <v>695165</v>
      </c>
      <c r="AD3283" t="s">
        <v>8846</v>
      </c>
      <c r="AE3283" t="s">
        <v>8847</v>
      </c>
      <c r="AF3283" t="s">
        <v>8846</v>
      </c>
      <c r="AG3283" s="1" t="s">
        <v>8848</v>
      </c>
      <c r="AH3283" t="s">
        <v>44</v>
      </c>
    </row>
    <row r="3284" spans="1:34" x14ac:dyDescent="0.3">
      <c r="A3284">
        <v>101</v>
      </c>
      <c r="B3284" t="s">
        <v>34</v>
      </c>
      <c r="C3284">
        <v>2</v>
      </c>
      <c r="D3284" s="1" t="s">
        <v>8851</v>
      </c>
      <c r="E3284" s="1" t="s">
        <v>36</v>
      </c>
      <c r="G3284">
        <v>468802</v>
      </c>
      <c r="H3284" t="s">
        <v>8844</v>
      </c>
      <c r="I3284" t="s">
        <v>8730</v>
      </c>
      <c r="J3284">
        <v>15</v>
      </c>
      <c r="K3284">
        <v>10032</v>
      </c>
      <c r="L3284">
        <v>10001</v>
      </c>
      <c r="M3284" t="s">
        <v>3135</v>
      </c>
      <c r="N3284">
        <v>679</v>
      </c>
      <c r="O3284" s="2">
        <v>46172</v>
      </c>
      <c r="P3284" s="2">
        <v>46280</v>
      </c>
      <c r="R3284" t="s">
        <v>8852</v>
      </c>
      <c r="S3284" t="str">
        <f>"1219"</f>
        <v>1219</v>
      </c>
      <c r="T3284" t="s">
        <v>41</v>
      </c>
      <c r="U3284">
        <v>5460.13</v>
      </c>
      <c r="V3284">
        <v>5460.13</v>
      </c>
      <c r="W3284">
        <v>5460.13</v>
      </c>
      <c r="X3284">
        <v>0</v>
      </c>
      <c r="Y3284">
        <v>0</v>
      </c>
      <c r="Z3284">
        <v>-505</v>
      </c>
      <c r="AA3284">
        <v>690028</v>
      </c>
      <c r="AD3284" t="s">
        <v>8846</v>
      </c>
      <c r="AE3284" t="s">
        <v>8847</v>
      </c>
      <c r="AF3284" t="s">
        <v>8846</v>
      </c>
      <c r="AG3284" s="1" t="s">
        <v>8848</v>
      </c>
      <c r="AH3284" t="s">
        <v>44</v>
      </c>
    </row>
    <row r="3285" spans="1:34" x14ac:dyDescent="0.3">
      <c r="A3285">
        <v>101</v>
      </c>
      <c r="B3285" t="s">
        <v>34</v>
      </c>
      <c r="C3285">
        <v>2</v>
      </c>
      <c r="D3285" s="1" t="s">
        <v>8853</v>
      </c>
      <c r="E3285" s="1" t="s">
        <v>36</v>
      </c>
      <c r="G3285">
        <v>468833</v>
      </c>
      <c r="H3285" t="s">
        <v>8854</v>
      </c>
      <c r="I3285" t="s">
        <v>8855</v>
      </c>
      <c r="J3285">
        <v>15</v>
      </c>
      <c r="K3285">
        <v>10032</v>
      </c>
      <c r="L3285">
        <v>95000</v>
      </c>
      <c r="M3285" t="s">
        <v>69</v>
      </c>
      <c r="N3285">
        <v>679</v>
      </c>
      <c r="O3285" s="2">
        <v>46234</v>
      </c>
      <c r="P3285" s="2">
        <v>46324</v>
      </c>
      <c r="R3285" t="s">
        <v>8856</v>
      </c>
      <c r="S3285" t="str">
        <f>""</f>
        <v/>
      </c>
      <c r="T3285" t="s">
        <v>41</v>
      </c>
      <c r="U3285">
        <v>6498.99</v>
      </c>
      <c r="V3285">
        <v>6498.99</v>
      </c>
      <c r="W3285">
        <v>6498.99</v>
      </c>
      <c r="X3285">
        <v>0</v>
      </c>
      <c r="Y3285">
        <v>0</v>
      </c>
      <c r="Z3285">
        <v>-549</v>
      </c>
      <c r="AA3285">
        <v>695161</v>
      </c>
      <c r="AD3285" t="s">
        <v>8857</v>
      </c>
      <c r="AE3285" t="s">
        <v>8858</v>
      </c>
      <c r="AF3285" t="s">
        <v>8857</v>
      </c>
      <c r="AG3285" s="1" t="s">
        <v>8859</v>
      </c>
      <c r="AH3285" t="s">
        <v>44</v>
      </c>
    </row>
    <row r="3286" spans="1:34" x14ac:dyDescent="0.3">
      <c r="A3286">
        <v>101</v>
      </c>
      <c r="B3286" t="s">
        <v>34</v>
      </c>
      <c r="C3286">
        <v>2</v>
      </c>
      <c r="D3286" s="1" t="s">
        <v>8860</v>
      </c>
      <c r="E3286" s="1" t="s">
        <v>36</v>
      </c>
      <c r="G3286">
        <v>468833</v>
      </c>
      <c r="H3286" t="s">
        <v>8854</v>
      </c>
      <c r="I3286" t="s">
        <v>8855</v>
      </c>
      <c r="J3286">
        <v>15</v>
      </c>
      <c r="K3286">
        <v>10032</v>
      </c>
      <c r="L3286">
        <v>10001</v>
      </c>
      <c r="M3286" t="s">
        <v>3135</v>
      </c>
      <c r="N3286">
        <v>679</v>
      </c>
      <c r="O3286" s="2">
        <v>46172</v>
      </c>
      <c r="P3286" s="2">
        <v>46280</v>
      </c>
      <c r="R3286" t="s">
        <v>8861</v>
      </c>
      <c r="S3286" t="str">
        <f>"1219"</f>
        <v>1219</v>
      </c>
      <c r="T3286" t="s">
        <v>41</v>
      </c>
      <c r="U3286">
        <v>6197.82</v>
      </c>
      <c r="V3286">
        <v>6197.82</v>
      </c>
      <c r="W3286">
        <v>6197.82</v>
      </c>
      <c r="X3286">
        <v>0</v>
      </c>
      <c r="Y3286">
        <v>0</v>
      </c>
      <c r="Z3286">
        <v>-505</v>
      </c>
      <c r="AA3286">
        <v>690024</v>
      </c>
      <c r="AD3286" t="s">
        <v>8857</v>
      </c>
      <c r="AE3286" t="s">
        <v>8858</v>
      </c>
      <c r="AF3286" t="s">
        <v>8857</v>
      </c>
      <c r="AG3286" s="1" t="s">
        <v>8859</v>
      </c>
      <c r="AH3286" t="s">
        <v>44</v>
      </c>
    </row>
    <row r="3287" spans="1:34" x14ac:dyDescent="0.3">
      <c r="A3287">
        <v>101</v>
      </c>
      <c r="B3287" t="s">
        <v>34</v>
      </c>
      <c r="C3287">
        <v>2</v>
      </c>
      <c r="D3287" s="1" t="s">
        <v>8862</v>
      </c>
      <c r="E3287" s="1" t="s">
        <v>36</v>
      </c>
      <c r="G3287">
        <v>468833</v>
      </c>
      <c r="H3287" t="s">
        <v>8854</v>
      </c>
      <c r="I3287" t="s">
        <v>8855</v>
      </c>
      <c r="J3287">
        <v>15</v>
      </c>
      <c r="K3287">
        <v>10032</v>
      </c>
      <c r="L3287">
        <v>95000</v>
      </c>
      <c r="M3287" t="s">
        <v>69</v>
      </c>
      <c r="N3287">
        <v>679</v>
      </c>
      <c r="O3287" s="2">
        <v>46203</v>
      </c>
      <c r="P3287" s="2">
        <v>46320</v>
      </c>
      <c r="R3287" t="s">
        <v>8863</v>
      </c>
      <c r="S3287" t="str">
        <f>""</f>
        <v/>
      </c>
      <c r="T3287" t="s">
        <v>41</v>
      </c>
      <c r="U3287">
        <v>2136.0100000000002</v>
      </c>
      <c r="V3287">
        <v>2136.0100000000002</v>
      </c>
      <c r="W3287">
        <v>2136.0100000000002</v>
      </c>
      <c r="X3287">
        <v>0</v>
      </c>
      <c r="Y3287">
        <v>0</v>
      </c>
      <c r="Z3287">
        <v>-545</v>
      </c>
      <c r="AA3287">
        <v>693548</v>
      </c>
      <c r="AD3287" t="s">
        <v>8857</v>
      </c>
      <c r="AE3287" t="s">
        <v>8858</v>
      </c>
      <c r="AF3287" t="s">
        <v>8857</v>
      </c>
      <c r="AG3287" s="1" t="s">
        <v>8859</v>
      </c>
      <c r="AH3287" t="s">
        <v>44</v>
      </c>
    </row>
    <row r="3288" spans="1:34" x14ac:dyDescent="0.3">
      <c r="A3288">
        <v>101</v>
      </c>
      <c r="B3288" t="s">
        <v>34</v>
      </c>
      <c r="C3288">
        <v>2</v>
      </c>
      <c r="D3288" s="1" t="s">
        <v>8864</v>
      </c>
      <c r="E3288" s="1" t="s">
        <v>36</v>
      </c>
      <c r="G3288">
        <v>468833</v>
      </c>
      <c r="H3288" t="s">
        <v>8854</v>
      </c>
      <c r="I3288" t="s">
        <v>8855</v>
      </c>
      <c r="J3288">
        <v>15</v>
      </c>
      <c r="K3288">
        <v>10032</v>
      </c>
      <c r="L3288">
        <v>10001</v>
      </c>
      <c r="M3288" t="s">
        <v>3135</v>
      </c>
      <c r="N3288">
        <v>679</v>
      </c>
      <c r="O3288" s="2">
        <v>46162</v>
      </c>
      <c r="P3288" s="2">
        <v>46273</v>
      </c>
      <c r="R3288" t="s">
        <v>8865</v>
      </c>
      <c r="S3288" t="str">
        <f>"1219"</f>
        <v>1219</v>
      </c>
      <c r="T3288" t="s">
        <v>41</v>
      </c>
      <c r="U3288">
        <v>3800.82</v>
      </c>
      <c r="V3288">
        <v>3800.82</v>
      </c>
      <c r="W3288">
        <v>3800.82</v>
      </c>
      <c r="X3288">
        <v>0</v>
      </c>
      <c r="Y3288">
        <v>0</v>
      </c>
      <c r="Z3288">
        <v>-498</v>
      </c>
      <c r="AA3288">
        <v>687740</v>
      </c>
      <c r="AD3288" t="s">
        <v>8857</v>
      </c>
      <c r="AE3288" t="s">
        <v>8858</v>
      </c>
      <c r="AF3288" t="s">
        <v>8857</v>
      </c>
      <c r="AG3288" s="1" t="s">
        <v>8859</v>
      </c>
      <c r="AH3288" t="s">
        <v>44</v>
      </c>
    </row>
    <row r="3289" spans="1:34" x14ac:dyDescent="0.3">
      <c r="A3289">
        <v>101</v>
      </c>
      <c r="B3289" t="s">
        <v>34</v>
      </c>
      <c r="C3289">
        <v>2</v>
      </c>
      <c r="D3289" s="1" t="s">
        <v>8866</v>
      </c>
      <c r="E3289" s="1" t="s">
        <v>36</v>
      </c>
      <c r="G3289">
        <v>468834</v>
      </c>
      <c r="H3289" t="s">
        <v>8867</v>
      </c>
      <c r="I3289" t="s">
        <v>8730</v>
      </c>
      <c r="J3289">
        <v>15</v>
      </c>
      <c r="K3289">
        <v>10032</v>
      </c>
      <c r="L3289">
        <v>95000</v>
      </c>
      <c r="M3289" t="s">
        <v>69</v>
      </c>
      <c r="N3289">
        <v>679</v>
      </c>
      <c r="O3289" s="2">
        <v>46203</v>
      </c>
      <c r="P3289" s="2">
        <v>46320</v>
      </c>
      <c r="R3289" t="s">
        <v>8868</v>
      </c>
      <c r="S3289" t="str">
        <f>""</f>
        <v/>
      </c>
      <c r="T3289" t="s">
        <v>41</v>
      </c>
      <c r="U3289">
        <v>2747.88</v>
      </c>
      <c r="V3289">
        <v>2747.88</v>
      </c>
      <c r="W3289">
        <v>2747.88</v>
      </c>
      <c r="X3289">
        <v>0</v>
      </c>
      <c r="Y3289">
        <v>0</v>
      </c>
      <c r="Z3289">
        <v>-545</v>
      </c>
      <c r="AA3289">
        <v>693560</v>
      </c>
      <c r="AD3289" t="s">
        <v>2301</v>
      </c>
      <c r="AE3289" t="s">
        <v>8869</v>
      </c>
      <c r="AF3289" t="s">
        <v>2301</v>
      </c>
      <c r="AG3289" s="1" t="s">
        <v>8870</v>
      </c>
      <c r="AH3289" t="s">
        <v>44</v>
      </c>
    </row>
    <row r="3290" spans="1:34" x14ac:dyDescent="0.3">
      <c r="A3290">
        <v>101</v>
      </c>
      <c r="B3290" t="s">
        <v>34</v>
      </c>
      <c r="C3290">
        <v>2</v>
      </c>
      <c r="D3290" s="1" t="s">
        <v>8871</v>
      </c>
      <c r="E3290" s="1" t="s">
        <v>36</v>
      </c>
      <c r="G3290">
        <v>468834</v>
      </c>
      <c r="H3290" t="s">
        <v>8867</v>
      </c>
      <c r="I3290" t="s">
        <v>8730</v>
      </c>
      <c r="J3290">
        <v>15</v>
      </c>
      <c r="K3290">
        <v>10032</v>
      </c>
      <c r="L3290">
        <v>10001</v>
      </c>
      <c r="M3290" t="s">
        <v>3135</v>
      </c>
      <c r="N3290">
        <v>679</v>
      </c>
      <c r="O3290" s="2">
        <v>46162</v>
      </c>
      <c r="P3290" s="2">
        <v>46280</v>
      </c>
      <c r="R3290" t="s">
        <v>8872</v>
      </c>
      <c r="S3290" t="str">
        <f>"1219"</f>
        <v>1219</v>
      </c>
      <c r="T3290" t="s">
        <v>41</v>
      </c>
      <c r="U3290">
        <v>8380.2099999999991</v>
      </c>
      <c r="V3290">
        <v>8380.2099999999991</v>
      </c>
      <c r="W3290">
        <v>8380.2099999999991</v>
      </c>
      <c r="X3290">
        <v>0</v>
      </c>
      <c r="Y3290">
        <v>0</v>
      </c>
      <c r="Z3290">
        <v>-505</v>
      </c>
      <c r="AA3290">
        <v>687748</v>
      </c>
      <c r="AD3290" t="s">
        <v>2301</v>
      </c>
      <c r="AE3290" t="s">
        <v>8869</v>
      </c>
      <c r="AF3290" t="s">
        <v>2301</v>
      </c>
      <c r="AG3290" s="1" t="s">
        <v>8870</v>
      </c>
      <c r="AH3290" t="s">
        <v>44</v>
      </c>
    </row>
    <row r="3291" spans="1:34" x14ac:dyDescent="0.3">
      <c r="A3291">
        <v>101</v>
      </c>
      <c r="B3291" t="s">
        <v>34</v>
      </c>
      <c r="C3291">
        <v>2</v>
      </c>
      <c r="D3291" s="1" t="s">
        <v>8873</v>
      </c>
      <c r="E3291" s="1" t="s">
        <v>36</v>
      </c>
      <c r="G3291">
        <v>468834</v>
      </c>
      <c r="H3291" t="s">
        <v>8867</v>
      </c>
      <c r="I3291" t="s">
        <v>8730</v>
      </c>
      <c r="J3291">
        <v>15</v>
      </c>
      <c r="K3291">
        <v>10032</v>
      </c>
      <c r="L3291">
        <v>10001</v>
      </c>
      <c r="M3291" t="s">
        <v>3135</v>
      </c>
      <c r="N3291">
        <v>679</v>
      </c>
      <c r="O3291" s="2">
        <v>46172</v>
      </c>
      <c r="P3291" s="2">
        <v>46280</v>
      </c>
      <c r="R3291" t="s">
        <v>8874</v>
      </c>
      <c r="S3291" t="str">
        <f>"1219"</f>
        <v>1219</v>
      </c>
      <c r="T3291" t="s">
        <v>41</v>
      </c>
      <c r="U3291">
        <v>5152.62</v>
      </c>
      <c r="V3291">
        <v>5152.62</v>
      </c>
      <c r="W3291">
        <v>5152.62</v>
      </c>
      <c r="X3291">
        <v>0</v>
      </c>
      <c r="Y3291">
        <v>0</v>
      </c>
      <c r="Z3291">
        <v>-505</v>
      </c>
      <c r="AA3291">
        <v>690037</v>
      </c>
      <c r="AD3291" t="s">
        <v>2301</v>
      </c>
      <c r="AE3291" t="s">
        <v>8869</v>
      </c>
      <c r="AF3291" t="s">
        <v>2301</v>
      </c>
      <c r="AG3291" s="1" t="s">
        <v>8870</v>
      </c>
      <c r="AH3291" t="s">
        <v>44</v>
      </c>
    </row>
    <row r="3292" spans="1:34" x14ac:dyDescent="0.3">
      <c r="A3292">
        <v>101</v>
      </c>
      <c r="B3292" t="s">
        <v>34</v>
      </c>
      <c r="C3292">
        <v>2</v>
      </c>
      <c r="D3292" s="1" t="s">
        <v>8875</v>
      </c>
      <c r="E3292" s="1" t="s">
        <v>36</v>
      </c>
      <c r="G3292">
        <v>468834</v>
      </c>
      <c r="H3292" t="s">
        <v>8867</v>
      </c>
      <c r="I3292" t="s">
        <v>8730</v>
      </c>
      <c r="J3292">
        <v>15</v>
      </c>
      <c r="K3292">
        <v>10032</v>
      </c>
      <c r="L3292">
        <v>95000</v>
      </c>
      <c r="M3292" t="s">
        <v>69</v>
      </c>
      <c r="N3292">
        <v>679</v>
      </c>
      <c r="O3292" s="2">
        <v>46234</v>
      </c>
      <c r="P3292" s="2">
        <v>46324</v>
      </c>
      <c r="R3292" t="s">
        <v>8876</v>
      </c>
      <c r="S3292" t="str">
        <f>""</f>
        <v/>
      </c>
      <c r="T3292" t="s">
        <v>41</v>
      </c>
      <c r="U3292">
        <v>5164.1000000000004</v>
      </c>
      <c r="V3292">
        <v>5164.1000000000004</v>
      </c>
      <c r="W3292">
        <v>5164.1000000000004</v>
      </c>
      <c r="X3292">
        <v>0</v>
      </c>
      <c r="Y3292">
        <v>0</v>
      </c>
      <c r="Z3292">
        <v>-549</v>
      </c>
      <c r="AA3292">
        <v>695173</v>
      </c>
      <c r="AD3292" t="s">
        <v>2301</v>
      </c>
      <c r="AE3292" t="s">
        <v>8869</v>
      </c>
      <c r="AF3292" t="s">
        <v>2301</v>
      </c>
      <c r="AG3292" s="1" t="s">
        <v>8870</v>
      </c>
      <c r="AH3292" t="s">
        <v>44</v>
      </c>
    </row>
    <row r="3293" spans="1:34" x14ac:dyDescent="0.3">
      <c r="A3293">
        <v>101</v>
      </c>
      <c r="B3293" t="s">
        <v>34</v>
      </c>
      <c r="C3293">
        <v>2</v>
      </c>
      <c r="D3293" s="1" t="s">
        <v>8877</v>
      </c>
      <c r="E3293" s="1" t="s">
        <v>36</v>
      </c>
      <c r="G3293">
        <v>468838</v>
      </c>
      <c r="H3293" t="s">
        <v>8878</v>
      </c>
      <c r="I3293" t="s">
        <v>8855</v>
      </c>
      <c r="J3293">
        <v>15</v>
      </c>
      <c r="K3293">
        <v>10032</v>
      </c>
      <c r="L3293">
        <v>10001</v>
      </c>
      <c r="M3293" t="s">
        <v>3135</v>
      </c>
      <c r="N3293">
        <v>679</v>
      </c>
      <c r="O3293" s="2">
        <v>46172</v>
      </c>
      <c r="P3293" s="2">
        <v>46280</v>
      </c>
      <c r="R3293" t="s">
        <v>8879</v>
      </c>
      <c r="S3293" t="str">
        <f>"1219"</f>
        <v>1219</v>
      </c>
      <c r="T3293" t="s">
        <v>41</v>
      </c>
      <c r="U3293">
        <v>4106.34</v>
      </c>
      <c r="V3293">
        <v>4106.34</v>
      </c>
      <c r="W3293">
        <v>4106.34</v>
      </c>
      <c r="X3293">
        <v>0</v>
      </c>
      <c r="Y3293">
        <v>0</v>
      </c>
      <c r="Z3293">
        <v>-505</v>
      </c>
      <c r="AA3293">
        <v>690042</v>
      </c>
      <c r="AD3293" t="s">
        <v>133</v>
      </c>
      <c r="AE3293" t="s">
        <v>8880</v>
      </c>
      <c r="AF3293" t="s">
        <v>133</v>
      </c>
      <c r="AG3293" s="1" t="s">
        <v>8881</v>
      </c>
      <c r="AH3293" t="s">
        <v>44</v>
      </c>
    </row>
    <row r="3294" spans="1:34" x14ac:dyDescent="0.3">
      <c r="A3294">
        <v>101</v>
      </c>
      <c r="B3294" t="s">
        <v>34</v>
      </c>
      <c r="C3294">
        <v>2</v>
      </c>
      <c r="D3294" s="1" t="s">
        <v>8882</v>
      </c>
      <c r="E3294" s="1" t="s">
        <v>36</v>
      </c>
      <c r="G3294">
        <v>468838</v>
      </c>
      <c r="H3294" t="s">
        <v>8878</v>
      </c>
      <c r="I3294" t="s">
        <v>8855</v>
      </c>
      <c r="J3294">
        <v>15</v>
      </c>
      <c r="K3294">
        <v>10032</v>
      </c>
      <c r="L3294">
        <v>95000</v>
      </c>
      <c r="M3294" t="s">
        <v>69</v>
      </c>
      <c r="N3294">
        <v>679</v>
      </c>
      <c r="O3294" s="2">
        <v>46234</v>
      </c>
      <c r="P3294" s="2">
        <v>46324</v>
      </c>
      <c r="R3294" t="s">
        <v>8883</v>
      </c>
      <c r="S3294" t="str">
        <f>""</f>
        <v/>
      </c>
      <c r="T3294" t="s">
        <v>41</v>
      </c>
      <c r="U3294">
        <v>6597.58</v>
      </c>
      <c r="V3294">
        <v>6597.58</v>
      </c>
      <c r="W3294">
        <v>6597.58</v>
      </c>
      <c r="X3294">
        <v>0</v>
      </c>
      <c r="Y3294">
        <v>0</v>
      </c>
      <c r="Z3294">
        <v>-549</v>
      </c>
      <c r="AA3294">
        <v>695177</v>
      </c>
      <c r="AD3294" t="s">
        <v>133</v>
      </c>
      <c r="AE3294" t="s">
        <v>8880</v>
      </c>
      <c r="AF3294" t="s">
        <v>133</v>
      </c>
      <c r="AG3294" s="1" t="s">
        <v>8881</v>
      </c>
      <c r="AH3294" t="s">
        <v>44</v>
      </c>
    </row>
    <row r="3295" spans="1:34" x14ac:dyDescent="0.3">
      <c r="A3295">
        <v>101</v>
      </c>
      <c r="B3295" t="s">
        <v>34</v>
      </c>
      <c r="C3295">
        <v>2</v>
      </c>
      <c r="D3295" s="1" t="s">
        <v>8884</v>
      </c>
      <c r="E3295" s="1" t="s">
        <v>36</v>
      </c>
      <c r="G3295">
        <v>468838</v>
      </c>
      <c r="H3295" t="s">
        <v>8878</v>
      </c>
      <c r="I3295" t="s">
        <v>8855</v>
      </c>
      <c r="J3295">
        <v>15</v>
      </c>
      <c r="K3295">
        <v>10032</v>
      </c>
      <c r="L3295">
        <v>10001</v>
      </c>
      <c r="M3295" t="s">
        <v>3135</v>
      </c>
      <c r="N3295">
        <v>679</v>
      </c>
      <c r="O3295" s="2">
        <v>46162</v>
      </c>
      <c r="P3295" s="2">
        <v>46273</v>
      </c>
      <c r="R3295" t="s">
        <v>8885</v>
      </c>
      <c r="S3295" t="str">
        <f>"1219"</f>
        <v>1219</v>
      </c>
      <c r="T3295" t="s">
        <v>41</v>
      </c>
      <c r="U3295">
        <v>2814.26</v>
      </c>
      <c r="V3295">
        <v>2814.26</v>
      </c>
      <c r="W3295">
        <v>2814.26</v>
      </c>
      <c r="X3295">
        <v>0</v>
      </c>
      <c r="Y3295">
        <v>0</v>
      </c>
      <c r="Z3295">
        <v>-498</v>
      </c>
      <c r="AA3295">
        <v>687750</v>
      </c>
      <c r="AD3295" t="s">
        <v>133</v>
      </c>
      <c r="AE3295" t="s">
        <v>8880</v>
      </c>
      <c r="AF3295" t="s">
        <v>133</v>
      </c>
      <c r="AG3295" s="1" t="s">
        <v>8881</v>
      </c>
      <c r="AH3295" t="s">
        <v>44</v>
      </c>
    </row>
    <row r="3296" spans="1:34" x14ac:dyDescent="0.3">
      <c r="A3296">
        <v>101</v>
      </c>
      <c r="B3296" t="s">
        <v>34</v>
      </c>
      <c r="C3296">
        <v>2</v>
      </c>
      <c r="D3296" s="1" t="s">
        <v>8886</v>
      </c>
      <c r="E3296" s="1" t="s">
        <v>36</v>
      </c>
      <c r="G3296">
        <v>468838</v>
      </c>
      <c r="H3296" t="s">
        <v>8878</v>
      </c>
      <c r="I3296" t="s">
        <v>8855</v>
      </c>
      <c r="J3296">
        <v>15</v>
      </c>
      <c r="K3296">
        <v>10032</v>
      </c>
      <c r="L3296">
        <v>95000</v>
      </c>
      <c r="M3296" t="s">
        <v>69</v>
      </c>
      <c r="N3296">
        <v>679</v>
      </c>
      <c r="O3296" s="2">
        <v>46203</v>
      </c>
      <c r="P3296" s="2">
        <v>46320</v>
      </c>
      <c r="R3296" t="s">
        <v>8887</v>
      </c>
      <c r="S3296" t="str">
        <f>""</f>
        <v/>
      </c>
      <c r="T3296" t="s">
        <v>41</v>
      </c>
      <c r="U3296">
        <v>3978.56</v>
      </c>
      <c r="V3296">
        <v>3978.56</v>
      </c>
      <c r="W3296">
        <v>3978.56</v>
      </c>
      <c r="X3296">
        <v>0</v>
      </c>
      <c r="Y3296">
        <v>0</v>
      </c>
      <c r="Z3296">
        <v>-545</v>
      </c>
      <c r="AA3296">
        <v>693564</v>
      </c>
      <c r="AD3296" t="s">
        <v>133</v>
      </c>
      <c r="AE3296" t="s">
        <v>8880</v>
      </c>
      <c r="AF3296" t="s">
        <v>133</v>
      </c>
      <c r="AG3296" s="1" t="s">
        <v>8881</v>
      </c>
      <c r="AH3296" t="s">
        <v>44</v>
      </c>
    </row>
    <row r="3297" spans="1:34" x14ac:dyDescent="0.3">
      <c r="A3297">
        <v>101</v>
      </c>
      <c r="B3297" t="s">
        <v>34</v>
      </c>
      <c r="C3297">
        <v>2</v>
      </c>
      <c r="D3297" s="1" t="s">
        <v>8888</v>
      </c>
      <c r="E3297" s="1" t="s">
        <v>36</v>
      </c>
      <c r="G3297">
        <v>468842</v>
      </c>
      <c r="H3297" t="s">
        <v>8889</v>
      </c>
      <c r="I3297" t="s">
        <v>8855</v>
      </c>
      <c r="J3297">
        <v>15</v>
      </c>
      <c r="K3297">
        <v>10032</v>
      </c>
      <c r="L3297">
        <v>10001</v>
      </c>
      <c r="M3297" t="s">
        <v>3135</v>
      </c>
      <c r="N3297">
        <v>679</v>
      </c>
      <c r="O3297" s="2">
        <v>46162</v>
      </c>
      <c r="P3297" s="2">
        <v>46273</v>
      </c>
      <c r="R3297" t="s">
        <v>8890</v>
      </c>
      <c r="S3297" t="str">
        <f>"1219"</f>
        <v>1219</v>
      </c>
      <c r="T3297" t="s">
        <v>41</v>
      </c>
      <c r="U3297">
        <v>4387.05</v>
      </c>
      <c r="V3297">
        <v>4387.05</v>
      </c>
      <c r="W3297">
        <v>4387.05</v>
      </c>
      <c r="X3297">
        <v>0</v>
      </c>
      <c r="Y3297">
        <v>0</v>
      </c>
      <c r="Z3297">
        <v>-498</v>
      </c>
      <c r="AA3297">
        <v>687744</v>
      </c>
      <c r="AD3297" t="s">
        <v>2206</v>
      </c>
      <c r="AE3297" t="s">
        <v>8891</v>
      </c>
      <c r="AF3297" t="s">
        <v>2206</v>
      </c>
      <c r="AG3297" s="1" t="s">
        <v>8892</v>
      </c>
      <c r="AH3297" t="s">
        <v>44</v>
      </c>
    </row>
    <row r="3298" spans="1:34" x14ac:dyDescent="0.3">
      <c r="A3298">
        <v>101</v>
      </c>
      <c r="B3298" t="s">
        <v>34</v>
      </c>
      <c r="C3298">
        <v>2</v>
      </c>
      <c r="D3298" s="1" t="s">
        <v>8893</v>
      </c>
      <c r="E3298" s="1" t="s">
        <v>36</v>
      </c>
      <c r="G3298">
        <v>468842</v>
      </c>
      <c r="H3298" t="s">
        <v>8889</v>
      </c>
      <c r="I3298" t="s">
        <v>8855</v>
      </c>
      <c r="J3298">
        <v>15</v>
      </c>
      <c r="K3298">
        <v>10032</v>
      </c>
      <c r="L3298">
        <v>95000</v>
      </c>
      <c r="M3298" t="s">
        <v>69</v>
      </c>
      <c r="N3298">
        <v>679</v>
      </c>
      <c r="O3298" s="2">
        <v>46203</v>
      </c>
      <c r="P3298" s="2">
        <v>46310</v>
      </c>
      <c r="R3298" t="s">
        <v>8894</v>
      </c>
      <c r="S3298" t="str">
        <f>""</f>
        <v/>
      </c>
      <c r="T3298" t="s">
        <v>41</v>
      </c>
      <c r="U3298">
        <v>3222.34</v>
      </c>
      <c r="V3298">
        <v>3222.34</v>
      </c>
      <c r="W3298">
        <v>3222.34</v>
      </c>
      <c r="X3298">
        <v>0</v>
      </c>
      <c r="Y3298">
        <v>0</v>
      </c>
      <c r="Z3298">
        <v>-535</v>
      </c>
      <c r="AA3298">
        <v>693554</v>
      </c>
      <c r="AD3298" t="s">
        <v>2206</v>
      </c>
      <c r="AE3298" t="s">
        <v>8891</v>
      </c>
      <c r="AF3298" t="s">
        <v>2206</v>
      </c>
      <c r="AG3298" s="1" t="s">
        <v>8892</v>
      </c>
      <c r="AH3298" t="s">
        <v>44</v>
      </c>
    </row>
    <row r="3299" spans="1:34" x14ac:dyDescent="0.3">
      <c r="A3299">
        <v>101</v>
      </c>
      <c r="B3299" t="s">
        <v>34</v>
      </c>
      <c r="C3299">
        <v>2</v>
      </c>
      <c r="D3299" s="1" t="s">
        <v>8895</v>
      </c>
      <c r="E3299" s="1" t="s">
        <v>36</v>
      </c>
      <c r="G3299">
        <v>468842</v>
      </c>
      <c r="H3299" t="s">
        <v>8889</v>
      </c>
      <c r="I3299" t="s">
        <v>8855</v>
      </c>
      <c r="J3299">
        <v>15</v>
      </c>
      <c r="K3299">
        <v>10032</v>
      </c>
      <c r="L3299">
        <v>95000</v>
      </c>
      <c r="M3299" t="s">
        <v>69</v>
      </c>
      <c r="N3299">
        <v>679</v>
      </c>
      <c r="O3299" s="2">
        <v>46234</v>
      </c>
      <c r="P3299" s="2">
        <v>46324</v>
      </c>
      <c r="R3299" t="s">
        <v>8896</v>
      </c>
      <c r="S3299" t="str">
        <f>""</f>
        <v/>
      </c>
      <c r="T3299" t="s">
        <v>41</v>
      </c>
      <c r="U3299">
        <v>5187.26</v>
      </c>
      <c r="V3299">
        <v>5187.26</v>
      </c>
      <c r="W3299">
        <v>5187.26</v>
      </c>
      <c r="X3299">
        <v>0</v>
      </c>
      <c r="Y3299">
        <v>0</v>
      </c>
      <c r="Z3299">
        <v>-549</v>
      </c>
      <c r="AA3299">
        <v>695167</v>
      </c>
      <c r="AD3299" t="s">
        <v>2206</v>
      </c>
      <c r="AE3299" t="s">
        <v>8891</v>
      </c>
      <c r="AF3299" t="s">
        <v>2206</v>
      </c>
      <c r="AG3299" s="1" t="s">
        <v>8892</v>
      </c>
      <c r="AH3299" t="s">
        <v>44</v>
      </c>
    </row>
    <row r="3300" spans="1:34" x14ac:dyDescent="0.3">
      <c r="A3300">
        <v>101</v>
      </c>
      <c r="B3300" t="s">
        <v>34</v>
      </c>
      <c r="C3300">
        <v>2</v>
      </c>
      <c r="D3300" s="1" t="s">
        <v>8897</v>
      </c>
      <c r="E3300" s="1" t="s">
        <v>36</v>
      </c>
      <c r="G3300">
        <v>468842</v>
      </c>
      <c r="H3300" t="s">
        <v>8889</v>
      </c>
      <c r="I3300" t="s">
        <v>8855</v>
      </c>
      <c r="J3300">
        <v>15</v>
      </c>
      <c r="K3300">
        <v>10032</v>
      </c>
      <c r="L3300">
        <v>10001</v>
      </c>
      <c r="M3300" t="s">
        <v>3135</v>
      </c>
      <c r="N3300">
        <v>679</v>
      </c>
      <c r="O3300" s="2">
        <v>46172</v>
      </c>
      <c r="P3300" s="2">
        <v>46280</v>
      </c>
      <c r="R3300" t="s">
        <v>8898</v>
      </c>
      <c r="S3300" t="str">
        <f>"1219"</f>
        <v>1219</v>
      </c>
      <c r="T3300" t="s">
        <v>41</v>
      </c>
      <c r="U3300">
        <v>5083.67</v>
      </c>
      <c r="V3300">
        <v>5083.67</v>
      </c>
      <c r="W3300">
        <v>5083.67</v>
      </c>
      <c r="X3300">
        <v>0</v>
      </c>
      <c r="Y3300">
        <v>0</v>
      </c>
      <c r="Z3300">
        <v>-505</v>
      </c>
      <c r="AA3300">
        <v>690030</v>
      </c>
      <c r="AD3300" t="s">
        <v>2206</v>
      </c>
      <c r="AE3300" t="s">
        <v>8891</v>
      </c>
      <c r="AF3300" t="s">
        <v>2206</v>
      </c>
      <c r="AG3300" s="1" t="s">
        <v>8892</v>
      </c>
      <c r="AH3300" t="s">
        <v>44</v>
      </c>
    </row>
    <row r="3301" spans="1:34" x14ac:dyDescent="0.3">
      <c r="A3301">
        <v>101</v>
      </c>
      <c r="B3301" t="s">
        <v>34</v>
      </c>
      <c r="C3301">
        <v>2</v>
      </c>
      <c r="D3301" s="1" t="s">
        <v>8899</v>
      </c>
      <c r="E3301" s="1" t="s">
        <v>36</v>
      </c>
      <c r="G3301">
        <v>468855</v>
      </c>
      <c r="H3301" t="s">
        <v>8900</v>
      </c>
      <c r="I3301" t="s">
        <v>8730</v>
      </c>
      <c r="J3301">
        <v>15</v>
      </c>
      <c r="K3301">
        <v>10032</v>
      </c>
      <c r="L3301">
        <v>95000</v>
      </c>
      <c r="M3301" t="s">
        <v>69</v>
      </c>
      <c r="N3301">
        <v>679</v>
      </c>
      <c r="O3301" s="2">
        <v>46234</v>
      </c>
      <c r="P3301" s="2">
        <v>46324</v>
      </c>
      <c r="R3301" t="s">
        <v>8901</v>
      </c>
      <c r="S3301" t="str">
        <f>""</f>
        <v/>
      </c>
      <c r="T3301" t="s">
        <v>41</v>
      </c>
      <c r="U3301">
        <v>5084.37</v>
      </c>
      <c r="V3301">
        <v>5084.37</v>
      </c>
      <c r="W3301">
        <v>5084.37</v>
      </c>
      <c r="X3301">
        <v>0</v>
      </c>
      <c r="Y3301">
        <v>0</v>
      </c>
      <c r="Z3301">
        <v>-549</v>
      </c>
      <c r="AA3301">
        <v>695175</v>
      </c>
      <c r="AD3301" t="s">
        <v>8902</v>
      </c>
      <c r="AE3301" t="s">
        <v>8903</v>
      </c>
      <c r="AF3301" t="s">
        <v>8902</v>
      </c>
      <c r="AG3301" s="1" t="s">
        <v>8904</v>
      </c>
      <c r="AH3301" t="s">
        <v>44</v>
      </c>
    </row>
    <row r="3302" spans="1:34" x14ac:dyDescent="0.3">
      <c r="A3302">
        <v>101</v>
      </c>
      <c r="B3302" t="s">
        <v>34</v>
      </c>
      <c r="C3302">
        <v>2</v>
      </c>
      <c r="D3302" s="1" t="s">
        <v>8905</v>
      </c>
      <c r="E3302" s="1" t="s">
        <v>36</v>
      </c>
      <c r="G3302">
        <v>468855</v>
      </c>
      <c r="H3302" t="s">
        <v>8900</v>
      </c>
      <c r="I3302" t="s">
        <v>8730</v>
      </c>
      <c r="J3302">
        <v>15</v>
      </c>
      <c r="K3302">
        <v>10032</v>
      </c>
      <c r="L3302">
        <v>10001</v>
      </c>
      <c r="M3302" t="s">
        <v>3135</v>
      </c>
      <c r="N3302">
        <v>679</v>
      </c>
      <c r="O3302" s="2">
        <v>46172</v>
      </c>
      <c r="P3302" s="2">
        <v>46280</v>
      </c>
      <c r="R3302" t="s">
        <v>8906</v>
      </c>
      <c r="S3302" t="str">
        <f>"1219"</f>
        <v>1219</v>
      </c>
      <c r="T3302" t="s">
        <v>41</v>
      </c>
      <c r="U3302">
        <v>4574.26</v>
      </c>
      <c r="V3302">
        <v>4574.26</v>
      </c>
      <c r="W3302">
        <v>4574.26</v>
      </c>
      <c r="X3302">
        <v>0</v>
      </c>
      <c r="Y3302">
        <v>0</v>
      </c>
      <c r="Z3302">
        <v>-505</v>
      </c>
      <c r="AA3302">
        <v>690039</v>
      </c>
      <c r="AD3302" t="s">
        <v>8902</v>
      </c>
      <c r="AE3302" t="s">
        <v>8903</v>
      </c>
      <c r="AF3302" t="s">
        <v>8902</v>
      </c>
      <c r="AG3302" s="1" t="s">
        <v>8904</v>
      </c>
      <c r="AH3302" t="s">
        <v>44</v>
      </c>
    </row>
    <row r="3303" spans="1:34" x14ac:dyDescent="0.3">
      <c r="A3303">
        <v>101</v>
      </c>
      <c r="B3303" t="s">
        <v>34</v>
      </c>
      <c r="C3303">
        <v>2</v>
      </c>
      <c r="D3303" s="1" t="s">
        <v>8907</v>
      </c>
      <c r="E3303" s="1" t="s">
        <v>36</v>
      </c>
      <c r="G3303">
        <v>468855</v>
      </c>
      <c r="H3303" t="s">
        <v>8900</v>
      </c>
      <c r="I3303" t="s">
        <v>8730</v>
      </c>
      <c r="J3303">
        <v>15</v>
      </c>
      <c r="K3303">
        <v>10032</v>
      </c>
      <c r="L3303">
        <v>95000</v>
      </c>
      <c r="M3303" t="s">
        <v>69</v>
      </c>
      <c r="N3303">
        <v>679</v>
      </c>
      <c r="O3303" s="2">
        <v>46203</v>
      </c>
      <c r="P3303" s="2">
        <v>46320</v>
      </c>
      <c r="R3303" t="s">
        <v>8908</v>
      </c>
      <c r="S3303" t="str">
        <f>""</f>
        <v/>
      </c>
      <c r="T3303" t="s">
        <v>41</v>
      </c>
      <c r="U3303">
        <v>2120.56</v>
      </c>
      <c r="V3303">
        <v>2120.56</v>
      </c>
      <c r="W3303">
        <v>2120.56</v>
      </c>
      <c r="X3303">
        <v>0</v>
      </c>
      <c r="Y3303">
        <v>0</v>
      </c>
      <c r="Z3303">
        <v>-545</v>
      </c>
      <c r="AA3303">
        <v>693562</v>
      </c>
      <c r="AD3303" t="s">
        <v>8902</v>
      </c>
      <c r="AE3303" t="s">
        <v>8903</v>
      </c>
      <c r="AF3303" t="s">
        <v>8902</v>
      </c>
      <c r="AG3303" s="1" t="s">
        <v>8904</v>
      </c>
      <c r="AH3303" t="s">
        <v>44</v>
      </c>
    </row>
    <row r="3304" spans="1:34" x14ac:dyDescent="0.3">
      <c r="A3304">
        <v>101</v>
      </c>
      <c r="B3304" t="s">
        <v>34</v>
      </c>
      <c r="C3304">
        <v>2</v>
      </c>
      <c r="D3304" s="1" t="s">
        <v>8909</v>
      </c>
      <c r="E3304" s="1" t="s">
        <v>36</v>
      </c>
      <c r="G3304">
        <v>468856</v>
      </c>
      <c r="H3304" t="s">
        <v>8910</v>
      </c>
      <c r="I3304" t="s">
        <v>8730</v>
      </c>
      <c r="J3304">
        <v>15</v>
      </c>
      <c r="K3304">
        <v>10032</v>
      </c>
      <c r="L3304">
        <v>10001</v>
      </c>
      <c r="M3304" t="s">
        <v>3135</v>
      </c>
      <c r="N3304">
        <v>679</v>
      </c>
      <c r="O3304" s="2">
        <v>46172</v>
      </c>
      <c r="P3304" s="2">
        <v>46280</v>
      </c>
      <c r="R3304" t="s">
        <v>8911</v>
      </c>
      <c r="S3304" t="str">
        <f>"1219"</f>
        <v>1219</v>
      </c>
      <c r="T3304" t="s">
        <v>41</v>
      </c>
      <c r="U3304">
        <v>8426.36</v>
      </c>
      <c r="V3304">
        <v>8426.36</v>
      </c>
      <c r="W3304">
        <v>8426.36</v>
      </c>
      <c r="X3304">
        <v>0</v>
      </c>
      <c r="Y3304">
        <v>0</v>
      </c>
      <c r="Z3304">
        <v>-505</v>
      </c>
      <c r="AA3304">
        <v>690035</v>
      </c>
      <c r="AD3304" t="s">
        <v>8912</v>
      </c>
      <c r="AE3304" t="s">
        <v>8913</v>
      </c>
      <c r="AF3304" t="s">
        <v>8912</v>
      </c>
      <c r="AG3304" s="1" t="s">
        <v>8914</v>
      </c>
      <c r="AH3304" t="s">
        <v>44</v>
      </c>
    </row>
    <row r="3305" spans="1:34" x14ac:dyDescent="0.3">
      <c r="A3305">
        <v>101</v>
      </c>
      <c r="B3305" t="s">
        <v>34</v>
      </c>
      <c r="C3305">
        <v>2</v>
      </c>
      <c r="D3305" s="1" t="s">
        <v>8915</v>
      </c>
      <c r="E3305" s="1" t="s">
        <v>36</v>
      </c>
      <c r="G3305">
        <v>468856</v>
      </c>
      <c r="H3305" t="s">
        <v>8910</v>
      </c>
      <c r="I3305" t="s">
        <v>8730</v>
      </c>
      <c r="J3305">
        <v>15</v>
      </c>
      <c r="K3305">
        <v>10032</v>
      </c>
      <c r="L3305">
        <v>95000</v>
      </c>
      <c r="M3305" t="s">
        <v>69</v>
      </c>
      <c r="N3305">
        <v>679</v>
      </c>
      <c r="O3305" s="2">
        <v>46203</v>
      </c>
      <c r="P3305" s="2">
        <v>46320</v>
      </c>
      <c r="R3305" t="s">
        <v>8916</v>
      </c>
      <c r="S3305" t="str">
        <f>""</f>
        <v/>
      </c>
      <c r="T3305" t="s">
        <v>41</v>
      </c>
      <c r="U3305">
        <v>4123.05</v>
      </c>
      <c r="V3305">
        <v>4123.05</v>
      </c>
      <c r="W3305">
        <v>4123.05</v>
      </c>
      <c r="X3305">
        <v>0</v>
      </c>
      <c r="Y3305">
        <v>0</v>
      </c>
      <c r="Z3305">
        <v>-545</v>
      </c>
      <c r="AA3305">
        <v>693558</v>
      </c>
      <c r="AD3305" t="s">
        <v>8912</v>
      </c>
      <c r="AE3305" t="s">
        <v>8913</v>
      </c>
      <c r="AF3305" t="s">
        <v>8912</v>
      </c>
      <c r="AG3305" s="1" t="s">
        <v>8914</v>
      </c>
      <c r="AH3305" t="s">
        <v>44</v>
      </c>
    </row>
    <row r="3306" spans="1:34" x14ac:dyDescent="0.3">
      <c r="A3306">
        <v>101</v>
      </c>
      <c r="B3306" t="s">
        <v>34</v>
      </c>
      <c r="C3306">
        <v>2</v>
      </c>
      <c r="D3306" s="1" t="s">
        <v>8917</v>
      </c>
      <c r="E3306" s="1" t="s">
        <v>36</v>
      </c>
      <c r="G3306">
        <v>468856</v>
      </c>
      <c r="H3306" t="s">
        <v>8910</v>
      </c>
      <c r="I3306" t="s">
        <v>8730</v>
      </c>
      <c r="J3306">
        <v>15</v>
      </c>
      <c r="K3306">
        <v>10032</v>
      </c>
      <c r="L3306">
        <v>95000</v>
      </c>
      <c r="M3306" t="s">
        <v>69</v>
      </c>
      <c r="N3306">
        <v>679</v>
      </c>
      <c r="O3306" s="2">
        <v>46234</v>
      </c>
      <c r="P3306" s="2">
        <v>46324</v>
      </c>
      <c r="R3306" t="s">
        <v>8918</v>
      </c>
      <c r="S3306" t="str">
        <f>""</f>
        <v/>
      </c>
      <c r="T3306" t="s">
        <v>41</v>
      </c>
      <c r="U3306">
        <v>3163.4</v>
      </c>
      <c r="V3306">
        <v>3163.4</v>
      </c>
      <c r="W3306">
        <v>3163.4</v>
      </c>
      <c r="X3306">
        <v>0</v>
      </c>
      <c r="Y3306">
        <v>0</v>
      </c>
      <c r="Z3306">
        <v>-549</v>
      </c>
      <c r="AA3306">
        <v>695171</v>
      </c>
      <c r="AD3306" t="s">
        <v>8912</v>
      </c>
      <c r="AE3306" t="s">
        <v>8913</v>
      </c>
      <c r="AF3306" t="s">
        <v>8912</v>
      </c>
      <c r="AG3306" s="1" t="s">
        <v>8914</v>
      </c>
      <c r="AH3306" t="s">
        <v>44</v>
      </c>
    </row>
    <row r="3307" spans="1:34" x14ac:dyDescent="0.3">
      <c r="A3307">
        <v>101</v>
      </c>
      <c r="B3307" t="s">
        <v>34</v>
      </c>
      <c r="C3307">
        <v>2</v>
      </c>
      <c r="D3307" s="1" t="s">
        <v>8919</v>
      </c>
      <c r="E3307" s="1" t="s">
        <v>36</v>
      </c>
      <c r="G3307">
        <v>468856</v>
      </c>
      <c r="H3307" t="s">
        <v>8910</v>
      </c>
      <c r="I3307" t="s">
        <v>8730</v>
      </c>
      <c r="J3307">
        <v>15</v>
      </c>
      <c r="K3307">
        <v>10032</v>
      </c>
      <c r="L3307">
        <v>95080</v>
      </c>
      <c r="M3307" t="s">
        <v>83</v>
      </c>
      <c r="N3307">
        <v>679</v>
      </c>
      <c r="O3307" s="2">
        <v>46087</v>
      </c>
      <c r="P3307" s="2">
        <v>46177</v>
      </c>
      <c r="R3307">
        <v>2603064601</v>
      </c>
      <c r="S3307" t="str">
        <f>""</f>
        <v/>
      </c>
      <c r="T3307" t="s">
        <v>41</v>
      </c>
      <c r="U3307">
        <v>2862.84</v>
      </c>
      <c r="V3307">
        <v>2862.84</v>
      </c>
      <c r="W3307">
        <v>2862.84</v>
      </c>
      <c r="X3307">
        <v>0</v>
      </c>
      <c r="Y3307">
        <v>0</v>
      </c>
      <c r="Z3307">
        <v>-402</v>
      </c>
      <c r="AA3307">
        <v>681265</v>
      </c>
      <c r="AD3307" t="s">
        <v>8912</v>
      </c>
      <c r="AE3307" t="s">
        <v>8913</v>
      </c>
      <c r="AF3307" t="s">
        <v>8912</v>
      </c>
      <c r="AG3307" s="1" t="s">
        <v>8914</v>
      </c>
      <c r="AH3307" t="s">
        <v>44</v>
      </c>
    </row>
    <row r="3308" spans="1:34" x14ac:dyDescent="0.3">
      <c r="A3308">
        <v>101</v>
      </c>
      <c r="B3308" t="s">
        <v>34</v>
      </c>
      <c r="C3308">
        <v>2</v>
      </c>
      <c r="D3308" s="1" t="s">
        <v>8920</v>
      </c>
      <c r="E3308" s="1" t="s">
        <v>36</v>
      </c>
      <c r="G3308">
        <v>468856</v>
      </c>
      <c r="H3308" t="s">
        <v>8910</v>
      </c>
      <c r="I3308" t="s">
        <v>8730</v>
      </c>
      <c r="J3308">
        <v>15</v>
      </c>
      <c r="K3308">
        <v>10032</v>
      </c>
      <c r="L3308">
        <v>10001</v>
      </c>
      <c r="M3308" t="s">
        <v>3135</v>
      </c>
      <c r="N3308">
        <v>679</v>
      </c>
      <c r="O3308" s="2">
        <v>46162</v>
      </c>
      <c r="P3308" s="2">
        <v>46280</v>
      </c>
      <c r="R3308" t="s">
        <v>8921</v>
      </c>
      <c r="S3308" t="str">
        <f>"1219"</f>
        <v>1219</v>
      </c>
      <c r="T3308" t="s">
        <v>41</v>
      </c>
      <c r="U3308">
        <v>4670.5</v>
      </c>
      <c r="V3308">
        <v>4670.5</v>
      </c>
      <c r="W3308">
        <v>4670.5</v>
      </c>
      <c r="X3308">
        <v>0</v>
      </c>
      <c r="Y3308">
        <v>0</v>
      </c>
      <c r="Z3308">
        <v>-505</v>
      </c>
      <c r="AA3308">
        <v>687746</v>
      </c>
      <c r="AD3308" t="s">
        <v>8912</v>
      </c>
      <c r="AE3308" t="s">
        <v>8913</v>
      </c>
      <c r="AF3308" t="s">
        <v>8912</v>
      </c>
      <c r="AG3308" s="1" t="s">
        <v>8914</v>
      </c>
      <c r="AH3308" t="s">
        <v>44</v>
      </c>
    </row>
    <row r="3309" spans="1:34" x14ac:dyDescent="0.3">
      <c r="A3309">
        <v>101</v>
      </c>
      <c r="B3309" t="s">
        <v>34</v>
      </c>
      <c r="C3309">
        <v>2</v>
      </c>
      <c r="D3309" s="1" t="s">
        <v>8922</v>
      </c>
      <c r="E3309" s="1" t="s">
        <v>36</v>
      </c>
      <c r="G3309">
        <v>468912</v>
      </c>
      <c r="H3309" t="s">
        <v>8923</v>
      </c>
      <c r="I3309" t="s">
        <v>8764</v>
      </c>
      <c r="J3309">
        <v>15</v>
      </c>
      <c r="K3309">
        <v>999002158</v>
      </c>
      <c r="L3309">
        <v>95080</v>
      </c>
      <c r="M3309" t="s">
        <v>83</v>
      </c>
      <c r="N3309">
        <v>679</v>
      </c>
      <c r="O3309" s="2">
        <v>46200</v>
      </c>
      <c r="P3309" s="2">
        <v>46228</v>
      </c>
      <c r="R3309" t="s">
        <v>8924</v>
      </c>
      <c r="S3309" t="str">
        <f>""</f>
        <v/>
      </c>
      <c r="T3309" t="s">
        <v>41</v>
      </c>
      <c r="U3309">
        <v>527.72</v>
      </c>
      <c r="V3309">
        <v>522.44000000000005</v>
      </c>
      <c r="W3309">
        <v>522.44000000000005</v>
      </c>
      <c r="X3309">
        <v>0</v>
      </c>
      <c r="Y3309">
        <v>0</v>
      </c>
      <c r="Z3309">
        <v>-453</v>
      </c>
      <c r="AA3309">
        <v>690173</v>
      </c>
      <c r="AD3309" t="s">
        <v>64</v>
      </c>
      <c r="AE3309" t="s">
        <v>8811</v>
      </c>
      <c r="AF3309" t="s">
        <v>64</v>
      </c>
      <c r="AG3309">
        <v>10250585002367</v>
      </c>
      <c r="AH3309" t="s">
        <v>44</v>
      </c>
    </row>
    <row r="3310" spans="1:34" x14ac:dyDescent="0.3">
      <c r="A3310">
        <v>106</v>
      </c>
      <c r="B3310" t="s">
        <v>34</v>
      </c>
      <c r="C3310">
        <v>2</v>
      </c>
      <c r="D3310" s="1" t="s">
        <v>8925</v>
      </c>
      <c r="E3310" s="1" t="s">
        <v>36</v>
      </c>
      <c r="G3310">
        <v>468912</v>
      </c>
      <c r="H3310" t="s">
        <v>8923</v>
      </c>
      <c r="I3310" t="s">
        <v>8764</v>
      </c>
      <c r="J3310">
        <v>15</v>
      </c>
      <c r="K3310">
        <v>999002158</v>
      </c>
      <c r="L3310">
        <v>50341</v>
      </c>
      <c r="M3310" t="s">
        <v>146</v>
      </c>
      <c r="N3310">
        <v>679</v>
      </c>
      <c r="O3310" s="2">
        <v>46235</v>
      </c>
      <c r="P3310" s="2">
        <v>46263</v>
      </c>
      <c r="R3310" t="s">
        <v>8926</v>
      </c>
      <c r="S3310" t="str">
        <f>"00013581"</f>
        <v>00013581</v>
      </c>
      <c r="T3310" t="s">
        <v>41</v>
      </c>
      <c r="U3310">
        <v>3003.62</v>
      </c>
      <c r="V3310">
        <v>2973.58</v>
      </c>
      <c r="W3310">
        <v>2973.58</v>
      </c>
      <c r="X3310">
        <v>0</v>
      </c>
      <c r="Y3310">
        <v>0</v>
      </c>
      <c r="Z3310">
        <v>-488</v>
      </c>
      <c r="AA3310">
        <v>694758</v>
      </c>
      <c r="AD3310" t="s">
        <v>64</v>
      </c>
      <c r="AE3310" t="s">
        <v>8811</v>
      </c>
      <c r="AF3310" t="s">
        <v>64</v>
      </c>
      <c r="AG3310">
        <v>10250585002367</v>
      </c>
      <c r="AH3310" t="s">
        <v>44</v>
      </c>
    </row>
    <row r="3311" spans="1:34" x14ac:dyDescent="0.3">
      <c r="A3311">
        <v>101</v>
      </c>
      <c r="B3311" t="s">
        <v>34</v>
      </c>
      <c r="C3311">
        <v>2</v>
      </c>
      <c r="D3311" s="1" t="s">
        <v>8927</v>
      </c>
      <c r="E3311" s="1" t="s">
        <v>36</v>
      </c>
      <c r="G3311">
        <v>468912</v>
      </c>
      <c r="H3311" t="s">
        <v>8923</v>
      </c>
      <c r="I3311" t="s">
        <v>8764</v>
      </c>
      <c r="J3311">
        <v>15</v>
      </c>
      <c r="K3311">
        <v>999002158</v>
      </c>
      <c r="L3311">
        <v>50341</v>
      </c>
      <c r="M3311" t="s">
        <v>146</v>
      </c>
      <c r="N3311">
        <v>679</v>
      </c>
      <c r="O3311" s="2">
        <v>46235</v>
      </c>
      <c r="P3311" s="2">
        <v>46263</v>
      </c>
      <c r="R3311" t="s">
        <v>8928</v>
      </c>
      <c r="S3311" t="str">
        <f>"00013521"</f>
        <v>00013521</v>
      </c>
      <c r="T3311" t="s">
        <v>41</v>
      </c>
      <c r="U3311">
        <v>3380.56</v>
      </c>
      <c r="V3311">
        <v>3346.75</v>
      </c>
      <c r="W3311">
        <v>3346.75</v>
      </c>
      <c r="X3311">
        <v>0</v>
      </c>
      <c r="Y3311">
        <v>0</v>
      </c>
      <c r="Z3311">
        <v>-488</v>
      </c>
      <c r="AA3311">
        <v>694694</v>
      </c>
      <c r="AD3311" t="s">
        <v>64</v>
      </c>
      <c r="AE3311" t="s">
        <v>8811</v>
      </c>
      <c r="AF3311" t="s">
        <v>64</v>
      </c>
      <c r="AG3311">
        <v>10250585002367</v>
      </c>
      <c r="AH3311" t="s">
        <v>44</v>
      </c>
    </row>
    <row r="3312" spans="1:34" x14ac:dyDescent="0.3">
      <c r="A3312">
        <v>101</v>
      </c>
      <c r="B3312" t="s">
        <v>34</v>
      </c>
      <c r="C3312">
        <v>2</v>
      </c>
      <c r="D3312" s="1" t="s">
        <v>8929</v>
      </c>
      <c r="E3312" s="1" t="s">
        <v>36</v>
      </c>
      <c r="G3312">
        <v>468987</v>
      </c>
      <c r="H3312" t="s">
        <v>8930</v>
      </c>
      <c r="I3312" t="s">
        <v>8730</v>
      </c>
      <c r="J3312">
        <v>15</v>
      </c>
      <c r="K3312">
        <v>10032</v>
      </c>
      <c r="L3312">
        <v>10001</v>
      </c>
      <c r="M3312" t="s">
        <v>3135</v>
      </c>
      <c r="N3312">
        <v>679</v>
      </c>
      <c r="O3312" s="2">
        <v>46162</v>
      </c>
      <c r="P3312" s="2">
        <v>46273</v>
      </c>
      <c r="R3312" t="s">
        <v>8931</v>
      </c>
      <c r="S3312" t="str">
        <f>"1219"</f>
        <v>1219</v>
      </c>
      <c r="T3312" t="s">
        <v>41</v>
      </c>
      <c r="U3312">
        <v>2231.42</v>
      </c>
      <c r="V3312">
        <v>2231.42</v>
      </c>
      <c r="W3312">
        <v>2231.42</v>
      </c>
      <c r="X3312">
        <v>0</v>
      </c>
      <c r="Y3312">
        <v>0</v>
      </c>
      <c r="Z3312">
        <v>-498</v>
      </c>
      <c r="AA3312">
        <v>687742</v>
      </c>
      <c r="AD3312" t="s">
        <v>2873</v>
      </c>
      <c r="AE3312" t="s">
        <v>8932</v>
      </c>
      <c r="AF3312" t="s">
        <v>2873</v>
      </c>
      <c r="AG3312" s="1" t="s">
        <v>8933</v>
      </c>
      <c r="AH3312" t="s">
        <v>44</v>
      </c>
    </row>
    <row r="3313" spans="1:34" x14ac:dyDescent="0.3">
      <c r="A3313">
        <v>101</v>
      </c>
      <c r="B3313" t="s">
        <v>34</v>
      </c>
      <c r="C3313">
        <v>2</v>
      </c>
      <c r="D3313" s="1" t="s">
        <v>8934</v>
      </c>
      <c r="E3313" s="1" t="s">
        <v>36</v>
      </c>
      <c r="G3313">
        <v>468987</v>
      </c>
      <c r="H3313" t="s">
        <v>8930</v>
      </c>
      <c r="I3313" t="s">
        <v>8730</v>
      </c>
      <c r="J3313">
        <v>15</v>
      </c>
      <c r="K3313">
        <v>10032</v>
      </c>
      <c r="L3313">
        <v>10001</v>
      </c>
      <c r="M3313" t="s">
        <v>3135</v>
      </c>
      <c r="N3313">
        <v>679</v>
      </c>
      <c r="O3313" s="2">
        <v>46172</v>
      </c>
      <c r="P3313" s="2">
        <v>46280</v>
      </c>
      <c r="R3313" t="s">
        <v>8935</v>
      </c>
      <c r="S3313" t="str">
        <f>"1219"</f>
        <v>1219</v>
      </c>
      <c r="T3313" t="s">
        <v>41</v>
      </c>
      <c r="U3313">
        <v>5487.05</v>
      </c>
      <c r="V3313">
        <v>5487.05</v>
      </c>
      <c r="W3313">
        <v>5487.05</v>
      </c>
      <c r="X3313">
        <v>0</v>
      </c>
      <c r="Y3313">
        <v>0</v>
      </c>
      <c r="Z3313">
        <v>-505</v>
      </c>
      <c r="AA3313">
        <v>690026</v>
      </c>
      <c r="AD3313" t="s">
        <v>2873</v>
      </c>
      <c r="AE3313" t="s">
        <v>8932</v>
      </c>
      <c r="AF3313" t="s">
        <v>2873</v>
      </c>
      <c r="AG3313" s="1" t="s">
        <v>8933</v>
      </c>
      <c r="AH3313" t="s">
        <v>44</v>
      </c>
    </row>
    <row r="3314" spans="1:34" x14ac:dyDescent="0.3">
      <c r="A3314">
        <v>101</v>
      </c>
      <c r="B3314" t="s">
        <v>34</v>
      </c>
      <c r="C3314">
        <v>2</v>
      </c>
      <c r="D3314" s="1" t="s">
        <v>8936</v>
      </c>
      <c r="E3314" s="1" t="s">
        <v>36</v>
      </c>
      <c r="G3314">
        <v>468987</v>
      </c>
      <c r="H3314" t="s">
        <v>8930</v>
      </c>
      <c r="I3314" t="s">
        <v>8730</v>
      </c>
      <c r="J3314">
        <v>15</v>
      </c>
      <c r="K3314">
        <v>10032</v>
      </c>
      <c r="L3314">
        <v>95080</v>
      </c>
      <c r="M3314" t="s">
        <v>83</v>
      </c>
      <c r="N3314">
        <v>679</v>
      </c>
      <c r="O3314" s="2">
        <v>46087</v>
      </c>
      <c r="P3314" s="2">
        <v>46177</v>
      </c>
      <c r="R3314">
        <v>2603064600</v>
      </c>
      <c r="S3314" t="str">
        <f>""</f>
        <v/>
      </c>
      <c r="T3314" t="s">
        <v>41</v>
      </c>
      <c r="U3314">
        <v>2535.52</v>
      </c>
      <c r="V3314">
        <v>2535.52</v>
      </c>
      <c r="W3314">
        <v>2535.52</v>
      </c>
      <c r="X3314">
        <v>0</v>
      </c>
      <c r="Y3314">
        <v>0</v>
      </c>
      <c r="Z3314">
        <v>-402</v>
      </c>
      <c r="AA3314">
        <v>681262</v>
      </c>
      <c r="AD3314" t="s">
        <v>2873</v>
      </c>
      <c r="AE3314" t="s">
        <v>8932</v>
      </c>
      <c r="AF3314" t="s">
        <v>2873</v>
      </c>
      <c r="AG3314" s="1" t="s">
        <v>8933</v>
      </c>
      <c r="AH3314" t="s">
        <v>44</v>
      </c>
    </row>
    <row r="3315" spans="1:34" x14ac:dyDescent="0.3">
      <c r="A3315">
        <v>101</v>
      </c>
      <c r="B3315" t="s">
        <v>34</v>
      </c>
      <c r="C3315">
        <v>2</v>
      </c>
      <c r="D3315" s="1" t="s">
        <v>8937</v>
      </c>
      <c r="E3315" s="1" t="s">
        <v>36</v>
      </c>
      <c r="G3315">
        <v>468987</v>
      </c>
      <c r="H3315" t="s">
        <v>8930</v>
      </c>
      <c r="I3315" t="s">
        <v>8730</v>
      </c>
      <c r="J3315">
        <v>15</v>
      </c>
      <c r="K3315">
        <v>10032</v>
      </c>
      <c r="L3315">
        <v>95000</v>
      </c>
      <c r="M3315" t="s">
        <v>69</v>
      </c>
      <c r="N3315">
        <v>679</v>
      </c>
      <c r="O3315" s="2">
        <v>46234</v>
      </c>
      <c r="P3315" s="2">
        <v>46324</v>
      </c>
      <c r="R3315" t="s">
        <v>8938</v>
      </c>
      <c r="S3315" t="str">
        <f>""</f>
        <v/>
      </c>
      <c r="T3315" t="s">
        <v>41</v>
      </c>
      <c r="U3315">
        <v>4219.95</v>
      </c>
      <c r="V3315">
        <v>4219.95</v>
      </c>
      <c r="W3315">
        <v>4219.95</v>
      </c>
      <c r="X3315">
        <v>0</v>
      </c>
      <c r="Y3315">
        <v>0</v>
      </c>
      <c r="Z3315">
        <v>-549</v>
      </c>
      <c r="AA3315">
        <v>695163</v>
      </c>
      <c r="AD3315" t="s">
        <v>2873</v>
      </c>
      <c r="AE3315" t="s">
        <v>8932</v>
      </c>
      <c r="AF3315" t="s">
        <v>2873</v>
      </c>
      <c r="AG3315" s="1" t="s">
        <v>8933</v>
      </c>
      <c r="AH3315" t="s">
        <v>44</v>
      </c>
    </row>
    <row r="3316" spans="1:34" x14ac:dyDescent="0.3">
      <c r="A3316">
        <v>101</v>
      </c>
      <c r="B3316" t="s">
        <v>34</v>
      </c>
      <c r="C3316">
        <v>2</v>
      </c>
      <c r="D3316" s="1" t="s">
        <v>8939</v>
      </c>
      <c r="E3316" s="1" t="s">
        <v>36</v>
      </c>
      <c r="G3316">
        <v>468987</v>
      </c>
      <c r="H3316" t="s">
        <v>8930</v>
      </c>
      <c r="I3316" t="s">
        <v>8730</v>
      </c>
      <c r="J3316">
        <v>15</v>
      </c>
      <c r="K3316">
        <v>10032</v>
      </c>
      <c r="L3316">
        <v>95000</v>
      </c>
      <c r="M3316" t="s">
        <v>69</v>
      </c>
      <c r="N3316">
        <v>679</v>
      </c>
      <c r="O3316" s="2">
        <v>46203</v>
      </c>
      <c r="P3316" s="2">
        <v>46310</v>
      </c>
      <c r="R3316" t="s">
        <v>8940</v>
      </c>
      <c r="S3316" t="str">
        <f>""</f>
        <v/>
      </c>
      <c r="T3316" t="s">
        <v>41</v>
      </c>
      <c r="U3316">
        <v>2105.96</v>
      </c>
      <c r="V3316">
        <v>2105.96</v>
      </c>
      <c r="W3316">
        <v>2105.96</v>
      </c>
      <c r="X3316">
        <v>0</v>
      </c>
      <c r="Y3316">
        <v>0</v>
      </c>
      <c r="Z3316">
        <v>-535</v>
      </c>
      <c r="AA3316">
        <v>693550</v>
      </c>
      <c r="AD3316" t="s">
        <v>2873</v>
      </c>
      <c r="AE3316" t="s">
        <v>8932</v>
      </c>
      <c r="AF3316" t="s">
        <v>2873</v>
      </c>
      <c r="AG3316" s="1" t="s">
        <v>8933</v>
      </c>
      <c r="AH3316" t="s">
        <v>44</v>
      </c>
    </row>
    <row r="3317" spans="1:34" x14ac:dyDescent="0.3">
      <c r="A3317">
        <v>101</v>
      </c>
      <c r="B3317" t="s">
        <v>34</v>
      </c>
      <c r="C3317">
        <v>2</v>
      </c>
      <c r="D3317" s="1" t="s">
        <v>8941</v>
      </c>
      <c r="E3317" s="1" t="s">
        <v>36</v>
      </c>
      <c r="G3317">
        <v>468991</v>
      </c>
      <c r="H3317" t="s">
        <v>8942</v>
      </c>
      <c r="I3317" t="s">
        <v>8730</v>
      </c>
      <c r="J3317">
        <v>15</v>
      </c>
      <c r="K3317">
        <v>10032</v>
      </c>
      <c r="L3317">
        <v>95000</v>
      </c>
      <c r="M3317" t="s">
        <v>69</v>
      </c>
      <c r="N3317">
        <v>679</v>
      </c>
      <c r="O3317" s="2">
        <v>46234</v>
      </c>
      <c r="P3317" s="2">
        <v>46324</v>
      </c>
      <c r="R3317" t="s">
        <v>8943</v>
      </c>
      <c r="S3317" t="str">
        <f>""</f>
        <v/>
      </c>
      <c r="T3317" t="s">
        <v>41</v>
      </c>
      <c r="U3317">
        <v>8633.52</v>
      </c>
      <c r="V3317">
        <v>8633.52</v>
      </c>
      <c r="W3317">
        <v>8633.52</v>
      </c>
      <c r="X3317">
        <v>0</v>
      </c>
      <c r="Y3317">
        <v>0</v>
      </c>
      <c r="Z3317">
        <v>-549</v>
      </c>
      <c r="AA3317">
        <v>695179</v>
      </c>
      <c r="AD3317" t="s">
        <v>8944</v>
      </c>
      <c r="AE3317" t="s">
        <v>8945</v>
      </c>
      <c r="AF3317" t="s">
        <v>8944</v>
      </c>
      <c r="AG3317" s="1" t="s">
        <v>8946</v>
      </c>
      <c r="AH3317" t="s">
        <v>44</v>
      </c>
    </row>
    <row r="3318" spans="1:34" x14ac:dyDescent="0.3">
      <c r="A3318">
        <v>101</v>
      </c>
      <c r="B3318" t="s">
        <v>34</v>
      </c>
      <c r="C3318">
        <v>2</v>
      </c>
      <c r="D3318" s="1" t="s">
        <v>8947</v>
      </c>
      <c r="E3318" s="1" t="s">
        <v>36</v>
      </c>
      <c r="G3318">
        <v>468991</v>
      </c>
      <c r="H3318" t="s">
        <v>8942</v>
      </c>
      <c r="I3318" t="s">
        <v>8730</v>
      </c>
      <c r="J3318">
        <v>15</v>
      </c>
      <c r="K3318">
        <v>10032</v>
      </c>
      <c r="L3318">
        <v>95000</v>
      </c>
      <c r="M3318" t="s">
        <v>69</v>
      </c>
      <c r="N3318">
        <v>679</v>
      </c>
      <c r="O3318" s="2">
        <v>46203</v>
      </c>
      <c r="P3318" s="2">
        <v>46310</v>
      </c>
      <c r="R3318" t="s">
        <v>8948</v>
      </c>
      <c r="S3318" t="str">
        <f>""</f>
        <v/>
      </c>
      <c r="T3318" t="s">
        <v>41</v>
      </c>
      <c r="U3318">
        <v>6242.25</v>
      </c>
      <c r="V3318">
        <v>6242.25</v>
      </c>
      <c r="W3318">
        <v>6242.25</v>
      </c>
      <c r="X3318">
        <v>0</v>
      </c>
      <c r="Y3318">
        <v>0</v>
      </c>
      <c r="Z3318">
        <v>-535</v>
      </c>
      <c r="AA3318">
        <v>693566</v>
      </c>
      <c r="AD3318" t="s">
        <v>8944</v>
      </c>
      <c r="AE3318" t="s">
        <v>8945</v>
      </c>
      <c r="AF3318" t="s">
        <v>8944</v>
      </c>
      <c r="AG3318" s="1" t="s">
        <v>8946</v>
      </c>
      <c r="AH3318" t="s">
        <v>44</v>
      </c>
    </row>
    <row r="3319" spans="1:34" x14ac:dyDescent="0.3">
      <c r="A3319">
        <v>101</v>
      </c>
      <c r="B3319" t="s">
        <v>34</v>
      </c>
      <c r="C3319">
        <v>2</v>
      </c>
      <c r="D3319" s="1" t="s">
        <v>8949</v>
      </c>
      <c r="E3319" s="1" t="s">
        <v>36</v>
      </c>
      <c r="G3319">
        <v>468991</v>
      </c>
      <c r="H3319" t="s">
        <v>8942</v>
      </c>
      <c r="I3319" t="s">
        <v>8730</v>
      </c>
      <c r="J3319">
        <v>15</v>
      </c>
      <c r="K3319">
        <v>10032</v>
      </c>
      <c r="L3319">
        <v>10001</v>
      </c>
      <c r="M3319" t="s">
        <v>3135</v>
      </c>
      <c r="N3319">
        <v>679</v>
      </c>
      <c r="O3319" s="2">
        <v>46162</v>
      </c>
      <c r="P3319" s="2">
        <v>46273</v>
      </c>
      <c r="R3319" t="s">
        <v>8950</v>
      </c>
      <c r="S3319" t="str">
        <f>"1219"</f>
        <v>1219</v>
      </c>
      <c r="T3319" t="s">
        <v>41</v>
      </c>
      <c r="U3319">
        <v>7147.57</v>
      </c>
      <c r="V3319">
        <v>7147.57</v>
      </c>
      <c r="W3319">
        <v>7147.57</v>
      </c>
      <c r="X3319">
        <v>0</v>
      </c>
      <c r="Y3319">
        <v>0</v>
      </c>
      <c r="Z3319">
        <v>-498</v>
      </c>
      <c r="AA3319">
        <v>687752</v>
      </c>
      <c r="AD3319" t="s">
        <v>8944</v>
      </c>
      <c r="AE3319" t="s">
        <v>8945</v>
      </c>
      <c r="AF3319" t="s">
        <v>8944</v>
      </c>
      <c r="AG3319" s="1" t="s">
        <v>8946</v>
      </c>
      <c r="AH3319" t="s">
        <v>44</v>
      </c>
    </row>
    <row r="3320" spans="1:34" x14ac:dyDescent="0.3">
      <c r="A3320">
        <v>101</v>
      </c>
      <c r="B3320" t="s">
        <v>34</v>
      </c>
      <c r="C3320">
        <v>2</v>
      </c>
      <c r="D3320" s="1" t="s">
        <v>8951</v>
      </c>
      <c r="E3320" s="1" t="s">
        <v>36</v>
      </c>
      <c r="G3320">
        <v>468991</v>
      </c>
      <c r="H3320" t="s">
        <v>8942</v>
      </c>
      <c r="I3320" t="s">
        <v>8730</v>
      </c>
      <c r="J3320">
        <v>15</v>
      </c>
      <c r="K3320">
        <v>10032</v>
      </c>
      <c r="L3320">
        <v>10001</v>
      </c>
      <c r="M3320" t="s">
        <v>3135</v>
      </c>
      <c r="N3320">
        <v>679</v>
      </c>
      <c r="O3320" s="2">
        <v>46172</v>
      </c>
      <c r="P3320" s="2">
        <v>46280</v>
      </c>
      <c r="R3320" t="s">
        <v>8952</v>
      </c>
      <c r="S3320" t="str">
        <f>"1219"</f>
        <v>1219</v>
      </c>
      <c r="T3320" t="s">
        <v>41</v>
      </c>
      <c r="U3320">
        <v>4656.58</v>
      </c>
      <c r="V3320">
        <v>4656.58</v>
      </c>
      <c r="W3320">
        <v>4656.58</v>
      </c>
      <c r="X3320">
        <v>0</v>
      </c>
      <c r="Y3320">
        <v>0</v>
      </c>
      <c r="Z3320">
        <v>-505</v>
      </c>
      <c r="AA3320">
        <v>690044</v>
      </c>
      <c r="AD3320" t="s">
        <v>8944</v>
      </c>
      <c r="AE3320" t="s">
        <v>8945</v>
      </c>
      <c r="AF3320" t="s">
        <v>8944</v>
      </c>
      <c r="AG3320" s="1" t="s">
        <v>8946</v>
      </c>
      <c r="AH3320" t="s">
        <v>44</v>
      </c>
    </row>
    <row r="3321" spans="1:34" x14ac:dyDescent="0.3">
      <c r="A3321">
        <v>101</v>
      </c>
      <c r="B3321" t="s">
        <v>34</v>
      </c>
      <c r="C3321">
        <v>2</v>
      </c>
      <c r="D3321" s="1" t="s">
        <v>8953</v>
      </c>
      <c r="E3321" s="1" t="s">
        <v>36</v>
      </c>
      <c r="G3321">
        <v>468993</v>
      </c>
      <c r="H3321" t="s">
        <v>8954</v>
      </c>
      <c r="I3321" t="s">
        <v>8730</v>
      </c>
      <c r="J3321">
        <v>15</v>
      </c>
      <c r="K3321">
        <v>10032</v>
      </c>
      <c r="L3321">
        <v>10001</v>
      </c>
      <c r="M3321" t="s">
        <v>3135</v>
      </c>
      <c r="N3321">
        <v>679</v>
      </c>
      <c r="O3321" s="2">
        <v>46172</v>
      </c>
      <c r="P3321" s="2">
        <v>46280</v>
      </c>
      <c r="R3321" t="s">
        <v>8955</v>
      </c>
      <c r="S3321" t="str">
        <f>"1219"</f>
        <v>1219</v>
      </c>
      <c r="T3321" t="s">
        <v>41</v>
      </c>
      <c r="U3321">
        <v>1848.77</v>
      </c>
      <c r="V3321">
        <v>1848.77</v>
      </c>
      <c r="W3321">
        <v>1848.77</v>
      </c>
      <c r="X3321">
        <v>0</v>
      </c>
      <c r="Y3321">
        <v>0</v>
      </c>
      <c r="Z3321">
        <v>-505</v>
      </c>
      <c r="AA3321">
        <v>690032</v>
      </c>
      <c r="AD3321" t="s">
        <v>8956</v>
      </c>
      <c r="AE3321" t="s">
        <v>8957</v>
      </c>
      <c r="AF3321" t="s">
        <v>8956</v>
      </c>
      <c r="AG3321" s="1" t="s">
        <v>8958</v>
      </c>
      <c r="AH3321" t="s">
        <v>44</v>
      </c>
    </row>
    <row r="3322" spans="1:34" x14ac:dyDescent="0.3">
      <c r="A3322">
        <v>101</v>
      </c>
      <c r="B3322" t="s">
        <v>34</v>
      </c>
      <c r="C3322">
        <v>2</v>
      </c>
      <c r="D3322" s="1" t="s">
        <v>8959</v>
      </c>
      <c r="E3322" s="1" t="s">
        <v>36</v>
      </c>
      <c r="G3322">
        <v>468993</v>
      </c>
      <c r="H3322" t="s">
        <v>8954</v>
      </c>
      <c r="I3322" t="s">
        <v>8730</v>
      </c>
      <c r="J3322">
        <v>15</v>
      </c>
      <c r="K3322">
        <v>10032</v>
      </c>
      <c r="L3322">
        <v>95000</v>
      </c>
      <c r="M3322" t="s">
        <v>69</v>
      </c>
      <c r="N3322">
        <v>679</v>
      </c>
      <c r="O3322" s="2">
        <v>46203</v>
      </c>
      <c r="P3322" s="2">
        <v>46310</v>
      </c>
      <c r="R3322" t="s">
        <v>8960</v>
      </c>
      <c r="S3322" t="str">
        <f>""</f>
        <v/>
      </c>
      <c r="T3322" t="s">
        <v>41</v>
      </c>
      <c r="U3322">
        <v>1392.7</v>
      </c>
      <c r="V3322">
        <v>1392.7</v>
      </c>
      <c r="W3322">
        <v>1392.7</v>
      </c>
      <c r="X3322">
        <v>0</v>
      </c>
      <c r="Y3322">
        <v>0</v>
      </c>
      <c r="Z3322">
        <v>-535</v>
      </c>
      <c r="AA3322">
        <v>693556</v>
      </c>
      <c r="AD3322" t="s">
        <v>8956</v>
      </c>
      <c r="AE3322" t="s">
        <v>8957</v>
      </c>
      <c r="AF3322" t="s">
        <v>8956</v>
      </c>
      <c r="AG3322" s="1" t="s">
        <v>8958</v>
      </c>
      <c r="AH3322" t="s">
        <v>44</v>
      </c>
    </row>
    <row r="3323" spans="1:34" x14ac:dyDescent="0.3">
      <c r="A3323">
        <v>101</v>
      </c>
      <c r="B3323" t="s">
        <v>34</v>
      </c>
      <c r="C3323">
        <v>2</v>
      </c>
      <c r="D3323" s="1" t="s">
        <v>8961</v>
      </c>
      <c r="E3323" s="1" t="s">
        <v>36</v>
      </c>
      <c r="G3323">
        <v>469243</v>
      </c>
      <c r="H3323" t="s">
        <v>8962</v>
      </c>
      <c r="I3323" t="s">
        <v>8963</v>
      </c>
      <c r="J3323">
        <v>15</v>
      </c>
      <c r="K3323">
        <v>999002158</v>
      </c>
      <c r="L3323">
        <v>50341</v>
      </c>
      <c r="M3323" t="s">
        <v>146</v>
      </c>
      <c r="N3323">
        <v>679</v>
      </c>
      <c r="O3323" s="2">
        <v>46235</v>
      </c>
      <c r="P3323" s="2">
        <v>46263</v>
      </c>
      <c r="R3323" t="s">
        <v>8964</v>
      </c>
      <c r="S3323" t="str">
        <f>"00013522"</f>
        <v>00013522</v>
      </c>
      <c r="T3323" t="s">
        <v>41</v>
      </c>
      <c r="U3323">
        <v>3802.5</v>
      </c>
      <c r="V3323">
        <v>3342</v>
      </c>
      <c r="W3323">
        <v>3342</v>
      </c>
      <c r="X3323">
        <v>0</v>
      </c>
      <c r="Y3323">
        <v>0</v>
      </c>
      <c r="Z3323">
        <v>-488</v>
      </c>
      <c r="AA3323">
        <v>694698</v>
      </c>
      <c r="AD3323" t="s">
        <v>3301</v>
      </c>
      <c r="AE3323" t="s">
        <v>8811</v>
      </c>
      <c r="AF3323" t="s">
        <v>3301</v>
      </c>
      <c r="AG3323">
        <v>10250585002529</v>
      </c>
      <c r="AH3323" t="s">
        <v>44</v>
      </c>
    </row>
    <row r="3324" spans="1:34" x14ac:dyDescent="0.3">
      <c r="A3324">
        <v>106</v>
      </c>
      <c r="B3324" t="s">
        <v>34</v>
      </c>
      <c r="C3324">
        <v>2</v>
      </c>
      <c r="D3324" s="1" t="s">
        <v>8965</v>
      </c>
      <c r="E3324" s="1" t="s">
        <v>36</v>
      </c>
      <c r="G3324">
        <v>469243</v>
      </c>
      <c r="H3324" t="s">
        <v>8962</v>
      </c>
      <c r="I3324" t="s">
        <v>8963</v>
      </c>
      <c r="J3324">
        <v>15</v>
      </c>
      <c r="K3324">
        <v>999002158</v>
      </c>
      <c r="L3324">
        <v>50341</v>
      </c>
      <c r="M3324" t="s">
        <v>146</v>
      </c>
      <c r="N3324">
        <v>679</v>
      </c>
      <c r="O3324" s="2">
        <v>46235</v>
      </c>
      <c r="P3324" s="2">
        <v>46263</v>
      </c>
      <c r="R3324" t="s">
        <v>8966</v>
      </c>
      <c r="S3324" t="str">
        <f>"00013582"</f>
        <v>00013582</v>
      </c>
      <c r="T3324" t="s">
        <v>41</v>
      </c>
      <c r="U3324">
        <v>3927.36</v>
      </c>
      <c r="V3324">
        <v>3770.18</v>
      </c>
      <c r="W3324">
        <v>3770.18</v>
      </c>
      <c r="X3324">
        <v>0</v>
      </c>
      <c r="Y3324">
        <v>0</v>
      </c>
      <c r="Z3324">
        <v>-488</v>
      </c>
      <c r="AA3324">
        <v>694762</v>
      </c>
      <c r="AD3324" t="s">
        <v>3301</v>
      </c>
      <c r="AE3324" t="s">
        <v>8811</v>
      </c>
      <c r="AF3324" t="s">
        <v>3301</v>
      </c>
      <c r="AG3324">
        <v>10250585002529</v>
      </c>
      <c r="AH3324" t="s">
        <v>44</v>
      </c>
    </row>
    <row r="3325" spans="1:34" x14ac:dyDescent="0.3">
      <c r="A3325">
        <v>101</v>
      </c>
      <c r="B3325" t="s">
        <v>34</v>
      </c>
      <c r="C3325">
        <v>2</v>
      </c>
      <c r="D3325" s="1" t="s">
        <v>8967</v>
      </c>
      <c r="E3325" s="1" t="s">
        <v>36</v>
      </c>
      <c r="G3325">
        <v>469244</v>
      </c>
      <c r="H3325" t="s">
        <v>8968</v>
      </c>
      <c r="I3325" t="s">
        <v>8764</v>
      </c>
      <c r="J3325">
        <v>15</v>
      </c>
      <c r="K3325">
        <v>999002158</v>
      </c>
      <c r="L3325">
        <v>50341</v>
      </c>
      <c r="M3325" t="s">
        <v>146</v>
      </c>
      <c r="N3325">
        <v>679</v>
      </c>
      <c r="O3325" s="2">
        <v>46235</v>
      </c>
      <c r="P3325" s="2">
        <v>46263</v>
      </c>
      <c r="R3325" t="s">
        <v>8969</v>
      </c>
      <c r="S3325" t="str">
        <f>"00013523"</f>
        <v>00013523</v>
      </c>
      <c r="T3325" t="s">
        <v>41</v>
      </c>
      <c r="U3325">
        <v>3224.35</v>
      </c>
      <c r="V3325">
        <v>3192.11</v>
      </c>
      <c r="W3325">
        <v>3192.11</v>
      </c>
      <c r="X3325">
        <v>0</v>
      </c>
      <c r="Y3325">
        <v>0</v>
      </c>
      <c r="Z3325">
        <v>-488</v>
      </c>
      <c r="AA3325">
        <v>694700</v>
      </c>
      <c r="AD3325" t="s">
        <v>3373</v>
      </c>
      <c r="AE3325" t="s">
        <v>8811</v>
      </c>
      <c r="AF3325" t="s">
        <v>3373</v>
      </c>
      <c r="AG3325">
        <v>10250585002600</v>
      </c>
      <c r="AH3325" t="s">
        <v>44</v>
      </c>
    </row>
    <row r="3326" spans="1:34" x14ac:dyDescent="0.3">
      <c r="A3326">
        <v>106</v>
      </c>
      <c r="B3326" t="s">
        <v>34</v>
      </c>
      <c r="C3326">
        <v>2</v>
      </c>
      <c r="D3326" s="1" t="s">
        <v>8970</v>
      </c>
      <c r="E3326" s="1" t="s">
        <v>36</v>
      </c>
      <c r="G3326">
        <v>469244</v>
      </c>
      <c r="H3326" t="s">
        <v>8968</v>
      </c>
      <c r="I3326" t="s">
        <v>8764</v>
      </c>
      <c r="J3326">
        <v>15</v>
      </c>
      <c r="K3326">
        <v>999002158</v>
      </c>
      <c r="L3326">
        <v>50341</v>
      </c>
      <c r="M3326" t="s">
        <v>146</v>
      </c>
      <c r="N3326">
        <v>679</v>
      </c>
      <c r="O3326" s="2">
        <v>46235</v>
      </c>
      <c r="P3326" s="2">
        <v>46263</v>
      </c>
      <c r="R3326" t="s">
        <v>8971</v>
      </c>
      <c r="S3326" t="str">
        <f>"00013583"</f>
        <v>00013583</v>
      </c>
      <c r="T3326" t="s">
        <v>41</v>
      </c>
      <c r="U3326">
        <v>1931.72</v>
      </c>
      <c r="V3326">
        <v>1912.4</v>
      </c>
      <c r="W3326">
        <v>1912.4</v>
      </c>
      <c r="X3326">
        <v>0</v>
      </c>
      <c r="Y3326">
        <v>0</v>
      </c>
      <c r="Z3326">
        <v>-488</v>
      </c>
      <c r="AA3326">
        <v>694764</v>
      </c>
      <c r="AD3326" t="s">
        <v>3373</v>
      </c>
      <c r="AE3326" t="s">
        <v>8811</v>
      </c>
      <c r="AF3326" t="s">
        <v>3373</v>
      </c>
      <c r="AG3326">
        <v>10250585002600</v>
      </c>
      <c r="AH3326" t="s">
        <v>44</v>
      </c>
    </row>
    <row r="3327" spans="1:34" x14ac:dyDescent="0.3">
      <c r="A3327">
        <v>101</v>
      </c>
      <c r="B3327" t="s">
        <v>34</v>
      </c>
      <c r="C3327">
        <v>2</v>
      </c>
      <c r="D3327" s="1" t="s">
        <v>8972</v>
      </c>
      <c r="E3327" s="1" t="s">
        <v>36</v>
      </c>
      <c r="G3327">
        <v>469244</v>
      </c>
      <c r="H3327" t="s">
        <v>8968</v>
      </c>
      <c r="I3327" t="s">
        <v>8764</v>
      </c>
      <c r="J3327">
        <v>15</v>
      </c>
      <c r="K3327">
        <v>999002158</v>
      </c>
      <c r="L3327">
        <v>95080</v>
      </c>
      <c r="M3327" t="s">
        <v>83</v>
      </c>
      <c r="N3327">
        <v>679</v>
      </c>
      <c r="O3327" s="2">
        <v>46200</v>
      </c>
      <c r="P3327" s="2">
        <v>46228</v>
      </c>
      <c r="R3327" t="s">
        <v>8973</v>
      </c>
      <c r="S3327" t="str">
        <f>""</f>
        <v/>
      </c>
      <c r="T3327" t="s">
        <v>41</v>
      </c>
      <c r="U3327">
        <v>498.09</v>
      </c>
      <c r="V3327">
        <v>493.11</v>
      </c>
      <c r="W3327">
        <v>493.11</v>
      </c>
      <c r="X3327">
        <v>0</v>
      </c>
      <c r="Y3327">
        <v>0</v>
      </c>
      <c r="Z3327">
        <v>-453</v>
      </c>
      <c r="AA3327">
        <v>690179</v>
      </c>
      <c r="AD3327" t="s">
        <v>3373</v>
      </c>
      <c r="AE3327" t="s">
        <v>8811</v>
      </c>
      <c r="AF3327" t="s">
        <v>3373</v>
      </c>
      <c r="AG3327">
        <v>10250585002600</v>
      </c>
      <c r="AH3327" t="s">
        <v>44</v>
      </c>
    </row>
    <row r="3328" spans="1:34" x14ac:dyDescent="0.3">
      <c r="A3328">
        <v>106</v>
      </c>
      <c r="B3328" t="s">
        <v>34</v>
      </c>
      <c r="C3328">
        <v>2</v>
      </c>
      <c r="D3328" s="1" t="s">
        <v>8974</v>
      </c>
      <c r="E3328" s="1" t="s">
        <v>36</v>
      </c>
      <c r="G3328">
        <v>469245</v>
      </c>
      <c r="H3328" t="s">
        <v>8975</v>
      </c>
      <c r="I3328" t="s">
        <v>8764</v>
      </c>
      <c r="J3328">
        <v>15</v>
      </c>
      <c r="K3328">
        <v>999002158</v>
      </c>
      <c r="L3328">
        <v>50341</v>
      </c>
      <c r="M3328" t="s">
        <v>146</v>
      </c>
      <c r="N3328">
        <v>679</v>
      </c>
      <c r="O3328" s="2">
        <v>46235</v>
      </c>
      <c r="P3328" s="2">
        <v>46263</v>
      </c>
      <c r="R3328" t="s">
        <v>8976</v>
      </c>
      <c r="S3328" t="str">
        <f>"00013584"</f>
        <v>00013584</v>
      </c>
      <c r="T3328" t="s">
        <v>41</v>
      </c>
      <c r="U3328">
        <v>784.31</v>
      </c>
      <c r="V3328">
        <v>776.47</v>
      </c>
      <c r="W3328">
        <v>776.47</v>
      </c>
      <c r="X3328">
        <v>0</v>
      </c>
      <c r="Y3328">
        <v>0</v>
      </c>
      <c r="Z3328">
        <v>-488</v>
      </c>
      <c r="AA3328">
        <v>694767</v>
      </c>
      <c r="AD3328" t="s">
        <v>3373</v>
      </c>
      <c r="AE3328" t="s">
        <v>8811</v>
      </c>
      <c r="AF3328" t="s">
        <v>3373</v>
      </c>
      <c r="AG3328">
        <v>10250585002790</v>
      </c>
      <c r="AH3328" t="s">
        <v>44</v>
      </c>
    </row>
    <row r="3329" spans="1:34" x14ac:dyDescent="0.3">
      <c r="A3329">
        <v>101</v>
      </c>
      <c r="B3329" t="s">
        <v>34</v>
      </c>
      <c r="C3329">
        <v>2</v>
      </c>
      <c r="D3329" s="1" t="s">
        <v>8977</v>
      </c>
      <c r="E3329" s="1" t="s">
        <v>36</v>
      </c>
      <c r="G3329">
        <v>469245</v>
      </c>
      <c r="H3329" t="s">
        <v>8975</v>
      </c>
      <c r="I3329" t="s">
        <v>8764</v>
      </c>
      <c r="J3329">
        <v>15</v>
      </c>
      <c r="K3329">
        <v>999002158</v>
      </c>
      <c r="L3329">
        <v>50341</v>
      </c>
      <c r="M3329" t="s">
        <v>146</v>
      </c>
      <c r="N3329">
        <v>679</v>
      </c>
      <c r="O3329" s="2">
        <v>46235</v>
      </c>
      <c r="P3329" s="2">
        <v>46263</v>
      </c>
      <c r="R3329" t="s">
        <v>8978</v>
      </c>
      <c r="S3329" t="str">
        <f>"00013524"</f>
        <v>00013524</v>
      </c>
      <c r="T3329" t="s">
        <v>41</v>
      </c>
      <c r="U3329">
        <v>2334.67</v>
      </c>
      <c r="V3329">
        <v>2311.3200000000002</v>
      </c>
      <c r="W3329">
        <v>2311.3200000000002</v>
      </c>
      <c r="X3329">
        <v>0</v>
      </c>
      <c r="Y3329">
        <v>0</v>
      </c>
      <c r="Z3329">
        <v>-488</v>
      </c>
      <c r="AA3329">
        <v>694702</v>
      </c>
      <c r="AD3329" t="s">
        <v>3373</v>
      </c>
      <c r="AE3329" t="s">
        <v>8811</v>
      </c>
      <c r="AF3329" t="s">
        <v>3373</v>
      </c>
      <c r="AG3329">
        <v>10250585002790</v>
      </c>
      <c r="AH3329" t="s">
        <v>44</v>
      </c>
    </row>
    <row r="3330" spans="1:34" x14ac:dyDescent="0.3">
      <c r="A3330">
        <v>101</v>
      </c>
      <c r="B3330" t="s">
        <v>34</v>
      </c>
      <c r="C3330">
        <v>2</v>
      </c>
      <c r="D3330" s="1" t="s">
        <v>8979</v>
      </c>
      <c r="E3330" s="1" t="s">
        <v>36</v>
      </c>
      <c r="G3330">
        <v>469246</v>
      </c>
      <c r="H3330" t="s">
        <v>8980</v>
      </c>
      <c r="I3330" t="s">
        <v>8764</v>
      </c>
      <c r="J3330">
        <v>15</v>
      </c>
      <c r="K3330">
        <v>999002158</v>
      </c>
      <c r="L3330">
        <v>50341</v>
      </c>
      <c r="M3330" t="s">
        <v>146</v>
      </c>
      <c r="N3330">
        <v>679</v>
      </c>
      <c r="O3330" s="2">
        <v>46235</v>
      </c>
      <c r="P3330" s="2">
        <v>46263</v>
      </c>
      <c r="R3330" t="s">
        <v>8981</v>
      </c>
      <c r="S3330" t="str">
        <f>"00013525"</f>
        <v>00013525</v>
      </c>
      <c r="T3330" t="s">
        <v>41</v>
      </c>
      <c r="U3330">
        <v>4174.26</v>
      </c>
      <c r="V3330">
        <v>4132.5200000000004</v>
      </c>
      <c r="W3330">
        <v>4132.5200000000004</v>
      </c>
      <c r="X3330">
        <v>0</v>
      </c>
      <c r="Y3330">
        <v>0</v>
      </c>
      <c r="Z3330">
        <v>-488</v>
      </c>
      <c r="AA3330">
        <v>694696</v>
      </c>
      <c r="AD3330" t="s">
        <v>3301</v>
      </c>
      <c r="AE3330" t="s">
        <v>8811</v>
      </c>
      <c r="AF3330" t="s">
        <v>3301</v>
      </c>
      <c r="AG3330">
        <v>10250585002448</v>
      </c>
      <c r="AH3330" t="s">
        <v>44</v>
      </c>
    </row>
    <row r="3331" spans="1:34" x14ac:dyDescent="0.3">
      <c r="A3331">
        <v>106</v>
      </c>
      <c r="B3331" t="s">
        <v>34</v>
      </c>
      <c r="C3331">
        <v>2</v>
      </c>
      <c r="D3331" s="1" t="s">
        <v>8982</v>
      </c>
      <c r="E3331" s="1" t="s">
        <v>36</v>
      </c>
      <c r="G3331">
        <v>469246</v>
      </c>
      <c r="H3331" t="s">
        <v>8980</v>
      </c>
      <c r="I3331" t="s">
        <v>8764</v>
      </c>
      <c r="J3331">
        <v>15</v>
      </c>
      <c r="K3331">
        <v>999002158</v>
      </c>
      <c r="L3331">
        <v>50341</v>
      </c>
      <c r="M3331" t="s">
        <v>146</v>
      </c>
      <c r="N3331">
        <v>679</v>
      </c>
      <c r="O3331" s="2">
        <v>46235</v>
      </c>
      <c r="P3331" s="2">
        <v>46263</v>
      </c>
      <c r="R3331" t="s">
        <v>8983</v>
      </c>
      <c r="S3331" t="str">
        <f>"00013585"</f>
        <v>00013585</v>
      </c>
      <c r="T3331" t="s">
        <v>41</v>
      </c>
      <c r="U3331">
        <v>2184.4499999999998</v>
      </c>
      <c r="V3331">
        <v>2044.7</v>
      </c>
      <c r="W3331">
        <v>2044.7</v>
      </c>
      <c r="X3331">
        <v>0</v>
      </c>
      <c r="Y3331">
        <v>0</v>
      </c>
      <c r="Z3331">
        <v>-488</v>
      </c>
      <c r="AA3331">
        <v>694760</v>
      </c>
      <c r="AD3331" t="s">
        <v>3301</v>
      </c>
      <c r="AE3331" t="s">
        <v>8811</v>
      </c>
      <c r="AF3331" t="s">
        <v>3301</v>
      </c>
      <c r="AG3331">
        <v>10250585002448</v>
      </c>
      <c r="AH3331" t="s">
        <v>44</v>
      </c>
    </row>
    <row r="3332" spans="1:34" x14ac:dyDescent="0.3">
      <c r="A3332">
        <v>106</v>
      </c>
      <c r="B3332" t="s">
        <v>34</v>
      </c>
      <c r="C3332">
        <v>2</v>
      </c>
      <c r="D3332" s="1" t="s">
        <v>8984</v>
      </c>
      <c r="E3332" s="1" t="s">
        <v>36</v>
      </c>
      <c r="G3332">
        <v>469246</v>
      </c>
      <c r="H3332" t="s">
        <v>8980</v>
      </c>
      <c r="I3332" t="s">
        <v>8764</v>
      </c>
      <c r="J3332">
        <v>15</v>
      </c>
      <c r="K3332">
        <v>999002158</v>
      </c>
      <c r="L3332">
        <v>95080</v>
      </c>
      <c r="M3332" t="s">
        <v>83</v>
      </c>
      <c r="N3332">
        <v>679</v>
      </c>
      <c r="O3332" s="2">
        <v>46203</v>
      </c>
      <c r="P3332" s="2">
        <v>46231</v>
      </c>
      <c r="R3332" t="s">
        <v>8985</v>
      </c>
      <c r="S3332" t="str">
        <f>""</f>
        <v/>
      </c>
      <c r="T3332" t="s">
        <v>41</v>
      </c>
      <c r="U3332">
        <v>1554.1</v>
      </c>
      <c r="V3332">
        <v>1538.56</v>
      </c>
      <c r="W3332">
        <v>1538.56</v>
      </c>
      <c r="X3332">
        <v>0</v>
      </c>
      <c r="Y3332">
        <v>0</v>
      </c>
      <c r="Z3332">
        <v>-456</v>
      </c>
      <c r="AA3332">
        <v>692451</v>
      </c>
      <c r="AD3332" t="s">
        <v>3301</v>
      </c>
      <c r="AE3332" t="s">
        <v>8811</v>
      </c>
      <c r="AF3332" t="s">
        <v>3301</v>
      </c>
      <c r="AG3332">
        <v>10250585002448</v>
      </c>
      <c r="AH3332" t="s">
        <v>44</v>
      </c>
    </row>
    <row r="3333" spans="1:34" x14ac:dyDescent="0.3">
      <c r="A3333">
        <v>106</v>
      </c>
      <c r="B3333" t="s">
        <v>34</v>
      </c>
      <c r="C3333">
        <v>2</v>
      </c>
      <c r="D3333" s="1" t="s">
        <v>8986</v>
      </c>
      <c r="E3333" s="1" t="s">
        <v>36</v>
      </c>
      <c r="G3333">
        <v>469351</v>
      </c>
      <c r="H3333" t="s">
        <v>8987</v>
      </c>
      <c r="I3333" t="s">
        <v>8963</v>
      </c>
      <c r="J3333">
        <v>15</v>
      </c>
      <c r="K3333">
        <v>999002158</v>
      </c>
      <c r="L3333">
        <v>50341</v>
      </c>
      <c r="M3333" t="s">
        <v>146</v>
      </c>
      <c r="N3333">
        <v>679</v>
      </c>
      <c r="O3333" s="2">
        <v>46235</v>
      </c>
      <c r="P3333" s="2">
        <v>46263</v>
      </c>
      <c r="R3333" t="s">
        <v>8988</v>
      </c>
      <c r="S3333" t="str">
        <f>"00013586"</f>
        <v>00013586</v>
      </c>
      <c r="T3333" t="s">
        <v>41</v>
      </c>
      <c r="U3333">
        <v>1792.29</v>
      </c>
      <c r="V3333">
        <v>1774.37</v>
      </c>
      <c r="W3333">
        <v>1774.37</v>
      </c>
      <c r="X3333">
        <v>0</v>
      </c>
      <c r="Y3333">
        <v>0</v>
      </c>
      <c r="Z3333">
        <v>-488</v>
      </c>
      <c r="AA3333">
        <v>694775</v>
      </c>
      <c r="AD3333" t="s">
        <v>3228</v>
      </c>
      <c r="AE3333" t="s">
        <v>8811</v>
      </c>
      <c r="AF3333" t="s">
        <v>3228</v>
      </c>
      <c r="AG3333">
        <v>10250585003096</v>
      </c>
      <c r="AH3333" t="s">
        <v>44</v>
      </c>
    </row>
    <row r="3334" spans="1:34" x14ac:dyDescent="0.3">
      <c r="A3334">
        <v>101</v>
      </c>
      <c r="B3334" t="s">
        <v>34</v>
      </c>
      <c r="C3334">
        <v>2</v>
      </c>
      <c r="D3334" s="1" t="s">
        <v>8989</v>
      </c>
      <c r="E3334" s="1" t="s">
        <v>36</v>
      </c>
      <c r="G3334">
        <v>469351</v>
      </c>
      <c r="H3334" t="s">
        <v>8987</v>
      </c>
      <c r="I3334" t="s">
        <v>8963</v>
      </c>
      <c r="J3334">
        <v>15</v>
      </c>
      <c r="K3334">
        <v>999002158</v>
      </c>
      <c r="L3334">
        <v>50341</v>
      </c>
      <c r="M3334" t="s">
        <v>146</v>
      </c>
      <c r="N3334">
        <v>679</v>
      </c>
      <c r="O3334" s="2">
        <v>46235</v>
      </c>
      <c r="P3334" s="2">
        <v>46263</v>
      </c>
      <c r="R3334" t="s">
        <v>8990</v>
      </c>
      <c r="S3334" t="str">
        <f>"00013526"</f>
        <v>00013526</v>
      </c>
      <c r="T3334" t="s">
        <v>41</v>
      </c>
      <c r="U3334">
        <v>3078.62</v>
      </c>
      <c r="V3334">
        <v>3047.83</v>
      </c>
      <c r="W3334">
        <v>3047.83</v>
      </c>
      <c r="X3334">
        <v>0</v>
      </c>
      <c r="Y3334">
        <v>0</v>
      </c>
      <c r="Z3334">
        <v>-488</v>
      </c>
      <c r="AA3334">
        <v>694712</v>
      </c>
      <c r="AD3334" t="s">
        <v>3228</v>
      </c>
      <c r="AE3334" t="s">
        <v>8811</v>
      </c>
      <c r="AF3334" t="s">
        <v>3228</v>
      </c>
      <c r="AG3334">
        <v>10250585003096</v>
      </c>
      <c r="AH3334" t="s">
        <v>44</v>
      </c>
    </row>
    <row r="3335" spans="1:34" x14ac:dyDescent="0.3">
      <c r="A3335">
        <v>101</v>
      </c>
      <c r="B3335" t="s">
        <v>34</v>
      </c>
      <c r="C3335">
        <v>2</v>
      </c>
      <c r="D3335" s="1" t="s">
        <v>8991</v>
      </c>
      <c r="E3335" s="1" t="s">
        <v>36</v>
      </c>
      <c r="G3335">
        <v>469352</v>
      </c>
      <c r="H3335" t="s">
        <v>8992</v>
      </c>
      <c r="I3335" t="s">
        <v>8764</v>
      </c>
      <c r="J3335">
        <v>15</v>
      </c>
      <c r="K3335">
        <v>999002158</v>
      </c>
      <c r="L3335">
        <v>50341</v>
      </c>
      <c r="M3335" t="s">
        <v>146</v>
      </c>
      <c r="N3335">
        <v>679</v>
      </c>
      <c r="O3335" s="2">
        <v>46235</v>
      </c>
      <c r="P3335" s="2">
        <v>46263</v>
      </c>
      <c r="R3335" t="s">
        <v>8993</v>
      </c>
      <c r="S3335" t="str">
        <f>"00013527"</f>
        <v>00013527</v>
      </c>
      <c r="T3335" t="s">
        <v>41</v>
      </c>
      <c r="U3335">
        <v>3741.19</v>
      </c>
      <c r="V3335">
        <v>3703.78</v>
      </c>
      <c r="W3335">
        <v>3703.78</v>
      </c>
      <c r="X3335">
        <v>0</v>
      </c>
      <c r="Y3335">
        <v>0</v>
      </c>
      <c r="Z3335">
        <v>-488</v>
      </c>
      <c r="AA3335">
        <v>694710</v>
      </c>
      <c r="AD3335" t="s">
        <v>3373</v>
      </c>
      <c r="AE3335" t="s">
        <v>8811</v>
      </c>
      <c r="AF3335" t="s">
        <v>3373</v>
      </c>
      <c r="AG3335">
        <v>10250585002952</v>
      </c>
      <c r="AH3335" t="s">
        <v>44</v>
      </c>
    </row>
    <row r="3336" spans="1:34" x14ac:dyDescent="0.3">
      <c r="A3336">
        <v>106</v>
      </c>
      <c r="B3336" t="s">
        <v>34</v>
      </c>
      <c r="C3336">
        <v>2</v>
      </c>
      <c r="D3336" s="1" t="s">
        <v>8994</v>
      </c>
      <c r="E3336" s="1" t="s">
        <v>36</v>
      </c>
      <c r="G3336">
        <v>469352</v>
      </c>
      <c r="H3336" t="s">
        <v>8992</v>
      </c>
      <c r="I3336" t="s">
        <v>8764</v>
      </c>
      <c r="J3336">
        <v>15</v>
      </c>
      <c r="K3336">
        <v>999002158</v>
      </c>
      <c r="L3336">
        <v>50341</v>
      </c>
      <c r="M3336" t="s">
        <v>146</v>
      </c>
      <c r="N3336">
        <v>679</v>
      </c>
      <c r="O3336" s="2">
        <v>46235</v>
      </c>
      <c r="P3336" s="2">
        <v>46263</v>
      </c>
      <c r="R3336" t="s">
        <v>8995</v>
      </c>
      <c r="S3336" t="str">
        <f>"00013587"</f>
        <v>00013587</v>
      </c>
      <c r="T3336" t="s">
        <v>41</v>
      </c>
      <c r="U3336">
        <v>2660.86</v>
      </c>
      <c r="V3336">
        <v>2634.25</v>
      </c>
      <c r="W3336">
        <v>2634.25</v>
      </c>
      <c r="X3336">
        <v>0</v>
      </c>
      <c r="Y3336">
        <v>0</v>
      </c>
      <c r="Z3336">
        <v>-488</v>
      </c>
      <c r="AA3336">
        <v>694773</v>
      </c>
      <c r="AD3336" t="s">
        <v>3373</v>
      </c>
      <c r="AE3336" t="s">
        <v>8811</v>
      </c>
      <c r="AF3336" t="s">
        <v>3373</v>
      </c>
      <c r="AG3336">
        <v>10250585002952</v>
      </c>
      <c r="AH3336" t="s">
        <v>44</v>
      </c>
    </row>
    <row r="3337" spans="1:34" x14ac:dyDescent="0.3">
      <c r="A3337">
        <v>106</v>
      </c>
      <c r="B3337" t="s">
        <v>34</v>
      </c>
      <c r="C3337">
        <v>2</v>
      </c>
      <c r="D3337" s="1" t="s">
        <v>8996</v>
      </c>
      <c r="E3337" s="1" t="s">
        <v>36</v>
      </c>
      <c r="G3337">
        <v>469353</v>
      </c>
      <c r="H3337" t="s">
        <v>8997</v>
      </c>
      <c r="I3337" t="s">
        <v>8764</v>
      </c>
      <c r="J3337">
        <v>15</v>
      </c>
      <c r="K3337">
        <v>999002158</v>
      </c>
      <c r="L3337">
        <v>50341</v>
      </c>
      <c r="M3337" t="s">
        <v>146</v>
      </c>
      <c r="N3337">
        <v>679</v>
      </c>
      <c r="O3337" s="2">
        <v>46235</v>
      </c>
      <c r="P3337" s="2">
        <v>46263</v>
      </c>
      <c r="R3337" t="s">
        <v>8998</v>
      </c>
      <c r="S3337" t="str">
        <f>"00013588"</f>
        <v>00013588</v>
      </c>
      <c r="T3337" t="s">
        <v>41</v>
      </c>
      <c r="U3337">
        <v>2254.17</v>
      </c>
      <c r="V3337">
        <v>2231.63</v>
      </c>
      <c r="W3337">
        <v>2231.63</v>
      </c>
      <c r="X3337">
        <v>0</v>
      </c>
      <c r="Y3337">
        <v>0</v>
      </c>
      <c r="Z3337">
        <v>-488</v>
      </c>
      <c r="AA3337">
        <v>694777</v>
      </c>
      <c r="AD3337" t="s">
        <v>64</v>
      </c>
      <c r="AE3337" t="s">
        <v>8811</v>
      </c>
      <c r="AF3337" t="s">
        <v>64</v>
      </c>
      <c r="AG3337">
        <v>10250585003177</v>
      </c>
      <c r="AH3337" t="s">
        <v>44</v>
      </c>
    </row>
    <row r="3338" spans="1:34" x14ac:dyDescent="0.3">
      <c r="A3338">
        <v>106</v>
      </c>
      <c r="B3338" t="s">
        <v>34</v>
      </c>
      <c r="C3338">
        <v>2</v>
      </c>
      <c r="D3338" s="1" t="s">
        <v>8999</v>
      </c>
      <c r="E3338" s="1" t="s">
        <v>36</v>
      </c>
      <c r="G3338">
        <v>469354</v>
      </c>
      <c r="H3338" t="s">
        <v>9000</v>
      </c>
      <c r="I3338" t="s">
        <v>8764</v>
      </c>
      <c r="J3338">
        <v>15</v>
      </c>
      <c r="K3338">
        <v>999002158</v>
      </c>
      <c r="L3338">
        <v>50341</v>
      </c>
      <c r="M3338" t="s">
        <v>146</v>
      </c>
      <c r="N3338">
        <v>679</v>
      </c>
      <c r="O3338" s="2">
        <v>46235</v>
      </c>
      <c r="P3338" s="2">
        <v>46263</v>
      </c>
      <c r="R3338" t="s">
        <v>9001</v>
      </c>
      <c r="S3338" t="str">
        <f>"00013589"</f>
        <v>00013589</v>
      </c>
      <c r="T3338" t="s">
        <v>41</v>
      </c>
      <c r="U3338">
        <v>1519.24</v>
      </c>
      <c r="V3338">
        <v>1504.05</v>
      </c>
      <c r="W3338">
        <v>1504.05</v>
      </c>
      <c r="X3338">
        <v>0</v>
      </c>
      <c r="Y3338">
        <v>0</v>
      </c>
      <c r="Z3338">
        <v>-488</v>
      </c>
      <c r="AA3338">
        <v>694771</v>
      </c>
      <c r="AD3338" t="s">
        <v>3301</v>
      </c>
      <c r="AE3338" t="s">
        <v>8811</v>
      </c>
      <c r="AF3338" t="s">
        <v>3301</v>
      </c>
      <c r="AG3338">
        <v>10250585002871</v>
      </c>
      <c r="AH3338" t="s">
        <v>44</v>
      </c>
    </row>
    <row r="3339" spans="1:34" x14ac:dyDescent="0.3">
      <c r="A3339">
        <v>101</v>
      </c>
      <c r="B3339" t="s">
        <v>34</v>
      </c>
      <c r="C3339">
        <v>2</v>
      </c>
      <c r="D3339" s="1" t="s">
        <v>9002</v>
      </c>
      <c r="E3339" s="1" t="s">
        <v>36</v>
      </c>
      <c r="G3339">
        <v>469354</v>
      </c>
      <c r="H3339" t="s">
        <v>9000</v>
      </c>
      <c r="I3339" t="s">
        <v>8764</v>
      </c>
      <c r="J3339">
        <v>15</v>
      </c>
      <c r="K3339">
        <v>999002158</v>
      </c>
      <c r="L3339">
        <v>50341</v>
      </c>
      <c r="M3339" t="s">
        <v>146</v>
      </c>
      <c r="N3339">
        <v>679</v>
      </c>
      <c r="O3339" s="2">
        <v>46235</v>
      </c>
      <c r="P3339" s="2">
        <v>46263</v>
      </c>
      <c r="R3339" t="s">
        <v>9003</v>
      </c>
      <c r="S3339" t="str">
        <f>"00013528"</f>
        <v>00013528</v>
      </c>
      <c r="T3339" t="s">
        <v>41</v>
      </c>
      <c r="U3339">
        <v>4655.8100000000004</v>
      </c>
      <c r="V3339">
        <v>4609.25</v>
      </c>
      <c r="W3339">
        <v>4609.25</v>
      </c>
      <c r="X3339">
        <v>0</v>
      </c>
      <c r="Y3339">
        <v>0</v>
      </c>
      <c r="Z3339">
        <v>-488</v>
      </c>
      <c r="AA3339">
        <v>694708</v>
      </c>
      <c r="AD3339" t="s">
        <v>3301</v>
      </c>
      <c r="AE3339" t="s">
        <v>8811</v>
      </c>
      <c r="AF3339" t="s">
        <v>3301</v>
      </c>
      <c r="AG3339">
        <v>10250585002871</v>
      </c>
      <c r="AH3339" t="s">
        <v>44</v>
      </c>
    </row>
    <row r="3340" spans="1:34" x14ac:dyDescent="0.3">
      <c r="A3340">
        <v>106</v>
      </c>
      <c r="B3340" t="s">
        <v>34</v>
      </c>
      <c r="C3340">
        <v>2</v>
      </c>
      <c r="D3340" s="1" t="s">
        <v>9004</v>
      </c>
      <c r="E3340" s="1" t="s">
        <v>36</v>
      </c>
      <c r="G3340">
        <v>469473</v>
      </c>
      <c r="H3340" t="s">
        <v>9005</v>
      </c>
      <c r="I3340" t="s">
        <v>9006</v>
      </c>
      <c r="J3340">
        <v>15</v>
      </c>
      <c r="K3340">
        <v>999002158</v>
      </c>
      <c r="L3340">
        <v>50341</v>
      </c>
      <c r="M3340" t="s">
        <v>146</v>
      </c>
      <c r="N3340">
        <v>679</v>
      </c>
      <c r="O3340" s="2">
        <v>46235</v>
      </c>
      <c r="P3340" s="2">
        <v>46263</v>
      </c>
      <c r="R3340" t="s">
        <v>9007</v>
      </c>
      <c r="S3340" t="str">
        <f>"00013590"</f>
        <v>00013590</v>
      </c>
      <c r="T3340" t="s">
        <v>41</v>
      </c>
      <c r="U3340">
        <v>1281.03</v>
      </c>
      <c r="V3340">
        <v>1268.22</v>
      </c>
      <c r="W3340">
        <v>1268.22</v>
      </c>
      <c r="X3340">
        <v>0</v>
      </c>
      <c r="Y3340">
        <v>0</v>
      </c>
      <c r="Z3340">
        <v>-488</v>
      </c>
      <c r="AA3340">
        <v>694779</v>
      </c>
      <c r="AD3340" t="s">
        <v>3301</v>
      </c>
      <c r="AE3340" t="s">
        <v>8811</v>
      </c>
      <c r="AF3340" t="s">
        <v>3301</v>
      </c>
      <c r="AG3340">
        <v>10250585003258</v>
      </c>
      <c r="AH3340" t="s">
        <v>44</v>
      </c>
    </row>
    <row r="3341" spans="1:34" x14ac:dyDescent="0.3">
      <c r="A3341">
        <v>101</v>
      </c>
      <c r="B3341" t="s">
        <v>34</v>
      </c>
      <c r="C3341">
        <v>2</v>
      </c>
      <c r="D3341" s="1" t="s">
        <v>9008</v>
      </c>
      <c r="E3341" s="1" t="s">
        <v>36</v>
      </c>
      <c r="G3341">
        <v>469652</v>
      </c>
      <c r="H3341" t="s">
        <v>9009</v>
      </c>
      <c r="I3341" t="s">
        <v>9010</v>
      </c>
      <c r="J3341">
        <v>12</v>
      </c>
      <c r="K3341">
        <v>469652</v>
      </c>
      <c r="L3341">
        <v>50237</v>
      </c>
      <c r="M3341" t="s">
        <v>39</v>
      </c>
      <c r="N3341">
        <v>679</v>
      </c>
      <c r="O3341" s="2">
        <v>46231</v>
      </c>
      <c r="P3341" s="2">
        <v>46266</v>
      </c>
      <c r="R3341" t="s">
        <v>9011</v>
      </c>
      <c r="S3341" t="str">
        <f>"330000051678"</f>
        <v>330000051678</v>
      </c>
      <c r="T3341" t="s">
        <v>41</v>
      </c>
      <c r="U3341">
        <v>1871.06</v>
      </c>
      <c r="V3341">
        <v>1871.06</v>
      </c>
      <c r="W3341">
        <v>1871.06</v>
      </c>
      <c r="X3341">
        <v>0</v>
      </c>
      <c r="Y3341">
        <v>0</v>
      </c>
      <c r="Z3341">
        <v>-491</v>
      </c>
      <c r="AA3341">
        <v>1635</v>
      </c>
      <c r="AD3341" t="s">
        <v>8614</v>
      </c>
      <c r="AE3341" t="s">
        <v>9012</v>
      </c>
      <c r="AF3341" t="s">
        <v>8614</v>
      </c>
      <c r="AG3341">
        <v>54714315000120</v>
      </c>
      <c r="AH3341" t="s">
        <v>44</v>
      </c>
    </row>
    <row r="3342" spans="1:34" x14ac:dyDescent="0.3">
      <c r="A3342">
        <v>106</v>
      </c>
      <c r="B3342" t="s">
        <v>34</v>
      </c>
      <c r="C3342">
        <v>2</v>
      </c>
      <c r="D3342" s="1" t="s">
        <v>9013</v>
      </c>
      <c r="E3342" s="1" t="s">
        <v>36</v>
      </c>
      <c r="G3342">
        <v>469671</v>
      </c>
      <c r="H3342" t="s">
        <v>9014</v>
      </c>
      <c r="I3342" t="s">
        <v>8963</v>
      </c>
      <c r="J3342">
        <v>15</v>
      </c>
      <c r="K3342">
        <v>999002158</v>
      </c>
      <c r="L3342">
        <v>50341</v>
      </c>
      <c r="M3342" t="s">
        <v>146</v>
      </c>
      <c r="N3342">
        <v>679</v>
      </c>
      <c r="O3342" s="2">
        <v>46235</v>
      </c>
      <c r="P3342" s="2">
        <v>46263</v>
      </c>
      <c r="R3342" t="s">
        <v>9015</v>
      </c>
      <c r="S3342" t="str">
        <f>"00013591"</f>
        <v>00013591</v>
      </c>
      <c r="T3342" t="s">
        <v>41</v>
      </c>
      <c r="U3342">
        <v>1568.62</v>
      </c>
      <c r="V3342">
        <v>1552.93</v>
      </c>
      <c r="W3342">
        <v>1552.93</v>
      </c>
      <c r="X3342">
        <v>0</v>
      </c>
      <c r="Y3342">
        <v>0</v>
      </c>
      <c r="Z3342">
        <v>-488</v>
      </c>
      <c r="AA3342">
        <v>694752</v>
      </c>
      <c r="AD3342" t="s">
        <v>64</v>
      </c>
      <c r="AE3342" t="s">
        <v>8811</v>
      </c>
      <c r="AF3342" t="s">
        <v>64</v>
      </c>
      <c r="AG3342">
        <v>10250585002103</v>
      </c>
      <c r="AH3342" t="s">
        <v>44</v>
      </c>
    </row>
    <row r="3343" spans="1:34" x14ac:dyDescent="0.3">
      <c r="A3343">
        <v>101</v>
      </c>
      <c r="B3343" t="s">
        <v>34</v>
      </c>
      <c r="C3343">
        <v>2</v>
      </c>
      <c r="D3343" s="1" t="s">
        <v>9016</v>
      </c>
      <c r="E3343" s="1" t="s">
        <v>36</v>
      </c>
      <c r="G3343">
        <v>469671</v>
      </c>
      <c r="H3343" t="s">
        <v>9014</v>
      </c>
      <c r="I3343" t="s">
        <v>8963</v>
      </c>
      <c r="J3343">
        <v>15</v>
      </c>
      <c r="K3343">
        <v>999002158</v>
      </c>
      <c r="L3343">
        <v>95080</v>
      </c>
      <c r="M3343" t="s">
        <v>83</v>
      </c>
      <c r="N3343">
        <v>679</v>
      </c>
      <c r="O3343" s="2">
        <v>46200</v>
      </c>
      <c r="P3343" s="2">
        <v>46228</v>
      </c>
      <c r="R3343" t="s">
        <v>9017</v>
      </c>
      <c r="S3343" t="str">
        <f>""</f>
        <v/>
      </c>
      <c r="T3343" t="s">
        <v>41</v>
      </c>
      <c r="U3343">
        <v>516.55999999999995</v>
      </c>
      <c r="V3343">
        <v>511.39</v>
      </c>
      <c r="W3343">
        <v>511.39</v>
      </c>
      <c r="X3343">
        <v>0</v>
      </c>
      <c r="Y3343">
        <v>0</v>
      </c>
      <c r="Z3343">
        <v>-453</v>
      </c>
      <c r="AA3343">
        <v>690167</v>
      </c>
      <c r="AD3343" t="s">
        <v>64</v>
      </c>
      <c r="AE3343" t="s">
        <v>8811</v>
      </c>
      <c r="AF3343" t="s">
        <v>64</v>
      </c>
      <c r="AG3343">
        <v>10250585002103</v>
      </c>
      <c r="AH3343" t="s">
        <v>44</v>
      </c>
    </row>
    <row r="3344" spans="1:34" x14ac:dyDescent="0.3">
      <c r="A3344">
        <v>101</v>
      </c>
      <c r="B3344" t="s">
        <v>34</v>
      </c>
      <c r="C3344">
        <v>2</v>
      </c>
      <c r="D3344" s="1" t="s">
        <v>9018</v>
      </c>
      <c r="E3344" s="1" t="s">
        <v>36</v>
      </c>
      <c r="G3344">
        <v>469868</v>
      </c>
      <c r="H3344" t="s">
        <v>9019</v>
      </c>
      <c r="I3344" t="s">
        <v>9020</v>
      </c>
      <c r="J3344">
        <v>12</v>
      </c>
      <c r="K3344">
        <v>467247</v>
      </c>
      <c r="L3344">
        <v>50033</v>
      </c>
      <c r="M3344" t="s">
        <v>39</v>
      </c>
      <c r="N3344">
        <v>679</v>
      </c>
      <c r="O3344" s="2">
        <v>46231</v>
      </c>
      <c r="P3344" s="2">
        <v>46266</v>
      </c>
      <c r="R3344" t="s">
        <v>9021</v>
      </c>
      <c r="S3344" t="str">
        <f>"0000050411390"</f>
        <v>0000050411390</v>
      </c>
      <c r="T3344" t="s">
        <v>41</v>
      </c>
      <c r="U3344">
        <v>1981.43</v>
      </c>
      <c r="V3344">
        <v>1981.43</v>
      </c>
      <c r="W3344">
        <v>1981.43</v>
      </c>
      <c r="X3344">
        <v>0</v>
      </c>
      <c r="Y3344">
        <v>0</v>
      </c>
      <c r="Z3344">
        <v>-491</v>
      </c>
      <c r="AA3344">
        <v>1636</v>
      </c>
      <c r="AD3344" t="s">
        <v>3188</v>
      </c>
      <c r="AE3344" t="s">
        <v>9012</v>
      </c>
      <c r="AF3344" t="s">
        <v>3188</v>
      </c>
      <c r="AG3344">
        <v>55062338000160</v>
      </c>
      <c r="AH3344" t="s">
        <v>44</v>
      </c>
    </row>
    <row r="3345" spans="1:34" x14ac:dyDescent="0.3">
      <c r="A3345">
        <v>106</v>
      </c>
      <c r="B3345" t="s">
        <v>34</v>
      </c>
      <c r="C3345">
        <v>2</v>
      </c>
      <c r="D3345" s="1" t="s">
        <v>9022</v>
      </c>
      <c r="E3345" s="1" t="s">
        <v>36</v>
      </c>
      <c r="G3345">
        <v>470854</v>
      </c>
      <c r="H3345" t="s">
        <v>9023</v>
      </c>
      <c r="I3345" t="s">
        <v>9024</v>
      </c>
      <c r="J3345">
        <v>15</v>
      </c>
      <c r="K3345">
        <v>999002158</v>
      </c>
      <c r="L3345">
        <v>50341</v>
      </c>
      <c r="M3345" t="s">
        <v>146</v>
      </c>
      <c r="N3345">
        <v>679</v>
      </c>
      <c r="O3345" s="2">
        <v>46235</v>
      </c>
      <c r="P3345" s="2">
        <v>46263</v>
      </c>
      <c r="R3345" t="s">
        <v>9025</v>
      </c>
      <c r="S3345" t="str">
        <f>"00013592"</f>
        <v>00013592</v>
      </c>
      <c r="T3345" t="s">
        <v>41</v>
      </c>
      <c r="U3345">
        <v>32069.81</v>
      </c>
      <c r="V3345">
        <v>29439.75</v>
      </c>
      <c r="W3345">
        <v>29439.75</v>
      </c>
      <c r="X3345">
        <v>0</v>
      </c>
      <c r="Y3345">
        <v>0</v>
      </c>
      <c r="Z3345">
        <v>-488</v>
      </c>
      <c r="AA3345">
        <v>694769</v>
      </c>
      <c r="AD3345" t="s">
        <v>3373</v>
      </c>
      <c r="AE3345" t="s">
        <v>9026</v>
      </c>
      <c r="AF3345" t="s">
        <v>3373</v>
      </c>
      <c r="AG3345">
        <v>66408954000227</v>
      </c>
      <c r="AH3345" t="s">
        <v>44</v>
      </c>
    </row>
    <row r="3346" spans="1:34" x14ac:dyDescent="0.3">
      <c r="A3346">
        <v>101</v>
      </c>
      <c r="B3346" t="s">
        <v>34</v>
      </c>
      <c r="C3346">
        <v>2</v>
      </c>
      <c r="D3346" s="1" t="s">
        <v>9027</v>
      </c>
      <c r="E3346" s="1" t="s">
        <v>36</v>
      </c>
      <c r="G3346">
        <v>470854</v>
      </c>
      <c r="H3346" t="s">
        <v>9023</v>
      </c>
      <c r="I3346" t="s">
        <v>9024</v>
      </c>
      <c r="J3346">
        <v>15</v>
      </c>
      <c r="K3346">
        <v>999002158</v>
      </c>
      <c r="L3346">
        <v>50341</v>
      </c>
      <c r="M3346" t="s">
        <v>146</v>
      </c>
      <c r="N3346">
        <v>679</v>
      </c>
      <c r="O3346" s="2">
        <v>46231</v>
      </c>
      <c r="P3346" s="2">
        <v>46259</v>
      </c>
      <c r="R3346" t="s">
        <v>9028</v>
      </c>
      <c r="S3346" t="str">
        <f>"00013359"</f>
        <v>00013359</v>
      </c>
      <c r="T3346" t="s">
        <v>41</v>
      </c>
      <c r="U3346">
        <v>1873.5</v>
      </c>
      <c r="V3346">
        <v>1854.77</v>
      </c>
      <c r="W3346">
        <v>1854.77</v>
      </c>
      <c r="X3346">
        <v>0</v>
      </c>
      <c r="Y3346">
        <v>0</v>
      </c>
      <c r="Z3346">
        <v>-484</v>
      </c>
      <c r="AA3346">
        <v>1726</v>
      </c>
      <c r="AD3346" t="s">
        <v>3373</v>
      </c>
      <c r="AE3346" t="s">
        <v>9026</v>
      </c>
      <c r="AF3346" t="s">
        <v>3373</v>
      </c>
      <c r="AG3346">
        <v>66408954000227</v>
      </c>
      <c r="AH3346" t="s">
        <v>44</v>
      </c>
    </row>
    <row r="3347" spans="1:34" x14ac:dyDescent="0.3">
      <c r="A3347">
        <v>101</v>
      </c>
      <c r="B3347" t="s">
        <v>34</v>
      </c>
      <c r="C3347">
        <v>2</v>
      </c>
      <c r="D3347" s="1" t="s">
        <v>9029</v>
      </c>
      <c r="E3347" s="1" t="s">
        <v>36</v>
      </c>
      <c r="G3347">
        <v>470854</v>
      </c>
      <c r="H3347" t="s">
        <v>9023</v>
      </c>
      <c r="I3347" t="s">
        <v>9024</v>
      </c>
      <c r="J3347">
        <v>15</v>
      </c>
      <c r="K3347">
        <v>999002158</v>
      </c>
      <c r="L3347">
        <v>50341</v>
      </c>
      <c r="M3347" t="s">
        <v>146</v>
      </c>
      <c r="N3347">
        <v>679</v>
      </c>
      <c r="O3347" s="2">
        <v>46230</v>
      </c>
      <c r="P3347" s="2">
        <v>46258</v>
      </c>
      <c r="R3347" t="s">
        <v>9030</v>
      </c>
      <c r="S3347" t="str">
        <f>"00013349"</f>
        <v>00013349</v>
      </c>
      <c r="T3347" t="s">
        <v>41</v>
      </c>
      <c r="U3347">
        <v>32198.639999999999</v>
      </c>
      <c r="V3347">
        <v>31876.65</v>
      </c>
      <c r="W3347">
        <v>31876.65</v>
      </c>
      <c r="X3347">
        <v>0</v>
      </c>
      <c r="Y3347">
        <v>0</v>
      </c>
      <c r="Z3347">
        <v>-483</v>
      </c>
      <c r="AA3347">
        <v>1726</v>
      </c>
      <c r="AD3347" t="s">
        <v>3373</v>
      </c>
      <c r="AE3347" t="s">
        <v>9026</v>
      </c>
      <c r="AF3347" t="s">
        <v>3373</v>
      </c>
      <c r="AG3347">
        <v>66408954000227</v>
      </c>
      <c r="AH3347" t="s">
        <v>44</v>
      </c>
    </row>
    <row r="3348" spans="1:34" x14ac:dyDescent="0.3">
      <c r="A3348">
        <v>101</v>
      </c>
      <c r="B3348" t="s">
        <v>34</v>
      </c>
      <c r="C3348">
        <v>2</v>
      </c>
      <c r="D3348" s="1" t="s">
        <v>9031</v>
      </c>
      <c r="E3348" s="1" t="s">
        <v>36</v>
      </c>
      <c r="G3348">
        <v>470854</v>
      </c>
      <c r="H3348" t="s">
        <v>9023</v>
      </c>
      <c r="I3348" t="s">
        <v>9024</v>
      </c>
      <c r="J3348">
        <v>15</v>
      </c>
      <c r="K3348">
        <v>999002158</v>
      </c>
      <c r="L3348">
        <v>50341</v>
      </c>
      <c r="M3348" t="s">
        <v>146</v>
      </c>
      <c r="N3348">
        <v>679</v>
      </c>
      <c r="O3348" s="2">
        <v>46235</v>
      </c>
      <c r="P3348" s="2">
        <v>46263</v>
      </c>
      <c r="R3348" t="s">
        <v>9032</v>
      </c>
      <c r="S3348" t="str">
        <f>"00013531"</f>
        <v>00013531</v>
      </c>
      <c r="T3348" t="s">
        <v>41</v>
      </c>
      <c r="U3348">
        <v>52495.03</v>
      </c>
      <c r="V3348">
        <v>51970.080000000002</v>
      </c>
      <c r="W3348">
        <v>51970.080000000002</v>
      </c>
      <c r="X3348">
        <v>0</v>
      </c>
      <c r="Y3348">
        <v>0</v>
      </c>
      <c r="Z3348">
        <v>-488</v>
      </c>
      <c r="AA3348">
        <v>694706</v>
      </c>
      <c r="AD3348" t="s">
        <v>3373</v>
      </c>
      <c r="AE3348" t="s">
        <v>9026</v>
      </c>
      <c r="AF3348" t="s">
        <v>3373</v>
      </c>
      <c r="AG3348">
        <v>66408954000227</v>
      </c>
      <c r="AH3348" t="s">
        <v>44</v>
      </c>
    </row>
    <row r="3349" spans="1:34" x14ac:dyDescent="0.3">
      <c r="A3349">
        <v>101</v>
      </c>
      <c r="B3349" t="s">
        <v>34</v>
      </c>
      <c r="C3349">
        <v>2</v>
      </c>
      <c r="D3349" s="1" t="s">
        <v>9033</v>
      </c>
      <c r="E3349" s="1" t="s">
        <v>36</v>
      </c>
      <c r="G3349">
        <v>471096</v>
      </c>
      <c r="H3349" t="s">
        <v>9034</v>
      </c>
      <c r="I3349" t="s">
        <v>9035</v>
      </c>
      <c r="J3349">
        <v>12</v>
      </c>
      <c r="K3349">
        <v>451746</v>
      </c>
      <c r="L3349">
        <v>50341</v>
      </c>
      <c r="M3349" t="s">
        <v>146</v>
      </c>
      <c r="N3349">
        <v>679</v>
      </c>
      <c r="O3349" s="2">
        <v>46231</v>
      </c>
      <c r="P3349" s="2">
        <v>46276</v>
      </c>
      <c r="R3349" t="s">
        <v>9036</v>
      </c>
      <c r="S3349" t="str">
        <f>"00013360"</f>
        <v>00013360</v>
      </c>
      <c r="T3349" t="s">
        <v>41</v>
      </c>
      <c r="U3349">
        <v>6285.75</v>
      </c>
      <c r="V3349">
        <v>6285.75</v>
      </c>
      <c r="W3349">
        <v>6285.75</v>
      </c>
      <c r="X3349">
        <v>0</v>
      </c>
      <c r="Y3349">
        <v>0</v>
      </c>
      <c r="Z3349">
        <v>-501</v>
      </c>
      <c r="AA3349">
        <v>1815</v>
      </c>
      <c r="AD3349" t="s">
        <v>4075</v>
      </c>
      <c r="AE3349" t="s">
        <v>9037</v>
      </c>
      <c r="AF3349" t="s">
        <v>4075</v>
      </c>
      <c r="AG3349" s="1" t="s">
        <v>9038</v>
      </c>
      <c r="AH3349" t="s">
        <v>44</v>
      </c>
    </row>
    <row r="3350" spans="1:34" x14ac:dyDescent="0.3">
      <c r="A3350">
        <v>101</v>
      </c>
      <c r="B3350" t="s">
        <v>34</v>
      </c>
      <c r="C3350">
        <v>2</v>
      </c>
      <c r="D3350" s="1" t="s">
        <v>9039</v>
      </c>
      <c r="E3350" s="1" t="s">
        <v>36</v>
      </c>
      <c r="G3350">
        <v>999002159</v>
      </c>
      <c r="H3350" t="s">
        <v>9040</v>
      </c>
      <c r="I3350" t="s">
        <v>9041</v>
      </c>
      <c r="J3350">
        <v>15</v>
      </c>
      <c r="K3350">
        <v>999002158</v>
      </c>
      <c r="L3350">
        <v>50341</v>
      </c>
      <c r="M3350" t="s">
        <v>146</v>
      </c>
      <c r="N3350">
        <v>679</v>
      </c>
      <c r="O3350" s="2">
        <v>46235</v>
      </c>
      <c r="P3350" s="2">
        <v>46263</v>
      </c>
      <c r="R3350" t="s">
        <v>9042</v>
      </c>
      <c r="S3350" t="str">
        <f>"00013552"</f>
        <v>00013552</v>
      </c>
      <c r="T3350" t="s">
        <v>41</v>
      </c>
      <c r="U3350">
        <v>20111.84</v>
      </c>
      <c r="V3350">
        <v>320.24</v>
      </c>
      <c r="W3350">
        <v>320.24</v>
      </c>
      <c r="X3350">
        <v>0</v>
      </c>
      <c r="Y3350">
        <v>0</v>
      </c>
      <c r="Z3350">
        <v>-488</v>
      </c>
      <c r="AA3350">
        <v>694660</v>
      </c>
      <c r="AD3350" t="s">
        <v>3301</v>
      </c>
      <c r="AE3350" t="s">
        <v>9043</v>
      </c>
      <c r="AF3350" t="s">
        <v>3301</v>
      </c>
      <c r="AG3350">
        <v>10250585000151</v>
      </c>
      <c r="AH3350" t="s">
        <v>44</v>
      </c>
    </row>
    <row r="3351" spans="1:34" x14ac:dyDescent="0.3">
      <c r="A3351">
        <v>106</v>
      </c>
      <c r="B3351" t="s">
        <v>34</v>
      </c>
      <c r="C3351">
        <v>2</v>
      </c>
      <c r="D3351" s="1" t="s">
        <v>9044</v>
      </c>
      <c r="E3351" s="1" t="s">
        <v>36</v>
      </c>
      <c r="G3351">
        <v>999002159</v>
      </c>
      <c r="H3351" t="s">
        <v>9040</v>
      </c>
      <c r="I3351" t="s">
        <v>9041</v>
      </c>
      <c r="J3351">
        <v>15</v>
      </c>
      <c r="K3351">
        <v>999002158</v>
      </c>
      <c r="L3351">
        <v>50341</v>
      </c>
      <c r="M3351" t="s">
        <v>146</v>
      </c>
      <c r="N3351">
        <v>679</v>
      </c>
      <c r="O3351" s="2">
        <v>46235</v>
      </c>
      <c r="P3351" s="2">
        <v>46263</v>
      </c>
      <c r="R3351" t="s">
        <v>9045</v>
      </c>
      <c r="S3351" t="str">
        <f>"00013593"</f>
        <v>00013593</v>
      </c>
      <c r="T3351" t="s">
        <v>41</v>
      </c>
      <c r="U3351">
        <v>3808.28</v>
      </c>
      <c r="V3351">
        <v>3770.2</v>
      </c>
      <c r="W3351">
        <v>3770.2</v>
      </c>
      <c r="X3351">
        <v>0</v>
      </c>
      <c r="Y3351">
        <v>0</v>
      </c>
      <c r="Z3351">
        <v>-488</v>
      </c>
      <c r="AA3351">
        <v>694724</v>
      </c>
      <c r="AD3351" t="s">
        <v>3301</v>
      </c>
      <c r="AE3351" t="s">
        <v>9043</v>
      </c>
      <c r="AF3351" t="s">
        <v>3301</v>
      </c>
      <c r="AG3351">
        <v>10250585000151</v>
      </c>
      <c r="AH3351" t="s">
        <v>44</v>
      </c>
    </row>
    <row r="3352" spans="1:34" x14ac:dyDescent="0.3">
      <c r="A3352">
        <v>101</v>
      </c>
      <c r="B3352" t="s">
        <v>34</v>
      </c>
      <c r="C3352">
        <v>2</v>
      </c>
      <c r="D3352" s="1" t="s">
        <v>9046</v>
      </c>
      <c r="E3352" s="1" t="s">
        <v>36</v>
      </c>
      <c r="G3352">
        <v>1240</v>
      </c>
      <c r="H3352" t="s">
        <v>9047</v>
      </c>
      <c r="I3352" t="s">
        <v>9048</v>
      </c>
      <c r="J3352">
        <v>12</v>
      </c>
      <c r="K3352">
        <v>1240</v>
      </c>
      <c r="L3352">
        <v>50033</v>
      </c>
      <c r="M3352" t="s">
        <v>39</v>
      </c>
      <c r="N3352">
        <v>680</v>
      </c>
      <c r="O3352" s="2">
        <v>46235</v>
      </c>
      <c r="P3352" s="2">
        <v>46265</v>
      </c>
      <c r="R3352" t="s">
        <v>9049</v>
      </c>
      <c r="S3352" t="str">
        <f>"0000050411802"</f>
        <v>0000050411802</v>
      </c>
      <c r="T3352" t="s">
        <v>41</v>
      </c>
      <c r="U3352">
        <v>4594.03</v>
      </c>
      <c r="V3352">
        <v>4594.03</v>
      </c>
      <c r="W3352">
        <v>4594.03</v>
      </c>
      <c r="X3352">
        <v>0</v>
      </c>
      <c r="Y3352">
        <v>0</v>
      </c>
      <c r="Z3352">
        <v>-490</v>
      </c>
      <c r="AA3352">
        <v>4103</v>
      </c>
      <c r="AD3352" t="s">
        <v>57</v>
      </c>
      <c r="AE3352" t="s">
        <v>9050</v>
      </c>
      <c r="AF3352" t="s">
        <v>57</v>
      </c>
      <c r="AG3352" s="1" t="s">
        <v>9051</v>
      </c>
      <c r="AH3352" t="s">
        <v>44</v>
      </c>
    </row>
    <row r="3353" spans="1:34" x14ac:dyDescent="0.3">
      <c r="A3353">
        <v>101</v>
      </c>
      <c r="B3353" t="s">
        <v>34</v>
      </c>
      <c r="C3353">
        <v>2</v>
      </c>
      <c r="D3353" s="1" t="s">
        <v>9052</v>
      </c>
      <c r="E3353" s="1" t="s">
        <v>116</v>
      </c>
      <c r="G3353">
        <v>2143</v>
      </c>
      <c r="H3353" t="s">
        <v>9053</v>
      </c>
      <c r="I3353" t="s">
        <v>9054</v>
      </c>
      <c r="J3353">
        <v>12</v>
      </c>
      <c r="K3353">
        <v>2143</v>
      </c>
      <c r="L3353">
        <v>50341</v>
      </c>
      <c r="M3353" t="s">
        <v>146</v>
      </c>
      <c r="N3353">
        <v>680</v>
      </c>
      <c r="O3353" s="2">
        <v>46223</v>
      </c>
      <c r="P3353" s="2">
        <v>46283</v>
      </c>
      <c r="R3353" t="s">
        <v>9055</v>
      </c>
      <c r="S3353" t="str">
        <f>"00013310"</f>
        <v>00013310</v>
      </c>
      <c r="T3353" t="s">
        <v>41</v>
      </c>
      <c r="U3353">
        <v>1584.22</v>
      </c>
      <c r="V3353">
        <v>1520.85</v>
      </c>
      <c r="W3353">
        <v>1520.85</v>
      </c>
      <c r="X3353">
        <v>0</v>
      </c>
      <c r="Y3353">
        <v>0</v>
      </c>
      <c r="Z3353">
        <v>-508</v>
      </c>
      <c r="AA3353">
        <v>692748</v>
      </c>
      <c r="AD3353" t="s">
        <v>234</v>
      </c>
      <c r="AE3353" t="s">
        <v>9056</v>
      </c>
      <c r="AF3353" t="s">
        <v>234</v>
      </c>
      <c r="AG3353">
        <v>50974732000150</v>
      </c>
      <c r="AH3353" t="s">
        <v>44</v>
      </c>
    </row>
    <row r="3354" spans="1:34" x14ac:dyDescent="0.3">
      <c r="A3354">
        <v>101</v>
      </c>
      <c r="B3354" t="s">
        <v>34</v>
      </c>
      <c r="C3354">
        <v>2</v>
      </c>
      <c r="D3354" s="1" t="s">
        <v>9052</v>
      </c>
      <c r="E3354" s="1" t="s">
        <v>36</v>
      </c>
      <c r="G3354">
        <v>2143</v>
      </c>
      <c r="H3354" t="s">
        <v>9053</v>
      </c>
      <c r="I3354" t="s">
        <v>9054</v>
      </c>
      <c r="J3354">
        <v>12</v>
      </c>
      <c r="K3354">
        <v>2143</v>
      </c>
      <c r="L3354">
        <v>50341</v>
      </c>
      <c r="M3354" t="s">
        <v>146</v>
      </c>
      <c r="N3354">
        <v>680</v>
      </c>
      <c r="O3354" s="2">
        <v>46223</v>
      </c>
      <c r="P3354" s="2">
        <v>46253</v>
      </c>
      <c r="R3354" t="s">
        <v>9055</v>
      </c>
      <c r="S3354" t="str">
        <f>"00013308"</f>
        <v>00013308</v>
      </c>
      <c r="T3354" t="s">
        <v>41</v>
      </c>
      <c r="U3354">
        <v>2014.31</v>
      </c>
      <c r="V3354">
        <v>1933.74</v>
      </c>
      <c r="W3354">
        <v>1933.74</v>
      </c>
      <c r="X3354">
        <v>0</v>
      </c>
      <c r="Y3354">
        <v>0</v>
      </c>
      <c r="Z3354">
        <v>-478</v>
      </c>
      <c r="AA3354">
        <v>692748</v>
      </c>
      <c r="AD3354" t="s">
        <v>234</v>
      </c>
      <c r="AE3354" t="s">
        <v>9056</v>
      </c>
      <c r="AF3354" t="s">
        <v>234</v>
      </c>
      <c r="AG3354">
        <v>50974732000150</v>
      </c>
      <c r="AH3354" t="s">
        <v>44</v>
      </c>
    </row>
    <row r="3355" spans="1:34" x14ac:dyDescent="0.3">
      <c r="A3355">
        <v>101</v>
      </c>
      <c r="B3355" t="s">
        <v>34</v>
      </c>
      <c r="C3355">
        <v>2</v>
      </c>
      <c r="D3355" s="1" t="s">
        <v>9052</v>
      </c>
      <c r="E3355" s="1" t="s">
        <v>122</v>
      </c>
      <c r="G3355">
        <v>2143</v>
      </c>
      <c r="H3355" t="s">
        <v>9053</v>
      </c>
      <c r="I3355" t="s">
        <v>9054</v>
      </c>
      <c r="J3355">
        <v>12</v>
      </c>
      <c r="K3355">
        <v>2143</v>
      </c>
      <c r="L3355">
        <v>50341</v>
      </c>
      <c r="M3355" t="s">
        <v>146</v>
      </c>
      <c r="N3355">
        <v>680</v>
      </c>
      <c r="O3355" s="2">
        <v>46223</v>
      </c>
      <c r="P3355" s="2">
        <v>46268</v>
      </c>
      <c r="R3355" t="s">
        <v>9055</v>
      </c>
      <c r="S3355" t="str">
        <f>"00013309"</f>
        <v>00013309</v>
      </c>
      <c r="T3355" t="s">
        <v>41</v>
      </c>
      <c r="U3355">
        <v>1583.73</v>
      </c>
      <c r="V3355">
        <v>1520.38</v>
      </c>
      <c r="W3355">
        <v>1520.38</v>
      </c>
      <c r="X3355">
        <v>0</v>
      </c>
      <c r="Y3355">
        <v>0</v>
      </c>
      <c r="Z3355">
        <v>-493</v>
      </c>
      <c r="AA3355">
        <v>692748</v>
      </c>
      <c r="AD3355" t="s">
        <v>234</v>
      </c>
      <c r="AE3355" t="s">
        <v>9056</v>
      </c>
      <c r="AF3355" t="s">
        <v>234</v>
      </c>
      <c r="AG3355">
        <v>50974732000150</v>
      </c>
      <c r="AH3355" t="s">
        <v>44</v>
      </c>
    </row>
    <row r="3356" spans="1:34" x14ac:dyDescent="0.3">
      <c r="A3356">
        <v>101</v>
      </c>
      <c r="B3356" t="s">
        <v>34</v>
      </c>
      <c r="C3356">
        <v>2</v>
      </c>
      <c r="D3356" s="1" t="s">
        <v>9057</v>
      </c>
      <c r="E3356" s="1" t="s">
        <v>122</v>
      </c>
      <c r="G3356">
        <v>2143</v>
      </c>
      <c r="H3356" t="s">
        <v>9053</v>
      </c>
      <c r="I3356" t="s">
        <v>9054</v>
      </c>
      <c r="J3356">
        <v>12</v>
      </c>
      <c r="K3356">
        <v>2143</v>
      </c>
      <c r="L3356">
        <v>50341</v>
      </c>
      <c r="M3356" t="s">
        <v>146</v>
      </c>
      <c r="N3356">
        <v>680</v>
      </c>
      <c r="O3356" s="2">
        <v>46251</v>
      </c>
      <c r="P3356" s="2">
        <v>46296</v>
      </c>
      <c r="R3356" t="s">
        <v>9058</v>
      </c>
      <c r="S3356" t="str">
        <f>"00013665"</f>
        <v>00013665</v>
      </c>
      <c r="T3356" t="s">
        <v>41</v>
      </c>
      <c r="U3356">
        <v>2894.81</v>
      </c>
      <c r="V3356">
        <v>2779.02</v>
      </c>
      <c r="W3356">
        <v>2779.02</v>
      </c>
      <c r="X3356">
        <v>0</v>
      </c>
      <c r="Y3356">
        <v>0</v>
      </c>
      <c r="Z3356">
        <v>-521</v>
      </c>
      <c r="AA3356">
        <v>4671</v>
      </c>
      <c r="AD3356" t="s">
        <v>234</v>
      </c>
      <c r="AE3356" t="s">
        <v>9056</v>
      </c>
      <c r="AF3356" t="s">
        <v>234</v>
      </c>
      <c r="AG3356">
        <v>50974732000150</v>
      </c>
      <c r="AH3356" t="s">
        <v>44</v>
      </c>
    </row>
    <row r="3357" spans="1:34" x14ac:dyDescent="0.3">
      <c r="A3357">
        <v>101</v>
      </c>
      <c r="B3357" t="s">
        <v>34</v>
      </c>
      <c r="C3357">
        <v>2</v>
      </c>
      <c r="D3357" s="1" t="s">
        <v>9057</v>
      </c>
      <c r="E3357" s="1" t="s">
        <v>36</v>
      </c>
      <c r="G3357">
        <v>2143</v>
      </c>
      <c r="H3357" t="s">
        <v>9053</v>
      </c>
      <c r="I3357" t="s">
        <v>9054</v>
      </c>
      <c r="J3357">
        <v>12</v>
      </c>
      <c r="K3357">
        <v>2143</v>
      </c>
      <c r="L3357">
        <v>50341</v>
      </c>
      <c r="M3357" t="s">
        <v>146</v>
      </c>
      <c r="N3357">
        <v>680</v>
      </c>
      <c r="O3357" s="2">
        <v>46251</v>
      </c>
      <c r="P3357" s="2">
        <v>46281</v>
      </c>
      <c r="R3357" t="s">
        <v>9058</v>
      </c>
      <c r="S3357" t="str">
        <f>"00013664"</f>
        <v>00013664</v>
      </c>
      <c r="T3357" t="s">
        <v>41</v>
      </c>
      <c r="U3357">
        <v>3523.03</v>
      </c>
      <c r="V3357">
        <v>3382.11</v>
      </c>
      <c r="W3357">
        <v>3382.11</v>
      </c>
      <c r="X3357">
        <v>0</v>
      </c>
      <c r="Y3357">
        <v>0</v>
      </c>
      <c r="Z3357">
        <v>-506</v>
      </c>
      <c r="AA3357">
        <v>4671</v>
      </c>
      <c r="AD3357" t="s">
        <v>234</v>
      </c>
      <c r="AE3357" t="s">
        <v>9056</v>
      </c>
      <c r="AF3357" t="s">
        <v>234</v>
      </c>
      <c r="AG3357">
        <v>50974732000150</v>
      </c>
      <c r="AH3357" t="s">
        <v>44</v>
      </c>
    </row>
    <row r="3358" spans="1:34" x14ac:dyDescent="0.3">
      <c r="A3358">
        <v>101</v>
      </c>
      <c r="B3358" t="s">
        <v>34</v>
      </c>
      <c r="C3358">
        <v>2</v>
      </c>
      <c r="D3358" s="1" t="s">
        <v>9057</v>
      </c>
      <c r="E3358" s="1" t="s">
        <v>116</v>
      </c>
      <c r="G3358">
        <v>2143</v>
      </c>
      <c r="H3358" t="s">
        <v>9053</v>
      </c>
      <c r="I3358" t="s">
        <v>9054</v>
      </c>
      <c r="J3358">
        <v>12</v>
      </c>
      <c r="K3358">
        <v>2143</v>
      </c>
      <c r="L3358">
        <v>50341</v>
      </c>
      <c r="M3358" t="s">
        <v>146</v>
      </c>
      <c r="N3358">
        <v>680</v>
      </c>
      <c r="O3358" s="2">
        <v>46251</v>
      </c>
      <c r="P3358" s="2">
        <v>46311</v>
      </c>
      <c r="R3358" t="s">
        <v>9058</v>
      </c>
      <c r="S3358" t="str">
        <f>"00013666"</f>
        <v>00013666</v>
      </c>
      <c r="T3358" t="s">
        <v>41</v>
      </c>
      <c r="U3358">
        <v>2895.69</v>
      </c>
      <c r="V3358">
        <v>2779.86</v>
      </c>
      <c r="W3358">
        <v>2779.86</v>
      </c>
      <c r="X3358">
        <v>0</v>
      </c>
      <c r="Y3358">
        <v>0</v>
      </c>
      <c r="Z3358">
        <v>-536</v>
      </c>
      <c r="AA3358">
        <v>4671</v>
      </c>
      <c r="AD3358" t="s">
        <v>234</v>
      </c>
      <c r="AE3358" t="s">
        <v>9056</v>
      </c>
      <c r="AF3358" t="s">
        <v>234</v>
      </c>
      <c r="AG3358">
        <v>50974732000150</v>
      </c>
      <c r="AH3358" t="s">
        <v>44</v>
      </c>
    </row>
    <row r="3359" spans="1:34" x14ac:dyDescent="0.3">
      <c r="A3359">
        <v>101</v>
      </c>
      <c r="B3359" t="s">
        <v>34</v>
      </c>
      <c r="C3359">
        <v>2</v>
      </c>
      <c r="D3359" s="1" t="s">
        <v>9059</v>
      </c>
      <c r="E3359" s="1" t="s">
        <v>36</v>
      </c>
      <c r="G3359">
        <v>2144</v>
      </c>
      <c r="H3359" t="s">
        <v>9060</v>
      </c>
      <c r="I3359" t="s">
        <v>9061</v>
      </c>
      <c r="J3359">
        <v>12</v>
      </c>
      <c r="K3359">
        <v>2143</v>
      </c>
      <c r="L3359">
        <v>50341</v>
      </c>
      <c r="M3359" t="s">
        <v>146</v>
      </c>
      <c r="N3359">
        <v>680</v>
      </c>
      <c r="O3359" s="2">
        <v>46251</v>
      </c>
      <c r="P3359" s="2">
        <v>46281</v>
      </c>
      <c r="R3359" t="s">
        <v>9062</v>
      </c>
      <c r="S3359" t="str">
        <f>"00013667"</f>
        <v>00013667</v>
      </c>
      <c r="T3359" t="s">
        <v>41</v>
      </c>
      <c r="U3359">
        <v>2073.98</v>
      </c>
      <c r="V3359">
        <v>1991.02</v>
      </c>
      <c r="W3359">
        <v>1991.02</v>
      </c>
      <c r="X3359">
        <v>0</v>
      </c>
      <c r="Y3359">
        <v>0</v>
      </c>
      <c r="Z3359">
        <v>-506</v>
      </c>
      <c r="AA3359">
        <v>4677</v>
      </c>
      <c r="AD3359" t="s">
        <v>234</v>
      </c>
      <c r="AE3359" t="s">
        <v>9063</v>
      </c>
      <c r="AF3359" t="s">
        <v>234</v>
      </c>
      <c r="AG3359">
        <v>50974732000312</v>
      </c>
      <c r="AH3359" t="s">
        <v>44</v>
      </c>
    </row>
    <row r="3360" spans="1:34" x14ac:dyDescent="0.3">
      <c r="A3360">
        <v>101</v>
      </c>
      <c r="B3360" t="s">
        <v>34</v>
      </c>
      <c r="C3360">
        <v>2</v>
      </c>
      <c r="D3360" s="1" t="s">
        <v>9059</v>
      </c>
      <c r="E3360" s="1" t="s">
        <v>116</v>
      </c>
      <c r="G3360">
        <v>2144</v>
      </c>
      <c r="H3360" t="s">
        <v>9060</v>
      </c>
      <c r="I3360" t="s">
        <v>9061</v>
      </c>
      <c r="J3360">
        <v>12</v>
      </c>
      <c r="K3360">
        <v>2143</v>
      </c>
      <c r="L3360">
        <v>50341</v>
      </c>
      <c r="M3360" t="s">
        <v>146</v>
      </c>
      <c r="N3360">
        <v>680</v>
      </c>
      <c r="O3360" s="2">
        <v>46251</v>
      </c>
      <c r="P3360" s="2">
        <v>46311</v>
      </c>
      <c r="R3360" t="s">
        <v>9062</v>
      </c>
      <c r="S3360" t="str">
        <f>"00013669"</f>
        <v>00013669</v>
      </c>
      <c r="T3360" t="s">
        <v>41</v>
      </c>
      <c r="U3360">
        <v>1725.59</v>
      </c>
      <c r="V3360">
        <v>1656.57</v>
      </c>
      <c r="W3360">
        <v>1656.57</v>
      </c>
      <c r="X3360">
        <v>0</v>
      </c>
      <c r="Y3360">
        <v>0</v>
      </c>
      <c r="Z3360">
        <v>-536</v>
      </c>
      <c r="AA3360">
        <v>4677</v>
      </c>
      <c r="AD3360" t="s">
        <v>234</v>
      </c>
      <c r="AE3360" t="s">
        <v>9063</v>
      </c>
      <c r="AF3360" t="s">
        <v>234</v>
      </c>
      <c r="AG3360">
        <v>50974732000312</v>
      </c>
      <c r="AH3360" t="s">
        <v>44</v>
      </c>
    </row>
    <row r="3361" spans="1:34" x14ac:dyDescent="0.3">
      <c r="A3361">
        <v>101</v>
      </c>
      <c r="B3361" t="s">
        <v>34</v>
      </c>
      <c r="C3361">
        <v>2</v>
      </c>
      <c r="D3361" s="1" t="s">
        <v>9059</v>
      </c>
      <c r="E3361" s="1" t="s">
        <v>122</v>
      </c>
      <c r="G3361">
        <v>2144</v>
      </c>
      <c r="H3361" t="s">
        <v>9060</v>
      </c>
      <c r="I3361" t="s">
        <v>9061</v>
      </c>
      <c r="J3361">
        <v>12</v>
      </c>
      <c r="K3361">
        <v>2143</v>
      </c>
      <c r="L3361">
        <v>50341</v>
      </c>
      <c r="M3361" t="s">
        <v>146</v>
      </c>
      <c r="N3361">
        <v>680</v>
      </c>
      <c r="O3361" s="2">
        <v>46251</v>
      </c>
      <c r="P3361" s="2">
        <v>46296</v>
      </c>
      <c r="R3361" t="s">
        <v>9062</v>
      </c>
      <c r="S3361" t="str">
        <f>"00013668"</f>
        <v>00013668</v>
      </c>
      <c r="T3361" t="s">
        <v>41</v>
      </c>
      <c r="U3361">
        <v>1725.08</v>
      </c>
      <c r="V3361">
        <v>1656.08</v>
      </c>
      <c r="W3361">
        <v>1656.08</v>
      </c>
      <c r="X3361">
        <v>0</v>
      </c>
      <c r="Y3361">
        <v>0</v>
      </c>
      <c r="Z3361">
        <v>-521</v>
      </c>
      <c r="AA3361">
        <v>4677</v>
      </c>
      <c r="AD3361" t="s">
        <v>234</v>
      </c>
      <c r="AE3361" t="s">
        <v>9063</v>
      </c>
      <c r="AF3361" t="s">
        <v>234</v>
      </c>
      <c r="AG3361">
        <v>50974732000312</v>
      </c>
      <c r="AH3361" t="s">
        <v>44</v>
      </c>
    </row>
    <row r="3362" spans="1:34" x14ac:dyDescent="0.3">
      <c r="A3362">
        <v>101</v>
      </c>
      <c r="B3362" t="s">
        <v>34</v>
      </c>
      <c r="C3362">
        <v>2</v>
      </c>
      <c r="D3362" s="1" t="s">
        <v>9064</v>
      </c>
      <c r="E3362" s="1" t="s">
        <v>36</v>
      </c>
      <c r="G3362">
        <v>2144</v>
      </c>
      <c r="H3362" t="s">
        <v>9060</v>
      </c>
      <c r="I3362" t="s">
        <v>9061</v>
      </c>
      <c r="J3362">
        <v>12</v>
      </c>
      <c r="K3362">
        <v>2143</v>
      </c>
      <c r="L3362">
        <v>50341</v>
      </c>
      <c r="M3362" t="s">
        <v>146</v>
      </c>
      <c r="N3362">
        <v>680</v>
      </c>
      <c r="O3362" s="2">
        <v>46223</v>
      </c>
      <c r="P3362" s="2">
        <v>46253</v>
      </c>
      <c r="R3362" t="s">
        <v>9065</v>
      </c>
      <c r="S3362" t="str">
        <f>"00013311"</f>
        <v>00013311</v>
      </c>
      <c r="T3362" t="s">
        <v>41</v>
      </c>
      <c r="U3362">
        <v>1432.26</v>
      </c>
      <c r="V3362">
        <v>1374.97</v>
      </c>
      <c r="W3362">
        <v>1374.97</v>
      </c>
      <c r="X3362">
        <v>0</v>
      </c>
      <c r="Y3362">
        <v>0</v>
      </c>
      <c r="Z3362">
        <v>-478</v>
      </c>
      <c r="AA3362">
        <v>692753</v>
      </c>
      <c r="AD3362" t="s">
        <v>234</v>
      </c>
      <c r="AE3362" t="s">
        <v>9063</v>
      </c>
      <c r="AF3362" t="s">
        <v>234</v>
      </c>
      <c r="AG3362">
        <v>50974732000312</v>
      </c>
      <c r="AH3362" t="s">
        <v>44</v>
      </c>
    </row>
    <row r="3363" spans="1:34" x14ac:dyDescent="0.3">
      <c r="A3363">
        <v>101</v>
      </c>
      <c r="B3363" t="s">
        <v>34</v>
      </c>
      <c r="C3363">
        <v>2</v>
      </c>
      <c r="D3363" s="1" t="s">
        <v>9064</v>
      </c>
      <c r="E3363" s="1" t="s">
        <v>116</v>
      </c>
      <c r="G3363">
        <v>2144</v>
      </c>
      <c r="H3363" t="s">
        <v>9060</v>
      </c>
      <c r="I3363" t="s">
        <v>9061</v>
      </c>
      <c r="J3363">
        <v>12</v>
      </c>
      <c r="K3363">
        <v>2143</v>
      </c>
      <c r="L3363">
        <v>50341</v>
      </c>
      <c r="M3363" t="s">
        <v>146</v>
      </c>
      <c r="N3363">
        <v>680</v>
      </c>
      <c r="O3363" s="2">
        <v>46223</v>
      </c>
      <c r="P3363" s="2">
        <v>46283</v>
      </c>
      <c r="R3363" t="s">
        <v>9065</v>
      </c>
      <c r="S3363" t="str">
        <f>"00013313"</f>
        <v>00013313</v>
      </c>
      <c r="T3363" t="s">
        <v>41</v>
      </c>
      <c r="U3363">
        <v>1101.44</v>
      </c>
      <c r="V3363">
        <v>1057.3800000000001</v>
      </c>
      <c r="W3363">
        <v>1057.3800000000001</v>
      </c>
      <c r="X3363">
        <v>0</v>
      </c>
      <c r="Y3363">
        <v>0</v>
      </c>
      <c r="Z3363">
        <v>-508</v>
      </c>
      <c r="AA3363">
        <v>692753</v>
      </c>
      <c r="AD3363" t="s">
        <v>234</v>
      </c>
      <c r="AE3363" t="s">
        <v>9063</v>
      </c>
      <c r="AF3363" t="s">
        <v>234</v>
      </c>
      <c r="AG3363">
        <v>50974732000312</v>
      </c>
      <c r="AH3363" t="s">
        <v>44</v>
      </c>
    </row>
    <row r="3364" spans="1:34" x14ac:dyDescent="0.3">
      <c r="A3364">
        <v>101</v>
      </c>
      <c r="B3364" t="s">
        <v>34</v>
      </c>
      <c r="C3364">
        <v>2</v>
      </c>
      <c r="D3364" s="1" t="s">
        <v>9064</v>
      </c>
      <c r="E3364" s="1" t="s">
        <v>122</v>
      </c>
      <c r="G3364">
        <v>2144</v>
      </c>
      <c r="H3364" t="s">
        <v>9060</v>
      </c>
      <c r="I3364" t="s">
        <v>9061</v>
      </c>
      <c r="J3364">
        <v>12</v>
      </c>
      <c r="K3364">
        <v>2143</v>
      </c>
      <c r="L3364">
        <v>50341</v>
      </c>
      <c r="M3364" t="s">
        <v>146</v>
      </c>
      <c r="N3364">
        <v>680</v>
      </c>
      <c r="O3364" s="2">
        <v>46223</v>
      </c>
      <c r="P3364" s="2">
        <v>46268</v>
      </c>
      <c r="R3364" t="s">
        <v>9065</v>
      </c>
      <c r="S3364" t="str">
        <f>"00013312"</f>
        <v>00013312</v>
      </c>
      <c r="T3364" t="s">
        <v>41</v>
      </c>
      <c r="U3364">
        <v>1101.1199999999999</v>
      </c>
      <c r="V3364">
        <v>1057.08</v>
      </c>
      <c r="W3364">
        <v>1057.08</v>
      </c>
      <c r="X3364">
        <v>0</v>
      </c>
      <c r="Y3364">
        <v>0</v>
      </c>
      <c r="Z3364">
        <v>-493</v>
      </c>
      <c r="AA3364">
        <v>692753</v>
      </c>
      <c r="AD3364" t="s">
        <v>234</v>
      </c>
      <c r="AE3364" t="s">
        <v>9063</v>
      </c>
      <c r="AF3364" t="s">
        <v>234</v>
      </c>
      <c r="AG3364">
        <v>50974732000312</v>
      </c>
      <c r="AH3364" t="s">
        <v>44</v>
      </c>
    </row>
    <row r="3365" spans="1:34" x14ac:dyDescent="0.3">
      <c r="A3365">
        <v>101</v>
      </c>
      <c r="B3365" t="s">
        <v>34</v>
      </c>
      <c r="C3365">
        <v>2</v>
      </c>
      <c r="D3365" s="1" t="s">
        <v>9066</v>
      </c>
      <c r="E3365" s="1" t="s">
        <v>36</v>
      </c>
      <c r="G3365">
        <v>3078</v>
      </c>
      <c r="H3365" t="s">
        <v>9067</v>
      </c>
      <c r="I3365" t="s">
        <v>9068</v>
      </c>
      <c r="J3365">
        <v>12</v>
      </c>
      <c r="K3365">
        <v>2143</v>
      </c>
      <c r="L3365">
        <v>50341</v>
      </c>
      <c r="M3365" t="s">
        <v>146</v>
      </c>
      <c r="N3365">
        <v>680</v>
      </c>
      <c r="O3365" s="2">
        <v>46223</v>
      </c>
      <c r="P3365" s="2">
        <v>46253</v>
      </c>
      <c r="R3365" t="s">
        <v>9069</v>
      </c>
      <c r="S3365" t="str">
        <f>"00013314"</f>
        <v>00013314</v>
      </c>
      <c r="T3365" t="s">
        <v>41</v>
      </c>
      <c r="U3365">
        <v>1454.89</v>
      </c>
      <c r="V3365">
        <v>1396.69</v>
      </c>
      <c r="W3365">
        <v>1396.69</v>
      </c>
      <c r="X3365">
        <v>0</v>
      </c>
      <c r="Y3365">
        <v>0</v>
      </c>
      <c r="Z3365">
        <v>-478</v>
      </c>
      <c r="AA3365">
        <v>692750</v>
      </c>
      <c r="AD3365" t="s">
        <v>234</v>
      </c>
      <c r="AE3365" t="s">
        <v>9070</v>
      </c>
      <c r="AF3365" t="s">
        <v>234</v>
      </c>
      <c r="AG3365">
        <v>50974732000231</v>
      </c>
      <c r="AH3365" t="s">
        <v>44</v>
      </c>
    </row>
    <row r="3366" spans="1:34" x14ac:dyDescent="0.3">
      <c r="A3366">
        <v>101</v>
      </c>
      <c r="B3366" t="s">
        <v>34</v>
      </c>
      <c r="C3366">
        <v>2</v>
      </c>
      <c r="D3366" s="1" t="s">
        <v>9066</v>
      </c>
      <c r="E3366" s="1" t="s">
        <v>122</v>
      </c>
      <c r="G3366">
        <v>3078</v>
      </c>
      <c r="H3366" t="s">
        <v>9067</v>
      </c>
      <c r="I3366" t="s">
        <v>9068</v>
      </c>
      <c r="J3366">
        <v>12</v>
      </c>
      <c r="K3366">
        <v>2143</v>
      </c>
      <c r="L3366">
        <v>50341</v>
      </c>
      <c r="M3366" t="s">
        <v>146</v>
      </c>
      <c r="N3366">
        <v>680</v>
      </c>
      <c r="O3366" s="2">
        <v>46223</v>
      </c>
      <c r="P3366" s="2">
        <v>46268</v>
      </c>
      <c r="R3366" t="s">
        <v>9069</v>
      </c>
      <c r="S3366" t="str">
        <f>"00013315"</f>
        <v>00013315</v>
      </c>
      <c r="T3366" t="s">
        <v>41</v>
      </c>
      <c r="U3366">
        <v>1156.75</v>
      </c>
      <c r="V3366">
        <v>1110.48</v>
      </c>
      <c r="W3366">
        <v>1110.48</v>
      </c>
      <c r="X3366">
        <v>0</v>
      </c>
      <c r="Y3366">
        <v>0</v>
      </c>
      <c r="Z3366">
        <v>-493</v>
      </c>
      <c r="AA3366">
        <v>692750</v>
      </c>
      <c r="AD3366" t="s">
        <v>234</v>
      </c>
      <c r="AE3366" t="s">
        <v>9070</v>
      </c>
      <c r="AF3366" t="s">
        <v>234</v>
      </c>
      <c r="AG3366">
        <v>50974732000231</v>
      </c>
      <c r="AH3366" t="s">
        <v>44</v>
      </c>
    </row>
    <row r="3367" spans="1:34" x14ac:dyDescent="0.3">
      <c r="A3367">
        <v>101</v>
      </c>
      <c r="B3367" t="s">
        <v>34</v>
      </c>
      <c r="C3367">
        <v>2</v>
      </c>
      <c r="D3367" s="1" t="s">
        <v>9066</v>
      </c>
      <c r="E3367" s="1" t="s">
        <v>116</v>
      </c>
      <c r="G3367">
        <v>3078</v>
      </c>
      <c r="H3367" t="s">
        <v>9067</v>
      </c>
      <c r="I3367" t="s">
        <v>9068</v>
      </c>
      <c r="J3367">
        <v>12</v>
      </c>
      <c r="K3367">
        <v>2143</v>
      </c>
      <c r="L3367">
        <v>50341</v>
      </c>
      <c r="M3367" t="s">
        <v>146</v>
      </c>
      <c r="N3367">
        <v>680</v>
      </c>
      <c r="O3367" s="2">
        <v>46223</v>
      </c>
      <c r="P3367" s="2">
        <v>46283</v>
      </c>
      <c r="R3367" t="s">
        <v>9069</v>
      </c>
      <c r="S3367" t="str">
        <f>"00013316"</f>
        <v>00013316</v>
      </c>
      <c r="T3367" t="s">
        <v>41</v>
      </c>
      <c r="U3367">
        <v>1157.0899999999999</v>
      </c>
      <c r="V3367">
        <v>1110.81</v>
      </c>
      <c r="W3367">
        <v>1110.81</v>
      </c>
      <c r="X3367">
        <v>0</v>
      </c>
      <c r="Y3367">
        <v>0</v>
      </c>
      <c r="Z3367">
        <v>-508</v>
      </c>
      <c r="AA3367">
        <v>692750</v>
      </c>
      <c r="AD3367" t="s">
        <v>234</v>
      </c>
      <c r="AE3367" t="s">
        <v>9070</v>
      </c>
      <c r="AF3367" t="s">
        <v>234</v>
      </c>
      <c r="AG3367">
        <v>50974732000231</v>
      </c>
      <c r="AH3367" t="s">
        <v>44</v>
      </c>
    </row>
    <row r="3368" spans="1:34" x14ac:dyDescent="0.3">
      <c r="A3368">
        <v>101</v>
      </c>
      <c r="B3368" t="s">
        <v>34</v>
      </c>
      <c r="C3368">
        <v>2</v>
      </c>
      <c r="D3368" s="1" t="s">
        <v>9071</v>
      </c>
      <c r="E3368" s="1" t="s">
        <v>122</v>
      </c>
      <c r="G3368">
        <v>3078</v>
      </c>
      <c r="H3368" t="s">
        <v>9067</v>
      </c>
      <c r="I3368" t="s">
        <v>9068</v>
      </c>
      <c r="J3368">
        <v>12</v>
      </c>
      <c r="K3368">
        <v>2143</v>
      </c>
      <c r="L3368">
        <v>50341</v>
      </c>
      <c r="M3368" t="s">
        <v>146</v>
      </c>
      <c r="N3368">
        <v>680</v>
      </c>
      <c r="O3368" s="2">
        <v>46251</v>
      </c>
      <c r="P3368" s="2">
        <v>46296</v>
      </c>
      <c r="R3368" t="s">
        <v>9072</v>
      </c>
      <c r="S3368" t="str">
        <f>"00013671"</f>
        <v>00013671</v>
      </c>
      <c r="T3368" t="s">
        <v>41</v>
      </c>
      <c r="U3368">
        <v>1401.37</v>
      </c>
      <c r="V3368">
        <v>1345.32</v>
      </c>
      <c r="W3368">
        <v>1345.32</v>
      </c>
      <c r="X3368">
        <v>0</v>
      </c>
      <c r="Y3368">
        <v>0</v>
      </c>
      <c r="Z3368">
        <v>-521</v>
      </c>
      <c r="AA3368">
        <v>4674</v>
      </c>
      <c r="AD3368" t="s">
        <v>234</v>
      </c>
      <c r="AE3368" t="s">
        <v>9070</v>
      </c>
      <c r="AF3368" t="s">
        <v>234</v>
      </c>
      <c r="AG3368">
        <v>50974732000231</v>
      </c>
      <c r="AH3368" t="s">
        <v>44</v>
      </c>
    </row>
    <row r="3369" spans="1:34" x14ac:dyDescent="0.3">
      <c r="A3369">
        <v>101</v>
      </c>
      <c r="B3369" t="s">
        <v>34</v>
      </c>
      <c r="C3369">
        <v>2</v>
      </c>
      <c r="D3369" s="1" t="s">
        <v>9071</v>
      </c>
      <c r="E3369" s="1" t="s">
        <v>36</v>
      </c>
      <c r="G3369">
        <v>3078</v>
      </c>
      <c r="H3369" t="s">
        <v>9067</v>
      </c>
      <c r="I3369" t="s">
        <v>9068</v>
      </c>
      <c r="J3369">
        <v>12</v>
      </c>
      <c r="K3369">
        <v>2143</v>
      </c>
      <c r="L3369">
        <v>50341</v>
      </c>
      <c r="M3369" t="s">
        <v>146</v>
      </c>
      <c r="N3369">
        <v>680</v>
      </c>
      <c r="O3369" s="2">
        <v>46251</v>
      </c>
      <c r="P3369" s="2">
        <v>46281</v>
      </c>
      <c r="R3369" t="s">
        <v>9072</v>
      </c>
      <c r="S3369" t="str">
        <f>"00013670"</f>
        <v>00013670</v>
      </c>
      <c r="T3369" t="s">
        <v>41</v>
      </c>
      <c r="U3369">
        <v>1734.45</v>
      </c>
      <c r="V3369">
        <v>1665.07</v>
      </c>
      <c r="W3369">
        <v>1665.07</v>
      </c>
      <c r="X3369">
        <v>0</v>
      </c>
      <c r="Y3369">
        <v>0</v>
      </c>
      <c r="Z3369">
        <v>-506</v>
      </c>
      <c r="AA3369">
        <v>4674</v>
      </c>
      <c r="AD3369" t="s">
        <v>234</v>
      </c>
      <c r="AE3369" t="s">
        <v>9070</v>
      </c>
      <c r="AF3369" t="s">
        <v>234</v>
      </c>
      <c r="AG3369">
        <v>50974732000231</v>
      </c>
      <c r="AH3369" t="s">
        <v>44</v>
      </c>
    </row>
    <row r="3370" spans="1:34" x14ac:dyDescent="0.3">
      <c r="A3370">
        <v>101</v>
      </c>
      <c r="B3370" t="s">
        <v>34</v>
      </c>
      <c r="C3370">
        <v>2</v>
      </c>
      <c r="D3370" s="1" t="s">
        <v>9071</v>
      </c>
      <c r="E3370" s="1" t="s">
        <v>116</v>
      </c>
      <c r="G3370">
        <v>3078</v>
      </c>
      <c r="H3370" t="s">
        <v>9067</v>
      </c>
      <c r="I3370" t="s">
        <v>9068</v>
      </c>
      <c r="J3370">
        <v>12</v>
      </c>
      <c r="K3370">
        <v>2143</v>
      </c>
      <c r="L3370">
        <v>50341</v>
      </c>
      <c r="M3370" t="s">
        <v>146</v>
      </c>
      <c r="N3370">
        <v>680</v>
      </c>
      <c r="O3370" s="2">
        <v>46251</v>
      </c>
      <c r="P3370" s="2">
        <v>46311</v>
      </c>
      <c r="R3370" t="s">
        <v>9072</v>
      </c>
      <c r="S3370" t="str">
        <f>"00013672"</f>
        <v>00013672</v>
      </c>
      <c r="T3370" t="s">
        <v>41</v>
      </c>
      <c r="U3370">
        <v>1401.78</v>
      </c>
      <c r="V3370">
        <v>1345.71</v>
      </c>
      <c r="W3370">
        <v>1345.71</v>
      </c>
      <c r="X3370">
        <v>0</v>
      </c>
      <c r="Y3370">
        <v>0</v>
      </c>
      <c r="Z3370">
        <v>-536</v>
      </c>
      <c r="AA3370">
        <v>4674</v>
      </c>
      <c r="AD3370" t="s">
        <v>234</v>
      </c>
      <c r="AE3370" t="s">
        <v>9070</v>
      </c>
      <c r="AF3370" t="s">
        <v>234</v>
      </c>
      <c r="AG3370">
        <v>50974732000231</v>
      </c>
      <c r="AH3370" t="s">
        <v>44</v>
      </c>
    </row>
    <row r="3371" spans="1:34" x14ac:dyDescent="0.3">
      <c r="A3371">
        <v>101</v>
      </c>
      <c r="B3371" t="s">
        <v>34</v>
      </c>
      <c r="C3371">
        <v>2</v>
      </c>
      <c r="D3371" s="1" t="s">
        <v>9073</v>
      </c>
      <c r="E3371" s="1" t="s">
        <v>116</v>
      </c>
      <c r="G3371">
        <v>6758</v>
      </c>
      <c r="H3371" t="s">
        <v>9074</v>
      </c>
      <c r="I3371" t="s">
        <v>9075</v>
      </c>
      <c r="J3371">
        <v>12</v>
      </c>
      <c r="K3371">
        <v>2143</v>
      </c>
      <c r="L3371">
        <v>50341</v>
      </c>
      <c r="M3371" t="s">
        <v>146</v>
      </c>
      <c r="N3371">
        <v>680</v>
      </c>
      <c r="O3371" s="2">
        <v>46251</v>
      </c>
      <c r="P3371" s="2">
        <v>46311</v>
      </c>
      <c r="R3371" t="s">
        <v>9076</v>
      </c>
      <c r="S3371" t="str">
        <f>"00013677"</f>
        <v>00013677</v>
      </c>
      <c r="T3371" t="s">
        <v>41</v>
      </c>
      <c r="U3371">
        <v>1824.36</v>
      </c>
      <c r="V3371">
        <v>1751.39</v>
      </c>
      <c r="W3371">
        <v>1751.39</v>
      </c>
      <c r="X3371">
        <v>0</v>
      </c>
      <c r="Y3371">
        <v>0</v>
      </c>
      <c r="Z3371">
        <v>-536</v>
      </c>
      <c r="AA3371">
        <v>4679</v>
      </c>
      <c r="AD3371" t="s">
        <v>234</v>
      </c>
      <c r="AE3371" t="s">
        <v>9077</v>
      </c>
      <c r="AF3371" t="s">
        <v>234</v>
      </c>
      <c r="AG3371">
        <v>50974732000401</v>
      </c>
      <c r="AH3371" t="s">
        <v>44</v>
      </c>
    </row>
    <row r="3372" spans="1:34" x14ac:dyDescent="0.3">
      <c r="A3372">
        <v>101</v>
      </c>
      <c r="B3372" t="s">
        <v>34</v>
      </c>
      <c r="C3372">
        <v>2</v>
      </c>
      <c r="D3372" s="1" t="s">
        <v>9073</v>
      </c>
      <c r="E3372" s="1" t="s">
        <v>122</v>
      </c>
      <c r="G3372">
        <v>6758</v>
      </c>
      <c r="H3372" t="s">
        <v>9074</v>
      </c>
      <c r="I3372" t="s">
        <v>9075</v>
      </c>
      <c r="J3372">
        <v>12</v>
      </c>
      <c r="K3372">
        <v>2143</v>
      </c>
      <c r="L3372">
        <v>50341</v>
      </c>
      <c r="M3372" t="s">
        <v>146</v>
      </c>
      <c r="N3372">
        <v>680</v>
      </c>
      <c r="O3372" s="2">
        <v>46251</v>
      </c>
      <c r="P3372" s="2">
        <v>46296</v>
      </c>
      <c r="R3372" t="s">
        <v>9076</v>
      </c>
      <c r="S3372" t="str">
        <f>"00013676"</f>
        <v>00013676</v>
      </c>
      <c r="T3372" t="s">
        <v>41</v>
      </c>
      <c r="U3372">
        <v>1823.82</v>
      </c>
      <c r="V3372">
        <v>1750.87</v>
      </c>
      <c r="W3372">
        <v>1750.87</v>
      </c>
      <c r="X3372">
        <v>0</v>
      </c>
      <c r="Y3372">
        <v>0</v>
      </c>
      <c r="Z3372">
        <v>-521</v>
      </c>
      <c r="AA3372">
        <v>4679</v>
      </c>
      <c r="AD3372" t="s">
        <v>234</v>
      </c>
      <c r="AE3372" t="s">
        <v>9077</v>
      </c>
      <c r="AF3372" t="s">
        <v>234</v>
      </c>
      <c r="AG3372">
        <v>50974732000401</v>
      </c>
      <c r="AH3372" t="s">
        <v>44</v>
      </c>
    </row>
    <row r="3373" spans="1:34" x14ac:dyDescent="0.3">
      <c r="A3373">
        <v>101</v>
      </c>
      <c r="B3373" t="s">
        <v>34</v>
      </c>
      <c r="C3373">
        <v>2</v>
      </c>
      <c r="D3373" s="1" t="s">
        <v>9073</v>
      </c>
      <c r="E3373" s="1" t="s">
        <v>36</v>
      </c>
      <c r="G3373">
        <v>6758</v>
      </c>
      <c r="H3373" t="s">
        <v>9074</v>
      </c>
      <c r="I3373" t="s">
        <v>9075</v>
      </c>
      <c r="J3373">
        <v>12</v>
      </c>
      <c r="K3373">
        <v>2143</v>
      </c>
      <c r="L3373">
        <v>50341</v>
      </c>
      <c r="M3373" t="s">
        <v>146</v>
      </c>
      <c r="N3373">
        <v>680</v>
      </c>
      <c r="O3373" s="2">
        <v>46251</v>
      </c>
      <c r="P3373" s="2">
        <v>46281</v>
      </c>
      <c r="R3373" t="s">
        <v>9076</v>
      </c>
      <c r="S3373" t="str">
        <f>"00013675"</f>
        <v>00013675</v>
      </c>
      <c r="T3373" t="s">
        <v>41</v>
      </c>
      <c r="U3373">
        <v>2182.62</v>
      </c>
      <c r="V3373">
        <v>2095.3200000000002</v>
      </c>
      <c r="W3373">
        <v>2095.3200000000002</v>
      </c>
      <c r="X3373">
        <v>0</v>
      </c>
      <c r="Y3373">
        <v>0</v>
      </c>
      <c r="Z3373">
        <v>-506</v>
      </c>
      <c r="AA3373">
        <v>4679</v>
      </c>
      <c r="AD3373" t="s">
        <v>234</v>
      </c>
      <c r="AE3373" t="s">
        <v>9077</v>
      </c>
      <c r="AF3373" t="s">
        <v>234</v>
      </c>
      <c r="AG3373">
        <v>50974732000401</v>
      </c>
      <c r="AH3373" t="s">
        <v>44</v>
      </c>
    </row>
    <row r="3374" spans="1:34" x14ac:dyDescent="0.3">
      <c r="A3374">
        <v>101</v>
      </c>
      <c r="B3374" t="s">
        <v>34</v>
      </c>
      <c r="C3374">
        <v>2</v>
      </c>
      <c r="D3374" s="1" t="s">
        <v>9078</v>
      </c>
      <c r="E3374" s="1" t="s">
        <v>122</v>
      </c>
      <c r="G3374">
        <v>6758</v>
      </c>
      <c r="H3374" t="s">
        <v>9074</v>
      </c>
      <c r="I3374" t="s">
        <v>9075</v>
      </c>
      <c r="J3374">
        <v>12</v>
      </c>
      <c r="K3374">
        <v>2143</v>
      </c>
      <c r="L3374">
        <v>50341</v>
      </c>
      <c r="M3374" t="s">
        <v>146</v>
      </c>
      <c r="N3374">
        <v>680</v>
      </c>
      <c r="O3374" s="2">
        <v>46223</v>
      </c>
      <c r="P3374" s="2">
        <v>46268</v>
      </c>
      <c r="R3374" t="s">
        <v>9079</v>
      </c>
      <c r="S3374" t="str">
        <f>"00013320"</f>
        <v>00013320</v>
      </c>
      <c r="T3374" t="s">
        <v>41</v>
      </c>
      <c r="U3374">
        <v>1098.76</v>
      </c>
      <c r="V3374">
        <v>1054.81</v>
      </c>
      <c r="W3374">
        <v>1054.81</v>
      </c>
      <c r="X3374">
        <v>0</v>
      </c>
      <c r="Y3374">
        <v>0</v>
      </c>
      <c r="Z3374">
        <v>-493</v>
      </c>
      <c r="AA3374">
        <v>692756</v>
      </c>
      <c r="AD3374" t="s">
        <v>234</v>
      </c>
      <c r="AE3374" t="s">
        <v>9077</v>
      </c>
      <c r="AF3374" t="s">
        <v>234</v>
      </c>
      <c r="AG3374">
        <v>50974732000401</v>
      </c>
      <c r="AH3374" t="s">
        <v>44</v>
      </c>
    </row>
    <row r="3375" spans="1:34" x14ac:dyDescent="0.3">
      <c r="A3375">
        <v>101</v>
      </c>
      <c r="B3375" t="s">
        <v>34</v>
      </c>
      <c r="C3375">
        <v>2</v>
      </c>
      <c r="D3375" s="1" t="s">
        <v>9078</v>
      </c>
      <c r="E3375" s="1" t="s">
        <v>36</v>
      </c>
      <c r="G3375">
        <v>6758</v>
      </c>
      <c r="H3375" t="s">
        <v>9074</v>
      </c>
      <c r="I3375" t="s">
        <v>9075</v>
      </c>
      <c r="J3375">
        <v>12</v>
      </c>
      <c r="K3375">
        <v>2143</v>
      </c>
      <c r="L3375">
        <v>50341</v>
      </c>
      <c r="M3375" t="s">
        <v>146</v>
      </c>
      <c r="N3375">
        <v>680</v>
      </c>
      <c r="O3375" s="2">
        <v>46223</v>
      </c>
      <c r="P3375" s="2">
        <v>46253</v>
      </c>
      <c r="R3375" t="s">
        <v>9079</v>
      </c>
      <c r="S3375" t="str">
        <f>"00013319"</f>
        <v>00013319</v>
      </c>
      <c r="T3375" t="s">
        <v>41</v>
      </c>
      <c r="U3375">
        <v>1424.62</v>
      </c>
      <c r="V3375">
        <v>1367.64</v>
      </c>
      <c r="W3375">
        <v>1367.64</v>
      </c>
      <c r="X3375">
        <v>0</v>
      </c>
      <c r="Y3375">
        <v>0</v>
      </c>
      <c r="Z3375">
        <v>-478</v>
      </c>
      <c r="AA3375">
        <v>692756</v>
      </c>
      <c r="AD3375" t="s">
        <v>234</v>
      </c>
      <c r="AE3375" t="s">
        <v>9077</v>
      </c>
      <c r="AF3375" t="s">
        <v>234</v>
      </c>
      <c r="AG3375">
        <v>50974732000401</v>
      </c>
      <c r="AH3375" t="s">
        <v>44</v>
      </c>
    </row>
    <row r="3376" spans="1:34" x14ac:dyDescent="0.3">
      <c r="A3376">
        <v>101</v>
      </c>
      <c r="B3376" t="s">
        <v>34</v>
      </c>
      <c r="C3376">
        <v>2</v>
      </c>
      <c r="D3376" s="1" t="s">
        <v>9078</v>
      </c>
      <c r="E3376" s="1" t="s">
        <v>116</v>
      </c>
      <c r="G3376">
        <v>6758</v>
      </c>
      <c r="H3376" t="s">
        <v>9074</v>
      </c>
      <c r="I3376" t="s">
        <v>9075</v>
      </c>
      <c r="J3376">
        <v>12</v>
      </c>
      <c r="K3376">
        <v>2143</v>
      </c>
      <c r="L3376">
        <v>50341</v>
      </c>
      <c r="M3376" t="s">
        <v>146</v>
      </c>
      <c r="N3376">
        <v>680</v>
      </c>
      <c r="O3376" s="2">
        <v>46223</v>
      </c>
      <c r="P3376" s="2">
        <v>46283</v>
      </c>
      <c r="R3376" t="s">
        <v>9079</v>
      </c>
      <c r="S3376" t="str">
        <f>"00013321"</f>
        <v>00013321</v>
      </c>
      <c r="T3376" t="s">
        <v>41</v>
      </c>
      <c r="U3376">
        <v>1099.0899999999999</v>
      </c>
      <c r="V3376">
        <v>1055.1300000000001</v>
      </c>
      <c r="W3376">
        <v>1055.1300000000001</v>
      </c>
      <c r="X3376">
        <v>0</v>
      </c>
      <c r="Y3376">
        <v>0</v>
      </c>
      <c r="Z3376">
        <v>-508</v>
      </c>
      <c r="AA3376">
        <v>692756</v>
      </c>
      <c r="AD3376" t="s">
        <v>234</v>
      </c>
      <c r="AE3376" t="s">
        <v>9077</v>
      </c>
      <c r="AF3376" t="s">
        <v>234</v>
      </c>
      <c r="AG3376">
        <v>50974732000401</v>
      </c>
      <c r="AH3376" t="s">
        <v>44</v>
      </c>
    </row>
    <row r="3377" spans="1:34" x14ac:dyDescent="0.3">
      <c r="A3377">
        <v>101</v>
      </c>
      <c r="B3377" t="s">
        <v>34</v>
      </c>
      <c r="C3377">
        <v>2</v>
      </c>
      <c r="D3377" s="1" t="s">
        <v>9080</v>
      </c>
      <c r="E3377" s="1" t="s">
        <v>36</v>
      </c>
      <c r="G3377">
        <v>6876</v>
      </c>
      <c r="H3377" t="s">
        <v>9081</v>
      </c>
      <c r="I3377" t="s">
        <v>9082</v>
      </c>
      <c r="J3377">
        <v>15</v>
      </c>
      <c r="K3377">
        <v>6702</v>
      </c>
      <c r="L3377">
        <v>50237</v>
      </c>
      <c r="M3377" t="s">
        <v>39</v>
      </c>
      <c r="N3377">
        <v>680</v>
      </c>
      <c r="O3377" s="2">
        <v>46216</v>
      </c>
      <c r="P3377" s="2">
        <v>46256</v>
      </c>
      <c r="R3377" t="s">
        <v>9083</v>
      </c>
      <c r="S3377" t="str">
        <f>"330000051325"</f>
        <v>330000051325</v>
      </c>
      <c r="T3377" t="s">
        <v>41</v>
      </c>
      <c r="U3377">
        <v>1163.81</v>
      </c>
      <c r="V3377">
        <v>1105.6199999999999</v>
      </c>
      <c r="W3377">
        <v>1105.6199999999999</v>
      </c>
      <c r="X3377">
        <v>0</v>
      </c>
      <c r="Y3377">
        <v>0</v>
      </c>
      <c r="Z3377">
        <v>-481</v>
      </c>
      <c r="AA3377">
        <v>693408</v>
      </c>
      <c r="AD3377" t="s">
        <v>57</v>
      </c>
      <c r="AE3377" t="s">
        <v>9084</v>
      </c>
      <c r="AF3377" t="s">
        <v>9085</v>
      </c>
      <c r="AG3377" s="1" t="s">
        <v>9086</v>
      </c>
      <c r="AH3377" t="s">
        <v>44</v>
      </c>
    </row>
    <row r="3378" spans="1:34" x14ac:dyDescent="0.3">
      <c r="A3378">
        <v>101</v>
      </c>
      <c r="B3378" t="s">
        <v>34</v>
      </c>
      <c r="C3378">
        <v>2</v>
      </c>
      <c r="D3378" s="1" t="s">
        <v>9080</v>
      </c>
      <c r="E3378" s="1" t="s">
        <v>116</v>
      </c>
      <c r="G3378">
        <v>6876</v>
      </c>
      <c r="H3378" t="s">
        <v>9081</v>
      </c>
      <c r="I3378" t="s">
        <v>9082</v>
      </c>
      <c r="J3378">
        <v>15</v>
      </c>
      <c r="K3378">
        <v>6702</v>
      </c>
      <c r="L3378">
        <v>50237</v>
      </c>
      <c r="M3378" t="s">
        <v>39</v>
      </c>
      <c r="N3378">
        <v>680</v>
      </c>
      <c r="O3378" s="2">
        <v>46216</v>
      </c>
      <c r="P3378" s="2">
        <v>46286</v>
      </c>
      <c r="R3378" t="s">
        <v>9083</v>
      </c>
      <c r="S3378" t="str">
        <f>"330000051341"</f>
        <v>330000051341</v>
      </c>
      <c r="T3378" t="s">
        <v>41</v>
      </c>
      <c r="U3378">
        <v>991.72</v>
      </c>
      <c r="V3378">
        <v>942.13</v>
      </c>
      <c r="W3378">
        <v>942.13</v>
      </c>
      <c r="X3378">
        <v>0</v>
      </c>
      <c r="Y3378">
        <v>0</v>
      </c>
      <c r="Z3378">
        <v>-511</v>
      </c>
      <c r="AA3378">
        <v>693408</v>
      </c>
      <c r="AD3378" t="s">
        <v>57</v>
      </c>
      <c r="AE3378" t="s">
        <v>9084</v>
      </c>
      <c r="AF3378" t="s">
        <v>9085</v>
      </c>
      <c r="AG3378" s="1" t="s">
        <v>9086</v>
      </c>
      <c r="AH3378" t="s">
        <v>44</v>
      </c>
    </row>
    <row r="3379" spans="1:34" x14ac:dyDescent="0.3">
      <c r="A3379">
        <v>101</v>
      </c>
      <c r="B3379" t="s">
        <v>34</v>
      </c>
      <c r="C3379">
        <v>2</v>
      </c>
      <c r="D3379" s="1" t="s">
        <v>9087</v>
      </c>
      <c r="E3379" s="1" t="s">
        <v>36</v>
      </c>
      <c r="G3379">
        <v>6876</v>
      </c>
      <c r="H3379" t="s">
        <v>9081</v>
      </c>
      <c r="I3379" t="s">
        <v>9082</v>
      </c>
      <c r="J3379">
        <v>15</v>
      </c>
      <c r="K3379">
        <v>6702</v>
      </c>
      <c r="L3379">
        <v>50237</v>
      </c>
      <c r="M3379" t="s">
        <v>39</v>
      </c>
      <c r="N3379">
        <v>680</v>
      </c>
      <c r="O3379" s="2">
        <v>46216</v>
      </c>
      <c r="P3379" s="2">
        <v>46256</v>
      </c>
      <c r="R3379" t="s">
        <v>9088</v>
      </c>
      <c r="S3379" t="str">
        <f>"330000051295"</f>
        <v>330000051295</v>
      </c>
      <c r="T3379" t="s">
        <v>41</v>
      </c>
      <c r="U3379">
        <v>1009.39</v>
      </c>
      <c r="V3379">
        <v>958.92</v>
      </c>
      <c r="W3379">
        <v>958.92</v>
      </c>
      <c r="X3379">
        <v>0</v>
      </c>
      <c r="Y3379">
        <v>0</v>
      </c>
      <c r="Z3379">
        <v>-481</v>
      </c>
      <c r="AA3379">
        <v>693396</v>
      </c>
      <c r="AD3379" t="s">
        <v>57</v>
      </c>
      <c r="AE3379" t="s">
        <v>9084</v>
      </c>
      <c r="AF3379" t="s">
        <v>9085</v>
      </c>
      <c r="AG3379" s="1" t="s">
        <v>9086</v>
      </c>
      <c r="AH3379" t="s">
        <v>44</v>
      </c>
    </row>
    <row r="3380" spans="1:34" x14ac:dyDescent="0.3">
      <c r="A3380">
        <v>101</v>
      </c>
      <c r="B3380" t="s">
        <v>34</v>
      </c>
      <c r="C3380">
        <v>2</v>
      </c>
      <c r="D3380" s="1" t="s">
        <v>9087</v>
      </c>
      <c r="E3380" s="1" t="s">
        <v>122</v>
      </c>
      <c r="G3380">
        <v>6876</v>
      </c>
      <c r="H3380" t="s">
        <v>9081</v>
      </c>
      <c r="I3380" t="s">
        <v>9082</v>
      </c>
      <c r="J3380">
        <v>15</v>
      </c>
      <c r="K3380">
        <v>6702</v>
      </c>
      <c r="L3380">
        <v>50237</v>
      </c>
      <c r="M3380" t="s">
        <v>39</v>
      </c>
      <c r="N3380">
        <v>680</v>
      </c>
      <c r="O3380" s="2">
        <v>46216</v>
      </c>
      <c r="P3380" s="2">
        <v>46271</v>
      </c>
      <c r="R3380" t="s">
        <v>9088</v>
      </c>
      <c r="S3380" t="str">
        <f>"330000051309"</f>
        <v>330000051309</v>
      </c>
      <c r="T3380" t="s">
        <v>41</v>
      </c>
      <c r="U3380">
        <v>878.87</v>
      </c>
      <c r="V3380">
        <v>834.93</v>
      </c>
      <c r="W3380">
        <v>834.93</v>
      </c>
      <c r="X3380">
        <v>0</v>
      </c>
      <c r="Y3380">
        <v>0</v>
      </c>
      <c r="Z3380">
        <v>-496</v>
      </c>
      <c r="AA3380">
        <v>693396</v>
      </c>
      <c r="AD3380" t="s">
        <v>57</v>
      </c>
      <c r="AE3380" t="s">
        <v>9084</v>
      </c>
      <c r="AF3380" t="s">
        <v>9085</v>
      </c>
      <c r="AG3380" s="1" t="s">
        <v>9086</v>
      </c>
      <c r="AH3380" t="s">
        <v>44</v>
      </c>
    </row>
    <row r="3381" spans="1:34" x14ac:dyDescent="0.3">
      <c r="A3381">
        <v>101</v>
      </c>
      <c r="B3381" t="s">
        <v>34</v>
      </c>
      <c r="C3381">
        <v>2</v>
      </c>
      <c r="D3381" s="1" t="s">
        <v>9080</v>
      </c>
      <c r="E3381" s="1" t="s">
        <v>122</v>
      </c>
      <c r="G3381">
        <v>6876</v>
      </c>
      <c r="H3381" t="s">
        <v>9081</v>
      </c>
      <c r="I3381" t="s">
        <v>9082</v>
      </c>
      <c r="J3381">
        <v>15</v>
      </c>
      <c r="K3381">
        <v>6702</v>
      </c>
      <c r="L3381">
        <v>50237</v>
      </c>
      <c r="M3381" t="s">
        <v>39</v>
      </c>
      <c r="N3381">
        <v>680</v>
      </c>
      <c r="O3381" s="2">
        <v>46216</v>
      </c>
      <c r="P3381" s="2">
        <v>46271</v>
      </c>
      <c r="R3381" t="s">
        <v>9083</v>
      </c>
      <c r="S3381" t="str">
        <f>"330000051333"</f>
        <v>330000051333</v>
      </c>
      <c r="T3381" t="s">
        <v>41</v>
      </c>
      <c r="U3381">
        <v>991.41</v>
      </c>
      <c r="V3381">
        <v>941.84</v>
      </c>
      <c r="W3381">
        <v>941.84</v>
      </c>
      <c r="X3381">
        <v>0</v>
      </c>
      <c r="Y3381">
        <v>0</v>
      </c>
      <c r="Z3381">
        <v>-496</v>
      </c>
      <c r="AA3381">
        <v>693408</v>
      </c>
      <c r="AD3381" t="s">
        <v>57</v>
      </c>
      <c r="AE3381" t="s">
        <v>9084</v>
      </c>
      <c r="AF3381" t="s">
        <v>9085</v>
      </c>
      <c r="AG3381" s="1" t="s">
        <v>9086</v>
      </c>
      <c r="AH3381" t="s">
        <v>44</v>
      </c>
    </row>
    <row r="3382" spans="1:34" x14ac:dyDescent="0.3">
      <c r="A3382">
        <v>101</v>
      </c>
      <c r="B3382" t="s">
        <v>34</v>
      </c>
      <c r="C3382">
        <v>2</v>
      </c>
      <c r="D3382" s="1" t="s">
        <v>9087</v>
      </c>
      <c r="E3382" s="1" t="s">
        <v>116</v>
      </c>
      <c r="G3382">
        <v>6876</v>
      </c>
      <c r="H3382" t="s">
        <v>9081</v>
      </c>
      <c r="I3382" t="s">
        <v>9082</v>
      </c>
      <c r="J3382">
        <v>15</v>
      </c>
      <c r="K3382">
        <v>6702</v>
      </c>
      <c r="L3382">
        <v>50237</v>
      </c>
      <c r="M3382" t="s">
        <v>39</v>
      </c>
      <c r="N3382">
        <v>680</v>
      </c>
      <c r="O3382" s="2">
        <v>46216</v>
      </c>
      <c r="P3382" s="2">
        <v>46286</v>
      </c>
      <c r="R3382" t="s">
        <v>9088</v>
      </c>
      <c r="S3382" t="str">
        <f>"330000051317"</f>
        <v>330000051317</v>
      </c>
      <c r="T3382" t="s">
        <v>41</v>
      </c>
      <c r="U3382">
        <v>879.14</v>
      </c>
      <c r="V3382">
        <v>835.18</v>
      </c>
      <c r="W3382">
        <v>835.18</v>
      </c>
      <c r="X3382">
        <v>0</v>
      </c>
      <c r="Y3382">
        <v>0</v>
      </c>
      <c r="Z3382">
        <v>-511</v>
      </c>
      <c r="AA3382">
        <v>693396</v>
      </c>
      <c r="AD3382" t="s">
        <v>57</v>
      </c>
      <c r="AE3382" t="s">
        <v>9084</v>
      </c>
      <c r="AF3382" t="s">
        <v>9085</v>
      </c>
      <c r="AG3382" s="1" t="s">
        <v>9086</v>
      </c>
      <c r="AH3382" t="s">
        <v>44</v>
      </c>
    </row>
    <row r="3383" spans="1:34" x14ac:dyDescent="0.3">
      <c r="A3383">
        <v>101</v>
      </c>
      <c r="B3383" t="s">
        <v>34</v>
      </c>
      <c r="C3383">
        <v>2</v>
      </c>
      <c r="D3383" s="1" t="s">
        <v>9089</v>
      </c>
      <c r="E3383" s="1" t="s">
        <v>122</v>
      </c>
      <c r="G3383">
        <v>6877</v>
      </c>
      <c r="H3383" t="s">
        <v>9090</v>
      </c>
      <c r="I3383" t="s">
        <v>9091</v>
      </c>
      <c r="J3383">
        <v>15</v>
      </c>
      <c r="K3383">
        <v>6702</v>
      </c>
      <c r="L3383">
        <v>50237</v>
      </c>
      <c r="M3383" t="s">
        <v>39</v>
      </c>
      <c r="N3383">
        <v>680</v>
      </c>
      <c r="O3383" s="2">
        <v>46216</v>
      </c>
      <c r="P3383" s="2">
        <v>46271</v>
      </c>
      <c r="R3383" t="s">
        <v>9092</v>
      </c>
      <c r="S3383" t="str">
        <f>"330000051368"</f>
        <v>330000051368</v>
      </c>
      <c r="T3383" t="s">
        <v>41</v>
      </c>
      <c r="U3383">
        <v>566.62</v>
      </c>
      <c r="V3383">
        <v>538.29</v>
      </c>
      <c r="W3383">
        <v>538.29</v>
      </c>
      <c r="X3383">
        <v>0</v>
      </c>
      <c r="Y3383">
        <v>0</v>
      </c>
      <c r="Z3383">
        <v>-496</v>
      </c>
      <c r="AA3383">
        <v>693410</v>
      </c>
      <c r="AD3383" t="s">
        <v>9085</v>
      </c>
      <c r="AE3383" t="s">
        <v>9093</v>
      </c>
      <c r="AF3383" t="s">
        <v>9085</v>
      </c>
      <c r="AG3383" s="1" t="s">
        <v>9094</v>
      </c>
      <c r="AH3383" t="s">
        <v>44</v>
      </c>
    </row>
    <row r="3384" spans="1:34" x14ac:dyDescent="0.3">
      <c r="A3384">
        <v>101</v>
      </c>
      <c r="B3384" t="s">
        <v>34</v>
      </c>
      <c r="C3384">
        <v>2</v>
      </c>
      <c r="D3384" s="1" t="s">
        <v>9089</v>
      </c>
      <c r="E3384" s="1" t="s">
        <v>36</v>
      </c>
      <c r="G3384">
        <v>6877</v>
      </c>
      <c r="H3384" t="s">
        <v>9090</v>
      </c>
      <c r="I3384" t="s">
        <v>9091</v>
      </c>
      <c r="J3384">
        <v>15</v>
      </c>
      <c r="K3384">
        <v>6702</v>
      </c>
      <c r="L3384">
        <v>50237</v>
      </c>
      <c r="M3384" t="s">
        <v>39</v>
      </c>
      <c r="N3384">
        <v>680</v>
      </c>
      <c r="O3384" s="2">
        <v>46216</v>
      </c>
      <c r="P3384" s="2">
        <v>46256</v>
      </c>
      <c r="R3384" t="s">
        <v>9092</v>
      </c>
      <c r="S3384" t="str">
        <f>"33000005135P"</f>
        <v>33000005135P</v>
      </c>
      <c r="T3384" t="s">
        <v>41</v>
      </c>
      <c r="U3384">
        <v>682.42</v>
      </c>
      <c r="V3384">
        <v>648.29999999999995</v>
      </c>
      <c r="W3384">
        <v>648.29999999999995</v>
      </c>
      <c r="X3384">
        <v>0</v>
      </c>
      <c r="Y3384">
        <v>0</v>
      </c>
      <c r="Z3384">
        <v>-481</v>
      </c>
      <c r="AA3384">
        <v>693410</v>
      </c>
      <c r="AD3384" t="s">
        <v>9085</v>
      </c>
      <c r="AE3384" t="s">
        <v>9093</v>
      </c>
      <c r="AF3384" t="s">
        <v>9085</v>
      </c>
      <c r="AG3384" s="1" t="s">
        <v>9094</v>
      </c>
      <c r="AH3384" t="s">
        <v>44</v>
      </c>
    </row>
    <row r="3385" spans="1:34" x14ac:dyDescent="0.3">
      <c r="A3385">
        <v>101</v>
      </c>
      <c r="B3385" t="s">
        <v>34</v>
      </c>
      <c r="C3385">
        <v>2</v>
      </c>
      <c r="D3385" s="1" t="s">
        <v>9089</v>
      </c>
      <c r="E3385" s="1" t="s">
        <v>116</v>
      </c>
      <c r="G3385">
        <v>6877</v>
      </c>
      <c r="H3385" t="s">
        <v>9090</v>
      </c>
      <c r="I3385" t="s">
        <v>9091</v>
      </c>
      <c r="J3385">
        <v>15</v>
      </c>
      <c r="K3385">
        <v>6702</v>
      </c>
      <c r="L3385">
        <v>50237</v>
      </c>
      <c r="M3385" t="s">
        <v>39</v>
      </c>
      <c r="N3385">
        <v>680</v>
      </c>
      <c r="O3385" s="2">
        <v>46216</v>
      </c>
      <c r="P3385" s="2">
        <v>46286</v>
      </c>
      <c r="R3385" t="s">
        <v>9092</v>
      </c>
      <c r="S3385" t="str">
        <f>"330000051376"</f>
        <v>330000051376</v>
      </c>
      <c r="T3385" t="s">
        <v>41</v>
      </c>
      <c r="U3385">
        <v>566.79999999999995</v>
      </c>
      <c r="V3385">
        <v>538.46</v>
      </c>
      <c r="W3385">
        <v>538.46</v>
      </c>
      <c r="X3385">
        <v>0</v>
      </c>
      <c r="Y3385">
        <v>0</v>
      </c>
      <c r="Z3385">
        <v>-511</v>
      </c>
      <c r="AA3385">
        <v>693410</v>
      </c>
      <c r="AD3385" t="s">
        <v>9085</v>
      </c>
      <c r="AE3385" t="s">
        <v>9093</v>
      </c>
      <c r="AF3385" t="s">
        <v>9085</v>
      </c>
      <c r="AG3385" s="1" t="s">
        <v>9094</v>
      </c>
      <c r="AH3385" t="s">
        <v>44</v>
      </c>
    </row>
    <row r="3386" spans="1:34" x14ac:dyDescent="0.3">
      <c r="A3386">
        <v>101</v>
      </c>
      <c r="B3386" t="s">
        <v>34</v>
      </c>
      <c r="C3386">
        <v>2</v>
      </c>
      <c r="D3386" s="1" t="s">
        <v>9095</v>
      </c>
      <c r="E3386" s="1" t="s">
        <v>36</v>
      </c>
      <c r="G3386">
        <v>10121</v>
      </c>
      <c r="H3386" t="s">
        <v>9096</v>
      </c>
      <c r="I3386" t="s">
        <v>9097</v>
      </c>
      <c r="J3386">
        <v>12</v>
      </c>
      <c r="K3386">
        <v>10121</v>
      </c>
      <c r="L3386">
        <v>50001</v>
      </c>
      <c r="M3386" t="s">
        <v>39</v>
      </c>
      <c r="N3386">
        <v>680</v>
      </c>
      <c r="O3386" s="2">
        <v>46230</v>
      </c>
      <c r="P3386" s="2">
        <v>46260</v>
      </c>
      <c r="R3386" t="s">
        <v>9098</v>
      </c>
      <c r="S3386" t="str">
        <f>"25666160000051637"</f>
        <v>25666160000051637</v>
      </c>
      <c r="T3386" t="s">
        <v>41</v>
      </c>
      <c r="U3386">
        <v>1936.83</v>
      </c>
      <c r="V3386">
        <v>1936.83</v>
      </c>
      <c r="W3386">
        <v>1936.83</v>
      </c>
      <c r="X3386">
        <v>0</v>
      </c>
      <c r="Y3386">
        <v>0</v>
      </c>
      <c r="Z3386">
        <v>-485</v>
      </c>
      <c r="AA3386">
        <v>1668</v>
      </c>
      <c r="AD3386" t="s">
        <v>9099</v>
      </c>
      <c r="AE3386" t="s">
        <v>9100</v>
      </c>
      <c r="AF3386" t="s">
        <v>9099</v>
      </c>
      <c r="AG3386" s="1" t="s">
        <v>9101</v>
      </c>
      <c r="AH3386" t="s">
        <v>44</v>
      </c>
    </row>
    <row r="3387" spans="1:34" x14ac:dyDescent="0.3">
      <c r="A3387">
        <v>101</v>
      </c>
      <c r="B3387" t="s">
        <v>34</v>
      </c>
      <c r="C3387">
        <v>2</v>
      </c>
      <c r="D3387" s="1" t="s">
        <v>9102</v>
      </c>
      <c r="E3387" s="1" t="s">
        <v>116</v>
      </c>
      <c r="G3387">
        <v>11428</v>
      </c>
      <c r="H3387" t="s">
        <v>9103</v>
      </c>
      <c r="I3387" t="s">
        <v>9104</v>
      </c>
      <c r="J3387">
        <v>12</v>
      </c>
      <c r="K3387">
        <v>2143</v>
      </c>
      <c r="L3387">
        <v>50341</v>
      </c>
      <c r="M3387" t="s">
        <v>146</v>
      </c>
      <c r="N3387">
        <v>680</v>
      </c>
      <c r="O3387" s="2">
        <v>46223</v>
      </c>
      <c r="P3387" s="2">
        <v>46283</v>
      </c>
      <c r="R3387" t="s">
        <v>9105</v>
      </c>
      <c r="S3387" t="str">
        <f>"00013329"</f>
        <v>00013329</v>
      </c>
      <c r="T3387" t="s">
        <v>41</v>
      </c>
      <c r="U3387">
        <v>604.29999999999995</v>
      </c>
      <c r="V3387">
        <v>580.13</v>
      </c>
      <c r="W3387">
        <v>580.13</v>
      </c>
      <c r="X3387">
        <v>0</v>
      </c>
      <c r="Y3387">
        <v>0</v>
      </c>
      <c r="Z3387">
        <v>-508</v>
      </c>
      <c r="AA3387">
        <v>692759</v>
      </c>
      <c r="AD3387" t="s">
        <v>9106</v>
      </c>
      <c r="AE3387" t="s">
        <v>9107</v>
      </c>
      <c r="AF3387" t="s">
        <v>9106</v>
      </c>
      <c r="AG3387">
        <v>50974732000584</v>
      </c>
      <c r="AH3387" t="s">
        <v>44</v>
      </c>
    </row>
    <row r="3388" spans="1:34" x14ac:dyDescent="0.3">
      <c r="A3388">
        <v>101</v>
      </c>
      <c r="B3388" t="s">
        <v>34</v>
      </c>
      <c r="C3388">
        <v>2</v>
      </c>
      <c r="D3388" s="1" t="s">
        <v>9102</v>
      </c>
      <c r="E3388" s="1" t="s">
        <v>122</v>
      </c>
      <c r="G3388">
        <v>11428</v>
      </c>
      <c r="H3388" t="s">
        <v>9103</v>
      </c>
      <c r="I3388" t="s">
        <v>9104</v>
      </c>
      <c r="J3388">
        <v>12</v>
      </c>
      <c r="K3388">
        <v>2143</v>
      </c>
      <c r="L3388">
        <v>50341</v>
      </c>
      <c r="M3388" t="s">
        <v>146</v>
      </c>
      <c r="N3388">
        <v>680</v>
      </c>
      <c r="O3388" s="2">
        <v>46223</v>
      </c>
      <c r="P3388" s="2">
        <v>46268</v>
      </c>
      <c r="R3388" t="s">
        <v>9105</v>
      </c>
      <c r="S3388" t="str">
        <f>"00013328"</f>
        <v>00013328</v>
      </c>
      <c r="T3388" t="s">
        <v>41</v>
      </c>
      <c r="U3388">
        <v>604.11</v>
      </c>
      <c r="V3388">
        <v>579.95000000000005</v>
      </c>
      <c r="W3388">
        <v>579.95000000000005</v>
      </c>
      <c r="X3388">
        <v>0</v>
      </c>
      <c r="Y3388">
        <v>0</v>
      </c>
      <c r="Z3388">
        <v>-493</v>
      </c>
      <c r="AA3388">
        <v>692759</v>
      </c>
      <c r="AD3388" t="s">
        <v>9106</v>
      </c>
      <c r="AE3388" t="s">
        <v>9107</v>
      </c>
      <c r="AF3388" t="s">
        <v>9106</v>
      </c>
      <c r="AG3388">
        <v>50974732000584</v>
      </c>
      <c r="AH3388" t="s">
        <v>44</v>
      </c>
    </row>
    <row r="3389" spans="1:34" x14ac:dyDescent="0.3">
      <c r="A3389">
        <v>101</v>
      </c>
      <c r="B3389" t="s">
        <v>34</v>
      </c>
      <c r="C3389">
        <v>2</v>
      </c>
      <c r="D3389" s="1" t="s">
        <v>9102</v>
      </c>
      <c r="E3389" s="1" t="s">
        <v>36</v>
      </c>
      <c r="G3389">
        <v>11428</v>
      </c>
      <c r="H3389" t="s">
        <v>9103</v>
      </c>
      <c r="I3389" t="s">
        <v>9104</v>
      </c>
      <c r="J3389">
        <v>12</v>
      </c>
      <c r="K3389">
        <v>2143</v>
      </c>
      <c r="L3389">
        <v>50341</v>
      </c>
      <c r="M3389" t="s">
        <v>146</v>
      </c>
      <c r="N3389">
        <v>680</v>
      </c>
      <c r="O3389" s="2">
        <v>46223</v>
      </c>
      <c r="P3389" s="2">
        <v>46253</v>
      </c>
      <c r="R3389" t="s">
        <v>9105</v>
      </c>
      <c r="S3389" t="str">
        <f>"00013327"</f>
        <v>00013327</v>
      </c>
      <c r="T3389" t="s">
        <v>41</v>
      </c>
      <c r="U3389">
        <v>724.4</v>
      </c>
      <c r="V3389">
        <v>695.42</v>
      </c>
      <c r="W3389">
        <v>695.42</v>
      </c>
      <c r="X3389">
        <v>0</v>
      </c>
      <c r="Y3389">
        <v>0</v>
      </c>
      <c r="Z3389">
        <v>-478</v>
      </c>
      <c r="AA3389">
        <v>692759</v>
      </c>
      <c r="AD3389" t="s">
        <v>9106</v>
      </c>
      <c r="AE3389" t="s">
        <v>9107</v>
      </c>
      <c r="AF3389" t="s">
        <v>9106</v>
      </c>
      <c r="AG3389">
        <v>50974732000584</v>
      </c>
      <c r="AH3389" t="s">
        <v>44</v>
      </c>
    </row>
    <row r="3390" spans="1:34" x14ac:dyDescent="0.3">
      <c r="A3390">
        <v>101</v>
      </c>
      <c r="B3390" t="s">
        <v>34</v>
      </c>
      <c r="C3390">
        <v>2</v>
      </c>
      <c r="D3390" s="1" t="s">
        <v>9108</v>
      </c>
      <c r="E3390" s="1" t="s">
        <v>36</v>
      </c>
      <c r="G3390">
        <v>11428</v>
      </c>
      <c r="H3390" t="s">
        <v>9103</v>
      </c>
      <c r="I3390" t="s">
        <v>9104</v>
      </c>
      <c r="J3390">
        <v>12</v>
      </c>
      <c r="K3390">
        <v>2143</v>
      </c>
      <c r="L3390">
        <v>50341</v>
      </c>
      <c r="M3390" t="s">
        <v>146</v>
      </c>
      <c r="N3390">
        <v>680</v>
      </c>
      <c r="O3390" s="2">
        <v>46251</v>
      </c>
      <c r="P3390" s="2">
        <v>46281</v>
      </c>
      <c r="R3390" t="s">
        <v>9109</v>
      </c>
      <c r="S3390" t="str">
        <f>"00013678"</f>
        <v>00013678</v>
      </c>
      <c r="T3390" t="s">
        <v>41</v>
      </c>
      <c r="U3390">
        <v>3112.19</v>
      </c>
      <c r="V3390">
        <v>2987.7</v>
      </c>
      <c r="W3390">
        <v>2987.7</v>
      </c>
      <c r="X3390">
        <v>0</v>
      </c>
      <c r="Y3390">
        <v>0</v>
      </c>
      <c r="Z3390">
        <v>-506</v>
      </c>
      <c r="AA3390">
        <v>4682</v>
      </c>
      <c r="AD3390" t="s">
        <v>9106</v>
      </c>
      <c r="AE3390" t="s">
        <v>9107</v>
      </c>
      <c r="AF3390" t="s">
        <v>9106</v>
      </c>
      <c r="AG3390">
        <v>50974732000584</v>
      </c>
      <c r="AH3390" t="s">
        <v>44</v>
      </c>
    </row>
    <row r="3391" spans="1:34" x14ac:dyDescent="0.3">
      <c r="A3391">
        <v>101</v>
      </c>
      <c r="B3391" t="s">
        <v>34</v>
      </c>
      <c r="C3391">
        <v>2</v>
      </c>
      <c r="D3391" s="1" t="s">
        <v>9108</v>
      </c>
      <c r="E3391" s="1" t="s">
        <v>122</v>
      </c>
      <c r="G3391">
        <v>11428</v>
      </c>
      <c r="H3391" t="s">
        <v>9103</v>
      </c>
      <c r="I3391" t="s">
        <v>9104</v>
      </c>
      <c r="J3391">
        <v>12</v>
      </c>
      <c r="K3391">
        <v>2143</v>
      </c>
      <c r="L3391">
        <v>50341</v>
      </c>
      <c r="M3391" t="s">
        <v>146</v>
      </c>
      <c r="N3391">
        <v>680</v>
      </c>
      <c r="O3391" s="2">
        <v>46251</v>
      </c>
      <c r="P3391" s="2">
        <v>46296</v>
      </c>
      <c r="R3391" t="s">
        <v>9109</v>
      </c>
      <c r="S3391" t="str">
        <f>"00013679"</f>
        <v>00013679</v>
      </c>
      <c r="T3391" t="s">
        <v>41</v>
      </c>
      <c r="U3391">
        <v>2524.5500000000002</v>
      </c>
      <c r="V3391">
        <v>2423.5700000000002</v>
      </c>
      <c r="W3391">
        <v>2423.5700000000002</v>
      </c>
      <c r="X3391">
        <v>0</v>
      </c>
      <c r="Y3391">
        <v>0</v>
      </c>
      <c r="Z3391">
        <v>-521</v>
      </c>
      <c r="AA3391">
        <v>4682</v>
      </c>
      <c r="AD3391" t="s">
        <v>9106</v>
      </c>
      <c r="AE3391" t="s">
        <v>9107</v>
      </c>
      <c r="AF3391" t="s">
        <v>9106</v>
      </c>
      <c r="AG3391">
        <v>50974732000584</v>
      </c>
      <c r="AH3391" t="s">
        <v>44</v>
      </c>
    </row>
    <row r="3392" spans="1:34" x14ac:dyDescent="0.3">
      <c r="A3392">
        <v>101</v>
      </c>
      <c r="B3392" t="s">
        <v>34</v>
      </c>
      <c r="C3392">
        <v>2</v>
      </c>
      <c r="D3392" s="1" t="s">
        <v>9108</v>
      </c>
      <c r="E3392" s="1" t="s">
        <v>116</v>
      </c>
      <c r="G3392">
        <v>11428</v>
      </c>
      <c r="H3392" t="s">
        <v>9103</v>
      </c>
      <c r="I3392" t="s">
        <v>9104</v>
      </c>
      <c r="J3392">
        <v>12</v>
      </c>
      <c r="K3392">
        <v>2143</v>
      </c>
      <c r="L3392">
        <v>50341</v>
      </c>
      <c r="M3392" t="s">
        <v>146</v>
      </c>
      <c r="N3392">
        <v>680</v>
      </c>
      <c r="O3392" s="2">
        <v>46251</v>
      </c>
      <c r="P3392" s="2">
        <v>46311</v>
      </c>
      <c r="R3392" t="s">
        <v>9109</v>
      </c>
      <c r="S3392" t="str">
        <f>"00013680"</f>
        <v>00013680</v>
      </c>
      <c r="T3392" t="s">
        <v>41</v>
      </c>
      <c r="U3392">
        <v>2525.3200000000002</v>
      </c>
      <c r="V3392">
        <v>2424.31</v>
      </c>
      <c r="W3392">
        <v>2424.31</v>
      </c>
      <c r="X3392">
        <v>0</v>
      </c>
      <c r="Y3392">
        <v>0</v>
      </c>
      <c r="Z3392">
        <v>-536</v>
      </c>
      <c r="AA3392">
        <v>4682</v>
      </c>
      <c r="AD3392" t="s">
        <v>9106</v>
      </c>
      <c r="AE3392" t="s">
        <v>9107</v>
      </c>
      <c r="AF3392" t="s">
        <v>9106</v>
      </c>
      <c r="AG3392">
        <v>50974732000584</v>
      </c>
      <c r="AH3392" t="s">
        <v>44</v>
      </c>
    </row>
    <row r="3393" spans="1:34" x14ac:dyDescent="0.3">
      <c r="A3393">
        <v>101</v>
      </c>
      <c r="B3393" t="s">
        <v>34</v>
      </c>
      <c r="C3393">
        <v>2</v>
      </c>
      <c r="D3393" s="1" t="s">
        <v>9110</v>
      </c>
      <c r="E3393" s="1" t="s">
        <v>36</v>
      </c>
      <c r="G3393">
        <v>436391</v>
      </c>
      <c r="H3393" t="s">
        <v>9111</v>
      </c>
      <c r="I3393" t="s">
        <v>9112</v>
      </c>
      <c r="J3393">
        <v>15</v>
      </c>
      <c r="K3393">
        <v>436391</v>
      </c>
      <c r="L3393">
        <v>50033</v>
      </c>
      <c r="M3393" t="s">
        <v>39</v>
      </c>
      <c r="N3393">
        <v>680</v>
      </c>
      <c r="O3393" s="2">
        <v>46231</v>
      </c>
      <c r="P3393" s="2">
        <v>46276</v>
      </c>
      <c r="R3393" t="s">
        <v>9113</v>
      </c>
      <c r="S3393" t="str">
        <f>"0000050411314"</f>
        <v>0000050411314</v>
      </c>
      <c r="T3393" t="s">
        <v>41</v>
      </c>
      <c r="U3393">
        <v>16934.93</v>
      </c>
      <c r="V3393">
        <v>16134.93</v>
      </c>
      <c r="W3393">
        <v>16134.93</v>
      </c>
      <c r="X3393">
        <v>0</v>
      </c>
      <c r="Y3393">
        <v>0</v>
      </c>
      <c r="Z3393">
        <v>-501</v>
      </c>
      <c r="AA3393">
        <v>1666</v>
      </c>
      <c r="AD3393" t="s">
        <v>9114</v>
      </c>
      <c r="AE3393" t="s">
        <v>9115</v>
      </c>
      <c r="AF3393" t="s">
        <v>9114</v>
      </c>
      <c r="AG3393">
        <v>52612033000196</v>
      </c>
      <c r="AH3393" t="s">
        <v>44</v>
      </c>
    </row>
    <row r="3394" spans="1:34" x14ac:dyDescent="0.3">
      <c r="A3394">
        <v>101</v>
      </c>
      <c r="B3394" t="s">
        <v>34</v>
      </c>
      <c r="C3394">
        <v>2</v>
      </c>
      <c r="D3394" s="1" t="s">
        <v>9116</v>
      </c>
      <c r="E3394" s="1" t="s">
        <v>36</v>
      </c>
      <c r="G3394">
        <v>447968</v>
      </c>
      <c r="H3394" t="s">
        <v>9117</v>
      </c>
      <c r="I3394" t="s">
        <v>9118</v>
      </c>
      <c r="J3394">
        <v>15</v>
      </c>
      <c r="K3394">
        <v>6702</v>
      </c>
      <c r="L3394">
        <v>50237</v>
      </c>
      <c r="M3394" t="s">
        <v>39</v>
      </c>
      <c r="N3394">
        <v>680</v>
      </c>
      <c r="O3394" s="2">
        <v>46216</v>
      </c>
      <c r="P3394" s="2">
        <v>46256</v>
      </c>
      <c r="R3394" t="s">
        <v>9119</v>
      </c>
      <c r="S3394" t="str">
        <f>"330000051384"</f>
        <v>330000051384</v>
      </c>
      <c r="T3394" t="s">
        <v>41</v>
      </c>
      <c r="U3394">
        <v>1145.8499999999999</v>
      </c>
      <c r="V3394">
        <v>1088.56</v>
      </c>
      <c r="W3394">
        <v>1088.56</v>
      </c>
      <c r="X3394">
        <v>0</v>
      </c>
      <c r="Y3394">
        <v>0</v>
      </c>
      <c r="Z3394">
        <v>-481</v>
      </c>
      <c r="AA3394">
        <v>693407</v>
      </c>
      <c r="AD3394" t="s">
        <v>5211</v>
      </c>
      <c r="AE3394" t="s">
        <v>9120</v>
      </c>
      <c r="AF3394" t="s">
        <v>5211</v>
      </c>
      <c r="AG3394">
        <v>28021619000100</v>
      </c>
      <c r="AH3394" t="s">
        <v>44</v>
      </c>
    </row>
    <row r="3395" spans="1:34" x14ac:dyDescent="0.3">
      <c r="A3395">
        <v>101</v>
      </c>
      <c r="B3395" t="s">
        <v>34</v>
      </c>
      <c r="C3395">
        <v>2</v>
      </c>
      <c r="D3395" s="1" t="s">
        <v>9116</v>
      </c>
      <c r="E3395" s="1" t="s">
        <v>116</v>
      </c>
      <c r="G3395">
        <v>447968</v>
      </c>
      <c r="H3395" t="s">
        <v>9117</v>
      </c>
      <c r="I3395" t="s">
        <v>9118</v>
      </c>
      <c r="J3395">
        <v>15</v>
      </c>
      <c r="K3395">
        <v>6702</v>
      </c>
      <c r="L3395">
        <v>50237</v>
      </c>
      <c r="M3395" t="s">
        <v>39</v>
      </c>
      <c r="N3395">
        <v>680</v>
      </c>
      <c r="O3395" s="2">
        <v>46216</v>
      </c>
      <c r="P3395" s="2">
        <v>46286</v>
      </c>
      <c r="R3395" t="s">
        <v>9119</v>
      </c>
      <c r="S3395" t="str">
        <f>"330000051406"</f>
        <v>330000051406</v>
      </c>
      <c r="T3395" t="s">
        <v>41</v>
      </c>
      <c r="U3395">
        <v>1073.4100000000001</v>
      </c>
      <c r="V3395">
        <v>1019.74</v>
      </c>
      <c r="W3395">
        <v>1019.74</v>
      </c>
      <c r="X3395">
        <v>0</v>
      </c>
      <c r="Y3395">
        <v>0</v>
      </c>
      <c r="Z3395">
        <v>-511</v>
      </c>
      <c r="AA3395">
        <v>693407</v>
      </c>
      <c r="AD3395" t="s">
        <v>5211</v>
      </c>
      <c r="AE3395" t="s">
        <v>9120</v>
      </c>
      <c r="AF3395" t="s">
        <v>5211</v>
      </c>
      <c r="AG3395">
        <v>28021619000100</v>
      </c>
      <c r="AH3395" t="s">
        <v>44</v>
      </c>
    </row>
    <row r="3396" spans="1:34" x14ac:dyDescent="0.3">
      <c r="A3396">
        <v>101</v>
      </c>
      <c r="B3396" t="s">
        <v>34</v>
      </c>
      <c r="C3396">
        <v>2</v>
      </c>
      <c r="D3396" s="1" t="s">
        <v>9116</v>
      </c>
      <c r="E3396" s="1" t="s">
        <v>122</v>
      </c>
      <c r="G3396">
        <v>447968</v>
      </c>
      <c r="H3396" t="s">
        <v>9117</v>
      </c>
      <c r="I3396" t="s">
        <v>9118</v>
      </c>
      <c r="J3396">
        <v>15</v>
      </c>
      <c r="K3396">
        <v>6702</v>
      </c>
      <c r="L3396">
        <v>50237</v>
      </c>
      <c r="M3396" t="s">
        <v>39</v>
      </c>
      <c r="N3396">
        <v>680</v>
      </c>
      <c r="O3396" s="2">
        <v>46216</v>
      </c>
      <c r="P3396" s="2">
        <v>46271</v>
      </c>
      <c r="R3396" t="s">
        <v>9119</v>
      </c>
      <c r="S3396" t="str">
        <f>"330000051392"</f>
        <v>330000051392</v>
      </c>
      <c r="T3396" t="s">
        <v>41</v>
      </c>
      <c r="U3396">
        <v>1073.0999999999999</v>
      </c>
      <c r="V3396">
        <v>1019.45</v>
      </c>
      <c r="W3396">
        <v>1019.45</v>
      </c>
      <c r="X3396">
        <v>0</v>
      </c>
      <c r="Y3396">
        <v>0</v>
      </c>
      <c r="Z3396">
        <v>-496</v>
      </c>
      <c r="AA3396">
        <v>693407</v>
      </c>
      <c r="AD3396" t="s">
        <v>5211</v>
      </c>
      <c r="AE3396" t="s">
        <v>9120</v>
      </c>
      <c r="AF3396" t="s">
        <v>5211</v>
      </c>
      <c r="AG3396">
        <v>28021619000100</v>
      </c>
      <c r="AH3396" t="s">
        <v>44</v>
      </c>
    </row>
    <row r="3397" spans="1:34" x14ac:dyDescent="0.3">
      <c r="A3397">
        <v>101</v>
      </c>
      <c r="B3397" t="s">
        <v>34</v>
      </c>
      <c r="C3397">
        <v>2</v>
      </c>
      <c r="D3397" s="1" t="s">
        <v>9121</v>
      </c>
      <c r="E3397" s="1" t="s">
        <v>36</v>
      </c>
      <c r="G3397">
        <v>451098</v>
      </c>
      <c r="H3397" t="s">
        <v>9122</v>
      </c>
      <c r="I3397" t="s">
        <v>9123</v>
      </c>
      <c r="J3397">
        <v>12</v>
      </c>
      <c r="K3397">
        <v>2143</v>
      </c>
      <c r="L3397">
        <v>50341</v>
      </c>
      <c r="M3397" t="s">
        <v>146</v>
      </c>
      <c r="N3397">
        <v>680</v>
      </c>
      <c r="O3397" s="2">
        <v>46223</v>
      </c>
      <c r="P3397" s="2">
        <v>46253</v>
      </c>
      <c r="R3397" t="s">
        <v>9124</v>
      </c>
      <c r="S3397" t="str">
        <f>"00013332"</f>
        <v>00013332</v>
      </c>
      <c r="T3397" t="s">
        <v>41</v>
      </c>
      <c r="U3397">
        <v>780.03</v>
      </c>
      <c r="V3397">
        <v>748.83</v>
      </c>
      <c r="W3397">
        <v>748.83</v>
      </c>
      <c r="X3397">
        <v>0</v>
      </c>
      <c r="Y3397">
        <v>0</v>
      </c>
      <c r="Z3397">
        <v>-478</v>
      </c>
      <c r="AA3397">
        <v>692764</v>
      </c>
      <c r="AD3397" t="s">
        <v>9125</v>
      </c>
      <c r="AE3397" t="s">
        <v>9126</v>
      </c>
      <c r="AF3397" t="s">
        <v>9125</v>
      </c>
      <c r="AG3397">
        <v>50974732000746</v>
      </c>
      <c r="AH3397" t="s">
        <v>44</v>
      </c>
    </row>
    <row r="3398" spans="1:34" x14ac:dyDescent="0.3">
      <c r="A3398">
        <v>101</v>
      </c>
      <c r="B3398" t="s">
        <v>34</v>
      </c>
      <c r="C3398">
        <v>2</v>
      </c>
      <c r="D3398" s="1" t="s">
        <v>9121</v>
      </c>
      <c r="E3398" s="1" t="s">
        <v>122</v>
      </c>
      <c r="G3398">
        <v>451098</v>
      </c>
      <c r="H3398" t="s">
        <v>9122</v>
      </c>
      <c r="I3398" t="s">
        <v>9123</v>
      </c>
      <c r="J3398">
        <v>12</v>
      </c>
      <c r="K3398">
        <v>2143</v>
      </c>
      <c r="L3398">
        <v>50341</v>
      </c>
      <c r="M3398" t="s">
        <v>146</v>
      </c>
      <c r="N3398">
        <v>680</v>
      </c>
      <c r="O3398" s="2">
        <v>46223</v>
      </c>
      <c r="P3398" s="2">
        <v>46268</v>
      </c>
      <c r="R3398" t="s">
        <v>9124</v>
      </c>
      <c r="S3398" t="str">
        <f>"00013333"</f>
        <v>00013333</v>
      </c>
      <c r="T3398" t="s">
        <v>41</v>
      </c>
      <c r="U3398">
        <v>586.15</v>
      </c>
      <c r="V3398">
        <v>562.70000000000005</v>
      </c>
      <c r="W3398">
        <v>562.70000000000005</v>
      </c>
      <c r="X3398">
        <v>0</v>
      </c>
      <c r="Y3398">
        <v>0</v>
      </c>
      <c r="Z3398">
        <v>-493</v>
      </c>
      <c r="AA3398">
        <v>692764</v>
      </c>
      <c r="AD3398" t="s">
        <v>9125</v>
      </c>
      <c r="AE3398" t="s">
        <v>9126</v>
      </c>
      <c r="AF3398" t="s">
        <v>9125</v>
      </c>
      <c r="AG3398">
        <v>50974732000746</v>
      </c>
      <c r="AH3398" t="s">
        <v>44</v>
      </c>
    </row>
    <row r="3399" spans="1:34" x14ac:dyDescent="0.3">
      <c r="A3399">
        <v>101</v>
      </c>
      <c r="B3399" t="s">
        <v>34</v>
      </c>
      <c r="C3399">
        <v>2</v>
      </c>
      <c r="D3399" s="1" t="s">
        <v>9121</v>
      </c>
      <c r="E3399" s="1" t="s">
        <v>116</v>
      </c>
      <c r="G3399">
        <v>451098</v>
      </c>
      <c r="H3399" t="s">
        <v>9122</v>
      </c>
      <c r="I3399" t="s">
        <v>9123</v>
      </c>
      <c r="J3399">
        <v>12</v>
      </c>
      <c r="K3399">
        <v>2143</v>
      </c>
      <c r="L3399">
        <v>50341</v>
      </c>
      <c r="M3399" t="s">
        <v>146</v>
      </c>
      <c r="N3399">
        <v>680</v>
      </c>
      <c r="O3399" s="2">
        <v>46223</v>
      </c>
      <c r="P3399" s="2">
        <v>46283</v>
      </c>
      <c r="R3399" t="s">
        <v>9124</v>
      </c>
      <c r="S3399" t="str">
        <f>"00013334"</f>
        <v>00013334</v>
      </c>
      <c r="T3399" t="s">
        <v>41</v>
      </c>
      <c r="U3399">
        <v>586.34</v>
      </c>
      <c r="V3399">
        <v>562.89</v>
      </c>
      <c r="W3399">
        <v>562.89</v>
      </c>
      <c r="X3399">
        <v>0</v>
      </c>
      <c r="Y3399">
        <v>0</v>
      </c>
      <c r="Z3399">
        <v>-508</v>
      </c>
      <c r="AA3399">
        <v>692764</v>
      </c>
      <c r="AD3399" t="s">
        <v>9125</v>
      </c>
      <c r="AE3399" t="s">
        <v>9126</v>
      </c>
      <c r="AF3399" t="s">
        <v>9125</v>
      </c>
      <c r="AG3399">
        <v>50974732000746</v>
      </c>
      <c r="AH3399" t="s">
        <v>44</v>
      </c>
    </row>
    <row r="3400" spans="1:34" x14ac:dyDescent="0.3">
      <c r="A3400">
        <v>101</v>
      </c>
      <c r="B3400" t="s">
        <v>34</v>
      </c>
      <c r="C3400">
        <v>2</v>
      </c>
      <c r="D3400" s="1" t="s">
        <v>9127</v>
      </c>
      <c r="E3400" s="1" t="s">
        <v>36</v>
      </c>
      <c r="G3400">
        <v>451098</v>
      </c>
      <c r="H3400" t="s">
        <v>9122</v>
      </c>
      <c r="I3400" t="s">
        <v>9123</v>
      </c>
      <c r="J3400">
        <v>12</v>
      </c>
      <c r="K3400">
        <v>2143</v>
      </c>
      <c r="L3400">
        <v>50341</v>
      </c>
      <c r="M3400" t="s">
        <v>146</v>
      </c>
      <c r="N3400">
        <v>680</v>
      </c>
      <c r="O3400" s="2">
        <v>46251</v>
      </c>
      <c r="P3400" s="2">
        <v>46281</v>
      </c>
      <c r="R3400" t="s">
        <v>9128</v>
      </c>
      <c r="S3400" t="str">
        <f>"00013685"</f>
        <v>00013685</v>
      </c>
      <c r="T3400" t="s">
        <v>41</v>
      </c>
      <c r="U3400">
        <v>1815.63</v>
      </c>
      <c r="V3400">
        <v>1743</v>
      </c>
      <c r="W3400">
        <v>1743</v>
      </c>
      <c r="X3400">
        <v>0</v>
      </c>
      <c r="Y3400">
        <v>0</v>
      </c>
      <c r="Z3400">
        <v>-506</v>
      </c>
      <c r="AA3400">
        <v>4690</v>
      </c>
      <c r="AD3400" t="s">
        <v>9125</v>
      </c>
      <c r="AE3400" t="s">
        <v>9126</v>
      </c>
      <c r="AF3400" t="s">
        <v>9125</v>
      </c>
      <c r="AG3400">
        <v>50974732000746</v>
      </c>
      <c r="AH3400" t="s">
        <v>44</v>
      </c>
    </row>
    <row r="3401" spans="1:34" x14ac:dyDescent="0.3">
      <c r="A3401">
        <v>101</v>
      </c>
      <c r="B3401" t="s">
        <v>34</v>
      </c>
      <c r="C3401">
        <v>2</v>
      </c>
      <c r="D3401" s="1" t="s">
        <v>9127</v>
      </c>
      <c r="E3401" s="1" t="s">
        <v>122</v>
      </c>
      <c r="G3401">
        <v>451098</v>
      </c>
      <c r="H3401" t="s">
        <v>9122</v>
      </c>
      <c r="I3401" t="s">
        <v>9123</v>
      </c>
      <c r="J3401">
        <v>12</v>
      </c>
      <c r="K3401">
        <v>2143</v>
      </c>
      <c r="L3401">
        <v>50341</v>
      </c>
      <c r="M3401" t="s">
        <v>146</v>
      </c>
      <c r="N3401">
        <v>680</v>
      </c>
      <c r="O3401" s="2">
        <v>46251</v>
      </c>
      <c r="P3401" s="2">
        <v>46296</v>
      </c>
      <c r="R3401" t="s">
        <v>9128</v>
      </c>
      <c r="S3401" t="str">
        <f>"00013686"</f>
        <v>00013686</v>
      </c>
      <c r="T3401" t="s">
        <v>41</v>
      </c>
      <c r="U3401">
        <v>1460.31</v>
      </c>
      <c r="V3401">
        <v>1401.9</v>
      </c>
      <c r="W3401">
        <v>1401.9</v>
      </c>
      <c r="X3401">
        <v>0</v>
      </c>
      <c r="Y3401">
        <v>0</v>
      </c>
      <c r="Z3401">
        <v>-521</v>
      </c>
      <c r="AA3401">
        <v>4690</v>
      </c>
      <c r="AD3401" t="s">
        <v>9125</v>
      </c>
      <c r="AE3401" t="s">
        <v>9126</v>
      </c>
      <c r="AF3401" t="s">
        <v>9125</v>
      </c>
      <c r="AG3401">
        <v>50974732000746</v>
      </c>
      <c r="AH3401" t="s">
        <v>44</v>
      </c>
    </row>
    <row r="3402" spans="1:34" x14ac:dyDescent="0.3">
      <c r="A3402">
        <v>101</v>
      </c>
      <c r="B3402" t="s">
        <v>34</v>
      </c>
      <c r="C3402">
        <v>2</v>
      </c>
      <c r="D3402" s="1" t="s">
        <v>9127</v>
      </c>
      <c r="E3402" s="1" t="s">
        <v>116</v>
      </c>
      <c r="G3402">
        <v>451098</v>
      </c>
      <c r="H3402" t="s">
        <v>9122</v>
      </c>
      <c r="I3402" t="s">
        <v>9123</v>
      </c>
      <c r="J3402">
        <v>12</v>
      </c>
      <c r="K3402">
        <v>2143</v>
      </c>
      <c r="L3402">
        <v>50341</v>
      </c>
      <c r="M3402" t="s">
        <v>146</v>
      </c>
      <c r="N3402">
        <v>680</v>
      </c>
      <c r="O3402" s="2">
        <v>46251</v>
      </c>
      <c r="P3402" s="2">
        <v>46311</v>
      </c>
      <c r="R3402" t="s">
        <v>9128</v>
      </c>
      <c r="S3402" t="str">
        <f>"00013687"</f>
        <v>00013687</v>
      </c>
      <c r="T3402" t="s">
        <v>41</v>
      </c>
      <c r="U3402">
        <v>1460.74</v>
      </c>
      <c r="V3402">
        <v>1402.31</v>
      </c>
      <c r="W3402">
        <v>1402.31</v>
      </c>
      <c r="X3402">
        <v>0</v>
      </c>
      <c r="Y3402">
        <v>0</v>
      </c>
      <c r="Z3402">
        <v>-536</v>
      </c>
      <c r="AA3402">
        <v>4690</v>
      </c>
      <c r="AD3402" t="s">
        <v>9125</v>
      </c>
      <c r="AE3402" t="s">
        <v>9126</v>
      </c>
      <c r="AF3402" t="s">
        <v>9125</v>
      </c>
      <c r="AG3402">
        <v>50974732000746</v>
      </c>
      <c r="AH3402" t="s">
        <v>44</v>
      </c>
    </row>
    <row r="3403" spans="1:34" x14ac:dyDescent="0.3">
      <c r="A3403">
        <v>101</v>
      </c>
      <c r="B3403" t="s">
        <v>34</v>
      </c>
      <c r="C3403">
        <v>2</v>
      </c>
      <c r="D3403" s="1" t="s">
        <v>9129</v>
      </c>
      <c r="E3403" s="1" t="s">
        <v>116</v>
      </c>
      <c r="G3403">
        <v>451136</v>
      </c>
      <c r="H3403" t="s">
        <v>9130</v>
      </c>
      <c r="I3403" t="s">
        <v>9131</v>
      </c>
      <c r="J3403">
        <v>12</v>
      </c>
      <c r="K3403">
        <v>5872</v>
      </c>
      <c r="L3403">
        <v>50033</v>
      </c>
      <c r="M3403" t="s">
        <v>39</v>
      </c>
      <c r="N3403">
        <v>680</v>
      </c>
      <c r="O3403" s="2">
        <v>46246</v>
      </c>
      <c r="P3403" s="2">
        <v>46336</v>
      </c>
      <c r="R3403" t="s">
        <v>9132</v>
      </c>
      <c r="S3403" t="str">
        <f>"0000050413368"</f>
        <v>0000050413368</v>
      </c>
      <c r="T3403" t="s">
        <v>41</v>
      </c>
      <c r="U3403">
        <v>3364.67</v>
      </c>
      <c r="V3403">
        <v>3364.67</v>
      </c>
      <c r="W3403">
        <v>3364.67</v>
      </c>
      <c r="X3403">
        <v>0</v>
      </c>
      <c r="Y3403">
        <v>0</v>
      </c>
      <c r="Z3403">
        <v>-561</v>
      </c>
      <c r="AA3403">
        <v>4402</v>
      </c>
      <c r="AD3403" t="s">
        <v>8902</v>
      </c>
      <c r="AE3403" t="s">
        <v>9133</v>
      </c>
      <c r="AF3403" t="s">
        <v>8902</v>
      </c>
      <c r="AG3403">
        <v>96422464000165</v>
      </c>
      <c r="AH3403" t="s">
        <v>44</v>
      </c>
    </row>
    <row r="3404" spans="1:34" x14ac:dyDescent="0.3">
      <c r="A3404">
        <v>101</v>
      </c>
      <c r="B3404" t="s">
        <v>34</v>
      </c>
      <c r="C3404">
        <v>2</v>
      </c>
      <c r="D3404" s="1" t="s">
        <v>9129</v>
      </c>
      <c r="E3404" s="1" t="s">
        <v>122</v>
      </c>
      <c r="G3404">
        <v>451136</v>
      </c>
      <c r="H3404" t="s">
        <v>9130</v>
      </c>
      <c r="I3404" t="s">
        <v>9131</v>
      </c>
      <c r="J3404">
        <v>12</v>
      </c>
      <c r="K3404">
        <v>5872</v>
      </c>
      <c r="L3404">
        <v>50033</v>
      </c>
      <c r="M3404" t="s">
        <v>39</v>
      </c>
      <c r="N3404">
        <v>680</v>
      </c>
      <c r="O3404" s="2">
        <v>46246</v>
      </c>
      <c r="P3404" s="2">
        <v>46306</v>
      </c>
      <c r="R3404" t="s">
        <v>9132</v>
      </c>
      <c r="S3404" t="str">
        <f>"0000050413350"</f>
        <v>0000050413350</v>
      </c>
      <c r="T3404" t="s">
        <v>41</v>
      </c>
      <c r="U3404">
        <v>3363.65</v>
      </c>
      <c r="V3404">
        <v>3363.65</v>
      </c>
      <c r="W3404">
        <v>3363.65</v>
      </c>
      <c r="X3404">
        <v>0</v>
      </c>
      <c r="Y3404">
        <v>0</v>
      </c>
      <c r="Z3404">
        <v>-531</v>
      </c>
      <c r="AA3404">
        <v>4402</v>
      </c>
      <c r="AD3404" t="s">
        <v>8902</v>
      </c>
      <c r="AE3404" t="s">
        <v>9133</v>
      </c>
      <c r="AF3404" t="s">
        <v>8902</v>
      </c>
      <c r="AG3404">
        <v>96422464000165</v>
      </c>
      <c r="AH3404" t="s">
        <v>44</v>
      </c>
    </row>
    <row r="3405" spans="1:34" x14ac:dyDescent="0.3">
      <c r="A3405">
        <v>101</v>
      </c>
      <c r="B3405" t="s">
        <v>34</v>
      </c>
      <c r="C3405">
        <v>2</v>
      </c>
      <c r="D3405" s="1" t="s">
        <v>9129</v>
      </c>
      <c r="E3405" s="1" t="s">
        <v>36</v>
      </c>
      <c r="G3405">
        <v>451136</v>
      </c>
      <c r="H3405" t="s">
        <v>9130</v>
      </c>
      <c r="I3405" t="s">
        <v>9131</v>
      </c>
      <c r="J3405">
        <v>12</v>
      </c>
      <c r="K3405">
        <v>5872</v>
      </c>
      <c r="L3405">
        <v>50033</v>
      </c>
      <c r="M3405" t="s">
        <v>39</v>
      </c>
      <c r="N3405">
        <v>680</v>
      </c>
      <c r="O3405" s="2">
        <v>46246</v>
      </c>
      <c r="P3405" s="2">
        <v>46276</v>
      </c>
      <c r="R3405" t="s">
        <v>9132</v>
      </c>
      <c r="S3405" t="str">
        <f>"0000050413341"</f>
        <v>0000050413341</v>
      </c>
      <c r="T3405" t="s">
        <v>41</v>
      </c>
      <c r="U3405">
        <v>3467.2</v>
      </c>
      <c r="V3405">
        <v>3467.2</v>
      </c>
      <c r="W3405">
        <v>3467.2</v>
      </c>
      <c r="X3405">
        <v>0</v>
      </c>
      <c r="Y3405">
        <v>0</v>
      </c>
      <c r="Z3405">
        <v>-501</v>
      </c>
      <c r="AA3405">
        <v>4402</v>
      </c>
      <c r="AD3405" t="s">
        <v>8902</v>
      </c>
      <c r="AE3405" t="s">
        <v>9133</v>
      </c>
      <c r="AF3405" t="s">
        <v>8902</v>
      </c>
      <c r="AG3405">
        <v>96422464000165</v>
      </c>
      <c r="AH3405" t="s">
        <v>44</v>
      </c>
    </row>
    <row r="3406" spans="1:34" x14ac:dyDescent="0.3">
      <c r="A3406">
        <v>101</v>
      </c>
      <c r="B3406" t="s">
        <v>34</v>
      </c>
      <c r="C3406">
        <v>2</v>
      </c>
      <c r="D3406" s="1" t="s">
        <v>9134</v>
      </c>
      <c r="E3406" s="1" t="s">
        <v>116</v>
      </c>
      <c r="G3406">
        <v>451136</v>
      </c>
      <c r="H3406" t="s">
        <v>9130</v>
      </c>
      <c r="I3406" t="s">
        <v>9131</v>
      </c>
      <c r="J3406">
        <v>12</v>
      </c>
      <c r="K3406">
        <v>5872</v>
      </c>
      <c r="L3406">
        <v>50033</v>
      </c>
      <c r="M3406" t="s">
        <v>39</v>
      </c>
      <c r="N3406">
        <v>680</v>
      </c>
      <c r="O3406" s="2">
        <v>46188</v>
      </c>
      <c r="P3406" s="2">
        <v>46281</v>
      </c>
      <c r="R3406" t="s">
        <v>9135</v>
      </c>
      <c r="S3406" t="str">
        <f>"0000050405985"</f>
        <v>0000050405985</v>
      </c>
      <c r="T3406" t="s">
        <v>41</v>
      </c>
      <c r="U3406">
        <v>3795.5</v>
      </c>
      <c r="V3406">
        <v>3795.5</v>
      </c>
      <c r="W3406">
        <v>3795.5</v>
      </c>
      <c r="X3406">
        <v>0</v>
      </c>
      <c r="Y3406">
        <v>0</v>
      </c>
      <c r="Z3406">
        <v>-506</v>
      </c>
      <c r="AA3406">
        <v>691076</v>
      </c>
      <c r="AD3406" t="s">
        <v>8902</v>
      </c>
      <c r="AE3406" t="s">
        <v>9133</v>
      </c>
      <c r="AF3406" t="s">
        <v>8902</v>
      </c>
      <c r="AG3406">
        <v>96422464000165</v>
      </c>
      <c r="AH3406" t="s">
        <v>44</v>
      </c>
    </row>
    <row r="3407" spans="1:34" x14ac:dyDescent="0.3">
      <c r="A3407">
        <v>101</v>
      </c>
      <c r="B3407" t="s">
        <v>34</v>
      </c>
      <c r="C3407">
        <v>2</v>
      </c>
      <c r="D3407" s="1" t="s">
        <v>9136</v>
      </c>
      <c r="E3407" s="1" t="s">
        <v>36</v>
      </c>
      <c r="G3407">
        <v>452914</v>
      </c>
      <c r="H3407" t="s">
        <v>9137</v>
      </c>
      <c r="I3407" t="s">
        <v>9138</v>
      </c>
      <c r="J3407">
        <v>15</v>
      </c>
      <c r="K3407">
        <v>6702</v>
      </c>
      <c r="L3407">
        <v>50341</v>
      </c>
      <c r="M3407" t="s">
        <v>146</v>
      </c>
      <c r="N3407">
        <v>680</v>
      </c>
      <c r="O3407" s="2">
        <v>46216</v>
      </c>
      <c r="P3407" s="2">
        <v>46256</v>
      </c>
      <c r="R3407" t="s">
        <v>9139</v>
      </c>
      <c r="S3407" t="str">
        <f>"00013109"</f>
        <v>00013109</v>
      </c>
      <c r="T3407" t="s">
        <v>41</v>
      </c>
      <c r="U3407">
        <v>2390.0500000000002</v>
      </c>
      <c r="V3407">
        <v>2270.5500000000002</v>
      </c>
      <c r="W3407">
        <v>2270.5500000000002</v>
      </c>
      <c r="X3407">
        <v>0</v>
      </c>
      <c r="Y3407">
        <v>0</v>
      </c>
      <c r="Z3407">
        <v>-481</v>
      </c>
      <c r="AA3407">
        <v>693406</v>
      </c>
      <c r="AD3407" t="s">
        <v>8902</v>
      </c>
      <c r="AE3407">
        <v>1938003960</v>
      </c>
      <c r="AF3407" t="s">
        <v>8902</v>
      </c>
      <c r="AG3407">
        <v>28021619000282</v>
      </c>
      <c r="AH3407" t="s">
        <v>44</v>
      </c>
    </row>
    <row r="3408" spans="1:34" x14ac:dyDescent="0.3">
      <c r="A3408">
        <v>101</v>
      </c>
      <c r="B3408" t="s">
        <v>34</v>
      </c>
      <c r="C3408">
        <v>2</v>
      </c>
      <c r="D3408" s="1" t="s">
        <v>9136</v>
      </c>
      <c r="E3408" s="1" t="s">
        <v>122</v>
      </c>
      <c r="G3408">
        <v>452914</v>
      </c>
      <c r="H3408" t="s">
        <v>9137</v>
      </c>
      <c r="I3408" t="s">
        <v>9138</v>
      </c>
      <c r="J3408">
        <v>15</v>
      </c>
      <c r="K3408">
        <v>6702</v>
      </c>
      <c r="L3408">
        <v>50341</v>
      </c>
      <c r="M3408" t="s">
        <v>146</v>
      </c>
      <c r="N3408">
        <v>680</v>
      </c>
      <c r="O3408" s="2">
        <v>46216</v>
      </c>
      <c r="P3408" s="2">
        <v>46271</v>
      </c>
      <c r="R3408" t="s">
        <v>9139</v>
      </c>
      <c r="S3408" t="str">
        <f>"00013110"</f>
        <v>00013110</v>
      </c>
      <c r="T3408" t="s">
        <v>41</v>
      </c>
      <c r="U3408">
        <v>1985.8</v>
      </c>
      <c r="V3408">
        <v>1886.51</v>
      </c>
      <c r="W3408">
        <v>1886.51</v>
      </c>
      <c r="X3408">
        <v>0</v>
      </c>
      <c r="Y3408">
        <v>0</v>
      </c>
      <c r="Z3408">
        <v>-496</v>
      </c>
      <c r="AA3408">
        <v>693406</v>
      </c>
      <c r="AD3408" t="s">
        <v>8902</v>
      </c>
      <c r="AE3408">
        <v>1938003960</v>
      </c>
      <c r="AF3408" t="s">
        <v>8902</v>
      </c>
      <c r="AG3408">
        <v>28021619000282</v>
      </c>
      <c r="AH3408" t="s">
        <v>44</v>
      </c>
    </row>
    <row r="3409" spans="1:34" x14ac:dyDescent="0.3">
      <c r="A3409">
        <v>101</v>
      </c>
      <c r="B3409" t="s">
        <v>34</v>
      </c>
      <c r="C3409">
        <v>2</v>
      </c>
      <c r="D3409" s="1" t="s">
        <v>9136</v>
      </c>
      <c r="E3409" s="1" t="s">
        <v>116</v>
      </c>
      <c r="G3409">
        <v>452914</v>
      </c>
      <c r="H3409" t="s">
        <v>9137</v>
      </c>
      <c r="I3409" t="s">
        <v>9138</v>
      </c>
      <c r="J3409">
        <v>15</v>
      </c>
      <c r="K3409">
        <v>6702</v>
      </c>
      <c r="L3409">
        <v>50341</v>
      </c>
      <c r="M3409" t="s">
        <v>146</v>
      </c>
      <c r="N3409">
        <v>680</v>
      </c>
      <c r="O3409" s="2">
        <v>46216</v>
      </c>
      <c r="P3409" s="2">
        <v>46286</v>
      </c>
      <c r="R3409" t="s">
        <v>9139</v>
      </c>
      <c r="S3409" t="str">
        <f>"00013111"</f>
        <v>00013111</v>
      </c>
      <c r="T3409" t="s">
        <v>41</v>
      </c>
      <c r="U3409">
        <v>1986.4</v>
      </c>
      <c r="V3409">
        <v>1887.08</v>
      </c>
      <c r="W3409">
        <v>1887.08</v>
      </c>
      <c r="X3409">
        <v>0</v>
      </c>
      <c r="Y3409">
        <v>0</v>
      </c>
      <c r="Z3409">
        <v>-511</v>
      </c>
      <c r="AA3409">
        <v>693406</v>
      </c>
      <c r="AD3409" t="s">
        <v>8902</v>
      </c>
      <c r="AE3409">
        <v>1938003960</v>
      </c>
      <c r="AF3409" t="s">
        <v>8902</v>
      </c>
      <c r="AG3409">
        <v>28021619000282</v>
      </c>
      <c r="AH3409" t="s">
        <v>44</v>
      </c>
    </row>
    <row r="3410" spans="1:34" x14ac:dyDescent="0.3">
      <c r="A3410">
        <v>101</v>
      </c>
      <c r="B3410" t="s">
        <v>34</v>
      </c>
      <c r="C3410">
        <v>2</v>
      </c>
      <c r="D3410" s="1" t="s">
        <v>9140</v>
      </c>
      <c r="E3410" s="1" t="s">
        <v>122</v>
      </c>
      <c r="G3410">
        <v>453432</v>
      </c>
      <c r="H3410" t="s">
        <v>9141</v>
      </c>
      <c r="I3410" t="s">
        <v>9142</v>
      </c>
      <c r="J3410">
        <v>12</v>
      </c>
      <c r="K3410">
        <v>434183</v>
      </c>
      <c r="L3410">
        <v>50001</v>
      </c>
      <c r="M3410" t="s">
        <v>39</v>
      </c>
      <c r="N3410">
        <v>680</v>
      </c>
      <c r="O3410" s="2">
        <v>46246</v>
      </c>
      <c r="P3410" s="2">
        <v>46291</v>
      </c>
      <c r="R3410" t="s">
        <v>9143</v>
      </c>
      <c r="S3410" t="str">
        <f>"25666160000051866"</f>
        <v>25666160000051866</v>
      </c>
      <c r="T3410" t="s">
        <v>41</v>
      </c>
      <c r="U3410">
        <v>2786.93</v>
      </c>
      <c r="V3410">
        <v>2703.32</v>
      </c>
      <c r="W3410">
        <v>2703.32</v>
      </c>
      <c r="X3410">
        <v>0</v>
      </c>
      <c r="Y3410">
        <v>0</v>
      </c>
      <c r="Z3410">
        <v>-516</v>
      </c>
      <c r="AA3410">
        <v>4369</v>
      </c>
      <c r="AD3410" t="s">
        <v>5546</v>
      </c>
      <c r="AE3410" t="s">
        <v>9144</v>
      </c>
      <c r="AF3410" t="s">
        <v>5546</v>
      </c>
      <c r="AG3410" s="1" t="s">
        <v>9145</v>
      </c>
      <c r="AH3410" t="s">
        <v>44</v>
      </c>
    </row>
    <row r="3411" spans="1:34" x14ac:dyDescent="0.3">
      <c r="A3411">
        <v>101</v>
      </c>
      <c r="B3411" t="s">
        <v>34</v>
      </c>
      <c r="C3411">
        <v>2</v>
      </c>
      <c r="D3411" s="1" t="s">
        <v>9146</v>
      </c>
      <c r="E3411" s="1" t="s">
        <v>122</v>
      </c>
      <c r="G3411">
        <v>453432</v>
      </c>
      <c r="H3411" t="s">
        <v>9141</v>
      </c>
      <c r="I3411" t="s">
        <v>9142</v>
      </c>
      <c r="J3411">
        <v>12</v>
      </c>
      <c r="K3411">
        <v>434183</v>
      </c>
      <c r="L3411">
        <v>50001</v>
      </c>
      <c r="M3411" t="s">
        <v>39</v>
      </c>
      <c r="N3411">
        <v>680</v>
      </c>
      <c r="O3411" s="2">
        <v>46216</v>
      </c>
      <c r="P3411" s="2">
        <v>46261</v>
      </c>
      <c r="R3411" t="s">
        <v>9147</v>
      </c>
      <c r="S3411" t="str">
        <f>"25666160000051430"</f>
        <v>25666160000051430</v>
      </c>
      <c r="T3411" t="s">
        <v>41</v>
      </c>
      <c r="U3411">
        <v>4317.42</v>
      </c>
      <c r="V3411">
        <v>4187.8999999999996</v>
      </c>
      <c r="W3411">
        <v>4187.8999999999996</v>
      </c>
      <c r="X3411">
        <v>0</v>
      </c>
      <c r="Y3411">
        <v>0</v>
      </c>
      <c r="Z3411">
        <v>-486</v>
      </c>
      <c r="AA3411">
        <v>693792</v>
      </c>
      <c r="AD3411" t="s">
        <v>5546</v>
      </c>
      <c r="AE3411" t="s">
        <v>9144</v>
      </c>
      <c r="AF3411" t="s">
        <v>5546</v>
      </c>
      <c r="AG3411" s="1" t="s">
        <v>9145</v>
      </c>
      <c r="AH3411" t="s">
        <v>44</v>
      </c>
    </row>
    <row r="3412" spans="1:34" x14ac:dyDescent="0.3">
      <c r="A3412">
        <v>101</v>
      </c>
      <c r="B3412" t="s">
        <v>34</v>
      </c>
      <c r="C3412">
        <v>2</v>
      </c>
      <c r="D3412" s="1" t="s">
        <v>9140</v>
      </c>
      <c r="E3412" s="1" t="s">
        <v>36</v>
      </c>
      <c r="G3412">
        <v>453432</v>
      </c>
      <c r="H3412" t="s">
        <v>9141</v>
      </c>
      <c r="I3412" t="s">
        <v>9142</v>
      </c>
      <c r="J3412">
        <v>12</v>
      </c>
      <c r="K3412">
        <v>434183</v>
      </c>
      <c r="L3412">
        <v>50001</v>
      </c>
      <c r="M3412" t="s">
        <v>39</v>
      </c>
      <c r="N3412">
        <v>680</v>
      </c>
      <c r="O3412" s="2">
        <v>46246</v>
      </c>
      <c r="P3412" s="2">
        <v>46281</v>
      </c>
      <c r="R3412" t="s">
        <v>9143</v>
      </c>
      <c r="S3412" t="str">
        <f>"25666160000051865"</f>
        <v>25666160000051865</v>
      </c>
      <c r="T3412" t="s">
        <v>41</v>
      </c>
      <c r="U3412">
        <v>3178.48</v>
      </c>
      <c r="V3412">
        <v>3083.13</v>
      </c>
      <c r="W3412">
        <v>3083.13</v>
      </c>
      <c r="X3412">
        <v>0</v>
      </c>
      <c r="Y3412">
        <v>0</v>
      </c>
      <c r="Z3412">
        <v>-506</v>
      </c>
      <c r="AA3412">
        <v>4369</v>
      </c>
      <c r="AD3412" t="s">
        <v>5546</v>
      </c>
      <c r="AE3412" t="s">
        <v>9144</v>
      </c>
      <c r="AF3412" t="s">
        <v>5546</v>
      </c>
      <c r="AG3412" s="1" t="s">
        <v>9145</v>
      </c>
      <c r="AH3412" t="s">
        <v>44</v>
      </c>
    </row>
    <row r="3413" spans="1:34" x14ac:dyDescent="0.3">
      <c r="A3413">
        <v>101</v>
      </c>
      <c r="B3413" t="s">
        <v>34</v>
      </c>
      <c r="C3413">
        <v>2</v>
      </c>
      <c r="D3413" s="1" t="s">
        <v>9148</v>
      </c>
      <c r="E3413" s="1" t="s">
        <v>36</v>
      </c>
      <c r="G3413">
        <v>453432</v>
      </c>
      <c r="H3413" t="s">
        <v>9141</v>
      </c>
      <c r="I3413" t="s">
        <v>9142</v>
      </c>
      <c r="J3413">
        <v>12</v>
      </c>
      <c r="K3413">
        <v>434183</v>
      </c>
      <c r="L3413">
        <v>50001</v>
      </c>
      <c r="M3413" t="s">
        <v>39</v>
      </c>
      <c r="N3413">
        <v>680</v>
      </c>
      <c r="O3413" s="2">
        <v>46226</v>
      </c>
      <c r="P3413" s="2">
        <v>46261</v>
      </c>
      <c r="R3413" t="s">
        <v>9149</v>
      </c>
      <c r="S3413" t="str">
        <f>"25666160000051578"</f>
        <v>25666160000051578</v>
      </c>
      <c r="T3413" t="s">
        <v>41</v>
      </c>
      <c r="U3413">
        <v>3935.82</v>
      </c>
      <c r="V3413">
        <v>3817.75</v>
      </c>
      <c r="W3413">
        <v>3817.75</v>
      </c>
      <c r="X3413">
        <v>0</v>
      </c>
      <c r="Y3413">
        <v>0</v>
      </c>
      <c r="Z3413">
        <v>-486</v>
      </c>
      <c r="AA3413">
        <v>1674</v>
      </c>
      <c r="AD3413" t="s">
        <v>5546</v>
      </c>
      <c r="AE3413" t="s">
        <v>9144</v>
      </c>
      <c r="AF3413" t="s">
        <v>5546</v>
      </c>
      <c r="AG3413" s="1" t="s">
        <v>9145</v>
      </c>
      <c r="AH3413" t="s">
        <v>44</v>
      </c>
    </row>
    <row r="3414" spans="1:34" x14ac:dyDescent="0.3">
      <c r="A3414">
        <v>101</v>
      </c>
      <c r="B3414" t="s">
        <v>34</v>
      </c>
      <c r="C3414">
        <v>2</v>
      </c>
      <c r="D3414" s="1" t="s">
        <v>9148</v>
      </c>
      <c r="E3414" s="1" t="s">
        <v>122</v>
      </c>
      <c r="G3414">
        <v>453432</v>
      </c>
      <c r="H3414" t="s">
        <v>9141</v>
      </c>
      <c r="I3414" t="s">
        <v>9142</v>
      </c>
      <c r="J3414">
        <v>12</v>
      </c>
      <c r="K3414">
        <v>434183</v>
      </c>
      <c r="L3414">
        <v>50001</v>
      </c>
      <c r="M3414" t="s">
        <v>39</v>
      </c>
      <c r="N3414">
        <v>680</v>
      </c>
      <c r="O3414" s="2">
        <v>46226</v>
      </c>
      <c r="P3414" s="2">
        <v>46271</v>
      </c>
      <c r="R3414" t="s">
        <v>9149</v>
      </c>
      <c r="S3414" t="str">
        <f>"25666160000051579"</f>
        <v>25666160000051579</v>
      </c>
      <c r="T3414" t="s">
        <v>41</v>
      </c>
      <c r="U3414">
        <v>3001.36</v>
      </c>
      <c r="V3414">
        <v>2911.32</v>
      </c>
      <c r="W3414">
        <v>2911.32</v>
      </c>
      <c r="X3414">
        <v>0</v>
      </c>
      <c r="Y3414">
        <v>0</v>
      </c>
      <c r="Z3414">
        <v>-496</v>
      </c>
      <c r="AA3414">
        <v>1674</v>
      </c>
      <c r="AD3414" t="s">
        <v>5546</v>
      </c>
      <c r="AE3414" t="s">
        <v>9144</v>
      </c>
      <c r="AF3414" t="s">
        <v>5546</v>
      </c>
      <c r="AG3414" s="1" t="s">
        <v>9145</v>
      </c>
      <c r="AH3414" t="s">
        <v>44</v>
      </c>
    </row>
    <row r="3415" spans="1:34" x14ac:dyDescent="0.3">
      <c r="A3415">
        <v>101</v>
      </c>
      <c r="B3415" t="s">
        <v>34</v>
      </c>
      <c r="C3415">
        <v>2</v>
      </c>
      <c r="D3415" s="1" t="s">
        <v>9150</v>
      </c>
      <c r="E3415" s="1" t="s">
        <v>36</v>
      </c>
      <c r="G3415">
        <v>456273</v>
      </c>
      <c r="H3415" t="s">
        <v>9151</v>
      </c>
      <c r="I3415" t="s">
        <v>9123</v>
      </c>
      <c r="J3415">
        <v>12</v>
      </c>
      <c r="K3415">
        <v>2143</v>
      </c>
      <c r="L3415">
        <v>50341</v>
      </c>
      <c r="M3415" t="s">
        <v>146</v>
      </c>
      <c r="N3415">
        <v>680</v>
      </c>
      <c r="O3415" s="2">
        <v>46223</v>
      </c>
      <c r="P3415" s="2">
        <v>46253</v>
      </c>
      <c r="R3415" t="s">
        <v>9152</v>
      </c>
      <c r="S3415" t="str">
        <f>"00013337"</f>
        <v>00013337</v>
      </c>
      <c r="T3415" t="s">
        <v>41</v>
      </c>
      <c r="U3415">
        <v>878.12</v>
      </c>
      <c r="V3415">
        <v>843</v>
      </c>
      <c r="W3415">
        <v>843</v>
      </c>
      <c r="X3415">
        <v>0</v>
      </c>
      <c r="Y3415">
        <v>0</v>
      </c>
      <c r="Z3415">
        <v>-478</v>
      </c>
      <c r="AA3415">
        <v>692766</v>
      </c>
      <c r="AD3415" t="s">
        <v>9125</v>
      </c>
      <c r="AE3415">
        <v>1133782858</v>
      </c>
      <c r="AF3415" t="s">
        <v>9125</v>
      </c>
      <c r="AG3415">
        <v>50974732000827</v>
      </c>
      <c r="AH3415" t="s">
        <v>44</v>
      </c>
    </row>
    <row r="3416" spans="1:34" x14ac:dyDescent="0.3">
      <c r="A3416">
        <v>101</v>
      </c>
      <c r="B3416" t="s">
        <v>34</v>
      </c>
      <c r="C3416">
        <v>2</v>
      </c>
      <c r="D3416" s="1" t="s">
        <v>9150</v>
      </c>
      <c r="E3416" s="1" t="s">
        <v>122</v>
      </c>
      <c r="G3416">
        <v>456273</v>
      </c>
      <c r="H3416" t="s">
        <v>9151</v>
      </c>
      <c r="I3416" t="s">
        <v>9123</v>
      </c>
      <c r="J3416">
        <v>12</v>
      </c>
      <c r="K3416">
        <v>2143</v>
      </c>
      <c r="L3416">
        <v>50341</v>
      </c>
      <c r="M3416" t="s">
        <v>146</v>
      </c>
      <c r="N3416">
        <v>680</v>
      </c>
      <c r="O3416" s="2">
        <v>46223</v>
      </c>
      <c r="P3416" s="2">
        <v>46268</v>
      </c>
      <c r="R3416" t="s">
        <v>9152</v>
      </c>
      <c r="S3416" t="str">
        <f>"00013338"</f>
        <v>00013338</v>
      </c>
      <c r="T3416" t="s">
        <v>41</v>
      </c>
      <c r="U3416">
        <v>720.68</v>
      </c>
      <c r="V3416">
        <v>691.85</v>
      </c>
      <c r="W3416">
        <v>691.85</v>
      </c>
      <c r="X3416">
        <v>0</v>
      </c>
      <c r="Y3416">
        <v>0</v>
      </c>
      <c r="Z3416">
        <v>-493</v>
      </c>
      <c r="AA3416">
        <v>692766</v>
      </c>
      <c r="AD3416" t="s">
        <v>9125</v>
      </c>
      <c r="AE3416">
        <v>1133782858</v>
      </c>
      <c r="AF3416" t="s">
        <v>9125</v>
      </c>
      <c r="AG3416">
        <v>50974732000827</v>
      </c>
      <c r="AH3416" t="s">
        <v>44</v>
      </c>
    </row>
    <row r="3417" spans="1:34" x14ac:dyDescent="0.3">
      <c r="A3417">
        <v>101</v>
      </c>
      <c r="B3417" t="s">
        <v>34</v>
      </c>
      <c r="C3417">
        <v>2</v>
      </c>
      <c r="D3417" s="1" t="s">
        <v>9150</v>
      </c>
      <c r="E3417" s="1" t="s">
        <v>116</v>
      </c>
      <c r="G3417">
        <v>456273</v>
      </c>
      <c r="H3417" t="s">
        <v>9151</v>
      </c>
      <c r="I3417" t="s">
        <v>9123</v>
      </c>
      <c r="J3417">
        <v>12</v>
      </c>
      <c r="K3417">
        <v>2143</v>
      </c>
      <c r="L3417">
        <v>50341</v>
      </c>
      <c r="M3417" t="s">
        <v>146</v>
      </c>
      <c r="N3417">
        <v>680</v>
      </c>
      <c r="O3417" s="2">
        <v>46223</v>
      </c>
      <c r="P3417" s="2">
        <v>46283</v>
      </c>
      <c r="R3417" t="s">
        <v>9152</v>
      </c>
      <c r="S3417" t="str">
        <f>"00013339"</f>
        <v>00013339</v>
      </c>
      <c r="T3417" t="s">
        <v>41</v>
      </c>
      <c r="U3417">
        <v>720.91</v>
      </c>
      <c r="V3417">
        <v>692.07</v>
      </c>
      <c r="W3417">
        <v>692.07</v>
      </c>
      <c r="X3417">
        <v>0</v>
      </c>
      <c r="Y3417">
        <v>0</v>
      </c>
      <c r="Z3417">
        <v>-508</v>
      </c>
      <c r="AA3417">
        <v>692766</v>
      </c>
      <c r="AD3417" t="s">
        <v>9125</v>
      </c>
      <c r="AE3417">
        <v>1133782858</v>
      </c>
      <c r="AF3417" t="s">
        <v>9125</v>
      </c>
      <c r="AG3417">
        <v>50974732000827</v>
      </c>
      <c r="AH3417" t="s">
        <v>44</v>
      </c>
    </row>
    <row r="3418" spans="1:34" x14ac:dyDescent="0.3">
      <c r="A3418">
        <v>101</v>
      </c>
      <c r="B3418" t="s">
        <v>34</v>
      </c>
      <c r="C3418">
        <v>2</v>
      </c>
      <c r="D3418" s="1" t="s">
        <v>9153</v>
      </c>
      <c r="E3418" s="1" t="s">
        <v>116</v>
      </c>
      <c r="G3418">
        <v>456273</v>
      </c>
      <c r="H3418" t="s">
        <v>9151</v>
      </c>
      <c r="I3418" t="s">
        <v>9123</v>
      </c>
      <c r="J3418">
        <v>12</v>
      </c>
      <c r="K3418">
        <v>2143</v>
      </c>
      <c r="L3418">
        <v>50341</v>
      </c>
      <c r="M3418" t="s">
        <v>146</v>
      </c>
      <c r="N3418">
        <v>680</v>
      </c>
      <c r="O3418" s="2">
        <v>46251</v>
      </c>
      <c r="P3418" s="2">
        <v>46311</v>
      </c>
      <c r="R3418" t="s">
        <v>9154</v>
      </c>
      <c r="S3418" t="str">
        <f>"00013690"</f>
        <v>00013690</v>
      </c>
      <c r="T3418" t="s">
        <v>41</v>
      </c>
      <c r="U3418">
        <v>1594.7</v>
      </c>
      <c r="V3418">
        <v>1530.91</v>
      </c>
      <c r="W3418">
        <v>1530.91</v>
      </c>
      <c r="X3418">
        <v>0</v>
      </c>
      <c r="Y3418">
        <v>0</v>
      </c>
      <c r="Z3418">
        <v>-536</v>
      </c>
      <c r="AA3418">
        <v>4684</v>
      </c>
      <c r="AD3418" t="s">
        <v>9125</v>
      </c>
      <c r="AE3418">
        <v>1133782858</v>
      </c>
      <c r="AF3418" t="s">
        <v>9125</v>
      </c>
      <c r="AG3418">
        <v>50974732000827</v>
      </c>
      <c r="AH3418" t="s">
        <v>44</v>
      </c>
    </row>
    <row r="3419" spans="1:34" x14ac:dyDescent="0.3">
      <c r="A3419">
        <v>101</v>
      </c>
      <c r="B3419" t="s">
        <v>34</v>
      </c>
      <c r="C3419">
        <v>2</v>
      </c>
      <c r="D3419" s="1" t="s">
        <v>9153</v>
      </c>
      <c r="E3419" s="1" t="s">
        <v>122</v>
      </c>
      <c r="G3419">
        <v>456273</v>
      </c>
      <c r="H3419" t="s">
        <v>9151</v>
      </c>
      <c r="I3419" t="s">
        <v>9123</v>
      </c>
      <c r="J3419">
        <v>12</v>
      </c>
      <c r="K3419">
        <v>2143</v>
      </c>
      <c r="L3419">
        <v>50341</v>
      </c>
      <c r="M3419" t="s">
        <v>146</v>
      </c>
      <c r="N3419">
        <v>680</v>
      </c>
      <c r="O3419" s="2">
        <v>46251</v>
      </c>
      <c r="P3419" s="2">
        <v>46296</v>
      </c>
      <c r="R3419" t="s">
        <v>9154</v>
      </c>
      <c r="S3419" t="str">
        <f>"00013689"</f>
        <v>00013689</v>
      </c>
      <c r="T3419" t="s">
        <v>41</v>
      </c>
      <c r="U3419">
        <v>1594.22</v>
      </c>
      <c r="V3419">
        <v>1530.45</v>
      </c>
      <c r="W3419">
        <v>1530.45</v>
      </c>
      <c r="X3419">
        <v>0</v>
      </c>
      <c r="Y3419">
        <v>0</v>
      </c>
      <c r="Z3419">
        <v>-521</v>
      </c>
      <c r="AA3419">
        <v>4684</v>
      </c>
      <c r="AD3419" t="s">
        <v>9125</v>
      </c>
      <c r="AE3419">
        <v>1133782858</v>
      </c>
      <c r="AF3419" t="s">
        <v>9125</v>
      </c>
      <c r="AG3419">
        <v>50974732000827</v>
      </c>
      <c r="AH3419" t="s">
        <v>44</v>
      </c>
    </row>
    <row r="3420" spans="1:34" x14ac:dyDescent="0.3">
      <c r="A3420">
        <v>101</v>
      </c>
      <c r="B3420" t="s">
        <v>34</v>
      </c>
      <c r="C3420">
        <v>2</v>
      </c>
      <c r="D3420" s="1" t="s">
        <v>9153</v>
      </c>
      <c r="E3420" s="1" t="s">
        <v>36</v>
      </c>
      <c r="G3420">
        <v>456273</v>
      </c>
      <c r="H3420" t="s">
        <v>9151</v>
      </c>
      <c r="I3420" t="s">
        <v>9123</v>
      </c>
      <c r="J3420">
        <v>12</v>
      </c>
      <c r="K3420">
        <v>2143</v>
      </c>
      <c r="L3420">
        <v>50341</v>
      </c>
      <c r="M3420" t="s">
        <v>146</v>
      </c>
      <c r="N3420">
        <v>680</v>
      </c>
      <c r="O3420" s="2">
        <v>46251</v>
      </c>
      <c r="P3420" s="2">
        <v>46281</v>
      </c>
      <c r="R3420" t="s">
        <v>9154</v>
      </c>
      <c r="S3420" t="str">
        <f>"00013688"</f>
        <v>00013688</v>
      </c>
      <c r="T3420" t="s">
        <v>41</v>
      </c>
      <c r="U3420">
        <v>1965.59</v>
      </c>
      <c r="V3420">
        <v>1886.97</v>
      </c>
      <c r="W3420">
        <v>1886.97</v>
      </c>
      <c r="X3420">
        <v>0</v>
      </c>
      <c r="Y3420">
        <v>0</v>
      </c>
      <c r="Z3420">
        <v>-506</v>
      </c>
      <c r="AA3420">
        <v>4684</v>
      </c>
      <c r="AD3420" t="s">
        <v>9125</v>
      </c>
      <c r="AE3420">
        <v>1133782858</v>
      </c>
      <c r="AF3420" t="s">
        <v>9125</v>
      </c>
      <c r="AG3420">
        <v>50974732000827</v>
      </c>
      <c r="AH3420" t="s">
        <v>44</v>
      </c>
    </row>
    <row r="3421" spans="1:34" x14ac:dyDescent="0.3">
      <c r="A3421">
        <v>101</v>
      </c>
      <c r="B3421" t="s">
        <v>34</v>
      </c>
      <c r="C3421">
        <v>2</v>
      </c>
      <c r="D3421" s="1" t="s">
        <v>9155</v>
      </c>
      <c r="E3421" s="1" t="s">
        <v>116</v>
      </c>
      <c r="G3421">
        <v>457772</v>
      </c>
      <c r="H3421" t="s">
        <v>9156</v>
      </c>
      <c r="I3421" t="s">
        <v>9118</v>
      </c>
      <c r="J3421">
        <v>15</v>
      </c>
      <c r="K3421">
        <v>6702</v>
      </c>
      <c r="L3421">
        <v>50237</v>
      </c>
      <c r="M3421" t="s">
        <v>39</v>
      </c>
      <c r="N3421">
        <v>680</v>
      </c>
      <c r="O3421" s="2">
        <v>46216</v>
      </c>
      <c r="P3421" s="2">
        <v>46286</v>
      </c>
      <c r="R3421" t="s">
        <v>9157</v>
      </c>
      <c r="S3421" t="str">
        <f>"330000051430"</f>
        <v>330000051430</v>
      </c>
      <c r="T3421" t="s">
        <v>41</v>
      </c>
      <c r="U3421">
        <v>979.12</v>
      </c>
      <c r="V3421">
        <v>930.16</v>
      </c>
      <c r="W3421">
        <v>930.16</v>
      </c>
      <c r="X3421">
        <v>0</v>
      </c>
      <c r="Y3421">
        <v>0</v>
      </c>
      <c r="Z3421">
        <v>-511</v>
      </c>
      <c r="AA3421">
        <v>693405</v>
      </c>
      <c r="AD3421" t="s">
        <v>8748</v>
      </c>
      <c r="AE3421">
        <v>1938296050</v>
      </c>
      <c r="AF3421" t="s">
        <v>8748</v>
      </c>
      <c r="AG3421">
        <v>28021619000363</v>
      </c>
      <c r="AH3421" t="s">
        <v>44</v>
      </c>
    </row>
    <row r="3422" spans="1:34" x14ac:dyDescent="0.3">
      <c r="A3422">
        <v>101</v>
      </c>
      <c r="B3422" t="s">
        <v>34</v>
      </c>
      <c r="C3422">
        <v>2</v>
      </c>
      <c r="D3422" s="1" t="s">
        <v>9155</v>
      </c>
      <c r="E3422" s="1" t="s">
        <v>122</v>
      </c>
      <c r="G3422">
        <v>457772</v>
      </c>
      <c r="H3422" t="s">
        <v>9156</v>
      </c>
      <c r="I3422" t="s">
        <v>9118</v>
      </c>
      <c r="J3422">
        <v>15</v>
      </c>
      <c r="K3422">
        <v>6702</v>
      </c>
      <c r="L3422">
        <v>50237</v>
      </c>
      <c r="M3422" t="s">
        <v>39</v>
      </c>
      <c r="N3422">
        <v>680</v>
      </c>
      <c r="O3422" s="2">
        <v>46216</v>
      </c>
      <c r="P3422" s="2">
        <v>46271</v>
      </c>
      <c r="R3422" t="s">
        <v>9157</v>
      </c>
      <c r="S3422" t="str">
        <f>"330000051422"</f>
        <v>330000051422</v>
      </c>
      <c r="T3422" t="s">
        <v>41</v>
      </c>
      <c r="U3422">
        <v>978.84</v>
      </c>
      <c r="V3422">
        <v>929.9</v>
      </c>
      <c r="W3422">
        <v>929.9</v>
      </c>
      <c r="X3422">
        <v>0</v>
      </c>
      <c r="Y3422">
        <v>0</v>
      </c>
      <c r="Z3422">
        <v>-496</v>
      </c>
      <c r="AA3422">
        <v>693405</v>
      </c>
      <c r="AD3422" t="s">
        <v>8748</v>
      </c>
      <c r="AE3422">
        <v>1938296050</v>
      </c>
      <c r="AF3422" t="s">
        <v>8748</v>
      </c>
      <c r="AG3422">
        <v>28021619000363</v>
      </c>
      <c r="AH3422" t="s">
        <v>44</v>
      </c>
    </row>
    <row r="3423" spans="1:34" x14ac:dyDescent="0.3">
      <c r="A3423">
        <v>101</v>
      </c>
      <c r="B3423" t="s">
        <v>34</v>
      </c>
      <c r="C3423">
        <v>2</v>
      </c>
      <c r="D3423" s="1" t="s">
        <v>9155</v>
      </c>
      <c r="E3423" s="1" t="s">
        <v>36</v>
      </c>
      <c r="G3423">
        <v>457772</v>
      </c>
      <c r="H3423" t="s">
        <v>9156</v>
      </c>
      <c r="I3423" t="s">
        <v>9118</v>
      </c>
      <c r="J3423">
        <v>15</v>
      </c>
      <c r="K3423">
        <v>6702</v>
      </c>
      <c r="L3423">
        <v>50237</v>
      </c>
      <c r="M3423" t="s">
        <v>39</v>
      </c>
      <c r="N3423">
        <v>680</v>
      </c>
      <c r="O3423" s="2">
        <v>46216</v>
      </c>
      <c r="P3423" s="2">
        <v>46256</v>
      </c>
      <c r="R3423" t="s">
        <v>9157</v>
      </c>
      <c r="S3423" t="str">
        <f>"330000051414"</f>
        <v>330000051414</v>
      </c>
      <c r="T3423" t="s">
        <v>41</v>
      </c>
      <c r="U3423">
        <v>1204.6500000000001</v>
      </c>
      <c r="V3423">
        <v>1144.42</v>
      </c>
      <c r="W3423">
        <v>1144.42</v>
      </c>
      <c r="X3423">
        <v>0</v>
      </c>
      <c r="Y3423">
        <v>0</v>
      </c>
      <c r="Z3423">
        <v>-481</v>
      </c>
      <c r="AA3423">
        <v>693405</v>
      </c>
      <c r="AD3423" t="s">
        <v>8748</v>
      </c>
      <c r="AE3423">
        <v>1938296050</v>
      </c>
      <c r="AF3423" t="s">
        <v>8748</v>
      </c>
      <c r="AG3423">
        <v>28021619000363</v>
      </c>
      <c r="AH3423" t="s">
        <v>44</v>
      </c>
    </row>
    <row r="3424" spans="1:34" x14ac:dyDescent="0.3">
      <c r="A3424">
        <v>101</v>
      </c>
      <c r="B3424" t="s">
        <v>34</v>
      </c>
      <c r="C3424">
        <v>2</v>
      </c>
      <c r="D3424" s="1" t="s">
        <v>9158</v>
      </c>
      <c r="E3424" s="1" t="s">
        <v>116</v>
      </c>
      <c r="G3424">
        <v>458273</v>
      </c>
      <c r="H3424" t="s">
        <v>9159</v>
      </c>
      <c r="I3424" t="s">
        <v>9123</v>
      </c>
      <c r="J3424">
        <v>12</v>
      </c>
      <c r="K3424">
        <v>2143</v>
      </c>
      <c r="L3424">
        <v>50341</v>
      </c>
      <c r="M3424" t="s">
        <v>146</v>
      </c>
      <c r="N3424">
        <v>680</v>
      </c>
      <c r="O3424" s="2">
        <v>46251</v>
      </c>
      <c r="P3424" s="2">
        <v>46311</v>
      </c>
      <c r="R3424" t="s">
        <v>9160</v>
      </c>
      <c r="S3424" t="str">
        <f>"00013693"</f>
        <v>00013693</v>
      </c>
      <c r="T3424" t="s">
        <v>41</v>
      </c>
      <c r="U3424">
        <v>1026.92</v>
      </c>
      <c r="V3424">
        <v>985.84</v>
      </c>
      <c r="W3424">
        <v>985.84</v>
      </c>
      <c r="X3424">
        <v>0</v>
      </c>
      <c r="Y3424">
        <v>0</v>
      </c>
      <c r="Z3424">
        <v>-536</v>
      </c>
      <c r="AA3424">
        <v>4694</v>
      </c>
      <c r="AD3424" t="s">
        <v>5546</v>
      </c>
      <c r="AE3424">
        <v>1133782841</v>
      </c>
      <c r="AF3424" t="s">
        <v>5546</v>
      </c>
      <c r="AG3424">
        <v>50974732000908</v>
      </c>
      <c r="AH3424" t="s">
        <v>44</v>
      </c>
    </row>
    <row r="3425" spans="1:34" x14ac:dyDescent="0.3">
      <c r="A3425">
        <v>101</v>
      </c>
      <c r="B3425" t="s">
        <v>34</v>
      </c>
      <c r="C3425">
        <v>2</v>
      </c>
      <c r="D3425" s="1" t="s">
        <v>9158</v>
      </c>
      <c r="E3425" s="1" t="s">
        <v>36</v>
      </c>
      <c r="G3425">
        <v>458273</v>
      </c>
      <c r="H3425" t="s">
        <v>9159</v>
      </c>
      <c r="I3425" t="s">
        <v>9123</v>
      </c>
      <c r="J3425">
        <v>12</v>
      </c>
      <c r="K3425">
        <v>2143</v>
      </c>
      <c r="L3425">
        <v>50341</v>
      </c>
      <c r="M3425" t="s">
        <v>146</v>
      </c>
      <c r="N3425">
        <v>680</v>
      </c>
      <c r="O3425" s="2">
        <v>46251</v>
      </c>
      <c r="P3425" s="2">
        <v>46281</v>
      </c>
      <c r="R3425" t="s">
        <v>9160</v>
      </c>
      <c r="S3425" t="str">
        <f>"00013691"</f>
        <v>00013691</v>
      </c>
      <c r="T3425" t="s">
        <v>41</v>
      </c>
      <c r="U3425">
        <v>1299.8800000000001</v>
      </c>
      <c r="V3425">
        <v>1247.8800000000001</v>
      </c>
      <c r="W3425">
        <v>1247.8800000000001</v>
      </c>
      <c r="X3425">
        <v>0</v>
      </c>
      <c r="Y3425">
        <v>0</v>
      </c>
      <c r="Z3425">
        <v>-506</v>
      </c>
      <c r="AA3425">
        <v>4694</v>
      </c>
      <c r="AD3425" t="s">
        <v>5546</v>
      </c>
      <c r="AE3425">
        <v>1133782841</v>
      </c>
      <c r="AF3425" t="s">
        <v>5546</v>
      </c>
      <c r="AG3425">
        <v>50974732000908</v>
      </c>
      <c r="AH3425" t="s">
        <v>44</v>
      </c>
    </row>
    <row r="3426" spans="1:34" x14ac:dyDescent="0.3">
      <c r="A3426">
        <v>101</v>
      </c>
      <c r="B3426" t="s">
        <v>34</v>
      </c>
      <c r="C3426">
        <v>2</v>
      </c>
      <c r="D3426" s="1" t="s">
        <v>9158</v>
      </c>
      <c r="E3426" s="1" t="s">
        <v>122</v>
      </c>
      <c r="G3426">
        <v>458273</v>
      </c>
      <c r="H3426" t="s">
        <v>9159</v>
      </c>
      <c r="I3426" t="s">
        <v>9123</v>
      </c>
      <c r="J3426">
        <v>12</v>
      </c>
      <c r="K3426">
        <v>2143</v>
      </c>
      <c r="L3426">
        <v>50341</v>
      </c>
      <c r="M3426" t="s">
        <v>146</v>
      </c>
      <c r="N3426">
        <v>680</v>
      </c>
      <c r="O3426" s="2">
        <v>46251</v>
      </c>
      <c r="P3426" s="2">
        <v>46296</v>
      </c>
      <c r="R3426" t="s">
        <v>9160</v>
      </c>
      <c r="S3426" t="str">
        <f>"00013692"</f>
        <v>00013692</v>
      </c>
      <c r="T3426" t="s">
        <v>41</v>
      </c>
      <c r="U3426">
        <v>1026.5999999999999</v>
      </c>
      <c r="V3426">
        <v>985.54</v>
      </c>
      <c r="W3426">
        <v>985.54</v>
      </c>
      <c r="X3426">
        <v>0</v>
      </c>
      <c r="Y3426">
        <v>0</v>
      </c>
      <c r="Z3426">
        <v>-521</v>
      </c>
      <c r="AA3426">
        <v>4694</v>
      </c>
      <c r="AD3426" t="s">
        <v>5546</v>
      </c>
      <c r="AE3426">
        <v>1133782841</v>
      </c>
      <c r="AF3426" t="s">
        <v>5546</v>
      </c>
      <c r="AG3426">
        <v>50974732000908</v>
      </c>
      <c r="AH3426" t="s">
        <v>44</v>
      </c>
    </row>
    <row r="3427" spans="1:34" x14ac:dyDescent="0.3">
      <c r="A3427">
        <v>101</v>
      </c>
      <c r="B3427" t="s">
        <v>34</v>
      </c>
      <c r="C3427">
        <v>2</v>
      </c>
      <c r="D3427" s="1" t="s">
        <v>9161</v>
      </c>
      <c r="E3427" s="1" t="s">
        <v>116</v>
      </c>
      <c r="G3427">
        <v>458273</v>
      </c>
      <c r="H3427" t="s">
        <v>9159</v>
      </c>
      <c r="I3427" t="s">
        <v>9123</v>
      </c>
      <c r="J3427">
        <v>12</v>
      </c>
      <c r="K3427">
        <v>2143</v>
      </c>
      <c r="L3427">
        <v>50341</v>
      </c>
      <c r="M3427" t="s">
        <v>146</v>
      </c>
      <c r="N3427">
        <v>680</v>
      </c>
      <c r="O3427" s="2">
        <v>46223</v>
      </c>
      <c r="P3427" s="2">
        <v>46283</v>
      </c>
      <c r="R3427" t="s">
        <v>9162</v>
      </c>
      <c r="S3427" t="str">
        <f>"00013342"</f>
        <v>00013342</v>
      </c>
      <c r="T3427" t="s">
        <v>41</v>
      </c>
      <c r="U3427">
        <v>527.49</v>
      </c>
      <c r="V3427">
        <v>506.39</v>
      </c>
      <c r="W3427">
        <v>506.39</v>
      </c>
      <c r="X3427">
        <v>0</v>
      </c>
      <c r="Y3427">
        <v>0</v>
      </c>
      <c r="Z3427">
        <v>-508</v>
      </c>
      <c r="AA3427">
        <v>692767</v>
      </c>
      <c r="AD3427" t="s">
        <v>5546</v>
      </c>
      <c r="AE3427">
        <v>1133782841</v>
      </c>
      <c r="AF3427" t="s">
        <v>5546</v>
      </c>
      <c r="AG3427">
        <v>50974732000908</v>
      </c>
      <c r="AH3427" t="s">
        <v>44</v>
      </c>
    </row>
    <row r="3428" spans="1:34" x14ac:dyDescent="0.3">
      <c r="A3428">
        <v>101</v>
      </c>
      <c r="B3428" t="s">
        <v>34</v>
      </c>
      <c r="C3428">
        <v>2</v>
      </c>
      <c r="D3428" s="1" t="s">
        <v>9161</v>
      </c>
      <c r="E3428" s="1" t="s">
        <v>36</v>
      </c>
      <c r="G3428">
        <v>458273</v>
      </c>
      <c r="H3428" t="s">
        <v>9159</v>
      </c>
      <c r="I3428" t="s">
        <v>9123</v>
      </c>
      <c r="J3428">
        <v>12</v>
      </c>
      <c r="K3428">
        <v>2143</v>
      </c>
      <c r="L3428">
        <v>50341</v>
      </c>
      <c r="M3428" t="s">
        <v>146</v>
      </c>
      <c r="N3428">
        <v>680</v>
      </c>
      <c r="O3428" s="2">
        <v>46223</v>
      </c>
      <c r="P3428" s="2">
        <v>46253</v>
      </c>
      <c r="R3428" t="s">
        <v>9162</v>
      </c>
      <c r="S3428" t="str">
        <f>"00013340"</f>
        <v>00013340</v>
      </c>
      <c r="T3428" t="s">
        <v>41</v>
      </c>
      <c r="U3428">
        <v>678.61</v>
      </c>
      <c r="V3428">
        <v>651.47</v>
      </c>
      <c r="W3428">
        <v>651.47</v>
      </c>
      <c r="X3428">
        <v>0</v>
      </c>
      <c r="Y3428">
        <v>0</v>
      </c>
      <c r="Z3428">
        <v>-478</v>
      </c>
      <c r="AA3428">
        <v>692767</v>
      </c>
      <c r="AD3428" t="s">
        <v>5546</v>
      </c>
      <c r="AE3428">
        <v>1133782841</v>
      </c>
      <c r="AF3428" t="s">
        <v>5546</v>
      </c>
      <c r="AG3428">
        <v>50974732000908</v>
      </c>
      <c r="AH3428" t="s">
        <v>44</v>
      </c>
    </row>
    <row r="3429" spans="1:34" x14ac:dyDescent="0.3">
      <c r="A3429">
        <v>101</v>
      </c>
      <c r="B3429" t="s">
        <v>34</v>
      </c>
      <c r="C3429">
        <v>2</v>
      </c>
      <c r="D3429" s="1" t="s">
        <v>9161</v>
      </c>
      <c r="E3429" s="1" t="s">
        <v>122</v>
      </c>
      <c r="G3429">
        <v>458273</v>
      </c>
      <c r="H3429" t="s">
        <v>9159</v>
      </c>
      <c r="I3429" t="s">
        <v>9123</v>
      </c>
      <c r="J3429">
        <v>12</v>
      </c>
      <c r="K3429">
        <v>2143</v>
      </c>
      <c r="L3429">
        <v>50341</v>
      </c>
      <c r="M3429" t="s">
        <v>146</v>
      </c>
      <c r="N3429">
        <v>680</v>
      </c>
      <c r="O3429" s="2">
        <v>46223</v>
      </c>
      <c r="P3429" s="2">
        <v>46268</v>
      </c>
      <c r="R3429" t="s">
        <v>9162</v>
      </c>
      <c r="S3429" t="str">
        <f>"00013341"</f>
        <v>00013341</v>
      </c>
      <c r="T3429" t="s">
        <v>41</v>
      </c>
      <c r="U3429">
        <v>527.33000000000004</v>
      </c>
      <c r="V3429">
        <v>506.24</v>
      </c>
      <c r="W3429">
        <v>506.24</v>
      </c>
      <c r="X3429">
        <v>0</v>
      </c>
      <c r="Y3429">
        <v>0</v>
      </c>
      <c r="Z3429">
        <v>-493</v>
      </c>
      <c r="AA3429">
        <v>692767</v>
      </c>
      <c r="AD3429" t="s">
        <v>5546</v>
      </c>
      <c r="AE3429">
        <v>1133782841</v>
      </c>
      <c r="AF3429" t="s">
        <v>5546</v>
      </c>
      <c r="AG3429">
        <v>50974732000908</v>
      </c>
      <c r="AH3429" t="s">
        <v>44</v>
      </c>
    </row>
    <row r="3430" spans="1:34" x14ac:dyDescent="0.3">
      <c r="A3430">
        <v>101</v>
      </c>
      <c r="B3430" t="s">
        <v>34</v>
      </c>
      <c r="C3430">
        <v>2</v>
      </c>
      <c r="D3430" s="1" t="s">
        <v>9163</v>
      </c>
      <c r="E3430" s="1" t="s">
        <v>116</v>
      </c>
      <c r="G3430">
        <v>462042</v>
      </c>
      <c r="H3430" t="s">
        <v>9164</v>
      </c>
      <c r="I3430" t="s">
        <v>9118</v>
      </c>
      <c r="J3430">
        <v>15</v>
      </c>
      <c r="K3430">
        <v>6702</v>
      </c>
      <c r="L3430">
        <v>50237</v>
      </c>
      <c r="M3430" t="s">
        <v>39</v>
      </c>
      <c r="N3430">
        <v>680</v>
      </c>
      <c r="O3430" s="2">
        <v>46216</v>
      </c>
      <c r="P3430" s="2">
        <v>46286</v>
      </c>
      <c r="R3430" t="s">
        <v>9165</v>
      </c>
      <c r="S3430" t="str">
        <f>"330000051473"</f>
        <v>330000051473</v>
      </c>
      <c r="T3430" t="s">
        <v>41</v>
      </c>
      <c r="U3430">
        <v>951.32</v>
      </c>
      <c r="V3430">
        <v>903.75</v>
      </c>
      <c r="W3430">
        <v>903.75</v>
      </c>
      <c r="X3430">
        <v>0</v>
      </c>
      <c r="Y3430">
        <v>0</v>
      </c>
      <c r="Z3430">
        <v>-511</v>
      </c>
      <c r="AA3430">
        <v>693402</v>
      </c>
      <c r="AD3430" t="s">
        <v>226</v>
      </c>
      <c r="AE3430">
        <v>1938003960</v>
      </c>
      <c r="AF3430" t="s">
        <v>226</v>
      </c>
      <c r="AG3430">
        <v>28021619000525</v>
      </c>
      <c r="AH3430" t="s">
        <v>44</v>
      </c>
    </row>
    <row r="3431" spans="1:34" x14ac:dyDescent="0.3">
      <c r="A3431">
        <v>101</v>
      </c>
      <c r="B3431" t="s">
        <v>34</v>
      </c>
      <c r="C3431">
        <v>2</v>
      </c>
      <c r="D3431" s="1" t="s">
        <v>9163</v>
      </c>
      <c r="E3431" s="1" t="s">
        <v>36</v>
      </c>
      <c r="G3431">
        <v>462042</v>
      </c>
      <c r="H3431" t="s">
        <v>9164</v>
      </c>
      <c r="I3431" t="s">
        <v>9118</v>
      </c>
      <c r="J3431">
        <v>15</v>
      </c>
      <c r="K3431">
        <v>6702</v>
      </c>
      <c r="L3431">
        <v>50237</v>
      </c>
      <c r="M3431" t="s">
        <v>39</v>
      </c>
      <c r="N3431">
        <v>680</v>
      </c>
      <c r="O3431" s="2">
        <v>46216</v>
      </c>
      <c r="P3431" s="2">
        <v>46256</v>
      </c>
      <c r="R3431" t="s">
        <v>9165</v>
      </c>
      <c r="S3431" t="str">
        <f>"330000051457"</f>
        <v>330000051457</v>
      </c>
      <c r="T3431" t="s">
        <v>41</v>
      </c>
      <c r="U3431">
        <v>1082.53</v>
      </c>
      <c r="V3431">
        <v>1028.4000000000001</v>
      </c>
      <c r="W3431">
        <v>1028.4000000000001</v>
      </c>
      <c r="X3431">
        <v>0</v>
      </c>
      <c r="Y3431">
        <v>0</v>
      </c>
      <c r="Z3431">
        <v>-481</v>
      </c>
      <c r="AA3431">
        <v>693402</v>
      </c>
      <c r="AD3431" t="s">
        <v>226</v>
      </c>
      <c r="AE3431">
        <v>1938003960</v>
      </c>
      <c r="AF3431" t="s">
        <v>226</v>
      </c>
      <c r="AG3431">
        <v>28021619000525</v>
      </c>
      <c r="AH3431" t="s">
        <v>44</v>
      </c>
    </row>
    <row r="3432" spans="1:34" x14ac:dyDescent="0.3">
      <c r="A3432">
        <v>101</v>
      </c>
      <c r="B3432" t="s">
        <v>34</v>
      </c>
      <c r="C3432">
        <v>2</v>
      </c>
      <c r="D3432" s="1" t="s">
        <v>9163</v>
      </c>
      <c r="E3432" s="1" t="s">
        <v>122</v>
      </c>
      <c r="G3432">
        <v>462042</v>
      </c>
      <c r="H3432" t="s">
        <v>9164</v>
      </c>
      <c r="I3432" t="s">
        <v>9118</v>
      </c>
      <c r="J3432">
        <v>15</v>
      </c>
      <c r="K3432">
        <v>6702</v>
      </c>
      <c r="L3432">
        <v>50237</v>
      </c>
      <c r="M3432" t="s">
        <v>39</v>
      </c>
      <c r="N3432">
        <v>680</v>
      </c>
      <c r="O3432" s="2">
        <v>46216</v>
      </c>
      <c r="P3432" s="2">
        <v>46271</v>
      </c>
      <c r="R3432" t="s">
        <v>9165</v>
      </c>
      <c r="S3432" t="str">
        <f>"330000051465"</f>
        <v>330000051465</v>
      </c>
      <c r="T3432" t="s">
        <v>41</v>
      </c>
      <c r="U3432">
        <v>951.03</v>
      </c>
      <c r="V3432">
        <v>903.48</v>
      </c>
      <c r="W3432">
        <v>903.48</v>
      </c>
      <c r="X3432">
        <v>0</v>
      </c>
      <c r="Y3432">
        <v>0</v>
      </c>
      <c r="Z3432">
        <v>-496</v>
      </c>
      <c r="AA3432">
        <v>693402</v>
      </c>
      <c r="AD3432" t="s">
        <v>226</v>
      </c>
      <c r="AE3432">
        <v>1938003960</v>
      </c>
      <c r="AF3432" t="s">
        <v>226</v>
      </c>
      <c r="AG3432">
        <v>28021619000525</v>
      </c>
      <c r="AH3432" t="s">
        <v>44</v>
      </c>
    </row>
    <row r="3433" spans="1:34" x14ac:dyDescent="0.3">
      <c r="A3433">
        <v>101</v>
      </c>
      <c r="B3433" t="s">
        <v>34</v>
      </c>
      <c r="C3433">
        <v>2</v>
      </c>
      <c r="D3433" s="1" t="s">
        <v>9166</v>
      </c>
      <c r="E3433" s="1" t="s">
        <v>36</v>
      </c>
      <c r="G3433">
        <v>468211</v>
      </c>
      <c r="H3433" t="s">
        <v>9167</v>
      </c>
      <c r="I3433" t="s">
        <v>9138</v>
      </c>
      <c r="J3433">
        <v>15</v>
      </c>
      <c r="K3433">
        <v>6702</v>
      </c>
      <c r="L3433">
        <v>50341</v>
      </c>
      <c r="M3433" t="s">
        <v>146</v>
      </c>
      <c r="N3433">
        <v>680</v>
      </c>
      <c r="O3433" s="2">
        <v>46216</v>
      </c>
      <c r="P3433" s="2">
        <v>46256</v>
      </c>
      <c r="R3433" t="s">
        <v>9168</v>
      </c>
      <c r="S3433" t="str">
        <f>"00013120"</f>
        <v>00013120</v>
      </c>
      <c r="T3433" t="s">
        <v>41</v>
      </c>
      <c r="U3433">
        <v>680.15</v>
      </c>
      <c r="V3433">
        <v>646.14</v>
      </c>
      <c r="W3433">
        <v>646.14</v>
      </c>
      <c r="X3433">
        <v>0</v>
      </c>
      <c r="Y3433">
        <v>0</v>
      </c>
      <c r="Z3433">
        <v>-481</v>
      </c>
      <c r="AA3433">
        <v>693409</v>
      </c>
      <c r="AD3433" t="s">
        <v>5211</v>
      </c>
      <c r="AE3433" t="s">
        <v>9169</v>
      </c>
      <c r="AF3433" t="s">
        <v>5211</v>
      </c>
      <c r="AG3433">
        <v>28021619001335</v>
      </c>
      <c r="AH3433" t="s">
        <v>44</v>
      </c>
    </row>
    <row r="3434" spans="1:34" x14ac:dyDescent="0.3">
      <c r="A3434">
        <v>101</v>
      </c>
      <c r="B3434" t="s">
        <v>34</v>
      </c>
      <c r="C3434">
        <v>2</v>
      </c>
      <c r="D3434" s="1" t="s">
        <v>9166</v>
      </c>
      <c r="E3434" s="1" t="s">
        <v>122</v>
      </c>
      <c r="G3434">
        <v>468211</v>
      </c>
      <c r="H3434" t="s">
        <v>9167</v>
      </c>
      <c r="I3434" t="s">
        <v>9138</v>
      </c>
      <c r="J3434">
        <v>15</v>
      </c>
      <c r="K3434">
        <v>6702</v>
      </c>
      <c r="L3434">
        <v>50341</v>
      </c>
      <c r="M3434" t="s">
        <v>146</v>
      </c>
      <c r="N3434">
        <v>680</v>
      </c>
      <c r="O3434" s="2">
        <v>46216</v>
      </c>
      <c r="P3434" s="2">
        <v>46271</v>
      </c>
      <c r="R3434" t="s">
        <v>9168</v>
      </c>
      <c r="S3434" t="str">
        <f>"00013121"</f>
        <v>00013121</v>
      </c>
      <c r="T3434" t="s">
        <v>41</v>
      </c>
      <c r="U3434">
        <v>533.29999999999995</v>
      </c>
      <c r="V3434">
        <v>506.64</v>
      </c>
      <c r="W3434">
        <v>506.64</v>
      </c>
      <c r="X3434">
        <v>0</v>
      </c>
      <c r="Y3434">
        <v>0</v>
      </c>
      <c r="Z3434">
        <v>-496</v>
      </c>
      <c r="AA3434">
        <v>693409</v>
      </c>
      <c r="AD3434" t="s">
        <v>5211</v>
      </c>
      <c r="AE3434" t="s">
        <v>9169</v>
      </c>
      <c r="AF3434" t="s">
        <v>5211</v>
      </c>
      <c r="AG3434">
        <v>28021619001335</v>
      </c>
      <c r="AH3434" t="s">
        <v>44</v>
      </c>
    </row>
    <row r="3435" spans="1:34" x14ac:dyDescent="0.3">
      <c r="A3435">
        <v>101</v>
      </c>
      <c r="B3435" t="s">
        <v>34</v>
      </c>
      <c r="C3435">
        <v>2</v>
      </c>
      <c r="D3435" s="1" t="s">
        <v>9166</v>
      </c>
      <c r="E3435" s="1" t="s">
        <v>116</v>
      </c>
      <c r="G3435">
        <v>468211</v>
      </c>
      <c r="H3435" t="s">
        <v>9167</v>
      </c>
      <c r="I3435" t="s">
        <v>9138</v>
      </c>
      <c r="J3435">
        <v>15</v>
      </c>
      <c r="K3435">
        <v>6702</v>
      </c>
      <c r="L3435">
        <v>50341</v>
      </c>
      <c r="M3435" t="s">
        <v>146</v>
      </c>
      <c r="N3435">
        <v>680</v>
      </c>
      <c r="O3435" s="2">
        <v>46216</v>
      </c>
      <c r="P3435" s="2">
        <v>46286</v>
      </c>
      <c r="R3435" t="s">
        <v>9168</v>
      </c>
      <c r="S3435" t="str">
        <f>"00013122"</f>
        <v>00013122</v>
      </c>
      <c r="T3435" t="s">
        <v>41</v>
      </c>
      <c r="U3435">
        <v>533.47</v>
      </c>
      <c r="V3435">
        <v>506.8</v>
      </c>
      <c r="W3435">
        <v>506.8</v>
      </c>
      <c r="X3435">
        <v>0</v>
      </c>
      <c r="Y3435">
        <v>0</v>
      </c>
      <c r="Z3435">
        <v>-511</v>
      </c>
      <c r="AA3435">
        <v>693409</v>
      </c>
      <c r="AD3435" t="s">
        <v>5211</v>
      </c>
      <c r="AE3435" t="s">
        <v>9169</v>
      </c>
      <c r="AF3435" t="s">
        <v>5211</v>
      </c>
      <c r="AG3435">
        <v>28021619001335</v>
      </c>
      <c r="AH3435" t="s">
        <v>44</v>
      </c>
    </row>
    <row r="3436" spans="1:34" x14ac:dyDescent="0.3">
      <c r="A3436">
        <v>101</v>
      </c>
      <c r="B3436" t="s">
        <v>34</v>
      </c>
      <c r="C3436">
        <v>2</v>
      </c>
      <c r="D3436" s="1" t="s">
        <v>9170</v>
      </c>
      <c r="E3436" s="1" t="s">
        <v>36</v>
      </c>
      <c r="G3436">
        <v>468212</v>
      </c>
      <c r="H3436" t="s">
        <v>9171</v>
      </c>
      <c r="I3436" t="s">
        <v>9138</v>
      </c>
      <c r="J3436">
        <v>15</v>
      </c>
      <c r="K3436">
        <v>6702</v>
      </c>
      <c r="L3436">
        <v>50341</v>
      </c>
      <c r="M3436" t="s">
        <v>146</v>
      </c>
      <c r="N3436">
        <v>680</v>
      </c>
      <c r="O3436" s="2">
        <v>46216</v>
      </c>
      <c r="P3436" s="2">
        <v>46256</v>
      </c>
      <c r="R3436" t="s">
        <v>9172</v>
      </c>
      <c r="S3436" t="str">
        <f>"00013123"</f>
        <v>00013123</v>
      </c>
      <c r="T3436" t="s">
        <v>41</v>
      </c>
      <c r="U3436">
        <v>627.87</v>
      </c>
      <c r="V3436">
        <v>596.48</v>
      </c>
      <c r="W3436">
        <v>596.48</v>
      </c>
      <c r="X3436">
        <v>0</v>
      </c>
      <c r="Y3436">
        <v>0</v>
      </c>
      <c r="Z3436">
        <v>-481</v>
      </c>
      <c r="AA3436">
        <v>693414</v>
      </c>
      <c r="AD3436" t="s">
        <v>5211</v>
      </c>
      <c r="AE3436" t="s">
        <v>9173</v>
      </c>
      <c r="AF3436" t="s">
        <v>5211</v>
      </c>
      <c r="AG3436">
        <v>28021619001173</v>
      </c>
      <c r="AH3436" t="s">
        <v>44</v>
      </c>
    </row>
    <row r="3437" spans="1:34" x14ac:dyDescent="0.3">
      <c r="A3437">
        <v>101</v>
      </c>
      <c r="B3437" t="s">
        <v>34</v>
      </c>
      <c r="C3437">
        <v>2</v>
      </c>
      <c r="D3437" s="1" t="s">
        <v>9170</v>
      </c>
      <c r="E3437" s="1" t="s">
        <v>122</v>
      </c>
      <c r="G3437">
        <v>468212</v>
      </c>
      <c r="H3437" t="s">
        <v>9171</v>
      </c>
      <c r="I3437" t="s">
        <v>9138</v>
      </c>
      <c r="J3437">
        <v>15</v>
      </c>
      <c r="K3437">
        <v>6702</v>
      </c>
      <c r="L3437">
        <v>50341</v>
      </c>
      <c r="M3437" t="s">
        <v>146</v>
      </c>
      <c r="N3437">
        <v>680</v>
      </c>
      <c r="O3437" s="2">
        <v>46216</v>
      </c>
      <c r="P3437" s="2">
        <v>46271</v>
      </c>
      <c r="R3437" t="s">
        <v>9172</v>
      </c>
      <c r="S3437" t="str">
        <f>"00013124"</f>
        <v>00013124</v>
      </c>
      <c r="T3437" t="s">
        <v>41</v>
      </c>
      <c r="U3437">
        <v>549.4</v>
      </c>
      <c r="V3437">
        <v>521.92999999999995</v>
      </c>
      <c r="W3437">
        <v>521.92999999999995</v>
      </c>
      <c r="X3437">
        <v>0</v>
      </c>
      <c r="Y3437">
        <v>0</v>
      </c>
      <c r="Z3437">
        <v>-496</v>
      </c>
      <c r="AA3437">
        <v>693414</v>
      </c>
      <c r="AD3437" t="s">
        <v>5211</v>
      </c>
      <c r="AE3437" t="s">
        <v>9173</v>
      </c>
      <c r="AF3437" t="s">
        <v>5211</v>
      </c>
      <c r="AG3437">
        <v>28021619001173</v>
      </c>
      <c r="AH3437" t="s">
        <v>44</v>
      </c>
    </row>
    <row r="3438" spans="1:34" x14ac:dyDescent="0.3">
      <c r="A3438">
        <v>101</v>
      </c>
      <c r="B3438" t="s">
        <v>34</v>
      </c>
      <c r="C3438">
        <v>2</v>
      </c>
      <c r="D3438" s="1" t="s">
        <v>9170</v>
      </c>
      <c r="E3438" s="1" t="s">
        <v>116</v>
      </c>
      <c r="G3438">
        <v>468212</v>
      </c>
      <c r="H3438" t="s">
        <v>9171</v>
      </c>
      <c r="I3438" t="s">
        <v>9138</v>
      </c>
      <c r="J3438">
        <v>15</v>
      </c>
      <c r="K3438">
        <v>6702</v>
      </c>
      <c r="L3438">
        <v>50341</v>
      </c>
      <c r="M3438" t="s">
        <v>146</v>
      </c>
      <c r="N3438">
        <v>680</v>
      </c>
      <c r="O3438" s="2">
        <v>46216</v>
      </c>
      <c r="P3438" s="2">
        <v>46286</v>
      </c>
      <c r="R3438" t="s">
        <v>9172</v>
      </c>
      <c r="S3438" t="str">
        <f>"00013125"</f>
        <v>00013125</v>
      </c>
      <c r="T3438" t="s">
        <v>41</v>
      </c>
      <c r="U3438">
        <v>549.54999999999995</v>
      </c>
      <c r="V3438">
        <v>522.07000000000005</v>
      </c>
      <c r="W3438">
        <v>522.07000000000005</v>
      </c>
      <c r="X3438">
        <v>0</v>
      </c>
      <c r="Y3438">
        <v>0</v>
      </c>
      <c r="Z3438">
        <v>-511</v>
      </c>
      <c r="AA3438">
        <v>693414</v>
      </c>
      <c r="AD3438" t="s">
        <v>5211</v>
      </c>
      <c r="AE3438" t="s">
        <v>9173</v>
      </c>
      <c r="AF3438" t="s">
        <v>5211</v>
      </c>
      <c r="AG3438">
        <v>28021619001173</v>
      </c>
      <c r="AH3438" t="s">
        <v>44</v>
      </c>
    </row>
    <row r="3439" spans="1:34" x14ac:dyDescent="0.3">
      <c r="A3439">
        <v>101</v>
      </c>
      <c r="B3439" t="s">
        <v>34</v>
      </c>
      <c r="C3439">
        <v>2</v>
      </c>
      <c r="D3439" s="1" t="s">
        <v>9174</v>
      </c>
      <c r="E3439" s="1" t="s">
        <v>116</v>
      </c>
      <c r="G3439">
        <v>999001487</v>
      </c>
      <c r="H3439" t="s">
        <v>9175</v>
      </c>
      <c r="I3439" t="s">
        <v>9131</v>
      </c>
      <c r="J3439">
        <v>12</v>
      </c>
      <c r="K3439">
        <v>5872</v>
      </c>
      <c r="L3439">
        <v>50001</v>
      </c>
      <c r="M3439" t="s">
        <v>39</v>
      </c>
      <c r="N3439">
        <v>680</v>
      </c>
      <c r="O3439" s="2">
        <v>46246</v>
      </c>
      <c r="P3439" s="2">
        <v>46344</v>
      </c>
      <c r="R3439" t="s">
        <v>9176</v>
      </c>
      <c r="S3439" t="str">
        <f>"25666160000051875"</f>
        <v>25666160000051875</v>
      </c>
      <c r="T3439" t="s">
        <v>41</v>
      </c>
      <c r="U3439">
        <v>3918.26</v>
      </c>
      <c r="V3439">
        <v>3918.26</v>
      </c>
      <c r="W3439">
        <v>3918.26</v>
      </c>
      <c r="X3439">
        <v>0</v>
      </c>
      <c r="Y3439">
        <v>0</v>
      </c>
      <c r="Z3439">
        <v>-569</v>
      </c>
      <c r="AA3439">
        <v>4406</v>
      </c>
      <c r="AD3439" t="s">
        <v>8902</v>
      </c>
      <c r="AE3439" t="s">
        <v>9177</v>
      </c>
      <c r="AF3439" t="s">
        <v>8902</v>
      </c>
      <c r="AG3439">
        <v>96422464000327</v>
      </c>
      <c r="AH3439" t="s">
        <v>44</v>
      </c>
    </row>
    <row r="3440" spans="1:34" x14ac:dyDescent="0.3">
      <c r="A3440">
        <v>101</v>
      </c>
      <c r="B3440" t="s">
        <v>34</v>
      </c>
      <c r="C3440">
        <v>2</v>
      </c>
      <c r="D3440" s="1" t="s">
        <v>9174</v>
      </c>
      <c r="E3440" s="1" t="s">
        <v>122</v>
      </c>
      <c r="G3440">
        <v>999001487</v>
      </c>
      <c r="H3440" t="s">
        <v>9175</v>
      </c>
      <c r="I3440" t="s">
        <v>9131</v>
      </c>
      <c r="J3440">
        <v>12</v>
      </c>
      <c r="K3440">
        <v>5872</v>
      </c>
      <c r="L3440">
        <v>50001</v>
      </c>
      <c r="M3440" t="s">
        <v>39</v>
      </c>
      <c r="N3440">
        <v>680</v>
      </c>
      <c r="O3440" s="2">
        <v>46246</v>
      </c>
      <c r="P3440" s="2">
        <v>46314</v>
      </c>
      <c r="R3440" t="s">
        <v>9176</v>
      </c>
      <c r="S3440" t="str">
        <f>"25666160000051874"</f>
        <v>25666160000051874</v>
      </c>
      <c r="T3440" t="s">
        <v>41</v>
      </c>
      <c r="U3440">
        <v>3917.07</v>
      </c>
      <c r="V3440">
        <v>3917.07</v>
      </c>
      <c r="W3440">
        <v>3917.07</v>
      </c>
      <c r="X3440">
        <v>0</v>
      </c>
      <c r="Y3440">
        <v>0</v>
      </c>
      <c r="Z3440">
        <v>-539</v>
      </c>
      <c r="AA3440">
        <v>4406</v>
      </c>
      <c r="AD3440" t="s">
        <v>8902</v>
      </c>
      <c r="AE3440" t="s">
        <v>9177</v>
      </c>
      <c r="AF3440" t="s">
        <v>8902</v>
      </c>
      <c r="AG3440">
        <v>96422464000327</v>
      </c>
      <c r="AH3440" t="s">
        <v>44</v>
      </c>
    </row>
    <row r="3441" spans="1:34" x14ac:dyDescent="0.3">
      <c r="A3441">
        <v>101</v>
      </c>
      <c r="B3441" t="s">
        <v>34</v>
      </c>
      <c r="C3441">
        <v>2</v>
      </c>
      <c r="D3441" s="1" t="s">
        <v>9174</v>
      </c>
      <c r="E3441" s="1" t="s">
        <v>36</v>
      </c>
      <c r="G3441">
        <v>999001487</v>
      </c>
      <c r="H3441" t="s">
        <v>9175</v>
      </c>
      <c r="I3441" t="s">
        <v>9131</v>
      </c>
      <c r="J3441">
        <v>12</v>
      </c>
      <c r="K3441">
        <v>5872</v>
      </c>
      <c r="L3441">
        <v>50001</v>
      </c>
      <c r="M3441" t="s">
        <v>39</v>
      </c>
      <c r="N3441">
        <v>680</v>
      </c>
      <c r="O3441" s="2">
        <v>46246</v>
      </c>
      <c r="P3441" s="2">
        <v>46283</v>
      </c>
      <c r="R3441" t="s">
        <v>9176</v>
      </c>
      <c r="S3441" t="str">
        <f>"25666160000051873"</f>
        <v>25666160000051873</v>
      </c>
      <c r="T3441" t="s">
        <v>41</v>
      </c>
      <c r="U3441">
        <v>4066.54</v>
      </c>
      <c r="V3441">
        <v>4066.54</v>
      </c>
      <c r="W3441">
        <v>4066.54</v>
      </c>
      <c r="X3441">
        <v>0</v>
      </c>
      <c r="Y3441">
        <v>0</v>
      </c>
      <c r="Z3441">
        <v>-508</v>
      </c>
      <c r="AA3441">
        <v>4406</v>
      </c>
      <c r="AD3441" t="s">
        <v>8902</v>
      </c>
      <c r="AE3441" t="s">
        <v>9177</v>
      </c>
      <c r="AF3441" t="s">
        <v>8902</v>
      </c>
      <c r="AG3441">
        <v>96422464000327</v>
      </c>
      <c r="AH3441" t="s">
        <v>44</v>
      </c>
    </row>
    <row r="3442" spans="1:34" x14ac:dyDescent="0.3">
      <c r="A3442">
        <v>101</v>
      </c>
      <c r="B3442" t="s">
        <v>34</v>
      </c>
      <c r="C3442">
        <v>2</v>
      </c>
      <c r="D3442" s="1" t="s">
        <v>9178</v>
      </c>
      <c r="E3442" s="1" t="s">
        <v>36</v>
      </c>
      <c r="G3442">
        <v>999001694</v>
      </c>
      <c r="H3442" t="s">
        <v>9179</v>
      </c>
      <c r="I3442" t="s">
        <v>9180</v>
      </c>
      <c r="J3442">
        <v>12</v>
      </c>
      <c r="K3442">
        <v>999001694</v>
      </c>
      <c r="L3442">
        <v>50341</v>
      </c>
      <c r="M3442" t="s">
        <v>146</v>
      </c>
      <c r="N3442">
        <v>680</v>
      </c>
      <c r="O3442" s="2">
        <v>46246</v>
      </c>
      <c r="P3442" s="2">
        <v>46291</v>
      </c>
      <c r="R3442" t="s">
        <v>9181</v>
      </c>
      <c r="S3442" t="str">
        <f>"00013662"</f>
        <v>00013662</v>
      </c>
      <c r="T3442" t="s">
        <v>41</v>
      </c>
      <c r="U3442">
        <v>2167.1999999999998</v>
      </c>
      <c r="V3442">
        <v>2167.1999999999998</v>
      </c>
      <c r="W3442">
        <v>2167.1999999999998</v>
      </c>
      <c r="X3442">
        <v>0</v>
      </c>
      <c r="Y3442">
        <v>0</v>
      </c>
      <c r="Z3442">
        <v>-516</v>
      </c>
      <c r="AA3442">
        <v>4453</v>
      </c>
      <c r="AD3442" t="s">
        <v>5546</v>
      </c>
      <c r="AE3442" t="s">
        <v>9182</v>
      </c>
      <c r="AF3442" t="s">
        <v>5546</v>
      </c>
      <c r="AG3442">
        <v>13254314000162</v>
      </c>
      <c r="AH3442" t="s">
        <v>44</v>
      </c>
    </row>
    <row r="3443" spans="1:34" x14ac:dyDescent="0.3">
      <c r="A3443">
        <v>101</v>
      </c>
      <c r="B3443" t="s">
        <v>34</v>
      </c>
      <c r="C3443">
        <v>2</v>
      </c>
      <c r="D3443" s="1" t="s">
        <v>9183</v>
      </c>
      <c r="E3443" s="1" t="s">
        <v>122</v>
      </c>
      <c r="G3443">
        <v>999002463</v>
      </c>
      <c r="H3443" t="s">
        <v>9184</v>
      </c>
      <c r="I3443" t="s">
        <v>9123</v>
      </c>
      <c r="J3443">
        <v>12</v>
      </c>
      <c r="K3443">
        <v>2143</v>
      </c>
      <c r="L3443">
        <v>50341</v>
      </c>
      <c r="M3443" t="s">
        <v>146</v>
      </c>
      <c r="N3443">
        <v>680</v>
      </c>
      <c r="O3443" s="2">
        <v>46251</v>
      </c>
      <c r="P3443" s="2">
        <v>46296</v>
      </c>
      <c r="R3443" t="s">
        <v>9185</v>
      </c>
      <c r="S3443" t="str">
        <f>"00013695"</f>
        <v>00013695</v>
      </c>
      <c r="T3443" t="s">
        <v>41</v>
      </c>
      <c r="U3443">
        <v>1507.48</v>
      </c>
      <c r="V3443">
        <v>1447.18</v>
      </c>
      <c r="W3443">
        <v>1447.18</v>
      </c>
      <c r="X3443">
        <v>0</v>
      </c>
      <c r="Y3443">
        <v>0</v>
      </c>
      <c r="Z3443">
        <v>-521</v>
      </c>
      <c r="AA3443">
        <v>4687</v>
      </c>
      <c r="AD3443" t="s">
        <v>234</v>
      </c>
      <c r="AE3443" t="s">
        <v>9186</v>
      </c>
      <c r="AF3443" t="s">
        <v>234</v>
      </c>
      <c r="AG3443">
        <v>50974732000665</v>
      </c>
      <c r="AH3443" t="s">
        <v>44</v>
      </c>
    </row>
    <row r="3444" spans="1:34" x14ac:dyDescent="0.3">
      <c r="A3444">
        <v>101</v>
      </c>
      <c r="B3444" t="s">
        <v>34</v>
      </c>
      <c r="C3444">
        <v>2</v>
      </c>
      <c r="D3444" s="1" t="s">
        <v>9183</v>
      </c>
      <c r="E3444" s="1" t="s">
        <v>116</v>
      </c>
      <c r="G3444">
        <v>999002463</v>
      </c>
      <c r="H3444" t="s">
        <v>9184</v>
      </c>
      <c r="I3444" t="s">
        <v>9123</v>
      </c>
      <c r="J3444">
        <v>12</v>
      </c>
      <c r="K3444">
        <v>2143</v>
      </c>
      <c r="L3444">
        <v>50341</v>
      </c>
      <c r="M3444" t="s">
        <v>146</v>
      </c>
      <c r="N3444">
        <v>680</v>
      </c>
      <c r="O3444" s="2">
        <v>46251</v>
      </c>
      <c r="P3444" s="2">
        <v>46311</v>
      </c>
      <c r="R3444" t="s">
        <v>9185</v>
      </c>
      <c r="S3444" t="str">
        <f>"00013696"</f>
        <v>00013696</v>
      </c>
      <c r="T3444" t="s">
        <v>41</v>
      </c>
      <c r="U3444">
        <v>1507.93</v>
      </c>
      <c r="V3444">
        <v>1447.61</v>
      </c>
      <c r="W3444">
        <v>1447.61</v>
      </c>
      <c r="X3444">
        <v>0</v>
      </c>
      <c r="Y3444">
        <v>0</v>
      </c>
      <c r="Z3444">
        <v>-536</v>
      </c>
      <c r="AA3444">
        <v>4687</v>
      </c>
      <c r="AD3444" t="s">
        <v>234</v>
      </c>
      <c r="AE3444" t="s">
        <v>9186</v>
      </c>
      <c r="AF3444" t="s">
        <v>234</v>
      </c>
      <c r="AG3444">
        <v>50974732000665</v>
      </c>
      <c r="AH3444" t="s">
        <v>44</v>
      </c>
    </row>
    <row r="3445" spans="1:34" x14ac:dyDescent="0.3">
      <c r="A3445">
        <v>101</v>
      </c>
      <c r="B3445" t="s">
        <v>34</v>
      </c>
      <c r="C3445">
        <v>2</v>
      </c>
      <c r="D3445" s="1" t="s">
        <v>9183</v>
      </c>
      <c r="E3445" s="1" t="s">
        <v>36</v>
      </c>
      <c r="G3445">
        <v>999002463</v>
      </c>
      <c r="H3445" t="s">
        <v>9184</v>
      </c>
      <c r="I3445" t="s">
        <v>9123</v>
      </c>
      <c r="J3445">
        <v>12</v>
      </c>
      <c r="K3445">
        <v>2143</v>
      </c>
      <c r="L3445">
        <v>50341</v>
      </c>
      <c r="M3445" t="s">
        <v>146</v>
      </c>
      <c r="N3445">
        <v>680</v>
      </c>
      <c r="O3445" s="2">
        <v>46251</v>
      </c>
      <c r="P3445" s="2">
        <v>46281</v>
      </c>
      <c r="R3445" t="s">
        <v>9185</v>
      </c>
      <c r="S3445" t="str">
        <f>"00013694"</f>
        <v>00013694</v>
      </c>
      <c r="T3445" t="s">
        <v>41</v>
      </c>
      <c r="U3445">
        <v>1864.11</v>
      </c>
      <c r="V3445">
        <v>1789.55</v>
      </c>
      <c r="W3445">
        <v>1789.55</v>
      </c>
      <c r="X3445">
        <v>0</v>
      </c>
      <c r="Y3445">
        <v>0</v>
      </c>
      <c r="Z3445">
        <v>-506</v>
      </c>
      <c r="AA3445">
        <v>4687</v>
      </c>
      <c r="AD3445" t="s">
        <v>234</v>
      </c>
      <c r="AE3445" t="s">
        <v>9186</v>
      </c>
      <c r="AF3445" t="s">
        <v>234</v>
      </c>
      <c r="AG3445">
        <v>50974732000665</v>
      </c>
      <c r="AH3445" t="s">
        <v>44</v>
      </c>
    </row>
    <row r="3446" spans="1:34" x14ac:dyDescent="0.3">
      <c r="A3446">
        <v>101</v>
      </c>
      <c r="B3446" t="s">
        <v>34</v>
      </c>
      <c r="C3446">
        <v>2</v>
      </c>
      <c r="D3446" s="1" t="s">
        <v>9187</v>
      </c>
      <c r="E3446" s="1" t="s">
        <v>36</v>
      </c>
      <c r="G3446">
        <v>999002463</v>
      </c>
      <c r="H3446" t="s">
        <v>9184</v>
      </c>
      <c r="I3446" t="s">
        <v>9123</v>
      </c>
      <c r="J3446">
        <v>12</v>
      </c>
      <c r="K3446">
        <v>2143</v>
      </c>
      <c r="L3446">
        <v>50341</v>
      </c>
      <c r="M3446" t="s">
        <v>146</v>
      </c>
      <c r="N3446">
        <v>680</v>
      </c>
      <c r="O3446" s="2">
        <v>46223</v>
      </c>
      <c r="P3446" s="2">
        <v>46253</v>
      </c>
      <c r="R3446" t="s">
        <v>9188</v>
      </c>
      <c r="S3446" t="str">
        <f>"00013354"</f>
        <v>00013354</v>
      </c>
      <c r="T3446" t="s">
        <v>41</v>
      </c>
      <c r="U3446">
        <v>1187.6199999999999</v>
      </c>
      <c r="V3446">
        <v>1140.1199999999999</v>
      </c>
      <c r="W3446">
        <v>1140.1199999999999</v>
      </c>
      <c r="X3446">
        <v>0</v>
      </c>
      <c r="Y3446">
        <v>0</v>
      </c>
      <c r="Z3446">
        <v>-478</v>
      </c>
      <c r="AA3446">
        <v>692763</v>
      </c>
      <c r="AD3446" t="s">
        <v>234</v>
      </c>
      <c r="AE3446" t="s">
        <v>9186</v>
      </c>
      <c r="AF3446" t="s">
        <v>234</v>
      </c>
      <c r="AG3446">
        <v>50974732000665</v>
      </c>
      <c r="AH3446" t="s">
        <v>44</v>
      </c>
    </row>
    <row r="3447" spans="1:34" x14ac:dyDescent="0.3">
      <c r="A3447">
        <v>101</v>
      </c>
      <c r="B3447" t="s">
        <v>34</v>
      </c>
      <c r="C3447">
        <v>2</v>
      </c>
      <c r="D3447" s="1" t="s">
        <v>9187</v>
      </c>
      <c r="E3447" s="1" t="s">
        <v>116</v>
      </c>
      <c r="G3447">
        <v>999002463</v>
      </c>
      <c r="H3447" t="s">
        <v>9184</v>
      </c>
      <c r="I3447" t="s">
        <v>9123</v>
      </c>
      <c r="J3447">
        <v>12</v>
      </c>
      <c r="K3447">
        <v>2143</v>
      </c>
      <c r="L3447">
        <v>50341</v>
      </c>
      <c r="M3447" t="s">
        <v>146</v>
      </c>
      <c r="N3447">
        <v>680</v>
      </c>
      <c r="O3447" s="2">
        <v>46223</v>
      </c>
      <c r="P3447" s="2">
        <v>46283</v>
      </c>
      <c r="R3447" t="s">
        <v>9188</v>
      </c>
      <c r="S3447" t="str">
        <f>"00013356"</f>
        <v>00013356</v>
      </c>
      <c r="T3447" t="s">
        <v>41</v>
      </c>
      <c r="U3447">
        <v>926.71</v>
      </c>
      <c r="V3447">
        <v>889.64</v>
      </c>
      <c r="W3447">
        <v>889.64</v>
      </c>
      <c r="X3447">
        <v>0</v>
      </c>
      <c r="Y3447">
        <v>0</v>
      </c>
      <c r="Z3447">
        <v>-508</v>
      </c>
      <c r="AA3447">
        <v>692763</v>
      </c>
      <c r="AD3447" t="s">
        <v>234</v>
      </c>
      <c r="AE3447" t="s">
        <v>9186</v>
      </c>
      <c r="AF3447" t="s">
        <v>234</v>
      </c>
      <c r="AG3447">
        <v>50974732000665</v>
      </c>
      <c r="AH3447" t="s">
        <v>44</v>
      </c>
    </row>
    <row r="3448" spans="1:34" x14ac:dyDescent="0.3">
      <c r="A3448">
        <v>101</v>
      </c>
      <c r="B3448" t="s">
        <v>34</v>
      </c>
      <c r="C3448">
        <v>2</v>
      </c>
      <c r="D3448" s="1" t="s">
        <v>9187</v>
      </c>
      <c r="E3448" s="1" t="s">
        <v>122</v>
      </c>
      <c r="G3448">
        <v>999002463</v>
      </c>
      <c r="H3448" t="s">
        <v>9184</v>
      </c>
      <c r="I3448" t="s">
        <v>9123</v>
      </c>
      <c r="J3448">
        <v>12</v>
      </c>
      <c r="K3448">
        <v>2143</v>
      </c>
      <c r="L3448">
        <v>50341</v>
      </c>
      <c r="M3448" t="s">
        <v>146</v>
      </c>
      <c r="N3448">
        <v>680</v>
      </c>
      <c r="O3448" s="2">
        <v>46223</v>
      </c>
      <c r="P3448" s="2">
        <v>46268</v>
      </c>
      <c r="R3448" t="s">
        <v>9188</v>
      </c>
      <c r="S3448" t="str">
        <f>"00013355"</f>
        <v>00013355</v>
      </c>
      <c r="T3448" t="s">
        <v>41</v>
      </c>
      <c r="U3448">
        <v>926.44</v>
      </c>
      <c r="V3448">
        <v>889.38</v>
      </c>
      <c r="W3448">
        <v>889.38</v>
      </c>
      <c r="X3448">
        <v>0</v>
      </c>
      <c r="Y3448">
        <v>0</v>
      </c>
      <c r="Z3448">
        <v>-493</v>
      </c>
      <c r="AA3448">
        <v>692763</v>
      </c>
      <c r="AD3448" t="s">
        <v>234</v>
      </c>
      <c r="AE3448" t="s">
        <v>9186</v>
      </c>
      <c r="AF3448" t="s">
        <v>234</v>
      </c>
      <c r="AG3448">
        <v>50974732000665</v>
      </c>
      <c r="AH3448" t="s">
        <v>44</v>
      </c>
    </row>
    <row r="3449" spans="1:34" x14ac:dyDescent="0.3">
      <c r="A3449">
        <v>101</v>
      </c>
      <c r="B3449" t="s">
        <v>34</v>
      </c>
      <c r="C3449">
        <v>2</v>
      </c>
      <c r="D3449" s="1" t="s">
        <v>9189</v>
      </c>
      <c r="E3449" s="1" t="s">
        <v>36</v>
      </c>
      <c r="G3449">
        <v>1953</v>
      </c>
      <c r="H3449" t="s">
        <v>3830</v>
      </c>
      <c r="I3449" t="s">
        <v>9190</v>
      </c>
      <c r="J3449">
        <v>12</v>
      </c>
      <c r="K3449">
        <v>1953</v>
      </c>
      <c r="L3449">
        <v>50237</v>
      </c>
      <c r="M3449" t="s">
        <v>39</v>
      </c>
      <c r="N3449">
        <v>681</v>
      </c>
      <c r="O3449" s="2">
        <v>46251</v>
      </c>
      <c r="P3449" s="2">
        <v>46279</v>
      </c>
      <c r="R3449" t="s">
        <v>9191</v>
      </c>
      <c r="S3449" t="str">
        <f>"330000052216"</f>
        <v>330000052216</v>
      </c>
      <c r="T3449" t="s">
        <v>41</v>
      </c>
      <c r="U3449">
        <v>3813.96</v>
      </c>
      <c r="V3449">
        <v>3813.96</v>
      </c>
      <c r="W3449">
        <v>3813.96</v>
      </c>
      <c r="X3449">
        <v>0</v>
      </c>
      <c r="Y3449">
        <v>0</v>
      </c>
      <c r="Z3449">
        <v>-504</v>
      </c>
      <c r="AA3449">
        <v>4651</v>
      </c>
      <c r="AD3449" t="s">
        <v>3349</v>
      </c>
      <c r="AE3449" t="s">
        <v>9192</v>
      </c>
      <c r="AF3449" t="s">
        <v>3349</v>
      </c>
      <c r="AG3449">
        <v>60708245000108</v>
      </c>
      <c r="AH3449" t="s">
        <v>44</v>
      </c>
    </row>
    <row r="3450" spans="1:34" x14ac:dyDescent="0.3">
      <c r="A3450">
        <v>101</v>
      </c>
      <c r="B3450" t="s">
        <v>34</v>
      </c>
      <c r="C3450">
        <v>2</v>
      </c>
      <c r="D3450" s="1" t="s">
        <v>9193</v>
      </c>
      <c r="E3450" s="1" t="s">
        <v>36</v>
      </c>
      <c r="G3450">
        <v>3245</v>
      </c>
      <c r="H3450" t="s">
        <v>9194</v>
      </c>
      <c r="I3450" t="s">
        <v>9195</v>
      </c>
      <c r="J3450">
        <v>12</v>
      </c>
      <c r="K3450">
        <v>9042</v>
      </c>
      <c r="L3450">
        <v>50033</v>
      </c>
      <c r="M3450" t="s">
        <v>39</v>
      </c>
      <c r="N3450">
        <v>681</v>
      </c>
      <c r="O3450" s="2">
        <v>46224</v>
      </c>
      <c r="P3450" s="2">
        <v>46269</v>
      </c>
      <c r="R3450" t="s">
        <v>9196</v>
      </c>
      <c r="S3450" t="str">
        <f>"0000050410431"</f>
        <v>0000050410431</v>
      </c>
      <c r="T3450" t="s">
        <v>41</v>
      </c>
      <c r="U3450">
        <v>1901.87</v>
      </c>
      <c r="V3450">
        <v>1901.87</v>
      </c>
      <c r="W3450">
        <v>1901.87</v>
      </c>
      <c r="X3450">
        <v>0</v>
      </c>
      <c r="Y3450">
        <v>0</v>
      </c>
      <c r="Z3450">
        <v>-494</v>
      </c>
      <c r="AA3450">
        <v>1316</v>
      </c>
      <c r="AD3450" t="s">
        <v>64</v>
      </c>
      <c r="AE3450" t="s">
        <v>9197</v>
      </c>
      <c r="AF3450" t="s">
        <v>64</v>
      </c>
      <c r="AG3450">
        <v>61192795002387</v>
      </c>
      <c r="AH3450" t="s">
        <v>44</v>
      </c>
    </row>
    <row r="3451" spans="1:34" x14ac:dyDescent="0.3">
      <c r="A3451">
        <v>101</v>
      </c>
      <c r="B3451" t="s">
        <v>34</v>
      </c>
      <c r="C3451">
        <v>2</v>
      </c>
      <c r="D3451" s="1" t="s">
        <v>9198</v>
      </c>
      <c r="E3451" s="1" t="s">
        <v>36</v>
      </c>
      <c r="G3451">
        <v>3974</v>
      </c>
      <c r="H3451" t="s">
        <v>9199</v>
      </c>
      <c r="I3451" t="s">
        <v>9200</v>
      </c>
      <c r="J3451">
        <v>12</v>
      </c>
      <c r="K3451">
        <v>3974</v>
      </c>
      <c r="L3451">
        <v>50033</v>
      </c>
      <c r="M3451" t="s">
        <v>39</v>
      </c>
      <c r="N3451">
        <v>681</v>
      </c>
      <c r="O3451" s="2">
        <v>46224</v>
      </c>
      <c r="P3451" s="2">
        <v>46274</v>
      </c>
      <c r="R3451" t="s">
        <v>9201</v>
      </c>
      <c r="S3451" t="str">
        <f>"0000050410440"</f>
        <v>0000050410440</v>
      </c>
      <c r="T3451" t="s">
        <v>41</v>
      </c>
      <c r="U3451">
        <v>4908.03</v>
      </c>
      <c r="V3451">
        <v>4021.23</v>
      </c>
      <c r="W3451">
        <v>4021.23</v>
      </c>
      <c r="X3451">
        <v>0</v>
      </c>
      <c r="Y3451">
        <v>0</v>
      </c>
      <c r="Z3451">
        <v>-499</v>
      </c>
      <c r="AA3451">
        <v>1320</v>
      </c>
      <c r="AD3451" t="s">
        <v>64</v>
      </c>
      <c r="AE3451" t="s">
        <v>9202</v>
      </c>
      <c r="AF3451" t="s">
        <v>64</v>
      </c>
      <c r="AG3451">
        <v>43559079000602</v>
      </c>
      <c r="AH3451" t="s">
        <v>44</v>
      </c>
    </row>
    <row r="3452" spans="1:34" x14ac:dyDescent="0.3">
      <c r="A3452">
        <v>101</v>
      </c>
      <c r="B3452" t="s">
        <v>34</v>
      </c>
      <c r="C3452">
        <v>2</v>
      </c>
      <c r="D3452" s="1" t="s">
        <v>9203</v>
      </c>
      <c r="E3452" s="1" t="s">
        <v>36</v>
      </c>
      <c r="G3452">
        <v>3974</v>
      </c>
      <c r="H3452" t="s">
        <v>9199</v>
      </c>
      <c r="I3452" t="s">
        <v>9200</v>
      </c>
      <c r="J3452">
        <v>12</v>
      </c>
      <c r="K3452">
        <v>3974</v>
      </c>
      <c r="L3452">
        <v>50033</v>
      </c>
      <c r="M3452" t="s">
        <v>39</v>
      </c>
      <c r="N3452">
        <v>681</v>
      </c>
      <c r="O3452" s="2">
        <v>46255</v>
      </c>
      <c r="P3452" s="2">
        <v>46305</v>
      </c>
      <c r="R3452" t="s">
        <v>9204</v>
      </c>
      <c r="S3452" t="str">
        <f>"0000050414720"</f>
        <v>0000050414720</v>
      </c>
      <c r="T3452" t="s">
        <v>41</v>
      </c>
      <c r="U3452">
        <v>7587.29</v>
      </c>
      <c r="V3452">
        <v>6402.56</v>
      </c>
      <c r="W3452">
        <v>6402.56</v>
      </c>
      <c r="X3452">
        <v>0</v>
      </c>
      <c r="Y3452">
        <v>0</v>
      </c>
      <c r="Z3452">
        <v>-530</v>
      </c>
      <c r="AA3452">
        <v>4842</v>
      </c>
      <c r="AD3452" t="s">
        <v>64</v>
      </c>
      <c r="AE3452" t="s">
        <v>9202</v>
      </c>
      <c r="AF3452" t="s">
        <v>64</v>
      </c>
      <c r="AG3452">
        <v>43559079000602</v>
      </c>
      <c r="AH3452" t="s">
        <v>44</v>
      </c>
    </row>
    <row r="3453" spans="1:34" x14ac:dyDescent="0.3">
      <c r="A3453">
        <v>101</v>
      </c>
      <c r="B3453" t="s">
        <v>34</v>
      </c>
      <c r="C3453">
        <v>2</v>
      </c>
      <c r="D3453" s="1" t="s">
        <v>9205</v>
      </c>
      <c r="E3453" s="1" t="s">
        <v>36</v>
      </c>
      <c r="G3453">
        <v>7386</v>
      </c>
      <c r="H3453" t="s">
        <v>9206</v>
      </c>
      <c r="I3453" t="s">
        <v>9207</v>
      </c>
      <c r="J3453">
        <v>12</v>
      </c>
      <c r="K3453">
        <v>7386</v>
      </c>
      <c r="L3453">
        <v>50033</v>
      </c>
      <c r="M3453" t="s">
        <v>39</v>
      </c>
      <c r="N3453">
        <v>681</v>
      </c>
      <c r="O3453" s="2">
        <v>46251</v>
      </c>
      <c r="P3453" s="2">
        <v>46296</v>
      </c>
      <c r="R3453" t="s">
        <v>9208</v>
      </c>
      <c r="S3453" t="str">
        <f>"0000050413511"</f>
        <v>0000050413511</v>
      </c>
      <c r="T3453" t="s">
        <v>41</v>
      </c>
      <c r="U3453">
        <v>8554.06</v>
      </c>
      <c r="V3453">
        <v>7527.57</v>
      </c>
      <c r="W3453">
        <v>7527.57</v>
      </c>
      <c r="X3453">
        <v>0</v>
      </c>
      <c r="Y3453">
        <v>0</v>
      </c>
      <c r="Z3453">
        <v>-521</v>
      </c>
      <c r="AA3453">
        <v>4636</v>
      </c>
      <c r="AD3453" t="s">
        <v>64</v>
      </c>
      <c r="AE3453" t="s">
        <v>9209</v>
      </c>
      <c r="AF3453" t="s">
        <v>64</v>
      </c>
      <c r="AG3453">
        <v>44480747000160</v>
      </c>
      <c r="AH3453" t="s">
        <v>44</v>
      </c>
    </row>
    <row r="3454" spans="1:34" x14ac:dyDescent="0.3">
      <c r="A3454">
        <v>101</v>
      </c>
      <c r="B3454" t="s">
        <v>34</v>
      </c>
      <c r="C3454">
        <v>2</v>
      </c>
      <c r="D3454" s="1" t="s">
        <v>9210</v>
      </c>
      <c r="E3454" s="1" t="s">
        <v>36</v>
      </c>
      <c r="G3454">
        <v>7386</v>
      </c>
      <c r="H3454" t="s">
        <v>9206</v>
      </c>
      <c r="I3454" t="s">
        <v>9207</v>
      </c>
      <c r="J3454">
        <v>12</v>
      </c>
      <c r="K3454">
        <v>7386</v>
      </c>
      <c r="L3454">
        <v>50033</v>
      </c>
      <c r="M3454" t="s">
        <v>39</v>
      </c>
      <c r="N3454">
        <v>681</v>
      </c>
      <c r="O3454" s="2">
        <v>46223</v>
      </c>
      <c r="P3454" s="2">
        <v>46268</v>
      </c>
      <c r="R3454" t="s">
        <v>9211</v>
      </c>
      <c r="S3454" t="str">
        <f>"0000050411152"</f>
        <v>0000050411152</v>
      </c>
      <c r="T3454" t="s">
        <v>41</v>
      </c>
      <c r="U3454">
        <v>6601.68</v>
      </c>
      <c r="V3454">
        <v>5809.48</v>
      </c>
      <c r="W3454">
        <v>5809.48</v>
      </c>
      <c r="X3454">
        <v>0</v>
      </c>
      <c r="Y3454">
        <v>0</v>
      </c>
      <c r="Z3454">
        <v>-493</v>
      </c>
      <c r="AA3454">
        <v>1285</v>
      </c>
      <c r="AD3454" t="s">
        <v>64</v>
      </c>
      <c r="AE3454" t="s">
        <v>9209</v>
      </c>
      <c r="AF3454" t="s">
        <v>64</v>
      </c>
      <c r="AG3454">
        <v>44480747000160</v>
      </c>
      <c r="AH3454" t="s">
        <v>44</v>
      </c>
    </row>
    <row r="3455" spans="1:34" x14ac:dyDescent="0.3">
      <c r="A3455">
        <v>101</v>
      </c>
      <c r="B3455" t="s">
        <v>34</v>
      </c>
      <c r="C3455">
        <v>2</v>
      </c>
      <c r="D3455" s="1" t="s">
        <v>9212</v>
      </c>
      <c r="E3455" s="1" t="s">
        <v>36</v>
      </c>
      <c r="G3455">
        <v>9613</v>
      </c>
      <c r="H3455" t="s">
        <v>9213</v>
      </c>
      <c r="I3455" t="s">
        <v>9214</v>
      </c>
      <c r="J3455">
        <v>12</v>
      </c>
      <c r="K3455">
        <v>9613</v>
      </c>
      <c r="L3455">
        <v>50033</v>
      </c>
      <c r="M3455" t="s">
        <v>39</v>
      </c>
      <c r="N3455">
        <v>681</v>
      </c>
      <c r="O3455" s="2">
        <v>46235</v>
      </c>
      <c r="P3455" s="2">
        <v>46285</v>
      </c>
      <c r="R3455" t="s">
        <v>9215</v>
      </c>
      <c r="S3455" t="str">
        <f>"0000050411950"</f>
        <v>0000050411950</v>
      </c>
      <c r="T3455" t="s">
        <v>41</v>
      </c>
      <c r="U3455">
        <v>2279.04</v>
      </c>
      <c r="V3455">
        <v>1753.34</v>
      </c>
      <c r="W3455">
        <v>1753.34</v>
      </c>
      <c r="X3455">
        <v>0</v>
      </c>
      <c r="Y3455">
        <v>0</v>
      </c>
      <c r="Z3455">
        <v>-510</v>
      </c>
      <c r="AA3455">
        <v>1694</v>
      </c>
      <c r="AD3455" t="s">
        <v>64</v>
      </c>
      <c r="AE3455" t="s">
        <v>9216</v>
      </c>
      <c r="AF3455" t="s">
        <v>64</v>
      </c>
      <c r="AG3455" s="1" t="s">
        <v>9217</v>
      </c>
      <c r="AH3455" t="s">
        <v>44</v>
      </c>
    </row>
    <row r="3456" spans="1:34" x14ac:dyDescent="0.3">
      <c r="A3456">
        <v>101</v>
      </c>
      <c r="B3456" t="s">
        <v>34</v>
      </c>
      <c r="C3456">
        <v>2</v>
      </c>
      <c r="D3456" s="1" t="s">
        <v>9218</v>
      </c>
      <c r="E3456" s="1" t="s">
        <v>36</v>
      </c>
      <c r="G3456">
        <v>9613</v>
      </c>
      <c r="H3456" t="s">
        <v>9213</v>
      </c>
      <c r="I3456" t="s">
        <v>9214</v>
      </c>
      <c r="J3456">
        <v>12</v>
      </c>
      <c r="K3456">
        <v>9613</v>
      </c>
      <c r="L3456">
        <v>50033</v>
      </c>
      <c r="M3456" t="s">
        <v>39</v>
      </c>
      <c r="N3456">
        <v>681</v>
      </c>
      <c r="O3456" s="2">
        <v>46218</v>
      </c>
      <c r="P3456" s="2">
        <v>46268</v>
      </c>
      <c r="R3456" t="s">
        <v>9219</v>
      </c>
      <c r="S3456" t="str">
        <f>"0000050410083"</f>
        <v>0000050410083</v>
      </c>
      <c r="T3456" t="s">
        <v>41</v>
      </c>
      <c r="U3456">
        <v>1856.13</v>
      </c>
      <c r="V3456">
        <v>1670.52</v>
      </c>
      <c r="W3456">
        <v>1670.52</v>
      </c>
      <c r="X3456">
        <v>0</v>
      </c>
      <c r="Y3456">
        <v>0</v>
      </c>
      <c r="Z3456">
        <v>-493</v>
      </c>
      <c r="AA3456">
        <v>1138</v>
      </c>
      <c r="AD3456" t="s">
        <v>64</v>
      </c>
      <c r="AE3456" t="s">
        <v>9216</v>
      </c>
      <c r="AF3456" t="s">
        <v>64</v>
      </c>
      <c r="AG3456" s="1" t="s">
        <v>9217</v>
      </c>
      <c r="AH3456" t="s">
        <v>44</v>
      </c>
    </row>
    <row r="3457" spans="1:34" x14ac:dyDescent="0.3">
      <c r="A3457">
        <v>101</v>
      </c>
      <c r="B3457" t="s">
        <v>34</v>
      </c>
      <c r="C3457">
        <v>2</v>
      </c>
      <c r="D3457" s="1" t="s">
        <v>9220</v>
      </c>
      <c r="E3457" s="1" t="s">
        <v>36</v>
      </c>
      <c r="G3457">
        <v>10011</v>
      </c>
      <c r="H3457" t="s">
        <v>9221</v>
      </c>
      <c r="I3457" t="s">
        <v>9200</v>
      </c>
      <c r="J3457">
        <v>12</v>
      </c>
      <c r="K3457">
        <v>3974</v>
      </c>
      <c r="L3457">
        <v>50033</v>
      </c>
      <c r="M3457" t="s">
        <v>39</v>
      </c>
      <c r="N3457">
        <v>681</v>
      </c>
      <c r="O3457" s="2">
        <v>46224</v>
      </c>
      <c r="P3457" s="2">
        <v>46274</v>
      </c>
      <c r="R3457" t="s">
        <v>9222</v>
      </c>
      <c r="S3457" t="str">
        <f>"0000050410237"</f>
        <v>0000050410237</v>
      </c>
      <c r="T3457" t="s">
        <v>41</v>
      </c>
      <c r="U3457">
        <v>1901.42</v>
      </c>
      <c r="V3457">
        <v>1711.28</v>
      </c>
      <c r="W3457">
        <v>1711.28</v>
      </c>
      <c r="X3457">
        <v>0</v>
      </c>
      <c r="Y3457">
        <v>0</v>
      </c>
      <c r="Z3457">
        <v>-499</v>
      </c>
      <c r="AA3457">
        <v>1328</v>
      </c>
      <c r="AD3457" t="s">
        <v>64</v>
      </c>
      <c r="AE3457" t="s">
        <v>9223</v>
      </c>
      <c r="AF3457" t="s">
        <v>64</v>
      </c>
      <c r="AG3457">
        <v>43559079000106</v>
      </c>
      <c r="AH3457" t="s">
        <v>44</v>
      </c>
    </row>
    <row r="3458" spans="1:34" x14ac:dyDescent="0.3">
      <c r="A3458">
        <v>101</v>
      </c>
      <c r="B3458" t="s">
        <v>34</v>
      </c>
      <c r="C3458">
        <v>2</v>
      </c>
      <c r="D3458" s="1" t="s">
        <v>9224</v>
      </c>
      <c r="E3458" s="1" t="s">
        <v>36</v>
      </c>
      <c r="G3458">
        <v>10011</v>
      </c>
      <c r="H3458" t="s">
        <v>9221</v>
      </c>
      <c r="I3458" t="s">
        <v>9200</v>
      </c>
      <c r="J3458">
        <v>12</v>
      </c>
      <c r="K3458">
        <v>3974</v>
      </c>
      <c r="L3458">
        <v>50033</v>
      </c>
      <c r="M3458" t="s">
        <v>39</v>
      </c>
      <c r="N3458">
        <v>681</v>
      </c>
      <c r="O3458" s="2">
        <v>46255</v>
      </c>
      <c r="P3458" s="2">
        <v>46305</v>
      </c>
      <c r="R3458" t="s">
        <v>9225</v>
      </c>
      <c r="S3458" t="str">
        <f>"0000050414747"</f>
        <v>0000050414747</v>
      </c>
      <c r="T3458" t="s">
        <v>41</v>
      </c>
      <c r="U3458">
        <v>4192.43</v>
      </c>
      <c r="V3458">
        <v>3773.19</v>
      </c>
      <c r="W3458">
        <v>3773.19</v>
      </c>
      <c r="X3458">
        <v>0</v>
      </c>
      <c r="Y3458">
        <v>0</v>
      </c>
      <c r="Z3458">
        <v>-530</v>
      </c>
      <c r="AA3458">
        <v>4841</v>
      </c>
      <c r="AD3458" t="s">
        <v>64</v>
      </c>
      <c r="AE3458" t="s">
        <v>9223</v>
      </c>
      <c r="AF3458" t="s">
        <v>64</v>
      </c>
      <c r="AG3458">
        <v>43559079000106</v>
      </c>
      <c r="AH3458" t="s">
        <v>44</v>
      </c>
    </row>
    <row r="3459" spans="1:34" x14ac:dyDescent="0.3">
      <c r="A3459">
        <v>101</v>
      </c>
      <c r="B3459" t="s">
        <v>34</v>
      </c>
      <c r="C3459">
        <v>2</v>
      </c>
      <c r="D3459" s="1" t="s">
        <v>9226</v>
      </c>
      <c r="E3459" s="1" t="s">
        <v>36</v>
      </c>
      <c r="G3459">
        <v>11829</v>
      </c>
      <c r="H3459" t="s">
        <v>9227</v>
      </c>
      <c r="I3459" t="s">
        <v>9228</v>
      </c>
      <c r="J3459">
        <v>12</v>
      </c>
      <c r="K3459">
        <v>3974</v>
      </c>
      <c r="L3459">
        <v>50001</v>
      </c>
      <c r="M3459" t="s">
        <v>39</v>
      </c>
      <c r="N3459">
        <v>681</v>
      </c>
      <c r="O3459" s="2">
        <v>46255</v>
      </c>
      <c r="P3459" s="2">
        <v>46300</v>
      </c>
      <c r="R3459" t="s">
        <v>9229</v>
      </c>
      <c r="S3459" t="str">
        <f>"25666160000052014"</f>
        <v>25666160000052014</v>
      </c>
      <c r="T3459" t="s">
        <v>41</v>
      </c>
      <c r="U3459">
        <v>3467.6</v>
      </c>
      <c r="V3459">
        <v>2892.84</v>
      </c>
      <c r="W3459">
        <v>2892.84</v>
      </c>
      <c r="X3459">
        <v>0</v>
      </c>
      <c r="Y3459">
        <v>0</v>
      </c>
      <c r="Z3459">
        <v>-525</v>
      </c>
      <c r="AA3459">
        <v>4840</v>
      </c>
      <c r="AD3459" t="s">
        <v>64</v>
      </c>
      <c r="AE3459" t="s">
        <v>9230</v>
      </c>
      <c r="AF3459" t="s">
        <v>64</v>
      </c>
      <c r="AG3459">
        <v>46951943000109</v>
      </c>
      <c r="AH3459" t="s">
        <v>44</v>
      </c>
    </row>
    <row r="3460" spans="1:34" x14ac:dyDescent="0.3">
      <c r="A3460">
        <v>101</v>
      </c>
      <c r="B3460" t="s">
        <v>34</v>
      </c>
      <c r="C3460">
        <v>2</v>
      </c>
      <c r="D3460" s="1" t="s">
        <v>9231</v>
      </c>
      <c r="E3460" s="1" t="s">
        <v>36</v>
      </c>
      <c r="G3460">
        <v>11829</v>
      </c>
      <c r="H3460" t="s">
        <v>9227</v>
      </c>
      <c r="I3460" t="s">
        <v>9228</v>
      </c>
      <c r="J3460">
        <v>12</v>
      </c>
      <c r="K3460">
        <v>3974</v>
      </c>
      <c r="L3460">
        <v>50001</v>
      </c>
      <c r="M3460" t="s">
        <v>39</v>
      </c>
      <c r="N3460">
        <v>681</v>
      </c>
      <c r="O3460" s="2">
        <v>46224</v>
      </c>
      <c r="P3460" s="2">
        <v>46269</v>
      </c>
      <c r="R3460" t="s">
        <v>9232</v>
      </c>
      <c r="S3460" t="str">
        <f>"25666160000051508"</f>
        <v>25666160000051508</v>
      </c>
      <c r="T3460" t="s">
        <v>41</v>
      </c>
      <c r="U3460">
        <v>1986.68</v>
      </c>
      <c r="V3460">
        <v>1728.01</v>
      </c>
      <c r="W3460">
        <v>1728.01</v>
      </c>
      <c r="X3460">
        <v>0</v>
      </c>
      <c r="Y3460">
        <v>0</v>
      </c>
      <c r="Z3460">
        <v>-494</v>
      </c>
      <c r="AA3460">
        <v>1330</v>
      </c>
      <c r="AD3460" t="s">
        <v>64</v>
      </c>
      <c r="AE3460" t="s">
        <v>9230</v>
      </c>
      <c r="AF3460" t="s">
        <v>64</v>
      </c>
      <c r="AG3460">
        <v>46951943000109</v>
      </c>
      <c r="AH3460" t="s">
        <v>44</v>
      </c>
    </row>
    <row r="3461" spans="1:34" x14ac:dyDescent="0.3">
      <c r="A3461">
        <v>101</v>
      </c>
      <c r="B3461" t="s">
        <v>34</v>
      </c>
      <c r="C3461">
        <v>2</v>
      </c>
      <c r="D3461" s="1" t="s">
        <v>9233</v>
      </c>
      <c r="E3461" s="1" t="s">
        <v>36</v>
      </c>
      <c r="G3461">
        <v>453550</v>
      </c>
      <c r="H3461" t="s">
        <v>9234</v>
      </c>
      <c r="I3461" t="s">
        <v>9214</v>
      </c>
      <c r="J3461">
        <v>12</v>
      </c>
      <c r="K3461">
        <v>9613</v>
      </c>
      <c r="L3461">
        <v>50033</v>
      </c>
      <c r="M3461" t="s">
        <v>39</v>
      </c>
      <c r="N3461">
        <v>681</v>
      </c>
      <c r="O3461" s="2">
        <v>46218</v>
      </c>
      <c r="P3461" s="2">
        <v>46268</v>
      </c>
      <c r="R3461" t="s">
        <v>9235</v>
      </c>
      <c r="S3461" t="str">
        <f>"0000050410091"</f>
        <v>0000050410091</v>
      </c>
      <c r="T3461" t="s">
        <v>41</v>
      </c>
      <c r="U3461">
        <v>2099.61</v>
      </c>
      <c r="V3461">
        <v>1889.65</v>
      </c>
      <c r="W3461">
        <v>1889.65</v>
      </c>
      <c r="X3461">
        <v>0</v>
      </c>
      <c r="Y3461">
        <v>0</v>
      </c>
      <c r="Z3461">
        <v>-493</v>
      </c>
      <c r="AA3461">
        <v>1145</v>
      </c>
      <c r="AD3461" t="s">
        <v>64</v>
      </c>
      <c r="AE3461" t="s">
        <v>9216</v>
      </c>
      <c r="AF3461" t="s">
        <v>64</v>
      </c>
      <c r="AG3461" s="1" t="s">
        <v>9236</v>
      </c>
      <c r="AH3461" t="s">
        <v>44</v>
      </c>
    </row>
    <row r="3462" spans="1:34" x14ac:dyDescent="0.3">
      <c r="A3462">
        <v>101</v>
      </c>
      <c r="B3462" t="s">
        <v>34</v>
      </c>
      <c r="C3462">
        <v>2</v>
      </c>
      <c r="D3462" s="1" t="s">
        <v>9237</v>
      </c>
      <c r="E3462" s="1" t="s">
        <v>36</v>
      </c>
      <c r="G3462">
        <v>453550</v>
      </c>
      <c r="H3462" t="s">
        <v>9234</v>
      </c>
      <c r="I3462" t="s">
        <v>9214</v>
      </c>
      <c r="J3462">
        <v>12</v>
      </c>
      <c r="K3462">
        <v>9613</v>
      </c>
      <c r="L3462">
        <v>50033</v>
      </c>
      <c r="M3462" t="s">
        <v>39</v>
      </c>
      <c r="N3462">
        <v>681</v>
      </c>
      <c r="O3462" s="2">
        <v>46235</v>
      </c>
      <c r="P3462" s="2">
        <v>46285</v>
      </c>
      <c r="R3462" t="s">
        <v>9238</v>
      </c>
      <c r="S3462" t="str">
        <f>"0000050412108"</f>
        <v>0000050412108</v>
      </c>
      <c r="T3462" t="s">
        <v>41</v>
      </c>
      <c r="U3462">
        <v>1746.25</v>
      </c>
      <c r="V3462">
        <v>1571.63</v>
      </c>
      <c r="W3462">
        <v>1571.63</v>
      </c>
      <c r="X3462">
        <v>0</v>
      </c>
      <c r="Y3462">
        <v>0</v>
      </c>
      <c r="Z3462">
        <v>-510</v>
      </c>
      <c r="AA3462">
        <v>1686</v>
      </c>
      <c r="AD3462" t="s">
        <v>64</v>
      </c>
      <c r="AE3462" t="s">
        <v>9216</v>
      </c>
      <c r="AF3462" t="s">
        <v>64</v>
      </c>
      <c r="AG3462" s="1" t="s">
        <v>9236</v>
      </c>
      <c r="AH3462" t="s">
        <v>44</v>
      </c>
    </row>
    <row r="3463" spans="1:34" x14ac:dyDescent="0.3">
      <c r="A3463">
        <v>101</v>
      </c>
      <c r="B3463" t="s">
        <v>34</v>
      </c>
      <c r="C3463">
        <v>2</v>
      </c>
      <c r="D3463" s="1" t="s">
        <v>9239</v>
      </c>
      <c r="E3463" s="1" t="s">
        <v>36</v>
      </c>
      <c r="G3463">
        <v>468623</v>
      </c>
      <c r="H3463" t="s">
        <v>9240</v>
      </c>
      <c r="I3463" t="s">
        <v>9241</v>
      </c>
      <c r="J3463">
        <v>12</v>
      </c>
      <c r="K3463">
        <v>468623</v>
      </c>
      <c r="L3463">
        <v>50237</v>
      </c>
      <c r="M3463" t="s">
        <v>39</v>
      </c>
      <c r="N3463">
        <v>681</v>
      </c>
      <c r="O3463" s="2">
        <v>46251</v>
      </c>
      <c r="P3463" s="2">
        <v>46279</v>
      </c>
      <c r="R3463" t="s">
        <v>9242</v>
      </c>
      <c r="S3463" t="str">
        <f>"330000052259"</f>
        <v>330000052259</v>
      </c>
      <c r="T3463" t="s">
        <v>41</v>
      </c>
      <c r="U3463">
        <v>3206.92</v>
      </c>
      <c r="V3463">
        <v>3206.92</v>
      </c>
      <c r="W3463">
        <v>3206.92</v>
      </c>
      <c r="X3463">
        <v>0</v>
      </c>
      <c r="Y3463">
        <v>0</v>
      </c>
      <c r="Z3463">
        <v>-504</v>
      </c>
      <c r="AA3463">
        <v>4746</v>
      </c>
      <c r="AD3463" t="s">
        <v>7680</v>
      </c>
      <c r="AE3463" t="s">
        <v>9243</v>
      </c>
      <c r="AF3463" t="s">
        <v>7680</v>
      </c>
      <c r="AG3463">
        <v>19895037000153</v>
      </c>
      <c r="AH3463" t="s">
        <v>44</v>
      </c>
    </row>
    <row r="3464" spans="1:34" x14ac:dyDescent="0.3">
      <c r="A3464">
        <v>101</v>
      </c>
      <c r="B3464" t="s">
        <v>34</v>
      </c>
      <c r="C3464">
        <v>2</v>
      </c>
      <c r="D3464" s="1" t="s">
        <v>9244</v>
      </c>
      <c r="E3464" s="1" t="s">
        <v>36</v>
      </c>
      <c r="G3464">
        <v>470049</v>
      </c>
      <c r="H3464" t="s">
        <v>9245</v>
      </c>
      <c r="I3464" t="s">
        <v>9246</v>
      </c>
      <c r="J3464">
        <v>12</v>
      </c>
      <c r="K3464">
        <v>9613</v>
      </c>
      <c r="L3464">
        <v>50033</v>
      </c>
      <c r="M3464" t="s">
        <v>39</v>
      </c>
      <c r="N3464">
        <v>681</v>
      </c>
      <c r="O3464" s="2">
        <v>46235</v>
      </c>
      <c r="P3464" s="2">
        <v>46285</v>
      </c>
      <c r="R3464" t="s">
        <v>9247</v>
      </c>
      <c r="S3464" t="str">
        <f>"0000050412175"</f>
        <v>0000050412175</v>
      </c>
      <c r="T3464" t="s">
        <v>41</v>
      </c>
      <c r="U3464">
        <v>1802.67</v>
      </c>
      <c r="V3464">
        <v>1622.4</v>
      </c>
      <c r="W3464">
        <v>1622.4</v>
      </c>
      <c r="X3464">
        <v>0</v>
      </c>
      <c r="Y3464">
        <v>0</v>
      </c>
      <c r="Z3464">
        <v>-510</v>
      </c>
      <c r="AA3464">
        <v>1685</v>
      </c>
      <c r="AD3464" t="s">
        <v>64</v>
      </c>
      <c r="AE3464" t="s">
        <v>9248</v>
      </c>
      <c r="AF3464" t="s">
        <v>64</v>
      </c>
      <c r="AG3464" s="1" t="s">
        <v>9249</v>
      </c>
      <c r="AH3464" t="s">
        <v>44</v>
      </c>
    </row>
    <row r="3465" spans="1:34" x14ac:dyDescent="0.3">
      <c r="A3465">
        <v>101</v>
      </c>
      <c r="B3465" t="s">
        <v>34</v>
      </c>
      <c r="C3465">
        <v>2</v>
      </c>
      <c r="D3465" s="1" t="s">
        <v>9250</v>
      </c>
      <c r="E3465" s="1" t="s">
        <v>36</v>
      </c>
      <c r="G3465">
        <v>470490</v>
      </c>
      <c r="H3465" t="s">
        <v>9251</v>
      </c>
      <c r="I3465" t="s">
        <v>9252</v>
      </c>
      <c r="J3465">
        <v>12</v>
      </c>
      <c r="K3465">
        <v>470490</v>
      </c>
      <c r="L3465">
        <v>50001</v>
      </c>
      <c r="M3465" t="s">
        <v>39</v>
      </c>
      <c r="N3465">
        <v>681</v>
      </c>
      <c r="O3465" s="2">
        <v>46245</v>
      </c>
      <c r="P3465" s="2">
        <v>46273</v>
      </c>
      <c r="R3465" t="s">
        <v>9253</v>
      </c>
      <c r="S3465" t="str">
        <f>"25666160000051841"</f>
        <v>25666160000051841</v>
      </c>
      <c r="T3465" t="s">
        <v>41</v>
      </c>
      <c r="U3465">
        <v>3808.77</v>
      </c>
      <c r="V3465">
        <v>3808.77</v>
      </c>
      <c r="W3465">
        <v>3808.77</v>
      </c>
      <c r="X3465">
        <v>0</v>
      </c>
      <c r="Y3465">
        <v>0</v>
      </c>
      <c r="Z3465">
        <v>-498</v>
      </c>
      <c r="AA3465">
        <v>4487</v>
      </c>
      <c r="AD3465" t="s">
        <v>64</v>
      </c>
      <c r="AE3465" t="s">
        <v>9254</v>
      </c>
      <c r="AF3465" t="s">
        <v>64</v>
      </c>
      <c r="AG3465">
        <v>28682143000140</v>
      </c>
      <c r="AH3465" t="s">
        <v>44</v>
      </c>
    </row>
    <row r="3466" spans="1:34" x14ac:dyDescent="0.3">
      <c r="A3466">
        <v>101</v>
      </c>
      <c r="B3466" t="s">
        <v>34</v>
      </c>
      <c r="C3466">
        <v>2</v>
      </c>
      <c r="D3466" s="1" t="s">
        <v>9255</v>
      </c>
      <c r="E3466" s="1" t="s">
        <v>36</v>
      </c>
      <c r="G3466">
        <v>470747</v>
      </c>
      <c r="H3466" t="s">
        <v>9256</v>
      </c>
      <c r="I3466" t="s">
        <v>9257</v>
      </c>
      <c r="J3466">
        <v>12</v>
      </c>
      <c r="K3466">
        <v>470747</v>
      </c>
      <c r="L3466">
        <v>50001</v>
      </c>
      <c r="M3466" t="s">
        <v>39</v>
      </c>
      <c r="N3466">
        <v>681</v>
      </c>
      <c r="O3466" s="2">
        <v>46169</v>
      </c>
      <c r="P3466" s="2">
        <v>46197</v>
      </c>
      <c r="R3466" t="s">
        <v>9258</v>
      </c>
      <c r="S3466" t="str">
        <f>"25666160000050758"</f>
        <v>25666160000050758</v>
      </c>
      <c r="T3466" t="s">
        <v>41</v>
      </c>
      <c r="U3466">
        <v>5259.69</v>
      </c>
      <c r="V3466">
        <v>5259.69</v>
      </c>
      <c r="W3466">
        <v>5259.69</v>
      </c>
      <c r="X3466">
        <v>0</v>
      </c>
      <c r="Y3466">
        <v>0</v>
      </c>
      <c r="Z3466">
        <v>-422</v>
      </c>
      <c r="AA3466">
        <v>689090</v>
      </c>
      <c r="AD3466" t="s">
        <v>8471</v>
      </c>
      <c r="AE3466" t="s">
        <v>9259</v>
      </c>
      <c r="AF3466" t="s">
        <v>8471</v>
      </c>
      <c r="AG3466">
        <v>14717671000182</v>
      </c>
      <c r="AH3466" t="s">
        <v>44</v>
      </c>
    </row>
    <row r="3467" spans="1:34" x14ac:dyDescent="0.3">
      <c r="A3467">
        <v>101</v>
      </c>
      <c r="B3467" t="s">
        <v>34</v>
      </c>
      <c r="C3467">
        <v>2</v>
      </c>
      <c r="D3467" s="1" t="s">
        <v>9260</v>
      </c>
      <c r="E3467" s="1" t="s">
        <v>36</v>
      </c>
      <c r="G3467">
        <v>223</v>
      </c>
      <c r="H3467" t="s">
        <v>9261</v>
      </c>
      <c r="I3467" t="s">
        <v>9262</v>
      </c>
      <c r="J3467">
        <v>26</v>
      </c>
      <c r="K3467">
        <v>1218</v>
      </c>
      <c r="L3467">
        <v>50033</v>
      </c>
      <c r="M3467" t="s">
        <v>39</v>
      </c>
      <c r="N3467">
        <v>689</v>
      </c>
      <c r="O3467" s="2">
        <v>46240</v>
      </c>
      <c r="P3467" s="2">
        <v>46275</v>
      </c>
      <c r="R3467" t="s">
        <v>9263</v>
      </c>
      <c r="S3467" t="str">
        <f>"0000050412744"</f>
        <v>0000050412744</v>
      </c>
      <c r="T3467" t="s">
        <v>41</v>
      </c>
      <c r="U3467">
        <v>1412.18</v>
      </c>
      <c r="V3467">
        <v>1412.18</v>
      </c>
      <c r="W3467">
        <v>1412.18</v>
      </c>
      <c r="X3467">
        <v>0</v>
      </c>
      <c r="Y3467">
        <v>0</v>
      </c>
      <c r="Z3467">
        <v>-500</v>
      </c>
      <c r="AA3467">
        <v>4262</v>
      </c>
      <c r="AD3467" t="s">
        <v>42</v>
      </c>
      <c r="AE3467" t="s">
        <v>9264</v>
      </c>
      <c r="AF3467" t="s">
        <v>42</v>
      </c>
      <c r="AG3467">
        <v>50306190000571</v>
      </c>
      <c r="AH3467" t="s">
        <v>44</v>
      </c>
    </row>
    <row r="3468" spans="1:34" x14ac:dyDescent="0.3">
      <c r="A3468">
        <v>101</v>
      </c>
      <c r="B3468" t="s">
        <v>34</v>
      </c>
      <c r="C3468">
        <v>2</v>
      </c>
      <c r="D3468" s="1" t="s">
        <v>9260</v>
      </c>
      <c r="E3468" s="1" t="s">
        <v>122</v>
      </c>
      <c r="G3468">
        <v>223</v>
      </c>
      <c r="H3468" t="s">
        <v>9261</v>
      </c>
      <c r="I3468" t="s">
        <v>9262</v>
      </c>
      <c r="J3468">
        <v>26</v>
      </c>
      <c r="K3468">
        <v>1218</v>
      </c>
      <c r="L3468">
        <v>50033</v>
      </c>
      <c r="M3468" t="s">
        <v>39</v>
      </c>
      <c r="N3468">
        <v>689</v>
      </c>
      <c r="O3468" s="2">
        <v>46240</v>
      </c>
      <c r="P3468" s="2">
        <v>46285</v>
      </c>
      <c r="R3468" t="s">
        <v>9263</v>
      </c>
      <c r="S3468" t="str">
        <f>"0000050412752"</f>
        <v>0000050412752</v>
      </c>
      <c r="T3468" t="s">
        <v>41</v>
      </c>
      <c r="U3468">
        <v>1355.71</v>
      </c>
      <c r="V3468">
        <v>1355.71</v>
      </c>
      <c r="W3468">
        <v>1355.71</v>
      </c>
      <c r="X3468">
        <v>0</v>
      </c>
      <c r="Y3468">
        <v>0</v>
      </c>
      <c r="Z3468">
        <v>-510</v>
      </c>
      <c r="AA3468">
        <v>4262</v>
      </c>
      <c r="AD3468" t="s">
        <v>42</v>
      </c>
      <c r="AE3468" t="s">
        <v>9264</v>
      </c>
      <c r="AF3468" t="s">
        <v>42</v>
      </c>
      <c r="AG3468">
        <v>50306190000571</v>
      </c>
      <c r="AH3468" t="s">
        <v>44</v>
      </c>
    </row>
    <row r="3469" spans="1:34" x14ac:dyDescent="0.3">
      <c r="A3469">
        <v>101</v>
      </c>
      <c r="B3469" t="s">
        <v>34</v>
      </c>
      <c r="C3469">
        <v>2</v>
      </c>
      <c r="D3469" s="1" t="s">
        <v>9265</v>
      </c>
      <c r="E3469" s="1" t="s">
        <v>122</v>
      </c>
      <c r="G3469">
        <v>223</v>
      </c>
      <c r="H3469" t="s">
        <v>9261</v>
      </c>
      <c r="I3469" t="s">
        <v>9262</v>
      </c>
      <c r="J3469">
        <v>26</v>
      </c>
      <c r="K3469">
        <v>1218</v>
      </c>
      <c r="L3469">
        <v>50033</v>
      </c>
      <c r="M3469" t="s">
        <v>39</v>
      </c>
      <c r="N3469">
        <v>689</v>
      </c>
      <c r="O3469" s="2">
        <v>46216</v>
      </c>
      <c r="P3469" s="2">
        <v>46261</v>
      </c>
      <c r="R3469" t="s">
        <v>9266</v>
      </c>
      <c r="S3469" t="str">
        <f>"0000050409557"</f>
        <v>0000050409557</v>
      </c>
      <c r="T3469" t="s">
        <v>41</v>
      </c>
      <c r="U3469">
        <v>455.56</v>
      </c>
      <c r="V3469">
        <v>455.56</v>
      </c>
      <c r="W3469">
        <v>455.56</v>
      </c>
      <c r="X3469">
        <v>0</v>
      </c>
      <c r="Y3469">
        <v>0</v>
      </c>
      <c r="Z3469">
        <v>-486</v>
      </c>
      <c r="AA3469">
        <v>693763</v>
      </c>
      <c r="AD3469" t="s">
        <v>42</v>
      </c>
      <c r="AE3469" t="s">
        <v>9264</v>
      </c>
      <c r="AF3469" t="s">
        <v>42</v>
      </c>
      <c r="AG3469">
        <v>50306190000571</v>
      </c>
      <c r="AH3469" t="s">
        <v>44</v>
      </c>
    </row>
    <row r="3470" spans="1:34" x14ac:dyDescent="0.3">
      <c r="A3470">
        <v>101</v>
      </c>
      <c r="B3470" t="s">
        <v>34</v>
      </c>
      <c r="C3470">
        <v>2</v>
      </c>
      <c r="D3470" s="1" t="s">
        <v>9267</v>
      </c>
      <c r="E3470" s="1" t="s">
        <v>122</v>
      </c>
      <c r="G3470">
        <v>223</v>
      </c>
      <c r="H3470" t="s">
        <v>9261</v>
      </c>
      <c r="I3470" t="s">
        <v>9262</v>
      </c>
      <c r="J3470">
        <v>26</v>
      </c>
      <c r="K3470">
        <v>1218</v>
      </c>
      <c r="L3470">
        <v>50033</v>
      </c>
      <c r="M3470" t="s">
        <v>39</v>
      </c>
      <c r="N3470">
        <v>689</v>
      </c>
      <c r="O3470" s="2">
        <v>46216</v>
      </c>
      <c r="P3470" s="2">
        <v>46261</v>
      </c>
      <c r="R3470" t="s">
        <v>9268</v>
      </c>
      <c r="S3470" t="str">
        <f>"0000050409573"</f>
        <v>0000050409573</v>
      </c>
      <c r="T3470" t="s">
        <v>41</v>
      </c>
      <c r="U3470">
        <v>1186.1199999999999</v>
      </c>
      <c r="V3470">
        <v>1186.1199999999999</v>
      </c>
      <c r="W3470">
        <v>1186.1199999999999</v>
      </c>
      <c r="X3470">
        <v>0</v>
      </c>
      <c r="Y3470">
        <v>0</v>
      </c>
      <c r="Z3470">
        <v>-486</v>
      </c>
      <c r="AA3470">
        <v>693773</v>
      </c>
      <c r="AD3470" t="s">
        <v>42</v>
      </c>
      <c r="AE3470" t="s">
        <v>9264</v>
      </c>
      <c r="AF3470" t="s">
        <v>42</v>
      </c>
      <c r="AG3470">
        <v>50306190000571</v>
      </c>
      <c r="AH3470" t="s">
        <v>44</v>
      </c>
    </row>
    <row r="3471" spans="1:34" x14ac:dyDescent="0.3">
      <c r="A3471">
        <v>101</v>
      </c>
      <c r="B3471" t="s">
        <v>34</v>
      </c>
      <c r="C3471">
        <v>2</v>
      </c>
      <c r="D3471" s="1" t="s">
        <v>9269</v>
      </c>
      <c r="E3471" s="1" t="s">
        <v>122</v>
      </c>
      <c r="G3471">
        <v>1219</v>
      </c>
      <c r="H3471" t="s">
        <v>9270</v>
      </c>
      <c r="I3471" t="s">
        <v>9262</v>
      </c>
      <c r="J3471">
        <v>26</v>
      </c>
      <c r="K3471">
        <v>1218</v>
      </c>
      <c r="L3471">
        <v>50033</v>
      </c>
      <c r="M3471" t="s">
        <v>39</v>
      </c>
      <c r="N3471">
        <v>689</v>
      </c>
      <c r="O3471" s="2">
        <v>46216</v>
      </c>
      <c r="P3471" s="2">
        <v>46261</v>
      </c>
      <c r="R3471" t="s">
        <v>9271</v>
      </c>
      <c r="S3471" t="str">
        <f>"0000050409611"</f>
        <v>0000050409611</v>
      </c>
      <c r="T3471" t="s">
        <v>41</v>
      </c>
      <c r="U3471">
        <v>978.87</v>
      </c>
      <c r="V3471">
        <v>978.87</v>
      </c>
      <c r="W3471">
        <v>978.87</v>
      </c>
      <c r="X3471">
        <v>0</v>
      </c>
      <c r="Y3471">
        <v>0</v>
      </c>
      <c r="Z3471">
        <v>-486</v>
      </c>
      <c r="AA3471">
        <v>693750</v>
      </c>
      <c r="AD3471" t="s">
        <v>42</v>
      </c>
      <c r="AE3471" t="s">
        <v>9272</v>
      </c>
      <c r="AF3471" t="s">
        <v>42</v>
      </c>
      <c r="AG3471">
        <v>50306190000148</v>
      </c>
      <c r="AH3471" t="s">
        <v>44</v>
      </c>
    </row>
    <row r="3472" spans="1:34" x14ac:dyDescent="0.3">
      <c r="A3472">
        <v>101</v>
      </c>
      <c r="B3472" t="s">
        <v>34</v>
      </c>
      <c r="C3472">
        <v>2</v>
      </c>
      <c r="D3472" s="1" t="s">
        <v>9273</v>
      </c>
      <c r="E3472" s="1" t="s">
        <v>122</v>
      </c>
      <c r="G3472">
        <v>1219</v>
      </c>
      <c r="H3472" t="s">
        <v>9270</v>
      </c>
      <c r="I3472" t="s">
        <v>9262</v>
      </c>
      <c r="J3472">
        <v>26</v>
      </c>
      <c r="K3472">
        <v>1218</v>
      </c>
      <c r="L3472">
        <v>50033</v>
      </c>
      <c r="M3472" t="s">
        <v>39</v>
      </c>
      <c r="N3472">
        <v>689</v>
      </c>
      <c r="O3472" s="2">
        <v>46216</v>
      </c>
      <c r="P3472" s="2">
        <v>46261</v>
      </c>
      <c r="R3472" t="s">
        <v>9274</v>
      </c>
      <c r="S3472" t="str">
        <f>"0000050409590"</f>
        <v>0000050409590</v>
      </c>
      <c r="T3472" t="s">
        <v>41</v>
      </c>
      <c r="U3472">
        <v>512.41</v>
      </c>
      <c r="V3472">
        <v>512.41</v>
      </c>
      <c r="W3472">
        <v>512.41</v>
      </c>
      <c r="X3472">
        <v>0</v>
      </c>
      <c r="Y3472">
        <v>0</v>
      </c>
      <c r="Z3472">
        <v>-486</v>
      </c>
      <c r="AA3472">
        <v>693749</v>
      </c>
      <c r="AD3472" t="s">
        <v>42</v>
      </c>
      <c r="AE3472" t="s">
        <v>9272</v>
      </c>
      <c r="AF3472" t="s">
        <v>42</v>
      </c>
      <c r="AG3472">
        <v>50306190000148</v>
      </c>
      <c r="AH3472" t="s">
        <v>44</v>
      </c>
    </row>
    <row r="3473" spans="1:34" x14ac:dyDescent="0.3">
      <c r="A3473">
        <v>101</v>
      </c>
      <c r="B3473" t="s">
        <v>34</v>
      </c>
      <c r="C3473">
        <v>2</v>
      </c>
      <c r="D3473" s="1" t="s">
        <v>9275</v>
      </c>
      <c r="E3473" s="1" t="s">
        <v>122</v>
      </c>
      <c r="G3473">
        <v>1219</v>
      </c>
      <c r="H3473" t="s">
        <v>9270</v>
      </c>
      <c r="I3473" t="s">
        <v>9262</v>
      </c>
      <c r="J3473">
        <v>26</v>
      </c>
      <c r="K3473">
        <v>1218</v>
      </c>
      <c r="L3473">
        <v>50033</v>
      </c>
      <c r="M3473" t="s">
        <v>39</v>
      </c>
      <c r="N3473">
        <v>689</v>
      </c>
      <c r="O3473" s="2">
        <v>46245</v>
      </c>
      <c r="P3473" s="2">
        <v>46290</v>
      </c>
      <c r="R3473" t="s">
        <v>9276</v>
      </c>
      <c r="S3473" t="str">
        <f>"0000050413023"</f>
        <v>0000050413023</v>
      </c>
      <c r="T3473" t="s">
        <v>41</v>
      </c>
      <c r="U3473">
        <v>1144.75</v>
      </c>
      <c r="V3473">
        <v>1144.75</v>
      </c>
      <c r="W3473">
        <v>1144.75</v>
      </c>
      <c r="X3473">
        <v>0</v>
      </c>
      <c r="Y3473">
        <v>0</v>
      </c>
      <c r="Z3473">
        <v>-515</v>
      </c>
      <c r="AA3473">
        <v>4259</v>
      </c>
      <c r="AD3473" t="s">
        <v>42</v>
      </c>
      <c r="AE3473" t="s">
        <v>9272</v>
      </c>
      <c r="AF3473" t="s">
        <v>42</v>
      </c>
      <c r="AG3473">
        <v>50306190000148</v>
      </c>
      <c r="AH3473" t="s">
        <v>44</v>
      </c>
    </row>
    <row r="3474" spans="1:34" x14ac:dyDescent="0.3">
      <c r="A3474">
        <v>101</v>
      </c>
      <c r="B3474" t="s">
        <v>34</v>
      </c>
      <c r="C3474">
        <v>2</v>
      </c>
      <c r="D3474" s="1" t="s">
        <v>9275</v>
      </c>
      <c r="E3474" s="1" t="s">
        <v>36</v>
      </c>
      <c r="G3474">
        <v>1219</v>
      </c>
      <c r="H3474" t="s">
        <v>9270</v>
      </c>
      <c r="I3474" t="s">
        <v>9262</v>
      </c>
      <c r="J3474">
        <v>26</v>
      </c>
      <c r="K3474">
        <v>1218</v>
      </c>
      <c r="L3474">
        <v>50033</v>
      </c>
      <c r="M3474" t="s">
        <v>39</v>
      </c>
      <c r="N3474">
        <v>689</v>
      </c>
      <c r="O3474" s="2">
        <v>46245</v>
      </c>
      <c r="P3474" s="2">
        <v>46280</v>
      </c>
      <c r="R3474" t="s">
        <v>9276</v>
      </c>
      <c r="S3474" t="str">
        <f>"0000050413015"</f>
        <v>0000050413015</v>
      </c>
      <c r="T3474" t="s">
        <v>41</v>
      </c>
      <c r="U3474">
        <v>1208.23</v>
      </c>
      <c r="V3474">
        <v>1208.23</v>
      </c>
      <c r="W3474">
        <v>1208.23</v>
      </c>
      <c r="X3474">
        <v>0</v>
      </c>
      <c r="Y3474">
        <v>0</v>
      </c>
      <c r="Z3474">
        <v>-505</v>
      </c>
      <c r="AA3474">
        <v>4259</v>
      </c>
      <c r="AD3474" t="s">
        <v>42</v>
      </c>
      <c r="AE3474" t="s">
        <v>9272</v>
      </c>
      <c r="AF3474" t="s">
        <v>42</v>
      </c>
      <c r="AG3474">
        <v>50306190000148</v>
      </c>
      <c r="AH3474" t="s">
        <v>44</v>
      </c>
    </row>
    <row r="3475" spans="1:34" x14ac:dyDescent="0.3">
      <c r="A3475">
        <v>101</v>
      </c>
      <c r="B3475" t="s">
        <v>34</v>
      </c>
      <c r="C3475">
        <v>2</v>
      </c>
      <c r="D3475" s="1" t="s">
        <v>9277</v>
      </c>
      <c r="E3475" s="1" t="s">
        <v>122</v>
      </c>
      <c r="G3475">
        <v>2152</v>
      </c>
      <c r="H3475" t="s">
        <v>9278</v>
      </c>
      <c r="I3475" t="s">
        <v>9262</v>
      </c>
      <c r="J3475">
        <v>26</v>
      </c>
      <c r="K3475">
        <v>1218</v>
      </c>
      <c r="L3475">
        <v>50033</v>
      </c>
      <c r="M3475" t="s">
        <v>39</v>
      </c>
      <c r="N3475">
        <v>689</v>
      </c>
      <c r="O3475" s="2">
        <v>46245</v>
      </c>
      <c r="P3475" s="2">
        <v>46290</v>
      </c>
      <c r="R3475" t="s">
        <v>9279</v>
      </c>
      <c r="S3475" t="str">
        <f>"0000050413040"</f>
        <v>0000050413040</v>
      </c>
      <c r="T3475" t="s">
        <v>41</v>
      </c>
      <c r="U3475">
        <v>988.08</v>
      </c>
      <c r="V3475">
        <v>988.08</v>
      </c>
      <c r="W3475">
        <v>988.08</v>
      </c>
      <c r="X3475">
        <v>0</v>
      </c>
      <c r="Y3475">
        <v>0</v>
      </c>
      <c r="Z3475">
        <v>-515</v>
      </c>
      <c r="AA3475">
        <v>4261</v>
      </c>
      <c r="AD3475" t="s">
        <v>42</v>
      </c>
      <c r="AE3475" t="s">
        <v>9280</v>
      </c>
      <c r="AF3475" t="s">
        <v>42</v>
      </c>
      <c r="AG3475">
        <v>50306190000733</v>
      </c>
      <c r="AH3475" t="s">
        <v>44</v>
      </c>
    </row>
    <row r="3476" spans="1:34" x14ac:dyDescent="0.3">
      <c r="A3476">
        <v>101</v>
      </c>
      <c r="B3476" t="s">
        <v>34</v>
      </c>
      <c r="C3476">
        <v>2</v>
      </c>
      <c r="D3476" s="1" t="s">
        <v>9277</v>
      </c>
      <c r="E3476" s="1" t="s">
        <v>36</v>
      </c>
      <c r="G3476">
        <v>2152</v>
      </c>
      <c r="H3476" t="s">
        <v>9278</v>
      </c>
      <c r="I3476" t="s">
        <v>9262</v>
      </c>
      <c r="J3476">
        <v>26</v>
      </c>
      <c r="K3476">
        <v>1218</v>
      </c>
      <c r="L3476">
        <v>50033</v>
      </c>
      <c r="M3476" t="s">
        <v>39</v>
      </c>
      <c r="N3476">
        <v>689</v>
      </c>
      <c r="O3476" s="2">
        <v>46245</v>
      </c>
      <c r="P3476" s="2">
        <v>46280</v>
      </c>
      <c r="R3476" t="s">
        <v>9279</v>
      </c>
      <c r="S3476" t="str">
        <f>"0000050413031"</f>
        <v>0000050413031</v>
      </c>
      <c r="T3476" t="s">
        <v>41</v>
      </c>
      <c r="U3476">
        <v>1037.3900000000001</v>
      </c>
      <c r="V3476">
        <v>1037.3900000000001</v>
      </c>
      <c r="W3476">
        <v>1037.3900000000001</v>
      </c>
      <c r="X3476">
        <v>0</v>
      </c>
      <c r="Y3476">
        <v>0</v>
      </c>
      <c r="Z3476">
        <v>-505</v>
      </c>
      <c r="AA3476">
        <v>4261</v>
      </c>
      <c r="AD3476" t="s">
        <v>42</v>
      </c>
      <c r="AE3476" t="s">
        <v>9280</v>
      </c>
      <c r="AF3476" t="s">
        <v>42</v>
      </c>
      <c r="AG3476">
        <v>50306190000733</v>
      </c>
      <c r="AH3476" t="s">
        <v>44</v>
      </c>
    </row>
    <row r="3477" spans="1:34" x14ac:dyDescent="0.3">
      <c r="A3477">
        <v>101</v>
      </c>
      <c r="B3477" t="s">
        <v>34</v>
      </c>
      <c r="C3477">
        <v>2</v>
      </c>
      <c r="D3477" s="1" t="s">
        <v>9281</v>
      </c>
      <c r="E3477" s="1" t="s">
        <v>122</v>
      </c>
      <c r="G3477">
        <v>2152</v>
      </c>
      <c r="H3477" t="s">
        <v>9278</v>
      </c>
      <c r="I3477" t="s">
        <v>9262</v>
      </c>
      <c r="J3477">
        <v>26</v>
      </c>
      <c r="K3477">
        <v>1218</v>
      </c>
      <c r="L3477">
        <v>50033</v>
      </c>
      <c r="M3477" t="s">
        <v>39</v>
      </c>
      <c r="N3477">
        <v>689</v>
      </c>
      <c r="O3477" s="2">
        <v>46216</v>
      </c>
      <c r="P3477" s="2">
        <v>46261</v>
      </c>
      <c r="R3477" t="s">
        <v>9282</v>
      </c>
      <c r="S3477" t="str">
        <f>"0000050409654"</f>
        <v>0000050409654</v>
      </c>
      <c r="T3477" t="s">
        <v>41</v>
      </c>
      <c r="U3477">
        <v>421.31</v>
      </c>
      <c r="V3477">
        <v>421.31</v>
      </c>
      <c r="W3477">
        <v>421.31</v>
      </c>
      <c r="X3477">
        <v>0</v>
      </c>
      <c r="Y3477">
        <v>0</v>
      </c>
      <c r="Z3477">
        <v>-486</v>
      </c>
      <c r="AA3477">
        <v>693762</v>
      </c>
      <c r="AD3477" t="s">
        <v>42</v>
      </c>
      <c r="AE3477" t="s">
        <v>9280</v>
      </c>
      <c r="AF3477" t="s">
        <v>42</v>
      </c>
      <c r="AG3477">
        <v>50306190000733</v>
      </c>
      <c r="AH3477" t="s">
        <v>44</v>
      </c>
    </row>
    <row r="3478" spans="1:34" x14ac:dyDescent="0.3">
      <c r="A3478">
        <v>101</v>
      </c>
      <c r="B3478" t="s">
        <v>34</v>
      </c>
      <c r="C3478">
        <v>2</v>
      </c>
      <c r="D3478" s="1" t="s">
        <v>9283</v>
      </c>
      <c r="E3478" s="1" t="s">
        <v>122</v>
      </c>
      <c r="G3478">
        <v>2152</v>
      </c>
      <c r="H3478" t="s">
        <v>9278</v>
      </c>
      <c r="I3478" t="s">
        <v>9262</v>
      </c>
      <c r="J3478">
        <v>26</v>
      </c>
      <c r="K3478">
        <v>1218</v>
      </c>
      <c r="L3478">
        <v>50033</v>
      </c>
      <c r="M3478" t="s">
        <v>39</v>
      </c>
      <c r="N3478">
        <v>689</v>
      </c>
      <c r="O3478" s="2">
        <v>46216</v>
      </c>
      <c r="P3478" s="2">
        <v>46261</v>
      </c>
      <c r="R3478" t="s">
        <v>9284</v>
      </c>
      <c r="S3478" t="str">
        <f>"0000050409638"</f>
        <v>0000050409638</v>
      </c>
      <c r="T3478" t="s">
        <v>41</v>
      </c>
      <c r="U3478">
        <v>1201.1600000000001</v>
      </c>
      <c r="V3478">
        <v>1201.1600000000001</v>
      </c>
      <c r="W3478">
        <v>1201.1600000000001</v>
      </c>
      <c r="X3478">
        <v>0</v>
      </c>
      <c r="Y3478">
        <v>0</v>
      </c>
      <c r="Z3478">
        <v>-486</v>
      </c>
      <c r="AA3478">
        <v>693761</v>
      </c>
      <c r="AD3478" t="s">
        <v>42</v>
      </c>
      <c r="AE3478" t="s">
        <v>9280</v>
      </c>
      <c r="AF3478" t="s">
        <v>42</v>
      </c>
      <c r="AG3478">
        <v>50306190000733</v>
      </c>
      <c r="AH3478" t="s">
        <v>44</v>
      </c>
    </row>
    <row r="3479" spans="1:34" x14ac:dyDescent="0.3">
      <c r="A3479">
        <v>101</v>
      </c>
      <c r="B3479" t="s">
        <v>34</v>
      </c>
      <c r="C3479">
        <v>2</v>
      </c>
      <c r="D3479" s="1" t="s">
        <v>9285</v>
      </c>
      <c r="E3479" s="1" t="s">
        <v>116</v>
      </c>
      <c r="G3479">
        <v>439763</v>
      </c>
      <c r="H3479" t="s">
        <v>9286</v>
      </c>
      <c r="I3479" t="s">
        <v>9287</v>
      </c>
      <c r="J3479">
        <v>26</v>
      </c>
      <c r="K3479">
        <v>12767</v>
      </c>
      <c r="L3479">
        <v>50033</v>
      </c>
      <c r="M3479" t="s">
        <v>39</v>
      </c>
      <c r="N3479">
        <v>689</v>
      </c>
      <c r="O3479" s="2">
        <v>46252</v>
      </c>
      <c r="P3479" s="2">
        <v>46301</v>
      </c>
      <c r="R3479" t="s">
        <v>9288</v>
      </c>
      <c r="S3479" t="str">
        <f>"0000050413902"</f>
        <v>0000050413902</v>
      </c>
      <c r="T3479" t="s">
        <v>41</v>
      </c>
      <c r="U3479">
        <v>446.49</v>
      </c>
      <c r="V3479">
        <v>433.1</v>
      </c>
      <c r="W3479">
        <v>433.1</v>
      </c>
      <c r="X3479">
        <v>0</v>
      </c>
      <c r="Y3479">
        <v>0</v>
      </c>
      <c r="Z3479">
        <v>-526</v>
      </c>
      <c r="AA3479">
        <v>4514</v>
      </c>
      <c r="AD3479" t="s">
        <v>4632</v>
      </c>
      <c r="AE3479">
        <v>1638100400</v>
      </c>
      <c r="AF3479" t="s">
        <v>4632</v>
      </c>
      <c r="AG3479">
        <v>19868024000195</v>
      </c>
      <c r="AH3479" t="s">
        <v>44</v>
      </c>
    </row>
    <row r="3480" spans="1:34" x14ac:dyDescent="0.3">
      <c r="A3480">
        <v>101</v>
      </c>
      <c r="B3480" t="s">
        <v>34</v>
      </c>
      <c r="C3480">
        <v>2</v>
      </c>
      <c r="D3480" s="1" t="s">
        <v>9285</v>
      </c>
      <c r="E3480" s="1" t="s">
        <v>36</v>
      </c>
      <c r="G3480">
        <v>439763</v>
      </c>
      <c r="H3480" t="s">
        <v>9286</v>
      </c>
      <c r="I3480" t="s">
        <v>9287</v>
      </c>
      <c r="J3480">
        <v>26</v>
      </c>
      <c r="K3480">
        <v>12767</v>
      </c>
      <c r="L3480">
        <v>50033</v>
      </c>
      <c r="M3480" t="s">
        <v>39</v>
      </c>
      <c r="N3480">
        <v>689</v>
      </c>
      <c r="O3480" s="2">
        <v>46252</v>
      </c>
      <c r="P3480" s="2">
        <v>46287</v>
      </c>
      <c r="R3480" t="s">
        <v>9288</v>
      </c>
      <c r="S3480" t="str">
        <f>"0000050413880"</f>
        <v>0000050413880</v>
      </c>
      <c r="T3480" t="s">
        <v>41</v>
      </c>
      <c r="U3480">
        <v>479.83</v>
      </c>
      <c r="V3480">
        <v>465.44</v>
      </c>
      <c r="W3480">
        <v>465.44</v>
      </c>
      <c r="X3480">
        <v>0</v>
      </c>
      <c r="Y3480">
        <v>0</v>
      </c>
      <c r="Z3480">
        <v>-512</v>
      </c>
      <c r="AA3480">
        <v>4514</v>
      </c>
      <c r="AD3480" t="s">
        <v>4632</v>
      </c>
      <c r="AE3480">
        <v>1638100400</v>
      </c>
      <c r="AF3480" t="s">
        <v>4632</v>
      </c>
      <c r="AG3480">
        <v>19868024000195</v>
      </c>
      <c r="AH3480" t="s">
        <v>44</v>
      </c>
    </row>
    <row r="3481" spans="1:34" x14ac:dyDescent="0.3">
      <c r="A3481">
        <v>101</v>
      </c>
      <c r="B3481" t="s">
        <v>34</v>
      </c>
      <c r="C3481">
        <v>2</v>
      </c>
      <c r="D3481" s="1" t="s">
        <v>9289</v>
      </c>
      <c r="E3481" s="1" t="s">
        <v>116</v>
      </c>
      <c r="G3481">
        <v>439763</v>
      </c>
      <c r="H3481" t="s">
        <v>9286</v>
      </c>
      <c r="I3481" t="s">
        <v>9287</v>
      </c>
      <c r="J3481">
        <v>26</v>
      </c>
      <c r="K3481">
        <v>12767</v>
      </c>
      <c r="L3481">
        <v>50033</v>
      </c>
      <c r="M3481" t="s">
        <v>39</v>
      </c>
      <c r="N3481">
        <v>689</v>
      </c>
      <c r="O3481" s="2">
        <v>46252</v>
      </c>
      <c r="P3481" s="2">
        <v>46301</v>
      </c>
      <c r="R3481" t="s">
        <v>9290</v>
      </c>
      <c r="S3481" t="str">
        <f>"0000050413872"</f>
        <v>0000050413872</v>
      </c>
      <c r="T3481" t="s">
        <v>41</v>
      </c>
      <c r="U3481">
        <v>120.82</v>
      </c>
      <c r="V3481">
        <v>117.2</v>
      </c>
      <c r="W3481">
        <v>117.2</v>
      </c>
      <c r="X3481">
        <v>0</v>
      </c>
      <c r="Y3481">
        <v>0</v>
      </c>
      <c r="Z3481">
        <v>-526</v>
      </c>
      <c r="AA3481">
        <v>4372</v>
      </c>
      <c r="AD3481" t="s">
        <v>4632</v>
      </c>
      <c r="AE3481">
        <v>1638100400</v>
      </c>
      <c r="AF3481" t="s">
        <v>4632</v>
      </c>
      <c r="AG3481">
        <v>19868024000195</v>
      </c>
      <c r="AH3481" t="s">
        <v>44</v>
      </c>
    </row>
    <row r="3482" spans="1:34" x14ac:dyDescent="0.3">
      <c r="A3482">
        <v>101</v>
      </c>
      <c r="B3482" t="s">
        <v>34</v>
      </c>
      <c r="C3482">
        <v>2</v>
      </c>
      <c r="D3482" s="1" t="s">
        <v>9289</v>
      </c>
      <c r="E3482" s="1" t="s">
        <v>122</v>
      </c>
      <c r="G3482">
        <v>439763</v>
      </c>
      <c r="H3482" t="s">
        <v>9286</v>
      </c>
      <c r="I3482" t="s">
        <v>9287</v>
      </c>
      <c r="J3482">
        <v>26</v>
      </c>
      <c r="K3482">
        <v>12767</v>
      </c>
      <c r="L3482">
        <v>50033</v>
      </c>
      <c r="M3482" t="s">
        <v>39</v>
      </c>
      <c r="N3482">
        <v>689</v>
      </c>
      <c r="O3482" s="2">
        <v>46252</v>
      </c>
      <c r="P3482" s="2">
        <v>46294</v>
      </c>
      <c r="R3482" t="s">
        <v>9290</v>
      </c>
      <c r="S3482" t="str">
        <f>"0000050413864"</f>
        <v>0000050413864</v>
      </c>
      <c r="T3482" t="s">
        <v>41</v>
      </c>
      <c r="U3482">
        <v>120.79</v>
      </c>
      <c r="V3482">
        <v>117.17</v>
      </c>
      <c r="W3482">
        <v>117.17</v>
      </c>
      <c r="X3482">
        <v>0</v>
      </c>
      <c r="Y3482">
        <v>0</v>
      </c>
      <c r="Z3482">
        <v>-519</v>
      </c>
      <c r="AA3482">
        <v>4372</v>
      </c>
      <c r="AD3482" t="s">
        <v>4632</v>
      </c>
      <c r="AE3482">
        <v>1638100400</v>
      </c>
      <c r="AF3482" t="s">
        <v>4632</v>
      </c>
      <c r="AG3482">
        <v>19868024000195</v>
      </c>
      <c r="AH3482" t="s">
        <v>44</v>
      </c>
    </row>
    <row r="3483" spans="1:34" x14ac:dyDescent="0.3">
      <c r="A3483">
        <v>101</v>
      </c>
      <c r="B3483" t="s">
        <v>34</v>
      </c>
      <c r="C3483">
        <v>2</v>
      </c>
      <c r="D3483" s="1" t="s">
        <v>9289</v>
      </c>
      <c r="E3483" s="1" t="s">
        <v>36</v>
      </c>
      <c r="G3483">
        <v>439763</v>
      </c>
      <c r="H3483" t="s">
        <v>9286</v>
      </c>
      <c r="I3483" t="s">
        <v>9287</v>
      </c>
      <c r="J3483">
        <v>26</v>
      </c>
      <c r="K3483">
        <v>12767</v>
      </c>
      <c r="L3483">
        <v>50033</v>
      </c>
      <c r="M3483" t="s">
        <v>39</v>
      </c>
      <c r="N3483">
        <v>689</v>
      </c>
      <c r="O3483" s="2">
        <v>46252</v>
      </c>
      <c r="P3483" s="2">
        <v>46287</v>
      </c>
      <c r="R3483" t="s">
        <v>9290</v>
      </c>
      <c r="S3483" t="str">
        <f>"0000050413856"</f>
        <v>0000050413856</v>
      </c>
      <c r="T3483" t="s">
        <v>41</v>
      </c>
      <c r="U3483">
        <v>120.79</v>
      </c>
      <c r="V3483">
        <v>117.17</v>
      </c>
      <c r="W3483">
        <v>117.17</v>
      </c>
      <c r="X3483">
        <v>0</v>
      </c>
      <c r="Y3483">
        <v>0</v>
      </c>
      <c r="Z3483">
        <v>-512</v>
      </c>
      <c r="AA3483">
        <v>4372</v>
      </c>
      <c r="AD3483" t="s">
        <v>4632</v>
      </c>
      <c r="AE3483">
        <v>1638100400</v>
      </c>
      <c r="AF3483" t="s">
        <v>4632</v>
      </c>
      <c r="AG3483">
        <v>19868024000195</v>
      </c>
      <c r="AH3483" t="s">
        <v>44</v>
      </c>
    </row>
    <row r="3484" spans="1:34" x14ac:dyDescent="0.3">
      <c r="A3484">
        <v>101</v>
      </c>
      <c r="B3484" t="s">
        <v>34</v>
      </c>
      <c r="C3484">
        <v>2</v>
      </c>
      <c r="D3484" s="1" t="s">
        <v>9285</v>
      </c>
      <c r="E3484" s="1" t="s">
        <v>122</v>
      </c>
      <c r="G3484">
        <v>439763</v>
      </c>
      <c r="H3484" t="s">
        <v>9286</v>
      </c>
      <c r="I3484" t="s">
        <v>9287</v>
      </c>
      <c r="J3484">
        <v>26</v>
      </c>
      <c r="K3484">
        <v>12767</v>
      </c>
      <c r="L3484">
        <v>50033</v>
      </c>
      <c r="M3484" t="s">
        <v>39</v>
      </c>
      <c r="N3484">
        <v>689</v>
      </c>
      <c r="O3484" s="2">
        <v>46252</v>
      </c>
      <c r="P3484" s="2">
        <v>46294</v>
      </c>
      <c r="R3484" t="s">
        <v>9288</v>
      </c>
      <c r="S3484" t="str">
        <f>"0000050413899"</f>
        <v>0000050413899</v>
      </c>
      <c r="T3484" t="s">
        <v>41</v>
      </c>
      <c r="U3484">
        <v>446.36</v>
      </c>
      <c r="V3484">
        <v>432.97</v>
      </c>
      <c r="W3484">
        <v>432.97</v>
      </c>
      <c r="X3484">
        <v>0</v>
      </c>
      <c r="Y3484">
        <v>0</v>
      </c>
      <c r="Z3484">
        <v>-519</v>
      </c>
      <c r="AA3484">
        <v>4514</v>
      </c>
      <c r="AD3484" t="s">
        <v>4632</v>
      </c>
      <c r="AE3484">
        <v>1638100400</v>
      </c>
      <c r="AF3484" t="s">
        <v>4632</v>
      </c>
      <c r="AG3484">
        <v>19868024000195</v>
      </c>
      <c r="AH3484" t="s">
        <v>44</v>
      </c>
    </row>
    <row r="3485" spans="1:34" x14ac:dyDescent="0.3">
      <c r="A3485">
        <v>101</v>
      </c>
      <c r="B3485" t="s">
        <v>34</v>
      </c>
      <c r="C3485">
        <v>2</v>
      </c>
      <c r="D3485" s="1" t="s">
        <v>9291</v>
      </c>
      <c r="E3485" s="1" t="s">
        <v>36</v>
      </c>
      <c r="G3485">
        <v>440571</v>
      </c>
      <c r="H3485" t="s">
        <v>9292</v>
      </c>
      <c r="I3485" t="s">
        <v>9287</v>
      </c>
      <c r="J3485">
        <v>26</v>
      </c>
      <c r="K3485">
        <v>12767</v>
      </c>
      <c r="L3485">
        <v>50033</v>
      </c>
      <c r="M3485" t="s">
        <v>39</v>
      </c>
      <c r="N3485">
        <v>689</v>
      </c>
      <c r="O3485" s="2">
        <v>46252</v>
      </c>
      <c r="P3485" s="2">
        <v>46287</v>
      </c>
      <c r="R3485" t="s">
        <v>9293</v>
      </c>
      <c r="S3485" t="str">
        <f>"0000050413678"</f>
        <v>0000050413678</v>
      </c>
      <c r="T3485" t="s">
        <v>41</v>
      </c>
      <c r="U3485">
        <v>915.85</v>
      </c>
      <c r="V3485">
        <v>888.37</v>
      </c>
      <c r="W3485">
        <v>888.37</v>
      </c>
      <c r="X3485">
        <v>0</v>
      </c>
      <c r="Y3485">
        <v>0</v>
      </c>
      <c r="Z3485">
        <v>-512</v>
      </c>
      <c r="AA3485">
        <v>4375</v>
      </c>
      <c r="AD3485" t="s">
        <v>42</v>
      </c>
      <c r="AE3485">
        <v>1638100400</v>
      </c>
      <c r="AF3485" t="s">
        <v>42</v>
      </c>
      <c r="AG3485">
        <v>19868024000276</v>
      </c>
      <c r="AH3485" t="s">
        <v>44</v>
      </c>
    </row>
    <row r="3486" spans="1:34" x14ac:dyDescent="0.3">
      <c r="A3486">
        <v>101</v>
      </c>
      <c r="B3486" t="s">
        <v>34</v>
      </c>
      <c r="C3486">
        <v>2</v>
      </c>
      <c r="D3486" s="1" t="s">
        <v>9294</v>
      </c>
      <c r="E3486" s="1" t="s">
        <v>116</v>
      </c>
      <c r="G3486">
        <v>440571</v>
      </c>
      <c r="H3486" t="s">
        <v>9292</v>
      </c>
      <c r="I3486" t="s">
        <v>9287</v>
      </c>
      <c r="J3486">
        <v>26</v>
      </c>
      <c r="K3486">
        <v>12767</v>
      </c>
      <c r="L3486">
        <v>50033</v>
      </c>
      <c r="M3486" t="s">
        <v>39</v>
      </c>
      <c r="N3486">
        <v>689</v>
      </c>
      <c r="O3486" s="2">
        <v>46252</v>
      </c>
      <c r="P3486" s="2">
        <v>46301</v>
      </c>
      <c r="R3486" t="s">
        <v>9295</v>
      </c>
      <c r="S3486" t="str">
        <f>"0000050413724"</f>
        <v>0000050413724</v>
      </c>
      <c r="T3486" t="s">
        <v>41</v>
      </c>
      <c r="U3486">
        <v>930.61</v>
      </c>
      <c r="V3486">
        <v>902.69</v>
      </c>
      <c r="W3486">
        <v>902.69</v>
      </c>
      <c r="X3486">
        <v>0</v>
      </c>
      <c r="Y3486">
        <v>0</v>
      </c>
      <c r="Z3486">
        <v>-526</v>
      </c>
      <c r="AA3486">
        <v>4519</v>
      </c>
      <c r="AD3486" t="s">
        <v>42</v>
      </c>
      <c r="AE3486">
        <v>1638100400</v>
      </c>
      <c r="AF3486" t="s">
        <v>42</v>
      </c>
      <c r="AG3486">
        <v>19868024000276</v>
      </c>
      <c r="AH3486" t="s">
        <v>44</v>
      </c>
    </row>
    <row r="3487" spans="1:34" x14ac:dyDescent="0.3">
      <c r="A3487">
        <v>101</v>
      </c>
      <c r="B3487" t="s">
        <v>34</v>
      </c>
      <c r="C3487">
        <v>2</v>
      </c>
      <c r="D3487" s="1" t="s">
        <v>9294</v>
      </c>
      <c r="E3487" s="1" t="s">
        <v>122</v>
      </c>
      <c r="G3487">
        <v>440571</v>
      </c>
      <c r="H3487" t="s">
        <v>9292</v>
      </c>
      <c r="I3487" t="s">
        <v>9287</v>
      </c>
      <c r="J3487">
        <v>26</v>
      </c>
      <c r="K3487">
        <v>12767</v>
      </c>
      <c r="L3487">
        <v>50033</v>
      </c>
      <c r="M3487" t="s">
        <v>39</v>
      </c>
      <c r="N3487">
        <v>689</v>
      </c>
      <c r="O3487" s="2">
        <v>46252</v>
      </c>
      <c r="P3487" s="2">
        <v>46294</v>
      </c>
      <c r="R3487" t="s">
        <v>9295</v>
      </c>
      <c r="S3487" t="str">
        <f>"0000050413716"</f>
        <v>0000050413716</v>
      </c>
      <c r="T3487" t="s">
        <v>41</v>
      </c>
      <c r="U3487">
        <v>930.32</v>
      </c>
      <c r="V3487">
        <v>902.41</v>
      </c>
      <c r="W3487">
        <v>902.41</v>
      </c>
      <c r="X3487">
        <v>0</v>
      </c>
      <c r="Y3487">
        <v>0</v>
      </c>
      <c r="Z3487">
        <v>-519</v>
      </c>
      <c r="AA3487">
        <v>4519</v>
      </c>
      <c r="AD3487" t="s">
        <v>42</v>
      </c>
      <c r="AE3487">
        <v>1638100400</v>
      </c>
      <c r="AF3487" t="s">
        <v>42</v>
      </c>
      <c r="AG3487">
        <v>19868024000276</v>
      </c>
      <c r="AH3487" t="s">
        <v>44</v>
      </c>
    </row>
    <row r="3488" spans="1:34" x14ac:dyDescent="0.3">
      <c r="A3488">
        <v>101</v>
      </c>
      <c r="B3488" t="s">
        <v>34</v>
      </c>
      <c r="C3488">
        <v>2</v>
      </c>
      <c r="D3488" s="1" t="s">
        <v>9294</v>
      </c>
      <c r="E3488" s="1" t="s">
        <v>36</v>
      </c>
      <c r="G3488">
        <v>440571</v>
      </c>
      <c r="H3488" t="s">
        <v>9292</v>
      </c>
      <c r="I3488" t="s">
        <v>9287</v>
      </c>
      <c r="J3488">
        <v>26</v>
      </c>
      <c r="K3488">
        <v>12767</v>
      </c>
      <c r="L3488">
        <v>50033</v>
      </c>
      <c r="M3488" t="s">
        <v>39</v>
      </c>
      <c r="N3488">
        <v>689</v>
      </c>
      <c r="O3488" s="2">
        <v>46252</v>
      </c>
      <c r="P3488" s="2">
        <v>46287</v>
      </c>
      <c r="R3488" t="s">
        <v>9295</v>
      </c>
      <c r="S3488" t="str">
        <f>"0000050413708"</f>
        <v>0000050413708</v>
      </c>
      <c r="T3488" t="s">
        <v>41</v>
      </c>
      <c r="U3488">
        <v>1007.36</v>
      </c>
      <c r="V3488">
        <v>977.14</v>
      </c>
      <c r="W3488">
        <v>977.14</v>
      </c>
      <c r="X3488">
        <v>0</v>
      </c>
      <c r="Y3488">
        <v>0</v>
      </c>
      <c r="Z3488">
        <v>-512</v>
      </c>
      <c r="AA3488">
        <v>4519</v>
      </c>
      <c r="AD3488" t="s">
        <v>42</v>
      </c>
      <c r="AE3488">
        <v>1638100400</v>
      </c>
      <c r="AF3488" t="s">
        <v>42</v>
      </c>
      <c r="AG3488">
        <v>19868024000276</v>
      </c>
      <c r="AH3488" t="s">
        <v>44</v>
      </c>
    </row>
    <row r="3489" spans="1:34" x14ac:dyDescent="0.3">
      <c r="A3489">
        <v>101</v>
      </c>
      <c r="B3489" t="s">
        <v>34</v>
      </c>
      <c r="C3489">
        <v>2</v>
      </c>
      <c r="D3489" s="1" t="s">
        <v>9291</v>
      </c>
      <c r="E3489" s="1" t="s">
        <v>122</v>
      </c>
      <c r="G3489">
        <v>440571</v>
      </c>
      <c r="H3489" t="s">
        <v>9292</v>
      </c>
      <c r="I3489" t="s">
        <v>9287</v>
      </c>
      <c r="J3489">
        <v>26</v>
      </c>
      <c r="K3489">
        <v>12767</v>
      </c>
      <c r="L3489">
        <v>50033</v>
      </c>
      <c r="M3489" t="s">
        <v>39</v>
      </c>
      <c r="N3489">
        <v>689</v>
      </c>
      <c r="O3489" s="2">
        <v>46252</v>
      </c>
      <c r="P3489" s="2">
        <v>46294</v>
      </c>
      <c r="R3489" t="s">
        <v>9293</v>
      </c>
      <c r="S3489" t="str">
        <f>"0000050413686"</f>
        <v>0000050413686</v>
      </c>
      <c r="T3489" t="s">
        <v>41</v>
      </c>
      <c r="U3489">
        <v>749.74</v>
      </c>
      <c r="V3489">
        <v>727.25</v>
      </c>
      <c r="W3489">
        <v>727.25</v>
      </c>
      <c r="X3489">
        <v>0</v>
      </c>
      <c r="Y3489">
        <v>0</v>
      </c>
      <c r="Z3489">
        <v>-519</v>
      </c>
      <c r="AA3489">
        <v>4375</v>
      </c>
      <c r="AD3489" t="s">
        <v>42</v>
      </c>
      <c r="AE3489">
        <v>1638100400</v>
      </c>
      <c r="AF3489" t="s">
        <v>42</v>
      </c>
      <c r="AG3489">
        <v>19868024000276</v>
      </c>
      <c r="AH3489" t="s">
        <v>44</v>
      </c>
    </row>
    <row r="3490" spans="1:34" x14ac:dyDescent="0.3">
      <c r="A3490">
        <v>101</v>
      </c>
      <c r="B3490" t="s">
        <v>34</v>
      </c>
      <c r="C3490">
        <v>2</v>
      </c>
      <c r="D3490" s="1" t="s">
        <v>9291</v>
      </c>
      <c r="E3490" s="1" t="s">
        <v>116</v>
      </c>
      <c r="G3490">
        <v>440571</v>
      </c>
      <c r="H3490" t="s">
        <v>9292</v>
      </c>
      <c r="I3490" t="s">
        <v>9287</v>
      </c>
      <c r="J3490">
        <v>26</v>
      </c>
      <c r="K3490">
        <v>12767</v>
      </c>
      <c r="L3490">
        <v>50033</v>
      </c>
      <c r="M3490" t="s">
        <v>39</v>
      </c>
      <c r="N3490">
        <v>689</v>
      </c>
      <c r="O3490" s="2">
        <v>46252</v>
      </c>
      <c r="P3490" s="2">
        <v>46301</v>
      </c>
      <c r="R3490" t="s">
        <v>9293</v>
      </c>
      <c r="S3490" t="str">
        <f>"0000050413694"</f>
        <v>0000050413694</v>
      </c>
      <c r="T3490" t="s">
        <v>41</v>
      </c>
      <c r="U3490">
        <v>749.95</v>
      </c>
      <c r="V3490">
        <v>727.45</v>
      </c>
      <c r="W3490">
        <v>727.45</v>
      </c>
      <c r="X3490">
        <v>0</v>
      </c>
      <c r="Y3490">
        <v>0</v>
      </c>
      <c r="Z3490">
        <v>-526</v>
      </c>
      <c r="AA3490">
        <v>4375</v>
      </c>
      <c r="AD3490" t="s">
        <v>42</v>
      </c>
      <c r="AE3490">
        <v>1638100400</v>
      </c>
      <c r="AF3490" t="s">
        <v>42</v>
      </c>
      <c r="AG3490">
        <v>19868024000276</v>
      </c>
      <c r="AH3490" t="s">
        <v>44</v>
      </c>
    </row>
    <row r="3491" spans="1:34" x14ac:dyDescent="0.3">
      <c r="A3491">
        <v>101</v>
      </c>
      <c r="B3491" t="s">
        <v>34</v>
      </c>
      <c r="C3491">
        <v>2</v>
      </c>
      <c r="D3491" s="1" t="s">
        <v>9296</v>
      </c>
      <c r="E3491" s="1" t="s">
        <v>116</v>
      </c>
      <c r="G3491">
        <v>446948</v>
      </c>
      <c r="H3491" t="s">
        <v>9297</v>
      </c>
      <c r="I3491" t="s">
        <v>9287</v>
      </c>
      <c r="J3491">
        <v>26</v>
      </c>
      <c r="K3491">
        <v>12767</v>
      </c>
      <c r="L3491">
        <v>50033</v>
      </c>
      <c r="M3491" t="s">
        <v>39</v>
      </c>
      <c r="N3491">
        <v>689</v>
      </c>
      <c r="O3491" s="2">
        <v>46252</v>
      </c>
      <c r="P3491" s="2">
        <v>46301</v>
      </c>
      <c r="R3491" t="s">
        <v>9298</v>
      </c>
      <c r="S3491" t="str">
        <f>"0000050413783"</f>
        <v>0000050413783</v>
      </c>
      <c r="T3491" t="s">
        <v>41</v>
      </c>
      <c r="U3491">
        <v>607.51</v>
      </c>
      <c r="V3491">
        <v>589.28</v>
      </c>
      <c r="W3491">
        <v>589.28</v>
      </c>
      <c r="X3491">
        <v>0</v>
      </c>
      <c r="Y3491">
        <v>0</v>
      </c>
      <c r="Z3491">
        <v>-526</v>
      </c>
      <c r="AA3491">
        <v>4522</v>
      </c>
      <c r="AD3491" t="s">
        <v>42</v>
      </c>
      <c r="AE3491" t="s">
        <v>9299</v>
      </c>
      <c r="AF3491" t="s">
        <v>42</v>
      </c>
      <c r="AG3491">
        <v>19868024000357</v>
      </c>
      <c r="AH3491" t="s">
        <v>44</v>
      </c>
    </row>
    <row r="3492" spans="1:34" x14ac:dyDescent="0.3">
      <c r="A3492">
        <v>101</v>
      </c>
      <c r="B3492" t="s">
        <v>34</v>
      </c>
      <c r="C3492">
        <v>2</v>
      </c>
      <c r="D3492" s="1" t="s">
        <v>9300</v>
      </c>
      <c r="E3492" s="1" t="s">
        <v>36</v>
      </c>
      <c r="G3492">
        <v>446948</v>
      </c>
      <c r="H3492" t="s">
        <v>9297</v>
      </c>
      <c r="I3492" t="s">
        <v>9287</v>
      </c>
      <c r="J3492">
        <v>26</v>
      </c>
      <c r="K3492">
        <v>12767</v>
      </c>
      <c r="L3492">
        <v>50033</v>
      </c>
      <c r="M3492" t="s">
        <v>39</v>
      </c>
      <c r="N3492">
        <v>689</v>
      </c>
      <c r="O3492" s="2">
        <v>46252</v>
      </c>
      <c r="P3492" s="2">
        <v>46287</v>
      </c>
      <c r="R3492" t="s">
        <v>9301</v>
      </c>
      <c r="S3492" t="str">
        <f>"0000050413732"</f>
        <v>0000050413732</v>
      </c>
      <c r="T3492" t="s">
        <v>41</v>
      </c>
      <c r="U3492">
        <v>148.36000000000001</v>
      </c>
      <c r="V3492">
        <v>143.91</v>
      </c>
      <c r="W3492">
        <v>143.91</v>
      </c>
      <c r="X3492">
        <v>0</v>
      </c>
      <c r="Y3492">
        <v>0</v>
      </c>
      <c r="Z3492">
        <v>-512</v>
      </c>
      <c r="AA3492">
        <v>4377</v>
      </c>
      <c r="AD3492" t="s">
        <v>42</v>
      </c>
      <c r="AE3492" t="s">
        <v>9299</v>
      </c>
      <c r="AF3492" t="s">
        <v>42</v>
      </c>
      <c r="AG3492">
        <v>19868024000357</v>
      </c>
      <c r="AH3492" t="s">
        <v>44</v>
      </c>
    </row>
    <row r="3493" spans="1:34" x14ac:dyDescent="0.3">
      <c r="A3493">
        <v>101</v>
      </c>
      <c r="B3493" t="s">
        <v>34</v>
      </c>
      <c r="C3493">
        <v>2</v>
      </c>
      <c r="D3493" s="1" t="s">
        <v>9296</v>
      </c>
      <c r="E3493" s="1" t="s">
        <v>122</v>
      </c>
      <c r="G3493">
        <v>446948</v>
      </c>
      <c r="H3493" t="s">
        <v>9297</v>
      </c>
      <c r="I3493" t="s">
        <v>9287</v>
      </c>
      <c r="J3493">
        <v>26</v>
      </c>
      <c r="K3493">
        <v>12767</v>
      </c>
      <c r="L3493">
        <v>50033</v>
      </c>
      <c r="M3493" t="s">
        <v>39</v>
      </c>
      <c r="N3493">
        <v>689</v>
      </c>
      <c r="O3493" s="2">
        <v>46252</v>
      </c>
      <c r="P3493" s="2">
        <v>46294</v>
      </c>
      <c r="R3493" t="s">
        <v>9298</v>
      </c>
      <c r="S3493" t="str">
        <f>"0000050413775"</f>
        <v>0000050413775</v>
      </c>
      <c r="T3493" t="s">
        <v>41</v>
      </c>
      <c r="U3493">
        <v>607.32000000000005</v>
      </c>
      <c r="V3493">
        <v>589.1</v>
      </c>
      <c r="W3493">
        <v>589.1</v>
      </c>
      <c r="X3493">
        <v>0</v>
      </c>
      <c r="Y3493">
        <v>0</v>
      </c>
      <c r="Z3493">
        <v>-519</v>
      </c>
      <c r="AA3493">
        <v>4522</v>
      </c>
      <c r="AD3493" t="s">
        <v>42</v>
      </c>
      <c r="AE3493" t="s">
        <v>9299</v>
      </c>
      <c r="AF3493" t="s">
        <v>42</v>
      </c>
      <c r="AG3493">
        <v>19868024000357</v>
      </c>
      <c r="AH3493" t="s">
        <v>44</v>
      </c>
    </row>
    <row r="3494" spans="1:34" x14ac:dyDescent="0.3">
      <c r="A3494">
        <v>101</v>
      </c>
      <c r="B3494" t="s">
        <v>34</v>
      </c>
      <c r="C3494">
        <v>2</v>
      </c>
      <c r="D3494" s="1" t="s">
        <v>9296</v>
      </c>
      <c r="E3494" s="1" t="s">
        <v>36</v>
      </c>
      <c r="G3494">
        <v>446948</v>
      </c>
      <c r="H3494" t="s">
        <v>9297</v>
      </c>
      <c r="I3494" t="s">
        <v>9287</v>
      </c>
      <c r="J3494">
        <v>26</v>
      </c>
      <c r="K3494">
        <v>12767</v>
      </c>
      <c r="L3494">
        <v>50033</v>
      </c>
      <c r="M3494" t="s">
        <v>39</v>
      </c>
      <c r="N3494">
        <v>689</v>
      </c>
      <c r="O3494" s="2">
        <v>46252</v>
      </c>
      <c r="P3494" s="2">
        <v>46287</v>
      </c>
      <c r="R3494" t="s">
        <v>9298</v>
      </c>
      <c r="S3494" t="str">
        <f>"0000050413767"</f>
        <v>0000050413767</v>
      </c>
      <c r="T3494" t="s">
        <v>41</v>
      </c>
      <c r="U3494">
        <v>660.46</v>
      </c>
      <c r="V3494">
        <v>640.65</v>
      </c>
      <c r="W3494">
        <v>640.65</v>
      </c>
      <c r="X3494">
        <v>0</v>
      </c>
      <c r="Y3494">
        <v>0</v>
      </c>
      <c r="Z3494">
        <v>-512</v>
      </c>
      <c r="AA3494">
        <v>4522</v>
      </c>
      <c r="AD3494" t="s">
        <v>42</v>
      </c>
      <c r="AE3494" t="s">
        <v>9299</v>
      </c>
      <c r="AF3494" t="s">
        <v>42</v>
      </c>
      <c r="AG3494">
        <v>19868024000357</v>
      </c>
      <c r="AH3494" t="s">
        <v>44</v>
      </c>
    </row>
    <row r="3495" spans="1:34" x14ac:dyDescent="0.3">
      <c r="A3495">
        <v>101</v>
      </c>
      <c r="B3495" t="s">
        <v>34</v>
      </c>
      <c r="C3495">
        <v>2</v>
      </c>
      <c r="D3495" s="1" t="s">
        <v>9300</v>
      </c>
      <c r="E3495" s="1" t="s">
        <v>116</v>
      </c>
      <c r="G3495">
        <v>446948</v>
      </c>
      <c r="H3495" t="s">
        <v>9297</v>
      </c>
      <c r="I3495" t="s">
        <v>9287</v>
      </c>
      <c r="J3495">
        <v>26</v>
      </c>
      <c r="K3495">
        <v>12767</v>
      </c>
      <c r="L3495">
        <v>50033</v>
      </c>
      <c r="M3495" t="s">
        <v>39</v>
      </c>
      <c r="N3495">
        <v>689</v>
      </c>
      <c r="O3495" s="2">
        <v>46252</v>
      </c>
      <c r="P3495" s="2">
        <v>46301</v>
      </c>
      <c r="R3495" t="s">
        <v>9301</v>
      </c>
      <c r="S3495" t="str">
        <f>"0000050413759"</f>
        <v>0000050413759</v>
      </c>
      <c r="T3495" t="s">
        <v>41</v>
      </c>
      <c r="U3495">
        <v>148.4</v>
      </c>
      <c r="V3495">
        <v>143.94999999999999</v>
      </c>
      <c r="W3495">
        <v>143.94999999999999</v>
      </c>
      <c r="X3495">
        <v>0</v>
      </c>
      <c r="Y3495">
        <v>0</v>
      </c>
      <c r="Z3495">
        <v>-526</v>
      </c>
      <c r="AA3495">
        <v>4377</v>
      </c>
      <c r="AD3495" t="s">
        <v>42</v>
      </c>
      <c r="AE3495" t="s">
        <v>9299</v>
      </c>
      <c r="AF3495" t="s">
        <v>42</v>
      </c>
      <c r="AG3495">
        <v>19868024000357</v>
      </c>
      <c r="AH3495" t="s">
        <v>44</v>
      </c>
    </row>
    <row r="3496" spans="1:34" x14ac:dyDescent="0.3">
      <c r="A3496">
        <v>101</v>
      </c>
      <c r="B3496" t="s">
        <v>34</v>
      </c>
      <c r="C3496">
        <v>2</v>
      </c>
      <c r="D3496" s="1" t="s">
        <v>9300</v>
      </c>
      <c r="E3496" s="1" t="s">
        <v>122</v>
      </c>
      <c r="G3496">
        <v>446948</v>
      </c>
      <c r="H3496" t="s">
        <v>9297</v>
      </c>
      <c r="I3496" t="s">
        <v>9287</v>
      </c>
      <c r="J3496">
        <v>26</v>
      </c>
      <c r="K3496">
        <v>12767</v>
      </c>
      <c r="L3496">
        <v>50033</v>
      </c>
      <c r="M3496" t="s">
        <v>39</v>
      </c>
      <c r="N3496">
        <v>689</v>
      </c>
      <c r="O3496" s="2">
        <v>46252</v>
      </c>
      <c r="P3496" s="2">
        <v>46294</v>
      </c>
      <c r="R3496" t="s">
        <v>9301</v>
      </c>
      <c r="S3496" t="str">
        <f>"0000050413740"</f>
        <v>0000050413740</v>
      </c>
      <c r="T3496" t="s">
        <v>41</v>
      </c>
      <c r="U3496">
        <v>148.36000000000001</v>
      </c>
      <c r="V3496">
        <v>143.91</v>
      </c>
      <c r="W3496">
        <v>143.91</v>
      </c>
      <c r="X3496">
        <v>0</v>
      </c>
      <c r="Y3496">
        <v>0</v>
      </c>
      <c r="Z3496">
        <v>-519</v>
      </c>
      <c r="AA3496">
        <v>4377</v>
      </c>
      <c r="AD3496" t="s">
        <v>42</v>
      </c>
      <c r="AE3496" t="s">
        <v>9299</v>
      </c>
      <c r="AF3496" t="s">
        <v>42</v>
      </c>
      <c r="AG3496">
        <v>19868024000357</v>
      </c>
      <c r="AH3496" t="s">
        <v>44</v>
      </c>
    </row>
    <row r="3497" spans="1:34" x14ac:dyDescent="0.3">
      <c r="A3497">
        <v>101</v>
      </c>
      <c r="B3497" t="s">
        <v>34</v>
      </c>
      <c r="C3497">
        <v>2</v>
      </c>
      <c r="D3497" s="1" t="s">
        <v>9302</v>
      </c>
      <c r="E3497" s="1" t="s">
        <v>122</v>
      </c>
      <c r="G3497">
        <v>450943</v>
      </c>
      <c r="H3497" t="s">
        <v>9303</v>
      </c>
      <c r="I3497" t="s">
        <v>9304</v>
      </c>
      <c r="J3497">
        <v>27</v>
      </c>
      <c r="K3497">
        <v>450943</v>
      </c>
      <c r="L3497">
        <v>50341</v>
      </c>
      <c r="M3497" t="s">
        <v>146</v>
      </c>
      <c r="N3497">
        <v>689</v>
      </c>
      <c r="O3497" s="2">
        <v>46203</v>
      </c>
      <c r="P3497" s="2">
        <v>46263</v>
      </c>
      <c r="R3497" t="s">
        <v>9305</v>
      </c>
      <c r="S3497" t="str">
        <f>"00012971"</f>
        <v>00012971</v>
      </c>
      <c r="T3497" t="s">
        <v>41</v>
      </c>
      <c r="U3497">
        <v>25902.89</v>
      </c>
      <c r="V3497">
        <v>25902.89</v>
      </c>
      <c r="W3497">
        <v>25902.89</v>
      </c>
      <c r="X3497">
        <v>0</v>
      </c>
      <c r="Y3497">
        <v>0</v>
      </c>
      <c r="Z3497">
        <v>-488</v>
      </c>
      <c r="AA3497">
        <v>693039</v>
      </c>
      <c r="AD3497" t="s">
        <v>3275</v>
      </c>
      <c r="AE3497">
        <v>1797467605</v>
      </c>
      <c r="AF3497" t="s">
        <v>3275</v>
      </c>
      <c r="AG3497" s="1" t="s">
        <v>9306</v>
      </c>
      <c r="AH3497" t="s">
        <v>44</v>
      </c>
    </row>
    <row r="3498" spans="1:34" x14ac:dyDescent="0.3">
      <c r="A3498">
        <v>101</v>
      </c>
      <c r="B3498" t="s">
        <v>34</v>
      </c>
      <c r="C3498">
        <v>2</v>
      </c>
      <c r="D3498" s="1" t="s">
        <v>9307</v>
      </c>
      <c r="E3498" s="1" t="s">
        <v>116</v>
      </c>
      <c r="G3498">
        <v>450943</v>
      </c>
      <c r="H3498" t="s">
        <v>9303</v>
      </c>
      <c r="I3498" t="s">
        <v>9304</v>
      </c>
      <c r="J3498">
        <v>27</v>
      </c>
      <c r="K3498">
        <v>450943</v>
      </c>
      <c r="L3498">
        <v>50341</v>
      </c>
      <c r="M3498" t="s">
        <v>146</v>
      </c>
      <c r="N3498">
        <v>689</v>
      </c>
      <c r="O3498" s="2">
        <v>46233</v>
      </c>
      <c r="P3498" s="2">
        <v>46323</v>
      </c>
      <c r="R3498" t="s">
        <v>9308</v>
      </c>
      <c r="S3498" t="str">
        <f>"00013363"</f>
        <v>00013363</v>
      </c>
      <c r="T3498" t="s">
        <v>41</v>
      </c>
      <c r="U3498">
        <v>3662.7</v>
      </c>
      <c r="V3498">
        <v>3662.7</v>
      </c>
      <c r="W3498">
        <v>3662.7</v>
      </c>
      <c r="X3498">
        <v>0</v>
      </c>
      <c r="Y3498">
        <v>0</v>
      </c>
      <c r="Z3498">
        <v>-548</v>
      </c>
      <c r="AA3498">
        <v>1898</v>
      </c>
      <c r="AD3498" t="s">
        <v>3275</v>
      </c>
      <c r="AE3498">
        <v>1797467605</v>
      </c>
      <c r="AF3498" t="s">
        <v>3275</v>
      </c>
      <c r="AG3498" s="1" t="s">
        <v>9306</v>
      </c>
      <c r="AH3498" t="s">
        <v>44</v>
      </c>
    </row>
    <row r="3499" spans="1:34" x14ac:dyDescent="0.3">
      <c r="A3499">
        <v>101</v>
      </c>
      <c r="B3499" t="s">
        <v>34</v>
      </c>
      <c r="C3499">
        <v>2</v>
      </c>
      <c r="D3499" s="1" t="s">
        <v>9302</v>
      </c>
      <c r="E3499" s="1" t="s">
        <v>116</v>
      </c>
      <c r="G3499">
        <v>450943</v>
      </c>
      <c r="H3499" t="s">
        <v>9303</v>
      </c>
      <c r="I3499" t="s">
        <v>9304</v>
      </c>
      <c r="J3499">
        <v>27</v>
      </c>
      <c r="K3499">
        <v>450943</v>
      </c>
      <c r="L3499">
        <v>50341</v>
      </c>
      <c r="M3499" t="s">
        <v>146</v>
      </c>
      <c r="N3499">
        <v>689</v>
      </c>
      <c r="O3499" s="2">
        <v>46203</v>
      </c>
      <c r="P3499" s="2">
        <v>46293</v>
      </c>
      <c r="R3499" t="s">
        <v>9305</v>
      </c>
      <c r="S3499" t="str">
        <f>"00012972"</f>
        <v>00012972</v>
      </c>
      <c r="T3499" t="s">
        <v>41</v>
      </c>
      <c r="U3499">
        <v>25910.67</v>
      </c>
      <c r="V3499">
        <v>25910.67</v>
      </c>
      <c r="W3499">
        <v>25910.67</v>
      </c>
      <c r="X3499">
        <v>0</v>
      </c>
      <c r="Y3499">
        <v>0</v>
      </c>
      <c r="Z3499">
        <v>-518</v>
      </c>
      <c r="AA3499">
        <v>693039</v>
      </c>
      <c r="AD3499" t="s">
        <v>3275</v>
      </c>
      <c r="AE3499">
        <v>1797467605</v>
      </c>
      <c r="AF3499" t="s">
        <v>3275</v>
      </c>
      <c r="AG3499" s="1" t="s">
        <v>9306</v>
      </c>
      <c r="AH3499" t="s">
        <v>44</v>
      </c>
    </row>
    <row r="3500" spans="1:34" x14ac:dyDescent="0.3">
      <c r="A3500">
        <v>101</v>
      </c>
      <c r="B3500" t="s">
        <v>34</v>
      </c>
      <c r="C3500">
        <v>2</v>
      </c>
      <c r="D3500" s="1" t="s">
        <v>9307</v>
      </c>
      <c r="E3500" s="1" t="s">
        <v>122</v>
      </c>
      <c r="G3500">
        <v>450943</v>
      </c>
      <c r="H3500" t="s">
        <v>9303</v>
      </c>
      <c r="I3500" t="s">
        <v>9304</v>
      </c>
      <c r="J3500">
        <v>27</v>
      </c>
      <c r="K3500">
        <v>450943</v>
      </c>
      <c r="L3500">
        <v>50341</v>
      </c>
      <c r="M3500" t="s">
        <v>146</v>
      </c>
      <c r="N3500">
        <v>689</v>
      </c>
      <c r="O3500" s="2">
        <v>46233</v>
      </c>
      <c r="P3500" s="2">
        <v>46293</v>
      </c>
      <c r="R3500" t="s">
        <v>9308</v>
      </c>
      <c r="S3500" t="str">
        <f>"00013362"</f>
        <v>00013362</v>
      </c>
      <c r="T3500" t="s">
        <v>41</v>
      </c>
      <c r="U3500">
        <v>3661.6</v>
      </c>
      <c r="V3500">
        <v>3661.6</v>
      </c>
      <c r="W3500">
        <v>3661.6</v>
      </c>
      <c r="X3500">
        <v>0</v>
      </c>
      <c r="Y3500">
        <v>0</v>
      </c>
      <c r="Z3500">
        <v>-518</v>
      </c>
      <c r="AA3500">
        <v>1898</v>
      </c>
      <c r="AD3500" t="s">
        <v>3275</v>
      </c>
      <c r="AE3500">
        <v>1797467605</v>
      </c>
      <c r="AF3500" t="s">
        <v>3275</v>
      </c>
      <c r="AG3500" s="1" t="s">
        <v>9306</v>
      </c>
      <c r="AH3500" t="s">
        <v>44</v>
      </c>
    </row>
    <row r="3501" spans="1:34" x14ac:dyDescent="0.3">
      <c r="A3501">
        <v>101</v>
      </c>
      <c r="B3501" t="s">
        <v>34</v>
      </c>
      <c r="C3501">
        <v>2</v>
      </c>
      <c r="D3501" s="1" t="s">
        <v>9307</v>
      </c>
      <c r="E3501" s="1" t="s">
        <v>36</v>
      </c>
      <c r="G3501">
        <v>450943</v>
      </c>
      <c r="H3501" t="s">
        <v>9303</v>
      </c>
      <c r="I3501" t="s">
        <v>9304</v>
      </c>
      <c r="J3501">
        <v>27</v>
      </c>
      <c r="K3501">
        <v>450943</v>
      </c>
      <c r="L3501">
        <v>50341</v>
      </c>
      <c r="M3501" t="s">
        <v>146</v>
      </c>
      <c r="N3501">
        <v>689</v>
      </c>
      <c r="O3501" s="2">
        <v>46233</v>
      </c>
      <c r="P3501" s="2">
        <v>46263</v>
      </c>
      <c r="R3501" t="s">
        <v>9308</v>
      </c>
      <c r="S3501" t="str">
        <f>"00013361"</f>
        <v>00013361</v>
      </c>
      <c r="T3501" t="s">
        <v>41</v>
      </c>
      <c r="U3501">
        <v>3992.2</v>
      </c>
      <c r="V3501">
        <v>3992.2</v>
      </c>
      <c r="W3501">
        <v>3992.2</v>
      </c>
      <c r="X3501">
        <v>0</v>
      </c>
      <c r="Y3501">
        <v>0</v>
      </c>
      <c r="Z3501">
        <v>-488</v>
      </c>
      <c r="AA3501">
        <v>1898</v>
      </c>
      <c r="AD3501" t="s">
        <v>3275</v>
      </c>
      <c r="AE3501">
        <v>1797467605</v>
      </c>
      <c r="AF3501" t="s">
        <v>3275</v>
      </c>
      <c r="AG3501" s="1" t="s">
        <v>9306</v>
      </c>
      <c r="AH3501" t="s">
        <v>44</v>
      </c>
    </row>
    <row r="3502" spans="1:34" x14ac:dyDescent="0.3">
      <c r="A3502">
        <v>101</v>
      </c>
      <c r="B3502" t="s">
        <v>34</v>
      </c>
      <c r="C3502">
        <v>2</v>
      </c>
      <c r="D3502" s="1" t="s">
        <v>9309</v>
      </c>
      <c r="E3502" s="1" t="s">
        <v>116</v>
      </c>
      <c r="G3502">
        <v>450943</v>
      </c>
      <c r="H3502" t="s">
        <v>9303</v>
      </c>
      <c r="I3502" t="s">
        <v>9304</v>
      </c>
      <c r="J3502">
        <v>27</v>
      </c>
      <c r="K3502">
        <v>450943</v>
      </c>
      <c r="L3502">
        <v>50341</v>
      </c>
      <c r="M3502" t="s">
        <v>146</v>
      </c>
      <c r="N3502">
        <v>689</v>
      </c>
      <c r="O3502" s="2">
        <v>46202</v>
      </c>
      <c r="P3502" s="2">
        <v>46292</v>
      </c>
      <c r="R3502" t="s">
        <v>9310</v>
      </c>
      <c r="S3502" t="str">
        <f>"00012895"</f>
        <v>00012895</v>
      </c>
      <c r="T3502" t="s">
        <v>41</v>
      </c>
      <c r="U3502">
        <v>6905.54</v>
      </c>
      <c r="V3502">
        <v>6905.54</v>
      </c>
      <c r="W3502">
        <v>6905.54</v>
      </c>
      <c r="X3502">
        <v>0</v>
      </c>
      <c r="Y3502">
        <v>0</v>
      </c>
      <c r="Z3502">
        <v>-517</v>
      </c>
      <c r="AA3502">
        <v>693041</v>
      </c>
      <c r="AD3502" t="s">
        <v>3275</v>
      </c>
      <c r="AE3502">
        <v>1797467605</v>
      </c>
      <c r="AF3502" t="s">
        <v>3275</v>
      </c>
      <c r="AG3502" s="1" t="s">
        <v>9306</v>
      </c>
      <c r="AH3502" t="s">
        <v>44</v>
      </c>
    </row>
    <row r="3503" spans="1:34" x14ac:dyDescent="0.3">
      <c r="A3503">
        <v>101</v>
      </c>
      <c r="B3503" t="s">
        <v>34</v>
      </c>
      <c r="C3503">
        <v>2</v>
      </c>
      <c r="D3503" s="1" t="s">
        <v>9311</v>
      </c>
      <c r="E3503" s="1" t="s">
        <v>116</v>
      </c>
      <c r="G3503">
        <v>450943</v>
      </c>
      <c r="H3503" t="s">
        <v>9303</v>
      </c>
      <c r="I3503" t="s">
        <v>9304</v>
      </c>
      <c r="J3503">
        <v>27</v>
      </c>
      <c r="K3503">
        <v>450943</v>
      </c>
      <c r="L3503">
        <v>50341</v>
      </c>
      <c r="M3503" t="s">
        <v>146</v>
      </c>
      <c r="N3503">
        <v>689</v>
      </c>
      <c r="O3503" s="2">
        <v>46202</v>
      </c>
      <c r="P3503" s="2">
        <v>46292</v>
      </c>
      <c r="R3503" t="s">
        <v>9312</v>
      </c>
      <c r="S3503" t="str">
        <f>"00012892"</f>
        <v>00012892</v>
      </c>
      <c r="T3503" t="s">
        <v>41</v>
      </c>
      <c r="U3503">
        <v>14281.24</v>
      </c>
      <c r="V3503">
        <v>14281.24</v>
      </c>
      <c r="W3503">
        <v>14281.24</v>
      </c>
      <c r="X3503">
        <v>0</v>
      </c>
      <c r="Y3503">
        <v>0</v>
      </c>
      <c r="Z3503">
        <v>-517</v>
      </c>
      <c r="AA3503">
        <v>693040</v>
      </c>
      <c r="AD3503" t="s">
        <v>3275</v>
      </c>
      <c r="AE3503">
        <v>1797467605</v>
      </c>
      <c r="AF3503" t="s">
        <v>3275</v>
      </c>
      <c r="AG3503" s="1" t="s">
        <v>9306</v>
      </c>
      <c r="AH3503" t="s">
        <v>44</v>
      </c>
    </row>
    <row r="3504" spans="1:34" x14ac:dyDescent="0.3">
      <c r="A3504">
        <v>101</v>
      </c>
      <c r="B3504" t="s">
        <v>34</v>
      </c>
      <c r="C3504">
        <v>2</v>
      </c>
      <c r="D3504" s="1" t="s">
        <v>9309</v>
      </c>
      <c r="E3504" s="1" t="s">
        <v>122</v>
      </c>
      <c r="G3504">
        <v>450943</v>
      </c>
      <c r="H3504" t="s">
        <v>9303</v>
      </c>
      <c r="I3504" t="s">
        <v>9304</v>
      </c>
      <c r="J3504">
        <v>27</v>
      </c>
      <c r="K3504">
        <v>450943</v>
      </c>
      <c r="L3504">
        <v>50341</v>
      </c>
      <c r="M3504" t="s">
        <v>146</v>
      </c>
      <c r="N3504">
        <v>689</v>
      </c>
      <c r="O3504" s="2">
        <v>46202</v>
      </c>
      <c r="P3504" s="2">
        <v>46262</v>
      </c>
      <c r="R3504" t="s">
        <v>9310</v>
      </c>
      <c r="S3504" t="str">
        <f>"00012894"</f>
        <v>00012894</v>
      </c>
      <c r="T3504" t="s">
        <v>41</v>
      </c>
      <c r="U3504">
        <v>6903.46</v>
      </c>
      <c r="V3504">
        <v>6903.46</v>
      </c>
      <c r="W3504">
        <v>6903.46</v>
      </c>
      <c r="X3504">
        <v>0</v>
      </c>
      <c r="Y3504">
        <v>0</v>
      </c>
      <c r="Z3504">
        <v>-487</v>
      </c>
      <c r="AA3504">
        <v>693041</v>
      </c>
      <c r="AD3504" t="s">
        <v>3275</v>
      </c>
      <c r="AE3504">
        <v>1797467605</v>
      </c>
      <c r="AF3504" t="s">
        <v>3275</v>
      </c>
      <c r="AG3504" s="1" t="s">
        <v>9306</v>
      </c>
      <c r="AH3504" t="s">
        <v>44</v>
      </c>
    </row>
    <row r="3505" spans="1:34" x14ac:dyDescent="0.3">
      <c r="A3505">
        <v>101</v>
      </c>
      <c r="B3505" t="s">
        <v>34</v>
      </c>
      <c r="C3505">
        <v>2</v>
      </c>
      <c r="D3505" s="1" t="s">
        <v>9311</v>
      </c>
      <c r="E3505" s="1" t="s">
        <v>122</v>
      </c>
      <c r="G3505">
        <v>450943</v>
      </c>
      <c r="H3505" t="s">
        <v>9303</v>
      </c>
      <c r="I3505" t="s">
        <v>9304</v>
      </c>
      <c r="J3505">
        <v>27</v>
      </c>
      <c r="K3505">
        <v>450943</v>
      </c>
      <c r="L3505">
        <v>50341</v>
      </c>
      <c r="M3505" t="s">
        <v>146</v>
      </c>
      <c r="N3505">
        <v>689</v>
      </c>
      <c r="O3505" s="2">
        <v>46202</v>
      </c>
      <c r="P3505" s="2">
        <v>46262</v>
      </c>
      <c r="R3505" t="s">
        <v>9312</v>
      </c>
      <c r="S3505" t="str">
        <f>"00012891"</f>
        <v>00012891</v>
      </c>
      <c r="T3505" t="s">
        <v>41</v>
      </c>
      <c r="U3505">
        <v>14276.96</v>
      </c>
      <c r="V3505">
        <v>14276.96</v>
      </c>
      <c r="W3505">
        <v>14276.96</v>
      </c>
      <c r="X3505">
        <v>0</v>
      </c>
      <c r="Y3505">
        <v>0</v>
      </c>
      <c r="Z3505">
        <v>-487</v>
      </c>
      <c r="AA3505">
        <v>693040</v>
      </c>
      <c r="AD3505" t="s">
        <v>3275</v>
      </c>
      <c r="AE3505">
        <v>1797467605</v>
      </c>
      <c r="AF3505" t="s">
        <v>3275</v>
      </c>
      <c r="AG3505" s="1" t="s">
        <v>9306</v>
      </c>
      <c r="AH3505" t="s">
        <v>44</v>
      </c>
    </row>
    <row r="3506" spans="1:34" x14ac:dyDescent="0.3">
      <c r="A3506">
        <v>101</v>
      </c>
      <c r="B3506" t="s">
        <v>34</v>
      </c>
      <c r="C3506">
        <v>2</v>
      </c>
      <c r="D3506" s="1" t="s">
        <v>9313</v>
      </c>
      <c r="E3506" s="1" t="s">
        <v>116</v>
      </c>
      <c r="G3506">
        <v>450943</v>
      </c>
      <c r="H3506" t="s">
        <v>9303</v>
      </c>
      <c r="I3506" t="s">
        <v>9304</v>
      </c>
      <c r="J3506">
        <v>27</v>
      </c>
      <c r="K3506">
        <v>450943</v>
      </c>
      <c r="L3506">
        <v>50341</v>
      </c>
      <c r="M3506" t="s">
        <v>146</v>
      </c>
      <c r="N3506">
        <v>689</v>
      </c>
      <c r="O3506" s="2">
        <v>46189</v>
      </c>
      <c r="P3506" s="2">
        <v>46279</v>
      </c>
      <c r="R3506" t="s">
        <v>9314</v>
      </c>
      <c r="S3506" t="str">
        <f>"00012641"</f>
        <v>00012641</v>
      </c>
      <c r="T3506" t="s">
        <v>41</v>
      </c>
      <c r="U3506">
        <v>5011.0600000000004</v>
      </c>
      <c r="V3506">
        <v>5011.0600000000004</v>
      </c>
      <c r="W3506">
        <v>5011.0600000000004</v>
      </c>
      <c r="X3506">
        <v>0</v>
      </c>
      <c r="Y3506">
        <v>0</v>
      </c>
      <c r="Z3506">
        <v>-504</v>
      </c>
      <c r="AA3506">
        <v>691031</v>
      </c>
      <c r="AD3506" t="s">
        <v>3275</v>
      </c>
      <c r="AE3506">
        <v>1797467605</v>
      </c>
      <c r="AF3506" t="s">
        <v>3275</v>
      </c>
      <c r="AG3506" s="1" t="s">
        <v>9306</v>
      </c>
      <c r="AH3506" t="s">
        <v>44</v>
      </c>
    </row>
    <row r="3507" spans="1:34" x14ac:dyDescent="0.3">
      <c r="A3507">
        <v>101</v>
      </c>
      <c r="B3507" t="s">
        <v>34</v>
      </c>
      <c r="C3507">
        <v>2</v>
      </c>
      <c r="D3507" s="1" t="s">
        <v>9315</v>
      </c>
      <c r="E3507" s="1" t="s">
        <v>36</v>
      </c>
      <c r="G3507">
        <v>452492</v>
      </c>
      <c r="H3507" t="s">
        <v>9316</v>
      </c>
      <c r="I3507" t="s">
        <v>9287</v>
      </c>
      <c r="J3507">
        <v>26</v>
      </c>
      <c r="K3507">
        <v>12767</v>
      </c>
      <c r="L3507">
        <v>50033</v>
      </c>
      <c r="M3507" t="s">
        <v>39</v>
      </c>
      <c r="N3507">
        <v>689</v>
      </c>
      <c r="O3507" s="2">
        <v>46253</v>
      </c>
      <c r="P3507" s="2">
        <v>46288</v>
      </c>
      <c r="R3507" t="s">
        <v>9317</v>
      </c>
      <c r="S3507" t="str">
        <f>"0000050414186"</f>
        <v>0000050414186</v>
      </c>
      <c r="T3507" t="s">
        <v>41</v>
      </c>
      <c r="U3507">
        <v>72.59</v>
      </c>
      <c r="V3507">
        <v>70.41</v>
      </c>
      <c r="W3507">
        <v>70.41</v>
      </c>
      <c r="X3507">
        <v>0</v>
      </c>
      <c r="Y3507">
        <v>0</v>
      </c>
      <c r="Z3507">
        <v>-513</v>
      </c>
      <c r="AA3507">
        <v>4378</v>
      </c>
      <c r="AD3507" t="s">
        <v>9318</v>
      </c>
      <c r="AE3507">
        <v>1638182700</v>
      </c>
      <c r="AF3507" t="s">
        <v>9318</v>
      </c>
      <c r="AG3507">
        <v>19868024000861</v>
      </c>
      <c r="AH3507" t="s">
        <v>44</v>
      </c>
    </row>
    <row r="3508" spans="1:34" x14ac:dyDescent="0.3">
      <c r="A3508">
        <v>101</v>
      </c>
      <c r="B3508" t="s">
        <v>34</v>
      </c>
      <c r="C3508">
        <v>2</v>
      </c>
      <c r="D3508" s="1" t="s">
        <v>9319</v>
      </c>
      <c r="E3508" s="1" t="s">
        <v>116</v>
      </c>
      <c r="G3508">
        <v>452492</v>
      </c>
      <c r="H3508" t="s">
        <v>9316</v>
      </c>
      <c r="I3508" t="s">
        <v>9287</v>
      </c>
      <c r="J3508">
        <v>26</v>
      </c>
      <c r="K3508">
        <v>12767</v>
      </c>
      <c r="L3508">
        <v>50033</v>
      </c>
      <c r="M3508" t="s">
        <v>39</v>
      </c>
      <c r="N3508">
        <v>689</v>
      </c>
      <c r="O3508" s="2">
        <v>46254</v>
      </c>
      <c r="P3508" s="2">
        <v>46303</v>
      </c>
      <c r="R3508" t="s">
        <v>9320</v>
      </c>
      <c r="S3508" t="str">
        <f>"0000050414364"</f>
        <v>0000050414364</v>
      </c>
      <c r="T3508" t="s">
        <v>41</v>
      </c>
      <c r="U3508">
        <v>312.85000000000002</v>
      </c>
      <c r="V3508">
        <v>303.45999999999998</v>
      </c>
      <c r="W3508">
        <v>303.45999999999998</v>
      </c>
      <c r="X3508">
        <v>0</v>
      </c>
      <c r="Y3508">
        <v>0</v>
      </c>
      <c r="Z3508">
        <v>-528</v>
      </c>
      <c r="AA3508">
        <v>4523</v>
      </c>
      <c r="AD3508" t="s">
        <v>9318</v>
      </c>
      <c r="AE3508">
        <v>1638182700</v>
      </c>
      <c r="AF3508" t="s">
        <v>9318</v>
      </c>
      <c r="AG3508">
        <v>19868024000861</v>
      </c>
      <c r="AH3508" t="s">
        <v>44</v>
      </c>
    </row>
    <row r="3509" spans="1:34" x14ac:dyDescent="0.3">
      <c r="A3509">
        <v>101</v>
      </c>
      <c r="B3509" t="s">
        <v>34</v>
      </c>
      <c r="C3509">
        <v>2</v>
      </c>
      <c r="D3509" s="1" t="s">
        <v>9315</v>
      </c>
      <c r="E3509" s="1" t="s">
        <v>116</v>
      </c>
      <c r="G3509">
        <v>452492</v>
      </c>
      <c r="H3509" t="s">
        <v>9316</v>
      </c>
      <c r="I3509" t="s">
        <v>9287</v>
      </c>
      <c r="J3509">
        <v>26</v>
      </c>
      <c r="K3509">
        <v>12767</v>
      </c>
      <c r="L3509">
        <v>50033</v>
      </c>
      <c r="M3509" t="s">
        <v>39</v>
      </c>
      <c r="N3509">
        <v>689</v>
      </c>
      <c r="O3509" s="2">
        <v>46253</v>
      </c>
      <c r="P3509" s="2">
        <v>46302</v>
      </c>
      <c r="R3509" t="s">
        <v>9317</v>
      </c>
      <c r="S3509" t="str">
        <f>"0000050414208"</f>
        <v>0000050414208</v>
      </c>
      <c r="T3509" t="s">
        <v>41</v>
      </c>
      <c r="U3509">
        <v>72.599999999999994</v>
      </c>
      <c r="V3509">
        <v>70.42</v>
      </c>
      <c r="W3509">
        <v>70.42</v>
      </c>
      <c r="X3509">
        <v>0</v>
      </c>
      <c r="Y3509">
        <v>0</v>
      </c>
      <c r="Z3509">
        <v>-527</v>
      </c>
      <c r="AA3509">
        <v>4378</v>
      </c>
      <c r="AD3509" t="s">
        <v>9318</v>
      </c>
      <c r="AE3509">
        <v>1638182700</v>
      </c>
      <c r="AF3509" t="s">
        <v>9318</v>
      </c>
      <c r="AG3509">
        <v>19868024000861</v>
      </c>
      <c r="AH3509" t="s">
        <v>44</v>
      </c>
    </row>
    <row r="3510" spans="1:34" x14ac:dyDescent="0.3">
      <c r="A3510">
        <v>101</v>
      </c>
      <c r="B3510" t="s">
        <v>34</v>
      </c>
      <c r="C3510">
        <v>2</v>
      </c>
      <c r="D3510" s="1" t="s">
        <v>9319</v>
      </c>
      <c r="E3510" s="1" t="s">
        <v>36</v>
      </c>
      <c r="G3510">
        <v>452492</v>
      </c>
      <c r="H3510" t="s">
        <v>9316</v>
      </c>
      <c r="I3510" t="s">
        <v>9287</v>
      </c>
      <c r="J3510">
        <v>26</v>
      </c>
      <c r="K3510">
        <v>12767</v>
      </c>
      <c r="L3510">
        <v>50033</v>
      </c>
      <c r="M3510" t="s">
        <v>39</v>
      </c>
      <c r="N3510">
        <v>689</v>
      </c>
      <c r="O3510" s="2">
        <v>46254</v>
      </c>
      <c r="P3510" s="2">
        <v>46289</v>
      </c>
      <c r="R3510" t="s">
        <v>9320</v>
      </c>
      <c r="S3510" t="str">
        <f>"0000050414348"</f>
        <v>0000050414348</v>
      </c>
      <c r="T3510" t="s">
        <v>41</v>
      </c>
      <c r="U3510">
        <v>337.32</v>
      </c>
      <c r="V3510">
        <v>327.2</v>
      </c>
      <c r="W3510">
        <v>327.2</v>
      </c>
      <c r="X3510">
        <v>0</v>
      </c>
      <c r="Y3510">
        <v>0</v>
      </c>
      <c r="Z3510">
        <v>-514</v>
      </c>
      <c r="AA3510">
        <v>4523</v>
      </c>
      <c r="AD3510" t="s">
        <v>9318</v>
      </c>
      <c r="AE3510">
        <v>1638182700</v>
      </c>
      <c r="AF3510" t="s">
        <v>9318</v>
      </c>
      <c r="AG3510">
        <v>19868024000861</v>
      </c>
      <c r="AH3510" t="s">
        <v>44</v>
      </c>
    </row>
    <row r="3511" spans="1:34" x14ac:dyDescent="0.3">
      <c r="A3511">
        <v>101</v>
      </c>
      <c r="B3511" t="s">
        <v>34</v>
      </c>
      <c r="C3511">
        <v>2</v>
      </c>
      <c r="D3511" s="1" t="s">
        <v>9319</v>
      </c>
      <c r="E3511" s="1" t="s">
        <v>122</v>
      </c>
      <c r="G3511">
        <v>452492</v>
      </c>
      <c r="H3511" t="s">
        <v>9316</v>
      </c>
      <c r="I3511" t="s">
        <v>9287</v>
      </c>
      <c r="J3511">
        <v>26</v>
      </c>
      <c r="K3511">
        <v>12767</v>
      </c>
      <c r="L3511">
        <v>50033</v>
      </c>
      <c r="M3511" t="s">
        <v>39</v>
      </c>
      <c r="N3511">
        <v>689</v>
      </c>
      <c r="O3511" s="2">
        <v>46254</v>
      </c>
      <c r="P3511" s="2">
        <v>46296</v>
      </c>
      <c r="R3511" t="s">
        <v>9320</v>
      </c>
      <c r="S3511" t="str">
        <f>"0000050414356"</f>
        <v>0000050414356</v>
      </c>
      <c r="T3511" t="s">
        <v>41</v>
      </c>
      <c r="U3511">
        <v>312.76</v>
      </c>
      <c r="V3511">
        <v>303.38</v>
      </c>
      <c r="W3511">
        <v>303.38</v>
      </c>
      <c r="X3511">
        <v>0</v>
      </c>
      <c r="Y3511">
        <v>0</v>
      </c>
      <c r="Z3511">
        <v>-521</v>
      </c>
      <c r="AA3511">
        <v>4523</v>
      </c>
      <c r="AD3511" t="s">
        <v>9318</v>
      </c>
      <c r="AE3511">
        <v>1638182700</v>
      </c>
      <c r="AF3511" t="s">
        <v>9318</v>
      </c>
      <c r="AG3511">
        <v>19868024000861</v>
      </c>
      <c r="AH3511" t="s">
        <v>44</v>
      </c>
    </row>
    <row r="3512" spans="1:34" x14ac:dyDescent="0.3">
      <c r="A3512">
        <v>101</v>
      </c>
      <c r="B3512" t="s">
        <v>34</v>
      </c>
      <c r="C3512">
        <v>2</v>
      </c>
      <c r="D3512" s="1" t="s">
        <v>9315</v>
      </c>
      <c r="E3512" s="1" t="s">
        <v>122</v>
      </c>
      <c r="G3512">
        <v>452492</v>
      </c>
      <c r="H3512" t="s">
        <v>9316</v>
      </c>
      <c r="I3512" t="s">
        <v>9287</v>
      </c>
      <c r="J3512">
        <v>26</v>
      </c>
      <c r="K3512">
        <v>12767</v>
      </c>
      <c r="L3512">
        <v>50033</v>
      </c>
      <c r="M3512" t="s">
        <v>39</v>
      </c>
      <c r="N3512">
        <v>689</v>
      </c>
      <c r="O3512" s="2">
        <v>46253</v>
      </c>
      <c r="P3512" s="2">
        <v>46295</v>
      </c>
      <c r="R3512" t="s">
        <v>9317</v>
      </c>
      <c r="S3512" t="str">
        <f>"0000050414194"</f>
        <v>0000050414194</v>
      </c>
      <c r="T3512" t="s">
        <v>41</v>
      </c>
      <c r="U3512">
        <v>72.59</v>
      </c>
      <c r="V3512">
        <v>70.41</v>
      </c>
      <c r="W3512">
        <v>70.41</v>
      </c>
      <c r="X3512">
        <v>0</v>
      </c>
      <c r="Y3512">
        <v>0</v>
      </c>
      <c r="Z3512">
        <v>-520</v>
      </c>
      <c r="AA3512">
        <v>4378</v>
      </c>
      <c r="AD3512" t="s">
        <v>9318</v>
      </c>
      <c r="AE3512">
        <v>1638182700</v>
      </c>
      <c r="AF3512" t="s">
        <v>9318</v>
      </c>
      <c r="AG3512">
        <v>19868024000861</v>
      </c>
      <c r="AH3512" t="s">
        <v>44</v>
      </c>
    </row>
    <row r="3513" spans="1:34" x14ac:dyDescent="0.3">
      <c r="A3513">
        <v>101</v>
      </c>
      <c r="B3513" t="s">
        <v>34</v>
      </c>
      <c r="C3513">
        <v>2</v>
      </c>
      <c r="D3513" s="1" t="s">
        <v>9321</v>
      </c>
      <c r="E3513" s="1" t="s">
        <v>36</v>
      </c>
      <c r="G3513">
        <v>452493</v>
      </c>
      <c r="H3513" t="s">
        <v>9322</v>
      </c>
      <c r="I3513" t="s">
        <v>9287</v>
      </c>
      <c r="J3513">
        <v>26</v>
      </c>
      <c r="K3513">
        <v>12767</v>
      </c>
      <c r="L3513">
        <v>50033</v>
      </c>
      <c r="M3513" t="s">
        <v>39</v>
      </c>
      <c r="N3513">
        <v>689</v>
      </c>
      <c r="O3513" s="2">
        <v>46252</v>
      </c>
      <c r="P3513" s="2">
        <v>46287</v>
      </c>
      <c r="R3513" t="s">
        <v>9323</v>
      </c>
      <c r="S3513" t="str">
        <f>"0000050413910"</f>
        <v>0000050413910</v>
      </c>
      <c r="T3513" t="s">
        <v>41</v>
      </c>
      <c r="U3513">
        <v>273.83</v>
      </c>
      <c r="V3513">
        <v>265.62</v>
      </c>
      <c r="W3513">
        <v>265.62</v>
      </c>
      <c r="X3513">
        <v>0</v>
      </c>
      <c r="Y3513">
        <v>0</v>
      </c>
      <c r="Z3513">
        <v>-512</v>
      </c>
      <c r="AA3513">
        <v>4380</v>
      </c>
      <c r="AD3513" t="s">
        <v>9324</v>
      </c>
      <c r="AE3513">
        <v>1631725300</v>
      </c>
      <c r="AF3513" t="s">
        <v>9324</v>
      </c>
      <c r="AG3513">
        <v>19868024000608</v>
      </c>
      <c r="AH3513" t="s">
        <v>44</v>
      </c>
    </row>
    <row r="3514" spans="1:34" x14ac:dyDescent="0.3">
      <c r="A3514">
        <v>101</v>
      </c>
      <c r="B3514" t="s">
        <v>34</v>
      </c>
      <c r="C3514">
        <v>2</v>
      </c>
      <c r="D3514" s="1" t="s">
        <v>9321</v>
      </c>
      <c r="E3514" s="1" t="s">
        <v>116</v>
      </c>
      <c r="G3514">
        <v>452493</v>
      </c>
      <c r="H3514" t="s">
        <v>9322</v>
      </c>
      <c r="I3514" t="s">
        <v>9287</v>
      </c>
      <c r="J3514">
        <v>26</v>
      </c>
      <c r="K3514">
        <v>12767</v>
      </c>
      <c r="L3514">
        <v>50033</v>
      </c>
      <c r="M3514" t="s">
        <v>39</v>
      </c>
      <c r="N3514">
        <v>689</v>
      </c>
      <c r="O3514" s="2">
        <v>46252</v>
      </c>
      <c r="P3514" s="2">
        <v>46301</v>
      </c>
      <c r="R3514" t="s">
        <v>9323</v>
      </c>
      <c r="S3514" t="str">
        <f>"0000050413937"</f>
        <v>0000050413937</v>
      </c>
      <c r="T3514" t="s">
        <v>41</v>
      </c>
      <c r="U3514">
        <v>253.96</v>
      </c>
      <c r="V3514">
        <v>246.34</v>
      </c>
      <c r="W3514">
        <v>246.34</v>
      </c>
      <c r="X3514">
        <v>0</v>
      </c>
      <c r="Y3514">
        <v>0</v>
      </c>
      <c r="Z3514">
        <v>-526</v>
      </c>
      <c r="AA3514">
        <v>4380</v>
      </c>
      <c r="AD3514" t="s">
        <v>9324</v>
      </c>
      <c r="AE3514">
        <v>1631725300</v>
      </c>
      <c r="AF3514" t="s">
        <v>9324</v>
      </c>
      <c r="AG3514">
        <v>19868024000608</v>
      </c>
      <c r="AH3514" t="s">
        <v>44</v>
      </c>
    </row>
    <row r="3515" spans="1:34" x14ac:dyDescent="0.3">
      <c r="A3515">
        <v>101</v>
      </c>
      <c r="B3515" t="s">
        <v>34</v>
      </c>
      <c r="C3515">
        <v>2</v>
      </c>
      <c r="D3515" s="1" t="s">
        <v>9325</v>
      </c>
      <c r="E3515" s="1" t="s">
        <v>36</v>
      </c>
      <c r="G3515">
        <v>452493</v>
      </c>
      <c r="H3515" t="s">
        <v>9322</v>
      </c>
      <c r="I3515" t="s">
        <v>9287</v>
      </c>
      <c r="J3515">
        <v>26</v>
      </c>
      <c r="K3515">
        <v>12767</v>
      </c>
      <c r="L3515">
        <v>50033</v>
      </c>
      <c r="M3515" t="s">
        <v>39</v>
      </c>
      <c r="N3515">
        <v>689</v>
      </c>
      <c r="O3515" s="2">
        <v>46252</v>
      </c>
      <c r="P3515" s="2">
        <v>46287</v>
      </c>
      <c r="R3515" t="s">
        <v>9326</v>
      </c>
      <c r="S3515" t="str">
        <f>"0000050413945"</f>
        <v>0000050413945</v>
      </c>
      <c r="T3515" t="s">
        <v>41</v>
      </c>
      <c r="U3515">
        <v>350.67</v>
      </c>
      <c r="V3515">
        <v>340.15</v>
      </c>
      <c r="W3515">
        <v>340.15</v>
      </c>
      <c r="X3515">
        <v>0</v>
      </c>
      <c r="Y3515">
        <v>0</v>
      </c>
      <c r="Z3515">
        <v>-512</v>
      </c>
      <c r="AA3515">
        <v>4529</v>
      </c>
      <c r="AD3515" t="s">
        <v>9324</v>
      </c>
      <c r="AE3515">
        <v>1631725300</v>
      </c>
      <c r="AF3515" t="s">
        <v>9324</v>
      </c>
      <c r="AG3515">
        <v>19868024000608</v>
      </c>
      <c r="AH3515" t="s">
        <v>44</v>
      </c>
    </row>
    <row r="3516" spans="1:34" x14ac:dyDescent="0.3">
      <c r="A3516">
        <v>101</v>
      </c>
      <c r="B3516" t="s">
        <v>34</v>
      </c>
      <c r="C3516">
        <v>2</v>
      </c>
      <c r="D3516" s="1" t="s">
        <v>9321</v>
      </c>
      <c r="E3516" s="1" t="s">
        <v>122</v>
      </c>
      <c r="G3516">
        <v>452493</v>
      </c>
      <c r="H3516" t="s">
        <v>9322</v>
      </c>
      <c r="I3516" t="s">
        <v>9287</v>
      </c>
      <c r="J3516">
        <v>26</v>
      </c>
      <c r="K3516">
        <v>12767</v>
      </c>
      <c r="L3516">
        <v>50033</v>
      </c>
      <c r="M3516" t="s">
        <v>39</v>
      </c>
      <c r="N3516">
        <v>689</v>
      </c>
      <c r="O3516" s="2">
        <v>46252</v>
      </c>
      <c r="P3516" s="2">
        <v>46294</v>
      </c>
      <c r="R3516" t="s">
        <v>9323</v>
      </c>
      <c r="S3516" t="str">
        <f>"0000050413929"</f>
        <v>0000050413929</v>
      </c>
      <c r="T3516" t="s">
        <v>41</v>
      </c>
      <c r="U3516">
        <v>253.87</v>
      </c>
      <c r="V3516">
        <v>246.25</v>
      </c>
      <c r="W3516">
        <v>246.25</v>
      </c>
      <c r="X3516">
        <v>0</v>
      </c>
      <c r="Y3516">
        <v>0</v>
      </c>
      <c r="Z3516">
        <v>-519</v>
      </c>
      <c r="AA3516">
        <v>4380</v>
      </c>
      <c r="AD3516" t="s">
        <v>9324</v>
      </c>
      <c r="AE3516">
        <v>1631725300</v>
      </c>
      <c r="AF3516" t="s">
        <v>9324</v>
      </c>
      <c r="AG3516">
        <v>19868024000608</v>
      </c>
      <c r="AH3516" t="s">
        <v>44</v>
      </c>
    </row>
    <row r="3517" spans="1:34" x14ac:dyDescent="0.3">
      <c r="A3517">
        <v>101</v>
      </c>
      <c r="B3517" t="s">
        <v>34</v>
      </c>
      <c r="C3517">
        <v>2</v>
      </c>
      <c r="D3517" s="1" t="s">
        <v>9325</v>
      </c>
      <c r="E3517" s="1" t="s">
        <v>122</v>
      </c>
      <c r="G3517">
        <v>452493</v>
      </c>
      <c r="H3517" t="s">
        <v>9322</v>
      </c>
      <c r="I3517" t="s">
        <v>9287</v>
      </c>
      <c r="J3517">
        <v>26</v>
      </c>
      <c r="K3517">
        <v>12767</v>
      </c>
      <c r="L3517">
        <v>50033</v>
      </c>
      <c r="M3517" t="s">
        <v>39</v>
      </c>
      <c r="N3517">
        <v>689</v>
      </c>
      <c r="O3517" s="2">
        <v>46252</v>
      </c>
      <c r="P3517" s="2">
        <v>46294</v>
      </c>
      <c r="R3517" t="s">
        <v>9326</v>
      </c>
      <c r="S3517" t="str">
        <f>"0000050413953"</f>
        <v>0000050413953</v>
      </c>
      <c r="T3517" t="s">
        <v>41</v>
      </c>
      <c r="U3517">
        <v>317.7</v>
      </c>
      <c r="V3517">
        <v>308.17</v>
      </c>
      <c r="W3517">
        <v>308.17</v>
      </c>
      <c r="X3517">
        <v>0</v>
      </c>
      <c r="Y3517">
        <v>0</v>
      </c>
      <c r="Z3517">
        <v>-519</v>
      </c>
      <c r="AA3517">
        <v>4529</v>
      </c>
      <c r="AD3517" t="s">
        <v>9324</v>
      </c>
      <c r="AE3517">
        <v>1631725300</v>
      </c>
      <c r="AF3517" t="s">
        <v>9324</v>
      </c>
      <c r="AG3517">
        <v>19868024000608</v>
      </c>
      <c r="AH3517" t="s">
        <v>44</v>
      </c>
    </row>
    <row r="3518" spans="1:34" x14ac:dyDescent="0.3">
      <c r="A3518">
        <v>101</v>
      </c>
      <c r="B3518" t="s">
        <v>34</v>
      </c>
      <c r="C3518">
        <v>2</v>
      </c>
      <c r="D3518" s="1" t="s">
        <v>9325</v>
      </c>
      <c r="E3518" s="1" t="s">
        <v>116</v>
      </c>
      <c r="G3518">
        <v>452493</v>
      </c>
      <c r="H3518" t="s">
        <v>9322</v>
      </c>
      <c r="I3518" t="s">
        <v>9287</v>
      </c>
      <c r="J3518">
        <v>26</v>
      </c>
      <c r="K3518">
        <v>12767</v>
      </c>
      <c r="L3518">
        <v>50033</v>
      </c>
      <c r="M3518" t="s">
        <v>39</v>
      </c>
      <c r="N3518">
        <v>689</v>
      </c>
      <c r="O3518" s="2">
        <v>46252</v>
      </c>
      <c r="P3518" s="2">
        <v>46301</v>
      </c>
      <c r="R3518" t="s">
        <v>9326</v>
      </c>
      <c r="S3518" t="str">
        <f>"0000050413961"</f>
        <v>0000050413961</v>
      </c>
      <c r="T3518" t="s">
        <v>41</v>
      </c>
      <c r="U3518">
        <v>317.81</v>
      </c>
      <c r="V3518">
        <v>308.27999999999997</v>
      </c>
      <c r="W3518">
        <v>308.27999999999997</v>
      </c>
      <c r="X3518">
        <v>0</v>
      </c>
      <c r="Y3518">
        <v>0</v>
      </c>
      <c r="Z3518">
        <v>-526</v>
      </c>
      <c r="AA3518">
        <v>4529</v>
      </c>
      <c r="AD3518" t="s">
        <v>9324</v>
      </c>
      <c r="AE3518">
        <v>1631725300</v>
      </c>
      <c r="AF3518" t="s">
        <v>9324</v>
      </c>
      <c r="AG3518">
        <v>19868024000608</v>
      </c>
      <c r="AH3518" t="s">
        <v>44</v>
      </c>
    </row>
    <row r="3519" spans="1:34" x14ac:dyDescent="0.3">
      <c r="A3519">
        <v>101</v>
      </c>
      <c r="B3519" t="s">
        <v>34</v>
      </c>
      <c r="C3519">
        <v>2</v>
      </c>
      <c r="D3519" s="1" t="s">
        <v>9327</v>
      </c>
      <c r="E3519" s="1" t="s">
        <v>116</v>
      </c>
      <c r="G3519">
        <v>452494</v>
      </c>
      <c r="H3519" t="s">
        <v>9328</v>
      </c>
      <c r="I3519" t="s">
        <v>9287</v>
      </c>
      <c r="J3519">
        <v>26</v>
      </c>
      <c r="K3519">
        <v>12767</v>
      </c>
      <c r="L3519">
        <v>50033</v>
      </c>
      <c r="M3519" t="s">
        <v>39</v>
      </c>
      <c r="N3519">
        <v>689</v>
      </c>
      <c r="O3519" s="2">
        <v>46252</v>
      </c>
      <c r="P3519" s="2">
        <v>46301</v>
      </c>
      <c r="R3519" t="s">
        <v>9329</v>
      </c>
      <c r="S3519" t="str">
        <f>"0000050414143"</f>
        <v>0000050414143</v>
      </c>
      <c r="T3519" t="s">
        <v>41</v>
      </c>
      <c r="U3519">
        <v>145.16</v>
      </c>
      <c r="V3519">
        <v>140.81</v>
      </c>
      <c r="W3519">
        <v>140.81</v>
      </c>
      <c r="X3519">
        <v>0</v>
      </c>
      <c r="Y3519">
        <v>0</v>
      </c>
      <c r="Z3519">
        <v>-526</v>
      </c>
      <c r="AA3519">
        <v>4530</v>
      </c>
      <c r="AD3519" t="s">
        <v>9330</v>
      </c>
      <c r="AE3519">
        <v>1638351170</v>
      </c>
      <c r="AF3519" t="s">
        <v>9330</v>
      </c>
      <c r="AG3519">
        <v>19868024000519</v>
      </c>
      <c r="AH3519" t="s">
        <v>44</v>
      </c>
    </row>
    <row r="3520" spans="1:34" x14ac:dyDescent="0.3">
      <c r="A3520">
        <v>101</v>
      </c>
      <c r="B3520" t="s">
        <v>34</v>
      </c>
      <c r="C3520">
        <v>2</v>
      </c>
      <c r="D3520" s="1" t="s">
        <v>9327</v>
      </c>
      <c r="E3520" s="1" t="s">
        <v>122</v>
      </c>
      <c r="G3520">
        <v>452494</v>
      </c>
      <c r="H3520" t="s">
        <v>9328</v>
      </c>
      <c r="I3520" t="s">
        <v>9287</v>
      </c>
      <c r="J3520">
        <v>26</v>
      </c>
      <c r="K3520">
        <v>12767</v>
      </c>
      <c r="L3520">
        <v>50033</v>
      </c>
      <c r="M3520" t="s">
        <v>39</v>
      </c>
      <c r="N3520">
        <v>689</v>
      </c>
      <c r="O3520" s="2">
        <v>46252</v>
      </c>
      <c r="P3520" s="2">
        <v>46294</v>
      </c>
      <c r="R3520" t="s">
        <v>9329</v>
      </c>
      <c r="S3520" t="str">
        <f>"0000050414135"</f>
        <v>0000050414135</v>
      </c>
      <c r="T3520" t="s">
        <v>41</v>
      </c>
      <c r="U3520">
        <v>145.11000000000001</v>
      </c>
      <c r="V3520">
        <v>140.76</v>
      </c>
      <c r="W3520">
        <v>140.76</v>
      </c>
      <c r="X3520">
        <v>0</v>
      </c>
      <c r="Y3520">
        <v>0</v>
      </c>
      <c r="Z3520">
        <v>-519</v>
      </c>
      <c r="AA3520">
        <v>4530</v>
      </c>
      <c r="AD3520" t="s">
        <v>9330</v>
      </c>
      <c r="AE3520">
        <v>1638351170</v>
      </c>
      <c r="AF3520" t="s">
        <v>9330</v>
      </c>
      <c r="AG3520">
        <v>19868024000519</v>
      </c>
      <c r="AH3520" t="s">
        <v>44</v>
      </c>
    </row>
    <row r="3521" spans="1:34" x14ac:dyDescent="0.3">
      <c r="A3521">
        <v>101</v>
      </c>
      <c r="B3521" t="s">
        <v>34</v>
      </c>
      <c r="C3521">
        <v>2</v>
      </c>
      <c r="D3521" s="1" t="s">
        <v>9327</v>
      </c>
      <c r="E3521" s="1" t="s">
        <v>36</v>
      </c>
      <c r="G3521">
        <v>452494</v>
      </c>
      <c r="H3521" t="s">
        <v>9328</v>
      </c>
      <c r="I3521" t="s">
        <v>9287</v>
      </c>
      <c r="J3521">
        <v>26</v>
      </c>
      <c r="K3521">
        <v>12767</v>
      </c>
      <c r="L3521">
        <v>50033</v>
      </c>
      <c r="M3521" t="s">
        <v>39</v>
      </c>
      <c r="N3521">
        <v>689</v>
      </c>
      <c r="O3521" s="2">
        <v>46252</v>
      </c>
      <c r="P3521" s="2">
        <v>46287</v>
      </c>
      <c r="R3521" t="s">
        <v>9329</v>
      </c>
      <c r="S3521" t="str">
        <f>"0000050414127"</f>
        <v>0000050414127</v>
      </c>
      <c r="T3521" t="s">
        <v>41</v>
      </c>
      <c r="U3521">
        <v>156.61000000000001</v>
      </c>
      <c r="V3521">
        <v>151.91</v>
      </c>
      <c r="W3521">
        <v>151.91</v>
      </c>
      <c r="X3521">
        <v>0</v>
      </c>
      <c r="Y3521">
        <v>0</v>
      </c>
      <c r="Z3521">
        <v>-512</v>
      </c>
      <c r="AA3521">
        <v>4530</v>
      </c>
      <c r="AD3521" t="s">
        <v>9330</v>
      </c>
      <c r="AE3521">
        <v>1638351170</v>
      </c>
      <c r="AF3521" t="s">
        <v>9330</v>
      </c>
      <c r="AG3521">
        <v>19868024000519</v>
      </c>
      <c r="AH3521" t="s">
        <v>44</v>
      </c>
    </row>
    <row r="3522" spans="1:34" x14ac:dyDescent="0.3">
      <c r="A3522">
        <v>101</v>
      </c>
      <c r="B3522" t="s">
        <v>34</v>
      </c>
      <c r="C3522">
        <v>2</v>
      </c>
      <c r="D3522" s="1" t="s">
        <v>9331</v>
      </c>
      <c r="E3522" s="1" t="s">
        <v>116</v>
      </c>
      <c r="G3522">
        <v>452494</v>
      </c>
      <c r="H3522" t="s">
        <v>9328</v>
      </c>
      <c r="I3522" t="s">
        <v>9287</v>
      </c>
      <c r="J3522">
        <v>26</v>
      </c>
      <c r="K3522">
        <v>12767</v>
      </c>
      <c r="L3522">
        <v>50033</v>
      </c>
      <c r="M3522" t="s">
        <v>39</v>
      </c>
      <c r="N3522">
        <v>689</v>
      </c>
      <c r="O3522" s="2">
        <v>46252</v>
      </c>
      <c r="P3522" s="2">
        <v>46301</v>
      </c>
      <c r="R3522" t="s">
        <v>9332</v>
      </c>
      <c r="S3522" t="str">
        <f>"0000050414119"</f>
        <v>0000050414119</v>
      </c>
      <c r="T3522" t="s">
        <v>41</v>
      </c>
      <c r="U3522">
        <v>428.64</v>
      </c>
      <c r="V3522">
        <v>415.78</v>
      </c>
      <c r="W3522">
        <v>415.78</v>
      </c>
      <c r="X3522">
        <v>0</v>
      </c>
      <c r="Y3522">
        <v>0</v>
      </c>
      <c r="Z3522">
        <v>-526</v>
      </c>
      <c r="AA3522">
        <v>4381</v>
      </c>
      <c r="AD3522" t="s">
        <v>9330</v>
      </c>
      <c r="AE3522">
        <v>1638351170</v>
      </c>
      <c r="AF3522" t="s">
        <v>9330</v>
      </c>
      <c r="AG3522">
        <v>19868024000519</v>
      </c>
      <c r="AH3522" t="s">
        <v>44</v>
      </c>
    </row>
    <row r="3523" spans="1:34" x14ac:dyDescent="0.3">
      <c r="A3523">
        <v>101</v>
      </c>
      <c r="B3523" t="s">
        <v>34</v>
      </c>
      <c r="C3523">
        <v>2</v>
      </c>
      <c r="D3523" s="1" t="s">
        <v>9331</v>
      </c>
      <c r="E3523" s="1" t="s">
        <v>122</v>
      </c>
      <c r="G3523">
        <v>452494</v>
      </c>
      <c r="H3523" t="s">
        <v>9328</v>
      </c>
      <c r="I3523" t="s">
        <v>9287</v>
      </c>
      <c r="J3523">
        <v>26</v>
      </c>
      <c r="K3523">
        <v>12767</v>
      </c>
      <c r="L3523">
        <v>50033</v>
      </c>
      <c r="M3523" t="s">
        <v>39</v>
      </c>
      <c r="N3523">
        <v>689</v>
      </c>
      <c r="O3523" s="2">
        <v>46252</v>
      </c>
      <c r="P3523" s="2">
        <v>46294</v>
      </c>
      <c r="R3523" t="s">
        <v>9332</v>
      </c>
      <c r="S3523" t="str">
        <f>"0000050414100"</f>
        <v>0000050414100</v>
      </c>
      <c r="T3523" t="s">
        <v>41</v>
      </c>
      <c r="U3523">
        <v>428.5</v>
      </c>
      <c r="V3523">
        <v>415.65</v>
      </c>
      <c r="W3523">
        <v>415.65</v>
      </c>
      <c r="X3523">
        <v>0</v>
      </c>
      <c r="Y3523">
        <v>0</v>
      </c>
      <c r="Z3523">
        <v>-519</v>
      </c>
      <c r="AA3523">
        <v>4381</v>
      </c>
      <c r="AD3523" t="s">
        <v>9330</v>
      </c>
      <c r="AE3523">
        <v>1638351170</v>
      </c>
      <c r="AF3523" t="s">
        <v>9330</v>
      </c>
      <c r="AG3523">
        <v>19868024000519</v>
      </c>
      <c r="AH3523" t="s">
        <v>44</v>
      </c>
    </row>
    <row r="3524" spans="1:34" x14ac:dyDescent="0.3">
      <c r="A3524">
        <v>101</v>
      </c>
      <c r="B3524" t="s">
        <v>34</v>
      </c>
      <c r="C3524">
        <v>2</v>
      </c>
      <c r="D3524" s="1" t="s">
        <v>9331</v>
      </c>
      <c r="E3524" s="1" t="s">
        <v>36</v>
      </c>
      <c r="G3524">
        <v>452494</v>
      </c>
      <c r="H3524" t="s">
        <v>9328</v>
      </c>
      <c r="I3524" t="s">
        <v>9287</v>
      </c>
      <c r="J3524">
        <v>26</v>
      </c>
      <c r="K3524">
        <v>12767</v>
      </c>
      <c r="L3524">
        <v>50033</v>
      </c>
      <c r="M3524" t="s">
        <v>39</v>
      </c>
      <c r="N3524">
        <v>689</v>
      </c>
      <c r="O3524" s="2">
        <v>46252</v>
      </c>
      <c r="P3524" s="2">
        <v>46287</v>
      </c>
      <c r="R3524" t="s">
        <v>9332</v>
      </c>
      <c r="S3524" t="str">
        <f>"0000050414097"</f>
        <v>0000050414097</v>
      </c>
      <c r="T3524" t="s">
        <v>41</v>
      </c>
      <c r="U3524">
        <v>438.48</v>
      </c>
      <c r="V3524">
        <v>425.33</v>
      </c>
      <c r="W3524">
        <v>425.33</v>
      </c>
      <c r="X3524">
        <v>0</v>
      </c>
      <c r="Y3524">
        <v>0</v>
      </c>
      <c r="Z3524">
        <v>-512</v>
      </c>
      <c r="AA3524">
        <v>4381</v>
      </c>
      <c r="AD3524" t="s">
        <v>9330</v>
      </c>
      <c r="AE3524">
        <v>1638351170</v>
      </c>
      <c r="AF3524" t="s">
        <v>9330</v>
      </c>
      <c r="AG3524">
        <v>19868024000519</v>
      </c>
      <c r="AH3524" t="s">
        <v>44</v>
      </c>
    </row>
    <row r="3525" spans="1:34" x14ac:dyDescent="0.3">
      <c r="A3525">
        <v>101</v>
      </c>
      <c r="B3525" t="s">
        <v>34</v>
      </c>
      <c r="C3525">
        <v>2</v>
      </c>
      <c r="D3525" s="1" t="s">
        <v>9333</v>
      </c>
      <c r="E3525" s="1" t="s">
        <v>122</v>
      </c>
      <c r="G3525">
        <v>452495</v>
      </c>
      <c r="H3525" t="s">
        <v>9334</v>
      </c>
      <c r="I3525" t="s">
        <v>9287</v>
      </c>
      <c r="J3525">
        <v>26</v>
      </c>
      <c r="K3525">
        <v>12767</v>
      </c>
      <c r="L3525">
        <v>50033</v>
      </c>
      <c r="M3525" t="s">
        <v>39</v>
      </c>
      <c r="N3525">
        <v>689</v>
      </c>
      <c r="O3525" s="2">
        <v>46252</v>
      </c>
      <c r="P3525" s="2">
        <v>46294</v>
      </c>
      <c r="R3525" t="s">
        <v>9335</v>
      </c>
      <c r="S3525" t="str">
        <f>"0000050413988"</f>
        <v>0000050413988</v>
      </c>
      <c r="T3525" t="s">
        <v>41</v>
      </c>
      <c r="U3525">
        <v>169.4</v>
      </c>
      <c r="V3525">
        <v>164.32</v>
      </c>
      <c r="W3525">
        <v>164.32</v>
      </c>
      <c r="X3525">
        <v>0</v>
      </c>
      <c r="Y3525">
        <v>0</v>
      </c>
      <c r="Z3525">
        <v>-519</v>
      </c>
      <c r="AA3525">
        <v>4383</v>
      </c>
      <c r="AD3525" t="s">
        <v>9324</v>
      </c>
      <c r="AE3525">
        <v>1631726919</v>
      </c>
      <c r="AF3525" t="s">
        <v>9324</v>
      </c>
      <c r="AG3525">
        <v>19868024000780</v>
      </c>
      <c r="AH3525" t="s">
        <v>44</v>
      </c>
    </row>
    <row r="3526" spans="1:34" x14ac:dyDescent="0.3">
      <c r="A3526">
        <v>101</v>
      </c>
      <c r="B3526" t="s">
        <v>34</v>
      </c>
      <c r="C3526">
        <v>2</v>
      </c>
      <c r="D3526" s="1" t="s">
        <v>9333</v>
      </c>
      <c r="E3526" s="1" t="s">
        <v>36</v>
      </c>
      <c r="G3526">
        <v>452495</v>
      </c>
      <c r="H3526" t="s">
        <v>9334</v>
      </c>
      <c r="I3526" t="s">
        <v>9287</v>
      </c>
      <c r="J3526">
        <v>26</v>
      </c>
      <c r="K3526">
        <v>12767</v>
      </c>
      <c r="L3526">
        <v>50033</v>
      </c>
      <c r="M3526" t="s">
        <v>39</v>
      </c>
      <c r="N3526">
        <v>689</v>
      </c>
      <c r="O3526" s="2">
        <v>46252</v>
      </c>
      <c r="P3526" s="2">
        <v>46287</v>
      </c>
      <c r="R3526" t="s">
        <v>9335</v>
      </c>
      <c r="S3526" t="str">
        <f>"0000050413970"</f>
        <v>0000050413970</v>
      </c>
      <c r="T3526" t="s">
        <v>41</v>
      </c>
      <c r="U3526">
        <v>189.36</v>
      </c>
      <c r="V3526">
        <v>183.68</v>
      </c>
      <c r="W3526">
        <v>183.68</v>
      </c>
      <c r="X3526">
        <v>0</v>
      </c>
      <c r="Y3526">
        <v>0</v>
      </c>
      <c r="Z3526">
        <v>-512</v>
      </c>
      <c r="AA3526">
        <v>4383</v>
      </c>
      <c r="AD3526" t="s">
        <v>9324</v>
      </c>
      <c r="AE3526">
        <v>1631726919</v>
      </c>
      <c r="AF3526" t="s">
        <v>9324</v>
      </c>
      <c r="AG3526">
        <v>19868024000780</v>
      </c>
      <c r="AH3526" t="s">
        <v>44</v>
      </c>
    </row>
    <row r="3527" spans="1:34" x14ac:dyDescent="0.3">
      <c r="A3527">
        <v>101</v>
      </c>
      <c r="B3527" t="s">
        <v>34</v>
      </c>
      <c r="C3527">
        <v>2</v>
      </c>
      <c r="D3527" s="1" t="s">
        <v>9336</v>
      </c>
      <c r="E3527" s="1" t="s">
        <v>36</v>
      </c>
      <c r="G3527">
        <v>452495</v>
      </c>
      <c r="H3527" t="s">
        <v>9334</v>
      </c>
      <c r="I3527" t="s">
        <v>9287</v>
      </c>
      <c r="J3527">
        <v>26</v>
      </c>
      <c r="K3527">
        <v>12767</v>
      </c>
      <c r="L3527">
        <v>50033</v>
      </c>
      <c r="M3527" t="s">
        <v>39</v>
      </c>
      <c r="N3527">
        <v>689</v>
      </c>
      <c r="O3527" s="2">
        <v>46252</v>
      </c>
      <c r="P3527" s="2">
        <v>46287</v>
      </c>
      <c r="R3527" t="s">
        <v>9337</v>
      </c>
      <c r="S3527" t="str">
        <f>"0000050414003"</f>
        <v>0000050414003</v>
      </c>
      <c r="T3527" t="s">
        <v>41</v>
      </c>
      <c r="U3527">
        <v>667.79</v>
      </c>
      <c r="V3527">
        <v>647.76</v>
      </c>
      <c r="W3527">
        <v>647.76</v>
      </c>
      <c r="X3527">
        <v>0</v>
      </c>
      <c r="Y3527">
        <v>0</v>
      </c>
      <c r="Z3527">
        <v>-512</v>
      </c>
      <c r="AA3527">
        <v>4535</v>
      </c>
      <c r="AD3527" t="s">
        <v>9324</v>
      </c>
      <c r="AE3527">
        <v>1631726919</v>
      </c>
      <c r="AF3527" t="s">
        <v>9324</v>
      </c>
      <c r="AG3527">
        <v>19868024000780</v>
      </c>
      <c r="AH3527" t="s">
        <v>44</v>
      </c>
    </row>
    <row r="3528" spans="1:34" x14ac:dyDescent="0.3">
      <c r="A3528">
        <v>101</v>
      </c>
      <c r="B3528" t="s">
        <v>34</v>
      </c>
      <c r="C3528">
        <v>2</v>
      </c>
      <c r="D3528" s="1" t="s">
        <v>9333</v>
      </c>
      <c r="E3528" s="1" t="s">
        <v>116</v>
      </c>
      <c r="G3528">
        <v>452495</v>
      </c>
      <c r="H3528" t="s">
        <v>9334</v>
      </c>
      <c r="I3528" t="s">
        <v>9287</v>
      </c>
      <c r="J3528">
        <v>26</v>
      </c>
      <c r="K3528">
        <v>12767</v>
      </c>
      <c r="L3528">
        <v>50033</v>
      </c>
      <c r="M3528" t="s">
        <v>39</v>
      </c>
      <c r="N3528">
        <v>689</v>
      </c>
      <c r="O3528" s="2">
        <v>46252</v>
      </c>
      <c r="P3528" s="2">
        <v>46301</v>
      </c>
      <c r="R3528" t="s">
        <v>9335</v>
      </c>
      <c r="S3528" t="str">
        <f>"0000050413996"</f>
        <v>0000050413996</v>
      </c>
      <c r="T3528" t="s">
        <v>41</v>
      </c>
      <c r="U3528">
        <v>169.45</v>
      </c>
      <c r="V3528">
        <v>164.37</v>
      </c>
      <c r="W3528">
        <v>164.37</v>
      </c>
      <c r="X3528">
        <v>0</v>
      </c>
      <c r="Y3528">
        <v>0</v>
      </c>
      <c r="Z3528">
        <v>-526</v>
      </c>
      <c r="AA3528">
        <v>4383</v>
      </c>
      <c r="AD3528" t="s">
        <v>9324</v>
      </c>
      <c r="AE3528">
        <v>1631726919</v>
      </c>
      <c r="AF3528" t="s">
        <v>9324</v>
      </c>
      <c r="AG3528">
        <v>19868024000780</v>
      </c>
      <c r="AH3528" t="s">
        <v>44</v>
      </c>
    </row>
    <row r="3529" spans="1:34" x14ac:dyDescent="0.3">
      <c r="A3529">
        <v>101</v>
      </c>
      <c r="B3529" t="s">
        <v>34</v>
      </c>
      <c r="C3529">
        <v>2</v>
      </c>
      <c r="D3529" s="1" t="s">
        <v>9336</v>
      </c>
      <c r="E3529" s="1" t="s">
        <v>116</v>
      </c>
      <c r="G3529">
        <v>452495</v>
      </c>
      <c r="H3529" t="s">
        <v>9334</v>
      </c>
      <c r="I3529" t="s">
        <v>9287</v>
      </c>
      <c r="J3529">
        <v>26</v>
      </c>
      <c r="K3529">
        <v>12767</v>
      </c>
      <c r="L3529">
        <v>50033</v>
      </c>
      <c r="M3529" t="s">
        <v>39</v>
      </c>
      <c r="N3529">
        <v>689</v>
      </c>
      <c r="O3529" s="2">
        <v>46252</v>
      </c>
      <c r="P3529" s="2">
        <v>46301</v>
      </c>
      <c r="R3529" t="s">
        <v>9337</v>
      </c>
      <c r="S3529" t="str">
        <f>"0000050414020"</f>
        <v>0000050414020</v>
      </c>
      <c r="T3529" t="s">
        <v>41</v>
      </c>
      <c r="U3529">
        <v>618.92999999999995</v>
      </c>
      <c r="V3529">
        <v>600.36</v>
      </c>
      <c r="W3529">
        <v>600.36</v>
      </c>
      <c r="X3529">
        <v>0</v>
      </c>
      <c r="Y3529">
        <v>0</v>
      </c>
      <c r="Z3529">
        <v>-526</v>
      </c>
      <c r="AA3529">
        <v>4535</v>
      </c>
      <c r="AD3529" t="s">
        <v>9324</v>
      </c>
      <c r="AE3529">
        <v>1631726919</v>
      </c>
      <c r="AF3529" t="s">
        <v>9324</v>
      </c>
      <c r="AG3529">
        <v>19868024000780</v>
      </c>
      <c r="AH3529" t="s">
        <v>44</v>
      </c>
    </row>
    <row r="3530" spans="1:34" x14ac:dyDescent="0.3">
      <c r="A3530">
        <v>101</v>
      </c>
      <c r="B3530" t="s">
        <v>34</v>
      </c>
      <c r="C3530">
        <v>2</v>
      </c>
      <c r="D3530" s="1" t="s">
        <v>9336</v>
      </c>
      <c r="E3530" s="1" t="s">
        <v>122</v>
      </c>
      <c r="G3530">
        <v>452495</v>
      </c>
      <c r="H3530" t="s">
        <v>9334</v>
      </c>
      <c r="I3530" t="s">
        <v>9287</v>
      </c>
      <c r="J3530">
        <v>26</v>
      </c>
      <c r="K3530">
        <v>12767</v>
      </c>
      <c r="L3530">
        <v>50033</v>
      </c>
      <c r="M3530" t="s">
        <v>39</v>
      </c>
      <c r="N3530">
        <v>689</v>
      </c>
      <c r="O3530" s="2">
        <v>46252</v>
      </c>
      <c r="P3530" s="2">
        <v>46294</v>
      </c>
      <c r="R3530" t="s">
        <v>9337</v>
      </c>
      <c r="S3530" t="str">
        <f>"0000050414011"</f>
        <v>0000050414011</v>
      </c>
      <c r="T3530" t="s">
        <v>41</v>
      </c>
      <c r="U3530">
        <v>618.75</v>
      </c>
      <c r="V3530">
        <v>600.19000000000005</v>
      </c>
      <c r="W3530">
        <v>600.19000000000005</v>
      </c>
      <c r="X3530">
        <v>0</v>
      </c>
      <c r="Y3530">
        <v>0</v>
      </c>
      <c r="Z3530">
        <v>-519</v>
      </c>
      <c r="AA3530">
        <v>4535</v>
      </c>
      <c r="AD3530" t="s">
        <v>9324</v>
      </c>
      <c r="AE3530">
        <v>1631726919</v>
      </c>
      <c r="AF3530" t="s">
        <v>9324</v>
      </c>
      <c r="AG3530">
        <v>19868024000780</v>
      </c>
      <c r="AH3530" t="s">
        <v>44</v>
      </c>
    </row>
    <row r="3531" spans="1:34" x14ac:dyDescent="0.3">
      <c r="A3531">
        <v>101</v>
      </c>
      <c r="B3531" t="s">
        <v>34</v>
      </c>
      <c r="C3531">
        <v>2</v>
      </c>
      <c r="D3531" s="1" t="s">
        <v>9338</v>
      </c>
      <c r="E3531" s="1" t="s">
        <v>36</v>
      </c>
      <c r="G3531">
        <v>453928</v>
      </c>
      <c r="H3531" t="s">
        <v>9328</v>
      </c>
      <c r="I3531" t="s">
        <v>9287</v>
      </c>
      <c r="J3531">
        <v>26</v>
      </c>
      <c r="K3531">
        <v>12767</v>
      </c>
      <c r="L3531">
        <v>50033</v>
      </c>
      <c r="M3531" t="s">
        <v>39</v>
      </c>
      <c r="N3531">
        <v>689</v>
      </c>
      <c r="O3531" s="2">
        <v>46254</v>
      </c>
      <c r="P3531" s="2">
        <v>46289</v>
      </c>
      <c r="R3531" t="s">
        <v>9339</v>
      </c>
      <c r="S3531" t="str">
        <f>"0000050414372"</f>
        <v>0000050414372</v>
      </c>
      <c r="T3531" t="s">
        <v>41</v>
      </c>
      <c r="U3531">
        <v>857.96</v>
      </c>
      <c r="V3531">
        <v>832.22</v>
      </c>
      <c r="W3531">
        <v>832.22</v>
      </c>
      <c r="X3531">
        <v>0</v>
      </c>
      <c r="Y3531">
        <v>0</v>
      </c>
      <c r="Z3531">
        <v>-514</v>
      </c>
      <c r="AA3531">
        <v>4538</v>
      </c>
      <c r="AD3531" t="s">
        <v>9340</v>
      </c>
      <c r="AF3531" t="s">
        <v>9340</v>
      </c>
      <c r="AG3531">
        <v>19868024000942</v>
      </c>
      <c r="AH3531" t="s">
        <v>44</v>
      </c>
    </row>
    <row r="3532" spans="1:34" x14ac:dyDescent="0.3">
      <c r="A3532">
        <v>101</v>
      </c>
      <c r="B3532" t="s">
        <v>34</v>
      </c>
      <c r="C3532">
        <v>2</v>
      </c>
      <c r="D3532" s="1" t="s">
        <v>9338</v>
      </c>
      <c r="E3532" s="1" t="s">
        <v>116</v>
      </c>
      <c r="G3532">
        <v>453928</v>
      </c>
      <c r="H3532" t="s">
        <v>9328</v>
      </c>
      <c r="I3532" t="s">
        <v>9287</v>
      </c>
      <c r="J3532">
        <v>26</v>
      </c>
      <c r="K3532">
        <v>12767</v>
      </c>
      <c r="L3532">
        <v>50033</v>
      </c>
      <c r="M3532" t="s">
        <v>39</v>
      </c>
      <c r="N3532">
        <v>689</v>
      </c>
      <c r="O3532" s="2">
        <v>46254</v>
      </c>
      <c r="P3532" s="2">
        <v>46303</v>
      </c>
      <c r="R3532" t="s">
        <v>9339</v>
      </c>
      <c r="S3532" t="str">
        <f>"0000050414399"</f>
        <v>0000050414399</v>
      </c>
      <c r="T3532" t="s">
        <v>41</v>
      </c>
      <c r="U3532">
        <v>806.97</v>
      </c>
      <c r="V3532">
        <v>782.76</v>
      </c>
      <c r="W3532">
        <v>782.76</v>
      </c>
      <c r="X3532">
        <v>0</v>
      </c>
      <c r="Y3532">
        <v>0</v>
      </c>
      <c r="Z3532">
        <v>-528</v>
      </c>
      <c r="AA3532">
        <v>4538</v>
      </c>
      <c r="AD3532" t="s">
        <v>9340</v>
      </c>
      <c r="AF3532" t="s">
        <v>9340</v>
      </c>
      <c r="AG3532">
        <v>19868024000942</v>
      </c>
      <c r="AH3532" t="s">
        <v>44</v>
      </c>
    </row>
    <row r="3533" spans="1:34" x14ac:dyDescent="0.3">
      <c r="A3533">
        <v>101</v>
      </c>
      <c r="B3533" t="s">
        <v>34</v>
      </c>
      <c r="C3533">
        <v>2</v>
      </c>
      <c r="D3533" s="1" t="s">
        <v>9338</v>
      </c>
      <c r="E3533" s="1" t="s">
        <v>122</v>
      </c>
      <c r="G3533">
        <v>453928</v>
      </c>
      <c r="H3533" t="s">
        <v>9328</v>
      </c>
      <c r="I3533" t="s">
        <v>9287</v>
      </c>
      <c r="J3533">
        <v>26</v>
      </c>
      <c r="K3533">
        <v>12767</v>
      </c>
      <c r="L3533">
        <v>50033</v>
      </c>
      <c r="M3533" t="s">
        <v>39</v>
      </c>
      <c r="N3533">
        <v>689</v>
      </c>
      <c r="O3533" s="2">
        <v>46254</v>
      </c>
      <c r="P3533" s="2">
        <v>46296</v>
      </c>
      <c r="R3533" t="s">
        <v>9339</v>
      </c>
      <c r="S3533" t="str">
        <f>"0000050414380"</f>
        <v>0000050414380</v>
      </c>
      <c r="T3533" t="s">
        <v>41</v>
      </c>
      <c r="U3533">
        <v>806.73</v>
      </c>
      <c r="V3533">
        <v>782.53</v>
      </c>
      <c r="W3533">
        <v>782.53</v>
      </c>
      <c r="X3533">
        <v>0</v>
      </c>
      <c r="Y3533">
        <v>0</v>
      </c>
      <c r="Z3533">
        <v>-521</v>
      </c>
      <c r="AA3533">
        <v>4538</v>
      </c>
      <c r="AD3533" t="s">
        <v>9340</v>
      </c>
      <c r="AF3533" t="s">
        <v>9340</v>
      </c>
      <c r="AG3533">
        <v>19868024000942</v>
      </c>
      <c r="AH3533" t="s">
        <v>44</v>
      </c>
    </row>
    <row r="3534" spans="1:34" x14ac:dyDescent="0.3">
      <c r="A3534">
        <v>101</v>
      </c>
      <c r="B3534" t="s">
        <v>34</v>
      </c>
      <c r="C3534">
        <v>2</v>
      </c>
      <c r="D3534" s="1" t="s">
        <v>9341</v>
      </c>
      <c r="E3534" s="1" t="s">
        <v>36</v>
      </c>
      <c r="G3534">
        <v>453928</v>
      </c>
      <c r="H3534" t="s">
        <v>9328</v>
      </c>
      <c r="I3534" t="s">
        <v>9287</v>
      </c>
      <c r="J3534">
        <v>26</v>
      </c>
      <c r="K3534">
        <v>12767</v>
      </c>
      <c r="L3534">
        <v>50033</v>
      </c>
      <c r="M3534" t="s">
        <v>39</v>
      </c>
      <c r="N3534">
        <v>689</v>
      </c>
      <c r="O3534" s="2">
        <v>46253</v>
      </c>
      <c r="P3534" s="2">
        <v>46288</v>
      </c>
      <c r="R3534" t="s">
        <v>9342</v>
      </c>
      <c r="S3534" t="str">
        <f>"0000050414216"</f>
        <v>0000050414216</v>
      </c>
      <c r="T3534" t="s">
        <v>41</v>
      </c>
      <c r="U3534">
        <v>1263.6600000000001</v>
      </c>
      <c r="V3534">
        <v>1225.75</v>
      </c>
      <c r="W3534">
        <v>1225.75</v>
      </c>
      <c r="X3534">
        <v>0</v>
      </c>
      <c r="Y3534">
        <v>0</v>
      </c>
      <c r="Z3534">
        <v>-513</v>
      </c>
      <c r="AA3534">
        <v>4398</v>
      </c>
      <c r="AD3534" t="s">
        <v>9340</v>
      </c>
      <c r="AF3534" t="s">
        <v>9340</v>
      </c>
      <c r="AG3534">
        <v>19868024000942</v>
      </c>
      <c r="AH3534" t="s">
        <v>44</v>
      </c>
    </row>
    <row r="3535" spans="1:34" x14ac:dyDescent="0.3">
      <c r="A3535">
        <v>101</v>
      </c>
      <c r="B3535" t="s">
        <v>34</v>
      </c>
      <c r="C3535">
        <v>2</v>
      </c>
      <c r="D3535" s="1" t="s">
        <v>9341</v>
      </c>
      <c r="E3535" s="1" t="s">
        <v>122</v>
      </c>
      <c r="G3535">
        <v>453928</v>
      </c>
      <c r="H3535" t="s">
        <v>9328</v>
      </c>
      <c r="I3535" t="s">
        <v>9287</v>
      </c>
      <c r="J3535">
        <v>26</v>
      </c>
      <c r="K3535">
        <v>12767</v>
      </c>
      <c r="L3535">
        <v>50033</v>
      </c>
      <c r="M3535" t="s">
        <v>39</v>
      </c>
      <c r="N3535">
        <v>689</v>
      </c>
      <c r="O3535" s="2">
        <v>46253</v>
      </c>
      <c r="P3535" s="2">
        <v>46295</v>
      </c>
      <c r="R3535" t="s">
        <v>9342</v>
      </c>
      <c r="S3535" t="str">
        <f>"0000050414224"</f>
        <v>0000050414224</v>
      </c>
      <c r="T3535" t="s">
        <v>41</v>
      </c>
      <c r="U3535">
        <v>1084.19</v>
      </c>
      <c r="V3535">
        <v>1051.6600000000001</v>
      </c>
      <c r="W3535">
        <v>1051.6600000000001</v>
      </c>
      <c r="X3535">
        <v>0</v>
      </c>
      <c r="Y3535">
        <v>0</v>
      </c>
      <c r="Z3535">
        <v>-520</v>
      </c>
      <c r="AA3535">
        <v>4398</v>
      </c>
      <c r="AD3535" t="s">
        <v>9340</v>
      </c>
      <c r="AF3535" t="s">
        <v>9340</v>
      </c>
      <c r="AG3535">
        <v>19868024000942</v>
      </c>
      <c r="AH3535" t="s">
        <v>44</v>
      </c>
    </row>
    <row r="3536" spans="1:34" x14ac:dyDescent="0.3">
      <c r="A3536">
        <v>101</v>
      </c>
      <c r="B3536" t="s">
        <v>34</v>
      </c>
      <c r="C3536">
        <v>2</v>
      </c>
      <c r="D3536" s="1" t="s">
        <v>9341</v>
      </c>
      <c r="E3536" s="1" t="s">
        <v>116</v>
      </c>
      <c r="G3536">
        <v>453928</v>
      </c>
      <c r="H3536" t="s">
        <v>9328</v>
      </c>
      <c r="I3536" t="s">
        <v>9287</v>
      </c>
      <c r="J3536">
        <v>26</v>
      </c>
      <c r="K3536">
        <v>12767</v>
      </c>
      <c r="L3536">
        <v>50033</v>
      </c>
      <c r="M3536" t="s">
        <v>39</v>
      </c>
      <c r="N3536">
        <v>689</v>
      </c>
      <c r="O3536" s="2">
        <v>46253</v>
      </c>
      <c r="P3536" s="2">
        <v>46302</v>
      </c>
      <c r="R3536" t="s">
        <v>9342</v>
      </c>
      <c r="S3536" t="str">
        <f>"0000050414232"</f>
        <v>0000050414232</v>
      </c>
      <c r="T3536" t="s">
        <v>41</v>
      </c>
      <c r="U3536">
        <v>1084.53</v>
      </c>
      <c r="V3536">
        <v>1051.99</v>
      </c>
      <c r="W3536">
        <v>1051.99</v>
      </c>
      <c r="X3536">
        <v>0</v>
      </c>
      <c r="Y3536">
        <v>0</v>
      </c>
      <c r="Z3536">
        <v>-527</v>
      </c>
      <c r="AA3536">
        <v>4398</v>
      </c>
      <c r="AD3536" t="s">
        <v>9340</v>
      </c>
      <c r="AF3536" t="s">
        <v>9340</v>
      </c>
      <c r="AG3536">
        <v>19868024000942</v>
      </c>
      <c r="AH3536" t="s">
        <v>44</v>
      </c>
    </row>
    <row r="3537" spans="1:34" x14ac:dyDescent="0.3">
      <c r="A3537">
        <v>101</v>
      </c>
      <c r="B3537" t="s">
        <v>34</v>
      </c>
      <c r="C3537">
        <v>2</v>
      </c>
      <c r="D3537" s="1" t="s">
        <v>9343</v>
      </c>
      <c r="E3537" s="1" t="s">
        <v>122</v>
      </c>
      <c r="G3537">
        <v>455783</v>
      </c>
      <c r="H3537" t="s">
        <v>9322</v>
      </c>
      <c r="I3537" t="s">
        <v>9287</v>
      </c>
      <c r="J3537">
        <v>26</v>
      </c>
      <c r="K3537">
        <v>12767</v>
      </c>
      <c r="L3537">
        <v>50033</v>
      </c>
      <c r="M3537" t="s">
        <v>39</v>
      </c>
      <c r="N3537">
        <v>689</v>
      </c>
      <c r="O3537" s="2">
        <v>46254</v>
      </c>
      <c r="P3537" s="2">
        <v>46296</v>
      </c>
      <c r="R3537" t="s">
        <v>9344</v>
      </c>
      <c r="S3537" t="str">
        <f>"0000050414410"</f>
        <v>0000050414410</v>
      </c>
      <c r="T3537" t="s">
        <v>41</v>
      </c>
      <c r="U3537">
        <v>627.91</v>
      </c>
      <c r="V3537">
        <v>609.07000000000005</v>
      </c>
      <c r="W3537">
        <v>609.07000000000005</v>
      </c>
      <c r="X3537">
        <v>0</v>
      </c>
      <c r="Y3537">
        <v>0</v>
      </c>
      <c r="Z3537">
        <v>-521</v>
      </c>
      <c r="AA3537">
        <v>4542</v>
      </c>
      <c r="AD3537" t="s">
        <v>9345</v>
      </c>
      <c r="AF3537" t="s">
        <v>9345</v>
      </c>
      <c r="AG3537">
        <v>19868024001086</v>
      </c>
      <c r="AH3537" t="s">
        <v>44</v>
      </c>
    </row>
    <row r="3538" spans="1:34" x14ac:dyDescent="0.3">
      <c r="A3538">
        <v>101</v>
      </c>
      <c r="B3538" t="s">
        <v>34</v>
      </c>
      <c r="C3538">
        <v>2</v>
      </c>
      <c r="D3538" s="1" t="s">
        <v>9346</v>
      </c>
      <c r="E3538" s="1" t="s">
        <v>122</v>
      </c>
      <c r="G3538">
        <v>455783</v>
      </c>
      <c r="H3538" t="s">
        <v>9322</v>
      </c>
      <c r="I3538" t="s">
        <v>9287</v>
      </c>
      <c r="J3538">
        <v>26</v>
      </c>
      <c r="K3538">
        <v>12767</v>
      </c>
      <c r="L3538">
        <v>50033</v>
      </c>
      <c r="M3538" t="s">
        <v>39</v>
      </c>
      <c r="N3538">
        <v>689</v>
      </c>
      <c r="O3538" s="2">
        <v>46253</v>
      </c>
      <c r="P3538" s="2">
        <v>46295</v>
      </c>
      <c r="R3538" t="s">
        <v>9347</v>
      </c>
      <c r="S3538" t="str">
        <f>"0000050414259"</f>
        <v>0000050414259</v>
      </c>
      <c r="T3538" t="s">
        <v>41</v>
      </c>
      <c r="U3538">
        <v>281.48</v>
      </c>
      <c r="V3538">
        <v>273.04000000000002</v>
      </c>
      <c r="W3538">
        <v>273.04000000000002</v>
      </c>
      <c r="X3538">
        <v>0</v>
      </c>
      <c r="Y3538">
        <v>0</v>
      </c>
      <c r="Z3538">
        <v>-520</v>
      </c>
      <c r="AA3538">
        <v>4399</v>
      </c>
      <c r="AD3538" t="s">
        <v>9345</v>
      </c>
      <c r="AF3538" t="s">
        <v>9345</v>
      </c>
      <c r="AG3538">
        <v>19868024001086</v>
      </c>
      <c r="AH3538" t="s">
        <v>44</v>
      </c>
    </row>
    <row r="3539" spans="1:34" x14ac:dyDescent="0.3">
      <c r="A3539">
        <v>101</v>
      </c>
      <c r="B3539" t="s">
        <v>34</v>
      </c>
      <c r="C3539">
        <v>2</v>
      </c>
      <c r="D3539" s="1" t="s">
        <v>9346</v>
      </c>
      <c r="E3539" s="1" t="s">
        <v>36</v>
      </c>
      <c r="G3539">
        <v>455783</v>
      </c>
      <c r="H3539" t="s">
        <v>9322</v>
      </c>
      <c r="I3539" t="s">
        <v>9287</v>
      </c>
      <c r="J3539">
        <v>26</v>
      </c>
      <c r="K3539">
        <v>12767</v>
      </c>
      <c r="L3539">
        <v>50033</v>
      </c>
      <c r="M3539" t="s">
        <v>39</v>
      </c>
      <c r="N3539">
        <v>689</v>
      </c>
      <c r="O3539" s="2">
        <v>46253</v>
      </c>
      <c r="P3539" s="2">
        <v>46288</v>
      </c>
      <c r="R3539" t="s">
        <v>9347</v>
      </c>
      <c r="S3539" t="str">
        <f>"0000050414240"</f>
        <v>0000050414240</v>
      </c>
      <c r="T3539" t="s">
        <v>41</v>
      </c>
      <c r="U3539">
        <v>314.87</v>
      </c>
      <c r="V3539">
        <v>305.42</v>
      </c>
      <c r="W3539">
        <v>305.42</v>
      </c>
      <c r="X3539">
        <v>0</v>
      </c>
      <c r="Y3539">
        <v>0</v>
      </c>
      <c r="Z3539">
        <v>-513</v>
      </c>
      <c r="AA3539">
        <v>4399</v>
      </c>
      <c r="AD3539" t="s">
        <v>9345</v>
      </c>
      <c r="AF3539" t="s">
        <v>9345</v>
      </c>
      <c r="AG3539">
        <v>19868024001086</v>
      </c>
      <c r="AH3539" t="s">
        <v>44</v>
      </c>
    </row>
    <row r="3540" spans="1:34" x14ac:dyDescent="0.3">
      <c r="A3540">
        <v>101</v>
      </c>
      <c r="B3540" t="s">
        <v>34</v>
      </c>
      <c r="C3540">
        <v>2</v>
      </c>
      <c r="D3540" s="1" t="s">
        <v>9343</v>
      </c>
      <c r="E3540" s="1" t="s">
        <v>36</v>
      </c>
      <c r="G3540">
        <v>455783</v>
      </c>
      <c r="H3540" t="s">
        <v>9322</v>
      </c>
      <c r="I3540" t="s">
        <v>9287</v>
      </c>
      <c r="J3540">
        <v>26</v>
      </c>
      <c r="K3540">
        <v>12767</v>
      </c>
      <c r="L3540">
        <v>50033</v>
      </c>
      <c r="M3540" t="s">
        <v>39</v>
      </c>
      <c r="N3540">
        <v>689</v>
      </c>
      <c r="O3540" s="2">
        <v>46254</v>
      </c>
      <c r="P3540" s="2">
        <v>46289</v>
      </c>
      <c r="R3540" t="s">
        <v>9344</v>
      </c>
      <c r="S3540" t="str">
        <f>"0000050414402"</f>
        <v>0000050414402</v>
      </c>
      <c r="T3540" t="s">
        <v>41</v>
      </c>
      <c r="U3540">
        <v>672.64</v>
      </c>
      <c r="V3540">
        <v>652.46</v>
      </c>
      <c r="W3540">
        <v>652.46</v>
      </c>
      <c r="X3540">
        <v>0</v>
      </c>
      <c r="Y3540">
        <v>0</v>
      </c>
      <c r="Z3540">
        <v>-514</v>
      </c>
      <c r="AA3540">
        <v>4542</v>
      </c>
      <c r="AD3540" t="s">
        <v>9345</v>
      </c>
      <c r="AF3540" t="s">
        <v>9345</v>
      </c>
      <c r="AG3540">
        <v>19868024001086</v>
      </c>
      <c r="AH3540" t="s">
        <v>44</v>
      </c>
    </row>
    <row r="3541" spans="1:34" x14ac:dyDescent="0.3">
      <c r="A3541">
        <v>101</v>
      </c>
      <c r="B3541" t="s">
        <v>34</v>
      </c>
      <c r="C3541">
        <v>2</v>
      </c>
      <c r="D3541" s="1" t="s">
        <v>9346</v>
      </c>
      <c r="E3541" s="1" t="s">
        <v>116</v>
      </c>
      <c r="G3541">
        <v>455783</v>
      </c>
      <c r="H3541" t="s">
        <v>9322</v>
      </c>
      <c r="I3541" t="s">
        <v>9287</v>
      </c>
      <c r="J3541">
        <v>26</v>
      </c>
      <c r="K3541">
        <v>12767</v>
      </c>
      <c r="L3541">
        <v>50033</v>
      </c>
      <c r="M3541" t="s">
        <v>39</v>
      </c>
      <c r="N3541">
        <v>689</v>
      </c>
      <c r="O3541" s="2">
        <v>46253</v>
      </c>
      <c r="P3541" s="2">
        <v>46302</v>
      </c>
      <c r="R3541" t="s">
        <v>9347</v>
      </c>
      <c r="S3541" t="str">
        <f>"0000050414267"</f>
        <v>0000050414267</v>
      </c>
      <c r="T3541" t="s">
        <v>41</v>
      </c>
      <c r="U3541">
        <v>281.57</v>
      </c>
      <c r="V3541">
        <v>273.12</v>
      </c>
      <c r="W3541">
        <v>273.12</v>
      </c>
      <c r="X3541">
        <v>0</v>
      </c>
      <c r="Y3541">
        <v>0</v>
      </c>
      <c r="Z3541">
        <v>-527</v>
      </c>
      <c r="AA3541">
        <v>4399</v>
      </c>
      <c r="AD3541" t="s">
        <v>9345</v>
      </c>
      <c r="AF3541" t="s">
        <v>9345</v>
      </c>
      <c r="AG3541">
        <v>19868024001086</v>
      </c>
      <c r="AH3541" t="s">
        <v>44</v>
      </c>
    </row>
    <row r="3542" spans="1:34" x14ac:dyDescent="0.3">
      <c r="A3542">
        <v>101</v>
      </c>
      <c r="B3542" t="s">
        <v>34</v>
      </c>
      <c r="C3542">
        <v>2</v>
      </c>
      <c r="D3542" s="1" t="s">
        <v>9343</v>
      </c>
      <c r="E3542" s="1" t="s">
        <v>116</v>
      </c>
      <c r="G3542">
        <v>455783</v>
      </c>
      <c r="H3542" t="s">
        <v>9322</v>
      </c>
      <c r="I3542" t="s">
        <v>9287</v>
      </c>
      <c r="J3542">
        <v>26</v>
      </c>
      <c r="K3542">
        <v>12767</v>
      </c>
      <c r="L3542">
        <v>50033</v>
      </c>
      <c r="M3542" t="s">
        <v>39</v>
      </c>
      <c r="N3542">
        <v>689</v>
      </c>
      <c r="O3542" s="2">
        <v>46254</v>
      </c>
      <c r="P3542" s="2">
        <v>46303</v>
      </c>
      <c r="R3542" t="s">
        <v>9344</v>
      </c>
      <c r="S3542" t="str">
        <f>"0000050414429"</f>
        <v>0000050414429</v>
      </c>
      <c r="T3542" t="s">
        <v>41</v>
      </c>
      <c r="U3542">
        <v>628.11</v>
      </c>
      <c r="V3542">
        <v>609.27</v>
      </c>
      <c r="W3542">
        <v>609.27</v>
      </c>
      <c r="X3542">
        <v>0</v>
      </c>
      <c r="Y3542">
        <v>0</v>
      </c>
      <c r="Z3542">
        <v>-528</v>
      </c>
      <c r="AA3542">
        <v>4542</v>
      </c>
      <c r="AD3542" t="s">
        <v>9345</v>
      </c>
      <c r="AF3542" t="s">
        <v>9345</v>
      </c>
      <c r="AG3542">
        <v>19868024001086</v>
      </c>
      <c r="AH3542" t="s">
        <v>44</v>
      </c>
    </row>
    <row r="3543" spans="1:34" x14ac:dyDescent="0.3">
      <c r="A3543">
        <v>101</v>
      </c>
      <c r="B3543" t="s">
        <v>34</v>
      </c>
      <c r="C3543">
        <v>2</v>
      </c>
      <c r="D3543" s="1" t="s">
        <v>9348</v>
      </c>
      <c r="E3543" s="1" t="s">
        <v>36</v>
      </c>
      <c r="G3543">
        <v>458729</v>
      </c>
      <c r="H3543" t="s">
        <v>9334</v>
      </c>
      <c r="I3543" t="s">
        <v>9287</v>
      </c>
      <c r="J3543">
        <v>26</v>
      </c>
      <c r="K3543">
        <v>12767</v>
      </c>
      <c r="L3543">
        <v>50033</v>
      </c>
      <c r="M3543" t="s">
        <v>39</v>
      </c>
      <c r="N3543">
        <v>689</v>
      </c>
      <c r="O3543" s="2">
        <v>46253</v>
      </c>
      <c r="P3543" s="2">
        <v>46288</v>
      </c>
      <c r="R3543" t="s">
        <v>9349</v>
      </c>
      <c r="S3543" t="str">
        <f>"0000050414275"</f>
        <v>0000050414275</v>
      </c>
      <c r="T3543" t="s">
        <v>41</v>
      </c>
      <c r="U3543">
        <v>372.01</v>
      </c>
      <c r="V3543">
        <v>360.85</v>
      </c>
      <c r="W3543">
        <v>360.85</v>
      </c>
      <c r="X3543">
        <v>0</v>
      </c>
      <c r="Y3543">
        <v>0</v>
      </c>
      <c r="Z3543">
        <v>-513</v>
      </c>
      <c r="AA3543">
        <v>4400</v>
      </c>
      <c r="AD3543" t="s">
        <v>9318</v>
      </c>
      <c r="AE3543">
        <v>1638100410</v>
      </c>
      <c r="AF3543" t="s">
        <v>9318</v>
      </c>
      <c r="AG3543">
        <v>19868024001167</v>
      </c>
      <c r="AH3543" t="s">
        <v>44</v>
      </c>
    </row>
    <row r="3544" spans="1:34" x14ac:dyDescent="0.3">
      <c r="A3544">
        <v>101</v>
      </c>
      <c r="B3544" t="s">
        <v>34</v>
      </c>
      <c r="C3544">
        <v>2</v>
      </c>
      <c r="D3544" s="1" t="s">
        <v>9350</v>
      </c>
      <c r="E3544" s="1" t="s">
        <v>36</v>
      </c>
      <c r="G3544">
        <v>458729</v>
      </c>
      <c r="H3544" t="s">
        <v>9334</v>
      </c>
      <c r="I3544" t="s">
        <v>9287</v>
      </c>
      <c r="J3544">
        <v>26</v>
      </c>
      <c r="K3544">
        <v>12767</v>
      </c>
      <c r="L3544">
        <v>50033</v>
      </c>
      <c r="M3544" t="s">
        <v>39</v>
      </c>
      <c r="N3544">
        <v>689</v>
      </c>
      <c r="O3544" s="2">
        <v>46254</v>
      </c>
      <c r="P3544" s="2">
        <v>46289</v>
      </c>
      <c r="R3544" t="s">
        <v>9351</v>
      </c>
      <c r="S3544" t="str">
        <f>"0000050414437"</f>
        <v>0000050414437</v>
      </c>
      <c r="T3544" t="s">
        <v>41</v>
      </c>
      <c r="U3544">
        <v>639.4</v>
      </c>
      <c r="V3544">
        <v>620.22</v>
      </c>
      <c r="W3544">
        <v>620.22</v>
      </c>
      <c r="X3544">
        <v>0</v>
      </c>
      <c r="Y3544">
        <v>0</v>
      </c>
      <c r="Z3544">
        <v>-514</v>
      </c>
      <c r="AA3544">
        <v>4543</v>
      </c>
      <c r="AD3544" t="s">
        <v>9318</v>
      </c>
      <c r="AE3544">
        <v>1638100410</v>
      </c>
      <c r="AF3544" t="s">
        <v>9318</v>
      </c>
      <c r="AG3544">
        <v>19868024001167</v>
      </c>
      <c r="AH3544" t="s">
        <v>44</v>
      </c>
    </row>
    <row r="3545" spans="1:34" x14ac:dyDescent="0.3">
      <c r="A3545">
        <v>101</v>
      </c>
      <c r="B3545" t="s">
        <v>34</v>
      </c>
      <c r="C3545">
        <v>2</v>
      </c>
      <c r="D3545" s="1" t="s">
        <v>9350</v>
      </c>
      <c r="E3545" s="1" t="s">
        <v>122</v>
      </c>
      <c r="G3545">
        <v>458729</v>
      </c>
      <c r="H3545" t="s">
        <v>9334</v>
      </c>
      <c r="I3545" t="s">
        <v>9287</v>
      </c>
      <c r="J3545">
        <v>26</v>
      </c>
      <c r="K3545">
        <v>12767</v>
      </c>
      <c r="L3545">
        <v>50033</v>
      </c>
      <c r="M3545" t="s">
        <v>39</v>
      </c>
      <c r="N3545">
        <v>689</v>
      </c>
      <c r="O3545" s="2">
        <v>46254</v>
      </c>
      <c r="P3545" s="2">
        <v>46296</v>
      </c>
      <c r="R3545" t="s">
        <v>9351</v>
      </c>
      <c r="S3545" t="str">
        <f>"0000050414445"</f>
        <v>0000050414445</v>
      </c>
      <c r="T3545" t="s">
        <v>41</v>
      </c>
      <c r="U3545">
        <v>596.87</v>
      </c>
      <c r="V3545">
        <v>578.96</v>
      </c>
      <c r="W3545">
        <v>578.96</v>
      </c>
      <c r="X3545">
        <v>0</v>
      </c>
      <c r="Y3545">
        <v>0</v>
      </c>
      <c r="Z3545">
        <v>-521</v>
      </c>
      <c r="AA3545">
        <v>4543</v>
      </c>
      <c r="AD3545" t="s">
        <v>9318</v>
      </c>
      <c r="AE3545">
        <v>1638100410</v>
      </c>
      <c r="AF3545" t="s">
        <v>9318</v>
      </c>
      <c r="AG3545">
        <v>19868024001167</v>
      </c>
      <c r="AH3545" t="s">
        <v>44</v>
      </c>
    </row>
    <row r="3546" spans="1:34" x14ac:dyDescent="0.3">
      <c r="A3546">
        <v>101</v>
      </c>
      <c r="B3546" t="s">
        <v>34</v>
      </c>
      <c r="C3546">
        <v>2</v>
      </c>
      <c r="D3546" s="1" t="s">
        <v>9350</v>
      </c>
      <c r="E3546" s="1" t="s">
        <v>116</v>
      </c>
      <c r="G3546">
        <v>458729</v>
      </c>
      <c r="H3546" t="s">
        <v>9334</v>
      </c>
      <c r="I3546" t="s">
        <v>9287</v>
      </c>
      <c r="J3546">
        <v>26</v>
      </c>
      <c r="K3546">
        <v>12767</v>
      </c>
      <c r="L3546">
        <v>50033</v>
      </c>
      <c r="M3546" t="s">
        <v>39</v>
      </c>
      <c r="N3546">
        <v>689</v>
      </c>
      <c r="O3546" s="2">
        <v>46254</v>
      </c>
      <c r="P3546" s="2">
        <v>46303</v>
      </c>
      <c r="R3546" t="s">
        <v>9351</v>
      </c>
      <c r="S3546" t="str">
        <f>"0000050414453"</f>
        <v>0000050414453</v>
      </c>
      <c r="T3546" t="s">
        <v>41</v>
      </c>
      <c r="U3546">
        <v>597.05999999999995</v>
      </c>
      <c r="V3546">
        <v>579.15</v>
      </c>
      <c r="W3546">
        <v>579.15</v>
      </c>
      <c r="X3546">
        <v>0</v>
      </c>
      <c r="Y3546">
        <v>0</v>
      </c>
      <c r="Z3546">
        <v>-528</v>
      </c>
      <c r="AA3546">
        <v>4543</v>
      </c>
      <c r="AD3546" t="s">
        <v>9318</v>
      </c>
      <c r="AE3546">
        <v>1638100410</v>
      </c>
      <c r="AF3546" t="s">
        <v>9318</v>
      </c>
      <c r="AG3546">
        <v>19868024001167</v>
      </c>
      <c r="AH3546" t="s">
        <v>44</v>
      </c>
    </row>
    <row r="3547" spans="1:34" x14ac:dyDescent="0.3">
      <c r="A3547">
        <v>101</v>
      </c>
      <c r="B3547" t="s">
        <v>34</v>
      </c>
      <c r="C3547">
        <v>2</v>
      </c>
      <c r="D3547" s="1" t="s">
        <v>9348</v>
      </c>
      <c r="E3547" s="1" t="s">
        <v>116</v>
      </c>
      <c r="G3547">
        <v>458729</v>
      </c>
      <c r="H3547" t="s">
        <v>9334</v>
      </c>
      <c r="I3547" t="s">
        <v>9287</v>
      </c>
      <c r="J3547">
        <v>26</v>
      </c>
      <c r="K3547">
        <v>12767</v>
      </c>
      <c r="L3547">
        <v>50033</v>
      </c>
      <c r="M3547" t="s">
        <v>39</v>
      </c>
      <c r="N3547">
        <v>689</v>
      </c>
      <c r="O3547" s="2">
        <v>46253</v>
      </c>
      <c r="P3547" s="2">
        <v>46302</v>
      </c>
      <c r="R3547" t="s">
        <v>9349</v>
      </c>
      <c r="S3547" t="str">
        <f>"0000050414291"</f>
        <v>0000050414291</v>
      </c>
      <c r="T3547" t="s">
        <v>41</v>
      </c>
      <c r="U3547">
        <v>372.12</v>
      </c>
      <c r="V3547">
        <v>360.96</v>
      </c>
      <c r="W3547">
        <v>360.96</v>
      </c>
      <c r="X3547">
        <v>0</v>
      </c>
      <c r="Y3547">
        <v>0</v>
      </c>
      <c r="Z3547">
        <v>-527</v>
      </c>
      <c r="AA3547">
        <v>4400</v>
      </c>
      <c r="AD3547" t="s">
        <v>9318</v>
      </c>
      <c r="AE3547">
        <v>1638100410</v>
      </c>
      <c r="AF3547" t="s">
        <v>9318</v>
      </c>
      <c r="AG3547">
        <v>19868024001167</v>
      </c>
      <c r="AH3547" t="s">
        <v>44</v>
      </c>
    </row>
    <row r="3548" spans="1:34" x14ac:dyDescent="0.3">
      <c r="A3548">
        <v>101</v>
      </c>
      <c r="B3548" t="s">
        <v>34</v>
      </c>
      <c r="C3548">
        <v>2</v>
      </c>
      <c r="D3548" s="1" t="s">
        <v>9348</v>
      </c>
      <c r="E3548" s="1" t="s">
        <v>122</v>
      </c>
      <c r="G3548">
        <v>458729</v>
      </c>
      <c r="H3548" t="s">
        <v>9334</v>
      </c>
      <c r="I3548" t="s">
        <v>9287</v>
      </c>
      <c r="J3548">
        <v>26</v>
      </c>
      <c r="K3548">
        <v>12767</v>
      </c>
      <c r="L3548">
        <v>50033</v>
      </c>
      <c r="M3548" t="s">
        <v>39</v>
      </c>
      <c r="N3548">
        <v>689</v>
      </c>
      <c r="O3548" s="2">
        <v>46253</v>
      </c>
      <c r="P3548" s="2">
        <v>46295</v>
      </c>
      <c r="R3548" t="s">
        <v>9349</v>
      </c>
      <c r="S3548" t="str">
        <f>"0000050414283"</f>
        <v>0000050414283</v>
      </c>
      <c r="T3548" t="s">
        <v>41</v>
      </c>
      <c r="U3548">
        <v>372.01</v>
      </c>
      <c r="V3548">
        <v>360.85</v>
      </c>
      <c r="W3548">
        <v>360.85</v>
      </c>
      <c r="X3548">
        <v>0</v>
      </c>
      <c r="Y3548">
        <v>0</v>
      </c>
      <c r="Z3548">
        <v>-520</v>
      </c>
      <c r="AA3548">
        <v>4400</v>
      </c>
      <c r="AD3548" t="s">
        <v>9318</v>
      </c>
      <c r="AE3548">
        <v>1638100410</v>
      </c>
      <c r="AF3548" t="s">
        <v>9318</v>
      </c>
      <c r="AG3548">
        <v>19868024001167</v>
      </c>
      <c r="AH3548" t="s">
        <v>44</v>
      </c>
    </row>
    <row r="3549" spans="1:34" x14ac:dyDescent="0.3">
      <c r="A3549">
        <v>101</v>
      </c>
      <c r="B3549" t="s">
        <v>34</v>
      </c>
      <c r="C3549">
        <v>2</v>
      </c>
      <c r="D3549" s="1" t="s">
        <v>9352</v>
      </c>
      <c r="E3549" s="1" t="s">
        <v>36</v>
      </c>
      <c r="G3549">
        <v>460278</v>
      </c>
      <c r="H3549" t="s">
        <v>9353</v>
      </c>
      <c r="I3549" t="s">
        <v>9287</v>
      </c>
      <c r="J3549">
        <v>26</v>
      </c>
      <c r="K3549">
        <v>12767</v>
      </c>
      <c r="L3549">
        <v>50033</v>
      </c>
      <c r="M3549" t="s">
        <v>39</v>
      </c>
      <c r="N3549">
        <v>689</v>
      </c>
      <c r="O3549" s="2">
        <v>46252</v>
      </c>
      <c r="P3549" s="2">
        <v>46287</v>
      </c>
      <c r="R3549" t="s">
        <v>9354</v>
      </c>
      <c r="S3549" t="str">
        <f>"0000050414062"</f>
        <v>0000050414062</v>
      </c>
      <c r="T3549" t="s">
        <v>41</v>
      </c>
      <c r="U3549">
        <v>470.93</v>
      </c>
      <c r="V3549">
        <v>456.8</v>
      </c>
      <c r="W3549">
        <v>456.8</v>
      </c>
      <c r="X3549">
        <v>0</v>
      </c>
      <c r="Y3549">
        <v>0</v>
      </c>
      <c r="Z3549">
        <v>-512</v>
      </c>
      <c r="AA3549">
        <v>4544</v>
      </c>
      <c r="AD3549" t="s">
        <v>9324</v>
      </c>
      <c r="AE3549" t="s">
        <v>9355</v>
      </c>
      <c r="AF3549" t="s">
        <v>9324</v>
      </c>
      <c r="AG3549">
        <v>19868024001248</v>
      </c>
      <c r="AH3549" t="s">
        <v>44</v>
      </c>
    </row>
    <row r="3550" spans="1:34" x14ac:dyDescent="0.3">
      <c r="A3550">
        <v>101</v>
      </c>
      <c r="B3550" t="s">
        <v>34</v>
      </c>
      <c r="C3550">
        <v>2</v>
      </c>
      <c r="D3550" s="1" t="s">
        <v>9356</v>
      </c>
      <c r="E3550" s="1" t="s">
        <v>116</v>
      </c>
      <c r="G3550">
        <v>460278</v>
      </c>
      <c r="H3550" t="s">
        <v>9353</v>
      </c>
      <c r="I3550" t="s">
        <v>9287</v>
      </c>
      <c r="J3550">
        <v>26</v>
      </c>
      <c r="K3550">
        <v>12767</v>
      </c>
      <c r="L3550">
        <v>50033</v>
      </c>
      <c r="M3550" t="s">
        <v>39</v>
      </c>
      <c r="N3550">
        <v>689</v>
      </c>
      <c r="O3550" s="2">
        <v>46252</v>
      </c>
      <c r="P3550" s="2">
        <v>46301</v>
      </c>
      <c r="R3550" t="s">
        <v>9357</v>
      </c>
      <c r="S3550" t="str">
        <f>"0000050414054"</f>
        <v>0000050414054</v>
      </c>
      <c r="T3550" t="s">
        <v>41</v>
      </c>
      <c r="U3550">
        <v>298.52</v>
      </c>
      <c r="V3550">
        <v>289.56</v>
      </c>
      <c r="W3550">
        <v>289.56</v>
      </c>
      <c r="X3550">
        <v>0</v>
      </c>
      <c r="Y3550">
        <v>0</v>
      </c>
      <c r="Z3550">
        <v>-526</v>
      </c>
      <c r="AA3550">
        <v>4401</v>
      </c>
      <c r="AD3550" t="s">
        <v>9324</v>
      </c>
      <c r="AE3550" t="s">
        <v>9355</v>
      </c>
      <c r="AF3550" t="s">
        <v>9324</v>
      </c>
      <c r="AG3550">
        <v>19868024001248</v>
      </c>
      <c r="AH3550" t="s">
        <v>44</v>
      </c>
    </row>
    <row r="3551" spans="1:34" x14ac:dyDescent="0.3">
      <c r="A3551">
        <v>101</v>
      </c>
      <c r="B3551" t="s">
        <v>34</v>
      </c>
      <c r="C3551">
        <v>2</v>
      </c>
      <c r="D3551" s="1" t="s">
        <v>9356</v>
      </c>
      <c r="E3551" s="1" t="s">
        <v>122</v>
      </c>
      <c r="G3551">
        <v>460278</v>
      </c>
      <c r="H3551" t="s">
        <v>9353</v>
      </c>
      <c r="I3551" t="s">
        <v>9287</v>
      </c>
      <c r="J3551">
        <v>26</v>
      </c>
      <c r="K3551">
        <v>12767</v>
      </c>
      <c r="L3551">
        <v>50033</v>
      </c>
      <c r="M3551" t="s">
        <v>39</v>
      </c>
      <c r="N3551">
        <v>689</v>
      </c>
      <c r="O3551" s="2">
        <v>46252</v>
      </c>
      <c r="P3551" s="2">
        <v>46294</v>
      </c>
      <c r="R3551" t="s">
        <v>9357</v>
      </c>
      <c r="S3551" t="str">
        <f>"0000050414046"</f>
        <v>0000050414046</v>
      </c>
      <c r="T3551" t="s">
        <v>41</v>
      </c>
      <c r="U3551">
        <v>298.42</v>
      </c>
      <c r="V3551">
        <v>289.47000000000003</v>
      </c>
      <c r="W3551">
        <v>289.47000000000003</v>
      </c>
      <c r="X3551">
        <v>0</v>
      </c>
      <c r="Y3551">
        <v>0</v>
      </c>
      <c r="Z3551">
        <v>-519</v>
      </c>
      <c r="AA3551">
        <v>4401</v>
      </c>
      <c r="AD3551" t="s">
        <v>9324</v>
      </c>
      <c r="AE3551" t="s">
        <v>9355</v>
      </c>
      <c r="AF3551" t="s">
        <v>9324</v>
      </c>
      <c r="AG3551">
        <v>19868024001248</v>
      </c>
      <c r="AH3551" t="s">
        <v>44</v>
      </c>
    </row>
    <row r="3552" spans="1:34" x14ac:dyDescent="0.3">
      <c r="A3552">
        <v>101</v>
      </c>
      <c r="B3552" t="s">
        <v>34</v>
      </c>
      <c r="C3552">
        <v>2</v>
      </c>
      <c r="D3552" s="1" t="s">
        <v>9356</v>
      </c>
      <c r="E3552" s="1" t="s">
        <v>36</v>
      </c>
      <c r="G3552">
        <v>460278</v>
      </c>
      <c r="H3552" t="s">
        <v>9353</v>
      </c>
      <c r="I3552" t="s">
        <v>9287</v>
      </c>
      <c r="J3552">
        <v>26</v>
      </c>
      <c r="K3552">
        <v>12767</v>
      </c>
      <c r="L3552">
        <v>50033</v>
      </c>
      <c r="M3552" t="s">
        <v>39</v>
      </c>
      <c r="N3552">
        <v>689</v>
      </c>
      <c r="O3552" s="2">
        <v>46252</v>
      </c>
      <c r="P3552" s="2">
        <v>46287</v>
      </c>
      <c r="R3552" t="s">
        <v>9357</v>
      </c>
      <c r="S3552" t="str">
        <f>"0000050414038"</f>
        <v>0000050414038</v>
      </c>
      <c r="T3552" t="s">
        <v>41</v>
      </c>
      <c r="U3552">
        <v>338.34</v>
      </c>
      <c r="V3552">
        <v>328.19</v>
      </c>
      <c r="W3552">
        <v>328.19</v>
      </c>
      <c r="X3552">
        <v>0</v>
      </c>
      <c r="Y3552">
        <v>0</v>
      </c>
      <c r="Z3552">
        <v>-512</v>
      </c>
      <c r="AA3552">
        <v>4401</v>
      </c>
      <c r="AD3552" t="s">
        <v>9324</v>
      </c>
      <c r="AE3552" t="s">
        <v>9355</v>
      </c>
      <c r="AF3552" t="s">
        <v>9324</v>
      </c>
      <c r="AG3552">
        <v>19868024001248</v>
      </c>
      <c r="AH3552" t="s">
        <v>44</v>
      </c>
    </row>
    <row r="3553" spans="1:34" x14ac:dyDescent="0.3">
      <c r="A3553">
        <v>101</v>
      </c>
      <c r="B3553" t="s">
        <v>34</v>
      </c>
      <c r="C3553">
        <v>2</v>
      </c>
      <c r="D3553" s="1" t="s">
        <v>9352</v>
      </c>
      <c r="E3553" s="1" t="s">
        <v>116</v>
      </c>
      <c r="G3553">
        <v>460278</v>
      </c>
      <c r="H3553" t="s">
        <v>9353</v>
      </c>
      <c r="I3553" t="s">
        <v>9287</v>
      </c>
      <c r="J3553">
        <v>26</v>
      </c>
      <c r="K3553">
        <v>12767</v>
      </c>
      <c r="L3553">
        <v>50033</v>
      </c>
      <c r="M3553" t="s">
        <v>39</v>
      </c>
      <c r="N3553">
        <v>689</v>
      </c>
      <c r="O3553" s="2">
        <v>46252</v>
      </c>
      <c r="P3553" s="2">
        <v>46301</v>
      </c>
      <c r="R3553" t="s">
        <v>9354</v>
      </c>
      <c r="S3553" t="str">
        <f>"0000050414089"</f>
        <v>0000050414089</v>
      </c>
      <c r="T3553" t="s">
        <v>41</v>
      </c>
      <c r="U3553">
        <v>431.93</v>
      </c>
      <c r="V3553">
        <v>418.97</v>
      </c>
      <c r="W3553">
        <v>418.97</v>
      </c>
      <c r="X3553">
        <v>0</v>
      </c>
      <c r="Y3553">
        <v>0</v>
      </c>
      <c r="Z3553">
        <v>-526</v>
      </c>
      <c r="AA3553">
        <v>4544</v>
      </c>
      <c r="AD3553" t="s">
        <v>9324</v>
      </c>
      <c r="AE3553" t="s">
        <v>9355</v>
      </c>
      <c r="AF3553" t="s">
        <v>9324</v>
      </c>
      <c r="AG3553">
        <v>19868024001248</v>
      </c>
      <c r="AH3553" t="s">
        <v>44</v>
      </c>
    </row>
    <row r="3554" spans="1:34" x14ac:dyDescent="0.3">
      <c r="A3554">
        <v>101</v>
      </c>
      <c r="B3554" t="s">
        <v>34</v>
      </c>
      <c r="C3554">
        <v>2</v>
      </c>
      <c r="D3554" s="1" t="s">
        <v>9352</v>
      </c>
      <c r="E3554" s="1" t="s">
        <v>122</v>
      </c>
      <c r="G3554">
        <v>460278</v>
      </c>
      <c r="H3554" t="s">
        <v>9353</v>
      </c>
      <c r="I3554" t="s">
        <v>9287</v>
      </c>
      <c r="J3554">
        <v>26</v>
      </c>
      <c r="K3554">
        <v>12767</v>
      </c>
      <c r="L3554">
        <v>50033</v>
      </c>
      <c r="M3554" t="s">
        <v>39</v>
      </c>
      <c r="N3554">
        <v>689</v>
      </c>
      <c r="O3554" s="2">
        <v>46252</v>
      </c>
      <c r="P3554" s="2">
        <v>46294</v>
      </c>
      <c r="R3554" t="s">
        <v>9354</v>
      </c>
      <c r="S3554" t="str">
        <f>"0000050414070"</f>
        <v>0000050414070</v>
      </c>
      <c r="T3554" t="s">
        <v>41</v>
      </c>
      <c r="U3554">
        <v>431.8</v>
      </c>
      <c r="V3554">
        <v>418.85</v>
      </c>
      <c r="W3554">
        <v>418.85</v>
      </c>
      <c r="X3554">
        <v>0</v>
      </c>
      <c r="Y3554">
        <v>0</v>
      </c>
      <c r="Z3554">
        <v>-519</v>
      </c>
      <c r="AA3554">
        <v>4544</v>
      </c>
      <c r="AD3554" t="s">
        <v>9324</v>
      </c>
      <c r="AE3554" t="s">
        <v>9355</v>
      </c>
      <c r="AF3554" t="s">
        <v>9324</v>
      </c>
      <c r="AG3554">
        <v>19868024001248</v>
      </c>
      <c r="AH3554" t="s">
        <v>44</v>
      </c>
    </row>
    <row r="3555" spans="1:34" x14ac:dyDescent="0.3">
      <c r="A3555">
        <v>101</v>
      </c>
      <c r="B3555" t="s">
        <v>34</v>
      </c>
      <c r="C3555">
        <v>2</v>
      </c>
      <c r="D3555" s="1" t="s">
        <v>9358</v>
      </c>
      <c r="E3555" s="1" t="s">
        <v>36</v>
      </c>
      <c r="G3555">
        <v>464489</v>
      </c>
      <c r="H3555" t="s">
        <v>9359</v>
      </c>
      <c r="I3555" t="s">
        <v>9360</v>
      </c>
      <c r="J3555">
        <v>26</v>
      </c>
      <c r="K3555">
        <v>464489</v>
      </c>
      <c r="L3555">
        <v>50341</v>
      </c>
      <c r="M3555" t="s">
        <v>146</v>
      </c>
      <c r="N3555">
        <v>689</v>
      </c>
      <c r="O3555" s="2">
        <v>46241</v>
      </c>
      <c r="P3555" s="2">
        <v>46269</v>
      </c>
      <c r="R3555" t="s">
        <v>9361</v>
      </c>
      <c r="S3555" t="str">
        <f>"00013646"</f>
        <v>00013646</v>
      </c>
      <c r="T3555" t="s">
        <v>41</v>
      </c>
      <c r="U3555">
        <v>2876.95</v>
      </c>
      <c r="V3555">
        <v>2876.95</v>
      </c>
      <c r="W3555">
        <v>2876.95</v>
      </c>
      <c r="X3555">
        <v>0</v>
      </c>
      <c r="Y3555">
        <v>0</v>
      </c>
      <c r="Z3555">
        <v>-494</v>
      </c>
      <c r="AA3555">
        <v>4338</v>
      </c>
      <c r="AD3555" t="s">
        <v>9362</v>
      </c>
      <c r="AE3555" t="s">
        <v>9363</v>
      </c>
      <c r="AF3555" t="s">
        <v>9362</v>
      </c>
      <c r="AG3555">
        <v>10922653000181</v>
      </c>
      <c r="AH3555" t="s">
        <v>44</v>
      </c>
    </row>
    <row r="3556" spans="1:34" x14ac:dyDescent="0.3">
      <c r="A3556">
        <v>101</v>
      </c>
      <c r="B3556" t="s">
        <v>34</v>
      </c>
      <c r="C3556">
        <v>2</v>
      </c>
      <c r="D3556" s="1" t="s">
        <v>9364</v>
      </c>
      <c r="E3556" s="1" t="s">
        <v>122</v>
      </c>
      <c r="G3556">
        <v>467428</v>
      </c>
      <c r="H3556" t="s">
        <v>9365</v>
      </c>
      <c r="I3556" t="s">
        <v>9366</v>
      </c>
      <c r="J3556">
        <v>26</v>
      </c>
      <c r="K3556">
        <v>467428</v>
      </c>
      <c r="L3556">
        <v>50001</v>
      </c>
      <c r="M3556" t="s">
        <v>39</v>
      </c>
      <c r="N3556">
        <v>689</v>
      </c>
      <c r="O3556" s="2">
        <v>46235</v>
      </c>
      <c r="P3556" s="2">
        <v>46280</v>
      </c>
      <c r="R3556" t="s">
        <v>9367</v>
      </c>
      <c r="S3556" t="str">
        <f>"25666160000051761"</f>
        <v>25666160000051761</v>
      </c>
      <c r="T3556" t="s">
        <v>41</v>
      </c>
      <c r="U3556">
        <v>836.59</v>
      </c>
      <c r="V3556">
        <v>836.59</v>
      </c>
      <c r="W3556">
        <v>836.59</v>
      </c>
      <c r="X3556">
        <v>0</v>
      </c>
      <c r="Y3556">
        <v>0</v>
      </c>
      <c r="Z3556">
        <v>-505</v>
      </c>
      <c r="AA3556">
        <v>1894</v>
      </c>
      <c r="AD3556" t="s">
        <v>42</v>
      </c>
      <c r="AE3556" t="s">
        <v>9368</v>
      </c>
      <c r="AF3556" t="s">
        <v>42</v>
      </c>
      <c r="AG3556">
        <v>46710356000110</v>
      </c>
      <c r="AH3556" t="s">
        <v>44</v>
      </c>
    </row>
    <row r="3557" spans="1:34" x14ac:dyDescent="0.3">
      <c r="A3557">
        <v>101</v>
      </c>
      <c r="B3557" t="s">
        <v>34</v>
      </c>
      <c r="C3557">
        <v>2</v>
      </c>
      <c r="D3557" s="1" t="s">
        <v>9364</v>
      </c>
      <c r="E3557" s="1" t="s">
        <v>36</v>
      </c>
      <c r="G3557">
        <v>467428</v>
      </c>
      <c r="H3557" t="s">
        <v>9365</v>
      </c>
      <c r="I3557" t="s">
        <v>9366</v>
      </c>
      <c r="J3557">
        <v>26</v>
      </c>
      <c r="K3557">
        <v>467428</v>
      </c>
      <c r="L3557">
        <v>50001</v>
      </c>
      <c r="M3557" t="s">
        <v>39</v>
      </c>
      <c r="N3557">
        <v>689</v>
      </c>
      <c r="O3557" s="2">
        <v>46235</v>
      </c>
      <c r="P3557" s="2">
        <v>46265</v>
      </c>
      <c r="R3557" t="s">
        <v>9367</v>
      </c>
      <c r="S3557" t="str">
        <f>"25666160000051760"</f>
        <v>25666160000051760</v>
      </c>
      <c r="T3557" t="s">
        <v>41</v>
      </c>
      <c r="U3557">
        <v>836.59</v>
      </c>
      <c r="V3557">
        <v>836.59</v>
      </c>
      <c r="W3557">
        <v>836.59</v>
      </c>
      <c r="X3557">
        <v>0</v>
      </c>
      <c r="Y3557">
        <v>0</v>
      </c>
      <c r="Z3557">
        <v>-490</v>
      </c>
      <c r="AA3557">
        <v>1894</v>
      </c>
      <c r="AD3557" t="s">
        <v>42</v>
      </c>
      <c r="AE3557" t="s">
        <v>9368</v>
      </c>
      <c r="AF3557" t="s">
        <v>42</v>
      </c>
      <c r="AG3557">
        <v>46710356000110</v>
      </c>
      <c r="AH3557" t="s">
        <v>44</v>
      </c>
    </row>
    <row r="3558" spans="1:34" x14ac:dyDescent="0.3">
      <c r="A3558">
        <v>101</v>
      </c>
      <c r="B3558" t="s">
        <v>34</v>
      </c>
      <c r="C3558">
        <v>2</v>
      </c>
      <c r="D3558" s="1" t="s">
        <v>9369</v>
      </c>
      <c r="E3558" s="1" t="s">
        <v>36</v>
      </c>
      <c r="G3558">
        <v>468183</v>
      </c>
      <c r="H3558" t="s">
        <v>9370</v>
      </c>
      <c r="I3558" t="s">
        <v>9371</v>
      </c>
      <c r="J3558">
        <v>27</v>
      </c>
      <c r="K3558">
        <v>468183</v>
      </c>
      <c r="L3558">
        <v>50341</v>
      </c>
      <c r="M3558" t="s">
        <v>146</v>
      </c>
      <c r="N3558">
        <v>689</v>
      </c>
      <c r="O3558" s="2">
        <v>46203</v>
      </c>
      <c r="P3558" s="2">
        <v>46268</v>
      </c>
      <c r="R3558" t="s">
        <v>9372</v>
      </c>
      <c r="S3558" t="str">
        <f>"00013025"</f>
        <v>00013025</v>
      </c>
      <c r="T3558" t="s">
        <v>41</v>
      </c>
      <c r="U3558">
        <v>14474.01</v>
      </c>
      <c r="V3558">
        <v>14474.01</v>
      </c>
      <c r="W3558">
        <v>14474.01</v>
      </c>
      <c r="X3558">
        <v>0</v>
      </c>
      <c r="Y3558">
        <v>0</v>
      </c>
      <c r="Z3558">
        <v>-493</v>
      </c>
      <c r="AA3558">
        <v>693221</v>
      </c>
      <c r="AD3558" t="s">
        <v>9373</v>
      </c>
      <c r="AE3558" t="s">
        <v>9374</v>
      </c>
      <c r="AF3558" t="s">
        <v>9373</v>
      </c>
      <c r="AG3558" s="1" t="s">
        <v>9375</v>
      </c>
      <c r="AH3558" t="s">
        <v>44</v>
      </c>
    </row>
    <row r="3559" spans="1:34" x14ac:dyDescent="0.3">
      <c r="A3559">
        <v>101</v>
      </c>
      <c r="B3559" t="s">
        <v>34</v>
      </c>
      <c r="C3559">
        <v>2</v>
      </c>
      <c r="D3559" s="1" t="s">
        <v>9376</v>
      </c>
      <c r="E3559" s="1" t="s">
        <v>122</v>
      </c>
      <c r="G3559">
        <v>468239</v>
      </c>
      <c r="H3559" t="s">
        <v>9377</v>
      </c>
      <c r="I3559" t="s">
        <v>9378</v>
      </c>
      <c r="J3559">
        <v>26</v>
      </c>
      <c r="K3559">
        <v>468239</v>
      </c>
      <c r="L3559">
        <v>50001</v>
      </c>
      <c r="M3559" t="s">
        <v>39</v>
      </c>
      <c r="N3559">
        <v>689</v>
      </c>
      <c r="O3559" s="2">
        <v>46223</v>
      </c>
      <c r="P3559" s="2">
        <v>46268</v>
      </c>
      <c r="R3559" t="s">
        <v>9379</v>
      </c>
      <c r="S3559" t="str">
        <f>"25666160000051836"</f>
        <v>25666160000051836</v>
      </c>
      <c r="T3559" t="s">
        <v>41</v>
      </c>
      <c r="U3559">
        <v>1022.18</v>
      </c>
      <c r="V3559">
        <v>1022.18</v>
      </c>
      <c r="W3559">
        <v>1022.18</v>
      </c>
      <c r="X3559">
        <v>0</v>
      </c>
      <c r="Y3559">
        <v>0</v>
      </c>
      <c r="Z3559">
        <v>-493</v>
      </c>
      <c r="AA3559">
        <v>1190</v>
      </c>
      <c r="AD3559" t="s">
        <v>42</v>
      </c>
      <c r="AE3559" t="s">
        <v>9380</v>
      </c>
      <c r="AF3559" t="s">
        <v>42</v>
      </c>
      <c r="AG3559">
        <v>11635932000208</v>
      </c>
      <c r="AH3559" t="s">
        <v>44</v>
      </c>
    </row>
    <row r="3560" spans="1:34" x14ac:dyDescent="0.3">
      <c r="A3560">
        <v>101</v>
      </c>
      <c r="B3560" t="s">
        <v>34</v>
      </c>
      <c r="C3560">
        <v>2</v>
      </c>
      <c r="D3560" s="1" t="s">
        <v>9376</v>
      </c>
      <c r="E3560" s="1" t="s">
        <v>116</v>
      </c>
      <c r="G3560">
        <v>468239</v>
      </c>
      <c r="H3560" t="s">
        <v>9377</v>
      </c>
      <c r="I3560" t="s">
        <v>9378</v>
      </c>
      <c r="J3560">
        <v>26</v>
      </c>
      <c r="K3560">
        <v>468239</v>
      </c>
      <c r="L3560">
        <v>50001</v>
      </c>
      <c r="M3560" t="s">
        <v>39</v>
      </c>
      <c r="N3560">
        <v>689</v>
      </c>
      <c r="O3560" s="2">
        <v>46223</v>
      </c>
      <c r="P3560" s="2">
        <v>46283</v>
      </c>
      <c r="R3560" t="s">
        <v>9379</v>
      </c>
      <c r="S3560" t="str">
        <f>"25666160000051837"</f>
        <v>25666160000051837</v>
      </c>
      <c r="T3560" t="s">
        <v>41</v>
      </c>
      <c r="U3560">
        <v>1022.49</v>
      </c>
      <c r="V3560">
        <v>1022.49</v>
      </c>
      <c r="W3560">
        <v>1022.49</v>
      </c>
      <c r="X3560">
        <v>0</v>
      </c>
      <c r="Y3560">
        <v>0</v>
      </c>
      <c r="Z3560">
        <v>-508</v>
      </c>
      <c r="AA3560">
        <v>1190</v>
      </c>
      <c r="AD3560" t="s">
        <v>42</v>
      </c>
      <c r="AE3560" t="s">
        <v>9380</v>
      </c>
      <c r="AF3560" t="s">
        <v>42</v>
      </c>
      <c r="AG3560">
        <v>11635932000208</v>
      </c>
      <c r="AH3560" t="s">
        <v>44</v>
      </c>
    </row>
    <row r="3561" spans="1:34" x14ac:dyDescent="0.3">
      <c r="A3561">
        <v>101</v>
      </c>
      <c r="B3561" t="s">
        <v>34</v>
      </c>
      <c r="C3561">
        <v>2</v>
      </c>
      <c r="D3561" s="1" t="s">
        <v>9381</v>
      </c>
      <c r="E3561" s="1" t="s">
        <v>116</v>
      </c>
      <c r="G3561">
        <v>468240</v>
      </c>
      <c r="H3561" t="s">
        <v>9382</v>
      </c>
      <c r="I3561" t="s">
        <v>9378</v>
      </c>
      <c r="J3561">
        <v>26</v>
      </c>
      <c r="K3561">
        <v>468239</v>
      </c>
      <c r="L3561">
        <v>50001</v>
      </c>
      <c r="M3561" t="s">
        <v>39</v>
      </c>
      <c r="N3561">
        <v>689</v>
      </c>
      <c r="O3561" s="2">
        <v>46223</v>
      </c>
      <c r="P3561" s="2">
        <v>46283</v>
      </c>
      <c r="R3561" t="s">
        <v>9383</v>
      </c>
      <c r="S3561" t="str">
        <f>"25666160000051840"</f>
        <v>25666160000051840</v>
      </c>
      <c r="T3561" t="s">
        <v>41</v>
      </c>
      <c r="U3561">
        <v>1188.71</v>
      </c>
      <c r="V3561">
        <v>1188.71</v>
      </c>
      <c r="W3561">
        <v>1188.71</v>
      </c>
      <c r="X3561">
        <v>0</v>
      </c>
      <c r="Y3561">
        <v>0</v>
      </c>
      <c r="Z3561">
        <v>-508</v>
      </c>
      <c r="AA3561">
        <v>1192</v>
      </c>
      <c r="AD3561" t="s">
        <v>42</v>
      </c>
      <c r="AE3561" t="s">
        <v>9384</v>
      </c>
      <c r="AF3561" t="s">
        <v>42</v>
      </c>
      <c r="AG3561">
        <v>11635932000127</v>
      </c>
      <c r="AH3561" t="s">
        <v>44</v>
      </c>
    </row>
    <row r="3562" spans="1:34" x14ac:dyDescent="0.3">
      <c r="A3562">
        <v>101</v>
      </c>
      <c r="B3562" t="s">
        <v>34</v>
      </c>
      <c r="C3562">
        <v>2</v>
      </c>
      <c r="D3562" s="1" t="s">
        <v>9381</v>
      </c>
      <c r="E3562" s="1" t="s">
        <v>122</v>
      </c>
      <c r="G3562">
        <v>468240</v>
      </c>
      <c r="H3562" t="s">
        <v>9382</v>
      </c>
      <c r="I3562" t="s">
        <v>9378</v>
      </c>
      <c r="J3562">
        <v>26</v>
      </c>
      <c r="K3562">
        <v>468239</v>
      </c>
      <c r="L3562">
        <v>50001</v>
      </c>
      <c r="M3562" t="s">
        <v>39</v>
      </c>
      <c r="N3562">
        <v>689</v>
      </c>
      <c r="O3562" s="2">
        <v>46223</v>
      </c>
      <c r="P3562" s="2">
        <v>46268</v>
      </c>
      <c r="R3562" t="s">
        <v>9383</v>
      </c>
      <c r="S3562" t="str">
        <f>"25666160000051839"</f>
        <v>25666160000051839</v>
      </c>
      <c r="T3562" t="s">
        <v>41</v>
      </c>
      <c r="U3562">
        <v>1188.3499999999999</v>
      </c>
      <c r="V3562">
        <v>1188.3499999999999</v>
      </c>
      <c r="W3562">
        <v>1188.3499999999999</v>
      </c>
      <c r="X3562">
        <v>0</v>
      </c>
      <c r="Y3562">
        <v>0</v>
      </c>
      <c r="Z3562">
        <v>-493</v>
      </c>
      <c r="AA3562">
        <v>1192</v>
      </c>
      <c r="AD3562" t="s">
        <v>42</v>
      </c>
      <c r="AE3562" t="s">
        <v>9384</v>
      </c>
      <c r="AF3562" t="s">
        <v>42</v>
      </c>
      <c r="AG3562">
        <v>11635932000127</v>
      </c>
      <c r="AH3562" t="s">
        <v>44</v>
      </c>
    </row>
    <row r="3563" spans="1:34" x14ac:dyDescent="0.3">
      <c r="A3563">
        <v>101</v>
      </c>
      <c r="B3563" t="s">
        <v>34</v>
      </c>
      <c r="C3563">
        <v>2</v>
      </c>
      <c r="D3563" s="1" t="s">
        <v>9385</v>
      </c>
      <c r="E3563" s="1" t="s">
        <v>36</v>
      </c>
      <c r="G3563">
        <v>436637</v>
      </c>
      <c r="H3563" t="s">
        <v>9386</v>
      </c>
      <c r="I3563" t="s">
        <v>2413</v>
      </c>
      <c r="J3563">
        <v>30</v>
      </c>
      <c r="K3563">
        <v>2695</v>
      </c>
      <c r="L3563">
        <v>95000</v>
      </c>
      <c r="M3563" t="s">
        <v>69</v>
      </c>
      <c r="N3563">
        <v>691</v>
      </c>
      <c r="O3563" s="2">
        <v>46197</v>
      </c>
      <c r="P3563" s="2">
        <v>46316</v>
      </c>
      <c r="R3563" t="s">
        <v>9387</v>
      </c>
      <c r="S3563" t="str">
        <f>""</f>
        <v/>
      </c>
      <c r="T3563" t="s">
        <v>41</v>
      </c>
      <c r="U3563">
        <v>689.1</v>
      </c>
      <c r="V3563">
        <v>681.52</v>
      </c>
      <c r="W3563">
        <v>681.52</v>
      </c>
      <c r="X3563">
        <v>0</v>
      </c>
      <c r="Y3563">
        <v>0</v>
      </c>
      <c r="Z3563">
        <v>-541</v>
      </c>
      <c r="AA3563">
        <v>692220</v>
      </c>
      <c r="AD3563" t="s">
        <v>64</v>
      </c>
      <c r="AE3563" t="s">
        <v>5778</v>
      </c>
      <c r="AF3563" t="s">
        <v>64</v>
      </c>
      <c r="AG3563" s="1" t="s">
        <v>9388</v>
      </c>
      <c r="AH3563" t="s">
        <v>44</v>
      </c>
    </row>
    <row r="3564" spans="1:34" x14ac:dyDescent="0.3">
      <c r="A3564">
        <v>101</v>
      </c>
      <c r="B3564" t="s">
        <v>34</v>
      </c>
      <c r="C3564">
        <v>2</v>
      </c>
      <c r="D3564" s="1" t="s">
        <v>9389</v>
      </c>
      <c r="E3564" s="1" t="s">
        <v>36</v>
      </c>
      <c r="G3564">
        <v>436637</v>
      </c>
      <c r="H3564" t="s">
        <v>9386</v>
      </c>
      <c r="I3564" t="s">
        <v>2413</v>
      </c>
      <c r="J3564">
        <v>30</v>
      </c>
      <c r="K3564">
        <v>2695</v>
      </c>
      <c r="L3564">
        <v>95000</v>
      </c>
      <c r="M3564" t="s">
        <v>69</v>
      </c>
      <c r="N3564">
        <v>691</v>
      </c>
      <c r="O3564" s="2">
        <v>46226</v>
      </c>
      <c r="P3564" s="2">
        <v>46316</v>
      </c>
      <c r="R3564" t="s">
        <v>9390</v>
      </c>
      <c r="S3564" t="str">
        <f>""</f>
        <v/>
      </c>
      <c r="T3564" t="s">
        <v>41</v>
      </c>
      <c r="U3564">
        <v>2936.68</v>
      </c>
      <c r="V3564">
        <v>2904.38</v>
      </c>
      <c r="W3564">
        <v>2904.38</v>
      </c>
      <c r="X3564">
        <v>0</v>
      </c>
      <c r="Y3564">
        <v>0</v>
      </c>
      <c r="Z3564">
        <v>-541</v>
      </c>
      <c r="AA3564">
        <v>694837</v>
      </c>
      <c r="AD3564" t="s">
        <v>64</v>
      </c>
      <c r="AE3564" t="s">
        <v>5778</v>
      </c>
      <c r="AF3564" t="s">
        <v>64</v>
      </c>
      <c r="AG3564" s="1" t="s">
        <v>9388</v>
      </c>
      <c r="AH3564" t="s">
        <v>44</v>
      </c>
    </row>
    <row r="3565" spans="1:34" x14ac:dyDescent="0.3">
      <c r="A3565">
        <v>101</v>
      </c>
      <c r="B3565" t="s">
        <v>34</v>
      </c>
      <c r="C3565">
        <v>2</v>
      </c>
      <c r="D3565" s="1" t="s">
        <v>9391</v>
      </c>
      <c r="E3565" s="1" t="s">
        <v>36</v>
      </c>
      <c r="G3565">
        <v>436637</v>
      </c>
      <c r="H3565" t="s">
        <v>9386</v>
      </c>
      <c r="I3565" t="s">
        <v>2413</v>
      </c>
      <c r="J3565">
        <v>30</v>
      </c>
      <c r="K3565">
        <v>2695</v>
      </c>
      <c r="L3565">
        <v>95000</v>
      </c>
      <c r="M3565" t="s">
        <v>69</v>
      </c>
      <c r="N3565">
        <v>691</v>
      </c>
      <c r="O3565" s="2">
        <v>46197</v>
      </c>
      <c r="P3565" s="2">
        <v>46316</v>
      </c>
      <c r="R3565" t="s">
        <v>9392</v>
      </c>
      <c r="S3565" t="str">
        <f>""</f>
        <v/>
      </c>
      <c r="T3565" t="s">
        <v>41</v>
      </c>
      <c r="U3565">
        <v>2685.88</v>
      </c>
      <c r="V3565">
        <v>2656.34</v>
      </c>
      <c r="W3565">
        <v>2656.34</v>
      </c>
      <c r="X3565">
        <v>0</v>
      </c>
      <c r="Y3565">
        <v>0</v>
      </c>
      <c r="Z3565">
        <v>-541</v>
      </c>
      <c r="AA3565">
        <v>692220</v>
      </c>
      <c r="AD3565" t="s">
        <v>64</v>
      </c>
      <c r="AE3565" t="s">
        <v>5778</v>
      </c>
      <c r="AF3565" t="s">
        <v>64</v>
      </c>
      <c r="AG3565" s="1" t="s">
        <v>9388</v>
      </c>
      <c r="AH3565" t="s">
        <v>44</v>
      </c>
    </row>
    <row r="3566" spans="1:34" x14ac:dyDescent="0.3">
      <c r="A3566">
        <v>101</v>
      </c>
      <c r="B3566" t="s">
        <v>34</v>
      </c>
      <c r="C3566">
        <v>2</v>
      </c>
      <c r="D3566" s="1" t="s">
        <v>9393</v>
      </c>
      <c r="E3566" s="1" t="s">
        <v>36</v>
      </c>
      <c r="G3566">
        <v>436637</v>
      </c>
      <c r="H3566" t="s">
        <v>9386</v>
      </c>
      <c r="I3566" t="s">
        <v>2413</v>
      </c>
      <c r="J3566">
        <v>30</v>
      </c>
      <c r="K3566">
        <v>2695</v>
      </c>
      <c r="L3566">
        <v>95000</v>
      </c>
      <c r="M3566" t="s">
        <v>69</v>
      </c>
      <c r="N3566">
        <v>691</v>
      </c>
      <c r="O3566" s="2">
        <v>46140</v>
      </c>
      <c r="P3566" s="2">
        <v>46266</v>
      </c>
      <c r="R3566" t="s">
        <v>9394</v>
      </c>
      <c r="S3566" t="str">
        <f>""</f>
        <v/>
      </c>
      <c r="T3566" t="s">
        <v>41</v>
      </c>
      <c r="U3566">
        <v>9395.65</v>
      </c>
      <c r="V3566">
        <v>9292.2999999999993</v>
      </c>
      <c r="W3566">
        <v>9292.2999999999993</v>
      </c>
      <c r="X3566">
        <v>0</v>
      </c>
      <c r="Y3566">
        <v>0</v>
      </c>
      <c r="Z3566">
        <v>-491</v>
      </c>
      <c r="AA3566">
        <v>686657</v>
      </c>
      <c r="AD3566" t="s">
        <v>64</v>
      </c>
      <c r="AE3566" t="s">
        <v>5778</v>
      </c>
      <c r="AF3566" t="s">
        <v>64</v>
      </c>
      <c r="AG3566" s="1" t="s">
        <v>9388</v>
      </c>
      <c r="AH3566" t="s">
        <v>44</v>
      </c>
    </row>
    <row r="3567" spans="1:34" x14ac:dyDescent="0.3">
      <c r="A3567">
        <v>101</v>
      </c>
      <c r="B3567" t="s">
        <v>34</v>
      </c>
      <c r="C3567">
        <v>2</v>
      </c>
      <c r="D3567" s="1" t="s">
        <v>9395</v>
      </c>
      <c r="E3567" s="1" t="s">
        <v>36</v>
      </c>
      <c r="G3567">
        <v>436637</v>
      </c>
      <c r="H3567" t="s">
        <v>9386</v>
      </c>
      <c r="I3567" t="s">
        <v>2413</v>
      </c>
      <c r="J3567">
        <v>30</v>
      </c>
      <c r="K3567">
        <v>2695</v>
      </c>
      <c r="L3567">
        <v>95000</v>
      </c>
      <c r="M3567" t="s">
        <v>69</v>
      </c>
      <c r="N3567">
        <v>691</v>
      </c>
      <c r="O3567" s="2">
        <v>46170</v>
      </c>
      <c r="P3567" s="2">
        <v>46276</v>
      </c>
      <c r="R3567" t="s">
        <v>9396</v>
      </c>
      <c r="S3567" t="str">
        <f>""</f>
        <v/>
      </c>
      <c r="T3567" t="s">
        <v>41</v>
      </c>
      <c r="U3567">
        <v>6127.71</v>
      </c>
      <c r="V3567">
        <v>6060.31</v>
      </c>
      <c r="W3567">
        <v>6060.31</v>
      </c>
      <c r="X3567">
        <v>0</v>
      </c>
      <c r="Y3567">
        <v>0</v>
      </c>
      <c r="Z3567">
        <v>-501</v>
      </c>
      <c r="AA3567">
        <v>689258</v>
      </c>
      <c r="AD3567" t="s">
        <v>64</v>
      </c>
      <c r="AE3567" t="s">
        <v>5778</v>
      </c>
      <c r="AF3567" t="s">
        <v>64</v>
      </c>
      <c r="AG3567" s="1" t="s">
        <v>9388</v>
      </c>
      <c r="AH3567" t="s">
        <v>44</v>
      </c>
    </row>
    <row r="3568" spans="1:34" x14ac:dyDescent="0.3">
      <c r="A3568">
        <v>101</v>
      </c>
      <c r="B3568" t="s">
        <v>34</v>
      </c>
      <c r="C3568">
        <v>2</v>
      </c>
      <c r="D3568" s="1" t="s">
        <v>9397</v>
      </c>
      <c r="E3568" s="1" t="s">
        <v>36</v>
      </c>
      <c r="G3568">
        <v>436638</v>
      </c>
      <c r="H3568" t="s">
        <v>9398</v>
      </c>
      <c r="I3568" t="s">
        <v>2413</v>
      </c>
      <c r="J3568">
        <v>30</v>
      </c>
      <c r="K3568">
        <v>2695</v>
      </c>
      <c r="L3568">
        <v>95000</v>
      </c>
      <c r="M3568" t="s">
        <v>69</v>
      </c>
      <c r="N3568">
        <v>691</v>
      </c>
      <c r="O3568" s="2">
        <v>46197</v>
      </c>
      <c r="P3568" s="2">
        <v>46287</v>
      </c>
      <c r="R3568" t="s">
        <v>9399</v>
      </c>
      <c r="S3568" t="str">
        <f>""</f>
        <v/>
      </c>
      <c r="T3568" t="s">
        <v>41</v>
      </c>
      <c r="U3568">
        <v>1918.36</v>
      </c>
      <c r="V3568">
        <v>1897.26</v>
      </c>
      <c r="W3568">
        <v>1897.26</v>
      </c>
      <c r="X3568">
        <v>0</v>
      </c>
      <c r="Y3568">
        <v>0</v>
      </c>
      <c r="Z3568">
        <v>-512</v>
      </c>
      <c r="AA3568">
        <v>692222</v>
      </c>
      <c r="AD3568" t="s">
        <v>64</v>
      </c>
      <c r="AE3568" t="s">
        <v>5720</v>
      </c>
      <c r="AF3568" t="s">
        <v>64</v>
      </c>
      <c r="AG3568" s="1" t="s">
        <v>9400</v>
      </c>
      <c r="AH3568" t="s">
        <v>44</v>
      </c>
    </row>
    <row r="3569" spans="1:34" x14ac:dyDescent="0.3">
      <c r="A3569">
        <v>101</v>
      </c>
      <c r="B3569" t="s">
        <v>34</v>
      </c>
      <c r="C3569">
        <v>2</v>
      </c>
      <c r="D3569" s="1" t="s">
        <v>9401</v>
      </c>
      <c r="E3569" s="1" t="s">
        <v>36</v>
      </c>
      <c r="G3569">
        <v>436638</v>
      </c>
      <c r="H3569" t="s">
        <v>9398</v>
      </c>
      <c r="I3569" t="s">
        <v>2413</v>
      </c>
      <c r="J3569">
        <v>30</v>
      </c>
      <c r="K3569">
        <v>2695</v>
      </c>
      <c r="L3569">
        <v>95000</v>
      </c>
      <c r="M3569" t="s">
        <v>69</v>
      </c>
      <c r="N3569">
        <v>691</v>
      </c>
      <c r="O3569" s="2">
        <v>46171</v>
      </c>
      <c r="P3569" s="2">
        <v>46276</v>
      </c>
      <c r="R3569" t="s">
        <v>9402</v>
      </c>
      <c r="S3569" t="str">
        <f>""</f>
        <v/>
      </c>
      <c r="T3569" t="s">
        <v>41</v>
      </c>
      <c r="U3569">
        <v>2134.8000000000002</v>
      </c>
      <c r="V3569">
        <v>2111.3200000000002</v>
      </c>
      <c r="W3569">
        <v>2111.3200000000002</v>
      </c>
      <c r="X3569">
        <v>0</v>
      </c>
      <c r="Y3569">
        <v>0</v>
      </c>
      <c r="Z3569">
        <v>-501</v>
      </c>
      <c r="AA3569">
        <v>689260</v>
      </c>
      <c r="AD3569" t="s">
        <v>64</v>
      </c>
      <c r="AE3569" t="s">
        <v>5720</v>
      </c>
      <c r="AF3569" t="s">
        <v>64</v>
      </c>
      <c r="AG3569" s="1" t="s">
        <v>9400</v>
      </c>
      <c r="AH3569" t="s">
        <v>44</v>
      </c>
    </row>
    <row r="3570" spans="1:34" x14ac:dyDescent="0.3">
      <c r="A3570">
        <v>101</v>
      </c>
      <c r="B3570" t="s">
        <v>34</v>
      </c>
      <c r="C3570">
        <v>2</v>
      </c>
      <c r="D3570" s="1" t="s">
        <v>9403</v>
      </c>
      <c r="E3570" s="1" t="s">
        <v>36</v>
      </c>
      <c r="G3570">
        <v>436638</v>
      </c>
      <c r="H3570" t="s">
        <v>9398</v>
      </c>
      <c r="I3570" t="s">
        <v>2413</v>
      </c>
      <c r="J3570">
        <v>30</v>
      </c>
      <c r="K3570">
        <v>2695</v>
      </c>
      <c r="L3570">
        <v>95000</v>
      </c>
      <c r="M3570" t="s">
        <v>69</v>
      </c>
      <c r="N3570">
        <v>691</v>
      </c>
      <c r="O3570" s="2">
        <v>46170</v>
      </c>
      <c r="P3570" s="2">
        <v>46276</v>
      </c>
      <c r="R3570" t="s">
        <v>9404</v>
      </c>
      <c r="S3570" t="str">
        <f>""</f>
        <v/>
      </c>
      <c r="T3570" t="s">
        <v>41</v>
      </c>
      <c r="U3570">
        <v>15724.96</v>
      </c>
      <c r="V3570">
        <v>15551.99</v>
      </c>
      <c r="W3570">
        <v>15551.99</v>
      </c>
      <c r="X3570">
        <v>0</v>
      </c>
      <c r="Y3570">
        <v>0</v>
      </c>
      <c r="Z3570">
        <v>-501</v>
      </c>
      <c r="AA3570">
        <v>689260</v>
      </c>
      <c r="AD3570" t="s">
        <v>64</v>
      </c>
      <c r="AE3570" t="s">
        <v>5720</v>
      </c>
      <c r="AF3570" t="s">
        <v>64</v>
      </c>
      <c r="AG3570" s="1" t="s">
        <v>9400</v>
      </c>
      <c r="AH3570" t="s">
        <v>44</v>
      </c>
    </row>
    <row r="3571" spans="1:34" x14ac:dyDescent="0.3">
      <c r="A3571">
        <v>101</v>
      </c>
      <c r="B3571" t="s">
        <v>34</v>
      </c>
      <c r="C3571">
        <v>2</v>
      </c>
      <c r="D3571" s="1" t="s">
        <v>9405</v>
      </c>
      <c r="E3571" s="1" t="s">
        <v>36</v>
      </c>
      <c r="G3571">
        <v>436638</v>
      </c>
      <c r="H3571" t="s">
        <v>9398</v>
      </c>
      <c r="I3571" t="s">
        <v>2413</v>
      </c>
      <c r="J3571">
        <v>30</v>
      </c>
      <c r="K3571">
        <v>2695</v>
      </c>
      <c r="L3571">
        <v>95000</v>
      </c>
      <c r="M3571" t="s">
        <v>69</v>
      </c>
      <c r="N3571">
        <v>691</v>
      </c>
      <c r="O3571" s="2">
        <v>46140</v>
      </c>
      <c r="P3571" s="2">
        <v>46266</v>
      </c>
      <c r="R3571" t="s">
        <v>9406</v>
      </c>
      <c r="S3571" t="str">
        <f>""</f>
        <v/>
      </c>
      <c r="T3571" t="s">
        <v>41</v>
      </c>
      <c r="U3571">
        <v>5823.7</v>
      </c>
      <c r="V3571">
        <v>5759.64</v>
      </c>
      <c r="W3571">
        <v>5759.64</v>
      </c>
      <c r="X3571">
        <v>0</v>
      </c>
      <c r="Y3571">
        <v>0</v>
      </c>
      <c r="Z3571">
        <v>-491</v>
      </c>
      <c r="AA3571">
        <v>686659</v>
      </c>
      <c r="AD3571" t="s">
        <v>64</v>
      </c>
      <c r="AE3571" t="s">
        <v>5720</v>
      </c>
      <c r="AF3571" t="s">
        <v>64</v>
      </c>
      <c r="AG3571" s="1" t="s">
        <v>9400</v>
      </c>
      <c r="AH3571" t="s">
        <v>44</v>
      </c>
    </row>
    <row r="3572" spans="1:34" x14ac:dyDescent="0.3">
      <c r="A3572">
        <v>101</v>
      </c>
      <c r="B3572" t="s">
        <v>34</v>
      </c>
      <c r="C3572">
        <v>2</v>
      </c>
      <c r="D3572" s="1" t="s">
        <v>9407</v>
      </c>
      <c r="E3572" s="1" t="s">
        <v>36</v>
      </c>
      <c r="G3572">
        <v>436638</v>
      </c>
      <c r="H3572" t="s">
        <v>9398</v>
      </c>
      <c r="I3572" t="s">
        <v>2413</v>
      </c>
      <c r="J3572">
        <v>30</v>
      </c>
      <c r="K3572">
        <v>2695</v>
      </c>
      <c r="L3572">
        <v>95000</v>
      </c>
      <c r="M3572" t="s">
        <v>69</v>
      </c>
      <c r="N3572">
        <v>691</v>
      </c>
      <c r="O3572" s="2">
        <v>46226</v>
      </c>
      <c r="P3572" s="2">
        <v>46337</v>
      </c>
      <c r="R3572" t="s">
        <v>9408</v>
      </c>
      <c r="S3572" t="str">
        <f>""</f>
        <v/>
      </c>
      <c r="T3572" t="s">
        <v>41</v>
      </c>
      <c r="U3572">
        <v>2907.9</v>
      </c>
      <c r="V3572">
        <v>2875.91</v>
      </c>
      <c r="W3572">
        <v>2875.91</v>
      </c>
      <c r="X3572">
        <v>0</v>
      </c>
      <c r="Y3572">
        <v>0</v>
      </c>
      <c r="Z3572">
        <v>-562</v>
      </c>
      <c r="AA3572">
        <v>694839</v>
      </c>
      <c r="AD3572" t="s">
        <v>64</v>
      </c>
      <c r="AE3572" t="s">
        <v>5720</v>
      </c>
      <c r="AF3572" t="s">
        <v>64</v>
      </c>
      <c r="AG3572" s="1" t="s">
        <v>9400</v>
      </c>
      <c r="AH3572" t="s">
        <v>44</v>
      </c>
    </row>
    <row r="3573" spans="1:34" x14ac:dyDescent="0.3">
      <c r="A3573">
        <v>101</v>
      </c>
      <c r="B3573" t="s">
        <v>34</v>
      </c>
      <c r="C3573">
        <v>2</v>
      </c>
      <c r="D3573" s="1" t="s">
        <v>9409</v>
      </c>
      <c r="E3573" s="1" t="s">
        <v>36</v>
      </c>
      <c r="G3573">
        <v>436639</v>
      </c>
      <c r="H3573" t="s">
        <v>9410</v>
      </c>
      <c r="I3573" t="s">
        <v>2413</v>
      </c>
      <c r="J3573">
        <v>30</v>
      </c>
      <c r="K3573">
        <v>2695</v>
      </c>
      <c r="L3573">
        <v>95000</v>
      </c>
      <c r="M3573" t="s">
        <v>69</v>
      </c>
      <c r="N3573">
        <v>691</v>
      </c>
      <c r="O3573" s="2">
        <v>46171</v>
      </c>
      <c r="P3573" s="2">
        <v>46276</v>
      </c>
      <c r="R3573" t="s">
        <v>9411</v>
      </c>
      <c r="S3573" t="str">
        <f>""</f>
        <v/>
      </c>
      <c r="T3573" t="s">
        <v>41</v>
      </c>
      <c r="U3573">
        <v>2134.8000000000002</v>
      </c>
      <c r="V3573">
        <v>2111.3200000000002</v>
      </c>
      <c r="W3573">
        <v>2111.3200000000002</v>
      </c>
      <c r="X3573">
        <v>0</v>
      </c>
      <c r="Y3573">
        <v>0</v>
      </c>
      <c r="Z3573">
        <v>-501</v>
      </c>
      <c r="AA3573">
        <v>689262</v>
      </c>
      <c r="AD3573" t="s">
        <v>64</v>
      </c>
      <c r="AE3573" t="s">
        <v>9412</v>
      </c>
      <c r="AF3573" t="s">
        <v>64</v>
      </c>
      <c r="AG3573" s="1" t="s">
        <v>9413</v>
      </c>
      <c r="AH3573" t="s">
        <v>44</v>
      </c>
    </row>
    <row r="3574" spans="1:34" x14ac:dyDescent="0.3">
      <c r="A3574">
        <v>101</v>
      </c>
      <c r="B3574" t="s">
        <v>34</v>
      </c>
      <c r="C3574">
        <v>2</v>
      </c>
      <c r="D3574" s="1" t="s">
        <v>9414</v>
      </c>
      <c r="E3574" s="1" t="s">
        <v>36</v>
      </c>
      <c r="G3574">
        <v>436639</v>
      </c>
      <c r="H3574" t="s">
        <v>9410</v>
      </c>
      <c r="I3574" t="s">
        <v>2413</v>
      </c>
      <c r="J3574">
        <v>30</v>
      </c>
      <c r="K3574">
        <v>2695</v>
      </c>
      <c r="L3574">
        <v>95000</v>
      </c>
      <c r="M3574" t="s">
        <v>69</v>
      </c>
      <c r="N3574">
        <v>691</v>
      </c>
      <c r="O3574" s="2">
        <v>46226</v>
      </c>
      <c r="P3574" s="2">
        <v>46349</v>
      </c>
      <c r="R3574" t="s">
        <v>9415</v>
      </c>
      <c r="S3574" t="str">
        <f>""</f>
        <v/>
      </c>
      <c r="T3574" t="s">
        <v>41</v>
      </c>
      <c r="U3574">
        <v>2388.7800000000002</v>
      </c>
      <c r="V3574">
        <v>2362.5</v>
      </c>
      <c r="W3574">
        <v>2362.5</v>
      </c>
      <c r="X3574">
        <v>0</v>
      </c>
      <c r="Y3574">
        <v>0</v>
      </c>
      <c r="Z3574">
        <v>-574</v>
      </c>
      <c r="AA3574">
        <v>694841</v>
      </c>
      <c r="AD3574" t="s">
        <v>64</v>
      </c>
      <c r="AE3574" t="s">
        <v>9412</v>
      </c>
      <c r="AF3574" t="s">
        <v>64</v>
      </c>
      <c r="AG3574" s="1" t="s">
        <v>9413</v>
      </c>
      <c r="AH3574" t="s">
        <v>44</v>
      </c>
    </row>
    <row r="3575" spans="1:34" x14ac:dyDescent="0.3">
      <c r="A3575">
        <v>101</v>
      </c>
      <c r="B3575" t="s">
        <v>34</v>
      </c>
      <c r="C3575">
        <v>2</v>
      </c>
      <c r="D3575" s="1" t="s">
        <v>9416</v>
      </c>
      <c r="E3575" s="1" t="s">
        <v>36</v>
      </c>
      <c r="G3575">
        <v>436639</v>
      </c>
      <c r="H3575" t="s">
        <v>9410</v>
      </c>
      <c r="I3575" t="s">
        <v>2413</v>
      </c>
      <c r="J3575">
        <v>30</v>
      </c>
      <c r="K3575">
        <v>2695</v>
      </c>
      <c r="L3575">
        <v>95000</v>
      </c>
      <c r="M3575" t="s">
        <v>69</v>
      </c>
      <c r="N3575">
        <v>691</v>
      </c>
      <c r="O3575" s="2">
        <v>46141</v>
      </c>
      <c r="P3575" s="2">
        <v>46266</v>
      </c>
      <c r="R3575" t="s">
        <v>9417</v>
      </c>
      <c r="S3575" t="str">
        <f>""</f>
        <v/>
      </c>
      <c r="T3575" t="s">
        <v>41</v>
      </c>
      <c r="U3575">
        <v>1961.93</v>
      </c>
      <c r="V3575">
        <v>1940.35</v>
      </c>
      <c r="W3575">
        <v>1940.35</v>
      </c>
      <c r="X3575">
        <v>0</v>
      </c>
      <c r="Y3575">
        <v>0</v>
      </c>
      <c r="Z3575">
        <v>-491</v>
      </c>
      <c r="AA3575">
        <v>686661</v>
      </c>
      <c r="AD3575" t="s">
        <v>64</v>
      </c>
      <c r="AE3575" t="s">
        <v>9412</v>
      </c>
      <c r="AF3575" t="s">
        <v>64</v>
      </c>
      <c r="AG3575" s="1" t="s">
        <v>9413</v>
      </c>
      <c r="AH3575" t="s">
        <v>44</v>
      </c>
    </row>
    <row r="3576" spans="1:34" x14ac:dyDescent="0.3">
      <c r="A3576">
        <v>101</v>
      </c>
      <c r="B3576" t="s">
        <v>34</v>
      </c>
      <c r="C3576">
        <v>2</v>
      </c>
      <c r="D3576" s="1" t="s">
        <v>9418</v>
      </c>
      <c r="E3576" s="1" t="s">
        <v>36</v>
      </c>
      <c r="G3576">
        <v>436639</v>
      </c>
      <c r="H3576" t="s">
        <v>9410</v>
      </c>
      <c r="I3576" t="s">
        <v>2413</v>
      </c>
      <c r="J3576">
        <v>30</v>
      </c>
      <c r="K3576">
        <v>2695</v>
      </c>
      <c r="L3576">
        <v>95000</v>
      </c>
      <c r="M3576" t="s">
        <v>69</v>
      </c>
      <c r="N3576">
        <v>691</v>
      </c>
      <c r="O3576" s="2">
        <v>46170</v>
      </c>
      <c r="P3576" s="2">
        <v>46276</v>
      </c>
      <c r="R3576" t="s">
        <v>9419</v>
      </c>
      <c r="S3576" t="str">
        <f>""</f>
        <v/>
      </c>
      <c r="T3576" t="s">
        <v>41</v>
      </c>
      <c r="U3576">
        <v>8393.5</v>
      </c>
      <c r="V3576">
        <v>8301.17</v>
      </c>
      <c r="W3576">
        <v>8301.17</v>
      </c>
      <c r="X3576">
        <v>0</v>
      </c>
      <c r="Y3576">
        <v>0</v>
      </c>
      <c r="Z3576">
        <v>-501</v>
      </c>
      <c r="AA3576">
        <v>689262</v>
      </c>
      <c r="AD3576" t="s">
        <v>64</v>
      </c>
      <c r="AE3576" t="s">
        <v>9412</v>
      </c>
      <c r="AF3576" t="s">
        <v>64</v>
      </c>
      <c r="AG3576" s="1" t="s">
        <v>9413</v>
      </c>
      <c r="AH3576" t="s">
        <v>44</v>
      </c>
    </row>
    <row r="3577" spans="1:34" x14ac:dyDescent="0.3">
      <c r="A3577">
        <v>101</v>
      </c>
      <c r="B3577" t="s">
        <v>34</v>
      </c>
      <c r="C3577">
        <v>2</v>
      </c>
      <c r="D3577" s="1" t="s">
        <v>9420</v>
      </c>
      <c r="E3577" s="1" t="s">
        <v>36</v>
      </c>
      <c r="G3577">
        <v>436639</v>
      </c>
      <c r="H3577" t="s">
        <v>9410</v>
      </c>
      <c r="I3577" t="s">
        <v>2413</v>
      </c>
      <c r="J3577">
        <v>30</v>
      </c>
      <c r="K3577">
        <v>2695</v>
      </c>
      <c r="L3577">
        <v>95000</v>
      </c>
      <c r="M3577" t="s">
        <v>69</v>
      </c>
      <c r="N3577">
        <v>691</v>
      </c>
      <c r="O3577" s="2">
        <v>46197</v>
      </c>
      <c r="P3577" s="2">
        <v>46316</v>
      </c>
      <c r="R3577" t="s">
        <v>9421</v>
      </c>
      <c r="S3577" t="str">
        <f>""</f>
        <v/>
      </c>
      <c r="T3577" t="s">
        <v>41</v>
      </c>
      <c r="U3577">
        <v>4308.66</v>
      </c>
      <c r="V3577">
        <v>4261.26</v>
      </c>
      <c r="W3577">
        <v>4261.26</v>
      </c>
      <c r="X3577">
        <v>0</v>
      </c>
      <c r="Y3577">
        <v>0</v>
      </c>
      <c r="Z3577">
        <v>-541</v>
      </c>
      <c r="AA3577">
        <v>692224</v>
      </c>
      <c r="AD3577" t="s">
        <v>64</v>
      </c>
      <c r="AE3577" t="s">
        <v>9412</v>
      </c>
      <c r="AF3577" t="s">
        <v>64</v>
      </c>
      <c r="AG3577" s="1" t="s">
        <v>9413</v>
      </c>
      <c r="AH3577" t="s">
        <v>44</v>
      </c>
    </row>
    <row r="3578" spans="1:34" x14ac:dyDescent="0.3">
      <c r="A3578">
        <v>101</v>
      </c>
      <c r="B3578" t="s">
        <v>34</v>
      </c>
      <c r="C3578">
        <v>2</v>
      </c>
      <c r="D3578" s="1" t="s">
        <v>9422</v>
      </c>
      <c r="E3578" s="1" t="s">
        <v>36</v>
      </c>
      <c r="G3578">
        <v>436643</v>
      </c>
      <c r="H3578" t="s">
        <v>9423</v>
      </c>
      <c r="I3578" t="s">
        <v>2413</v>
      </c>
      <c r="J3578">
        <v>30</v>
      </c>
      <c r="K3578">
        <v>2695</v>
      </c>
      <c r="L3578">
        <v>95000</v>
      </c>
      <c r="M3578" t="s">
        <v>69</v>
      </c>
      <c r="N3578">
        <v>691</v>
      </c>
      <c r="O3578" s="2">
        <v>46141</v>
      </c>
      <c r="P3578" s="2">
        <v>46266</v>
      </c>
      <c r="R3578" t="s">
        <v>9424</v>
      </c>
      <c r="S3578" t="str">
        <f>""</f>
        <v/>
      </c>
      <c r="T3578" t="s">
        <v>41</v>
      </c>
      <c r="U3578">
        <v>5810.74</v>
      </c>
      <c r="V3578">
        <v>5746.82</v>
      </c>
      <c r="W3578">
        <v>5746.82</v>
      </c>
      <c r="X3578">
        <v>0</v>
      </c>
      <c r="Y3578">
        <v>0</v>
      </c>
      <c r="Z3578">
        <v>-491</v>
      </c>
      <c r="AA3578">
        <v>686663</v>
      </c>
      <c r="AD3578" t="s">
        <v>2859</v>
      </c>
      <c r="AE3578" t="s">
        <v>9425</v>
      </c>
      <c r="AF3578" t="s">
        <v>2859</v>
      </c>
      <c r="AG3578" s="1" t="s">
        <v>9426</v>
      </c>
      <c r="AH3578" t="s">
        <v>44</v>
      </c>
    </row>
    <row r="3579" spans="1:34" x14ac:dyDescent="0.3">
      <c r="A3579">
        <v>101</v>
      </c>
      <c r="B3579" t="s">
        <v>34</v>
      </c>
      <c r="C3579">
        <v>2</v>
      </c>
      <c r="D3579" s="1" t="s">
        <v>9427</v>
      </c>
      <c r="E3579" s="1" t="s">
        <v>36</v>
      </c>
      <c r="G3579">
        <v>436643</v>
      </c>
      <c r="H3579" t="s">
        <v>9423</v>
      </c>
      <c r="I3579" t="s">
        <v>2413</v>
      </c>
      <c r="J3579">
        <v>30</v>
      </c>
      <c r="K3579">
        <v>2695</v>
      </c>
      <c r="L3579">
        <v>95000</v>
      </c>
      <c r="M3579" t="s">
        <v>69</v>
      </c>
      <c r="N3579">
        <v>691</v>
      </c>
      <c r="O3579" s="2">
        <v>46172</v>
      </c>
      <c r="P3579" s="2">
        <v>46296</v>
      </c>
      <c r="R3579" t="s">
        <v>9428</v>
      </c>
      <c r="S3579" t="str">
        <f>""</f>
        <v/>
      </c>
      <c r="T3579" t="s">
        <v>41</v>
      </c>
      <c r="U3579">
        <v>12003.82</v>
      </c>
      <c r="V3579">
        <v>11871.78</v>
      </c>
      <c r="W3579">
        <v>11871.78</v>
      </c>
      <c r="X3579">
        <v>0</v>
      </c>
      <c r="Y3579">
        <v>0</v>
      </c>
      <c r="Z3579">
        <v>-521</v>
      </c>
      <c r="AA3579">
        <v>689264</v>
      </c>
      <c r="AD3579" t="s">
        <v>2859</v>
      </c>
      <c r="AE3579" t="s">
        <v>9425</v>
      </c>
      <c r="AF3579" t="s">
        <v>2859</v>
      </c>
      <c r="AG3579" s="1" t="s">
        <v>9426</v>
      </c>
      <c r="AH3579" t="s">
        <v>44</v>
      </c>
    </row>
    <row r="3580" spans="1:34" x14ac:dyDescent="0.3">
      <c r="A3580">
        <v>101</v>
      </c>
      <c r="B3580" t="s">
        <v>34</v>
      </c>
      <c r="C3580">
        <v>2</v>
      </c>
      <c r="D3580" s="1" t="s">
        <v>9429</v>
      </c>
      <c r="E3580" s="1" t="s">
        <v>36</v>
      </c>
      <c r="G3580">
        <v>436643</v>
      </c>
      <c r="H3580" t="s">
        <v>9423</v>
      </c>
      <c r="I3580" t="s">
        <v>2413</v>
      </c>
      <c r="J3580">
        <v>30</v>
      </c>
      <c r="K3580">
        <v>2695</v>
      </c>
      <c r="L3580">
        <v>95000</v>
      </c>
      <c r="M3580" t="s">
        <v>69</v>
      </c>
      <c r="N3580">
        <v>691</v>
      </c>
      <c r="O3580" s="2">
        <v>46199</v>
      </c>
      <c r="P3580" s="2">
        <v>46329</v>
      </c>
      <c r="R3580" t="s">
        <v>9430</v>
      </c>
      <c r="S3580" t="str">
        <f>""</f>
        <v/>
      </c>
      <c r="T3580" t="s">
        <v>41</v>
      </c>
      <c r="U3580">
        <v>14447.03</v>
      </c>
      <c r="V3580">
        <v>14288.11</v>
      </c>
      <c r="W3580">
        <v>14288.11</v>
      </c>
      <c r="X3580">
        <v>0</v>
      </c>
      <c r="Y3580">
        <v>0</v>
      </c>
      <c r="Z3580">
        <v>-554</v>
      </c>
      <c r="AA3580">
        <v>692226</v>
      </c>
      <c r="AD3580" t="s">
        <v>2859</v>
      </c>
      <c r="AE3580" t="s">
        <v>9425</v>
      </c>
      <c r="AF3580" t="s">
        <v>2859</v>
      </c>
      <c r="AG3580" s="1" t="s">
        <v>9426</v>
      </c>
      <c r="AH3580" t="s">
        <v>44</v>
      </c>
    </row>
    <row r="3581" spans="1:34" x14ac:dyDescent="0.3">
      <c r="A3581">
        <v>101</v>
      </c>
      <c r="B3581" t="s">
        <v>34</v>
      </c>
      <c r="C3581">
        <v>2</v>
      </c>
      <c r="D3581" s="1" t="s">
        <v>9431</v>
      </c>
      <c r="E3581" s="1" t="s">
        <v>36</v>
      </c>
      <c r="G3581">
        <v>436643</v>
      </c>
      <c r="H3581" t="s">
        <v>9423</v>
      </c>
      <c r="I3581" t="s">
        <v>2413</v>
      </c>
      <c r="J3581">
        <v>30</v>
      </c>
      <c r="K3581">
        <v>2695</v>
      </c>
      <c r="L3581">
        <v>95000</v>
      </c>
      <c r="M3581" t="s">
        <v>69</v>
      </c>
      <c r="N3581">
        <v>691</v>
      </c>
      <c r="O3581" s="2">
        <v>46226</v>
      </c>
      <c r="P3581" s="2">
        <v>46316</v>
      </c>
      <c r="R3581" t="s">
        <v>9432</v>
      </c>
      <c r="S3581" t="str">
        <f>""</f>
        <v/>
      </c>
      <c r="T3581" t="s">
        <v>41</v>
      </c>
      <c r="U3581">
        <v>11360.76</v>
      </c>
      <c r="V3581">
        <v>11235.79</v>
      </c>
      <c r="W3581">
        <v>11235.79</v>
      </c>
      <c r="X3581">
        <v>0</v>
      </c>
      <c r="Y3581">
        <v>0</v>
      </c>
      <c r="Z3581">
        <v>-541</v>
      </c>
      <c r="AA3581">
        <v>694843</v>
      </c>
      <c r="AD3581" t="s">
        <v>2859</v>
      </c>
      <c r="AE3581" t="s">
        <v>9425</v>
      </c>
      <c r="AF3581" t="s">
        <v>2859</v>
      </c>
      <c r="AG3581" s="1" t="s">
        <v>9426</v>
      </c>
      <c r="AH3581" t="s">
        <v>44</v>
      </c>
    </row>
    <row r="3582" spans="1:34" x14ac:dyDescent="0.3">
      <c r="A3582">
        <v>101</v>
      </c>
      <c r="B3582" t="s">
        <v>34</v>
      </c>
      <c r="C3582">
        <v>2</v>
      </c>
      <c r="D3582" s="1" t="s">
        <v>9433</v>
      </c>
      <c r="E3582" s="1" t="s">
        <v>36</v>
      </c>
      <c r="G3582">
        <v>436644</v>
      </c>
      <c r="H3582" t="s">
        <v>9434</v>
      </c>
      <c r="I3582" t="s">
        <v>2413</v>
      </c>
      <c r="J3582">
        <v>30</v>
      </c>
      <c r="K3582">
        <v>2695</v>
      </c>
      <c r="L3582">
        <v>95000</v>
      </c>
      <c r="M3582" t="s">
        <v>69</v>
      </c>
      <c r="N3582">
        <v>691</v>
      </c>
      <c r="O3582" s="2">
        <v>46171</v>
      </c>
      <c r="P3582" s="2">
        <v>46276</v>
      </c>
      <c r="R3582" t="s">
        <v>9435</v>
      </c>
      <c r="S3582" t="str">
        <f>""</f>
        <v/>
      </c>
      <c r="T3582" t="s">
        <v>41</v>
      </c>
      <c r="U3582">
        <v>2134.8000000000002</v>
      </c>
      <c r="V3582">
        <v>2111.3200000000002</v>
      </c>
      <c r="W3582">
        <v>2111.3200000000002</v>
      </c>
      <c r="X3582">
        <v>0</v>
      </c>
      <c r="Y3582">
        <v>0</v>
      </c>
      <c r="Z3582">
        <v>-501</v>
      </c>
      <c r="AA3582">
        <v>689266</v>
      </c>
      <c r="AD3582" t="s">
        <v>64</v>
      </c>
      <c r="AE3582" t="s">
        <v>9436</v>
      </c>
      <c r="AF3582" t="s">
        <v>64</v>
      </c>
      <c r="AG3582" s="1" t="s">
        <v>9437</v>
      </c>
      <c r="AH3582" t="s">
        <v>44</v>
      </c>
    </row>
    <row r="3583" spans="1:34" x14ac:dyDescent="0.3">
      <c r="A3583">
        <v>101</v>
      </c>
      <c r="B3583" t="s">
        <v>34</v>
      </c>
      <c r="C3583">
        <v>2</v>
      </c>
      <c r="D3583" s="1" t="s">
        <v>9438</v>
      </c>
      <c r="E3583" s="1" t="s">
        <v>36</v>
      </c>
      <c r="G3583">
        <v>436644</v>
      </c>
      <c r="H3583" t="s">
        <v>9434</v>
      </c>
      <c r="I3583" t="s">
        <v>2413</v>
      </c>
      <c r="J3583">
        <v>30</v>
      </c>
      <c r="K3583">
        <v>2695</v>
      </c>
      <c r="L3583">
        <v>95000</v>
      </c>
      <c r="M3583" t="s">
        <v>69</v>
      </c>
      <c r="N3583">
        <v>691</v>
      </c>
      <c r="O3583" s="2">
        <v>46235</v>
      </c>
      <c r="P3583" s="2">
        <v>46325</v>
      </c>
      <c r="R3583" t="s">
        <v>9439</v>
      </c>
      <c r="S3583" t="str">
        <f>""</f>
        <v/>
      </c>
      <c r="T3583" t="s">
        <v>41</v>
      </c>
      <c r="U3583">
        <v>6446.05</v>
      </c>
      <c r="V3583">
        <v>6375.14</v>
      </c>
      <c r="W3583">
        <v>6375.14</v>
      </c>
      <c r="X3583">
        <v>0</v>
      </c>
      <c r="Y3583">
        <v>0</v>
      </c>
      <c r="Z3583">
        <v>-550</v>
      </c>
      <c r="AA3583">
        <v>694845</v>
      </c>
      <c r="AD3583" t="s">
        <v>64</v>
      </c>
      <c r="AE3583" t="s">
        <v>9436</v>
      </c>
      <c r="AF3583" t="s">
        <v>64</v>
      </c>
      <c r="AG3583" s="1" t="s">
        <v>9437</v>
      </c>
      <c r="AH3583" t="s">
        <v>44</v>
      </c>
    </row>
    <row r="3584" spans="1:34" x14ac:dyDescent="0.3">
      <c r="A3584">
        <v>101</v>
      </c>
      <c r="B3584" t="s">
        <v>34</v>
      </c>
      <c r="C3584">
        <v>2</v>
      </c>
      <c r="D3584" s="1" t="s">
        <v>9440</v>
      </c>
      <c r="E3584" s="1" t="s">
        <v>36</v>
      </c>
      <c r="G3584">
        <v>436644</v>
      </c>
      <c r="H3584" t="s">
        <v>9434</v>
      </c>
      <c r="I3584" t="s">
        <v>2413</v>
      </c>
      <c r="J3584">
        <v>30</v>
      </c>
      <c r="K3584">
        <v>2695</v>
      </c>
      <c r="L3584">
        <v>95000</v>
      </c>
      <c r="M3584" t="s">
        <v>69</v>
      </c>
      <c r="N3584">
        <v>691</v>
      </c>
      <c r="O3584" s="2">
        <v>46199</v>
      </c>
      <c r="P3584" s="2">
        <v>46329</v>
      </c>
      <c r="R3584" t="s">
        <v>9441</v>
      </c>
      <c r="S3584" t="str">
        <f>""</f>
        <v/>
      </c>
      <c r="T3584" t="s">
        <v>41</v>
      </c>
      <c r="U3584">
        <v>1383.26</v>
      </c>
      <c r="V3584">
        <v>1368.04</v>
      </c>
      <c r="W3584">
        <v>1368.04</v>
      </c>
      <c r="X3584">
        <v>0</v>
      </c>
      <c r="Y3584">
        <v>0</v>
      </c>
      <c r="Z3584">
        <v>-554</v>
      </c>
      <c r="AA3584">
        <v>692228</v>
      </c>
      <c r="AD3584" t="s">
        <v>64</v>
      </c>
      <c r="AE3584" t="s">
        <v>9436</v>
      </c>
      <c r="AF3584" t="s">
        <v>64</v>
      </c>
      <c r="AG3584" s="1" t="s">
        <v>9437</v>
      </c>
      <c r="AH3584" t="s">
        <v>44</v>
      </c>
    </row>
    <row r="3585" spans="1:34" x14ac:dyDescent="0.3">
      <c r="A3585">
        <v>101</v>
      </c>
      <c r="B3585" t="s">
        <v>34</v>
      </c>
      <c r="C3585">
        <v>2</v>
      </c>
      <c r="D3585" s="1" t="s">
        <v>9442</v>
      </c>
      <c r="E3585" s="1" t="s">
        <v>36</v>
      </c>
      <c r="G3585">
        <v>436644</v>
      </c>
      <c r="H3585" t="s">
        <v>9434</v>
      </c>
      <c r="I3585" t="s">
        <v>2413</v>
      </c>
      <c r="J3585">
        <v>30</v>
      </c>
      <c r="K3585">
        <v>2695</v>
      </c>
      <c r="L3585">
        <v>95000</v>
      </c>
      <c r="M3585" t="s">
        <v>69</v>
      </c>
      <c r="N3585">
        <v>691</v>
      </c>
      <c r="O3585" s="2">
        <v>46141</v>
      </c>
      <c r="P3585" s="2">
        <v>46266</v>
      </c>
      <c r="R3585" t="s">
        <v>9443</v>
      </c>
      <c r="S3585" t="str">
        <f>""</f>
        <v/>
      </c>
      <c r="T3585" t="s">
        <v>41</v>
      </c>
      <c r="U3585">
        <v>10459.82</v>
      </c>
      <c r="V3585">
        <v>10344.76</v>
      </c>
      <c r="W3585">
        <v>10344.76</v>
      </c>
      <c r="X3585">
        <v>0</v>
      </c>
      <c r="Y3585">
        <v>0</v>
      </c>
      <c r="Z3585">
        <v>-491</v>
      </c>
      <c r="AA3585">
        <v>686665</v>
      </c>
      <c r="AD3585" t="s">
        <v>64</v>
      </c>
      <c r="AE3585" t="s">
        <v>9436</v>
      </c>
      <c r="AF3585" t="s">
        <v>64</v>
      </c>
      <c r="AG3585" s="1" t="s">
        <v>9437</v>
      </c>
      <c r="AH3585" t="s">
        <v>44</v>
      </c>
    </row>
    <row r="3586" spans="1:34" x14ac:dyDescent="0.3">
      <c r="A3586">
        <v>101</v>
      </c>
      <c r="B3586" t="s">
        <v>34</v>
      </c>
      <c r="C3586">
        <v>2</v>
      </c>
      <c r="D3586" s="1" t="s">
        <v>9444</v>
      </c>
      <c r="E3586" s="1" t="s">
        <v>36</v>
      </c>
      <c r="G3586">
        <v>436644</v>
      </c>
      <c r="H3586" t="s">
        <v>9434</v>
      </c>
      <c r="I3586" t="s">
        <v>2413</v>
      </c>
      <c r="J3586">
        <v>30</v>
      </c>
      <c r="K3586">
        <v>2695</v>
      </c>
      <c r="L3586">
        <v>95000</v>
      </c>
      <c r="M3586" t="s">
        <v>69</v>
      </c>
      <c r="N3586">
        <v>691</v>
      </c>
      <c r="O3586" s="2">
        <v>46170</v>
      </c>
      <c r="P3586" s="2">
        <v>46276</v>
      </c>
      <c r="R3586" t="s">
        <v>9445</v>
      </c>
      <c r="S3586" t="str">
        <f>""</f>
        <v/>
      </c>
      <c r="T3586" t="s">
        <v>41</v>
      </c>
      <c r="U3586">
        <v>12558.61</v>
      </c>
      <c r="V3586">
        <v>12420.47</v>
      </c>
      <c r="W3586">
        <v>12420.47</v>
      </c>
      <c r="X3586">
        <v>0</v>
      </c>
      <c r="Y3586">
        <v>0</v>
      </c>
      <c r="Z3586">
        <v>-501</v>
      </c>
      <c r="AA3586">
        <v>689266</v>
      </c>
      <c r="AD3586" t="s">
        <v>64</v>
      </c>
      <c r="AE3586" t="s">
        <v>9436</v>
      </c>
      <c r="AF3586" t="s">
        <v>64</v>
      </c>
      <c r="AG3586" s="1" t="s">
        <v>9437</v>
      </c>
      <c r="AH3586" t="s">
        <v>44</v>
      </c>
    </row>
    <row r="3587" spans="1:34" x14ac:dyDescent="0.3">
      <c r="A3587">
        <v>101</v>
      </c>
      <c r="B3587" t="s">
        <v>34</v>
      </c>
      <c r="C3587">
        <v>2</v>
      </c>
      <c r="D3587" s="1" t="s">
        <v>9446</v>
      </c>
      <c r="E3587" s="1" t="s">
        <v>36</v>
      </c>
      <c r="G3587">
        <v>436645</v>
      </c>
      <c r="H3587" t="s">
        <v>9447</v>
      </c>
      <c r="I3587" t="s">
        <v>2413</v>
      </c>
      <c r="J3587">
        <v>30</v>
      </c>
      <c r="K3587">
        <v>2695</v>
      </c>
      <c r="L3587">
        <v>95000</v>
      </c>
      <c r="M3587" t="s">
        <v>69</v>
      </c>
      <c r="N3587">
        <v>691</v>
      </c>
      <c r="O3587" s="2">
        <v>46141</v>
      </c>
      <c r="P3587" s="2">
        <v>46266</v>
      </c>
      <c r="R3587" t="s">
        <v>9448</v>
      </c>
      <c r="S3587" t="str">
        <f>""</f>
        <v/>
      </c>
      <c r="T3587" t="s">
        <v>41</v>
      </c>
      <c r="U3587">
        <v>4647.92</v>
      </c>
      <c r="V3587">
        <v>4596.79</v>
      </c>
      <c r="W3587">
        <v>4596.79</v>
      </c>
      <c r="X3587">
        <v>0</v>
      </c>
      <c r="Y3587">
        <v>0</v>
      </c>
      <c r="Z3587">
        <v>-491</v>
      </c>
      <c r="AA3587">
        <v>686667</v>
      </c>
      <c r="AD3587" t="s">
        <v>3349</v>
      </c>
      <c r="AE3587" t="s">
        <v>9449</v>
      </c>
      <c r="AF3587" t="s">
        <v>3349</v>
      </c>
      <c r="AG3587" s="1" t="s">
        <v>9450</v>
      </c>
      <c r="AH3587" t="s">
        <v>44</v>
      </c>
    </row>
    <row r="3588" spans="1:34" x14ac:dyDescent="0.3">
      <c r="A3588">
        <v>101</v>
      </c>
      <c r="B3588" t="s">
        <v>34</v>
      </c>
      <c r="C3588">
        <v>2</v>
      </c>
      <c r="D3588" s="1" t="s">
        <v>9451</v>
      </c>
      <c r="E3588" s="1" t="s">
        <v>36</v>
      </c>
      <c r="G3588">
        <v>436645</v>
      </c>
      <c r="H3588" t="s">
        <v>9447</v>
      </c>
      <c r="I3588" t="s">
        <v>2413</v>
      </c>
      <c r="J3588">
        <v>30</v>
      </c>
      <c r="K3588">
        <v>2695</v>
      </c>
      <c r="L3588">
        <v>95000</v>
      </c>
      <c r="M3588" t="s">
        <v>69</v>
      </c>
      <c r="N3588">
        <v>691</v>
      </c>
      <c r="O3588" s="2">
        <v>46170</v>
      </c>
      <c r="P3588" s="2">
        <v>46286</v>
      </c>
      <c r="R3588" t="s">
        <v>9452</v>
      </c>
      <c r="S3588" t="str">
        <f>""</f>
        <v/>
      </c>
      <c r="T3588" t="s">
        <v>41</v>
      </c>
      <c r="U3588">
        <v>9788.39</v>
      </c>
      <c r="V3588">
        <v>9680.7199999999993</v>
      </c>
      <c r="W3588">
        <v>9680.7199999999993</v>
      </c>
      <c r="X3588">
        <v>0</v>
      </c>
      <c r="Y3588">
        <v>0</v>
      </c>
      <c r="Z3588">
        <v>-511</v>
      </c>
      <c r="AA3588">
        <v>689268</v>
      </c>
      <c r="AD3588" t="s">
        <v>3349</v>
      </c>
      <c r="AE3588" t="s">
        <v>9449</v>
      </c>
      <c r="AF3588" t="s">
        <v>3349</v>
      </c>
      <c r="AG3588" s="1" t="s">
        <v>9450</v>
      </c>
      <c r="AH3588" t="s">
        <v>44</v>
      </c>
    </row>
    <row r="3589" spans="1:34" x14ac:dyDescent="0.3">
      <c r="A3589">
        <v>101</v>
      </c>
      <c r="B3589" t="s">
        <v>34</v>
      </c>
      <c r="C3589">
        <v>2</v>
      </c>
      <c r="D3589" s="1" t="s">
        <v>9453</v>
      </c>
      <c r="E3589" s="1" t="s">
        <v>36</v>
      </c>
      <c r="G3589">
        <v>436645</v>
      </c>
      <c r="H3589" t="s">
        <v>9447</v>
      </c>
      <c r="I3589" t="s">
        <v>2413</v>
      </c>
      <c r="J3589">
        <v>30</v>
      </c>
      <c r="K3589">
        <v>2695</v>
      </c>
      <c r="L3589">
        <v>95000</v>
      </c>
      <c r="M3589" t="s">
        <v>69</v>
      </c>
      <c r="N3589">
        <v>691</v>
      </c>
      <c r="O3589" s="2">
        <v>46171</v>
      </c>
      <c r="P3589" s="2">
        <v>46286</v>
      </c>
      <c r="R3589" t="s">
        <v>9454</v>
      </c>
      <c r="S3589" t="str">
        <f>""</f>
        <v/>
      </c>
      <c r="T3589" t="s">
        <v>41</v>
      </c>
      <c r="U3589">
        <v>2846.4</v>
      </c>
      <c r="V3589">
        <v>2815.09</v>
      </c>
      <c r="W3589">
        <v>2815.09</v>
      </c>
      <c r="X3589">
        <v>0</v>
      </c>
      <c r="Y3589">
        <v>0</v>
      </c>
      <c r="Z3589">
        <v>-511</v>
      </c>
      <c r="AA3589">
        <v>689268</v>
      </c>
      <c r="AD3589" t="s">
        <v>3349</v>
      </c>
      <c r="AE3589" t="s">
        <v>9449</v>
      </c>
      <c r="AF3589" t="s">
        <v>3349</v>
      </c>
      <c r="AG3589" s="1" t="s">
        <v>9450</v>
      </c>
      <c r="AH3589" t="s">
        <v>44</v>
      </c>
    </row>
    <row r="3590" spans="1:34" x14ac:dyDescent="0.3">
      <c r="A3590">
        <v>101</v>
      </c>
      <c r="B3590" t="s">
        <v>34</v>
      </c>
      <c r="C3590">
        <v>2</v>
      </c>
      <c r="D3590" s="1" t="s">
        <v>9455</v>
      </c>
      <c r="E3590" s="1" t="s">
        <v>36</v>
      </c>
      <c r="G3590">
        <v>436645</v>
      </c>
      <c r="H3590" t="s">
        <v>9447</v>
      </c>
      <c r="I3590" t="s">
        <v>2413</v>
      </c>
      <c r="J3590">
        <v>30</v>
      </c>
      <c r="K3590">
        <v>2695</v>
      </c>
      <c r="L3590">
        <v>95000</v>
      </c>
      <c r="M3590" t="s">
        <v>69</v>
      </c>
      <c r="N3590">
        <v>691</v>
      </c>
      <c r="O3590" s="2">
        <v>46199</v>
      </c>
      <c r="P3590" s="2">
        <v>46316</v>
      </c>
      <c r="R3590" t="s">
        <v>9456</v>
      </c>
      <c r="S3590" t="str">
        <f>""</f>
        <v/>
      </c>
      <c r="T3590" t="s">
        <v>41</v>
      </c>
      <c r="U3590">
        <v>1725.38</v>
      </c>
      <c r="V3590">
        <v>1706.4</v>
      </c>
      <c r="W3590">
        <v>1706.4</v>
      </c>
      <c r="X3590">
        <v>0</v>
      </c>
      <c r="Y3590">
        <v>0</v>
      </c>
      <c r="Z3590">
        <v>-541</v>
      </c>
      <c r="AA3590">
        <v>692230</v>
      </c>
      <c r="AD3590" t="s">
        <v>3349</v>
      </c>
      <c r="AE3590" t="s">
        <v>9449</v>
      </c>
      <c r="AF3590" t="s">
        <v>3349</v>
      </c>
      <c r="AG3590" s="1" t="s">
        <v>9450</v>
      </c>
      <c r="AH3590" t="s">
        <v>44</v>
      </c>
    </row>
    <row r="3591" spans="1:34" x14ac:dyDescent="0.3">
      <c r="A3591">
        <v>101</v>
      </c>
      <c r="B3591" t="s">
        <v>34</v>
      </c>
      <c r="C3591">
        <v>2</v>
      </c>
      <c r="D3591" s="1" t="s">
        <v>9457</v>
      </c>
      <c r="E3591" s="1" t="s">
        <v>36</v>
      </c>
      <c r="G3591">
        <v>436646</v>
      </c>
      <c r="H3591" t="s">
        <v>9458</v>
      </c>
      <c r="I3591" t="s">
        <v>2413</v>
      </c>
      <c r="J3591">
        <v>30</v>
      </c>
      <c r="K3591">
        <v>2695</v>
      </c>
      <c r="L3591">
        <v>95000</v>
      </c>
      <c r="M3591" t="s">
        <v>69</v>
      </c>
      <c r="N3591">
        <v>691</v>
      </c>
      <c r="O3591" s="2">
        <v>46140</v>
      </c>
      <c r="P3591" s="2">
        <v>46255</v>
      </c>
      <c r="R3591" t="s">
        <v>9459</v>
      </c>
      <c r="S3591" t="str">
        <f>""</f>
        <v/>
      </c>
      <c r="T3591" t="s">
        <v>41</v>
      </c>
      <c r="U3591">
        <v>4484.41</v>
      </c>
      <c r="V3591">
        <v>4435.08</v>
      </c>
      <c r="W3591">
        <v>4435.08</v>
      </c>
      <c r="X3591">
        <v>0</v>
      </c>
      <c r="Y3591">
        <v>0</v>
      </c>
      <c r="Z3591">
        <v>-480</v>
      </c>
      <c r="AA3591">
        <v>686669</v>
      </c>
      <c r="AD3591" t="s">
        <v>3301</v>
      </c>
      <c r="AE3591" t="s">
        <v>7615</v>
      </c>
      <c r="AF3591" t="s">
        <v>3301</v>
      </c>
      <c r="AG3591" s="1" t="s">
        <v>9460</v>
      </c>
      <c r="AH3591" t="s">
        <v>44</v>
      </c>
    </row>
    <row r="3592" spans="1:34" x14ac:dyDescent="0.3">
      <c r="A3592">
        <v>101</v>
      </c>
      <c r="B3592" t="s">
        <v>34</v>
      </c>
      <c r="C3592">
        <v>2</v>
      </c>
      <c r="D3592" s="1" t="s">
        <v>9461</v>
      </c>
      <c r="E3592" s="1" t="s">
        <v>36</v>
      </c>
      <c r="G3592">
        <v>436646</v>
      </c>
      <c r="H3592" t="s">
        <v>9458</v>
      </c>
      <c r="I3592" t="s">
        <v>2413</v>
      </c>
      <c r="J3592">
        <v>30</v>
      </c>
      <c r="K3592">
        <v>2695</v>
      </c>
      <c r="L3592">
        <v>95000</v>
      </c>
      <c r="M3592" t="s">
        <v>69</v>
      </c>
      <c r="N3592">
        <v>691</v>
      </c>
      <c r="O3592" s="2">
        <v>46197</v>
      </c>
      <c r="P3592" s="2">
        <v>46308</v>
      </c>
      <c r="R3592" t="s">
        <v>9462</v>
      </c>
      <c r="S3592" t="str">
        <f>""</f>
        <v/>
      </c>
      <c r="T3592" t="s">
        <v>41</v>
      </c>
      <c r="U3592">
        <v>8473.2199999999993</v>
      </c>
      <c r="V3592">
        <v>8380.01</v>
      </c>
      <c r="W3592">
        <v>8380.01</v>
      </c>
      <c r="X3592">
        <v>0</v>
      </c>
      <c r="Y3592">
        <v>0</v>
      </c>
      <c r="Z3592">
        <v>-533</v>
      </c>
      <c r="AA3592">
        <v>692232</v>
      </c>
      <c r="AD3592" t="s">
        <v>3301</v>
      </c>
      <c r="AE3592" t="s">
        <v>7615</v>
      </c>
      <c r="AF3592" t="s">
        <v>3301</v>
      </c>
      <c r="AG3592" s="1" t="s">
        <v>9460</v>
      </c>
      <c r="AH3592" t="s">
        <v>44</v>
      </c>
    </row>
    <row r="3593" spans="1:34" x14ac:dyDescent="0.3">
      <c r="A3593">
        <v>101</v>
      </c>
      <c r="B3593" t="s">
        <v>34</v>
      </c>
      <c r="C3593">
        <v>2</v>
      </c>
      <c r="D3593" s="1" t="s">
        <v>9463</v>
      </c>
      <c r="E3593" s="1" t="s">
        <v>36</v>
      </c>
      <c r="G3593">
        <v>436646</v>
      </c>
      <c r="H3593" t="s">
        <v>9458</v>
      </c>
      <c r="I3593" t="s">
        <v>2413</v>
      </c>
      <c r="J3593">
        <v>30</v>
      </c>
      <c r="K3593">
        <v>2695</v>
      </c>
      <c r="L3593">
        <v>95000</v>
      </c>
      <c r="M3593" t="s">
        <v>69</v>
      </c>
      <c r="N3593">
        <v>691</v>
      </c>
      <c r="O3593" s="2">
        <v>46170</v>
      </c>
      <c r="P3593" s="2">
        <v>46286</v>
      </c>
      <c r="R3593" t="s">
        <v>9464</v>
      </c>
      <c r="S3593" t="str">
        <f>""</f>
        <v/>
      </c>
      <c r="T3593" t="s">
        <v>41</v>
      </c>
      <c r="U3593">
        <v>19333.560000000001</v>
      </c>
      <c r="V3593">
        <v>19120.89</v>
      </c>
      <c r="W3593">
        <v>19120.89</v>
      </c>
      <c r="X3593">
        <v>0</v>
      </c>
      <c r="Y3593">
        <v>0</v>
      </c>
      <c r="Z3593">
        <v>-511</v>
      </c>
      <c r="AA3593">
        <v>689270</v>
      </c>
      <c r="AD3593" t="s">
        <v>3301</v>
      </c>
      <c r="AE3593" t="s">
        <v>7615</v>
      </c>
      <c r="AF3593" t="s">
        <v>3301</v>
      </c>
      <c r="AG3593" s="1" t="s">
        <v>9460</v>
      </c>
      <c r="AH3593" t="s">
        <v>44</v>
      </c>
    </row>
    <row r="3594" spans="1:34" x14ac:dyDescent="0.3">
      <c r="A3594">
        <v>101</v>
      </c>
      <c r="B3594" t="s">
        <v>34</v>
      </c>
      <c r="C3594">
        <v>2</v>
      </c>
      <c r="D3594" s="1" t="s">
        <v>9465</v>
      </c>
      <c r="E3594" s="1" t="s">
        <v>36</v>
      </c>
      <c r="G3594">
        <v>436646</v>
      </c>
      <c r="H3594" t="s">
        <v>9458</v>
      </c>
      <c r="I3594" t="s">
        <v>2413</v>
      </c>
      <c r="J3594">
        <v>30</v>
      </c>
      <c r="K3594">
        <v>2695</v>
      </c>
      <c r="L3594">
        <v>95000</v>
      </c>
      <c r="M3594" t="s">
        <v>69</v>
      </c>
      <c r="N3594">
        <v>691</v>
      </c>
      <c r="O3594" s="2">
        <v>46197</v>
      </c>
      <c r="P3594" s="2">
        <v>46308</v>
      </c>
      <c r="R3594" t="s">
        <v>9466</v>
      </c>
      <c r="S3594" t="str">
        <f>""</f>
        <v/>
      </c>
      <c r="T3594" t="s">
        <v>41</v>
      </c>
      <c r="U3594">
        <v>1182.75</v>
      </c>
      <c r="V3594">
        <v>1169.74</v>
      </c>
      <c r="W3594">
        <v>1169.74</v>
      </c>
      <c r="X3594">
        <v>0</v>
      </c>
      <c r="Y3594">
        <v>0</v>
      </c>
      <c r="Z3594">
        <v>-533</v>
      </c>
      <c r="AA3594">
        <v>692232</v>
      </c>
      <c r="AD3594" t="s">
        <v>3301</v>
      </c>
      <c r="AE3594" t="s">
        <v>7615</v>
      </c>
      <c r="AF3594" t="s">
        <v>3301</v>
      </c>
      <c r="AG3594" s="1" t="s">
        <v>9460</v>
      </c>
      <c r="AH3594" t="s">
        <v>44</v>
      </c>
    </row>
    <row r="3595" spans="1:34" x14ac:dyDescent="0.3">
      <c r="A3595">
        <v>101</v>
      </c>
      <c r="B3595" t="s">
        <v>34</v>
      </c>
      <c r="C3595">
        <v>2</v>
      </c>
      <c r="D3595" s="1" t="s">
        <v>9467</v>
      </c>
      <c r="E3595" s="1" t="s">
        <v>36</v>
      </c>
      <c r="G3595">
        <v>436646</v>
      </c>
      <c r="H3595" t="s">
        <v>9458</v>
      </c>
      <c r="I3595" t="s">
        <v>2413</v>
      </c>
      <c r="J3595">
        <v>30</v>
      </c>
      <c r="K3595">
        <v>2695</v>
      </c>
      <c r="L3595">
        <v>95000</v>
      </c>
      <c r="M3595" t="s">
        <v>69</v>
      </c>
      <c r="N3595">
        <v>691</v>
      </c>
      <c r="O3595" s="2">
        <v>46140</v>
      </c>
      <c r="P3595" s="2">
        <v>46255</v>
      </c>
      <c r="R3595" t="s">
        <v>9468</v>
      </c>
      <c r="S3595" t="str">
        <f>""</f>
        <v/>
      </c>
      <c r="T3595" t="s">
        <v>41</v>
      </c>
      <c r="U3595">
        <v>268.63</v>
      </c>
      <c r="V3595">
        <v>265.68</v>
      </c>
      <c r="W3595">
        <v>265.68</v>
      </c>
      <c r="X3595">
        <v>0</v>
      </c>
      <c r="Y3595">
        <v>0</v>
      </c>
      <c r="Z3595">
        <v>-480</v>
      </c>
      <c r="AA3595">
        <v>686797</v>
      </c>
      <c r="AD3595" t="s">
        <v>3301</v>
      </c>
      <c r="AE3595" t="s">
        <v>7615</v>
      </c>
      <c r="AF3595" t="s">
        <v>3301</v>
      </c>
      <c r="AG3595" s="1" t="s">
        <v>9460</v>
      </c>
      <c r="AH3595" t="s">
        <v>44</v>
      </c>
    </row>
    <row r="3596" spans="1:34" x14ac:dyDescent="0.3">
      <c r="A3596">
        <v>101</v>
      </c>
      <c r="B3596" t="s">
        <v>34</v>
      </c>
      <c r="C3596">
        <v>2</v>
      </c>
      <c r="D3596" s="1" t="s">
        <v>9469</v>
      </c>
      <c r="E3596" s="1" t="s">
        <v>36</v>
      </c>
      <c r="G3596">
        <v>436646</v>
      </c>
      <c r="H3596" t="s">
        <v>9458</v>
      </c>
      <c r="I3596" t="s">
        <v>2413</v>
      </c>
      <c r="J3596">
        <v>30</v>
      </c>
      <c r="K3596">
        <v>2695</v>
      </c>
      <c r="L3596">
        <v>95000</v>
      </c>
      <c r="M3596" t="s">
        <v>69</v>
      </c>
      <c r="N3596">
        <v>691</v>
      </c>
      <c r="O3596" s="2">
        <v>46226</v>
      </c>
      <c r="P3596" s="2">
        <v>46316</v>
      </c>
      <c r="R3596" t="s">
        <v>9470</v>
      </c>
      <c r="S3596" t="str">
        <f>""</f>
        <v/>
      </c>
      <c r="T3596" t="s">
        <v>41</v>
      </c>
      <c r="U3596">
        <v>1180.68</v>
      </c>
      <c r="V3596">
        <v>1167.69</v>
      </c>
      <c r="W3596">
        <v>1167.69</v>
      </c>
      <c r="X3596">
        <v>0</v>
      </c>
      <c r="Y3596">
        <v>0</v>
      </c>
      <c r="Z3596">
        <v>-541</v>
      </c>
      <c r="AA3596">
        <v>694847</v>
      </c>
      <c r="AD3596" t="s">
        <v>3301</v>
      </c>
      <c r="AE3596" t="s">
        <v>7615</v>
      </c>
      <c r="AF3596" t="s">
        <v>3301</v>
      </c>
      <c r="AG3596" s="1" t="s">
        <v>9460</v>
      </c>
      <c r="AH3596" t="s">
        <v>44</v>
      </c>
    </row>
    <row r="3597" spans="1:34" x14ac:dyDescent="0.3">
      <c r="A3597">
        <v>101</v>
      </c>
      <c r="B3597" t="s">
        <v>34</v>
      </c>
      <c r="C3597">
        <v>2</v>
      </c>
      <c r="D3597" s="1" t="s">
        <v>9471</v>
      </c>
      <c r="E3597" s="1" t="s">
        <v>36</v>
      </c>
      <c r="G3597">
        <v>436646</v>
      </c>
      <c r="H3597" t="s">
        <v>9458</v>
      </c>
      <c r="I3597" t="s">
        <v>2413</v>
      </c>
      <c r="J3597">
        <v>30</v>
      </c>
      <c r="K3597">
        <v>2695</v>
      </c>
      <c r="L3597">
        <v>95080</v>
      </c>
      <c r="M3597" t="s">
        <v>83</v>
      </c>
      <c r="N3597">
        <v>691</v>
      </c>
      <c r="O3597" s="2">
        <v>46160</v>
      </c>
      <c r="P3597" s="2">
        <v>46250</v>
      </c>
      <c r="R3597" t="s">
        <v>9472</v>
      </c>
      <c r="S3597" t="str">
        <f>""</f>
        <v/>
      </c>
      <c r="T3597" t="s">
        <v>41</v>
      </c>
      <c r="U3597">
        <v>68548.75</v>
      </c>
      <c r="V3597">
        <v>67794.710000000006</v>
      </c>
      <c r="W3597">
        <v>67794.710000000006</v>
      </c>
      <c r="X3597">
        <v>0</v>
      </c>
      <c r="Y3597">
        <v>0</v>
      </c>
      <c r="Z3597">
        <v>-475</v>
      </c>
      <c r="AA3597">
        <v>688436</v>
      </c>
      <c r="AD3597" t="s">
        <v>3301</v>
      </c>
      <c r="AE3597" t="s">
        <v>7615</v>
      </c>
      <c r="AF3597" t="s">
        <v>3301</v>
      </c>
      <c r="AG3597" s="1" t="s">
        <v>9460</v>
      </c>
      <c r="AH3597" t="s">
        <v>44</v>
      </c>
    </row>
    <row r="3598" spans="1:34" x14ac:dyDescent="0.3">
      <c r="A3598">
        <v>101</v>
      </c>
      <c r="B3598" t="s">
        <v>34</v>
      </c>
      <c r="C3598">
        <v>2</v>
      </c>
      <c r="D3598" s="1" t="s">
        <v>9473</v>
      </c>
      <c r="E3598" s="1" t="s">
        <v>36</v>
      </c>
      <c r="G3598">
        <v>436646</v>
      </c>
      <c r="H3598" t="s">
        <v>9458</v>
      </c>
      <c r="I3598" t="s">
        <v>2413</v>
      </c>
      <c r="J3598">
        <v>30</v>
      </c>
      <c r="K3598">
        <v>2695</v>
      </c>
      <c r="L3598">
        <v>95000</v>
      </c>
      <c r="M3598" t="s">
        <v>69</v>
      </c>
      <c r="N3598">
        <v>691</v>
      </c>
      <c r="O3598" s="2">
        <v>46140</v>
      </c>
      <c r="P3598" s="2">
        <v>46255</v>
      </c>
      <c r="R3598" t="s">
        <v>9474</v>
      </c>
      <c r="S3598" t="str">
        <f>""</f>
        <v/>
      </c>
      <c r="T3598" t="s">
        <v>41</v>
      </c>
      <c r="U3598">
        <v>2155.64</v>
      </c>
      <c r="V3598">
        <v>2131.9299999999998</v>
      </c>
      <c r="W3598">
        <v>2131.9299999999998</v>
      </c>
      <c r="X3598">
        <v>0</v>
      </c>
      <c r="Y3598">
        <v>0</v>
      </c>
      <c r="Z3598">
        <v>-480</v>
      </c>
      <c r="AA3598">
        <v>686936</v>
      </c>
      <c r="AD3598" t="s">
        <v>3301</v>
      </c>
      <c r="AE3598" t="s">
        <v>7615</v>
      </c>
      <c r="AF3598" t="s">
        <v>3301</v>
      </c>
      <c r="AG3598" s="1" t="s">
        <v>9460</v>
      </c>
      <c r="AH3598" t="s">
        <v>44</v>
      </c>
    </row>
    <row r="3599" spans="1:34" x14ac:dyDescent="0.3">
      <c r="A3599">
        <v>101</v>
      </c>
      <c r="B3599" t="s">
        <v>34</v>
      </c>
      <c r="C3599">
        <v>2</v>
      </c>
      <c r="D3599" s="1" t="s">
        <v>9475</v>
      </c>
      <c r="E3599" s="1" t="s">
        <v>36</v>
      </c>
      <c r="G3599">
        <v>436646</v>
      </c>
      <c r="H3599" t="s">
        <v>9458</v>
      </c>
      <c r="I3599" t="s">
        <v>2413</v>
      </c>
      <c r="J3599">
        <v>30</v>
      </c>
      <c r="K3599">
        <v>2695</v>
      </c>
      <c r="L3599">
        <v>95000</v>
      </c>
      <c r="M3599" t="s">
        <v>69</v>
      </c>
      <c r="N3599">
        <v>691</v>
      </c>
      <c r="O3599" s="2">
        <v>46239</v>
      </c>
      <c r="P3599" s="2">
        <v>46329</v>
      </c>
      <c r="R3599" t="s">
        <v>9476</v>
      </c>
      <c r="S3599" t="str">
        <f>""</f>
        <v/>
      </c>
      <c r="T3599" t="s">
        <v>41</v>
      </c>
      <c r="U3599">
        <v>647.54999999999995</v>
      </c>
      <c r="V3599">
        <v>640.42999999999995</v>
      </c>
      <c r="W3599">
        <v>640.42999999999995</v>
      </c>
      <c r="X3599">
        <v>0</v>
      </c>
      <c r="Y3599">
        <v>0</v>
      </c>
      <c r="Z3599">
        <v>-554</v>
      </c>
      <c r="AA3599">
        <v>696155</v>
      </c>
      <c r="AD3599" t="s">
        <v>3301</v>
      </c>
      <c r="AE3599" t="s">
        <v>7615</v>
      </c>
      <c r="AF3599" t="s">
        <v>3301</v>
      </c>
      <c r="AG3599" s="1" t="s">
        <v>9460</v>
      </c>
      <c r="AH3599" t="s">
        <v>44</v>
      </c>
    </row>
    <row r="3600" spans="1:34" x14ac:dyDescent="0.3">
      <c r="A3600">
        <v>101</v>
      </c>
      <c r="B3600" t="s">
        <v>34</v>
      </c>
      <c r="C3600">
        <v>2</v>
      </c>
      <c r="D3600" s="1" t="s">
        <v>9477</v>
      </c>
      <c r="E3600" s="1" t="s">
        <v>36</v>
      </c>
      <c r="G3600">
        <v>436647</v>
      </c>
      <c r="H3600" t="s">
        <v>9478</v>
      </c>
      <c r="I3600" t="s">
        <v>2413</v>
      </c>
      <c r="J3600">
        <v>30</v>
      </c>
      <c r="K3600">
        <v>2695</v>
      </c>
      <c r="L3600">
        <v>95000</v>
      </c>
      <c r="M3600" t="s">
        <v>69</v>
      </c>
      <c r="N3600">
        <v>691</v>
      </c>
      <c r="O3600" s="2">
        <v>46141</v>
      </c>
      <c r="P3600" s="2">
        <v>46266</v>
      </c>
      <c r="R3600" t="s">
        <v>9479</v>
      </c>
      <c r="S3600" t="str">
        <f>""</f>
        <v/>
      </c>
      <c r="T3600" t="s">
        <v>41</v>
      </c>
      <c r="U3600">
        <v>4889.4399999999996</v>
      </c>
      <c r="V3600">
        <v>4835.66</v>
      </c>
      <c r="W3600">
        <v>4835.66</v>
      </c>
      <c r="X3600">
        <v>0</v>
      </c>
      <c r="Y3600">
        <v>0</v>
      </c>
      <c r="Z3600">
        <v>-491</v>
      </c>
      <c r="AA3600">
        <v>686705</v>
      </c>
      <c r="AD3600" t="s">
        <v>2278</v>
      </c>
      <c r="AE3600" t="s">
        <v>9480</v>
      </c>
      <c r="AF3600" t="s">
        <v>2278</v>
      </c>
      <c r="AG3600" s="1" t="s">
        <v>9481</v>
      </c>
      <c r="AH3600" t="s">
        <v>44</v>
      </c>
    </row>
    <row r="3601" spans="1:34" x14ac:dyDescent="0.3">
      <c r="A3601">
        <v>101</v>
      </c>
      <c r="B3601" t="s">
        <v>34</v>
      </c>
      <c r="C3601">
        <v>2</v>
      </c>
      <c r="D3601" s="1" t="s">
        <v>9482</v>
      </c>
      <c r="E3601" s="1" t="s">
        <v>36</v>
      </c>
      <c r="G3601">
        <v>436647</v>
      </c>
      <c r="H3601" t="s">
        <v>9478</v>
      </c>
      <c r="I3601" t="s">
        <v>2413</v>
      </c>
      <c r="J3601">
        <v>30</v>
      </c>
      <c r="K3601">
        <v>2695</v>
      </c>
      <c r="L3601">
        <v>95000</v>
      </c>
      <c r="M3601" t="s">
        <v>69</v>
      </c>
      <c r="N3601">
        <v>691</v>
      </c>
      <c r="O3601" s="2">
        <v>46226</v>
      </c>
      <c r="P3601" s="2">
        <v>46349</v>
      </c>
      <c r="R3601" t="s">
        <v>9483</v>
      </c>
      <c r="S3601" t="str">
        <f>""</f>
        <v/>
      </c>
      <c r="T3601" t="s">
        <v>41</v>
      </c>
      <c r="U3601">
        <v>5472.35</v>
      </c>
      <c r="V3601">
        <v>5412.15</v>
      </c>
      <c r="W3601">
        <v>5412.15</v>
      </c>
      <c r="X3601">
        <v>0</v>
      </c>
      <c r="Y3601">
        <v>0</v>
      </c>
      <c r="Z3601">
        <v>-574</v>
      </c>
      <c r="AA3601">
        <v>694899</v>
      </c>
      <c r="AD3601" t="s">
        <v>2278</v>
      </c>
      <c r="AE3601" t="s">
        <v>9480</v>
      </c>
      <c r="AF3601" t="s">
        <v>2278</v>
      </c>
      <c r="AG3601" s="1" t="s">
        <v>9481</v>
      </c>
      <c r="AH3601" t="s">
        <v>44</v>
      </c>
    </row>
    <row r="3602" spans="1:34" x14ac:dyDescent="0.3">
      <c r="A3602">
        <v>101</v>
      </c>
      <c r="B3602" t="s">
        <v>34</v>
      </c>
      <c r="C3602">
        <v>2</v>
      </c>
      <c r="D3602" s="1" t="s">
        <v>9484</v>
      </c>
      <c r="E3602" s="1" t="s">
        <v>36</v>
      </c>
      <c r="G3602">
        <v>436647</v>
      </c>
      <c r="H3602" t="s">
        <v>9478</v>
      </c>
      <c r="I3602" t="s">
        <v>2413</v>
      </c>
      <c r="J3602">
        <v>30</v>
      </c>
      <c r="K3602">
        <v>2695</v>
      </c>
      <c r="L3602">
        <v>95000</v>
      </c>
      <c r="M3602" t="s">
        <v>69</v>
      </c>
      <c r="N3602">
        <v>691</v>
      </c>
      <c r="O3602" s="2">
        <v>46171</v>
      </c>
      <c r="P3602" s="2">
        <v>46296</v>
      </c>
      <c r="R3602" t="s">
        <v>9485</v>
      </c>
      <c r="S3602" t="str">
        <f>""</f>
        <v/>
      </c>
      <c r="T3602" t="s">
        <v>41</v>
      </c>
      <c r="U3602">
        <v>16838.13</v>
      </c>
      <c r="V3602">
        <v>16652.91</v>
      </c>
      <c r="W3602">
        <v>16652.91</v>
      </c>
      <c r="X3602">
        <v>0</v>
      </c>
      <c r="Y3602">
        <v>0</v>
      </c>
      <c r="Z3602">
        <v>-521</v>
      </c>
      <c r="AA3602">
        <v>689306</v>
      </c>
      <c r="AD3602" t="s">
        <v>2278</v>
      </c>
      <c r="AE3602" t="s">
        <v>9480</v>
      </c>
      <c r="AF3602" t="s">
        <v>2278</v>
      </c>
      <c r="AG3602" s="1" t="s">
        <v>9481</v>
      </c>
      <c r="AH3602" t="s">
        <v>44</v>
      </c>
    </row>
    <row r="3603" spans="1:34" x14ac:dyDescent="0.3">
      <c r="A3603">
        <v>101</v>
      </c>
      <c r="B3603" t="s">
        <v>34</v>
      </c>
      <c r="C3603">
        <v>2</v>
      </c>
      <c r="D3603" s="1" t="s">
        <v>9486</v>
      </c>
      <c r="E3603" s="1" t="s">
        <v>36</v>
      </c>
      <c r="G3603">
        <v>436647</v>
      </c>
      <c r="H3603" t="s">
        <v>9478</v>
      </c>
      <c r="I3603" t="s">
        <v>2413</v>
      </c>
      <c r="J3603">
        <v>30</v>
      </c>
      <c r="K3603">
        <v>2695</v>
      </c>
      <c r="L3603">
        <v>95000</v>
      </c>
      <c r="M3603" t="s">
        <v>69</v>
      </c>
      <c r="N3603">
        <v>691</v>
      </c>
      <c r="O3603" s="2">
        <v>46198</v>
      </c>
      <c r="P3603" s="2">
        <v>46316</v>
      </c>
      <c r="R3603" t="s">
        <v>9487</v>
      </c>
      <c r="S3603" t="str">
        <f>""</f>
        <v/>
      </c>
      <c r="T3603" t="s">
        <v>41</v>
      </c>
      <c r="U3603">
        <v>13260.78</v>
      </c>
      <c r="V3603">
        <v>13114.91</v>
      </c>
      <c r="W3603">
        <v>13114.91</v>
      </c>
      <c r="X3603">
        <v>0</v>
      </c>
      <c r="Y3603">
        <v>0</v>
      </c>
      <c r="Z3603">
        <v>-541</v>
      </c>
      <c r="AA3603">
        <v>692266</v>
      </c>
      <c r="AD3603" t="s">
        <v>2278</v>
      </c>
      <c r="AE3603" t="s">
        <v>9480</v>
      </c>
      <c r="AF3603" t="s">
        <v>2278</v>
      </c>
      <c r="AG3603" s="1" t="s">
        <v>9481</v>
      </c>
      <c r="AH3603" t="s">
        <v>44</v>
      </c>
    </row>
    <row r="3604" spans="1:34" x14ac:dyDescent="0.3">
      <c r="A3604">
        <v>101</v>
      </c>
      <c r="B3604" t="s">
        <v>34</v>
      </c>
      <c r="C3604">
        <v>2</v>
      </c>
      <c r="D3604" s="1" t="s">
        <v>9488</v>
      </c>
      <c r="E3604" s="1" t="s">
        <v>36</v>
      </c>
      <c r="G3604">
        <v>436648</v>
      </c>
      <c r="H3604" t="s">
        <v>9489</v>
      </c>
      <c r="I3604" t="s">
        <v>2413</v>
      </c>
      <c r="J3604">
        <v>30</v>
      </c>
      <c r="K3604">
        <v>2695</v>
      </c>
      <c r="L3604">
        <v>95000</v>
      </c>
      <c r="M3604" t="s">
        <v>69</v>
      </c>
      <c r="N3604">
        <v>691</v>
      </c>
      <c r="O3604" s="2">
        <v>46140</v>
      </c>
      <c r="P3604" s="2">
        <v>46266</v>
      </c>
      <c r="R3604" t="s">
        <v>9490</v>
      </c>
      <c r="S3604" t="str">
        <f>""</f>
        <v/>
      </c>
      <c r="T3604" t="s">
        <v>41</v>
      </c>
      <c r="U3604">
        <v>4922.9799999999996</v>
      </c>
      <c r="V3604">
        <v>4868.83</v>
      </c>
      <c r="W3604">
        <v>4868.83</v>
      </c>
      <c r="X3604">
        <v>0</v>
      </c>
      <c r="Y3604">
        <v>0</v>
      </c>
      <c r="Z3604">
        <v>-491</v>
      </c>
      <c r="AA3604">
        <v>686671</v>
      </c>
      <c r="AD3604" t="s">
        <v>234</v>
      </c>
      <c r="AE3604" t="s">
        <v>9491</v>
      </c>
      <c r="AF3604" t="s">
        <v>234</v>
      </c>
      <c r="AG3604" s="1" t="s">
        <v>9492</v>
      </c>
      <c r="AH3604" t="s">
        <v>44</v>
      </c>
    </row>
    <row r="3605" spans="1:34" x14ac:dyDescent="0.3">
      <c r="A3605">
        <v>101</v>
      </c>
      <c r="B3605" t="s">
        <v>34</v>
      </c>
      <c r="C3605">
        <v>2</v>
      </c>
      <c r="D3605" s="1" t="s">
        <v>9493</v>
      </c>
      <c r="E3605" s="1" t="s">
        <v>36</v>
      </c>
      <c r="G3605">
        <v>436648</v>
      </c>
      <c r="H3605" t="s">
        <v>9489</v>
      </c>
      <c r="I3605" t="s">
        <v>2413</v>
      </c>
      <c r="J3605">
        <v>30</v>
      </c>
      <c r="K3605">
        <v>2695</v>
      </c>
      <c r="L3605">
        <v>95000</v>
      </c>
      <c r="M3605" t="s">
        <v>69</v>
      </c>
      <c r="N3605">
        <v>691</v>
      </c>
      <c r="O3605" s="2">
        <v>46197</v>
      </c>
      <c r="P3605" s="2">
        <v>46296</v>
      </c>
      <c r="R3605" t="s">
        <v>9494</v>
      </c>
      <c r="S3605" t="str">
        <f>""</f>
        <v/>
      </c>
      <c r="T3605" t="s">
        <v>41</v>
      </c>
      <c r="U3605">
        <v>4970.75</v>
      </c>
      <c r="V3605">
        <v>4916.07</v>
      </c>
      <c r="W3605">
        <v>4916.07</v>
      </c>
      <c r="X3605">
        <v>0</v>
      </c>
      <c r="Y3605">
        <v>0</v>
      </c>
      <c r="Z3605">
        <v>-521</v>
      </c>
      <c r="AA3605">
        <v>692234</v>
      </c>
      <c r="AD3605" t="s">
        <v>234</v>
      </c>
      <c r="AE3605" t="s">
        <v>9491</v>
      </c>
      <c r="AF3605" t="s">
        <v>234</v>
      </c>
      <c r="AG3605" s="1" t="s">
        <v>9492</v>
      </c>
      <c r="AH3605" t="s">
        <v>44</v>
      </c>
    </row>
    <row r="3606" spans="1:34" x14ac:dyDescent="0.3">
      <c r="A3606">
        <v>101</v>
      </c>
      <c r="B3606" t="s">
        <v>34</v>
      </c>
      <c r="C3606">
        <v>2</v>
      </c>
      <c r="D3606" s="1" t="s">
        <v>9495</v>
      </c>
      <c r="E3606" s="1" t="s">
        <v>36</v>
      </c>
      <c r="G3606">
        <v>436648</v>
      </c>
      <c r="H3606" t="s">
        <v>9489</v>
      </c>
      <c r="I3606" t="s">
        <v>2413</v>
      </c>
      <c r="J3606">
        <v>30</v>
      </c>
      <c r="K3606">
        <v>2695</v>
      </c>
      <c r="L3606">
        <v>95000</v>
      </c>
      <c r="M3606" t="s">
        <v>69</v>
      </c>
      <c r="N3606">
        <v>691</v>
      </c>
      <c r="O3606" s="2">
        <v>46170</v>
      </c>
      <c r="P3606" s="2">
        <v>46276</v>
      </c>
      <c r="R3606" t="s">
        <v>9496</v>
      </c>
      <c r="S3606" t="str">
        <f>""</f>
        <v/>
      </c>
      <c r="T3606" t="s">
        <v>41</v>
      </c>
      <c r="U3606">
        <v>20715.37</v>
      </c>
      <c r="V3606">
        <v>20487.5</v>
      </c>
      <c r="W3606">
        <v>20487.5</v>
      </c>
      <c r="X3606">
        <v>0</v>
      </c>
      <c r="Y3606">
        <v>0</v>
      </c>
      <c r="Z3606">
        <v>-501</v>
      </c>
      <c r="AA3606">
        <v>689272</v>
      </c>
      <c r="AD3606" t="s">
        <v>234</v>
      </c>
      <c r="AE3606" t="s">
        <v>9491</v>
      </c>
      <c r="AF3606" t="s">
        <v>234</v>
      </c>
      <c r="AG3606" s="1" t="s">
        <v>9492</v>
      </c>
      <c r="AH3606" t="s">
        <v>44</v>
      </c>
    </row>
    <row r="3607" spans="1:34" x14ac:dyDescent="0.3">
      <c r="A3607">
        <v>101</v>
      </c>
      <c r="B3607" t="s">
        <v>34</v>
      </c>
      <c r="C3607">
        <v>2</v>
      </c>
      <c r="D3607" s="1" t="s">
        <v>9497</v>
      </c>
      <c r="E3607" s="1" t="s">
        <v>36</v>
      </c>
      <c r="G3607">
        <v>436648</v>
      </c>
      <c r="H3607" t="s">
        <v>9489</v>
      </c>
      <c r="I3607" t="s">
        <v>2413</v>
      </c>
      <c r="J3607">
        <v>30</v>
      </c>
      <c r="K3607">
        <v>2695</v>
      </c>
      <c r="L3607">
        <v>95000</v>
      </c>
      <c r="M3607" t="s">
        <v>69</v>
      </c>
      <c r="N3607">
        <v>691</v>
      </c>
      <c r="O3607" s="2">
        <v>46182</v>
      </c>
      <c r="P3607" s="2">
        <v>46286</v>
      </c>
      <c r="R3607" t="s">
        <v>9498</v>
      </c>
      <c r="S3607" t="str">
        <f>""</f>
        <v/>
      </c>
      <c r="T3607" t="s">
        <v>41</v>
      </c>
      <c r="U3607">
        <v>2846.4</v>
      </c>
      <c r="V3607">
        <v>2815.09</v>
      </c>
      <c r="W3607">
        <v>2815.09</v>
      </c>
      <c r="X3607">
        <v>0</v>
      </c>
      <c r="Y3607">
        <v>0</v>
      </c>
      <c r="Z3607">
        <v>-511</v>
      </c>
      <c r="AA3607">
        <v>689272</v>
      </c>
      <c r="AD3607" t="s">
        <v>234</v>
      </c>
      <c r="AE3607" t="s">
        <v>9491</v>
      </c>
      <c r="AF3607" t="s">
        <v>234</v>
      </c>
      <c r="AG3607" s="1" t="s">
        <v>9492</v>
      </c>
      <c r="AH3607" t="s">
        <v>44</v>
      </c>
    </row>
    <row r="3608" spans="1:34" x14ac:dyDescent="0.3">
      <c r="A3608">
        <v>101</v>
      </c>
      <c r="B3608" t="s">
        <v>34</v>
      </c>
      <c r="C3608">
        <v>2</v>
      </c>
      <c r="D3608" s="1" t="s">
        <v>9499</v>
      </c>
      <c r="E3608" s="1" t="s">
        <v>36</v>
      </c>
      <c r="G3608">
        <v>436648</v>
      </c>
      <c r="H3608" t="s">
        <v>9489</v>
      </c>
      <c r="I3608" t="s">
        <v>2413</v>
      </c>
      <c r="J3608">
        <v>30</v>
      </c>
      <c r="K3608">
        <v>2695</v>
      </c>
      <c r="L3608">
        <v>95000</v>
      </c>
      <c r="M3608" t="s">
        <v>69</v>
      </c>
      <c r="N3608">
        <v>691</v>
      </c>
      <c r="O3608" s="2">
        <v>46226</v>
      </c>
      <c r="P3608" s="2">
        <v>46316</v>
      </c>
      <c r="R3608" t="s">
        <v>9500</v>
      </c>
      <c r="S3608" t="str">
        <f>""</f>
        <v/>
      </c>
      <c r="T3608" t="s">
        <v>41</v>
      </c>
      <c r="U3608">
        <v>6424.15</v>
      </c>
      <c r="V3608">
        <v>6353.48</v>
      </c>
      <c r="W3608">
        <v>6353.48</v>
      </c>
      <c r="X3608">
        <v>0</v>
      </c>
      <c r="Y3608">
        <v>0</v>
      </c>
      <c r="Z3608">
        <v>-541</v>
      </c>
      <c r="AA3608">
        <v>694849</v>
      </c>
      <c r="AD3608" t="s">
        <v>234</v>
      </c>
      <c r="AE3608" t="s">
        <v>9491</v>
      </c>
      <c r="AF3608" t="s">
        <v>234</v>
      </c>
      <c r="AG3608" s="1" t="s">
        <v>9492</v>
      </c>
      <c r="AH3608" t="s">
        <v>44</v>
      </c>
    </row>
    <row r="3609" spans="1:34" x14ac:dyDescent="0.3">
      <c r="A3609">
        <v>101</v>
      </c>
      <c r="B3609" t="s">
        <v>34</v>
      </c>
      <c r="C3609">
        <v>2</v>
      </c>
      <c r="D3609" s="1" t="s">
        <v>9501</v>
      </c>
      <c r="E3609" s="1" t="s">
        <v>36</v>
      </c>
      <c r="G3609">
        <v>436650</v>
      </c>
      <c r="H3609" t="s">
        <v>9502</v>
      </c>
      <c r="I3609" t="s">
        <v>2413</v>
      </c>
      <c r="J3609">
        <v>30</v>
      </c>
      <c r="K3609">
        <v>2695</v>
      </c>
      <c r="L3609">
        <v>95000</v>
      </c>
      <c r="M3609" t="s">
        <v>69</v>
      </c>
      <c r="N3609">
        <v>691</v>
      </c>
      <c r="O3609" s="2">
        <v>46239</v>
      </c>
      <c r="P3609" s="2">
        <v>46329</v>
      </c>
      <c r="R3609" t="s">
        <v>9503</v>
      </c>
      <c r="S3609" t="str">
        <f>""</f>
        <v/>
      </c>
      <c r="T3609" t="s">
        <v>41</v>
      </c>
      <c r="U3609">
        <v>3376.74</v>
      </c>
      <c r="V3609">
        <v>3339.6</v>
      </c>
      <c r="W3609">
        <v>3339.6</v>
      </c>
      <c r="X3609">
        <v>0</v>
      </c>
      <c r="Y3609">
        <v>0</v>
      </c>
      <c r="Z3609">
        <v>-554</v>
      </c>
      <c r="AA3609">
        <v>696169</v>
      </c>
      <c r="AD3609" t="s">
        <v>9504</v>
      </c>
      <c r="AF3609" t="s">
        <v>9504</v>
      </c>
      <c r="AG3609" s="1" t="s">
        <v>9505</v>
      </c>
      <c r="AH3609" t="s">
        <v>44</v>
      </c>
    </row>
    <row r="3610" spans="1:34" x14ac:dyDescent="0.3">
      <c r="A3610">
        <v>101</v>
      </c>
      <c r="B3610" t="s">
        <v>34</v>
      </c>
      <c r="C3610">
        <v>2</v>
      </c>
      <c r="D3610" s="1" t="s">
        <v>9506</v>
      </c>
      <c r="E3610" s="1" t="s">
        <v>36</v>
      </c>
      <c r="G3610">
        <v>436650</v>
      </c>
      <c r="H3610" t="s">
        <v>9502</v>
      </c>
      <c r="I3610" t="s">
        <v>2413</v>
      </c>
      <c r="J3610">
        <v>30</v>
      </c>
      <c r="K3610">
        <v>2695</v>
      </c>
      <c r="L3610">
        <v>95000</v>
      </c>
      <c r="M3610" t="s">
        <v>69</v>
      </c>
      <c r="N3610">
        <v>691</v>
      </c>
      <c r="O3610" s="2">
        <v>46141</v>
      </c>
      <c r="P3610" s="2">
        <v>46255</v>
      </c>
      <c r="R3610" t="s">
        <v>9507</v>
      </c>
      <c r="S3610" t="str">
        <f>""</f>
        <v/>
      </c>
      <c r="T3610" t="s">
        <v>41</v>
      </c>
      <c r="U3610">
        <v>1208.8</v>
      </c>
      <c r="V3610">
        <v>1195.5</v>
      </c>
      <c r="W3610">
        <v>1195.5</v>
      </c>
      <c r="X3610">
        <v>0</v>
      </c>
      <c r="Y3610">
        <v>0</v>
      </c>
      <c r="Z3610">
        <v>-480</v>
      </c>
      <c r="AA3610">
        <v>686775</v>
      </c>
      <c r="AD3610" t="s">
        <v>9504</v>
      </c>
      <c r="AF3610" t="s">
        <v>9504</v>
      </c>
      <c r="AG3610" s="1" t="s">
        <v>9505</v>
      </c>
      <c r="AH3610" t="s">
        <v>44</v>
      </c>
    </row>
    <row r="3611" spans="1:34" x14ac:dyDescent="0.3">
      <c r="A3611">
        <v>101</v>
      </c>
      <c r="B3611" t="s">
        <v>34</v>
      </c>
      <c r="C3611">
        <v>2</v>
      </c>
      <c r="D3611" s="1" t="s">
        <v>9508</v>
      </c>
      <c r="E3611" s="1" t="s">
        <v>36</v>
      </c>
      <c r="G3611">
        <v>436650</v>
      </c>
      <c r="H3611" t="s">
        <v>9502</v>
      </c>
      <c r="I3611" t="s">
        <v>2413</v>
      </c>
      <c r="J3611">
        <v>30</v>
      </c>
      <c r="K3611">
        <v>2695</v>
      </c>
      <c r="L3611">
        <v>95000</v>
      </c>
      <c r="M3611" t="s">
        <v>69</v>
      </c>
      <c r="N3611">
        <v>691</v>
      </c>
      <c r="O3611" s="2">
        <v>46199</v>
      </c>
      <c r="P3611" s="2">
        <v>46308</v>
      </c>
      <c r="R3611" t="s">
        <v>9509</v>
      </c>
      <c r="S3611" t="str">
        <f>""</f>
        <v/>
      </c>
      <c r="T3611" t="s">
        <v>41</v>
      </c>
      <c r="U3611">
        <v>1878.74</v>
      </c>
      <c r="V3611">
        <v>1858.07</v>
      </c>
      <c r="W3611">
        <v>1858.07</v>
      </c>
      <c r="X3611">
        <v>0</v>
      </c>
      <c r="Y3611">
        <v>0</v>
      </c>
      <c r="Z3611">
        <v>-533</v>
      </c>
      <c r="AA3611">
        <v>692793</v>
      </c>
      <c r="AD3611" t="s">
        <v>9504</v>
      </c>
      <c r="AF3611" t="s">
        <v>9504</v>
      </c>
      <c r="AG3611" s="1" t="s">
        <v>9505</v>
      </c>
      <c r="AH3611" t="s">
        <v>44</v>
      </c>
    </row>
    <row r="3612" spans="1:34" x14ac:dyDescent="0.3">
      <c r="A3612">
        <v>101</v>
      </c>
      <c r="B3612" t="s">
        <v>34</v>
      </c>
      <c r="C3612">
        <v>2</v>
      </c>
      <c r="D3612" s="1" t="s">
        <v>9510</v>
      </c>
      <c r="E3612" s="1" t="s">
        <v>36</v>
      </c>
      <c r="G3612">
        <v>436650</v>
      </c>
      <c r="H3612" t="s">
        <v>9502</v>
      </c>
      <c r="I3612" t="s">
        <v>2413</v>
      </c>
      <c r="J3612">
        <v>30</v>
      </c>
      <c r="K3612">
        <v>2695</v>
      </c>
      <c r="L3612">
        <v>95000</v>
      </c>
      <c r="M3612" t="s">
        <v>69</v>
      </c>
      <c r="N3612">
        <v>691</v>
      </c>
      <c r="O3612" s="2">
        <v>46141</v>
      </c>
      <c r="P3612" s="2">
        <v>46255</v>
      </c>
      <c r="R3612" t="s">
        <v>9511</v>
      </c>
      <c r="S3612" t="str">
        <f>""</f>
        <v/>
      </c>
      <c r="T3612" t="s">
        <v>41</v>
      </c>
      <c r="U3612">
        <v>7197.93</v>
      </c>
      <c r="V3612">
        <v>7118.75</v>
      </c>
      <c r="W3612">
        <v>7118.75</v>
      </c>
      <c r="X3612">
        <v>0</v>
      </c>
      <c r="Y3612">
        <v>0</v>
      </c>
      <c r="Z3612">
        <v>-480</v>
      </c>
      <c r="AA3612">
        <v>686552</v>
      </c>
      <c r="AD3612" t="s">
        <v>9504</v>
      </c>
      <c r="AF3612" t="s">
        <v>9504</v>
      </c>
      <c r="AG3612" s="1" t="s">
        <v>9505</v>
      </c>
      <c r="AH3612" t="s">
        <v>44</v>
      </c>
    </row>
    <row r="3613" spans="1:34" x14ac:dyDescent="0.3">
      <c r="A3613">
        <v>101</v>
      </c>
      <c r="B3613" t="s">
        <v>34</v>
      </c>
      <c r="C3613">
        <v>2</v>
      </c>
      <c r="D3613" s="1" t="s">
        <v>9512</v>
      </c>
      <c r="E3613" s="1" t="s">
        <v>36</v>
      </c>
      <c r="G3613">
        <v>436650</v>
      </c>
      <c r="H3613" t="s">
        <v>9502</v>
      </c>
      <c r="I3613" t="s">
        <v>2413</v>
      </c>
      <c r="J3613">
        <v>30</v>
      </c>
      <c r="K3613">
        <v>2695</v>
      </c>
      <c r="L3613">
        <v>95000</v>
      </c>
      <c r="M3613" t="s">
        <v>69</v>
      </c>
      <c r="N3613">
        <v>691</v>
      </c>
      <c r="O3613" s="2">
        <v>46199</v>
      </c>
      <c r="P3613" s="2">
        <v>46308</v>
      </c>
      <c r="R3613" t="s">
        <v>9513</v>
      </c>
      <c r="S3613" t="str">
        <f>""</f>
        <v/>
      </c>
      <c r="T3613" t="s">
        <v>41</v>
      </c>
      <c r="U3613">
        <v>1769</v>
      </c>
      <c r="V3613">
        <v>1749.54</v>
      </c>
      <c r="W3613">
        <v>1749.54</v>
      </c>
      <c r="X3613">
        <v>0</v>
      </c>
      <c r="Y3613">
        <v>0</v>
      </c>
      <c r="Z3613">
        <v>-533</v>
      </c>
      <c r="AA3613">
        <v>692486</v>
      </c>
      <c r="AD3613" t="s">
        <v>9504</v>
      </c>
      <c r="AF3613" t="s">
        <v>9504</v>
      </c>
      <c r="AG3613" s="1" t="s">
        <v>9505</v>
      </c>
      <c r="AH3613" t="s">
        <v>44</v>
      </c>
    </row>
    <row r="3614" spans="1:34" x14ac:dyDescent="0.3">
      <c r="A3614">
        <v>101</v>
      </c>
      <c r="B3614" t="s">
        <v>34</v>
      </c>
      <c r="C3614">
        <v>2</v>
      </c>
      <c r="D3614" s="1" t="s">
        <v>9514</v>
      </c>
      <c r="E3614" s="1" t="s">
        <v>36</v>
      </c>
      <c r="G3614">
        <v>436650</v>
      </c>
      <c r="H3614" t="s">
        <v>9502</v>
      </c>
      <c r="I3614" t="s">
        <v>2413</v>
      </c>
      <c r="J3614">
        <v>30</v>
      </c>
      <c r="K3614">
        <v>2695</v>
      </c>
      <c r="L3614">
        <v>95000</v>
      </c>
      <c r="M3614" t="s">
        <v>69</v>
      </c>
      <c r="N3614">
        <v>691</v>
      </c>
      <c r="O3614" s="2">
        <v>46226</v>
      </c>
      <c r="P3614" s="2">
        <v>46316</v>
      </c>
      <c r="R3614" t="s">
        <v>9515</v>
      </c>
      <c r="S3614" t="str">
        <f>""</f>
        <v/>
      </c>
      <c r="T3614" t="s">
        <v>41</v>
      </c>
      <c r="U3614">
        <v>10535.14</v>
      </c>
      <c r="V3614">
        <v>10419.25</v>
      </c>
      <c r="W3614">
        <v>10419.25</v>
      </c>
      <c r="X3614">
        <v>0</v>
      </c>
      <c r="Y3614">
        <v>0</v>
      </c>
      <c r="Z3614">
        <v>-541</v>
      </c>
      <c r="AA3614">
        <v>694891</v>
      </c>
      <c r="AD3614" t="s">
        <v>9504</v>
      </c>
      <c r="AF3614" t="s">
        <v>9504</v>
      </c>
      <c r="AG3614" s="1" t="s">
        <v>9505</v>
      </c>
      <c r="AH3614" t="s">
        <v>44</v>
      </c>
    </row>
    <row r="3615" spans="1:34" x14ac:dyDescent="0.3">
      <c r="A3615">
        <v>101</v>
      </c>
      <c r="B3615" t="s">
        <v>34</v>
      </c>
      <c r="C3615">
        <v>2</v>
      </c>
      <c r="D3615" s="1" t="s">
        <v>9516</v>
      </c>
      <c r="E3615" s="1" t="s">
        <v>36</v>
      </c>
      <c r="G3615">
        <v>436650</v>
      </c>
      <c r="H3615" t="s">
        <v>9502</v>
      </c>
      <c r="I3615" t="s">
        <v>2413</v>
      </c>
      <c r="J3615">
        <v>30</v>
      </c>
      <c r="K3615">
        <v>2695</v>
      </c>
      <c r="L3615">
        <v>95000</v>
      </c>
      <c r="M3615" t="s">
        <v>69</v>
      </c>
      <c r="N3615">
        <v>691</v>
      </c>
      <c r="O3615" s="2">
        <v>46172</v>
      </c>
      <c r="P3615" s="2">
        <v>46296</v>
      </c>
      <c r="R3615" t="s">
        <v>9517</v>
      </c>
      <c r="S3615" t="str">
        <f>""</f>
        <v/>
      </c>
      <c r="T3615" t="s">
        <v>41</v>
      </c>
      <c r="U3615">
        <v>585.36</v>
      </c>
      <c r="V3615">
        <v>578.91999999999996</v>
      </c>
      <c r="W3615">
        <v>578.91999999999996</v>
      </c>
      <c r="X3615">
        <v>0</v>
      </c>
      <c r="Y3615">
        <v>0</v>
      </c>
      <c r="Z3615">
        <v>-521</v>
      </c>
      <c r="AA3615">
        <v>689441</v>
      </c>
      <c r="AD3615" t="s">
        <v>9504</v>
      </c>
      <c r="AF3615" t="s">
        <v>9504</v>
      </c>
      <c r="AG3615" s="1" t="s">
        <v>9505</v>
      </c>
      <c r="AH3615" t="s">
        <v>44</v>
      </c>
    </row>
    <row r="3616" spans="1:34" x14ac:dyDescent="0.3">
      <c r="A3616">
        <v>101</v>
      </c>
      <c r="B3616" t="s">
        <v>34</v>
      </c>
      <c r="C3616">
        <v>2</v>
      </c>
      <c r="D3616" s="1" t="s">
        <v>9518</v>
      </c>
      <c r="E3616" s="1" t="s">
        <v>36</v>
      </c>
      <c r="G3616">
        <v>436650</v>
      </c>
      <c r="H3616" t="s">
        <v>9502</v>
      </c>
      <c r="I3616" t="s">
        <v>2413</v>
      </c>
      <c r="J3616">
        <v>30</v>
      </c>
      <c r="K3616">
        <v>2695</v>
      </c>
      <c r="L3616">
        <v>95000</v>
      </c>
      <c r="M3616" t="s">
        <v>69</v>
      </c>
      <c r="N3616">
        <v>691</v>
      </c>
      <c r="O3616" s="2">
        <v>46197</v>
      </c>
      <c r="P3616" s="2">
        <v>46329</v>
      </c>
      <c r="R3616" t="s">
        <v>9519</v>
      </c>
      <c r="S3616" t="str">
        <f>""</f>
        <v/>
      </c>
      <c r="T3616" t="s">
        <v>41</v>
      </c>
      <c r="U3616">
        <v>27686.5</v>
      </c>
      <c r="V3616">
        <v>26263.09</v>
      </c>
      <c r="W3616">
        <v>26263.09</v>
      </c>
      <c r="X3616">
        <v>0</v>
      </c>
      <c r="Y3616">
        <v>0</v>
      </c>
      <c r="Z3616">
        <v>-554</v>
      </c>
      <c r="AA3616">
        <v>692116</v>
      </c>
      <c r="AD3616" t="s">
        <v>9504</v>
      </c>
      <c r="AF3616" t="s">
        <v>9504</v>
      </c>
      <c r="AG3616" s="1" t="s">
        <v>9505</v>
      </c>
      <c r="AH3616" t="s">
        <v>44</v>
      </c>
    </row>
    <row r="3617" spans="1:34" x14ac:dyDescent="0.3">
      <c r="A3617">
        <v>101</v>
      </c>
      <c r="B3617" t="s">
        <v>34</v>
      </c>
      <c r="C3617">
        <v>2</v>
      </c>
      <c r="D3617" s="1" t="s">
        <v>9520</v>
      </c>
      <c r="E3617" s="1" t="s">
        <v>36</v>
      </c>
      <c r="G3617">
        <v>436650</v>
      </c>
      <c r="H3617" t="s">
        <v>9502</v>
      </c>
      <c r="I3617" t="s">
        <v>2413</v>
      </c>
      <c r="J3617">
        <v>30</v>
      </c>
      <c r="K3617">
        <v>2695</v>
      </c>
      <c r="L3617">
        <v>95000</v>
      </c>
      <c r="M3617" t="s">
        <v>69</v>
      </c>
      <c r="N3617">
        <v>691</v>
      </c>
      <c r="O3617" s="2">
        <v>46172</v>
      </c>
      <c r="P3617" s="2">
        <v>46296</v>
      </c>
      <c r="R3617" t="s">
        <v>9521</v>
      </c>
      <c r="S3617" t="str">
        <f>""</f>
        <v/>
      </c>
      <c r="T3617" t="s">
        <v>41</v>
      </c>
      <c r="U3617">
        <v>16318.77</v>
      </c>
      <c r="V3617">
        <v>16139.26</v>
      </c>
      <c r="W3617">
        <v>16139.26</v>
      </c>
      <c r="X3617">
        <v>0</v>
      </c>
      <c r="Y3617">
        <v>0</v>
      </c>
      <c r="Z3617">
        <v>-521</v>
      </c>
      <c r="AA3617">
        <v>689154</v>
      </c>
      <c r="AD3617" t="s">
        <v>9504</v>
      </c>
      <c r="AF3617" t="s">
        <v>9504</v>
      </c>
      <c r="AG3617" s="1" t="s">
        <v>9505</v>
      </c>
      <c r="AH3617" t="s">
        <v>44</v>
      </c>
    </row>
    <row r="3618" spans="1:34" x14ac:dyDescent="0.3">
      <c r="A3618">
        <v>101</v>
      </c>
      <c r="B3618" t="s">
        <v>34</v>
      </c>
      <c r="C3618">
        <v>2</v>
      </c>
      <c r="D3618" s="1" t="s">
        <v>9522</v>
      </c>
      <c r="E3618" s="1" t="s">
        <v>36</v>
      </c>
      <c r="G3618">
        <v>436650</v>
      </c>
      <c r="H3618" t="s">
        <v>9502</v>
      </c>
      <c r="I3618" t="s">
        <v>2413</v>
      </c>
      <c r="J3618">
        <v>30</v>
      </c>
      <c r="K3618">
        <v>2695</v>
      </c>
      <c r="L3618">
        <v>95000</v>
      </c>
      <c r="M3618" t="s">
        <v>69</v>
      </c>
      <c r="N3618">
        <v>691</v>
      </c>
      <c r="O3618" s="2">
        <v>46253</v>
      </c>
      <c r="P3618" s="2">
        <v>46343</v>
      </c>
      <c r="R3618" t="s">
        <v>9523</v>
      </c>
      <c r="S3618" t="str">
        <f>""</f>
        <v/>
      </c>
      <c r="T3618" t="s">
        <v>41</v>
      </c>
      <c r="U3618">
        <v>3538</v>
      </c>
      <c r="V3618">
        <v>3499.08</v>
      </c>
      <c r="W3618">
        <v>3499.08</v>
      </c>
      <c r="X3618">
        <v>0</v>
      </c>
      <c r="Y3618">
        <v>0</v>
      </c>
      <c r="Z3618">
        <v>-568</v>
      </c>
      <c r="AA3618">
        <v>696947</v>
      </c>
      <c r="AD3618" t="s">
        <v>9504</v>
      </c>
      <c r="AF3618" t="s">
        <v>9504</v>
      </c>
      <c r="AG3618" s="1" t="s">
        <v>9505</v>
      </c>
      <c r="AH3618" t="s">
        <v>44</v>
      </c>
    </row>
    <row r="3619" spans="1:34" x14ac:dyDescent="0.3">
      <c r="A3619">
        <v>101</v>
      </c>
      <c r="B3619" t="s">
        <v>34</v>
      </c>
      <c r="C3619">
        <v>2</v>
      </c>
      <c r="D3619" s="1" t="s">
        <v>9524</v>
      </c>
      <c r="E3619" s="1" t="s">
        <v>36</v>
      </c>
      <c r="G3619">
        <v>436652</v>
      </c>
      <c r="H3619" t="s">
        <v>9525</v>
      </c>
      <c r="I3619" t="s">
        <v>2413</v>
      </c>
      <c r="J3619">
        <v>30</v>
      </c>
      <c r="K3619">
        <v>2695</v>
      </c>
      <c r="L3619">
        <v>95000</v>
      </c>
      <c r="M3619" t="s">
        <v>69</v>
      </c>
      <c r="N3619">
        <v>691</v>
      </c>
      <c r="O3619" s="2">
        <v>46170</v>
      </c>
      <c r="P3619" s="2">
        <v>46296</v>
      </c>
      <c r="R3619" t="s">
        <v>9526</v>
      </c>
      <c r="S3619" t="str">
        <f>""</f>
        <v/>
      </c>
      <c r="T3619" t="s">
        <v>41</v>
      </c>
      <c r="U3619">
        <v>2155.64</v>
      </c>
      <c r="V3619">
        <v>2131.9299999999998</v>
      </c>
      <c r="W3619">
        <v>2131.9299999999998</v>
      </c>
      <c r="X3619">
        <v>0</v>
      </c>
      <c r="Y3619">
        <v>0</v>
      </c>
      <c r="Z3619">
        <v>-521</v>
      </c>
      <c r="AA3619">
        <v>689439</v>
      </c>
      <c r="AD3619" t="s">
        <v>64</v>
      </c>
      <c r="AE3619" t="s">
        <v>2567</v>
      </c>
      <c r="AF3619" t="s">
        <v>64</v>
      </c>
      <c r="AG3619" s="1" t="s">
        <v>9527</v>
      </c>
      <c r="AH3619" t="s">
        <v>44</v>
      </c>
    </row>
    <row r="3620" spans="1:34" x14ac:dyDescent="0.3">
      <c r="A3620">
        <v>101</v>
      </c>
      <c r="B3620" t="s">
        <v>34</v>
      </c>
      <c r="C3620">
        <v>2</v>
      </c>
      <c r="D3620" s="1" t="s">
        <v>9528</v>
      </c>
      <c r="E3620" s="1" t="s">
        <v>36</v>
      </c>
      <c r="G3620">
        <v>436652</v>
      </c>
      <c r="H3620" t="s">
        <v>9525</v>
      </c>
      <c r="I3620" t="s">
        <v>2413</v>
      </c>
      <c r="J3620">
        <v>30</v>
      </c>
      <c r="K3620">
        <v>2695</v>
      </c>
      <c r="L3620">
        <v>95000</v>
      </c>
      <c r="M3620" t="s">
        <v>69</v>
      </c>
      <c r="N3620">
        <v>691</v>
      </c>
      <c r="O3620" s="2">
        <v>46235</v>
      </c>
      <c r="P3620" s="2">
        <v>46337</v>
      </c>
      <c r="R3620" t="s">
        <v>9529</v>
      </c>
      <c r="S3620" t="str">
        <f>""</f>
        <v/>
      </c>
      <c r="T3620" t="s">
        <v>41</v>
      </c>
      <c r="U3620">
        <v>2789.1</v>
      </c>
      <c r="V3620">
        <v>2758.42</v>
      </c>
      <c r="W3620">
        <v>2758.42</v>
      </c>
      <c r="X3620">
        <v>0</v>
      </c>
      <c r="Y3620">
        <v>0</v>
      </c>
      <c r="Z3620">
        <v>-562</v>
      </c>
      <c r="AA3620">
        <v>694889</v>
      </c>
      <c r="AD3620" t="s">
        <v>64</v>
      </c>
      <c r="AE3620" t="s">
        <v>2567</v>
      </c>
      <c r="AF3620" t="s">
        <v>64</v>
      </c>
      <c r="AG3620" s="1" t="s">
        <v>9527</v>
      </c>
      <c r="AH3620" t="s">
        <v>44</v>
      </c>
    </row>
    <row r="3621" spans="1:34" x14ac:dyDescent="0.3">
      <c r="A3621">
        <v>101</v>
      </c>
      <c r="B3621" t="s">
        <v>34</v>
      </c>
      <c r="C3621">
        <v>2</v>
      </c>
      <c r="D3621" s="1" t="s">
        <v>9530</v>
      </c>
      <c r="E3621" s="1" t="s">
        <v>36</v>
      </c>
      <c r="G3621">
        <v>436652</v>
      </c>
      <c r="H3621" t="s">
        <v>9525</v>
      </c>
      <c r="I3621" t="s">
        <v>2413</v>
      </c>
      <c r="J3621">
        <v>30</v>
      </c>
      <c r="K3621">
        <v>2695</v>
      </c>
      <c r="L3621">
        <v>95000</v>
      </c>
      <c r="M3621" t="s">
        <v>69</v>
      </c>
      <c r="N3621">
        <v>691</v>
      </c>
      <c r="O3621" s="2">
        <v>46197</v>
      </c>
      <c r="P3621" s="2">
        <v>46316</v>
      </c>
      <c r="R3621" t="s">
        <v>9531</v>
      </c>
      <c r="S3621" t="str">
        <f>""</f>
        <v/>
      </c>
      <c r="T3621" t="s">
        <v>41</v>
      </c>
      <c r="U3621">
        <v>23502.66</v>
      </c>
      <c r="V3621">
        <v>23244.13</v>
      </c>
      <c r="W3621">
        <v>23244.13</v>
      </c>
      <c r="X3621">
        <v>0</v>
      </c>
      <c r="Y3621">
        <v>0</v>
      </c>
      <c r="Z3621">
        <v>-541</v>
      </c>
      <c r="AA3621">
        <v>692114</v>
      </c>
      <c r="AD3621" t="s">
        <v>64</v>
      </c>
      <c r="AE3621" t="s">
        <v>2567</v>
      </c>
      <c r="AF3621" t="s">
        <v>64</v>
      </c>
      <c r="AG3621" s="1" t="s">
        <v>9527</v>
      </c>
      <c r="AH3621" t="s">
        <v>44</v>
      </c>
    </row>
    <row r="3622" spans="1:34" x14ac:dyDescent="0.3">
      <c r="A3622">
        <v>101</v>
      </c>
      <c r="B3622" t="s">
        <v>34</v>
      </c>
      <c r="C3622">
        <v>2</v>
      </c>
      <c r="D3622" s="1" t="s">
        <v>9532</v>
      </c>
      <c r="E3622" s="1" t="s">
        <v>36</v>
      </c>
      <c r="G3622">
        <v>436652</v>
      </c>
      <c r="H3622" t="s">
        <v>9525</v>
      </c>
      <c r="I3622" t="s">
        <v>2413</v>
      </c>
      <c r="J3622">
        <v>30</v>
      </c>
      <c r="K3622">
        <v>2695</v>
      </c>
      <c r="L3622">
        <v>95000</v>
      </c>
      <c r="M3622" t="s">
        <v>69</v>
      </c>
      <c r="N3622">
        <v>691</v>
      </c>
      <c r="O3622" s="2">
        <v>46253</v>
      </c>
      <c r="P3622" s="2">
        <v>46343</v>
      </c>
      <c r="R3622" t="s">
        <v>9533</v>
      </c>
      <c r="S3622" t="str">
        <f>""</f>
        <v/>
      </c>
      <c r="T3622" t="s">
        <v>41</v>
      </c>
      <c r="U3622">
        <v>2653.5</v>
      </c>
      <c r="V3622">
        <v>2624.31</v>
      </c>
      <c r="W3622">
        <v>2624.31</v>
      </c>
      <c r="X3622">
        <v>0</v>
      </c>
      <c r="Y3622">
        <v>0</v>
      </c>
      <c r="Z3622">
        <v>-568</v>
      </c>
      <c r="AA3622">
        <v>696945</v>
      </c>
      <c r="AD3622" t="s">
        <v>64</v>
      </c>
      <c r="AE3622" t="s">
        <v>2567</v>
      </c>
      <c r="AF3622" t="s">
        <v>64</v>
      </c>
      <c r="AG3622" s="1" t="s">
        <v>9527</v>
      </c>
      <c r="AH3622" t="s">
        <v>44</v>
      </c>
    </row>
    <row r="3623" spans="1:34" x14ac:dyDescent="0.3">
      <c r="A3623">
        <v>101</v>
      </c>
      <c r="B3623" t="s">
        <v>34</v>
      </c>
      <c r="C3623">
        <v>2</v>
      </c>
      <c r="D3623" s="1" t="s">
        <v>9534</v>
      </c>
      <c r="E3623" s="1" t="s">
        <v>36</v>
      </c>
      <c r="G3623">
        <v>436652</v>
      </c>
      <c r="H3623" t="s">
        <v>9525</v>
      </c>
      <c r="I3623" t="s">
        <v>2413</v>
      </c>
      <c r="J3623">
        <v>30</v>
      </c>
      <c r="K3623">
        <v>2695</v>
      </c>
      <c r="L3623">
        <v>95000</v>
      </c>
      <c r="M3623" t="s">
        <v>69</v>
      </c>
      <c r="N3623">
        <v>691</v>
      </c>
      <c r="O3623" s="2">
        <v>46171</v>
      </c>
      <c r="P3623" s="2">
        <v>46296</v>
      </c>
      <c r="R3623" t="s">
        <v>9535</v>
      </c>
      <c r="S3623" t="str">
        <f>""</f>
        <v/>
      </c>
      <c r="T3623" t="s">
        <v>41</v>
      </c>
      <c r="U3623">
        <v>2846.4</v>
      </c>
      <c r="V3623">
        <v>2815.09</v>
      </c>
      <c r="W3623">
        <v>2815.09</v>
      </c>
      <c r="X3623">
        <v>0</v>
      </c>
      <c r="Y3623">
        <v>0</v>
      </c>
      <c r="Z3623">
        <v>-521</v>
      </c>
      <c r="AA3623">
        <v>689152</v>
      </c>
      <c r="AD3623" t="s">
        <v>64</v>
      </c>
      <c r="AE3623" t="s">
        <v>2567</v>
      </c>
      <c r="AF3623" t="s">
        <v>64</v>
      </c>
      <c r="AG3623" s="1" t="s">
        <v>9527</v>
      </c>
      <c r="AH3623" t="s">
        <v>44</v>
      </c>
    </row>
    <row r="3624" spans="1:34" x14ac:dyDescent="0.3">
      <c r="A3624">
        <v>101</v>
      </c>
      <c r="B3624" t="s">
        <v>34</v>
      </c>
      <c r="C3624">
        <v>2</v>
      </c>
      <c r="D3624" s="1" t="s">
        <v>9536</v>
      </c>
      <c r="E3624" s="1" t="s">
        <v>36</v>
      </c>
      <c r="G3624">
        <v>436652</v>
      </c>
      <c r="H3624" t="s">
        <v>9525</v>
      </c>
      <c r="I3624" t="s">
        <v>2413</v>
      </c>
      <c r="J3624">
        <v>30</v>
      </c>
      <c r="K3624">
        <v>2695</v>
      </c>
      <c r="L3624">
        <v>95000</v>
      </c>
      <c r="M3624" t="s">
        <v>69</v>
      </c>
      <c r="N3624">
        <v>691</v>
      </c>
      <c r="O3624" s="2">
        <v>46170</v>
      </c>
      <c r="P3624" s="2">
        <v>46296</v>
      </c>
      <c r="R3624" t="s">
        <v>9537</v>
      </c>
      <c r="S3624" t="str">
        <f>""</f>
        <v/>
      </c>
      <c r="T3624" t="s">
        <v>41</v>
      </c>
      <c r="U3624">
        <v>7482.83</v>
      </c>
      <c r="V3624">
        <v>7400.52</v>
      </c>
      <c r="W3624">
        <v>7400.52</v>
      </c>
      <c r="X3624">
        <v>0</v>
      </c>
      <c r="Y3624">
        <v>0</v>
      </c>
      <c r="Z3624">
        <v>-521</v>
      </c>
      <c r="AA3624">
        <v>689152</v>
      </c>
      <c r="AD3624" t="s">
        <v>64</v>
      </c>
      <c r="AE3624" t="s">
        <v>2567</v>
      </c>
      <c r="AF3624" t="s">
        <v>64</v>
      </c>
      <c r="AG3624" s="1" t="s">
        <v>9527</v>
      </c>
      <c r="AH3624" t="s">
        <v>44</v>
      </c>
    </row>
    <row r="3625" spans="1:34" x14ac:dyDescent="0.3">
      <c r="A3625">
        <v>101</v>
      </c>
      <c r="B3625" t="s">
        <v>34</v>
      </c>
      <c r="C3625">
        <v>2</v>
      </c>
      <c r="D3625" s="1" t="s">
        <v>9538</v>
      </c>
      <c r="E3625" s="1" t="s">
        <v>36</v>
      </c>
      <c r="G3625">
        <v>436652</v>
      </c>
      <c r="H3625" t="s">
        <v>9525</v>
      </c>
      <c r="I3625" t="s">
        <v>2413</v>
      </c>
      <c r="J3625">
        <v>30</v>
      </c>
      <c r="K3625">
        <v>2695</v>
      </c>
      <c r="L3625">
        <v>95000</v>
      </c>
      <c r="M3625" t="s">
        <v>69</v>
      </c>
      <c r="N3625">
        <v>691</v>
      </c>
      <c r="O3625" s="2">
        <v>46199</v>
      </c>
      <c r="P3625" s="2">
        <v>46337</v>
      </c>
      <c r="R3625" t="s">
        <v>9539</v>
      </c>
      <c r="S3625" t="str">
        <f>""</f>
        <v/>
      </c>
      <c r="T3625" t="s">
        <v>41</v>
      </c>
      <c r="U3625">
        <v>585.36</v>
      </c>
      <c r="V3625">
        <v>578.91999999999996</v>
      </c>
      <c r="W3625">
        <v>578.91999999999996</v>
      </c>
      <c r="X3625">
        <v>0</v>
      </c>
      <c r="Y3625">
        <v>0</v>
      </c>
      <c r="Z3625">
        <v>-562</v>
      </c>
      <c r="AA3625">
        <v>692791</v>
      </c>
      <c r="AD3625" t="s">
        <v>64</v>
      </c>
      <c r="AE3625" t="s">
        <v>2567</v>
      </c>
      <c r="AF3625" t="s">
        <v>64</v>
      </c>
      <c r="AG3625" s="1" t="s">
        <v>9527</v>
      </c>
      <c r="AH3625" t="s">
        <v>44</v>
      </c>
    </row>
    <row r="3626" spans="1:34" x14ac:dyDescent="0.3">
      <c r="A3626">
        <v>101</v>
      </c>
      <c r="B3626" t="s">
        <v>34</v>
      </c>
      <c r="C3626">
        <v>2</v>
      </c>
      <c r="D3626" s="1" t="s">
        <v>9540</v>
      </c>
      <c r="E3626" s="1" t="s">
        <v>36</v>
      </c>
      <c r="G3626">
        <v>436652</v>
      </c>
      <c r="H3626" t="s">
        <v>9525</v>
      </c>
      <c r="I3626" t="s">
        <v>2413</v>
      </c>
      <c r="J3626">
        <v>30</v>
      </c>
      <c r="K3626">
        <v>2695</v>
      </c>
      <c r="L3626">
        <v>95000</v>
      </c>
      <c r="M3626" t="s">
        <v>69</v>
      </c>
      <c r="N3626">
        <v>691</v>
      </c>
      <c r="O3626" s="2">
        <v>46141</v>
      </c>
      <c r="P3626" s="2">
        <v>46255</v>
      </c>
      <c r="R3626" t="s">
        <v>9541</v>
      </c>
      <c r="S3626" t="str">
        <f>""</f>
        <v/>
      </c>
      <c r="T3626" t="s">
        <v>41</v>
      </c>
      <c r="U3626">
        <v>8174.02</v>
      </c>
      <c r="V3626">
        <v>8084.11</v>
      </c>
      <c r="W3626">
        <v>8084.11</v>
      </c>
      <c r="X3626">
        <v>0</v>
      </c>
      <c r="Y3626">
        <v>0</v>
      </c>
      <c r="Z3626">
        <v>-480</v>
      </c>
      <c r="AA3626">
        <v>686550</v>
      </c>
      <c r="AD3626" t="s">
        <v>64</v>
      </c>
      <c r="AE3626" t="s">
        <v>2567</v>
      </c>
      <c r="AF3626" t="s">
        <v>64</v>
      </c>
      <c r="AG3626" s="1" t="s">
        <v>9527</v>
      </c>
      <c r="AH3626" t="s">
        <v>44</v>
      </c>
    </row>
    <row r="3627" spans="1:34" x14ac:dyDescent="0.3">
      <c r="A3627">
        <v>101</v>
      </c>
      <c r="B3627" t="s">
        <v>34</v>
      </c>
      <c r="C3627">
        <v>2</v>
      </c>
      <c r="D3627" s="1" t="s">
        <v>9542</v>
      </c>
      <c r="E3627" s="1" t="s">
        <v>36</v>
      </c>
      <c r="G3627">
        <v>436652</v>
      </c>
      <c r="H3627" t="s">
        <v>9525</v>
      </c>
      <c r="I3627" t="s">
        <v>2413</v>
      </c>
      <c r="J3627">
        <v>30</v>
      </c>
      <c r="K3627">
        <v>2695</v>
      </c>
      <c r="L3627">
        <v>95000</v>
      </c>
      <c r="M3627" t="s">
        <v>69</v>
      </c>
      <c r="N3627">
        <v>691</v>
      </c>
      <c r="O3627" s="2">
        <v>46199</v>
      </c>
      <c r="P3627" s="2">
        <v>46337</v>
      </c>
      <c r="R3627" t="s">
        <v>9543</v>
      </c>
      <c r="S3627" t="str">
        <f>""</f>
        <v/>
      </c>
      <c r="T3627" t="s">
        <v>41</v>
      </c>
      <c r="U3627">
        <v>176.9</v>
      </c>
      <c r="V3627">
        <v>174.95</v>
      </c>
      <c r="W3627">
        <v>174.95</v>
      </c>
      <c r="X3627">
        <v>0</v>
      </c>
      <c r="Y3627">
        <v>0</v>
      </c>
      <c r="Z3627">
        <v>-562</v>
      </c>
      <c r="AA3627">
        <v>692484</v>
      </c>
      <c r="AD3627" t="s">
        <v>64</v>
      </c>
      <c r="AE3627" t="s">
        <v>2567</v>
      </c>
      <c r="AF3627" t="s">
        <v>64</v>
      </c>
      <c r="AG3627" s="1" t="s">
        <v>9527</v>
      </c>
      <c r="AH3627" t="s">
        <v>44</v>
      </c>
    </row>
    <row r="3628" spans="1:34" x14ac:dyDescent="0.3">
      <c r="A3628">
        <v>101</v>
      </c>
      <c r="B3628" t="s">
        <v>34</v>
      </c>
      <c r="C3628">
        <v>2</v>
      </c>
      <c r="D3628" s="1" t="s">
        <v>9544</v>
      </c>
      <c r="E3628" s="1" t="s">
        <v>36</v>
      </c>
      <c r="G3628">
        <v>436652</v>
      </c>
      <c r="H3628" t="s">
        <v>9525</v>
      </c>
      <c r="I3628" t="s">
        <v>2413</v>
      </c>
      <c r="J3628">
        <v>30</v>
      </c>
      <c r="K3628">
        <v>2695</v>
      </c>
      <c r="L3628">
        <v>95000</v>
      </c>
      <c r="M3628" t="s">
        <v>69</v>
      </c>
      <c r="N3628">
        <v>691</v>
      </c>
      <c r="O3628" s="2">
        <v>46141</v>
      </c>
      <c r="P3628" s="2">
        <v>46255</v>
      </c>
      <c r="R3628" t="s">
        <v>9545</v>
      </c>
      <c r="S3628" t="str">
        <f>""</f>
        <v/>
      </c>
      <c r="T3628" t="s">
        <v>41</v>
      </c>
      <c r="U3628">
        <v>731.7</v>
      </c>
      <c r="V3628">
        <v>723.65</v>
      </c>
      <c r="W3628">
        <v>723.65</v>
      </c>
      <c r="X3628">
        <v>0</v>
      </c>
      <c r="Y3628">
        <v>0</v>
      </c>
      <c r="Z3628">
        <v>-480</v>
      </c>
      <c r="AA3628">
        <v>686866</v>
      </c>
      <c r="AD3628" t="s">
        <v>64</v>
      </c>
      <c r="AE3628" t="s">
        <v>2567</v>
      </c>
      <c r="AF3628" t="s">
        <v>64</v>
      </c>
      <c r="AG3628" s="1" t="s">
        <v>9527</v>
      </c>
      <c r="AH3628" t="s">
        <v>44</v>
      </c>
    </row>
    <row r="3629" spans="1:34" x14ac:dyDescent="0.3">
      <c r="A3629">
        <v>101</v>
      </c>
      <c r="B3629" t="s">
        <v>34</v>
      </c>
      <c r="C3629">
        <v>2</v>
      </c>
      <c r="D3629" s="1" t="s">
        <v>9546</v>
      </c>
      <c r="E3629" s="1" t="s">
        <v>36</v>
      </c>
      <c r="G3629">
        <v>436652</v>
      </c>
      <c r="H3629" t="s">
        <v>9525</v>
      </c>
      <c r="I3629" t="s">
        <v>2413</v>
      </c>
      <c r="J3629">
        <v>30</v>
      </c>
      <c r="K3629">
        <v>2695</v>
      </c>
      <c r="L3629">
        <v>95000</v>
      </c>
      <c r="M3629" t="s">
        <v>69</v>
      </c>
      <c r="N3629">
        <v>691</v>
      </c>
      <c r="O3629" s="2">
        <v>46239</v>
      </c>
      <c r="P3629" s="2">
        <v>46337</v>
      </c>
      <c r="R3629" t="s">
        <v>9547</v>
      </c>
      <c r="S3629" t="str">
        <f>""</f>
        <v/>
      </c>
      <c r="T3629" t="s">
        <v>41</v>
      </c>
      <c r="U3629">
        <v>1942.65</v>
      </c>
      <c r="V3629">
        <v>1921.28</v>
      </c>
      <c r="W3629">
        <v>1921.28</v>
      </c>
      <c r="X3629">
        <v>0</v>
      </c>
      <c r="Y3629">
        <v>0</v>
      </c>
      <c r="Z3629">
        <v>-562</v>
      </c>
      <c r="AA3629">
        <v>696167</v>
      </c>
      <c r="AD3629" t="s">
        <v>64</v>
      </c>
      <c r="AE3629" t="s">
        <v>2567</v>
      </c>
      <c r="AF3629" t="s">
        <v>64</v>
      </c>
      <c r="AG3629" s="1" t="s">
        <v>9527</v>
      </c>
      <c r="AH3629" t="s">
        <v>44</v>
      </c>
    </row>
    <row r="3630" spans="1:34" x14ac:dyDescent="0.3">
      <c r="A3630">
        <v>101</v>
      </c>
      <c r="B3630" t="s">
        <v>34</v>
      </c>
      <c r="C3630">
        <v>2</v>
      </c>
      <c r="D3630" s="1" t="s">
        <v>9548</v>
      </c>
      <c r="E3630" s="1" t="s">
        <v>36</v>
      </c>
      <c r="G3630">
        <v>436653</v>
      </c>
      <c r="H3630" t="s">
        <v>9549</v>
      </c>
      <c r="I3630" t="s">
        <v>2413</v>
      </c>
      <c r="J3630">
        <v>30</v>
      </c>
      <c r="K3630">
        <v>2695</v>
      </c>
      <c r="L3630">
        <v>95000</v>
      </c>
      <c r="M3630" t="s">
        <v>69</v>
      </c>
      <c r="N3630">
        <v>691</v>
      </c>
      <c r="O3630" s="2">
        <v>46141</v>
      </c>
      <c r="P3630" s="2">
        <v>46255</v>
      </c>
      <c r="R3630" t="s">
        <v>9550</v>
      </c>
      <c r="S3630" t="str">
        <f>""</f>
        <v/>
      </c>
      <c r="T3630" t="s">
        <v>41</v>
      </c>
      <c r="U3630">
        <v>6520.53</v>
      </c>
      <c r="V3630">
        <v>6448.8</v>
      </c>
      <c r="W3630">
        <v>6448.8</v>
      </c>
      <c r="X3630">
        <v>0</v>
      </c>
      <c r="Y3630">
        <v>0</v>
      </c>
      <c r="Z3630">
        <v>-480</v>
      </c>
      <c r="AA3630">
        <v>686548</v>
      </c>
      <c r="AD3630" t="s">
        <v>3337</v>
      </c>
      <c r="AF3630" t="s">
        <v>3337</v>
      </c>
      <c r="AG3630" s="1" t="s">
        <v>9551</v>
      </c>
      <c r="AH3630" t="s">
        <v>44</v>
      </c>
    </row>
    <row r="3631" spans="1:34" x14ac:dyDescent="0.3">
      <c r="A3631">
        <v>101</v>
      </c>
      <c r="B3631" t="s">
        <v>34</v>
      </c>
      <c r="C3631">
        <v>2</v>
      </c>
      <c r="D3631" s="1" t="s">
        <v>9552</v>
      </c>
      <c r="E3631" s="1" t="s">
        <v>36</v>
      </c>
      <c r="G3631">
        <v>436653</v>
      </c>
      <c r="H3631" t="s">
        <v>9549</v>
      </c>
      <c r="I3631" t="s">
        <v>2413</v>
      </c>
      <c r="J3631">
        <v>30</v>
      </c>
      <c r="K3631">
        <v>2695</v>
      </c>
      <c r="L3631">
        <v>95000</v>
      </c>
      <c r="M3631" t="s">
        <v>69</v>
      </c>
      <c r="N3631">
        <v>691</v>
      </c>
      <c r="O3631" s="2">
        <v>46239</v>
      </c>
      <c r="P3631" s="2">
        <v>46329</v>
      </c>
      <c r="R3631" t="s">
        <v>9553</v>
      </c>
      <c r="S3631" t="str">
        <f>""</f>
        <v/>
      </c>
      <c r="T3631" t="s">
        <v>41</v>
      </c>
      <c r="U3631">
        <v>1295.0999999999999</v>
      </c>
      <c r="V3631">
        <v>1280.8499999999999</v>
      </c>
      <c r="W3631">
        <v>1280.8499999999999</v>
      </c>
      <c r="X3631">
        <v>0</v>
      </c>
      <c r="Y3631">
        <v>0</v>
      </c>
      <c r="Z3631">
        <v>-554</v>
      </c>
      <c r="AA3631">
        <v>696165</v>
      </c>
      <c r="AD3631" t="s">
        <v>3337</v>
      </c>
      <c r="AF3631" t="s">
        <v>3337</v>
      </c>
      <c r="AG3631" s="1" t="s">
        <v>9551</v>
      </c>
      <c r="AH3631" t="s">
        <v>44</v>
      </c>
    </row>
    <row r="3632" spans="1:34" x14ac:dyDescent="0.3">
      <c r="A3632">
        <v>101</v>
      </c>
      <c r="B3632" t="s">
        <v>34</v>
      </c>
      <c r="C3632">
        <v>2</v>
      </c>
      <c r="D3632" s="1" t="s">
        <v>9554</v>
      </c>
      <c r="E3632" s="1" t="s">
        <v>36</v>
      </c>
      <c r="G3632">
        <v>436653</v>
      </c>
      <c r="H3632" t="s">
        <v>9549</v>
      </c>
      <c r="I3632" t="s">
        <v>2413</v>
      </c>
      <c r="J3632">
        <v>30</v>
      </c>
      <c r="K3632">
        <v>2695</v>
      </c>
      <c r="L3632">
        <v>95000</v>
      </c>
      <c r="M3632" t="s">
        <v>69</v>
      </c>
      <c r="N3632">
        <v>691</v>
      </c>
      <c r="O3632" s="2">
        <v>46170</v>
      </c>
      <c r="P3632" s="2">
        <v>46296</v>
      </c>
      <c r="R3632" t="s">
        <v>9555</v>
      </c>
      <c r="S3632" t="str">
        <f>""</f>
        <v/>
      </c>
      <c r="T3632" t="s">
        <v>41</v>
      </c>
      <c r="U3632">
        <v>2155.64</v>
      </c>
      <c r="V3632">
        <v>2131.9299999999998</v>
      </c>
      <c r="W3632">
        <v>2131.9299999999998</v>
      </c>
      <c r="X3632">
        <v>0</v>
      </c>
      <c r="Y3632">
        <v>0</v>
      </c>
      <c r="Z3632">
        <v>-521</v>
      </c>
      <c r="AA3632">
        <v>689437</v>
      </c>
      <c r="AD3632" t="s">
        <v>3337</v>
      </c>
      <c r="AF3632" t="s">
        <v>3337</v>
      </c>
      <c r="AG3632" s="1" t="s">
        <v>9551</v>
      </c>
      <c r="AH3632" t="s">
        <v>44</v>
      </c>
    </row>
    <row r="3633" spans="1:34" x14ac:dyDescent="0.3">
      <c r="A3633">
        <v>101</v>
      </c>
      <c r="B3633" t="s">
        <v>34</v>
      </c>
      <c r="C3633">
        <v>2</v>
      </c>
      <c r="D3633" s="1" t="s">
        <v>9556</v>
      </c>
      <c r="E3633" s="1" t="s">
        <v>36</v>
      </c>
      <c r="G3633">
        <v>436653</v>
      </c>
      <c r="H3633" t="s">
        <v>9549</v>
      </c>
      <c r="I3633" t="s">
        <v>2413</v>
      </c>
      <c r="J3633">
        <v>30</v>
      </c>
      <c r="K3633">
        <v>2695</v>
      </c>
      <c r="L3633">
        <v>95000</v>
      </c>
      <c r="M3633" t="s">
        <v>69</v>
      </c>
      <c r="N3633">
        <v>691</v>
      </c>
      <c r="O3633" s="2">
        <v>46185</v>
      </c>
      <c r="P3633" s="2">
        <v>46296</v>
      </c>
      <c r="R3633" t="s">
        <v>9557</v>
      </c>
      <c r="S3633" t="str">
        <f>""</f>
        <v/>
      </c>
      <c r="T3633" t="s">
        <v>41</v>
      </c>
      <c r="U3633">
        <v>2134.8000000000002</v>
      </c>
      <c r="V3633">
        <v>2111.3200000000002</v>
      </c>
      <c r="W3633">
        <v>2111.3200000000002</v>
      </c>
      <c r="X3633">
        <v>0</v>
      </c>
      <c r="Y3633">
        <v>0</v>
      </c>
      <c r="Z3633">
        <v>-521</v>
      </c>
      <c r="AA3633">
        <v>689150</v>
      </c>
      <c r="AD3633" t="s">
        <v>3337</v>
      </c>
      <c r="AF3633" t="s">
        <v>3337</v>
      </c>
      <c r="AG3633" s="1" t="s">
        <v>9551</v>
      </c>
      <c r="AH3633" t="s">
        <v>44</v>
      </c>
    </row>
    <row r="3634" spans="1:34" x14ac:dyDescent="0.3">
      <c r="A3634">
        <v>101</v>
      </c>
      <c r="B3634" t="s">
        <v>34</v>
      </c>
      <c r="C3634">
        <v>2</v>
      </c>
      <c r="D3634" s="1" t="s">
        <v>9558</v>
      </c>
      <c r="E3634" s="1" t="s">
        <v>36</v>
      </c>
      <c r="G3634">
        <v>436653</v>
      </c>
      <c r="H3634" t="s">
        <v>9549</v>
      </c>
      <c r="I3634" t="s">
        <v>2413</v>
      </c>
      <c r="J3634">
        <v>30</v>
      </c>
      <c r="K3634">
        <v>2695</v>
      </c>
      <c r="L3634">
        <v>95000</v>
      </c>
      <c r="M3634" t="s">
        <v>69</v>
      </c>
      <c r="N3634">
        <v>691</v>
      </c>
      <c r="O3634" s="2">
        <v>46170</v>
      </c>
      <c r="P3634" s="2">
        <v>46296</v>
      </c>
      <c r="R3634" t="s">
        <v>9559</v>
      </c>
      <c r="S3634" t="str">
        <f>""</f>
        <v/>
      </c>
      <c r="T3634" t="s">
        <v>41</v>
      </c>
      <c r="U3634">
        <v>9317.2999999999993</v>
      </c>
      <c r="V3634">
        <v>9214.81</v>
      </c>
      <c r="W3634">
        <v>9214.81</v>
      </c>
      <c r="X3634">
        <v>0</v>
      </c>
      <c r="Y3634">
        <v>0</v>
      </c>
      <c r="Z3634">
        <v>-521</v>
      </c>
      <c r="AA3634">
        <v>689150</v>
      </c>
      <c r="AD3634" t="s">
        <v>3337</v>
      </c>
      <c r="AF3634" t="s">
        <v>3337</v>
      </c>
      <c r="AG3634" s="1" t="s">
        <v>9551</v>
      </c>
      <c r="AH3634" t="s">
        <v>44</v>
      </c>
    </row>
    <row r="3635" spans="1:34" x14ac:dyDescent="0.3">
      <c r="A3635">
        <v>101</v>
      </c>
      <c r="B3635" t="s">
        <v>34</v>
      </c>
      <c r="C3635">
        <v>2</v>
      </c>
      <c r="D3635" s="1" t="s">
        <v>9560</v>
      </c>
      <c r="E3635" s="1" t="s">
        <v>36</v>
      </c>
      <c r="G3635">
        <v>436653</v>
      </c>
      <c r="H3635" t="s">
        <v>9549</v>
      </c>
      <c r="I3635" t="s">
        <v>2413</v>
      </c>
      <c r="J3635">
        <v>30</v>
      </c>
      <c r="K3635">
        <v>2695</v>
      </c>
      <c r="L3635">
        <v>95000</v>
      </c>
      <c r="M3635" t="s">
        <v>69</v>
      </c>
      <c r="N3635">
        <v>691</v>
      </c>
      <c r="O3635" s="2">
        <v>46199</v>
      </c>
      <c r="P3635" s="2">
        <v>46337</v>
      </c>
      <c r="R3635" t="s">
        <v>9561</v>
      </c>
      <c r="S3635" t="str">
        <f>""</f>
        <v/>
      </c>
      <c r="T3635" t="s">
        <v>41</v>
      </c>
      <c r="U3635">
        <v>6621.05</v>
      </c>
      <c r="V3635">
        <v>6548.22</v>
      </c>
      <c r="W3635">
        <v>6548.22</v>
      </c>
      <c r="X3635">
        <v>0</v>
      </c>
      <c r="Y3635">
        <v>0</v>
      </c>
      <c r="Z3635">
        <v>-562</v>
      </c>
      <c r="AA3635">
        <v>692112</v>
      </c>
      <c r="AD3635" t="s">
        <v>3337</v>
      </c>
      <c r="AF3635" t="s">
        <v>3337</v>
      </c>
      <c r="AG3635" s="1" t="s">
        <v>9551</v>
      </c>
      <c r="AH3635" t="s">
        <v>44</v>
      </c>
    </row>
    <row r="3636" spans="1:34" x14ac:dyDescent="0.3">
      <c r="A3636">
        <v>101</v>
      </c>
      <c r="B3636" t="s">
        <v>34</v>
      </c>
      <c r="C3636">
        <v>2</v>
      </c>
      <c r="D3636" s="1" t="s">
        <v>9562</v>
      </c>
      <c r="E3636" s="1" t="s">
        <v>36</v>
      </c>
      <c r="G3636">
        <v>436653</v>
      </c>
      <c r="H3636" t="s">
        <v>9549</v>
      </c>
      <c r="I3636" t="s">
        <v>2413</v>
      </c>
      <c r="J3636">
        <v>30</v>
      </c>
      <c r="K3636">
        <v>2695</v>
      </c>
      <c r="L3636">
        <v>95000</v>
      </c>
      <c r="M3636" t="s">
        <v>69</v>
      </c>
      <c r="N3636">
        <v>691</v>
      </c>
      <c r="O3636" s="2">
        <v>46226</v>
      </c>
      <c r="P3636" s="2">
        <v>46316</v>
      </c>
      <c r="R3636" t="s">
        <v>9563</v>
      </c>
      <c r="S3636" t="str">
        <f>""</f>
        <v/>
      </c>
      <c r="T3636" t="s">
        <v>41</v>
      </c>
      <c r="U3636">
        <v>4274.6499999999996</v>
      </c>
      <c r="V3636">
        <v>4227.63</v>
      </c>
      <c r="W3636">
        <v>4227.63</v>
      </c>
      <c r="X3636">
        <v>0</v>
      </c>
      <c r="Y3636">
        <v>0</v>
      </c>
      <c r="Z3636">
        <v>-541</v>
      </c>
      <c r="AA3636">
        <v>694887</v>
      </c>
      <c r="AD3636" t="s">
        <v>3337</v>
      </c>
      <c r="AF3636" t="s">
        <v>3337</v>
      </c>
      <c r="AG3636" s="1" t="s">
        <v>9551</v>
      </c>
      <c r="AH3636" t="s">
        <v>44</v>
      </c>
    </row>
    <row r="3637" spans="1:34" x14ac:dyDescent="0.3">
      <c r="A3637">
        <v>101</v>
      </c>
      <c r="B3637" t="s">
        <v>34</v>
      </c>
      <c r="C3637">
        <v>2</v>
      </c>
      <c r="D3637" s="1" t="s">
        <v>9564</v>
      </c>
      <c r="E3637" s="1" t="s">
        <v>36</v>
      </c>
      <c r="G3637">
        <v>436654</v>
      </c>
      <c r="H3637" t="s">
        <v>9565</v>
      </c>
      <c r="I3637" t="s">
        <v>2413</v>
      </c>
      <c r="J3637">
        <v>30</v>
      </c>
      <c r="K3637">
        <v>2695</v>
      </c>
      <c r="L3637">
        <v>95000</v>
      </c>
      <c r="M3637" t="s">
        <v>69</v>
      </c>
      <c r="N3637">
        <v>691</v>
      </c>
      <c r="O3637" s="2">
        <v>46198</v>
      </c>
      <c r="P3637" s="2">
        <v>46329</v>
      </c>
      <c r="R3637" t="s">
        <v>9566</v>
      </c>
      <c r="S3637" t="str">
        <f>""</f>
        <v/>
      </c>
      <c r="T3637" t="s">
        <v>41</v>
      </c>
      <c r="U3637">
        <v>15452.74</v>
      </c>
      <c r="V3637">
        <v>15282.76</v>
      </c>
      <c r="W3637">
        <v>15282.76</v>
      </c>
      <c r="X3637">
        <v>0</v>
      </c>
      <c r="Y3637">
        <v>0</v>
      </c>
      <c r="Z3637">
        <v>-554</v>
      </c>
      <c r="AA3637">
        <v>692108</v>
      </c>
      <c r="AD3637" t="s">
        <v>2278</v>
      </c>
      <c r="AE3637" t="s">
        <v>9567</v>
      </c>
      <c r="AF3637" t="s">
        <v>2278</v>
      </c>
      <c r="AG3637" s="1" t="s">
        <v>9568</v>
      </c>
      <c r="AH3637" t="s">
        <v>44</v>
      </c>
    </row>
    <row r="3638" spans="1:34" x14ac:dyDescent="0.3">
      <c r="A3638">
        <v>101</v>
      </c>
      <c r="B3638" t="s">
        <v>34</v>
      </c>
      <c r="C3638">
        <v>2</v>
      </c>
      <c r="D3638" s="1" t="s">
        <v>9569</v>
      </c>
      <c r="E3638" s="1" t="s">
        <v>36</v>
      </c>
      <c r="G3638">
        <v>436654</v>
      </c>
      <c r="H3638" t="s">
        <v>9565</v>
      </c>
      <c r="I3638" t="s">
        <v>2413</v>
      </c>
      <c r="J3638">
        <v>30</v>
      </c>
      <c r="K3638">
        <v>2695</v>
      </c>
      <c r="L3638">
        <v>95000</v>
      </c>
      <c r="M3638" t="s">
        <v>69</v>
      </c>
      <c r="N3638">
        <v>691</v>
      </c>
      <c r="O3638" s="2">
        <v>46226</v>
      </c>
      <c r="P3638" s="2">
        <v>46316</v>
      </c>
      <c r="R3638" t="s">
        <v>9570</v>
      </c>
      <c r="S3638" t="str">
        <f>""</f>
        <v/>
      </c>
      <c r="T3638" t="s">
        <v>41</v>
      </c>
      <c r="U3638">
        <v>3911.07</v>
      </c>
      <c r="V3638">
        <v>3868.05</v>
      </c>
      <c r="W3638">
        <v>3868.05</v>
      </c>
      <c r="X3638">
        <v>0</v>
      </c>
      <c r="Y3638">
        <v>0</v>
      </c>
      <c r="Z3638">
        <v>-541</v>
      </c>
      <c r="AA3638">
        <v>694851</v>
      </c>
      <c r="AD3638" t="s">
        <v>2278</v>
      </c>
      <c r="AE3638" t="s">
        <v>9567</v>
      </c>
      <c r="AF3638" t="s">
        <v>2278</v>
      </c>
      <c r="AG3638" s="1" t="s">
        <v>9568</v>
      </c>
      <c r="AH3638" t="s">
        <v>44</v>
      </c>
    </row>
    <row r="3639" spans="1:34" x14ac:dyDescent="0.3">
      <c r="A3639">
        <v>101</v>
      </c>
      <c r="B3639" t="s">
        <v>34</v>
      </c>
      <c r="C3639">
        <v>2</v>
      </c>
      <c r="D3639" s="1" t="s">
        <v>9571</v>
      </c>
      <c r="E3639" s="1" t="s">
        <v>36</v>
      </c>
      <c r="G3639">
        <v>436654</v>
      </c>
      <c r="H3639" t="s">
        <v>9565</v>
      </c>
      <c r="I3639" t="s">
        <v>2413</v>
      </c>
      <c r="J3639">
        <v>30</v>
      </c>
      <c r="K3639">
        <v>2695</v>
      </c>
      <c r="L3639">
        <v>95000</v>
      </c>
      <c r="M3639" t="s">
        <v>69</v>
      </c>
      <c r="N3639">
        <v>691</v>
      </c>
      <c r="O3639" s="2">
        <v>46198</v>
      </c>
      <c r="P3639" s="2">
        <v>46329</v>
      </c>
      <c r="R3639" t="s">
        <v>9572</v>
      </c>
      <c r="S3639" t="str">
        <f>""</f>
        <v/>
      </c>
      <c r="T3639" t="s">
        <v>41</v>
      </c>
      <c r="U3639">
        <v>884.5</v>
      </c>
      <c r="V3639">
        <v>874.77</v>
      </c>
      <c r="W3639">
        <v>874.77</v>
      </c>
      <c r="X3639">
        <v>0</v>
      </c>
      <c r="Y3639">
        <v>0</v>
      </c>
      <c r="Z3639">
        <v>-554</v>
      </c>
      <c r="AA3639">
        <v>692474</v>
      </c>
      <c r="AD3639" t="s">
        <v>2278</v>
      </c>
      <c r="AE3639" t="s">
        <v>9567</v>
      </c>
      <c r="AF3639" t="s">
        <v>2278</v>
      </c>
      <c r="AG3639" s="1" t="s">
        <v>9568</v>
      </c>
      <c r="AH3639" t="s">
        <v>44</v>
      </c>
    </row>
    <row r="3640" spans="1:34" x14ac:dyDescent="0.3">
      <c r="A3640">
        <v>101</v>
      </c>
      <c r="B3640" t="s">
        <v>34</v>
      </c>
      <c r="C3640">
        <v>2</v>
      </c>
      <c r="D3640" s="1" t="s">
        <v>9573</v>
      </c>
      <c r="E3640" s="1" t="s">
        <v>36</v>
      </c>
      <c r="G3640">
        <v>436654</v>
      </c>
      <c r="H3640" t="s">
        <v>9565</v>
      </c>
      <c r="I3640" t="s">
        <v>2413</v>
      </c>
      <c r="J3640">
        <v>30</v>
      </c>
      <c r="K3640">
        <v>2695</v>
      </c>
      <c r="L3640">
        <v>95000</v>
      </c>
      <c r="M3640" t="s">
        <v>69</v>
      </c>
      <c r="N3640">
        <v>691</v>
      </c>
      <c r="O3640" s="2">
        <v>46171</v>
      </c>
      <c r="P3640" s="2">
        <v>46296</v>
      </c>
      <c r="R3640" t="s">
        <v>9574</v>
      </c>
      <c r="S3640" t="str">
        <f>""</f>
        <v/>
      </c>
      <c r="T3640" t="s">
        <v>41</v>
      </c>
      <c r="U3640">
        <v>19387.11</v>
      </c>
      <c r="V3640">
        <v>19173.849999999999</v>
      </c>
      <c r="W3640">
        <v>19173.849999999999</v>
      </c>
      <c r="X3640">
        <v>0</v>
      </c>
      <c r="Y3640">
        <v>0</v>
      </c>
      <c r="Z3640">
        <v>-521</v>
      </c>
      <c r="AA3640">
        <v>689146</v>
      </c>
      <c r="AD3640" t="s">
        <v>2278</v>
      </c>
      <c r="AE3640" t="s">
        <v>9567</v>
      </c>
      <c r="AF3640" t="s">
        <v>2278</v>
      </c>
      <c r="AG3640" s="1" t="s">
        <v>9568</v>
      </c>
      <c r="AH3640" t="s">
        <v>44</v>
      </c>
    </row>
    <row r="3641" spans="1:34" x14ac:dyDescent="0.3">
      <c r="A3641">
        <v>101</v>
      </c>
      <c r="B3641" t="s">
        <v>34</v>
      </c>
      <c r="C3641">
        <v>2</v>
      </c>
      <c r="D3641" s="1" t="s">
        <v>9575</v>
      </c>
      <c r="E3641" s="1" t="s">
        <v>36</v>
      </c>
      <c r="G3641">
        <v>436654</v>
      </c>
      <c r="H3641" t="s">
        <v>9565</v>
      </c>
      <c r="I3641" t="s">
        <v>2413</v>
      </c>
      <c r="J3641">
        <v>30</v>
      </c>
      <c r="K3641">
        <v>2695</v>
      </c>
      <c r="L3641">
        <v>95000</v>
      </c>
      <c r="M3641" t="s">
        <v>69</v>
      </c>
      <c r="N3641">
        <v>691</v>
      </c>
      <c r="O3641" s="2">
        <v>46141</v>
      </c>
      <c r="P3641" s="2">
        <v>46266</v>
      </c>
      <c r="R3641" t="s">
        <v>9576</v>
      </c>
      <c r="S3641" t="str">
        <f>""</f>
        <v/>
      </c>
      <c r="T3641" t="s">
        <v>41</v>
      </c>
      <c r="U3641">
        <v>3309.72</v>
      </c>
      <c r="V3641">
        <v>3273.31</v>
      </c>
      <c r="W3641">
        <v>3273.31</v>
      </c>
      <c r="X3641">
        <v>0</v>
      </c>
      <c r="Y3641">
        <v>0</v>
      </c>
      <c r="Z3641">
        <v>-491</v>
      </c>
      <c r="AA3641">
        <v>686544</v>
      </c>
      <c r="AD3641" t="s">
        <v>2278</v>
      </c>
      <c r="AE3641" t="s">
        <v>9567</v>
      </c>
      <c r="AF3641" t="s">
        <v>2278</v>
      </c>
      <c r="AG3641" s="1" t="s">
        <v>9568</v>
      </c>
      <c r="AH3641" t="s">
        <v>44</v>
      </c>
    </row>
    <row r="3642" spans="1:34" x14ac:dyDescent="0.3">
      <c r="A3642">
        <v>101</v>
      </c>
      <c r="B3642" t="s">
        <v>34</v>
      </c>
      <c r="C3642">
        <v>2</v>
      </c>
      <c r="D3642" s="1" t="s">
        <v>9577</v>
      </c>
      <c r="E3642" s="1" t="s">
        <v>36</v>
      </c>
      <c r="G3642">
        <v>436654</v>
      </c>
      <c r="H3642" t="s">
        <v>9565</v>
      </c>
      <c r="I3642" t="s">
        <v>2413</v>
      </c>
      <c r="J3642">
        <v>30</v>
      </c>
      <c r="K3642">
        <v>2695</v>
      </c>
      <c r="L3642">
        <v>95000</v>
      </c>
      <c r="M3642" t="s">
        <v>69</v>
      </c>
      <c r="N3642">
        <v>691</v>
      </c>
      <c r="O3642" s="2">
        <v>46171</v>
      </c>
      <c r="P3642" s="2">
        <v>46296</v>
      </c>
      <c r="R3642" t="s">
        <v>9578</v>
      </c>
      <c r="S3642" t="str">
        <f>""</f>
        <v/>
      </c>
      <c r="T3642" t="s">
        <v>41</v>
      </c>
      <c r="U3642">
        <v>585.36</v>
      </c>
      <c r="V3642">
        <v>578.91999999999996</v>
      </c>
      <c r="W3642">
        <v>578.91999999999996</v>
      </c>
      <c r="X3642">
        <v>0</v>
      </c>
      <c r="Y3642">
        <v>0</v>
      </c>
      <c r="Z3642">
        <v>-521</v>
      </c>
      <c r="AA3642">
        <v>689433</v>
      </c>
      <c r="AD3642" t="s">
        <v>2278</v>
      </c>
      <c r="AE3642" t="s">
        <v>9567</v>
      </c>
      <c r="AF3642" t="s">
        <v>2278</v>
      </c>
      <c r="AG3642" s="1" t="s">
        <v>9568</v>
      </c>
      <c r="AH3642" t="s">
        <v>44</v>
      </c>
    </row>
    <row r="3643" spans="1:34" x14ac:dyDescent="0.3">
      <c r="A3643">
        <v>101</v>
      </c>
      <c r="B3643" t="s">
        <v>34</v>
      </c>
      <c r="C3643">
        <v>2</v>
      </c>
      <c r="D3643" s="1" t="s">
        <v>9579</v>
      </c>
      <c r="E3643" s="1" t="s">
        <v>36</v>
      </c>
      <c r="G3643">
        <v>436654</v>
      </c>
      <c r="H3643" t="s">
        <v>9565</v>
      </c>
      <c r="I3643" t="s">
        <v>2413</v>
      </c>
      <c r="J3643">
        <v>30</v>
      </c>
      <c r="K3643">
        <v>2695</v>
      </c>
      <c r="L3643">
        <v>95000</v>
      </c>
      <c r="M3643" t="s">
        <v>69</v>
      </c>
      <c r="N3643">
        <v>691</v>
      </c>
      <c r="O3643" s="2">
        <v>46239</v>
      </c>
      <c r="P3643" s="2">
        <v>46329</v>
      </c>
      <c r="R3643" t="s">
        <v>9580</v>
      </c>
      <c r="S3643" t="str">
        <f>""</f>
        <v/>
      </c>
      <c r="T3643" t="s">
        <v>41</v>
      </c>
      <c r="U3643">
        <v>1295.0999999999999</v>
      </c>
      <c r="V3643">
        <v>1280.8499999999999</v>
      </c>
      <c r="W3643">
        <v>1280.8499999999999</v>
      </c>
      <c r="X3643">
        <v>0</v>
      </c>
      <c r="Y3643">
        <v>0</v>
      </c>
      <c r="Z3643">
        <v>-554</v>
      </c>
      <c r="AA3643">
        <v>696157</v>
      </c>
      <c r="AD3643" t="s">
        <v>2278</v>
      </c>
      <c r="AE3643" t="s">
        <v>9567</v>
      </c>
      <c r="AF3643" t="s">
        <v>2278</v>
      </c>
      <c r="AG3643" s="1" t="s">
        <v>9568</v>
      </c>
      <c r="AH3643" t="s">
        <v>44</v>
      </c>
    </row>
    <row r="3644" spans="1:34" x14ac:dyDescent="0.3">
      <c r="A3644">
        <v>101</v>
      </c>
      <c r="B3644" t="s">
        <v>34</v>
      </c>
      <c r="C3644">
        <v>2</v>
      </c>
      <c r="D3644" s="1" t="s">
        <v>9581</v>
      </c>
      <c r="E3644" s="1" t="s">
        <v>36</v>
      </c>
      <c r="G3644">
        <v>436655</v>
      </c>
      <c r="H3644" t="s">
        <v>9582</v>
      </c>
      <c r="I3644" t="s">
        <v>2413</v>
      </c>
      <c r="J3644">
        <v>30</v>
      </c>
      <c r="K3644">
        <v>2695</v>
      </c>
      <c r="L3644">
        <v>95000</v>
      </c>
      <c r="M3644" t="s">
        <v>69</v>
      </c>
      <c r="N3644">
        <v>691</v>
      </c>
      <c r="O3644" s="2">
        <v>46140</v>
      </c>
      <c r="P3644" s="2">
        <v>46255</v>
      </c>
      <c r="R3644" t="s">
        <v>9583</v>
      </c>
      <c r="S3644" t="str">
        <f>""</f>
        <v/>
      </c>
      <c r="T3644" t="s">
        <v>41</v>
      </c>
      <c r="U3644">
        <v>8372.4699999999993</v>
      </c>
      <c r="V3644">
        <v>8280.3700000000008</v>
      </c>
      <c r="W3644">
        <v>8280.3700000000008</v>
      </c>
      <c r="X3644">
        <v>0</v>
      </c>
      <c r="Y3644">
        <v>0</v>
      </c>
      <c r="Z3644">
        <v>-480</v>
      </c>
      <c r="AA3644">
        <v>686673</v>
      </c>
      <c r="AD3644" t="s">
        <v>3327</v>
      </c>
      <c r="AE3644" t="s">
        <v>9584</v>
      </c>
      <c r="AF3644" t="s">
        <v>3327</v>
      </c>
      <c r="AG3644" s="1" t="s">
        <v>9585</v>
      </c>
      <c r="AH3644" t="s">
        <v>44</v>
      </c>
    </row>
    <row r="3645" spans="1:34" x14ac:dyDescent="0.3">
      <c r="A3645">
        <v>101</v>
      </c>
      <c r="B3645" t="s">
        <v>34</v>
      </c>
      <c r="C3645">
        <v>2</v>
      </c>
      <c r="D3645" s="1" t="s">
        <v>9586</v>
      </c>
      <c r="E3645" s="1" t="s">
        <v>36</v>
      </c>
      <c r="G3645">
        <v>436655</v>
      </c>
      <c r="H3645" t="s">
        <v>9582</v>
      </c>
      <c r="I3645" t="s">
        <v>2413</v>
      </c>
      <c r="J3645">
        <v>30</v>
      </c>
      <c r="K3645">
        <v>2695</v>
      </c>
      <c r="L3645">
        <v>95000</v>
      </c>
      <c r="M3645" t="s">
        <v>69</v>
      </c>
      <c r="N3645">
        <v>691</v>
      </c>
      <c r="O3645" s="2">
        <v>46185</v>
      </c>
      <c r="P3645" s="2">
        <v>46296</v>
      </c>
      <c r="R3645" t="s">
        <v>9587</v>
      </c>
      <c r="S3645" t="str">
        <f>""</f>
        <v/>
      </c>
      <c r="T3645" t="s">
        <v>41</v>
      </c>
      <c r="U3645">
        <v>2846.4</v>
      </c>
      <c r="V3645">
        <v>2815.09</v>
      </c>
      <c r="W3645">
        <v>2815.09</v>
      </c>
      <c r="X3645">
        <v>0</v>
      </c>
      <c r="Y3645">
        <v>0</v>
      </c>
      <c r="Z3645">
        <v>-521</v>
      </c>
      <c r="AA3645">
        <v>689274</v>
      </c>
      <c r="AD3645" t="s">
        <v>3327</v>
      </c>
      <c r="AE3645" t="s">
        <v>9584</v>
      </c>
      <c r="AF3645" t="s">
        <v>3327</v>
      </c>
      <c r="AG3645" s="1" t="s">
        <v>9585</v>
      </c>
      <c r="AH3645" t="s">
        <v>44</v>
      </c>
    </row>
    <row r="3646" spans="1:34" x14ac:dyDescent="0.3">
      <c r="A3646">
        <v>101</v>
      </c>
      <c r="B3646" t="s">
        <v>34</v>
      </c>
      <c r="C3646">
        <v>2</v>
      </c>
      <c r="D3646" s="1" t="s">
        <v>9588</v>
      </c>
      <c r="E3646" s="1" t="s">
        <v>36</v>
      </c>
      <c r="G3646">
        <v>436655</v>
      </c>
      <c r="H3646" t="s">
        <v>9582</v>
      </c>
      <c r="I3646" t="s">
        <v>2413</v>
      </c>
      <c r="J3646">
        <v>30</v>
      </c>
      <c r="K3646">
        <v>2695</v>
      </c>
      <c r="L3646">
        <v>95000</v>
      </c>
      <c r="M3646" t="s">
        <v>69</v>
      </c>
      <c r="N3646">
        <v>691</v>
      </c>
      <c r="O3646" s="2">
        <v>46170</v>
      </c>
      <c r="P3646" s="2">
        <v>46296</v>
      </c>
      <c r="R3646" t="s">
        <v>9589</v>
      </c>
      <c r="S3646" t="str">
        <f>""</f>
        <v/>
      </c>
      <c r="T3646" t="s">
        <v>41</v>
      </c>
      <c r="U3646">
        <v>13476.47</v>
      </c>
      <c r="V3646">
        <v>13328.23</v>
      </c>
      <c r="W3646">
        <v>13328.23</v>
      </c>
      <c r="X3646">
        <v>0</v>
      </c>
      <c r="Y3646">
        <v>0</v>
      </c>
      <c r="Z3646">
        <v>-521</v>
      </c>
      <c r="AA3646">
        <v>689274</v>
      </c>
      <c r="AD3646" t="s">
        <v>3327</v>
      </c>
      <c r="AE3646" t="s">
        <v>9584</v>
      </c>
      <c r="AF3646" t="s">
        <v>3327</v>
      </c>
      <c r="AG3646" s="1" t="s">
        <v>9585</v>
      </c>
      <c r="AH3646" t="s">
        <v>44</v>
      </c>
    </row>
    <row r="3647" spans="1:34" x14ac:dyDescent="0.3">
      <c r="A3647">
        <v>101</v>
      </c>
      <c r="B3647" t="s">
        <v>34</v>
      </c>
      <c r="C3647">
        <v>2</v>
      </c>
      <c r="D3647" s="1" t="s">
        <v>9590</v>
      </c>
      <c r="E3647" s="1" t="s">
        <v>36</v>
      </c>
      <c r="G3647">
        <v>436655</v>
      </c>
      <c r="H3647" t="s">
        <v>9582</v>
      </c>
      <c r="I3647" t="s">
        <v>2413</v>
      </c>
      <c r="J3647">
        <v>30</v>
      </c>
      <c r="K3647">
        <v>2695</v>
      </c>
      <c r="L3647">
        <v>95000</v>
      </c>
      <c r="M3647" t="s">
        <v>69</v>
      </c>
      <c r="N3647">
        <v>691</v>
      </c>
      <c r="O3647" s="2">
        <v>46197</v>
      </c>
      <c r="P3647" s="2">
        <v>46316</v>
      </c>
      <c r="R3647" t="s">
        <v>9591</v>
      </c>
      <c r="S3647" t="str">
        <f>""</f>
        <v/>
      </c>
      <c r="T3647" t="s">
        <v>41</v>
      </c>
      <c r="U3647">
        <v>18250.810000000001</v>
      </c>
      <c r="V3647">
        <v>18050.05</v>
      </c>
      <c r="W3647">
        <v>18050.05</v>
      </c>
      <c r="X3647">
        <v>0</v>
      </c>
      <c r="Y3647">
        <v>0</v>
      </c>
      <c r="Z3647">
        <v>-541</v>
      </c>
      <c r="AA3647">
        <v>692236</v>
      </c>
      <c r="AD3647" t="s">
        <v>3327</v>
      </c>
      <c r="AE3647" t="s">
        <v>9584</v>
      </c>
      <c r="AF3647" t="s">
        <v>3327</v>
      </c>
      <c r="AG3647" s="1" t="s">
        <v>9585</v>
      </c>
      <c r="AH3647" t="s">
        <v>44</v>
      </c>
    </row>
    <row r="3648" spans="1:34" x14ac:dyDescent="0.3">
      <c r="A3648">
        <v>101</v>
      </c>
      <c r="B3648" t="s">
        <v>34</v>
      </c>
      <c r="C3648">
        <v>2</v>
      </c>
      <c r="D3648" s="1" t="s">
        <v>9592</v>
      </c>
      <c r="E3648" s="1" t="s">
        <v>36</v>
      </c>
      <c r="G3648">
        <v>436655</v>
      </c>
      <c r="H3648" t="s">
        <v>9582</v>
      </c>
      <c r="I3648" t="s">
        <v>2413</v>
      </c>
      <c r="J3648">
        <v>30</v>
      </c>
      <c r="K3648">
        <v>2695</v>
      </c>
      <c r="L3648">
        <v>95000</v>
      </c>
      <c r="M3648" t="s">
        <v>69</v>
      </c>
      <c r="N3648">
        <v>691</v>
      </c>
      <c r="O3648" s="2">
        <v>46226</v>
      </c>
      <c r="P3648" s="2">
        <v>46337</v>
      </c>
      <c r="R3648" t="s">
        <v>9593</v>
      </c>
      <c r="S3648" t="str">
        <f>""</f>
        <v/>
      </c>
      <c r="T3648" t="s">
        <v>41</v>
      </c>
      <c r="U3648">
        <v>2739</v>
      </c>
      <c r="V3648">
        <v>2708.87</v>
      </c>
      <c r="W3648">
        <v>2708.87</v>
      </c>
      <c r="X3648">
        <v>0</v>
      </c>
      <c r="Y3648">
        <v>0</v>
      </c>
      <c r="Z3648">
        <v>-562</v>
      </c>
      <c r="AA3648">
        <v>694853</v>
      </c>
      <c r="AD3648" t="s">
        <v>3327</v>
      </c>
      <c r="AE3648" t="s">
        <v>9584</v>
      </c>
      <c r="AF3648" t="s">
        <v>3327</v>
      </c>
      <c r="AG3648" s="1" t="s">
        <v>9585</v>
      </c>
      <c r="AH3648" t="s">
        <v>44</v>
      </c>
    </row>
    <row r="3649" spans="1:34" x14ac:dyDescent="0.3">
      <c r="A3649">
        <v>101</v>
      </c>
      <c r="B3649" t="s">
        <v>34</v>
      </c>
      <c r="C3649">
        <v>2</v>
      </c>
      <c r="D3649" s="1" t="s">
        <v>9594</v>
      </c>
      <c r="E3649" s="1" t="s">
        <v>36</v>
      </c>
      <c r="G3649">
        <v>436656</v>
      </c>
      <c r="H3649" t="s">
        <v>9595</v>
      </c>
      <c r="I3649" t="s">
        <v>2413</v>
      </c>
      <c r="J3649">
        <v>30</v>
      </c>
      <c r="K3649">
        <v>2695</v>
      </c>
      <c r="L3649">
        <v>95000</v>
      </c>
      <c r="M3649" t="s">
        <v>69</v>
      </c>
      <c r="N3649">
        <v>691</v>
      </c>
      <c r="O3649" s="2">
        <v>46197</v>
      </c>
      <c r="P3649" s="2">
        <v>46296</v>
      </c>
      <c r="R3649" t="s">
        <v>9596</v>
      </c>
      <c r="S3649" t="str">
        <f>""</f>
        <v/>
      </c>
      <c r="T3649" t="s">
        <v>41</v>
      </c>
      <c r="U3649">
        <v>3961.41</v>
      </c>
      <c r="V3649">
        <v>3917.83</v>
      </c>
      <c r="W3649">
        <v>3917.83</v>
      </c>
      <c r="X3649">
        <v>0</v>
      </c>
      <c r="Y3649">
        <v>0</v>
      </c>
      <c r="Z3649">
        <v>-521</v>
      </c>
      <c r="AA3649">
        <v>692238</v>
      </c>
      <c r="AD3649" t="s">
        <v>3228</v>
      </c>
      <c r="AE3649" t="s">
        <v>9597</v>
      </c>
      <c r="AF3649" t="s">
        <v>3228</v>
      </c>
      <c r="AG3649" s="1" t="s">
        <v>9598</v>
      </c>
      <c r="AH3649" t="s">
        <v>44</v>
      </c>
    </row>
    <row r="3650" spans="1:34" x14ac:dyDescent="0.3">
      <c r="A3650">
        <v>101</v>
      </c>
      <c r="B3650" t="s">
        <v>34</v>
      </c>
      <c r="C3650">
        <v>2</v>
      </c>
      <c r="D3650" s="1" t="s">
        <v>9599</v>
      </c>
      <c r="E3650" s="1" t="s">
        <v>36</v>
      </c>
      <c r="G3650">
        <v>436656</v>
      </c>
      <c r="H3650" t="s">
        <v>9595</v>
      </c>
      <c r="I3650" t="s">
        <v>2413</v>
      </c>
      <c r="J3650">
        <v>30</v>
      </c>
      <c r="K3650">
        <v>2695</v>
      </c>
      <c r="L3650">
        <v>95000</v>
      </c>
      <c r="M3650" t="s">
        <v>69</v>
      </c>
      <c r="N3650">
        <v>691</v>
      </c>
      <c r="O3650" s="2">
        <v>46140</v>
      </c>
      <c r="P3650" s="2">
        <v>46255</v>
      </c>
      <c r="R3650" t="s">
        <v>9600</v>
      </c>
      <c r="S3650" t="str">
        <f>""</f>
        <v/>
      </c>
      <c r="T3650" t="s">
        <v>41</v>
      </c>
      <c r="U3650">
        <v>5090.1400000000003</v>
      </c>
      <c r="V3650">
        <v>5034.1499999999996</v>
      </c>
      <c r="W3650">
        <v>5034.1499999999996</v>
      </c>
      <c r="X3650">
        <v>0</v>
      </c>
      <c r="Y3650">
        <v>0</v>
      </c>
      <c r="Z3650">
        <v>-480</v>
      </c>
      <c r="AA3650">
        <v>686675</v>
      </c>
      <c r="AD3650" t="s">
        <v>3228</v>
      </c>
      <c r="AE3650" t="s">
        <v>9597</v>
      </c>
      <c r="AF3650" t="s">
        <v>3228</v>
      </c>
      <c r="AG3650" s="1" t="s">
        <v>9598</v>
      </c>
      <c r="AH3650" t="s">
        <v>44</v>
      </c>
    </row>
    <row r="3651" spans="1:34" x14ac:dyDescent="0.3">
      <c r="A3651">
        <v>101</v>
      </c>
      <c r="B3651" t="s">
        <v>34</v>
      </c>
      <c r="C3651">
        <v>2</v>
      </c>
      <c r="D3651" s="1" t="s">
        <v>9601</v>
      </c>
      <c r="E3651" s="1" t="s">
        <v>36</v>
      </c>
      <c r="G3651">
        <v>436656</v>
      </c>
      <c r="H3651" t="s">
        <v>9595</v>
      </c>
      <c r="I3651" t="s">
        <v>2413</v>
      </c>
      <c r="J3651">
        <v>30</v>
      </c>
      <c r="K3651">
        <v>2695</v>
      </c>
      <c r="L3651">
        <v>95000</v>
      </c>
      <c r="M3651" t="s">
        <v>69</v>
      </c>
      <c r="N3651">
        <v>691</v>
      </c>
      <c r="O3651" s="2">
        <v>46171</v>
      </c>
      <c r="P3651" s="2">
        <v>46276</v>
      </c>
      <c r="R3651" t="s">
        <v>9602</v>
      </c>
      <c r="S3651" t="str">
        <f>""</f>
        <v/>
      </c>
      <c r="T3651" t="s">
        <v>41</v>
      </c>
      <c r="U3651">
        <v>2846.4</v>
      </c>
      <c r="V3651">
        <v>2815.09</v>
      </c>
      <c r="W3651">
        <v>2815.09</v>
      </c>
      <c r="X3651">
        <v>0</v>
      </c>
      <c r="Y3651">
        <v>0</v>
      </c>
      <c r="Z3651">
        <v>-501</v>
      </c>
      <c r="AA3651">
        <v>689276</v>
      </c>
      <c r="AD3651" t="s">
        <v>3228</v>
      </c>
      <c r="AE3651" t="s">
        <v>9597</v>
      </c>
      <c r="AF3651" t="s">
        <v>3228</v>
      </c>
      <c r="AG3651" s="1" t="s">
        <v>9598</v>
      </c>
      <c r="AH3651" t="s">
        <v>44</v>
      </c>
    </row>
    <row r="3652" spans="1:34" x14ac:dyDescent="0.3">
      <c r="A3652">
        <v>101</v>
      </c>
      <c r="B3652" t="s">
        <v>34</v>
      </c>
      <c r="C3652">
        <v>2</v>
      </c>
      <c r="D3652" s="1" t="s">
        <v>9603</v>
      </c>
      <c r="E3652" s="1" t="s">
        <v>36</v>
      </c>
      <c r="G3652">
        <v>436656</v>
      </c>
      <c r="H3652" t="s">
        <v>9595</v>
      </c>
      <c r="I3652" t="s">
        <v>2413</v>
      </c>
      <c r="J3652">
        <v>30</v>
      </c>
      <c r="K3652">
        <v>2695</v>
      </c>
      <c r="L3652">
        <v>95000</v>
      </c>
      <c r="M3652" t="s">
        <v>69</v>
      </c>
      <c r="N3652">
        <v>691</v>
      </c>
      <c r="O3652" s="2">
        <v>46170</v>
      </c>
      <c r="P3652" s="2">
        <v>46276</v>
      </c>
      <c r="R3652" t="s">
        <v>9604</v>
      </c>
      <c r="S3652" t="str">
        <f>""</f>
        <v/>
      </c>
      <c r="T3652" t="s">
        <v>41</v>
      </c>
      <c r="U3652">
        <v>7321.15</v>
      </c>
      <c r="V3652">
        <v>7240.62</v>
      </c>
      <c r="W3652">
        <v>7240.62</v>
      </c>
      <c r="X3652">
        <v>0</v>
      </c>
      <c r="Y3652">
        <v>0</v>
      </c>
      <c r="Z3652">
        <v>-501</v>
      </c>
      <c r="AA3652">
        <v>689276</v>
      </c>
      <c r="AD3652" t="s">
        <v>3228</v>
      </c>
      <c r="AE3652" t="s">
        <v>9597</v>
      </c>
      <c r="AF3652" t="s">
        <v>3228</v>
      </c>
      <c r="AG3652" s="1" t="s">
        <v>9598</v>
      </c>
      <c r="AH3652" t="s">
        <v>44</v>
      </c>
    </row>
    <row r="3653" spans="1:34" x14ac:dyDescent="0.3">
      <c r="A3653">
        <v>101</v>
      </c>
      <c r="B3653" t="s">
        <v>34</v>
      </c>
      <c r="C3653">
        <v>2</v>
      </c>
      <c r="D3653" s="1" t="s">
        <v>9605</v>
      </c>
      <c r="E3653" s="1" t="s">
        <v>36</v>
      </c>
      <c r="G3653">
        <v>436657</v>
      </c>
      <c r="H3653" t="s">
        <v>9606</v>
      </c>
      <c r="I3653" t="s">
        <v>2413</v>
      </c>
      <c r="J3653">
        <v>30</v>
      </c>
      <c r="K3653">
        <v>2695</v>
      </c>
      <c r="L3653">
        <v>95000</v>
      </c>
      <c r="M3653" t="s">
        <v>69</v>
      </c>
      <c r="N3653">
        <v>691</v>
      </c>
      <c r="O3653" s="2">
        <v>46171</v>
      </c>
      <c r="P3653" s="2">
        <v>46276</v>
      </c>
      <c r="R3653" t="s">
        <v>9607</v>
      </c>
      <c r="S3653" t="str">
        <f>""</f>
        <v/>
      </c>
      <c r="T3653" t="s">
        <v>41</v>
      </c>
      <c r="U3653">
        <v>2846.4</v>
      </c>
      <c r="V3653">
        <v>2815.09</v>
      </c>
      <c r="W3653">
        <v>2815.09</v>
      </c>
      <c r="X3653">
        <v>0</v>
      </c>
      <c r="Y3653">
        <v>0</v>
      </c>
      <c r="Z3653">
        <v>-501</v>
      </c>
      <c r="AA3653">
        <v>689278</v>
      </c>
      <c r="AD3653" t="s">
        <v>64</v>
      </c>
      <c r="AE3653" t="s">
        <v>9608</v>
      </c>
      <c r="AF3653" t="s">
        <v>64</v>
      </c>
      <c r="AG3653" s="1" t="s">
        <v>9609</v>
      </c>
      <c r="AH3653" t="s">
        <v>44</v>
      </c>
    </row>
    <row r="3654" spans="1:34" x14ac:dyDescent="0.3">
      <c r="A3654">
        <v>101</v>
      </c>
      <c r="B3654" t="s">
        <v>34</v>
      </c>
      <c r="C3654">
        <v>2</v>
      </c>
      <c r="D3654" s="1" t="s">
        <v>9610</v>
      </c>
      <c r="E3654" s="1" t="s">
        <v>36</v>
      </c>
      <c r="G3654">
        <v>436657</v>
      </c>
      <c r="H3654" t="s">
        <v>9606</v>
      </c>
      <c r="I3654" t="s">
        <v>2413</v>
      </c>
      <c r="J3654">
        <v>30</v>
      </c>
      <c r="K3654">
        <v>2695</v>
      </c>
      <c r="L3654">
        <v>95000</v>
      </c>
      <c r="M3654" t="s">
        <v>69</v>
      </c>
      <c r="N3654">
        <v>691</v>
      </c>
      <c r="O3654" s="2">
        <v>46170</v>
      </c>
      <c r="P3654" s="2">
        <v>46276</v>
      </c>
      <c r="R3654" t="s">
        <v>9611</v>
      </c>
      <c r="S3654" t="str">
        <f>""</f>
        <v/>
      </c>
      <c r="T3654" t="s">
        <v>41</v>
      </c>
      <c r="U3654">
        <v>11323.77</v>
      </c>
      <c r="V3654">
        <v>11199.21</v>
      </c>
      <c r="W3654">
        <v>11199.21</v>
      </c>
      <c r="X3654">
        <v>0</v>
      </c>
      <c r="Y3654">
        <v>0</v>
      </c>
      <c r="Z3654">
        <v>-501</v>
      </c>
      <c r="AA3654">
        <v>689278</v>
      </c>
      <c r="AD3654" t="s">
        <v>64</v>
      </c>
      <c r="AE3654" t="s">
        <v>9608</v>
      </c>
      <c r="AF3654" t="s">
        <v>64</v>
      </c>
      <c r="AG3654" s="1" t="s">
        <v>9609</v>
      </c>
      <c r="AH3654" t="s">
        <v>44</v>
      </c>
    </row>
    <row r="3655" spans="1:34" x14ac:dyDescent="0.3">
      <c r="A3655">
        <v>101</v>
      </c>
      <c r="B3655" t="s">
        <v>34</v>
      </c>
      <c r="C3655">
        <v>2</v>
      </c>
      <c r="D3655" s="1" t="s">
        <v>9612</v>
      </c>
      <c r="E3655" s="1" t="s">
        <v>36</v>
      </c>
      <c r="G3655">
        <v>436657</v>
      </c>
      <c r="H3655" t="s">
        <v>9606</v>
      </c>
      <c r="I3655" t="s">
        <v>2413</v>
      </c>
      <c r="J3655">
        <v>30</v>
      </c>
      <c r="K3655">
        <v>2695</v>
      </c>
      <c r="L3655">
        <v>95000</v>
      </c>
      <c r="M3655" t="s">
        <v>69</v>
      </c>
      <c r="N3655">
        <v>691</v>
      </c>
      <c r="O3655" s="2">
        <v>46140</v>
      </c>
      <c r="P3655" s="2">
        <v>46255</v>
      </c>
      <c r="R3655" t="s">
        <v>9613</v>
      </c>
      <c r="S3655" t="str">
        <f>""</f>
        <v/>
      </c>
      <c r="T3655" t="s">
        <v>41</v>
      </c>
      <c r="U3655">
        <v>9240.3799999999992</v>
      </c>
      <c r="V3655">
        <v>9138.74</v>
      </c>
      <c r="W3655">
        <v>9138.74</v>
      </c>
      <c r="X3655">
        <v>0</v>
      </c>
      <c r="Y3655">
        <v>0</v>
      </c>
      <c r="Z3655">
        <v>-480</v>
      </c>
      <c r="AA3655">
        <v>686677</v>
      </c>
      <c r="AD3655" t="s">
        <v>64</v>
      </c>
      <c r="AE3655" t="s">
        <v>9608</v>
      </c>
      <c r="AF3655" t="s">
        <v>64</v>
      </c>
      <c r="AG3655" s="1" t="s">
        <v>9609</v>
      </c>
      <c r="AH3655" t="s">
        <v>44</v>
      </c>
    </row>
    <row r="3656" spans="1:34" x14ac:dyDescent="0.3">
      <c r="A3656">
        <v>101</v>
      </c>
      <c r="B3656" t="s">
        <v>34</v>
      </c>
      <c r="C3656">
        <v>2</v>
      </c>
      <c r="D3656" s="1" t="s">
        <v>9614</v>
      </c>
      <c r="E3656" s="1" t="s">
        <v>36</v>
      </c>
      <c r="G3656">
        <v>436657</v>
      </c>
      <c r="H3656" t="s">
        <v>9606</v>
      </c>
      <c r="I3656" t="s">
        <v>2413</v>
      </c>
      <c r="J3656">
        <v>30</v>
      </c>
      <c r="K3656">
        <v>2695</v>
      </c>
      <c r="L3656">
        <v>95000</v>
      </c>
      <c r="M3656" t="s">
        <v>69</v>
      </c>
      <c r="N3656">
        <v>691</v>
      </c>
      <c r="O3656" s="2">
        <v>46226</v>
      </c>
      <c r="P3656" s="2">
        <v>46316</v>
      </c>
      <c r="R3656" t="s">
        <v>9615</v>
      </c>
      <c r="S3656" t="str">
        <f>""</f>
        <v/>
      </c>
      <c r="T3656" t="s">
        <v>41</v>
      </c>
      <c r="U3656">
        <v>4047.49</v>
      </c>
      <c r="V3656">
        <v>4002.97</v>
      </c>
      <c r="W3656">
        <v>4002.97</v>
      </c>
      <c r="X3656">
        <v>0</v>
      </c>
      <c r="Y3656">
        <v>0</v>
      </c>
      <c r="Z3656">
        <v>-541</v>
      </c>
      <c r="AA3656">
        <v>694857</v>
      </c>
      <c r="AD3656" t="s">
        <v>64</v>
      </c>
      <c r="AE3656" t="s">
        <v>9608</v>
      </c>
      <c r="AF3656" t="s">
        <v>64</v>
      </c>
      <c r="AG3656" s="1" t="s">
        <v>9609</v>
      </c>
      <c r="AH3656" t="s">
        <v>44</v>
      </c>
    </row>
    <row r="3657" spans="1:34" x14ac:dyDescent="0.3">
      <c r="A3657">
        <v>101</v>
      </c>
      <c r="B3657" t="s">
        <v>34</v>
      </c>
      <c r="C3657">
        <v>2</v>
      </c>
      <c r="D3657" s="1" t="s">
        <v>9616</v>
      </c>
      <c r="E3657" s="1" t="s">
        <v>36</v>
      </c>
      <c r="G3657">
        <v>436658</v>
      </c>
      <c r="H3657" t="s">
        <v>9617</v>
      </c>
      <c r="I3657" t="s">
        <v>2413</v>
      </c>
      <c r="J3657">
        <v>30</v>
      </c>
      <c r="K3657">
        <v>2695</v>
      </c>
      <c r="L3657">
        <v>95000</v>
      </c>
      <c r="M3657" t="s">
        <v>69</v>
      </c>
      <c r="N3657">
        <v>691</v>
      </c>
      <c r="O3657" s="2">
        <v>46239</v>
      </c>
      <c r="P3657" s="2">
        <v>46329</v>
      </c>
      <c r="R3657" t="s">
        <v>9618</v>
      </c>
      <c r="S3657" t="str">
        <f>""</f>
        <v/>
      </c>
      <c r="T3657" t="s">
        <v>41</v>
      </c>
      <c r="U3657">
        <v>3376.74</v>
      </c>
      <c r="V3657">
        <v>3339.6</v>
      </c>
      <c r="W3657">
        <v>3339.6</v>
      </c>
      <c r="X3657">
        <v>0</v>
      </c>
      <c r="Y3657">
        <v>0</v>
      </c>
      <c r="Z3657">
        <v>-554</v>
      </c>
      <c r="AA3657">
        <v>696159</v>
      </c>
      <c r="AD3657" t="s">
        <v>64</v>
      </c>
      <c r="AE3657" t="s">
        <v>9619</v>
      </c>
      <c r="AF3657" t="s">
        <v>64</v>
      </c>
      <c r="AG3657" s="1" t="s">
        <v>9620</v>
      </c>
      <c r="AH3657" t="s">
        <v>44</v>
      </c>
    </row>
    <row r="3658" spans="1:34" x14ac:dyDescent="0.3">
      <c r="A3658">
        <v>101</v>
      </c>
      <c r="B3658" t="s">
        <v>34</v>
      </c>
      <c r="C3658">
        <v>2</v>
      </c>
      <c r="D3658" s="1" t="s">
        <v>9621</v>
      </c>
      <c r="E3658" s="1" t="s">
        <v>36</v>
      </c>
      <c r="G3658">
        <v>436658</v>
      </c>
      <c r="H3658" t="s">
        <v>9617</v>
      </c>
      <c r="I3658" t="s">
        <v>2413</v>
      </c>
      <c r="J3658">
        <v>30</v>
      </c>
      <c r="K3658">
        <v>2695</v>
      </c>
      <c r="L3658">
        <v>95000</v>
      </c>
      <c r="M3658" t="s">
        <v>69</v>
      </c>
      <c r="N3658">
        <v>691</v>
      </c>
      <c r="O3658" s="2">
        <v>46199</v>
      </c>
      <c r="P3658" s="2">
        <v>46308</v>
      </c>
      <c r="R3658" t="s">
        <v>9622</v>
      </c>
      <c r="S3658" t="str">
        <f>""</f>
        <v/>
      </c>
      <c r="T3658" t="s">
        <v>41</v>
      </c>
      <c r="U3658">
        <v>1769</v>
      </c>
      <c r="V3658">
        <v>1749.54</v>
      </c>
      <c r="W3658">
        <v>1749.54</v>
      </c>
      <c r="X3658">
        <v>0</v>
      </c>
      <c r="Y3658">
        <v>0</v>
      </c>
      <c r="Z3658">
        <v>-533</v>
      </c>
      <c r="AA3658">
        <v>692476</v>
      </c>
      <c r="AD3658" t="s">
        <v>64</v>
      </c>
      <c r="AE3658" t="s">
        <v>9619</v>
      </c>
      <c r="AF3658" t="s">
        <v>64</v>
      </c>
      <c r="AG3658" s="1" t="s">
        <v>9620</v>
      </c>
      <c r="AH3658" t="s">
        <v>44</v>
      </c>
    </row>
    <row r="3659" spans="1:34" x14ac:dyDescent="0.3">
      <c r="A3659">
        <v>101</v>
      </c>
      <c r="B3659" t="s">
        <v>34</v>
      </c>
      <c r="C3659">
        <v>2</v>
      </c>
      <c r="D3659" s="1" t="s">
        <v>9623</v>
      </c>
      <c r="E3659" s="1" t="s">
        <v>36</v>
      </c>
      <c r="G3659">
        <v>436658</v>
      </c>
      <c r="H3659" t="s">
        <v>9617</v>
      </c>
      <c r="I3659" t="s">
        <v>2413</v>
      </c>
      <c r="J3659">
        <v>30</v>
      </c>
      <c r="K3659">
        <v>2695</v>
      </c>
      <c r="L3659">
        <v>95000</v>
      </c>
      <c r="M3659" t="s">
        <v>69</v>
      </c>
      <c r="N3659">
        <v>691</v>
      </c>
      <c r="O3659" s="2">
        <v>46170</v>
      </c>
      <c r="P3659" s="2">
        <v>46276</v>
      </c>
      <c r="R3659" t="s">
        <v>9624</v>
      </c>
      <c r="S3659" t="str">
        <f>""</f>
        <v/>
      </c>
      <c r="T3659" t="s">
        <v>41</v>
      </c>
      <c r="U3659">
        <v>21447.87</v>
      </c>
      <c r="V3659">
        <v>21211.94</v>
      </c>
      <c r="W3659">
        <v>21211.94</v>
      </c>
      <c r="X3659">
        <v>0</v>
      </c>
      <c r="Y3659">
        <v>0</v>
      </c>
      <c r="Z3659">
        <v>-501</v>
      </c>
      <c r="AA3659">
        <v>689148</v>
      </c>
      <c r="AD3659" t="s">
        <v>64</v>
      </c>
      <c r="AE3659" t="s">
        <v>9619</v>
      </c>
      <c r="AF3659" t="s">
        <v>64</v>
      </c>
      <c r="AG3659" s="1" t="s">
        <v>9620</v>
      </c>
      <c r="AH3659" t="s">
        <v>44</v>
      </c>
    </row>
    <row r="3660" spans="1:34" x14ac:dyDescent="0.3">
      <c r="A3660">
        <v>101</v>
      </c>
      <c r="B3660" t="s">
        <v>34</v>
      </c>
      <c r="C3660">
        <v>2</v>
      </c>
      <c r="D3660" s="1" t="s">
        <v>9625</v>
      </c>
      <c r="E3660" s="1" t="s">
        <v>36</v>
      </c>
      <c r="G3660">
        <v>436658</v>
      </c>
      <c r="H3660" t="s">
        <v>9617</v>
      </c>
      <c r="I3660" t="s">
        <v>2413</v>
      </c>
      <c r="J3660">
        <v>30</v>
      </c>
      <c r="K3660">
        <v>2695</v>
      </c>
      <c r="L3660">
        <v>95000</v>
      </c>
      <c r="M3660" t="s">
        <v>69</v>
      </c>
      <c r="N3660">
        <v>691</v>
      </c>
      <c r="O3660" s="2">
        <v>46199</v>
      </c>
      <c r="P3660" s="2">
        <v>46308</v>
      </c>
      <c r="R3660" t="s">
        <v>9626</v>
      </c>
      <c r="S3660" t="str">
        <f>""</f>
        <v/>
      </c>
      <c r="T3660" t="s">
        <v>41</v>
      </c>
      <c r="U3660">
        <v>431.12</v>
      </c>
      <c r="V3660">
        <v>426.38</v>
      </c>
      <c r="W3660">
        <v>426.38</v>
      </c>
      <c r="X3660">
        <v>0</v>
      </c>
      <c r="Y3660">
        <v>0</v>
      </c>
      <c r="Z3660">
        <v>-533</v>
      </c>
      <c r="AA3660">
        <v>692787</v>
      </c>
      <c r="AD3660" t="s">
        <v>64</v>
      </c>
      <c r="AE3660" t="s">
        <v>9619</v>
      </c>
      <c r="AF3660" t="s">
        <v>64</v>
      </c>
      <c r="AG3660" s="1" t="s">
        <v>9620</v>
      </c>
      <c r="AH3660" t="s">
        <v>44</v>
      </c>
    </row>
    <row r="3661" spans="1:34" x14ac:dyDescent="0.3">
      <c r="A3661">
        <v>101</v>
      </c>
      <c r="B3661" t="s">
        <v>34</v>
      </c>
      <c r="C3661">
        <v>2</v>
      </c>
      <c r="D3661" s="1" t="s">
        <v>9627</v>
      </c>
      <c r="E3661" s="1" t="s">
        <v>36</v>
      </c>
      <c r="G3661">
        <v>436658</v>
      </c>
      <c r="H3661" t="s">
        <v>9617</v>
      </c>
      <c r="I3661" t="s">
        <v>2413</v>
      </c>
      <c r="J3661">
        <v>30</v>
      </c>
      <c r="K3661">
        <v>2695</v>
      </c>
      <c r="L3661">
        <v>95000</v>
      </c>
      <c r="M3661" t="s">
        <v>69</v>
      </c>
      <c r="N3661">
        <v>691</v>
      </c>
      <c r="O3661" s="2">
        <v>46140</v>
      </c>
      <c r="P3661" s="2">
        <v>46266</v>
      </c>
      <c r="R3661" t="s">
        <v>9628</v>
      </c>
      <c r="S3661" t="str">
        <f>""</f>
        <v/>
      </c>
      <c r="T3661" t="s">
        <v>41</v>
      </c>
      <c r="U3661">
        <v>2887.34</v>
      </c>
      <c r="V3661">
        <v>2855.58</v>
      </c>
      <c r="W3661">
        <v>2855.58</v>
      </c>
      <c r="X3661">
        <v>0</v>
      </c>
      <c r="Y3661">
        <v>0</v>
      </c>
      <c r="Z3661">
        <v>-491</v>
      </c>
      <c r="AA3661">
        <v>686864</v>
      </c>
      <c r="AD3661" t="s">
        <v>64</v>
      </c>
      <c r="AE3661" t="s">
        <v>9619</v>
      </c>
      <c r="AF3661" t="s">
        <v>64</v>
      </c>
      <c r="AG3661" s="1" t="s">
        <v>9620</v>
      </c>
      <c r="AH3661" t="s">
        <v>44</v>
      </c>
    </row>
    <row r="3662" spans="1:34" x14ac:dyDescent="0.3">
      <c r="A3662">
        <v>101</v>
      </c>
      <c r="B3662" t="s">
        <v>34</v>
      </c>
      <c r="C3662">
        <v>2</v>
      </c>
      <c r="D3662" s="1" t="s">
        <v>9629</v>
      </c>
      <c r="E3662" s="1" t="s">
        <v>36</v>
      </c>
      <c r="G3662">
        <v>436658</v>
      </c>
      <c r="H3662" t="s">
        <v>9617</v>
      </c>
      <c r="I3662" t="s">
        <v>2413</v>
      </c>
      <c r="J3662">
        <v>30</v>
      </c>
      <c r="K3662">
        <v>2695</v>
      </c>
      <c r="L3662">
        <v>95000</v>
      </c>
      <c r="M3662" t="s">
        <v>69</v>
      </c>
      <c r="N3662">
        <v>691</v>
      </c>
      <c r="O3662" s="2">
        <v>46197</v>
      </c>
      <c r="P3662" s="2">
        <v>46308</v>
      </c>
      <c r="R3662" t="s">
        <v>9630</v>
      </c>
      <c r="S3662" t="str">
        <f>""</f>
        <v/>
      </c>
      <c r="T3662" t="s">
        <v>41</v>
      </c>
      <c r="U3662">
        <v>9259.0499999999993</v>
      </c>
      <c r="V3662">
        <v>9157.2000000000007</v>
      </c>
      <c r="W3662">
        <v>9157.2000000000007</v>
      </c>
      <c r="X3662">
        <v>0</v>
      </c>
      <c r="Y3662">
        <v>0</v>
      </c>
      <c r="Z3662">
        <v>-533</v>
      </c>
      <c r="AA3662">
        <v>692110</v>
      </c>
      <c r="AD3662" t="s">
        <v>64</v>
      </c>
      <c r="AE3662" t="s">
        <v>9619</v>
      </c>
      <c r="AF3662" t="s">
        <v>64</v>
      </c>
      <c r="AG3662" s="1" t="s">
        <v>9620</v>
      </c>
      <c r="AH3662" t="s">
        <v>44</v>
      </c>
    </row>
    <row r="3663" spans="1:34" x14ac:dyDescent="0.3">
      <c r="A3663">
        <v>101</v>
      </c>
      <c r="B3663" t="s">
        <v>34</v>
      </c>
      <c r="C3663">
        <v>2</v>
      </c>
      <c r="D3663" s="1" t="s">
        <v>9631</v>
      </c>
      <c r="E3663" s="1" t="s">
        <v>36</v>
      </c>
      <c r="G3663">
        <v>436658</v>
      </c>
      <c r="H3663" t="s">
        <v>9617</v>
      </c>
      <c r="I3663" t="s">
        <v>2413</v>
      </c>
      <c r="J3663">
        <v>30</v>
      </c>
      <c r="K3663">
        <v>2695</v>
      </c>
      <c r="L3663">
        <v>95000</v>
      </c>
      <c r="M3663" t="s">
        <v>69</v>
      </c>
      <c r="N3663">
        <v>691</v>
      </c>
      <c r="O3663" s="2">
        <v>46170</v>
      </c>
      <c r="P3663" s="2">
        <v>46276</v>
      </c>
      <c r="R3663" t="s">
        <v>9632</v>
      </c>
      <c r="S3663" t="str">
        <f>""</f>
        <v/>
      </c>
      <c r="T3663" t="s">
        <v>41</v>
      </c>
      <c r="U3663">
        <v>2741</v>
      </c>
      <c r="V3663">
        <v>2710.85</v>
      </c>
      <c r="W3663">
        <v>2710.85</v>
      </c>
      <c r="X3663">
        <v>0</v>
      </c>
      <c r="Y3663">
        <v>0</v>
      </c>
      <c r="Z3663">
        <v>-501</v>
      </c>
      <c r="AA3663">
        <v>689435</v>
      </c>
      <c r="AD3663" t="s">
        <v>64</v>
      </c>
      <c r="AE3663" t="s">
        <v>9619</v>
      </c>
      <c r="AF3663" t="s">
        <v>64</v>
      </c>
      <c r="AG3663" s="1" t="s">
        <v>9620</v>
      </c>
      <c r="AH3663" t="s">
        <v>44</v>
      </c>
    </row>
    <row r="3664" spans="1:34" x14ac:dyDescent="0.3">
      <c r="A3664">
        <v>101</v>
      </c>
      <c r="B3664" t="s">
        <v>34</v>
      </c>
      <c r="C3664">
        <v>2</v>
      </c>
      <c r="D3664" s="1" t="s">
        <v>9633</v>
      </c>
      <c r="E3664" s="1" t="s">
        <v>36</v>
      </c>
      <c r="G3664">
        <v>436658</v>
      </c>
      <c r="H3664" t="s">
        <v>9617</v>
      </c>
      <c r="I3664" t="s">
        <v>2413</v>
      </c>
      <c r="J3664">
        <v>30</v>
      </c>
      <c r="K3664">
        <v>2695</v>
      </c>
      <c r="L3664">
        <v>95000</v>
      </c>
      <c r="M3664" t="s">
        <v>69</v>
      </c>
      <c r="N3664">
        <v>691</v>
      </c>
      <c r="O3664" s="2">
        <v>46226</v>
      </c>
      <c r="P3664" s="2">
        <v>46316</v>
      </c>
      <c r="R3664" t="s">
        <v>9634</v>
      </c>
      <c r="S3664" t="str">
        <f>""</f>
        <v/>
      </c>
      <c r="T3664" t="s">
        <v>41</v>
      </c>
      <c r="U3664">
        <v>10164.5</v>
      </c>
      <c r="V3664">
        <v>10052.69</v>
      </c>
      <c r="W3664">
        <v>10052.69</v>
      </c>
      <c r="X3664">
        <v>0</v>
      </c>
      <c r="Y3664">
        <v>0</v>
      </c>
      <c r="Z3664">
        <v>-541</v>
      </c>
      <c r="AA3664">
        <v>694859</v>
      </c>
      <c r="AD3664" t="s">
        <v>64</v>
      </c>
      <c r="AE3664" t="s">
        <v>9619</v>
      </c>
      <c r="AF3664" t="s">
        <v>64</v>
      </c>
      <c r="AG3664" s="1" t="s">
        <v>9620</v>
      </c>
      <c r="AH3664" t="s">
        <v>44</v>
      </c>
    </row>
    <row r="3665" spans="1:34" x14ac:dyDescent="0.3">
      <c r="A3665">
        <v>101</v>
      </c>
      <c r="B3665" t="s">
        <v>34</v>
      </c>
      <c r="C3665">
        <v>2</v>
      </c>
      <c r="D3665" s="1" t="s">
        <v>9635</v>
      </c>
      <c r="E3665" s="1" t="s">
        <v>36</v>
      </c>
      <c r="G3665">
        <v>436658</v>
      </c>
      <c r="H3665" t="s">
        <v>9617</v>
      </c>
      <c r="I3665" t="s">
        <v>2413</v>
      </c>
      <c r="J3665">
        <v>30</v>
      </c>
      <c r="K3665">
        <v>2695</v>
      </c>
      <c r="L3665">
        <v>95000</v>
      </c>
      <c r="M3665" t="s">
        <v>69</v>
      </c>
      <c r="N3665">
        <v>691</v>
      </c>
      <c r="O3665" s="2">
        <v>46171</v>
      </c>
      <c r="P3665" s="2">
        <v>46276</v>
      </c>
      <c r="R3665" t="s">
        <v>9636</v>
      </c>
      <c r="S3665" t="str">
        <f>""</f>
        <v/>
      </c>
      <c r="T3665" t="s">
        <v>41</v>
      </c>
      <c r="U3665">
        <v>2846.4</v>
      </c>
      <c r="V3665">
        <v>2815.09</v>
      </c>
      <c r="W3665">
        <v>2815.09</v>
      </c>
      <c r="X3665">
        <v>0</v>
      </c>
      <c r="Y3665">
        <v>0</v>
      </c>
      <c r="Z3665">
        <v>-501</v>
      </c>
      <c r="AA3665">
        <v>689148</v>
      </c>
      <c r="AD3665" t="s">
        <v>64</v>
      </c>
      <c r="AE3665" t="s">
        <v>9619</v>
      </c>
      <c r="AF3665" t="s">
        <v>64</v>
      </c>
      <c r="AG3665" s="1" t="s">
        <v>9620</v>
      </c>
      <c r="AH3665" t="s">
        <v>44</v>
      </c>
    </row>
    <row r="3666" spans="1:34" x14ac:dyDescent="0.3">
      <c r="A3666">
        <v>101</v>
      </c>
      <c r="B3666" t="s">
        <v>34</v>
      </c>
      <c r="C3666">
        <v>2</v>
      </c>
      <c r="D3666" s="1" t="s">
        <v>9637</v>
      </c>
      <c r="E3666" s="1" t="s">
        <v>36</v>
      </c>
      <c r="G3666">
        <v>436658</v>
      </c>
      <c r="H3666" t="s">
        <v>9617</v>
      </c>
      <c r="I3666" t="s">
        <v>2413</v>
      </c>
      <c r="J3666">
        <v>30</v>
      </c>
      <c r="K3666">
        <v>2695</v>
      </c>
      <c r="L3666">
        <v>95000</v>
      </c>
      <c r="M3666" t="s">
        <v>69</v>
      </c>
      <c r="N3666">
        <v>691</v>
      </c>
      <c r="O3666" s="2">
        <v>46140</v>
      </c>
      <c r="P3666" s="2">
        <v>46266</v>
      </c>
      <c r="R3666" t="s">
        <v>9638</v>
      </c>
      <c r="S3666" t="str">
        <f>""</f>
        <v/>
      </c>
      <c r="T3666" t="s">
        <v>41</v>
      </c>
      <c r="U3666">
        <v>20965.43</v>
      </c>
      <c r="V3666">
        <v>20734.810000000001</v>
      </c>
      <c r="W3666">
        <v>20734.810000000001</v>
      </c>
      <c r="X3666">
        <v>0</v>
      </c>
      <c r="Y3666">
        <v>0</v>
      </c>
      <c r="Z3666">
        <v>-491</v>
      </c>
      <c r="AA3666">
        <v>686546</v>
      </c>
      <c r="AD3666" t="s">
        <v>64</v>
      </c>
      <c r="AE3666" t="s">
        <v>9619</v>
      </c>
      <c r="AF3666" t="s">
        <v>64</v>
      </c>
      <c r="AG3666" s="1" t="s">
        <v>9620</v>
      </c>
      <c r="AH3666" t="s">
        <v>44</v>
      </c>
    </row>
    <row r="3667" spans="1:34" x14ac:dyDescent="0.3">
      <c r="A3667">
        <v>101</v>
      </c>
      <c r="B3667" t="s">
        <v>34</v>
      </c>
      <c r="C3667">
        <v>2</v>
      </c>
      <c r="D3667" s="1" t="s">
        <v>9639</v>
      </c>
      <c r="E3667" s="1" t="s">
        <v>36</v>
      </c>
      <c r="G3667">
        <v>436658</v>
      </c>
      <c r="H3667" t="s">
        <v>9617</v>
      </c>
      <c r="I3667" t="s">
        <v>2413</v>
      </c>
      <c r="J3667">
        <v>30</v>
      </c>
      <c r="K3667">
        <v>2695</v>
      </c>
      <c r="L3667">
        <v>95000</v>
      </c>
      <c r="M3667" t="s">
        <v>69</v>
      </c>
      <c r="N3667">
        <v>691</v>
      </c>
      <c r="O3667" s="2">
        <v>46140</v>
      </c>
      <c r="P3667" s="2">
        <v>46266</v>
      </c>
      <c r="R3667" t="s">
        <v>9640</v>
      </c>
      <c r="S3667" t="str">
        <f>""</f>
        <v/>
      </c>
      <c r="T3667" t="s">
        <v>41</v>
      </c>
      <c r="U3667">
        <v>1479.87</v>
      </c>
      <c r="V3667">
        <v>1463.59</v>
      </c>
      <c r="W3667">
        <v>1463.59</v>
      </c>
      <c r="X3667">
        <v>0</v>
      </c>
      <c r="Y3667">
        <v>0</v>
      </c>
      <c r="Z3667">
        <v>-491</v>
      </c>
      <c r="AA3667">
        <v>686773</v>
      </c>
      <c r="AD3667" t="s">
        <v>64</v>
      </c>
      <c r="AE3667" t="s">
        <v>9619</v>
      </c>
      <c r="AF3667" t="s">
        <v>64</v>
      </c>
      <c r="AG3667" s="1" t="s">
        <v>9620</v>
      </c>
      <c r="AH3667" t="s">
        <v>44</v>
      </c>
    </row>
    <row r="3668" spans="1:34" x14ac:dyDescent="0.3">
      <c r="A3668">
        <v>101</v>
      </c>
      <c r="B3668" t="s">
        <v>34</v>
      </c>
      <c r="C3668">
        <v>2</v>
      </c>
      <c r="D3668" s="1" t="s">
        <v>9641</v>
      </c>
      <c r="E3668" s="1" t="s">
        <v>36</v>
      </c>
      <c r="G3668">
        <v>436658</v>
      </c>
      <c r="H3668" t="s">
        <v>9617</v>
      </c>
      <c r="I3668" t="s">
        <v>2413</v>
      </c>
      <c r="J3668">
        <v>30</v>
      </c>
      <c r="K3668">
        <v>2695</v>
      </c>
      <c r="L3668">
        <v>95000</v>
      </c>
      <c r="M3668" t="s">
        <v>69</v>
      </c>
      <c r="N3668">
        <v>691</v>
      </c>
      <c r="O3668" s="2">
        <v>46253</v>
      </c>
      <c r="P3668" s="2">
        <v>46343</v>
      </c>
      <c r="R3668" t="s">
        <v>9642</v>
      </c>
      <c r="S3668" t="str">
        <f>""</f>
        <v/>
      </c>
      <c r="T3668" t="s">
        <v>41</v>
      </c>
      <c r="U3668">
        <v>3538</v>
      </c>
      <c r="V3668">
        <v>3499.08</v>
      </c>
      <c r="W3668">
        <v>3499.08</v>
      </c>
      <c r="X3668">
        <v>0</v>
      </c>
      <c r="Y3668">
        <v>0</v>
      </c>
      <c r="Z3668">
        <v>-568</v>
      </c>
      <c r="AA3668">
        <v>696935</v>
      </c>
      <c r="AD3668" t="s">
        <v>64</v>
      </c>
      <c r="AE3668" t="s">
        <v>9619</v>
      </c>
      <c r="AF3668" t="s">
        <v>64</v>
      </c>
      <c r="AG3668" s="1" t="s">
        <v>9620</v>
      </c>
      <c r="AH3668" t="s">
        <v>44</v>
      </c>
    </row>
    <row r="3669" spans="1:34" x14ac:dyDescent="0.3">
      <c r="A3669">
        <v>101</v>
      </c>
      <c r="B3669" t="s">
        <v>34</v>
      </c>
      <c r="C3669">
        <v>2</v>
      </c>
      <c r="D3669" s="1" t="s">
        <v>9643</v>
      </c>
      <c r="E3669" s="1" t="s">
        <v>36</v>
      </c>
      <c r="G3669">
        <v>436659</v>
      </c>
      <c r="H3669" t="s">
        <v>9644</v>
      </c>
      <c r="I3669" t="s">
        <v>2413</v>
      </c>
      <c r="J3669">
        <v>30</v>
      </c>
      <c r="K3669">
        <v>2695</v>
      </c>
      <c r="L3669">
        <v>95000</v>
      </c>
      <c r="M3669" t="s">
        <v>69</v>
      </c>
      <c r="N3669">
        <v>691</v>
      </c>
      <c r="O3669" s="2">
        <v>46170</v>
      </c>
      <c r="P3669" s="2">
        <v>46286</v>
      </c>
      <c r="R3669" t="s">
        <v>9645</v>
      </c>
      <c r="S3669" t="str">
        <f>""</f>
        <v/>
      </c>
      <c r="T3669" t="s">
        <v>41</v>
      </c>
      <c r="U3669">
        <v>9124.7999999999993</v>
      </c>
      <c r="V3669">
        <v>9024.43</v>
      </c>
      <c r="W3669">
        <v>9024.43</v>
      </c>
      <c r="X3669">
        <v>0</v>
      </c>
      <c r="Y3669">
        <v>0</v>
      </c>
      <c r="Z3669">
        <v>-511</v>
      </c>
      <c r="AA3669">
        <v>689290</v>
      </c>
      <c r="AD3669" t="s">
        <v>4736</v>
      </c>
      <c r="AE3669" t="s">
        <v>9646</v>
      </c>
      <c r="AF3669" t="s">
        <v>4736</v>
      </c>
      <c r="AG3669" s="1" t="s">
        <v>9647</v>
      </c>
      <c r="AH3669" t="s">
        <v>44</v>
      </c>
    </row>
    <row r="3670" spans="1:34" x14ac:dyDescent="0.3">
      <c r="A3670">
        <v>101</v>
      </c>
      <c r="B3670" t="s">
        <v>34</v>
      </c>
      <c r="C3670">
        <v>2</v>
      </c>
      <c r="D3670" s="1" t="s">
        <v>9648</v>
      </c>
      <c r="E3670" s="1" t="s">
        <v>36</v>
      </c>
      <c r="G3670">
        <v>436659</v>
      </c>
      <c r="H3670" t="s">
        <v>9644</v>
      </c>
      <c r="I3670" t="s">
        <v>2413</v>
      </c>
      <c r="J3670">
        <v>30</v>
      </c>
      <c r="K3670">
        <v>2695</v>
      </c>
      <c r="L3670">
        <v>95000</v>
      </c>
      <c r="M3670" t="s">
        <v>69</v>
      </c>
      <c r="N3670">
        <v>691</v>
      </c>
      <c r="O3670" s="2">
        <v>46226</v>
      </c>
      <c r="P3670" s="2">
        <v>46316</v>
      </c>
      <c r="R3670" t="s">
        <v>9649</v>
      </c>
      <c r="S3670" t="str">
        <f>""</f>
        <v/>
      </c>
      <c r="T3670" t="s">
        <v>41</v>
      </c>
      <c r="U3670">
        <v>5825.86</v>
      </c>
      <c r="V3670">
        <v>5761.78</v>
      </c>
      <c r="W3670">
        <v>5761.78</v>
      </c>
      <c r="X3670">
        <v>0</v>
      </c>
      <c r="Y3670">
        <v>0</v>
      </c>
      <c r="Z3670">
        <v>-541</v>
      </c>
      <c r="AA3670">
        <v>694871</v>
      </c>
      <c r="AD3670" t="s">
        <v>4736</v>
      </c>
      <c r="AE3670" t="s">
        <v>9646</v>
      </c>
      <c r="AF3670" t="s">
        <v>4736</v>
      </c>
      <c r="AG3670" s="1" t="s">
        <v>9647</v>
      </c>
      <c r="AH3670" t="s">
        <v>44</v>
      </c>
    </row>
    <row r="3671" spans="1:34" x14ac:dyDescent="0.3">
      <c r="A3671">
        <v>101</v>
      </c>
      <c r="B3671" t="s">
        <v>34</v>
      </c>
      <c r="C3671">
        <v>2</v>
      </c>
      <c r="D3671" s="1" t="s">
        <v>9650</v>
      </c>
      <c r="E3671" s="1" t="s">
        <v>36</v>
      </c>
      <c r="G3671">
        <v>436659</v>
      </c>
      <c r="H3671" t="s">
        <v>9644</v>
      </c>
      <c r="I3671" t="s">
        <v>2413</v>
      </c>
      <c r="J3671">
        <v>30</v>
      </c>
      <c r="K3671">
        <v>2695</v>
      </c>
      <c r="L3671">
        <v>95000</v>
      </c>
      <c r="M3671" t="s">
        <v>69</v>
      </c>
      <c r="N3671">
        <v>691</v>
      </c>
      <c r="O3671" s="2">
        <v>46141</v>
      </c>
      <c r="P3671" s="2">
        <v>46255</v>
      </c>
      <c r="R3671" t="s">
        <v>9651</v>
      </c>
      <c r="S3671" t="str">
        <f>""</f>
        <v/>
      </c>
      <c r="T3671" t="s">
        <v>41</v>
      </c>
      <c r="U3671">
        <v>4806.16</v>
      </c>
      <c r="V3671">
        <v>4753.29</v>
      </c>
      <c r="W3671">
        <v>4753.29</v>
      </c>
      <c r="X3671">
        <v>0</v>
      </c>
      <c r="Y3671">
        <v>0</v>
      </c>
      <c r="Z3671">
        <v>-480</v>
      </c>
      <c r="AA3671">
        <v>686689</v>
      </c>
      <c r="AD3671" t="s">
        <v>4736</v>
      </c>
      <c r="AE3671" t="s">
        <v>9646</v>
      </c>
      <c r="AF3671" t="s">
        <v>4736</v>
      </c>
      <c r="AG3671" s="1" t="s">
        <v>9647</v>
      </c>
      <c r="AH3671" t="s">
        <v>44</v>
      </c>
    </row>
    <row r="3672" spans="1:34" x14ac:dyDescent="0.3">
      <c r="A3672">
        <v>101</v>
      </c>
      <c r="B3672" t="s">
        <v>34</v>
      </c>
      <c r="C3672">
        <v>2</v>
      </c>
      <c r="D3672" s="1" t="s">
        <v>9652</v>
      </c>
      <c r="E3672" s="1" t="s">
        <v>36</v>
      </c>
      <c r="G3672">
        <v>436659</v>
      </c>
      <c r="H3672" t="s">
        <v>9644</v>
      </c>
      <c r="I3672" t="s">
        <v>2413</v>
      </c>
      <c r="J3672">
        <v>30</v>
      </c>
      <c r="K3672">
        <v>2695</v>
      </c>
      <c r="L3672">
        <v>95000</v>
      </c>
      <c r="M3672" t="s">
        <v>69</v>
      </c>
      <c r="N3672">
        <v>691</v>
      </c>
      <c r="O3672" s="2">
        <v>46185</v>
      </c>
      <c r="P3672" s="2">
        <v>46286</v>
      </c>
      <c r="R3672" t="s">
        <v>9653</v>
      </c>
      <c r="S3672" t="str">
        <f>""</f>
        <v/>
      </c>
      <c r="T3672" t="s">
        <v>41</v>
      </c>
      <c r="U3672">
        <v>2134.8000000000002</v>
      </c>
      <c r="V3672">
        <v>2111.3200000000002</v>
      </c>
      <c r="W3672">
        <v>2111.3200000000002</v>
      </c>
      <c r="X3672">
        <v>0</v>
      </c>
      <c r="Y3672">
        <v>0</v>
      </c>
      <c r="Z3672">
        <v>-511</v>
      </c>
      <c r="AA3672">
        <v>689290</v>
      </c>
      <c r="AD3672" t="s">
        <v>4736</v>
      </c>
      <c r="AE3672" t="s">
        <v>9646</v>
      </c>
      <c r="AF3672" t="s">
        <v>4736</v>
      </c>
      <c r="AG3672" s="1" t="s">
        <v>9647</v>
      </c>
      <c r="AH3672" t="s">
        <v>44</v>
      </c>
    </row>
    <row r="3673" spans="1:34" x14ac:dyDescent="0.3">
      <c r="A3673">
        <v>101</v>
      </c>
      <c r="B3673" t="s">
        <v>34</v>
      </c>
      <c r="C3673">
        <v>2</v>
      </c>
      <c r="D3673" s="1" t="s">
        <v>9654</v>
      </c>
      <c r="E3673" s="1" t="s">
        <v>36</v>
      </c>
      <c r="G3673">
        <v>436659</v>
      </c>
      <c r="H3673" t="s">
        <v>9644</v>
      </c>
      <c r="I3673" t="s">
        <v>2413</v>
      </c>
      <c r="J3673">
        <v>30</v>
      </c>
      <c r="K3673">
        <v>2695</v>
      </c>
      <c r="L3673">
        <v>95000</v>
      </c>
      <c r="M3673" t="s">
        <v>69</v>
      </c>
      <c r="N3673">
        <v>691</v>
      </c>
      <c r="O3673" s="2">
        <v>46199</v>
      </c>
      <c r="P3673" s="2">
        <v>46289</v>
      </c>
      <c r="R3673" t="s">
        <v>9655</v>
      </c>
      <c r="S3673" t="str">
        <f>""</f>
        <v/>
      </c>
      <c r="T3673" t="s">
        <v>41</v>
      </c>
      <c r="U3673">
        <v>8733.9500000000007</v>
      </c>
      <c r="V3673">
        <v>8637.8799999999992</v>
      </c>
      <c r="W3673">
        <v>8637.8799999999992</v>
      </c>
      <c r="X3673">
        <v>0</v>
      </c>
      <c r="Y3673">
        <v>0</v>
      </c>
      <c r="Z3673">
        <v>-514</v>
      </c>
      <c r="AA3673">
        <v>692250</v>
      </c>
      <c r="AD3673" t="s">
        <v>4736</v>
      </c>
      <c r="AE3673" t="s">
        <v>9646</v>
      </c>
      <c r="AF3673" t="s">
        <v>4736</v>
      </c>
      <c r="AG3673" s="1" t="s">
        <v>9647</v>
      </c>
      <c r="AH3673" t="s">
        <v>44</v>
      </c>
    </row>
    <row r="3674" spans="1:34" x14ac:dyDescent="0.3">
      <c r="A3674">
        <v>101</v>
      </c>
      <c r="B3674" t="s">
        <v>34</v>
      </c>
      <c r="C3674">
        <v>2</v>
      </c>
      <c r="D3674" s="1" t="s">
        <v>9656</v>
      </c>
      <c r="E3674" s="1" t="s">
        <v>36</v>
      </c>
      <c r="G3674">
        <v>436661</v>
      </c>
      <c r="H3674" t="s">
        <v>9657</v>
      </c>
      <c r="I3674" t="s">
        <v>2413</v>
      </c>
      <c r="J3674">
        <v>30</v>
      </c>
      <c r="K3674">
        <v>2695</v>
      </c>
      <c r="L3674">
        <v>95000</v>
      </c>
      <c r="M3674" t="s">
        <v>69</v>
      </c>
      <c r="N3674">
        <v>691</v>
      </c>
      <c r="O3674" s="2">
        <v>46141</v>
      </c>
      <c r="P3674" s="2">
        <v>46266</v>
      </c>
      <c r="R3674" t="s">
        <v>9658</v>
      </c>
      <c r="S3674" t="str">
        <f>""</f>
        <v/>
      </c>
      <c r="T3674" t="s">
        <v>41</v>
      </c>
      <c r="U3674">
        <v>12961.28</v>
      </c>
      <c r="V3674">
        <v>12818.71</v>
      </c>
      <c r="W3674">
        <v>12818.71</v>
      </c>
      <c r="X3674">
        <v>0</v>
      </c>
      <c r="Y3674">
        <v>0</v>
      </c>
      <c r="Z3674">
        <v>-491</v>
      </c>
      <c r="AA3674">
        <v>686693</v>
      </c>
      <c r="AD3674" t="s">
        <v>64</v>
      </c>
      <c r="AF3674" t="s">
        <v>64</v>
      </c>
      <c r="AG3674" s="1" t="s">
        <v>9659</v>
      </c>
      <c r="AH3674" t="s">
        <v>44</v>
      </c>
    </row>
    <row r="3675" spans="1:34" x14ac:dyDescent="0.3">
      <c r="A3675">
        <v>101</v>
      </c>
      <c r="B3675" t="s">
        <v>34</v>
      </c>
      <c r="C3675">
        <v>2</v>
      </c>
      <c r="D3675" s="1" t="s">
        <v>9660</v>
      </c>
      <c r="E3675" s="1" t="s">
        <v>36</v>
      </c>
      <c r="G3675">
        <v>436661</v>
      </c>
      <c r="H3675" t="s">
        <v>9657</v>
      </c>
      <c r="I3675" t="s">
        <v>2413</v>
      </c>
      <c r="J3675">
        <v>30</v>
      </c>
      <c r="K3675">
        <v>2695</v>
      </c>
      <c r="L3675">
        <v>95000</v>
      </c>
      <c r="M3675" t="s">
        <v>69</v>
      </c>
      <c r="N3675">
        <v>691</v>
      </c>
      <c r="O3675" s="2">
        <v>46171</v>
      </c>
      <c r="P3675" s="2">
        <v>46286</v>
      </c>
      <c r="R3675" t="s">
        <v>9661</v>
      </c>
      <c r="S3675" t="str">
        <f>""</f>
        <v/>
      </c>
      <c r="T3675" t="s">
        <v>41</v>
      </c>
      <c r="U3675">
        <v>2846.4</v>
      </c>
      <c r="V3675">
        <v>2815.09</v>
      </c>
      <c r="W3675">
        <v>2815.09</v>
      </c>
      <c r="X3675">
        <v>0</v>
      </c>
      <c r="Y3675">
        <v>0</v>
      </c>
      <c r="Z3675">
        <v>-511</v>
      </c>
      <c r="AA3675">
        <v>689294</v>
      </c>
      <c r="AD3675" t="s">
        <v>64</v>
      </c>
      <c r="AF3675" t="s">
        <v>64</v>
      </c>
      <c r="AG3675" s="1" t="s">
        <v>9659</v>
      </c>
      <c r="AH3675" t="s">
        <v>44</v>
      </c>
    </row>
    <row r="3676" spans="1:34" x14ac:dyDescent="0.3">
      <c r="A3676">
        <v>101</v>
      </c>
      <c r="B3676" t="s">
        <v>34</v>
      </c>
      <c r="C3676">
        <v>2</v>
      </c>
      <c r="D3676" s="1" t="s">
        <v>9662</v>
      </c>
      <c r="E3676" s="1" t="s">
        <v>36</v>
      </c>
      <c r="G3676">
        <v>436661</v>
      </c>
      <c r="H3676" t="s">
        <v>9657</v>
      </c>
      <c r="I3676" t="s">
        <v>2413</v>
      </c>
      <c r="J3676">
        <v>30</v>
      </c>
      <c r="K3676">
        <v>2695</v>
      </c>
      <c r="L3676">
        <v>95000</v>
      </c>
      <c r="M3676" t="s">
        <v>69</v>
      </c>
      <c r="N3676">
        <v>691</v>
      </c>
      <c r="O3676" s="2">
        <v>46170</v>
      </c>
      <c r="P3676" s="2">
        <v>46286</v>
      </c>
      <c r="R3676" t="s">
        <v>9663</v>
      </c>
      <c r="S3676" t="str">
        <f>""</f>
        <v/>
      </c>
      <c r="T3676" t="s">
        <v>41</v>
      </c>
      <c r="U3676">
        <v>10393.31</v>
      </c>
      <c r="V3676">
        <v>10278.98</v>
      </c>
      <c r="W3676">
        <v>10278.98</v>
      </c>
      <c r="X3676">
        <v>0</v>
      </c>
      <c r="Y3676">
        <v>0</v>
      </c>
      <c r="Z3676">
        <v>-511</v>
      </c>
      <c r="AA3676">
        <v>689294</v>
      </c>
      <c r="AD3676" t="s">
        <v>64</v>
      </c>
      <c r="AF3676" t="s">
        <v>64</v>
      </c>
      <c r="AG3676" s="1" t="s">
        <v>9659</v>
      </c>
      <c r="AH3676" t="s">
        <v>44</v>
      </c>
    </row>
    <row r="3677" spans="1:34" x14ac:dyDescent="0.3">
      <c r="A3677">
        <v>101</v>
      </c>
      <c r="B3677" t="s">
        <v>34</v>
      </c>
      <c r="C3677">
        <v>2</v>
      </c>
      <c r="D3677" s="1" t="s">
        <v>9664</v>
      </c>
      <c r="E3677" s="1" t="s">
        <v>36</v>
      </c>
      <c r="G3677">
        <v>436661</v>
      </c>
      <c r="H3677" t="s">
        <v>9657</v>
      </c>
      <c r="I3677" t="s">
        <v>2413</v>
      </c>
      <c r="J3677">
        <v>30</v>
      </c>
      <c r="K3677">
        <v>2695</v>
      </c>
      <c r="L3677">
        <v>95000</v>
      </c>
      <c r="M3677" t="s">
        <v>69</v>
      </c>
      <c r="N3677">
        <v>691</v>
      </c>
      <c r="O3677" s="2">
        <v>46199</v>
      </c>
      <c r="P3677" s="2">
        <v>46308</v>
      </c>
      <c r="R3677" t="s">
        <v>9665</v>
      </c>
      <c r="S3677" t="str">
        <f>""</f>
        <v/>
      </c>
      <c r="T3677" t="s">
        <v>41</v>
      </c>
      <c r="U3677">
        <v>4002.95</v>
      </c>
      <c r="V3677">
        <v>3958.92</v>
      </c>
      <c r="W3677">
        <v>3958.92</v>
      </c>
      <c r="X3677">
        <v>0</v>
      </c>
      <c r="Y3677">
        <v>0</v>
      </c>
      <c r="Z3677">
        <v>-533</v>
      </c>
      <c r="AA3677">
        <v>692254</v>
      </c>
      <c r="AD3677" t="s">
        <v>64</v>
      </c>
      <c r="AF3677" t="s">
        <v>64</v>
      </c>
      <c r="AG3677" s="1" t="s">
        <v>9659</v>
      </c>
      <c r="AH3677" t="s">
        <v>44</v>
      </c>
    </row>
    <row r="3678" spans="1:34" x14ac:dyDescent="0.3">
      <c r="A3678">
        <v>101</v>
      </c>
      <c r="B3678" t="s">
        <v>34</v>
      </c>
      <c r="C3678">
        <v>2</v>
      </c>
      <c r="D3678" s="1" t="s">
        <v>9666</v>
      </c>
      <c r="E3678" s="1" t="s">
        <v>36</v>
      </c>
      <c r="G3678">
        <v>436661</v>
      </c>
      <c r="H3678" t="s">
        <v>9657</v>
      </c>
      <c r="I3678" t="s">
        <v>2413</v>
      </c>
      <c r="J3678">
        <v>30</v>
      </c>
      <c r="K3678">
        <v>2695</v>
      </c>
      <c r="L3678">
        <v>95000</v>
      </c>
      <c r="M3678" t="s">
        <v>69</v>
      </c>
      <c r="N3678">
        <v>691</v>
      </c>
      <c r="O3678" s="2">
        <v>46226</v>
      </c>
      <c r="P3678" s="2">
        <v>46349</v>
      </c>
      <c r="R3678" t="s">
        <v>9667</v>
      </c>
      <c r="S3678" t="str">
        <f>""</f>
        <v/>
      </c>
      <c r="T3678" t="s">
        <v>41</v>
      </c>
      <c r="U3678">
        <v>10390.780000000001</v>
      </c>
      <c r="V3678">
        <v>10276.48</v>
      </c>
      <c r="W3678">
        <v>10276.48</v>
      </c>
      <c r="X3678">
        <v>0</v>
      </c>
      <c r="Y3678">
        <v>0</v>
      </c>
      <c r="Z3678">
        <v>-574</v>
      </c>
      <c r="AA3678">
        <v>694875</v>
      </c>
      <c r="AD3678" t="s">
        <v>64</v>
      </c>
      <c r="AF3678" t="s">
        <v>64</v>
      </c>
      <c r="AG3678" s="1" t="s">
        <v>9659</v>
      </c>
      <c r="AH3678" t="s">
        <v>44</v>
      </c>
    </row>
    <row r="3679" spans="1:34" x14ac:dyDescent="0.3">
      <c r="A3679">
        <v>101</v>
      </c>
      <c r="B3679" t="s">
        <v>34</v>
      </c>
      <c r="C3679">
        <v>2</v>
      </c>
      <c r="D3679" s="1" t="s">
        <v>9668</v>
      </c>
      <c r="E3679" s="1" t="s">
        <v>36</v>
      </c>
      <c r="G3679">
        <v>436662</v>
      </c>
      <c r="H3679" t="s">
        <v>9669</v>
      </c>
      <c r="I3679" t="s">
        <v>2413</v>
      </c>
      <c r="J3679">
        <v>30</v>
      </c>
      <c r="K3679">
        <v>2695</v>
      </c>
      <c r="L3679">
        <v>95000</v>
      </c>
      <c r="M3679" t="s">
        <v>69</v>
      </c>
      <c r="N3679">
        <v>691</v>
      </c>
      <c r="O3679" s="2">
        <v>46199</v>
      </c>
      <c r="P3679" s="2">
        <v>46308</v>
      </c>
      <c r="R3679" t="s">
        <v>9670</v>
      </c>
      <c r="S3679" t="str">
        <f>""</f>
        <v/>
      </c>
      <c r="T3679" t="s">
        <v>41</v>
      </c>
      <c r="U3679">
        <v>707.6</v>
      </c>
      <c r="V3679">
        <v>699.82</v>
      </c>
      <c r="W3679">
        <v>699.82</v>
      </c>
      <c r="X3679">
        <v>0</v>
      </c>
      <c r="Y3679">
        <v>0</v>
      </c>
      <c r="Z3679">
        <v>-533</v>
      </c>
      <c r="AA3679">
        <v>692478</v>
      </c>
      <c r="AD3679" t="s">
        <v>64</v>
      </c>
      <c r="AE3679" t="s">
        <v>9671</v>
      </c>
      <c r="AF3679" t="s">
        <v>64</v>
      </c>
      <c r="AG3679" s="1" t="s">
        <v>9672</v>
      </c>
      <c r="AH3679" t="s">
        <v>44</v>
      </c>
    </row>
    <row r="3680" spans="1:34" x14ac:dyDescent="0.3">
      <c r="A3680">
        <v>101</v>
      </c>
      <c r="B3680" t="s">
        <v>34</v>
      </c>
      <c r="C3680">
        <v>2</v>
      </c>
      <c r="D3680" s="1" t="s">
        <v>9673</v>
      </c>
      <c r="E3680" s="1" t="s">
        <v>36</v>
      </c>
      <c r="G3680">
        <v>436662</v>
      </c>
      <c r="H3680" t="s">
        <v>9669</v>
      </c>
      <c r="I3680" t="s">
        <v>2413</v>
      </c>
      <c r="J3680">
        <v>30</v>
      </c>
      <c r="K3680">
        <v>2695</v>
      </c>
      <c r="L3680">
        <v>95000</v>
      </c>
      <c r="M3680" t="s">
        <v>69</v>
      </c>
      <c r="N3680">
        <v>691</v>
      </c>
      <c r="O3680" s="2">
        <v>46197</v>
      </c>
      <c r="P3680" s="2">
        <v>46308</v>
      </c>
      <c r="R3680" t="s">
        <v>9674</v>
      </c>
      <c r="S3680" t="str">
        <f>""</f>
        <v/>
      </c>
      <c r="T3680" t="s">
        <v>41</v>
      </c>
      <c r="U3680">
        <v>900.85</v>
      </c>
      <c r="V3680">
        <v>890.94</v>
      </c>
      <c r="W3680">
        <v>890.94</v>
      </c>
      <c r="X3680">
        <v>0</v>
      </c>
      <c r="Y3680">
        <v>0</v>
      </c>
      <c r="Z3680">
        <v>-533</v>
      </c>
      <c r="AA3680">
        <v>692240</v>
      </c>
      <c r="AD3680" t="s">
        <v>64</v>
      </c>
      <c r="AE3680" t="s">
        <v>9671</v>
      </c>
      <c r="AF3680" t="s">
        <v>64</v>
      </c>
      <c r="AG3680" s="1" t="s">
        <v>9672</v>
      </c>
      <c r="AH3680" t="s">
        <v>44</v>
      </c>
    </row>
    <row r="3681" spans="1:34" x14ac:dyDescent="0.3">
      <c r="A3681">
        <v>101</v>
      </c>
      <c r="B3681" t="s">
        <v>34</v>
      </c>
      <c r="C3681">
        <v>2</v>
      </c>
      <c r="D3681" s="1" t="s">
        <v>9675</v>
      </c>
      <c r="E3681" s="1" t="s">
        <v>36</v>
      </c>
      <c r="G3681">
        <v>436662</v>
      </c>
      <c r="H3681" t="s">
        <v>9669</v>
      </c>
      <c r="I3681" t="s">
        <v>2413</v>
      </c>
      <c r="J3681">
        <v>30</v>
      </c>
      <c r="K3681">
        <v>2695</v>
      </c>
      <c r="L3681">
        <v>95000</v>
      </c>
      <c r="M3681" t="s">
        <v>69</v>
      </c>
      <c r="N3681">
        <v>691</v>
      </c>
      <c r="O3681" s="2">
        <v>46170</v>
      </c>
      <c r="P3681" s="2">
        <v>46276</v>
      </c>
      <c r="R3681" t="s">
        <v>9676</v>
      </c>
      <c r="S3681" t="str">
        <f>""</f>
        <v/>
      </c>
      <c r="T3681" t="s">
        <v>41</v>
      </c>
      <c r="U3681">
        <v>6066.99</v>
      </c>
      <c r="V3681">
        <v>6000.25</v>
      </c>
      <c r="W3681">
        <v>6000.25</v>
      </c>
      <c r="X3681">
        <v>0</v>
      </c>
      <c r="Y3681">
        <v>0</v>
      </c>
      <c r="Z3681">
        <v>-501</v>
      </c>
      <c r="AA3681">
        <v>689280</v>
      </c>
      <c r="AD3681" t="s">
        <v>64</v>
      </c>
      <c r="AE3681" t="s">
        <v>9671</v>
      </c>
      <c r="AF3681" t="s">
        <v>64</v>
      </c>
      <c r="AG3681" s="1" t="s">
        <v>9672</v>
      </c>
      <c r="AH3681" t="s">
        <v>44</v>
      </c>
    </row>
    <row r="3682" spans="1:34" x14ac:dyDescent="0.3">
      <c r="A3682">
        <v>101</v>
      </c>
      <c r="B3682" t="s">
        <v>34</v>
      </c>
      <c r="C3682">
        <v>2</v>
      </c>
      <c r="D3682" s="1" t="s">
        <v>9677</v>
      </c>
      <c r="E3682" s="1" t="s">
        <v>36</v>
      </c>
      <c r="G3682">
        <v>436662</v>
      </c>
      <c r="H3682" t="s">
        <v>9669</v>
      </c>
      <c r="I3682" t="s">
        <v>2413</v>
      </c>
      <c r="J3682">
        <v>30</v>
      </c>
      <c r="K3682">
        <v>2695</v>
      </c>
      <c r="L3682">
        <v>95000</v>
      </c>
      <c r="M3682" t="s">
        <v>69</v>
      </c>
      <c r="N3682">
        <v>691</v>
      </c>
      <c r="O3682" s="2">
        <v>46171</v>
      </c>
      <c r="P3682" s="2">
        <v>46276</v>
      </c>
      <c r="R3682" t="s">
        <v>9678</v>
      </c>
      <c r="S3682" t="str">
        <f>""</f>
        <v/>
      </c>
      <c r="T3682" t="s">
        <v>41</v>
      </c>
      <c r="U3682">
        <v>2846.4</v>
      </c>
      <c r="V3682">
        <v>2815.09</v>
      </c>
      <c r="W3682">
        <v>2815.09</v>
      </c>
      <c r="X3682">
        <v>0</v>
      </c>
      <c r="Y3682">
        <v>0</v>
      </c>
      <c r="Z3682">
        <v>-501</v>
      </c>
      <c r="AA3682">
        <v>689280</v>
      </c>
      <c r="AD3682" t="s">
        <v>64</v>
      </c>
      <c r="AE3682" t="s">
        <v>9671</v>
      </c>
      <c r="AF3682" t="s">
        <v>64</v>
      </c>
      <c r="AG3682" s="1" t="s">
        <v>9672</v>
      </c>
      <c r="AH3682" t="s">
        <v>44</v>
      </c>
    </row>
    <row r="3683" spans="1:34" x14ac:dyDescent="0.3">
      <c r="A3683">
        <v>101</v>
      </c>
      <c r="B3683" t="s">
        <v>34</v>
      </c>
      <c r="C3683">
        <v>2</v>
      </c>
      <c r="D3683" s="1" t="s">
        <v>9679</v>
      </c>
      <c r="E3683" s="1" t="s">
        <v>36</v>
      </c>
      <c r="G3683">
        <v>436662</v>
      </c>
      <c r="H3683" t="s">
        <v>9669</v>
      </c>
      <c r="I3683" t="s">
        <v>2413</v>
      </c>
      <c r="J3683">
        <v>30</v>
      </c>
      <c r="K3683">
        <v>2695</v>
      </c>
      <c r="L3683">
        <v>95000</v>
      </c>
      <c r="M3683" t="s">
        <v>69</v>
      </c>
      <c r="N3683">
        <v>691</v>
      </c>
      <c r="O3683" s="2">
        <v>46140</v>
      </c>
      <c r="P3683" s="2">
        <v>46255</v>
      </c>
      <c r="R3683" t="s">
        <v>9680</v>
      </c>
      <c r="S3683" t="str">
        <f>""</f>
        <v/>
      </c>
      <c r="T3683" t="s">
        <v>41</v>
      </c>
      <c r="U3683">
        <v>4749.2299999999996</v>
      </c>
      <c r="V3683">
        <v>4696.99</v>
      </c>
      <c r="W3683">
        <v>4696.99</v>
      </c>
      <c r="X3683">
        <v>0</v>
      </c>
      <c r="Y3683">
        <v>0</v>
      </c>
      <c r="Z3683">
        <v>-480</v>
      </c>
      <c r="AA3683">
        <v>686679</v>
      </c>
      <c r="AD3683" t="s">
        <v>64</v>
      </c>
      <c r="AE3683" t="s">
        <v>9671</v>
      </c>
      <c r="AF3683" t="s">
        <v>64</v>
      </c>
      <c r="AG3683" s="1" t="s">
        <v>9672</v>
      </c>
      <c r="AH3683" t="s">
        <v>44</v>
      </c>
    </row>
    <row r="3684" spans="1:34" x14ac:dyDescent="0.3">
      <c r="A3684">
        <v>101</v>
      </c>
      <c r="B3684" t="s">
        <v>34</v>
      </c>
      <c r="C3684">
        <v>2</v>
      </c>
      <c r="D3684" s="1" t="s">
        <v>9681</v>
      </c>
      <c r="E3684" s="1" t="s">
        <v>36</v>
      </c>
      <c r="G3684">
        <v>436663</v>
      </c>
      <c r="H3684" t="s">
        <v>9682</v>
      </c>
      <c r="I3684" t="s">
        <v>2413</v>
      </c>
      <c r="J3684">
        <v>30</v>
      </c>
      <c r="K3684">
        <v>2695</v>
      </c>
      <c r="L3684">
        <v>95000</v>
      </c>
      <c r="M3684" t="s">
        <v>69</v>
      </c>
      <c r="N3684">
        <v>691</v>
      </c>
      <c r="O3684" s="2">
        <v>46197</v>
      </c>
      <c r="P3684" s="2">
        <v>46308</v>
      </c>
      <c r="R3684" t="s">
        <v>9683</v>
      </c>
      <c r="S3684" t="str">
        <f>""</f>
        <v/>
      </c>
      <c r="T3684" t="s">
        <v>41</v>
      </c>
      <c r="U3684">
        <v>3898.6</v>
      </c>
      <c r="V3684">
        <v>3855.72</v>
      </c>
      <c r="W3684">
        <v>3855.72</v>
      </c>
      <c r="X3684">
        <v>0</v>
      </c>
      <c r="Y3684">
        <v>0</v>
      </c>
      <c r="Z3684">
        <v>-533</v>
      </c>
      <c r="AA3684">
        <v>692242</v>
      </c>
      <c r="AD3684" t="s">
        <v>64</v>
      </c>
      <c r="AF3684" t="s">
        <v>64</v>
      </c>
      <c r="AG3684" s="1" t="s">
        <v>9684</v>
      </c>
      <c r="AH3684" t="s">
        <v>44</v>
      </c>
    </row>
    <row r="3685" spans="1:34" x14ac:dyDescent="0.3">
      <c r="A3685">
        <v>101</v>
      </c>
      <c r="B3685" t="s">
        <v>34</v>
      </c>
      <c r="C3685">
        <v>2</v>
      </c>
      <c r="D3685" s="1" t="s">
        <v>9685</v>
      </c>
      <c r="E3685" s="1" t="s">
        <v>36</v>
      </c>
      <c r="G3685">
        <v>436663</v>
      </c>
      <c r="H3685" t="s">
        <v>9682</v>
      </c>
      <c r="I3685" t="s">
        <v>2413</v>
      </c>
      <c r="J3685">
        <v>30</v>
      </c>
      <c r="K3685">
        <v>2695</v>
      </c>
      <c r="L3685">
        <v>95000</v>
      </c>
      <c r="M3685" t="s">
        <v>69</v>
      </c>
      <c r="N3685">
        <v>691</v>
      </c>
      <c r="O3685" s="2">
        <v>46170</v>
      </c>
      <c r="P3685" s="2">
        <v>46276</v>
      </c>
      <c r="R3685" t="s">
        <v>9686</v>
      </c>
      <c r="S3685" t="str">
        <f>""</f>
        <v/>
      </c>
      <c r="T3685" t="s">
        <v>41</v>
      </c>
      <c r="U3685">
        <v>9537.6</v>
      </c>
      <c r="V3685">
        <v>9432.69</v>
      </c>
      <c r="W3685">
        <v>9432.69</v>
      </c>
      <c r="X3685">
        <v>0</v>
      </c>
      <c r="Y3685">
        <v>0</v>
      </c>
      <c r="Z3685">
        <v>-501</v>
      </c>
      <c r="AA3685">
        <v>689282</v>
      </c>
      <c r="AD3685" t="s">
        <v>64</v>
      </c>
      <c r="AF3685" t="s">
        <v>64</v>
      </c>
      <c r="AG3685" s="1" t="s">
        <v>9684</v>
      </c>
      <c r="AH3685" t="s">
        <v>44</v>
      </c>
    </row>
    <row r="3686" spans="1:34" x14ac:dyDescent="0.3">
      <c r="A3686">
        <v>101</v>
      </c>
      <c r="B3686" t="s">
        <v>34</v>
      </c>
      <c r="C3686">
        <v>2</v>
      </c>
      <c r="D3686" s="1" t="s">
        <v>9687</v>
      </c>
      <c r="E3686" s="1" t="s">
        <v>36</v>
      </c>
      <c r="G3686">
        <v>436663</v>
      </c>
      <c r="H3686" t="s">
        <v>9682</v>
      </c>
      <c r="I3686" t="s">
        <v>2413</v>
      </c>
      <c r="J3686">
        <v>30</v>
      </c>
      <c r="K3686">
        <v>2695</v>
      </c>
      <c r="L3686">
        <v>95000</v>
      </c>
      <c r="M3686" t="s">
        <v>69</v>
      </c>
      <c r="N3686">
        <v>691</v>
      </c>
      <c r="O3686" s="2">
        <v>46140</v>
      </c>
      <c r="P3686" s="2">
        <v>46266</v>
      </c>
      <c r="R3686" t="s">
        <v>9688</v>
      </c>
      <c r="S3686" t="str">
        <f>""</f>
        <v/>
      </c>
      <c r="T3686" t="s">
        <v>41</v>
      </c>
      <c r="U3686">
        <v>3771.09</v>
      </c>
      <c r="V3686">
        <v>3729.61</v>
      </c>
      <c r="W3686">
        <v>3729.61</v>
      </c>
      <c r="X3686">
        <v>0</v>
      </c>
      <c r="Y3686">
        <v>0</v>
      </c>
      <c r="Z3686">
        <v>-491</v>
      </c>
      <c r="AA3686">
        <v>686681</v>
      </c>
      <c r="AD3686" t="s">
        <v>64</v>
      </c>
      <c r="AF3686" t="s">
        <v>64</v>
      </c>
      <c r="AG3686" s="1" t="s">
        <v>9684</v>
      </c>
      <c r="AH3686" t="s">
        <v>44</v>
      </c>
    </row>
    <row r="3687" spans="1:34" x14ac:dyDescent="0.3">
      <c r="A3687">
        <v>101</v>
      </c>
      <c r="B3687" t="s">
        <v>34</v>
      </c>
      <c r="C3687">
        <v>2</v>
      </c>
      <c r="D3687" s="1" t="s">
        <v>9689</v>
      </c>
      <c r="E3687" s="1" t="s">
        <v>36</v>
      </c>
      <c r="G3687">
        <v>436663</v>
      </c>
      <c r="H3687" t="s">
        <v>9682</v>
      </c>
      <c r="I3687" t="s">
        <v>2413</v>
      </c>
      <c r="J3687">
        <v>30</v>
      </c>
      <c r="K3687">
        <v>2695</v>
      </c>
      <c r="L3687">
        <v>95000</v>
      </c>
      <c r="M3687" t="s">
        <v>69</v>
      </c>
      <c r="N3687">
        <v>691</v>
      </c>
      <c r="O3687" s="2">
        <v>46171</v>
      </c>
      <c r="P3687" s="2">
        <v>46276</v>
      </c>
      <c r="R3687" t="s">
        <v>9690</v>
      </c>
      <c r="S3687" t="str">
        <f>""</f>
        <v/>
      </c>
      <c r="T3687" t="s">
        <v>41</v>
      </c>
      <c r="U3687">
        <v>2846.4</v>
      </c>
      <c r="V3687">
        <v>2815.09</v>
      </c>
      <c r="W3687">
        <v>2815.09</v>
      </c>
      <c r="X3687">
        <v>0</v>
      </c>
      <c r="Y3687">
        <v>0</v>
      </c>
      <c r="Z3687">
        <v>-501</v>
      </c>
      <c r="AA3687">
        <v>689282</v>
      </c>
      <c r="AD3687" t="s">
        <v>64</v>
      </c>
      <c r="AF3687" t="s">
        <v>64</v>
      </c>
      <c r="AG3687" s="1" t="s">
        <v>9684</v>
      </c>
      <c r="AH3687" t="s">
        <v>44</v>
      </c>
    </row>
    <row r="3688" spans="1:34" x14ac:dyDescent="0.3">
      <c r="A3688">
        <v>101</v>
      </c>
      <c r="B3688" t="s">
        <v>34</v>
      </c>
      <c r="C3688">
        <v>2</v>
      </c>
      <c r="D3688" s="1" t="s">
        <v>9691</v>
      </c>
      <c r="E3688" s="1" t="s">
        <v>36</v>
      </c>
      <c r="G3688">
        <v>436663</v>
      </c>
      <c r="H3688" t="s">
        <v>9682</v>
      </c>
      <c r="I3688" t="s">
        <v>2413</v>
      </c>
      <c r="J3688">
        <v>30</v>
      </c>
      <c r="K3688">
        <v>2695</v>
      </c>
      <c r="L3688">
        <v>95000</v>
      </c>
      <c r="M3688" t="s">
        <v>69</v>
      </c>
      <c r="N3688">
        <v>691</v>
      </c>
      <c r="O3688" s="2">
        <v>46226</v>
      </c>
      <c r="P3688" s="2">
        <v>46316</v>
      </c>
      <c r="R3688" t="s">
        <v>9692</v>
      </c>
      <c r="S3688" t="str">
        <f>""</f>
        <v/>
      </c>
      <c r="T3688" t="s">
        <v>41</v>
      </c>
      <c r="U3688">
        <v>6665.98</v>
      </c>
      <c r="V3688">
        <v>6592.65</v>
      </c>
      <c r="W3688">
        <v>6592.65</v>
      </c>
      <c r="X3688">
        <v>0</v>
      </c>
      <c r="Y3688">
        <v>0</v>
      </c>
      <c r="Z3688">
        <v>-541</v>
      </c>
      <c r="AA3688">
        <v>694863</v>
      </c>
      <c r="AD3688" t="s">
        <v>64</v>
      </c>
      <c r="AF3688" t="s">
        <v>64</v>
      </c>
      <c r="AG3688" s="1" t="s">
        <v>9684</v>
      </c>
      <c r="AH3688" t="s">
        <v>44</v>
      </c>
    </row>
    <row r="3689" spans="1:34" x14ac:dyDescent="0.3">
      <c r="A3689">
        <v>101</v>
      </c>
      <c r="B3689" t="s">
        <v>34</v>
      </c>
      <c r="C3689">
        <v>2</v>
      </c>
      <c r="D3689" s="1" t="s">
        <v>9693</v>
      </c>
      <c r="E3689" s="1" t="s">
        <v>36</v>
      </c>
      <c r="G3689">
        <v>436664</v>
      </c>
      <c r="H3689" t="s">
        <v>9694</v>
      </c>
      <c r="I3689" t="s">
        <v>2413</v>
      </c>
      <c r="J3689">
        <v>30</v>
      </c>
      <c r="K3689">
        <v>2695</v>
      </c>
      <c r="L3689">
        <v>95000</v>
      </c>
      <c r="M3689" t="s">
        <v>69</v>
      </c>
      <c r="N3689">
        <v>691</v>
      </c>
      <c r="O3689" s="2">
        <v>46170</v>
      </c>
      <c r="P3689" s="2">
        <v>46276</v>
      </c>
      <c r="R3689" t="s">
        <v>9695</v>
      </c>
      <c r="S3689" t="str">
        <f>""</f>
        <v/>
      </c>
      <c r="T3689" t="s">
        <v>41</v>
      </c>
      <c r="U3689">
        <v>12671.75</v>
      </c>
      <c r="V3689">
        <v>12532.36</v>
      </c>
      <c r="W3689">
        <v>12532.36</v>
      </c>
      <c r="X3689">
        <v>0</v>
      </c>
      <c r="Y3689">
        <v>0</v>
      </c>
      <c r="Z3689">
        <v>-501</v>
      </c>
      <c r="AA3689">
        <v>689300</v>
      </c>
      <c r="AD3689" t="s">
        <v>64</v>
      </c>
      <c r="AE3689" t="s">
        <v>9696</v>
      </c>
      <c r="AF3689" t="s">
        <v>64</v>
      </c>
      <c r="AG3689" s="1" t="s">
        <v>9697</v>
      </c>
      <c r="AH3689" t="s">
        <v>44</v>
      </c>
    </row>
    <row r="3690" spans="1:34" x14ac:dyDescent="0.3">
      <c r="A3690">
        <v>101</v>
      </c>
      <c r="B3690" t="s">
        <v>34</v>
      </c>
      <c r="C3690">
        <v>2</v>
      </c>
      <c r="D3690" s="1" t="s">
        <v>9698</v>
      </c>
      <c r="E3690" s="1" t="s">
        <v>36</v>
      </c>
      <c r="G3690">
        <v>436664</v>
      </c>
      <c r="H3690" t="s">
        <v>9694</v>
      </c>
      <c r="I3690" t="s">
        <v>2413</v>
      </c>
      <c r="J3690">
        <v>30</v>
      </c>
      <c r="K3690">
        <v>2695</v>
      </c>
      <c r="L3690">
        <v>95000</v>
      </c>
      <c r="M3690" t="s">
        <v>69</v>
      </c>
      <c r="N3690">
        <v>691</v>
      </c>
      <c r="O3690" s="2">
        <v>46226</v>
      </c>
      <c r="P3690" s="2">
        <v>46349</v>
      </c>
      <c r="R3690" t="s">
        <v>9699</v>
      </c>
      <c r="S3690" t="str">
        <f>""</f>
        <v/>
      </c>
      <c r="T3690" t="s">
        <v>41</v>
      </c>
      <c r="U3690">
        <v>6986.45</v>
      </c>
      <c r="V3690">
        <v>6909.6</v>
      </c>
      <c r="W3690">
        <v>6909.6</v>
      </c>
      <c r="X3690">
        <v>0</v>
      </c>
      <c r="Y3690">
        <v>0</v>
      </c>
      <c r="Z3690">
        <v>-574</v>
      </c>
      <c r="AA3690">
        <v>694881</v>
      </c>
      <c r="AD3690" t="s">
        <v>64</v>
      </c>
      <c r="AE3690" t="s">
        <v>9696</v>
      </c>
      <c r="AF3690" t="s">
        <v>64</v>
      </c>
      <c r="AG3690" s="1" t="s">
        <v>9697</v>
      </c>
      <c r="AH3690" t="s">
        <v>44</v>
      </c>
    </row>
    <row r="3691" spans="1:34" x14ac:dyDescent="0.3">
      <c r="A3691">
        <v>101</v>
      </c>
      <c r="B3691" t="s">
        <v>34</v>
      </c>
      <c r="C3691">
        <v>2</v>
      </c>
      <c r="D3691" s="1" t="s">
        <v>9700</v>
      </c>
      <c r="E3691" s="1" t="s">
        <v>36</v>
      </c>
      <c r="G3691">
        <v>436664</v>
      </c>
      <c r="H3691" t="s">
        <v>9694</v>
      </c>
      <c r="I3691" t="s">
        <v>2413</v>
      </c>
      <c r="J3691">
        <v>30</v>
      </c>
      <c r="K3691">
        <v>2695</v>
      </c>
      <c r="L3691">
        <v>95000</v>
      </c>
      <c r="M3691" t="s">
        <v>69</v>
      </c>
      <c r="N3691">
        <v>691</v>
      </c>
      <c r="O3691" s="2">
        <v>46106</v>
      </c>
      <c r="P3691" s="2">
        <v>46266</v>
      </c>
      <c r="R3691" t="s">
        <v>9701</v>
      </c>
      <c r="S3691" t="str">
        <f>""</f>
        <v/>
      </c>
      <c r="T3691" t="s">
        <v>41</v>
      </c>
      <c r="U3691">
        <v>2567.13</v>
      </c>
      <c r="V3691">
        <v>2538.89</v>
      </c>
      <c r="W3691">
        <v>2538.89</v>
      </c>
      <c r="X3691">
        <v>0</v>
      </c>
      <c r="Y3691">
        <v>0</v>
      </c>
      <c r="Z3691">
        <v>-491</v>
      </c>
      <c r="AA3691">
        <v>683630</v>
      </c>
      <c r="AD3691" t="s">
        <v>64</v>
      </c>
      <c r="AE3691" t="s">
        <v>9696</v>
      </c>
      <c r="AF3691" t="s">
        <v>64</v>
      </c>
      <c r="AG3691" s="1" t="s">
        <v>9697</v>
      </c>
      <c r="AH3691" t="s">
        <v>44</v>
      </c>
    </row>
    <row r="3692" spans="1:34" x14ac:dyDescent="0.3">
      <c r="A3692">
        <v>101</v>
      </c>
      <c r="B3692" t="s">
        <v>34</v>
      </c>
      <c r="C3692">
        <v>2</v>
      </c>
      <c r="D3692" s="1" t="s">
        <v>9702</v>
      </c>
      <c r="E3692" s="1" t="s">
        <v>36</v>
      </c>
      <c r="G3692">
        <v>436664</v>
      </c>
      <c r="H3692" t="s">
        <v>9694</v>
      </c>
      <c r="I3692" t="s">
        <v>2413</v>
      </c>
      <c r="J3692">
        <v>30</v>
      </c>
      <c r="K3692">
        <v>2695</v>
      </c>
      <c r="L3692">
        <v>95000</v>
      </c>
      <c r="M3692" t="s">
        <v>69</v>
      </c>
      <c r="N3692">
        <v>691</v>
      </c>
      <c r="O3692" s="2">
        <v>46199</v>
      </c>
      <c r="P3692" s="2">
        <v>46337</v>
      </c>
      <c r="R3692" t="s">
        <v>9703</v>
      </c>
      <c r="S3692" t="str">
        <f>""</f>
        <v/>
      </c>
      <c r="T3692" t="s">
        <v>41</v>
      </c>
      <c r="U3692">
        <v>3388.63</v>
      </c>
      <c r="V3692">
        <v>3351.36</v>
      </c>
      <c r="W3692">
        <v>3351.36</v>
      </c>
      <c r="X3692">
        <v>0</v>
      </c>
      <c r="Y3692">
        <v>0</v>
      </c>
      <c r="Z3692">
        <v>-562</v>
      </c>
      <c r="AA3692">
        <v>692260</v>
      </c>
      <c r="AD3692" t="s">
        <v>64</v>
      </c>
      <c r="AE3692" t="s">
        <v>9696</v>
      </c>
      <c r="AF3692" t="s">
        <v>64</v>
      </c>
      <c r="AG3692" s="1" t="s">
        <v>9697</v>
      </c>
      <c r="AH3692" t="s">
        <v>44</v>
      </c>
    </row>
    <row r="3693" spans="1:34" x14ac:dyDescent="0.3">
      <c r="A3693">
        <v>101</v>
      </c>
      <c r="B3693" t="s">
        <v>34</v>
      </c>
      <c r="C3693">
        <v>2</v>
      </c>
      <c r="D3693" s="1" t="s">
        <v>9704</v>
      </c>
      <c r="E3693" s="1" t="s">
        <v>36</v>
      </c>
      <c r="G3693">
        <v>436664</v>
      </c>
      <c r="H3693" t="s">
        <v>9694</v>
      </c>
      <c r="I3693" t="s">
        <v>2413</v>
      </c>
      <c r="J3693">
        <v>30</v>
      </c>
      <c r="K3693">
        <v>2695</v>
      </c>
      <c r="L3693">
        <v>95000</v>
      </c>
      <c r="M3693" t="s">
        <v>69</v>
      </c>
      <c r="N3693">
        <v>691</v>
      </c>
      <c r="O3693" s="2">
        <v>46141</v>
      </c>
      <c r="P3693" s="2">
        <v>46266</v>
      </c>
      <c r="R3693" t="s">
        <v>9705</v>
      </c>
      <c r="S3693" t="str">
        <f>""</f>
        <v/>
      </c>
      <c r="T3693" t="s">
        <v>41</v>
      </c>
      <c r="U3693">
        <v>16553.080000000002</v>
      </c>
      <c r="V3693">
        <v>16371</v>
      </c>
      <c r="W3693">
        <v>16371</v>
      </c>
      <c r="X3693">
        <v>0</v>
      </c>
      <c r="Y3693">
        <v>0</v>
      </c>
      <c r="Z3693">
        <v>-491</v>
      </c>
      <c r="AA3693">
        <v>686699</v>
      </c>
      <c r="AD3693" t="s">
        <v>64</v>
      </c>
      <c r="AE3693" t="s">
        <v>9696</v>
      </c>
      <c r="AF3693" t="s">
        <v>64</v>
      </c>
      <c r="AG3693" s="1" t="s">
        <v>9697</v>
      </c>
      <c r="AH3693" t="s">
        <v>44</v>
      </c>
    </row>
    <row r="3694" spans="1:34" x14ac:dyDescent="0.3">
      <c r="A3694">
        <v>101</v>
      </c>
      <c r="B3694" t="s">
        <v>34</v>
      </c>
      <c r="C3694">
        <v>2</v>
      </c>
      <c r="D3694" s="1" t="s">
        <v>9706</v>
      </c>
      <c r="E3694" s="1" t="s">
        <v>36</v>
      </c>
      <c r="G3694">
        <v>436664</v>
      </c>
      <c r="H3694" t="s">
        <v>9694</v>
      </c>
      <c r="I3694" t="s">
        <v>2413</v>
      </c>
      <c r="J3694">
        <v>30</v>
      </c>
      <c r="K3694">
        <v>2695</v>
      </c>
      <c r="L3694">
        <v>95000</v>
      </c>
      <c r="M3694" t="s">
        <v>69</v>
      </c>
      <c r="N3694">
        <v>691</v>
      </c>
      <c r="O3694" s="2">
        <v>46171</v>
      </c>
      <c r="P3694" s="2">
        <v>46276</v>
      </c>
      <c r="R3694" t="s">
        <v>9707</v>
      </c>
      <c r="S3694" t="str">
        <f>""</f>
        <v/>
      </c>
      <c r="T3694" t="s">
        <v>41</v>
      </c>
      <c r="U3694">
        <v>2846.4</v>
      </c>
      <c r="V3694">
        <v>2815.09</v>
      </c>
      <c r="W3694">
        <v>2815.09</v>
      </c>
      <c r="X3694">
        <v>0</v>
      </c>
      <c r="Y3694">
        <v>0</v>
      </c>
      <c r="Z3694">
        <v>-501</v>
      </c>
      <c r="AA3694">
        <v>689300</v>
      </c>
      <c r="AD3694" t="s">
        <v>64</v>
      </c>
      <c r="AE3694" t="s">
        <v>9696</v>
      </c>
      <c r="AF3694" t="s">
        <v>64</v>
      </c>
      <c r="AG3694" s="1" t="s">
        <v>9697</v>
      </c>
      <c r="AH3694" t="s">
        <v>44</v>
      </c>
    </row>
    <row r="3695" spans="1:34" x14ac:dyDescent="0.3">
      <c r="A3695">
        <v>101</v>
      </c>
      <c r="B3695" t="s">
        <v>34</v>
      </c>
      <c r="C3695">
        <v>2</v>
      </c>
      <c r="D3695" s="1" t="s">
        <v>9708</v>
      </c>
      <c r="E3695" s="1" t="s">
        <v>36</v>
      </c>
      <c r="G3695">
        <v>436664</v>
      </c>
      <c r="H3695" t="s">
        <v>9694</v>
      </c>
      <c r="I3695" t="s">
        <v>2413</v>
      </c>
      <c r="J3695">
        <v>30</v>
      </c>
      <c r="K3695">
        <v>2695</v>
      </c>
      <c r="L3695">
        <v>95000</v>
      </c>
      <c r="M3695" t="s">
        <v>69</v>
      </c>
      <c r="N3695">
        <v>691</v>
      </c>
      <c r="O3695" s="2">
        <v>46253</v>
      </c>
      <c r="P3695" s="2">
        <v>46343</v>
      </c>
      <c r="R3695" t="s">
        <v>9709</v>
      </c>
      <c r="S3695" t="str">
        <f>""</f>
        <v/>
      </c>
      <c r="T3695" t="s">
        <v>41</v>
      </c>
      <c r="U3695">
        <v>2653.5</v>
      </c>
      <c r="V3695">
        <v>2624.31</v>
      </c>
      <c r="W3695">
        <v>2624.31</v>
      </c>
      <c r="X3695">
        <v>0</v>
      </c>
      <c r="Y3695">
        <v>0</v>
      </c>
      <c r="Z3695">
        <v>-568</v>
      </c>
      <c r="AA3695">
        <v>696941</v>
      </c>
      <c r="AD3695" t="s">
        <v>64</v>
      </c>
      <c r="AE3695" t="s">
        <v>9696</v>
      </c>
      <c r="AF3695" t="s">
        <v>64</v>
      </c>
      <c r="AG3695" s="1" t="s">
        <v>9697</v>
      </c>
      <c r="AH3695" t="s">
        <v>44</v>
      </c>
    </row>
    <row r="3696" spans="1:34" x14ac:dyDescent="0.3">
      <c r="A3696">
        <v>101</v>
      </c>
      <c r="B3696" t="s">
        <v>34</v>
      </c>
      <c r="C3696">
        <v>2</v>
      </c>
      <c r="D3696" s="1" t="s">
        <v>9710</v>
      </c>
      <c r="E3696" s="1" t="s">
        <v>36</v>
      </c>
      <c r="G3696">
        <v>436665</v>
      </c>
      <c r="H3696" t="s">
        <v>9711</v>
      </c>
      <c r="I3696" t="s">
        <v>2413</v>
      </c>
      <c r="J3696">
        <v>30</v>
      </c>
      <c r="K3696">
        <v>2695</v>
      </c>
      <c r="L3696">
        <v>95000</v>
      </c>
      <c r="M3696" t="s">
        <v>69</v>
      </c>
      <c r="N3696">
        <v>691</v>
      </c>
      <c r="O3696" s="2">
        <v>46171</v>
      </c>
      <c r="P3696" s="2">
        <v>46286</v>
      </c>
      <c r="R3696" t="s">
        <v>9712</v>
      </c>
      <c r="S3696" t="str">
        <f>""</f>
        <v/>
      </c>
      <c r="T3696" t="s">
        <v>41</v>
      </c>
      <c r="U3696">
        <v>2846.4</v>
      </c>
      <c r="V3696">
        <v>2815.09</v>
      </c>
      <c r="W3696">
        <v>2815.09</v>
      </c>
      <c r="X3696">
        <v>0</v>
      </c>
      <c r="Y3696">
        <v>0</v>
      </c>
      <c r="Z3696">
        <v>-511</v>
      </c>
      <c r="AA3696">
        <v>689304</v>
      </c>
      <c r="AD3696" t="s">
        <v>64</v>
      </c>
      <c r="AE3696" t="s">
        <v>9713</v>
      </c>
      <c r="AF3696" t="s">
        <v>64</v>
      </c>
      <c r="AG3696" s="1" t="s">
        <v>9714</v>
      </c>
      <c r="AH3696" t="s">
        <v>44</v>
      </c>
    </row>
    <row r="3697" spans="1:34" x14ac:dyDescent="0.3">
      <c r="A3697">
        <v>101</v>
      </c>
      <c r="B3697" t="s">
        <v>34</v>
      </c>
      <c r="C3697">
        <v>2</v>
      </c>
      <c r="D3697" s="1" t="s">
        <v>9715</v>
      </c>
      <c r="E3697" s="1" t="s">
        <v>36</v>
      </c>
      <c r="G3697">
        <v>436665</v>
      </c>
      <c r="H3697" t="s">
        <v>9711</v>
      </c>
      <c r="I3697" t="s">
        <v>2413</v>
      </c>
      <c r="J3697">
        <v>30</v>
      </c>
      <c r="K3697">
        <v>2695</v>
      </c>
      <c r="L3697">
        <v>95000</v>
      </c>
      <c r="M3697" t="s">
        <v>69</v>
      </c>
      <c r="N3697">
        <v>691</v>
      </c>
      <c r="O3697" s="2">
        <v>46170</v>
      </c>
      <c r="P3697" s="2">
        <v>46286</v>
      </c>
      <c r="R3697" t="s">
        <v>9716</v>
      </c>
      <c r="S3697" t="str">
        <f>""</f>
        <v/>
      </c>
      <c r="T3697" t="s">
        <v>41</v>
      </c>
      <c r="U3697">
        <v>11519.1</v>
      </c>
      <c r="V3697">
        <v>11392.39</v>
      </c>
      <c r="W3697">
        <v>11392.39</v>
      </c>
      <c r="X3697">
        <v>0</v>
      </c>
      <c r="Y3697">
        <v>0</v>
      </c>
      <c r="Z3697">
        <v>-511</v>
      </c>
      <c r="AA3697">
        <v>689304</v>
      </c>
      <c r="AD3697" t="s">
        <v>64</v>
      </c>
      <c r="AE3697" t="s">
        <v>9713</v>
      </c>
      <c r="AF3697" t="s">
        <v>64</v>
      </c>
      <c r="AG3697" s="1" t="s">
        <v>9714</v>
      </c>
      <c r="AH3697" t="s">
        <v>44</v>
      </c>
    </row>
    <row r="3698" spans="1:34" x14ac:dyDescent="0.3">
      <c r="A3698">
        <v>101</v>
      </c>
      <c r="B3698" t="s">
        <v>34</v>
      </c>
      <c r="C3698">
        <v>2</v>
      </c>
      <c r="D3698" s="1" t="s">
        <v>9717</v>
      </c>
      <c r="E3698" s="1" t="s">
        <v>36</v>
      </c>
      <c r="G3698">
        <v>436665</v>
      </c>
      <c r="H3698" t="s">
        <v>9711</v>
      </c>
      <c r="I3698" t="s">
        <v>2413</v>
      </c>
      <c r="J3698">
        <v>30</v>
      </c>
      <c r="K3698">
        <v>2695</v>
      </c>
      <c r="L3698">
        <v>95000</v>
      </c>
      <c r="M3698" t="s">
        <v>69</v>
      </c>
      <c r="N3698">
        <v>691</v>
      </c>
      <c r="O3698" s="2">
        <v>46199</v>
      </c>
      <c r="P3698" s="2">
        <v>46329</v>
      </c>
      <c r="R3698" t="s">
        <v>9718</v>
      </c>
      <c r="S3698" t="str">
        <f>""</f>
        <v/>
      </c>
      <c r="T3698" t="s">
        <v>41</v>
      </c>
      <c r="U3698">
        <v>2384</v>
      </c>
      <c r="V3698">
        <v>2357.7800000000002</v>
      </c>
      <c r="W3698">
        <v>2357.7800000000002</v>
      </c>
      <c r="X3698">
        <v>0</v>
      </c>
      <c r="Y3698">
        <v>0</v>
      </c>
      <c r="Z3698">
        <v>-554</v>
      </c>
      <c r="AA3698">
        <v>692264</v>
      </c>
      <c r="AD3698" t="s">
        <v>64</v>
      </c>
      <c r="AE3698" t="s">
        <v>9713</v>
      </c>
      <c r="AF3698" t="s">
        <v>64</v>
      </c>
      <c r="AG3698" s="1" t="s">
        <v>9714</v>
      </c>
      <c r="AH3698" t="s">
        <v>44</v>
      </c>
    </row>
    <row r="3699" spans="1:34" x14ac:dyDescent="0.3">
      <c r="A3699">
        <v>101</v>
      </c>
      <c r="B3699" t="s">
        <v>34</v>
      </c>
      <c r="C3699">
        <v>2</v>
      </c>
      <c r="D3699" s="1" t="s">
        <v>9719</v>
      </c>
      <c r="E3699" s="1" t="s">
        <v>36</v>
      </c>
      <c r="G3699">
        <v>436665</v>
      </c>
      <c r="H3699" t="s">
        <v>9711</v>
      </c>
      <c r="I3699" t="s">
        <v>2413</v>
      </c>
      <c r="J3699">
        <v>30</v>
      </c>
      <c r="K3699">
        <v>2695</v>
      </c>
      <c r="L3699">
        <v>95000</v>
      </c>
      <c r="M3699" t="s">
        <v>69</v>
      </c>
      <c r="N3699">
        <v>691</v>
      </c>
      <c r="O3699" s="2">
        <v>46141</v>
      </c>
      <c r="P3699" s="2">
        <v>46266</v>
      </c>
      <c r="R3699" t="s">
        <v>9720</v>
      </c>
      <c r="S3699" t="str">
        <f>""</f>
        <v/>
      </c>
      <c r="T3699" t="s">
        <v>41</v>
      </c>
      <c r="U3699">
        <v>7092.36</v>
      </c>
      <c r="V3699">
        <v>7014.34</v>
      </c>
      <c r="W3699">
        <v>7014.34</v>
      </c>
      <c r="X3699">
        <v>0</v>
      </c>
      <c r="Y3699">
        <v>0</v>
      </c>
      <c r="Z3699">
        <v>-491</v>
      </c>
      <c r="AA3699">
        <v>686703</v>
      </c>
      <c r="AD3699" t="s">
        <v>64</v>
      </c>
      <c r="AE3699" t="s">
        <v>9713</v>
      </c>
      <c r="AF3699" t="s">
        <v>64</v>
      </c>
      <c r="AG3699" s="1" t="s">
        <v>9714</v>
      </c>
      <c r="AH3699" t="s">
        <v>44</v>
      </c>
    </row>
    <row r="3700" spans="1:34" x14ac:dyDescent="0.3">
      <c r="A3700">
        <v>101</v>
      </c>
      <c r="B3700" t="s">
        <v>34</v>
      </c>
      <c r="C3700">
        <v>2</v>
      </c>
      <c r="D3700" s="1" t="s">
        <v>9721</v>
      </c>
      <c r="E3700" s="1" t="s">
        <v>36</v>
      </c>
      <c r="G3700">
        <v>436665</v>
      </c>
      <c r="H3700" t="s">
        <v>9711</v>
      </c>
      <c r="I3700" t="s">
        <v>2413</v>
      </c>
      <c r="J3700">
        <v>30</v>
      </c>
      <c r="K3700">
        <v>2695</v>
      </c>
      <c r="L3700">
        <v>95000</v>
      </c>
      <c r="M3700" t="s">
        <v>69</v>
      </c>
      <c r="N3700">
        <v>691</v>
      </c>
      <c r="O3700" s="2">
        <v>46226</v>
      </c>
      <c r="P3700" s="2">
        <v>46349</v>
      </c>
      <c r="R3700" t="s">
        <v>9722</v>
      </c>
      <c r="S3700" t="str">
        <f>""</f>
        <v/>
      </c>
      <c r="T3700" t="s">
        <v>41</v>
      </c>
      <c r="U3700">
        <v>6134.62</v>
      </c>
      <c r="V3700">
        <v>6067.14</v>
      </c>
      <c r="W3700">
        <v>6067.14</v>
      </c>
      <c r="X3700">
        <v>0</v>
      </c>
      <c r="Y3700">
        <v>0</v>
      </c>
      <c r="Z3700">
        <v>-574</v>
      </c>
      <c r="AA3700">
        <v>694885</v>
      </c>
      <c r="AD3700" t="s">
        <v>64</v>
      </c>
      <c r="AE3700" t="s">
        <v>9713</v>
      </c>
      <c r="AF3700" t="s">
        <v>64</v>
      </c>
      <c r="AG3700" s="1" t="s">
        <v>9714</v>
      </c>
      <c r="AH3700" t="s">
        <v>44</v>
      </c>
    </row>
    <row r="3701" spans="1:34" x14ac:dyDescent="0.3">
      <c r="A3701">
        <v>101</v>
      </c>
      <c r="B3701" t="s">
        <v>34</v>
      </c>
      <c r="C3701">
        <v>2</v>
      </c>
      <c r="D3701" s="1" t="s">
        <v>9723</v>
      </c>
      <c r="E3701" s="1" t="s">
        <v>36</v>
      </c>
      <c r="G3701">
        <v>436666</v>
      </c>
      <c r="H3701" t="s">
        <v>9724</v>
      </c>
      <c r="I3701" t="s">
        <v>2413</v>
      </c>
      <c r="J3701">
        <v>30</v>
      </c>
      <c r="K3701">
        <v>2695</v>
      </c>
      <c r="L3701">
        <v>95000</v>
      </c>
      <c r="M3701" t="s">
        <v>69</v>
      </c>
      <c r="N3701">
        <v>691</v>
      </c>
      <c r="O3701" s="2">
        <v>46141</v>
      </c>
      <c r="P3701" s="2">
        <v>46255</v>
      </c>
      <c r="R3701" t="s">
        <v>9725</v>
      </c>
      <c r="S3701" t="str">
        <f>""</f>
        <v/>
      </c>
      <c r="T3701" t="s">
        <v>41</v>
      </c>
      <c r="U3701">
        <v>8864.6</v>
      </c>
      <c r="V3701">
        <v>8767.09</v>
      </c>
      <c r="W3701">
        <v>8767.09</v>
      </c>
      <c r="X3701">
        <v>0</v>
      </c>
      <c r="Y3701">
        <v>0</v>
      </c>
      <c r="Z3701">
        <v>-480</v>
      </c>
      <c r="AA3701">
        <v>686695</v>
      </c>
      <c r="AD3701" t="s">
        <v>2873</v>
      </c>
      <c r="AE3701" t="s">
        <v>9726</v>
      </c>
      <c r="AF3701" t="s">
        <v>2873</v>
      </c>
      <c r="AG3701" s="1" t="s">
        <v>9727</v>
      </c>
      <c r="AH3701" t="s">
        <v>44</v>
      </c>
    </row>
    <row r="3702" spans="1:34" x14ac:dyDescent="0.3">
      <c r="A3702">
        <v>101</v>
      </c>
      <c r="B3702" t="s">
        <v>34</v>
      </c>
      <c r="C3702">
        <v>2</v>
      </c>
      <c r="D3702" s="1" t="s">
        <v>9728</v>
      </c>
      <c r="E3702" s="1" t="s">
        <v>36</v>
      </c>
      <c r="G3702">
        <v>436666</v>
      </c>
      <c r="H3702" t="s">
        <v>9724</v>
      </c>
      <c r="I3702" t="s">
        <v>2413</v>
      </c>
      <c r="J3702">
        <v>30</v>
      </c>
      <c r="K3702">
        <v>2695</v>
      </c>
      <c r="L3702">
        <v>95000</v>
      </c>
      <c r="M3702" t="s">
        <v>69</v>
      </c>
      <c r="N3702">
        <v>691</v>
      </c>
      <c r="O3702" s="2">
        <v>46226</v>
      </c>
      <c r="P3702" s="2">
        <v>46316</v>
      </c>
      <c r="R3702" t="s">
        <v>9729</v>
      </c>
      <c r="S3702" t="str">
        <f>""</f>
        <v/>
      </c>
      <c r="T3702" t="s">
        <v>41</v>
      </c>
      <c r="U3702">
        <v>2416.8000000000002</v>
      </c>
      <c r="V3702">
        <v>2390.2199999999998</v>
      </c>
      <c r="W3702">
        <v>2390.2199999999998</v>
      </c>
      <c r="X3702">
        <v>0</v>
      </c>
      <c r="Y3702">
        <v>0</v>
      </c>
      <c r="Z3702">
        <v>-541</v>
      </c>
      <c r="AA3702">
        <v>694877</v>
      </c>
      <c r="AD3702" t="s">
        <v>2873</v>
      </c>
      <c r="AE3702" t="s">
        <v>9726</v>
      </c>
      <c r="AF3702" t="s">
        <v>2873</v>
      </c>
      <c r="AG3702" s="1" t="s">
        <v>9727</v>
      </c>
      <c r="AH3702" t="s">
        <v>44</v>
      </c>
    </row>
    <row r="3703" spans="1:34" x14ac:dyDescent="0.3">
      <c r="A3703">
        <v>101</v>
      </c>
      <c r="B3703" t="s">
        <v>34</v>
      </c>
      <c r="C3703">
        <v>2</v>
      </c>
      <c r="D3703" s="1" t="s">
        <v>9730</v>
      </c>
      <c r="E3703" s="1" t="s">
        <v>36</v>
      </c>
      <c r="G3703">
        <v>436666</v>
      </c>
      <c r="H3703" t="s">
        <v>9724</v>
      </c>
      <c r="I3703" t="s">
        <v>2413</v>
      </c>
      <c r="J3703">
        <v>30</v>
      </c>
      <c r="K3703">
        <v>2695</v>
      </c>
      <c r="L3703">
        <v>95000</v>
      </c>
      <c r="M3703" t="s">
        <v>69</v>
      </c>
      <c r="N3703">
        <v>691</v>
      </c>
      <c r="O3703" s="2">
        <v>46170</v>
      </c>
      <c r="P3703" s="2">
        <v>46296</v>
      </c>
      <c r="R3703" t="s">
        <v>9731</v>
      </c>
      <c r="S3703" t="str">
        <f>""</f>
        <v/>
      </c>
      <c r="T3703" t="s">
        <v>41</v>
      </c>
      <c r="U3703">
        <v>12031.14</v>
      </c>
      <c r="V3703">
        <v>11898.8</v>
      </c>
      <c r="W3703">
        <v>11898.8</v>
      </c>
      <c r="X3703">
        <v>0</v>
      </c>
      <c r="Y3703">
        <v>0</v>
      </c>
      <c r="Z3703">
        <v>-521</v>
      </c>
      <c r="AA3703">
        <v>689296</v>
      </c>
      <c r="AD3703" t="s">
        <v>2873</v>
      </c>
      <c r="AE3703" t="s">
        <v>9726</v>
      </c>
      <c r="AF3703" t="s">
        <v>2873</v>
      </c>
      <c r="AG3703" s="1" t="s">
        <v>9727</v>
      </c>
      <c r="AH3703" t="s">
        <v>44</v>
      </c>
    </row>
    <row r="3704" spans="1:34" x14ac:dyDescent="0.3">
      <c r="A3704">
        <v>101</v>
      </c>
      <c r="B3704" t="s">
        <v>34</v>
      </c>
      <c r="C3704">
        <v>2</v>
      </c>
      <c r="D3704" s="1" t="s">
        <v>9732</v>
      </c>
      <c r="E3704" s="1" t="s">
        <v>36</v>
      </c>
      <c r="G3704">
        <v>436666</v>
      </c>
      <c r="H3704" t="s">
        <v>9724</v>
      </c>
      <c r="I3704" t="s">
        <v>2413</v>
      </c>
      <c r="J3704">
        <v>30</v>
      </c>
      <c r="K3704">
        <v>2695</v>
      </c>
      <c r="L3704">
        <v>95000</v>
      </c>
      <c r="M3704" t="s">
        <v>69</v>
      </c>
      <c r="N3704">
        <v>691</v>
      </c>
      <c r="O3704" s="2">
        <v>46185</v>
      </c>
      <c r="P3704" s="2">
        <v>46296</v>
      </c>
      <c r="R3704" t="s">
        <v>9733</v>
      </c>
      <c r="S3704" t="str">
        <f>""</f>
        <v/>
      </c>
      <c r="T3704" t="s">
        <v>41</v>
      </c>
      <c r="U3704">
        <v>2846.4</v>
      </c>
      <c r="V3704">
        <v>2815.09</v>
      </c>
      <c r="W3704">
        <v>2815.09</v>
      </c>
      <c r="X3704">
        <v>0</v>
      </c>
      <c r="Y3704">
        <v>0</v>
      </c>
      <c r="Z3704">
        <v>-521</v>
      </c>
      <c r="AA3704">
        <v>689296</v>
      </c>
      <c r="AD3704" t="s">
        <v>2873</v>
      </c>
      <c r="AE3704" t="s">
        <v>9726</v>
      </c>
      <c r="AF3704" t="s">
        <v>2873</v>
      </c>
      <c r="AG3704" s="1" t="s">
        <v>9727</v>
      </c>
      <c r="AH3704" t="s">
        <v>44</v>
      </c>
    </row>
    <row r="3705" spans="1:34" x14ac:dyDescent="0.3">
      <c r="A3705">
        <v>101</v>
      </c>
      <c r="B3705" t="s">
        <v>34</v>
      </c>
      <c r="C3705">
        <v>2</v>
      </c>
      <c r="D3705" s="1" t="s">
        <v>9734</v>
      </c>
      <c r="E3705" s="1" t="s">
        <v>36</v>
      </c>
      <c r="G3705">
        <v>436666</v>
      </c>
      <c r="H3705" t="s">
        <v>9724</v>
      </c>
      <c r="I3705" t="s">
        <v>2413</v>
      </c>
      <c r="J3705">
        <v>30</v>
      </c>
      <c r="K3705">
        <v>2695</v>
      </c>
      <c r="L3705">
        <v>95000</v>
      </c>
      <c r="M3705" t="s">
        <v>69</v>
      </c>
      <c r="N3705">
        <v>691</v>
      </c>
      <c r="O3705" s="2">
        <v>46199</v>
      </c>
      <c r="P3705" s="2">
        <v>46329</v>
      </c>
      <c r="R3705" t="s">
        <v>9735</v>
      </c>
      <c r="S3705" t="str">
        <f>""</f>
        <v/>
      </c>
      <c r="T3705" t="s">
        <v>41</v>
      </c>
      <c r="U3705">
        <v>17267.62</v>
      </c>
      <c r="V3705">
        <v>17077.68</v>
      </c>
      <c r="W3705">
        <v>17077.68</v>
      </c>
      <c r="X3705">
        <v>0</v>
      </c>
      <c r="Y3705">
        <v>0</v>
      </c>
      <c r="Z3705">
        <v>-554</v>
      </c>
      <c r="AA3705">
        <v>692256</v>
      </c>
      <c r="AD3705" t="s">
        <v>2873</v>
      </c>
      <c r="AE3705" t="s">
        <v>9726</v>
      </c>
      <c r="AF3705" t="s">
        <v>2873</v>
      </c>
      <c r="AG3705" s="1" t="s">
        <v>9727</v>
      </c>
      <c r="AH3705" t="s">
        <v>44</v>
      </c>
    </row>
    <row r="3706" spans="1:34" x14ac:dyDescent="0.3">
      <c r="A3706">
        <v>101</v>
      </c>
      <c r="B3706" t="s">
        <v>34</v>
      </c>
      <c r="C3706">
        <v>2</v>
      </c>
      <c r="D3706" s="1" t="s">
        <v>9736</v>
      </c>
      <c r="E3706" s="1" t="s">
        <v>36</v>
      </c>
      <c r="G3706">
        <v>436667</v>
      </c>
      <c r="H3706" t="s">
        <v>9737</v>
      </c>
      <c r="I3706" t="s">
        <v>2413</v>
      </c>
      <c r="J3706">
        <v>30</v>
      </c>
      <c r="K3706">
        <v>2695</v>
      </c>
      <c r="L3706">
        <v>95000</v>
      </c>
      <c r="M3706" t="s">
        <v>69</v>
      </c>
      <c r="N3706">
        <v>691</v>
      </c>
      <c r="O3706" s="2">
        <v>46171</v>
      </c>
      <c r="P3706" s="2">
        <v>46286</v>
      </c>
      <c r="R3706" t="s">
        <v>9738</v>
      </c>
      <c r="S3706" t="str">
        <f>""</f>
        <v/>
      </c>
      <c r="T3706" t="s">
        <v>41</v>
      </c>
      <c r="U3706">
        <v>2846.4</v>
      </c>
      <c r="V3706">
        <v>2815.09</v>
      </c>
      <c r="W3706">
        <v>2815.09</v>
      </c>
      <c r="X3706">
        <v>0</v>
      </c>
      <c r="Y3706">
        <v>0</v>
      </c>
      <c r="Z3706">
        <v>-511</v>
      </c>
      <c r="AA3706">
        <v>689292</v>
      </c>
      <c r="AD3706" t="s">
        <v>64</v>
      </c>
      <c r="AF3706" t="s">
        <v>64</v>
      </c>
      <c r="AG3706" s="1" t="s">
        <v>9739</v>
      </c>
      <c r="AH3706" t="s">
        <v>44</v>
      </c>
    </row>
    <row r="3707" spans="1:34" x14ac:dyDescent="0.3">
      <c r="A3707">
        <v>101</v>
      </c>
      <c r="B3707" t="s">
        <v>34</v>
      </c>
      <c r="C3707">
        <v>2</v>
      </c>
      <c r="D3707" s="1" t="s">
        <v>9740</v>
      </c>
      <c r="E3707" s="1" t="s">
        <v>36</v>
      </c>
      <c r="G3707">
        <v>436667</v>
      </c>
      <c r="H3707" t="s">
        <v>9737</v>
      </c>
      <c r="I3707" t="s">
        <v>2413</v>
      </c>
      <c r="J3707">
        <v>30</v>
      </c>
      <c r="K3707">
        <v>2695</v>
      </c>
      <c r="L3707">
        <v>95000</v>
      </c>
      <c r="M3707" t="s">
        <v>69</v>
      </c>
      <c r="N3707">
        <v>691</v>
      </c>
      <c r="O3707" s="2">
        <v>46197</v>
      </c>
      <c r="P3707" s="2">
        <v>46308</v>
      </c>
      <c r="R3707" t="s">
        <v>9741</v>
      </c>
      <c r="S3707" t="str">
        <f>""</f>
        <v/>
      </c>
      <c r="T3707" t="s">
        <v>41</v>
      </c>
      <c r="U3707">
        <v>7074.47</v>
      </c>
      <c r="V3707">
        <v>6996.65</v>
      </c>
      <c r="W3707">
        <v>6996.65</v>
      </c>
      <c r="X3707">
        <v>0</v>
      </c>
      <c r="Y3707">
        <v>0</v>
      </c>
      <c r="Z3707">
        <v>-533</v>
      </c>
      <c r="AA3707">
        <v>692252</v>
      </c>
      <c r="AD3707" t="s">
        <v>64</v>
      </c>
      <c r="AF3707" t="s">
        <v>64</v>
      </c>
      <c r="AG3707" s="1" t="s">
        <v>9739</v>
      </c>
      <c r="AH3707" t="s">
        <v>44</v>
      </c>
    </row>
    <row r="3708" spans="1:34" x14ac:dyDescent="0.3">
      <c r="A3708">
        <v>101</v>
      </c>
      <c r="B3708" t="s">
        <v>34</v>
      </c>
      <c r="C3708">
        <v>2</v>
      </c>
      <c r="D3708" s="1" t="s">
        <v>9742</v>
      </c>
      <c r="E3708" s="1" t="s">
        <v>36</v>
      </c>
      <c r="G3708">
        <v>436667</v>
      </c>
      <c r="H3708" t="s">
        <v>9737</v>
      </c>
      <c r="I3708" t="s">
        <v>2413</v>
      </c>
      <c r="J3708">
        <v>30</v>
      </c>
      <c r="K3708">
        <v>2695</v>
      </c>
      <c r="L3708">
        <v>95000</v>
      </c>
      <c r="M3708" t="s">
        <v>69</v>
      </c>
      <c r="N3708">
        <v>691</v>
      </c>
      <c r="O3708" s="2">
        <v>46170</v>
      </c>
      <c r="P3708" s="2">
        <v>46286</v>
      </c>
      <c r="R3708" t="s">
        <v>9743</v>
      </c>
      <c r="S3708" t="str">
        <f>""</f>
        <v/>
      </c>
      <c r="T3708" t="s">
        <v>41</v>
      </c>
      <c r="U3708">
        <v>10445.02</v>
      </c>
      <c r="V3708">
        <v>10330.120000000001</v>
      </c>
      <c r="W3708">
        <v>10330.120000000001</v>
      </c>
      <c r="X3708">
        <v>0</v>
      </c>
      <c r="Y3708">
        <v>0</v>
      </c>
      <c r="Z3708">
        <v>-511</v>
      </c>
      <c r="AA3708">
        <v>689292</v>
      </c>
      <c r="AD3708" t="s">
        <v>64</v>
      </c>
      <c r="AF3708" t="s">
        <v>64</v>
      </c>
      <c r="AG3708" s="1" t="s">
        <v>9739</v>
      </c>
      <c r="AH3708" t="s">
        <v>44</v>
      </c>
    </row>
    <row r="3709" spans="1:34" x14ac:dyDescent="0.3">
      <c r="A3709">
        <v>101</v>
      </c>
      <c r="B3709" t="s">
        <v>34</v>
      </c>
      <c r="C3709">
        <v>2</v>
      </c>
      <c r="D3709" s="1" t="s">
        <v>9744</v>
      </c>
      <c r="E3709" s="1" t="s">
        <v>36</v>
      </c>
      <c r="G3709">
        <v>436667</v>
      </c>
      <c r="H3709" t="s">
        <v>9737</v>
      </c>
      <c r="I3709" t="s">
        <v>2413</v>
      </c>
      <c r="J3709">
        <v>30</v>
      </c>
      <c r="K3709">
        <v>2695</v>
      </c>
      <c r="L3709">
        <v>95000</v>
      </c>
      <c r="M3709" t="s">
        <v>69</v>
      </c>
      <c r="N3709">
        <v>691</v>
      </c>
      <c r="O3709" s="2">
        <v>46141</v>
      </c>
      <c r="P3709" s="2">
        <v>46266</v>
      </c>
      <c r="R3709" t="s">
        <v>9745</v>
      </c>
      <c r="S3709" t="str">
        <f>""</f>
        <v/>
      </c>
      <c r="T3709" t="s">
        <v>41</v>
      </c>
      <c r="U3709">
        <v>3820.2</v>
      </c>
      <c r="V3709">
        <v>3778.18</v>
      </c>
      <c r="W3709">
        <v>3778.18</v>
      </c>
      <c r="X3709">
        <v>0</v>
      </c>
      <c r="Y3709">
        <v>0</v>
      </c>
      <c r="Z3709">
        <v>-491</v>
      </c>
      <c r="AA3709">
        <v>686691</v>
      </c>
      <c r="AD3709" t="s">
        <v>64</v>
      </c>
      <c r="AF3709" t="s">
        <v>64</v>
      </c>
      <c r="AG3709" s="1" t="s">
        <v>9739</v>
      </c>
      <c r="AH3709" t="s">
        <v>44</v>
      </c>
    </row>
    <row r="3710" spans="1:34" x14ac:dyDescent="0.3">
      <c r="A3710">
        <v>101</v>
      </c>
      <c r="B3710" t="s">
        <v>34</v>
      </c>
      <c r="C3710">
        <v>2</v>
      </c>
      <c r="D3710" s="1" t="s">
        <v>9746</v>
      </c>
      <c r="E3710" s="1" t="s">
        <v>36</v>
      </c>
      <c r="G3710">
        <v>436667</v>
      </c>
      <c r="H3710" t="s">
        <v>9737</v>
      </c>
      <c r="I3710" t="s">
        <v>2413</v>
      </c>
      <c r="J3710">
        <v>30</v>
      </c>
      <c r="K3710">
        <v>2695</v>
      </c>
      <c r="L3710">
        <v>95000</v>
      </c>
      <c r="M3710" t="s">
        <v>69</v>
      </c>
      <c r="N3710">
        <v>691</v>
      </c>
      <c r="O3710" s="2">
        <v>46226</v>
      </c>
      <c r="P3710" s="2">
        <v>46337</v>
      </c>
      <c r="R3710" t="s">
        <v>9747</v>
      </c>
      <c r="S3710" t="str">
        <f>""</f>
        <v/>
      </c>
      <c r="T3710" t="s">
        <v>41</v>
      </c>
      <c r="U3710">
        <v>2627.7</v>
      </c>
      <c r="V3710">
        <v>2598.8000000000002</v>
      </c>
      <c r="W3710">
        <v>2598.8000000000002</v>
      </c>
      <c r="X3710">
        <v>0</v>
      </c>
      <c r="Y3710">
        <v>0</v>
      </c>
      <c r="Z3710">
        <v>-562</v>
      </c>
      <c r="AA3710">
        <v>694873</v>
      </c>
      <c r="AD3710" t="s">
        <v>64</v>
      </c>
      <c r="AF3710" t="s">
        <v>64</v>
      </c>
      <c r="AG3710" s="1" t="s">
        <v>9739</v>
      </c>
      <c r="AH3710" t="s">
        <v>44</v>
      </c>
    </row>
    <row r="3711" spans="1:34" x14ac:dyDescent="0.3">
      <c r="A3711">
        <v>101</v>
      </c>
      <c r="B3711" t="s">
        <v>34</v>
      </c>
      <c r="C3711">
        <v>2</v>
      </c>
      <c r="D3711" s="1" t="s">
        <v>9748</v>
      </c>
      <c r="E3711" s="1" t="s">
        <v>36</v>
      </c>
      <c r="G3711">
        <v>436668</v>
      </c>
      <c r="H3711" t="s">
        <v>9749</v>
      </c>
      <c r="I3711" t="s">
        <v>2413</v>
      </c>
      <c r="J3711">
        <v>30</v>
      </c>
      <c r="K3711">
        <v>2695</v>
      </c>
      <c r="L3711">
        <v>95000</v>
      </c>
      <c r="M3711" t="s">
        <v>69</v>
      </c>
      <c r="N3711">
        <v>691</v>
      </c>
      <c r="O3711" s="2">
        <v>46170</v>
      </c>
      <c r="P3711" s="2">
        <v>46276</v>
      </c>
      <c r="R3711" t="s">
        <v>9750</v>
      </c>
      <c r="S3711" t="str">
        <f>""</f>
        <v/>
      </c>
      <c r="T3711" t="s">
        <v>41</v>
      </c>
      <c r="U3711">
        <v>14185.46</v>
      </c>
      <c r="V3711">
        <v>14029.42</v>
      </c>
      <c r="W3711">
        <v>14029.42</v>
      </c>
      <c r="X3711">
        <v>0</v>
      </c>
      <c r="Y3711">
        <v>0</v>
      </c>
      <c r="Z3711">
        <v>-501</v>
      </c>
      <c r="AA3711">
        <v>689284</v>
      </c>
      <c r="AD3711" t="s">
        <v>4973</v>
      </c>
      <c r="AE3711" t="s">
        <v>9751</v>
      </c>
      <c r="AF3711" t="s">
        <v>4973</v>
      </c>
      <c r="AG3711" s="1" t="s">
        <v>9752</v>
      </c>
      <c r="AH3711" t="s">
        <v>44</v>
      </c>
    </row>
    <row r="3712" spans="1:34" x14ac:dyDescent="0.3">
      <c r="A3712">
        <v>101</v>
      </c>
      <c r="B3712" t="s">
        <v>34</v>
      </c>
      <c r="C3712">
        <v>2</v>
      </c>
      <c r="D3712" s="1" t="s">
        <v>9753</v>
      </c>
      <c r="E3712" s="1" t="s">
        <v>36</v>
      </c>
      <c r="G3712">
        <v>436668</v>
      </c>
      <c r="H3712" t="s">
        <v>9749</v>
      </c>
      <c r="I3712" t="s">
        <v>2413</v>
      </c>
      <c r="J3712">
        <v>30</v>
      </c>
      <c r="K3712">
        <v>2695</v>
      </c>
      <c r="L3712">
        <v>95000</v>
      </c>
      <c r="M3712" t="s">
        <v>69</v>
      </c>
      <c r="N3712">
        <v>691</v>
      </c>
      <c r="O3712" s="2">
        <v>46226</v>
      </c>
      <c r="P3712" s="2">
        <v>46316</v>
      </c>
      <c r="R3712" t="s">
        <v>9754</v>
      </c>
      <c r="S3712" t="str">
        <f>""</f>
        <v/>
      </c>
      <c r="T3712" t="s">
        <v>41</v>
      </c>
      <c r="U3712">
        <v>2060</v>
      </c>
      <c r="V3712">
        <v>2037.34</v>
      </c>
      <c r="W3712">
        <v>2037.34</v>
      </c>
      <c r="X3712">
        <v>0</v>
      </c>
      <c r="Y3712">
        <v>0</v>
      </c>
      <c r="Z3712">
        <v>-541</v>
      </c>
      <c r="AA3712">
        <v>694865</v>
      </c>
      <c r="AD3712" t="s">
        <v>4973</v>
      </c>
      <c r="AE3712" t="s">
        <v>9751</v>
      </c>
      <c r="AF3712" t="s">
        <v>4973</v>
      </c>
      <c r="AG3712" s="1" t="s">
        <v>9752</v>
      </c>
      <c r="AH3712" t="s">
        <v>44</v>
      </c>
    </row>
    <row r="3713" spans="1:34" x14ac:dyDescent="0.3">
      <c r="A3713">
        <v>101</v>
      </c>
      <c r="B3713" t="s">
        <v>34</v>
      </c>
      <c r="C3713">
        <v>2</v>
      </c>
      <c r="D3713" s="1" t="s">
        <v>9755</v>
      </c>
      <c r="E3713" s="1" t="s">
        <v>36</v>
      </c>
      <c r="G3713">
        <v>436668</v>
      </c>
      <c r="H3713" t="s">
        <v>9749</v>
      </c>
      <c r="I3713" t="s">
        <v>2413</v>
      </c>
      <c r="J3713">
        <v>30</v>
      </c>
      <c r="K3713">
        <v>2695</v>
      </c>
      <c r="L3713">
        <v>95000</v>
      </c>
      <c r="M3713" t="s">
        <v>69</v>
      </c>
      <c r="N3713">
        <v>691</v>
      </c>
      <c r="O3713" s="2">
        <v>46140</v>
      </c>
      <c r="P3713" s="2">
        <v>46255</v>
      </c>
      <c r="R3713" t="s">
        <v>9756</v>
      </c>
      <c r="S3713" t="str">
        <f>""</f>
        <v/>
      </c>
      <c r="T3713" t="s">
        <v>41</v>
      </c>
      <c r="U3713">
        <v>4435.32</v>
      </c>
      <c r="V3713">
        <v>4386.53</v>
      </c>
      <c r="W3713">
        <v>4386.53</v>
      </c>
      <c r="X3713">
        <v>0</v>
      </c>
      <c r="Y3713">
        <v>0</v>
      </c>
      <c r="Z3713">
        <v>-480</v>
      </c>
      <c r="AA3713">
        <v>686683</v>
      </c>
      <c r="AD3713" t="s">
        <v>4973</v>
      </c>
      <c r="AE3713" t="s">
        <v>9751</v>
      </c>
      <c r="AF3713" t="s">
        <v>4973</v>
      </c>
      <c r="AG3713" s="1" t="s">
        <v>9752</v>
      </c>
      <c r="AH3713" t="s">
        <v>44</v>
      </c>
    </row>
    <row r="3714" spans="1:34" x14ac:dyDescent="0.3">
      <c r="A3714">
        <v>101</v>
      </c>
      <c r="B3714" t="s">
        <v>34</v>
      </c>
      <c r="C3714">
        <v>2</v>
      </c>
      <c r="D3714" s="1" t="s">
        <v>9757</v>
      </c>
      <c r="E3714" s="1" t="s">
        <v>36</v>
      </c>
      <c r="G3714">
        <v>436668</v>
      </c>
      <c r="H3714" t="s">
        <v>9749</v>
      </c>
      <c r="I3714" t="s">
        <v>2413</v>
      </c>
      <c r="J3714">
        <v>30</v>
      </c>
      <c r="K3714">
        <v>2695</v>
      </c>
      <c r="L3714">
        <v>95000</v>
      </c>
      <c r="M3714" t="s">
        <v>69</v>
      </c>
      <c r="N3714">
        <v>691</v>
      </c>
      <c r="O3714" s="2">
        <v>46199</v>
      </c>
      <c r="P3714" s="2">
        <v>46289</v>
      </c>
      <c r="R3714" t="s">
        <v>9758</v>
      </c>
      <c r="S3714" t="str">
        <f>""</f>
        <v/>
      </c>
      <c r="T3714" t="s">
        <v>41</v>
      </c>
      <c r="U3714">
        <v>1421.25</v>
      </c>
      <c r="V3714">
        <v>1405.62</v>
      </c>
      <c r="W3714">
        <v>1405.62</v>
      </c>
      <c r="X3714">
        <v>0</v>
      </c>
      <c r="Y3714">
        <v>0</v>
      </c>
      <c r="Z3714">
        <v>-514</v>
      </c>
      <c r="AA3714">
        <v>692244</v>
      </c>
      <c r="AD3714" t="s">
        <v>4973</v>
      </c>
      <c r="AE3714" t="s">
        <v>9751</v>
      </c>
      <c r="AF3714" t="s">
        <v>4973</v>
      </c>
      <c r="AG3714" s="1" t="s">
        <v>9752</v>
      </c>
      <c r="AH3714" t="s">
        <v>44</v>
      </c>
    </row>
    <row r="3715" spans="1:34" x14ac:dyDescent="0.3">
      <c r="A3715">
        <v>101</v>
      </c>
      <c r="B3715" t="s">
        <v>34</v>
      </c>
      <c r="C3715">
        <v>2</v>
      </c>
      <c r="D3715" s="1" t="s">
        <v>9759</v>
      </c>
      <c r="E3715" s="1" t="s">
        <v>36</v>
      </c>
      <c r="G3715">
        <v>436668</v>
      </c>
      <c r="H3715" t="s">
        <v>9749</v>
      </c>
      <c r="I3715" t="s">
        <v>2413</v>
      </c>
      <c r="J3715">
        <v>30</v>
      </c>
      <c r="K3715">
        <v>2695</v>
      </c>
      <c r="L3715">
        <v>95000</v>
      </c>
      <c r="M3715" t="s">
        <v>69</v>
      </c>
      <c r="N3715">
        <v>691</v>
      </c>
      <c r="O3715" s="2">
        <v>46185</v>
      </c>
      <c r="P3715" s="2">
        <v>46286</v>
      </c>
      <c r="R3715" t="s">
        <v>9760</v>
      </c>
      <c r="S3715" t="str">
        <f>""</f>
        <v/>
      </c>
      <c r="T3715" t="s">
        <v>41</v>
      </c>
      <c r="U3715">
        <v>2846.4</v>
      </c>
      <c r="V3715">
        <v>2815.09</v>
      </c>
      <c r="W3715">
        <v>2815.09</v>
      </c>
      <c r="X3715">
        <v>0</v>
      </c>
      <c r="Y3715">
        <v>0</v>
      </c>
      <c r="Z3715">
        <v>-511</v>
      </c>
      <c r="AA3715">
        <v>689284</v>
      </c>
      <c r="AD3715" t="s">
        <v>4973</v>
      </c>
      <c r="AE3715" t="s">
        <v>9751</v>
      </c>
      <c r="AF3715" t="s">
        <v>4973</v>
      </c>
      <c r="AG3715" s="1" t="s">
        <v>9752</v>
      </c>
      <c r="AH3715" t="s">
        <v>44</v>
      </c>
    </row>
    <row r="3716" spans="1:34" x14ac:dyDescent="0.3">
      <c r="A3716">
        <v>101</v>
      </c>
      <c r="B3716" t="s">
        <v>34</v>
      </c>
      <c r="C3716">
        <v>2</v>
      </c>
      <c r="D3716" s="1" t="s">
        <v>9761</v>
      </c>
      <c r="E3716" s="1" t="s">
        <v>36</v>
      </c>
      <c r="G3716">
        <v>436670</v>
      </c>
      <c r="H3716" t="s">
        <v>9762</v>
      </c>
      <c r="I3716" t="s">
        <v>2413</v>
      </c>
      <c r="J3716">
        <v>30</v>
      </c>
      <c r="K3716">
        <v>2695</v>
      </c>
      <c r="L3716">
        <v>95000</v>
      </c>
      <c r="M3716" t="s">
        <v>69</v>
      </c>
      <c r="N3716">
        <v>691</v>
      </c>
      <c r="O3716" s="2">
        <v>46197</v>
      </c>
      <c r="P3716" s="2">
        <v>46308</v>
      </c>
      <c r="R3716" t="s">
        <v>9763</v>
      </c>
      <c r="S3716" t="str">
        <f>""</f>
        <v/>
      </c>
      <c r="T3716" t="s">
        <v>41</v>
      </c>
      <c r="U3716">
        <v>12461.21</v>
      </c>
      <c r="V3716">
        <v>12324.14</v>
      </c>
      <c r="W3716">
        <v>12324.14</v>
      </c>
      <c r="X3716">
        <v>0</v>
      </c>
      <c r="Y3716">
        <v>0</v>
      </c>
      <c r="Z3716">
        <v>-533</v>
      </c>
      <c r="AA3716">
        <v>692246</v>
      </c>
      <c r="AD3716" t="s">
        <v>64</v>
      </c>
      <c r="AE3716" t="s">
        <v>9764</v>
      </c>
      <c r="AF3716" t="s">
        <v>64</v>
      </c>
      <c r="AG3716" s="1" t="s">
        <v>9765</v>
      </c>
      <c r="AH3716" t="s">
        <v>44</v>
      </c>
    </row>
    <row r="3717" spans="1:34" x14ac:dyDescent="0.3">
      <c r="A3717">
        <v>101</v>
      </c>
      <c r="B3717" t="s">
        <v>34</v>
      </c>
      <c r="C3717">
        <v>2</v>
      </c>
      <c r="D3717" s="1" t="s">
        <v>9766</v>
      </c>
      <c r="E3717" s="1" t="s">
        <v>36</v>
      </c>
      <c r="G3717">
        <v>436670</v>
      </c>
      <c r="H3717" t="s">
        <v>9762</v>
      </c>
      <c r="I3717" t="s">
        <v>2413</v>
      </c>
      <c r="J3717">
        <v>30</v>
      </c>
      <c r="K3717">
        <v>2695</v>
      </c>
      <c r="L3717">
        <v>95000</v>
      </c>
      <c r="M3717" t="s">
        <v>69</v>
      </c>
      <c r="N3717">
        <v>691</v>
      </c>
      <c r="O3717" s="2">
        <v>46170</v>
      </c>
      <c r="P3717" s="2">
        <v>46276</v>
      </c>
      <c r="R3717" t="s">
        <v>9767</v>
      </c>
      <c r="S3717" t="str">
        <f>""</f>
        <v/>
      </c>
      <c r="T3717" t="s">
        <v>41</v>
      </c>
      <c r="U3717">
        <v>8540.18</v>
      </c>
      <c r="V3717">
        <v>8446.24</v>
      </c>
      <c r="W3717">
        <v>8446.24</v>
      </c>
      <c r="X3717">
        <v>0</v>
      </c>
      <c r="Y3717">
        <v>0</v>
      </c>
      <c r="Z3717">
        <v>-501</v>
      </c>
      <c r="AA3717">
        <v>689286</v>
      </c>
      <c r="AD3717" t="s">
        <v>64</v>
      </c>
      <c r="AE3717" t="s">
        <v>9764</v>
      </c>
      <c r="AF3717" t="s">
        <v>64</v>
      </c>
      <c r="AG3717" s="1" t="s">
        <v>9765</v>
      </c>
      <c r="AH3717" t="s">
        <v>44</v>
      </c>
    </row>
    <row r="3718" spans="1:34" x14ac:dyDescent="0.3">
      <c r="A3718">
        <v>101</v>
      </c>
      <c r="B3718" t="s">
        <v>34</v>
      </c>
      <c r="C3718">
        <v>2</v>
      </c>
      <c r="D3718" s="1" t="s">
        <v>9768</v>
      </c>
      <c r="E3718" s="1" t="s">
        <v>36</v>
      </c>
      <c r="G3718">
        <v>436670</v>
      </c>
      <c r="H3718" t="s">
        <v>9762</v>
      </c>
      <c r="I3718" t="s">
        <v>2413</v>
      </c>
      <c r="J3718">
        <v>30</v>
      </c>
      <c r="K3718">
        <v>2695</v>
      </c>
      <c r="L3718">
        <v>95000</v>
      </c>
      <c r="M3718" t="s">
        <v>69</v>
      </c>
      <c r="N3718">
        <v>691</v>
      </c>
      <c r="O3718" s="2">
        <v>46140</v>
      </c>
      <c r="P3718" s="2">
        <v>46266</v>
      </c>
      <c r="R3718" t="s">
        <v>9769</v>
      </c>
      <c r="S3718" t="str">
        <f>""</f>
        <v/>
      </c>
      <c r="T3718" t="s">
        <v>41</v>
      </c>
      <c r="U3718">
        <v>6245.17</v>
      </c>
      <c r="V3718">
        <v>6176.47</v>
      </c>
      <c r="W3718">
        <v>6176.47</v>
      </c>
      <c r="X3718">
        <v>0</v>
      </c>
      <c r="Y3718">
        <v>0</v>
      </c>
      <c r="Z3718">
        <v>-491</v>
      </c>
      <c r="AA3718">
        <v>686685</v>
      </c>
      <c r="AD3718" t="s">
        <v>64</v>
      </c>
      <c r="AE3718" t="s">
        <v>9764</v>
      </c>
      <c r="AF3718" t="s">
        <v>64</v>
      </c>
      <c r="AG3718" s="1" t="s">
        <v>9765</v>
      </c>
      <c r="AH3718" t="s">
        <v>44</v>
      </c>
    </row>
    <row r="3719" spans="1:34" x14ac:dyDescent="0.3">
      <c r="A3719">
        <v>101</v>
      </c>
      <c r="B3719" t="s">
        <v>34</v>
      </c>
      <c r="C3719">
        <v>2</v>
      </c>
      <c r="D3719" s="1" t="s">
        <v>9770</v>
      </c>
      <c r="E3719" s="1" t="s">
        <v>36</v>
      </c>
      <c r="G3719">
        <v>436670</v>
      </c>
      <c r="H3719" t="s">
        <v>9762</v>
      </c>
      <c r="I3719" t="s">
        <v>2413</v>
      </c>
      <c r="J3719">
        <v>30</v>
      </c>
      <c r="K3719">
        <v>2695</v>
      </c>
      <c r="L3719">
        <v>95000</v>
      </c>
      <c r="M3719" t="s">
        <v>69</v>
      </c>
      <c r="N3719">
        <v>691</v>
      </c>
      <c r="O3719" s="2">
        <v>46171</v>
      </c>
      <c r="P3719" s="2">
        <v>46276</v>
      </c>
      <c r="R3719" t="s">
        <v>9771</v>
      </c>
      <c r="S3719" t="str">
        <f>""</f>
        <v/>
      </c>
      <c r="T3719" t="s">
        <v>41</v>
      </c>
      <c r="U3719">
        <v>2846.4</v>
      </c>
      <c r="V3719">
        <v>2815.09</v>
      </c>
      <c r="W3719">
        <v>2815.09</v>
      </c>
      <c r="X3719">
        <v>0</v>
      </c>
      <c r="Y3719">
        <v>0</v>
      </c>
      <c r="Z3719">
        <v>-501</v>
      </c>
      <c r="AA3719">
        <v>689286</v>
      </c>
      <c r="AD3719" t="s">
        <v>64</v>
      </c>
      <c r="AE3719" t="s">
        <v>9764</v>
      </c>
      <c r="AF3719" t="s">
        <v>64</v>
      </c>
      <c r="AG3719" s="1" t="s">
        <v>9765</v>
      </c>
      <c r="AH3719" t="s">
        <v>44</v>
      </c>
    </row>
    <row r="3720" spans="1:34" x14ac:dyDescent="0.3">
      <c r="A3720">
        <v>101</v>
      </c>
      <c r="B3720" t="s">
        <v>34</v>
      </c>
      <c r="C3720">
        <v>2</v>
      </c>
      <c r="D3720" s="1" t="s">
        <v>9772</v>
      </c>
      <c r="E3720" s="1" t="s">
        <v>36</v>
      </c>
      <c r="G3720">
        <v>436672</v>
      </c>
      <c r="H3720" t="s">
        <v>9773</v>
      </c>
      <c r="I3720" t="s">
        <v>2413</v>
      </c>
      <c r="J3720">
        <v>30</v>
      </c>
      <c r="K3720">
        <v>2695</v>
      </c>
      <c r="L3720">
        <v>95000</v>
      </c>
      <c r="M3720" t="s">
        <v>69</v>
      </c>
      <c r="N3720">
        <v>691</v>
      </c>
      <c r="O3720" s="2">
        <v>46171</v>
      </c>
      <c r="P3720" s="2">
        <v>46296</v>
      </c>
      <c r="R3720" t="s">
        <v>9774</v>
      </c>
      <c r="S3720" t="str">
        <f>""</f>
        <v/>
      </c>
      <c r="T3720" t="s">
        <v>41</v>
      </c>
      <c r="U3720">
        <v>2134.8000000000002</v>
      </c>
      <c r="V3720">
        <v>2111.3200000000002</v>
      </c>
      <c r="W3720">
        <v>2111.3200000000002</v>
      </c>
      <c r="X3720">
        <v>0</v>
      </c>
      <c r="Y3720">
        <v>0</v>
      </c>
      <c r="Z3720">
        <v>-521</v>
      </c>
      <c r="AA3720">
        <v>689158</v>
      </c>
      <c r="AD3720" t="s">
        <v>64</v>
      </c>
      <c r="AE3720" t="s">
        <v>9775</v>
      </c>
      <c r="AF3720" t="s">
        <v>64</v>
      </c>
      <c r="AG3720" s="1" t="s">
        <v>9776</v>
      </c>
      <c r="AH3720" t="s">
        <v>44</v>
      </c>
    </row>
    <row r="3721" spans="1:34" x14ac:dyDescent="0.3">
      <c r="A3721">
        <v>101</v>
      </c>
      <c r="B3721" t="s">
        <v>34</v>
      </c>
      <c r="C3721">
        <v>2</v>
      </c>
      <c r="D3721" s="1" t="s">
        <v>9777</v>
      </c>
      <c r="E3721" s="1" t="s">
        <v>36</v>
      </c>
      <c r="G3721">
        <v>436672</v>
      </c>
      <c r="H3721" t="s">
        <v>9773</v>
      </c>
      <c r="I3721" t="s">
        <v>2413</v>
      </c>
      <c r="J3721">
        <v>30</v>
      </c>
      <c r="K3721">
        <v>2695</v>
      </c>
      <c r="L3721">
        <v>95000</v>
      </c>
      <c r="M3721" t="s">
        <v>69</v>
      </c>
      <c r="N3721">
        <v>691</v>
      </c>
      <c r="O3721" s="2">
        <v>46170</v>
      </c>
      <c r="P3721" s="2">
        <v>46296</v>
      </c>
      <c r="R3721" t="s">
        <v>9778</v>
      </c>
      <c r="S3721" t="str">
        <f>""</f>
        <v/>
      </c>
      <c r="T3721" t="s">
        <v>41</v>
      </c>
      <c r="U3721">
        <v>9081</v>
      </c>
      <c r="V3721">
        <v>8981.11</v>
      </c>
      <c r="W3721">
        <v>8981.11</v>
      </c>
      <c r="X3721">
        <v>0</v>
      </c>
      <c r="Y3721">
        <v>0</v>
      </c>
      <c r="Z3721">
        <v>-521</v>
      </c>
      <c r="AA3721">
        <v>689158</v>
      </c>
      <c r="AD3721" t="s">
        <v>64</v>
      </c>
      <c r="AE3721" t="s">
        <v>9775</v>
      </c>
      <c r="AF3721" t="s">
        <v>64</v>
      </c>
      <c r="AG3721" s="1" t="s">
        <v>9776</v>
      </c>
      <c r="AH3721" t="s">
        <v>44</v>
      </c>
    </row>
    <row r="3722" spans="1:34" x14ac:dyDescent="0.3">
      <c r="A3722">
        <v>101</v>
      </c>
      <c r="B3722" t="s">
        <v>34</v>
      </c>
      <c r="C3722">
        <v>2</v>
      </c>
      <c r="D3722" s="1" t="s">
        <v>9779</v>
      </c>
      <c r="E3722" s="1" t="s">
        <v>36</v>
      </c>
      <c r="G3722">
        <v>436672</v>
      </c>
      <c r="H3722" t="s">
        <v>9773</v>
      </c>
      <c r="I3722" t="s">
        <v>2413</v>
      </c>
      <c r="J3722">
        <v>30</v>
      </c>
      <c r="K3722">
        <v>2695</v>
      </c>
      <c r="L3722">
        <v>95000</v>
      </c>
      <c r="M3722" t="s">
        <v>69</v>
      </c>
      <c r="N3722">
        <v>691</v>
      </c>
      <c r="O3722" s="2">
        <v>46198</v>
      </c>
      <c r="P3722" s="2">
        <v>46329</v>
      </c>
      <c r="R3722" t="s">
        <v>9780</v>
      </c>
      <c r="S3722" t="str">
        <f>""</f>
        <v/>
      </c>
      <c r="T3722" t="s">
        <v>41</v>
      </c>
      <c r="U3722">
        <v>20301.2</v>
      </c>
      <c r="V3722">
        <v>20077.89</v>
      </c>
      <c r="W3722">
        <v>20077.89</v>
      </c>
      <c r="X3722">
        <v>0</v>
      </c>
      <c r="Y3722">
        <v>0</v>
      </c>
      <c r="Z3722">
        <v>-554</v>
      </c>
      <c r="AA3722">
        <v>692120</v>
      </c>
      <c r="AD3722" t="s">
        <v>64</v>
      </c>
      <c r="AE3722" t="s">
        <v>9775</v>
      </c>
      <c r="AF3722" t="s">
        <v>64</v>
      </c>
      <c r="AG3722" s="1" t="s">
        <v>9776</v>
      </c>
      <c r="AH3722" t="s">
        <v>44</v>
      </c>
    </row>
    <row r="3723" spans="1:34" x14ac:dyDescent="0.3">
      <c r="A3723">
        <v>101</v>
      </c>
      <c r="B3723" t="s">
        <v>34</v>
      </c>
      <c r="C3723">
        <v>2</v>
      </c>
      <c r="D3723" s="1" t="s">
        <v>9781</v>
      </c>
      <c r="E3723" s="1" t="s">
        <v>36</v>
      </c>
      <c r="G3723">
        <v>436672</v>
      </c>
      <c r="H3723" t="s">
        <v>9773</v>
      </c>
      <c r="I3723" t="s">
        <v>2413</v>
      </c>
      <c r="J3723">
        <v>30</v>
      </c>
      <c r="K3723">
        <v>2695</v>
      </c>
      <c r="L3723">
        <v>95000</v>
      </c>
      <c r="M3723" t="s">
        <v>69</v>
      </c>
      <c r="N3723">
        <v>691</v>
      </c>
      <c r="O3723" s="2">
        <v>46141</v>
      </c>
      <c r="P3723" s="2">
        <v>46255</v>
      </c>
      <c r="R3723" t="s">
        <v>9782</v>
      </c>
      <c r="S3723" t="str">
        <f>""</f>
        <v/>
      </c>
      <c r="T3723" t="s">
        <v>41</v>
      </c>
      <c r="U3723">
        <v>8851.74</v>
      </c>
      <c r="V3723">
        <v>8754.3700000000008</v>
      </c>
      <c r="W3723">
        <v>8754.3700000000008</v>
      </c>
      <c r="X3723">
        <v>0</v>
      </c>
      <c r="Y3723">
        <v>0</v>
      </c>
      <c r="Z3723">
        <v>-480</v>
      </c>
      <c r="AA3723">
        <v>686556</v>
      </c>
      <c r="AD3723" t="s">
        <v>64</v>
      </c>
      <c r="AE3723" t="s">
        <v>9775</v>
      </c>
      <c r="AF3723" t="s">
        <v>64</v>
      </c>
      <c r="AG3723" s="1" t="s">
        <v>9776</v>
      </c>
      <c r="AH3723" t="s">
        <v>44</v>
      </c>
    </row>
    <row r="3724" spans="1:34" x14ac:dyDescent="0.3">
      <c r="A3724">
        <v>101</v>
      </c>
      <c r="B3724" t="s">
        <v>34</v>
      </c>
      <c r="C3724">
        <v>2</v>
      </c>
      <c r="D3724" s="1" t="s">
        <v>9783</v>
      </c>
      <c r="E3724" s="1" t="s">
        <v>36</v>
      </c>
      <c r="G3724">
        <v>436672</v>
      </c>
      <c r="H3724" t="s">
        <v>9773</v>
      </c>
      <c r="I3724" t="s">
        <v>2413</v>
      </c>
      <c r="J3724">
        <v>30</v>
      </c>
      <c r="K3724">
        <v>2695</v>
      </c>
      <c r="L3724">
        <v>95000</v>
      </c>
      <c r="M3724" t="s">
        <v>69</v>
      </c>
      <c r="N3724">
        <v>691</v>
      </c>
      <c r="O3724" s="2">
        <v>46235</v>
      </c>
      <c r="P3724" s="2">
        <v>46325</v>
      </c>
      <c r="R3724" t="s">
        <v>9784</v>
      </c>
      <c r="S3724" t="str">
        <f>""</f>
        <v/>
      </c>
      <c r="T3724" t="s">
        <v>41</v>
      </c>
      <c r="U3724">
        <v>2360.9</v>
      </c>
      <c r="V3724">
        <v>2334.9299999999998</v>
      </c>
      <c r="W3724">
        <v>2334.9299999999998</v>
      </c>
      <c r="X3724">
        <v>0</v>
      </c>
      <c r="Y3724">
        <v>0</v>
      </c>
      <c r="Z3724">
        <v>-550</v>
      </c>
      <c r="AA3724">
        <v>694895</v>
      </c>
      <c r="AD3724" t="s">
        <v>64</v>
      </c>
      <c r="AE3724" t="s">
        <v>9775</v>
      </c>
      <c r="AF3724" t="s">
        <v>64</v>
      </c>
      <c r="AG3724" s="1" t="s">
        <v>9776</v>
      </c>
      <c r="AH3724" t="s">
        <v>44</v>
      </c>
    </row>
    <row r="3725" spans="1:34" x14ac:dyDescent="0.3">
      <c r="A3725">
        <v>101</v>
      </c>
      <c r="B3725" t="s">
        <v>34</v>
      </c>
      <c r="C3725">
        <v>2</v>
      </c>
      <c r="D3725" s="1" t="s">
        <v>9785</v>
      </c>
      <c r="E3725" s="1" t="s">
        <v>36</v>
      </c>
      <c r="G3725">
        <v>436672</v>
      </c>
      <c r="H3725" t="s">
        <v>9773</v>
      </c>
      <c r="I3725" t="s">
        <v>2413</v>
      </c>
      <c r="J3725">
        <v>30</v>
      </c>
      <c r="K3725">
        <v>2695</v>
      </c>
      <c r="L3725">
        <v>95000</v>
      </c>
      <c r="M3725" t="s">
        <v>69</v>
      </c>
      <c r="N3725">
        <v>691</v>
      </c>
      <c r="O3725" s="2">
        <v>46141</v>
      </c>
      <c r="P3725" s="2">
        <v>46255</v>
      </c>
      <c r="R3725" t="s">
        <v>9786</v>
      </c>
      <c r="S3725" t="str">
        <f>""</f>
        <v/>
      </c>
      <c r="T3725" t="s">
        <v>41</v>
      </c>
      <c r="U3725">
        <v>410.28</v>
      </c>
      <c r="V3725">
        <v>405.77</v>
      </c>
      <c r="W3725">
        <v>405.77</v>
      </c>
      <c r="X3725">
        <v>0</v>
      </c>
      <c r="Y3725">
        <v>0</v>
      </c>
      <c r="Z3725">
        <v>-480</v>
      </c>
      <c r="AA3725">
        <v>686779</v>
      </c>
      <c r="AD3725" t="s">
        <v>64</v>
      </c>
      <c r="AE3725" t="s">
        <v>9775</v>
      </c>
      <c r="AF3725" t="s">
        <v>64</v>
      </c>
      <c r="AG3725" s="1" t="s">
        <v>9776</v>
      </c>
      <c r="AH3725" t="s">
        <v>44</v>
      </c>
    </row>
    <row r="3726" spans="1:34" x14ac:dyDescent="0.3">
      <c r="A3726">
        <v>101</v>
      </c>
      <c r="B3726" t="s">
        <v>34</v>
      </c>
      <c r="C3726">
        <v>2</v>
      </c>
      <c r="D3726" s="1" t="s">
        <v>9787</v>
      </c>
      <c r="E3726" s="1" t="s">
        <v>36</v>
      </c>
      <c r="G3726">
        <v>436672</v>
      </c>
      <c r="H3726" t="s">
        <v>9773</v>
      </c>
      <c r="I3726" t="s">
        <v>2413</v>
      </c>
      <c r="J3726">
        <v>30</v>
      </c>
      <c r="K3726">
        <v>2695</v>
      </c>
      <c r="L3726">
        <v>95000</v>
      </c>
      <c r="M3726" t="s">
        <v>69</v>
      </c>
      <c r="N3726">
        <v>691</v>
      </c>
      <c r="O3726" s="2">
        <v>46239</v>
      </c>
      <c r="P3726" s="2">
        <v>46329</v>
      </c>
      <c r="R3726" t="s">
        <v>9788</v>
      </c>
      <c r="S3726" t="str">
        <f>""</f>
        <v/>
      </c>
      <c r="T3726" t="s">
        <v>41</v>
      </c>
      <c r="U3726">
        <v>1295.0999999999999</v>
      </c>
      <c r="V3726">
        <v>1280.8499999999999</v>
      </c>
      <c r="W3726">
        <v>1280.8499999999999</v>
      </c>
      <c r="X3726">
        <v>0</v>
      </c>
      <c r="Y3726">
        <v>0</v>
      </c>
      <c r="Z3726">
        <v>-554</v>
      </c>
      <c r="AA3726">
        <v>696173</v>
      </c>
      <c r="AD3726" t="s">
        <v>64</v>
      </c>
      <c r="AE3726" t="s">
        <v>9775</v>
      </c>
      <c r="AF3726" t="s">
        <v>64</v>
      </c>
      <c r="AG3726" s="1" t="s">
        <v>9776</v>
      </c>
      <c r="AH3726" t="s">
        <v>44</v>
      </c>
    </row>
    <row r="3727" spans="1:34" x14ac:dyDescent="0.3">
      <c r="A3727">
        <v>101</v>
      </c>
      <c r="B3727" t="s">
        <v>34</v>
      </c>
      <c r="C3727">
        <v>2</v>
      </c>
      <c r="D3727" s="1" t="s">
        <v>9789</v>
      </c>
      <c r="E3727" s="1" t="s">
        <v>36</v>
      </c>
      <c r="G3727">
        <v>436674</v>
      </c>
      <c r="H3727" t="s">
        <v>9790</v>
      </c>
      <c r="I3727" t="s">
        <v>2413</v>
      </c>
      <c r="J3727">
        <v>30</v>
      </c>
      <c r="K3727">
        <v>2695</v>
      </c>
      <c r="L3727">
        <v>95000</v>
      </c>
      <c r="M3727" t="s">
        <v>69</v>
      </c>
      <c r="N3727">
        <v>691</v>
      </c>
      <c r="O3727" s="2">
        <v>46198</v>
      </c>
      <c r="P3727" s="2">
        <v>46316</v>
      </c>
      <c r="R3727" t="s">
        <v>9791</v>
      </c>
      <c r="S3727" t="str">
        <f>""</f>
        <v/>
      </c>
      <c r="T3727" t="s">
        <v>41</v>
      </c>
      <c r="U3727">
        <v>1769</v>
      </c>
      <c r="V3727">
        <v>1749.54</v>
      </c>
      <c r="W3727">
        <v>1749.54</v>
      </c>
      <c r="X3727">
        <v>0</v>
      </c>
      <c r="Y3727">
        <v>0</v>
      </c>
      <c r="Z3727">
        <v>-541</v>
      </c>
      <c r="AA3727">
        <v>692488</v>
      </c>
      <c r="AD3727" t="s">
        <v>2873</v>
      </c>
      <c r="AF3727" t="s">
        <v>2873</v>
      </c>
      <c r="AG3727" s="1" t="s">
        <v>9792</v>
      </c>
      <c r="AH3727" t="s">
        <v>44</v>
      </c>
    </row>
    <row r="3728" spans="1:34" x14ac:dyDescent="0.3">
      <c r="A3728">
        <v>101</v>
      </c>
      <c r="B3728" t="s">
        <v>34</v>
      </c>
      <c r="C3728">
        <v>2</v>
      </c>
      <c r="D3728" s="1" t="s">
        <v>9793</v>
      </c>
      <c r="E3728" s="1" t="s">
        <v>36</v>
      </c>
      <c r="G3728">
        <v>436674</v>
      </c>
      <c r="H3728" t="s">
        <v>9790</v>
      </c>
      <c r="I3728" t="s">
        <v>2413</v>
      </c>
      <c r="J3728">
        <v>30</v>
      </c>
      <c r="K3728">
        <v>2695</v>
      </c>
      <c r="L3728">
        <v>95000</v>
      </c>
      <c r="M3728" t="s">
        <v>69</v>
      </c>
      <c r="N3728">
        <v>691</v>
      </c>
      <c r="O3728" s="2">
        <v>46226</v>
      </c>
      <c r="P3728" s="2">
        <v>46316</v>
      </c>
      <c r="R3728" t="s">
        <v>9794</v>
      </c>
      <c r="S3728" t="str">
        <f>""</f>
        <v/>
      </c>
      <c r="T3728" t="s">
        <v>41</v>
      </c>
      <c r="U3728">
        <v>5955.16</v>
      </c>
      <c r="V3728">
        <v>5889.65</v>
      </c>
      <c r="W3728">
        <v>5889.65</v>
      </c>
      <c r="X3728">
        <v>0</v>
      </c>
      <c r="Y3728">
        <v>0</v>
      </c>
      <c r="Z3728">
        <v>-541</v>
      </c>
      <c r="AA3728">
        <v>694893</v>
      </c>
      <c r="AD3728" t="s">
        <v>2873</v>
      </c>
      <c r="AF3728" t="s">
        <v>2873</v>
      </c>
      <c r="AG3728" s="1" t="s">
        <v>9792</v>
      </c>
      <c r="AH3728" t="s">
        <v>44</v>
      </c>
    </row>
    <row r="3729" spans="1:34" x14ac:dyDescent="0.3">
      <c r="A3729">
        <v>101</v>
      </c>
      <c r="B3729" t="s">
        <v>34</v>
      </c>
      <c r="C3729">
        <v>2</v>
      </c>
      <c r="D3729" s="1" t="s">
        <v>9795</v>
      </c>
      <c r="E3729" s="1" t="s">
        <v>36</v>
      </c>
      <c r="G3729">
        <v>436674</v>
      </c>
      <c r="H3729" t="s">
        <v>9790</v>
      </c>
      <c r="I3729" t="s">
        <v>2413</v>
      </c>
      <c r="J3729">
        <v>30</v>
      </c>
      <c r="K3729">
        <v>2695</v>
      </c>
      <c r="L3729">
        <v>95000</v>
      </c>
      <c r="M3729" t="s">
        <v>69</v>
      </c>
      <c r="N3729">
        <v>691</v>
      </c>
      <c r="O3729" s="2">
        <v>46170</v>
      </c>
      <c r="P3729" s="2">
        <v>46296</v>
      </c>
      <c r="R3729" t="s">
        <v>9796</v>
      </c>
      <c r="S3729" t="str">
        <f>""</f>
        <v/>
      </c>
      <c r="T3729" t="s">
        <v>41</v>
      </c>
      <c r="U3729">
        <v>2741</v>
      </c>
      <c r="V3729">
        <v>2710.85</v>
      </c>
      <c r="W3729">
        <v>2710.85</v>
      </c>
      <c r="X3729">
        <v>0</v>
      </c>
      <c r="Y3729">
        <v>0</v>
      </c>
      <c r="Z3729">
        <v>-521</v>
      </c>
      <c r="AA3729">
        <v>689443</v>
      </c>
      <c r="AD3729" t="s">
        <v>2873</v>
      </c>
      <c r="AF3729" t="s">
        <v>2873</v>
      </c>
      <c r="AG3729" s="1" t="s">
        <v>9792</v>
      </c>
      <c r="AH3729" t="s">
        <v>44</v>
      </c>
    </row>
    <row r="3730" spans="1:34" x14ac:dyDescent="0.3">
      <c r="A3730">
        <v>101</v>
      </c>
      <c r="B3730" t="s">
        <v>34</v>
      </c>
      <c r="C3730">
        <v>2</v>
      </c>
      <c r="D3730" s="1" t="s">
        <v>9797</v>
      </c>
      <c r="E3730" s="1" t="s">
        <v>36</v>
      </c>
      <c r="G3730">
        <v>436674</v>
      </c>
      <c r="H3730" t="s">
        <v>9790</v>
      </c>
      <c r="I3730" t="s">
        <v>2413</v>
      </c>
      <c r="J3730">
        <v>30</v>
      </c>
      <c r="K3730">
        <v>2695</v>
      </c>
      <c r="L3730">
        <v>95000</v>
      </c>
      <c r="M3730" t="s">
        <v>69</v>
      </c>
      <c r="N3730">
        <v>691</v>
      </c>
      <c r="O3730" s="2">
        <v>46239</v>
      </c>
      <c r="P3730" s="2">
        <v>46329</v>
      </c>
      <c r="R3730" t="s">
        <v>9798</v>
      </c>
      <c r="S3730" t="str">
        <f>""</f>
        <v/>
      </c>
      <c r="T3730" t="s">
        <v>41</v>
      </c>
      <c r="U3730">
        <v>3376.74</v>
      </c>
      <c r="V3730">
        <v>3339.6</v>
      </c>
      <c r="W3730">
        <v>3339.6</v>
      </c>
      <c r="X3730">
        <v>0</v>
      </c>
      <c r="Y3730">
        <v>0</v>
      </c>
      <c r="Z3730">
        <v>-554</v>
      </c>
      <c r="AA3730">
        <v>696171</v>
      </c>
      <c r="AD3730" t="s">
        <v>2873</v>
      </c>
      <c r="AF3730" t="s">
        <v>2873</v>
      </c>
      <c r="AG3730" s="1" t="s">
        <v>9792</v>
      </c>
      <c r="AH3730" t="s">
        <v>44</v>
      </c>
    </row>
    <row r="3731" spans="1:34" x14ac:dyDescent="0.3">
      <c r="A3731">
        <v>101</v>
      </c>
      <c r="B3731" t="s">
        <v>34</v>
      </c>
      <c r="C3731">
        <v>2</v>
      </c>
      <c r="D3731" s="1" t="s">
        <v>9799</v>
      </c>
      <c r="E3731" s="1" t="s">
        <v>36</v>
      </c>
      <c r="G3731">
        <v>436674</v>
      </c>
      <c r="H3731" t="s">
        <v>9790</v>
      </c>
      <c r="I3731" t="s">
        <v>2413</v>
      </c>
      <c r="J3731">
        <v>30</v>
      </c>
      <c r="K3731">
        <v>2695</v>
      </c>
      <c r="L3731">
        <v>95000</v>
      </c>
      <c r="M3731" t="s">
        <v>69</v>
      </c>
      <c r="N3731">
        <v>691</v>
      </c>
      <c r="O3731" s="2">
        <v>46170</v>
      </c>
      <c r="P3731" s="2">
        <v>46296</v>
      </c>
      <c r="R3731" t="s">
        <v>9800</v>
      </c>
      <c r="S3731" t="str">
        <f>""</f>
        <v/>
      </c>
      <c r="T3731" t="s">
        <v>41</v>
      </c>
      <c r="U3731">
        <v>17028.39</v>
      </c>
      <c r="V3731">
        <v>16841.080000000002</v>
      </c>
      <c r="W3731">
        <v>16841.080000000002</v>
      </c>
      <c r="X3731">
        <v>0</v>
      </c>
      <c r="Y3731">
        <v>0</v>
      </c>
      <c r="Z3731">
        <v>-521</v>
      </c>
      <c r="AA3731">
        <v>689156</v>
      </c>
      <c r="AD3731" t="s">
        <v>2873</v>
      </c>
      <c r="AF3731" t="s">
        <v>2873</v>
      </c>
      <c r="AG3731" s="1" t="s">
        <v>9792</v>
      </c>
      <c r="AH3731" t="s">
        <v>44</v>
      </c>
    </row>
    <row r="3732" spans="1:34" x14ac:dyDescent="0.3">
      <c r="A3732">
        <v>101</v>
      </c>
      <c r="B3732" t="s">
        <v>34</v>
      </c>
      <c r="C3732">
        <v>2</v>
      </c>
      <c r="D3732" s="1" t="s">
        <v>9801</v>
      </c>
      <c r="E3732" s="1" t="s">
        <v>36</v>
      </c>
      <c r="G3732">
        <v>436674</v>
      </c>
      <c r="H3732" t="s">
        <v>9790</v>
      </c>
      <c r="I3732" t="s">
        <v>2413</v>
      </c>
      <c r="J3732">
        <v>30</v>
      </c>
      <c r="K3732">
        <v>2695</v>
      </c>
      <c r="L3732">
        <v>95000</v>
      </c>
      <c r="M3732" t="s">
        <v>69</v>
      </c>
      <c r="N3732">
        <v>691</v>
      </c>
      <c r="O3732" s="2">
        <v>46198</v>
      </c>
      <c r="P3732" s="2">
        <v>46316</v>
      </c>
      <c r="R3732" t="s">
        <v>9802</v>
      </c>
      <c r="S3732" t="str">
        <f>""</f>
        <v/>
      </c>
      <c r="T3732" t="s">
        <v>41</v>
      </c>
      <c r="U3732">
        <v>28162.91</v>
      </c>
      <c r="V3732">
        <v>27853.119999999999</v>
      </c>
      <c r="W3732">
        <v>27853.119999999999</v>
      </c>
      <c r="X3732">
        <v>0</v>
      </c>
      <c r="Y3732">
        <v>0</v>
      </c>
      <c r="Z3732">
        <v>-541</v>
      </c>
      <c r="AA3732">
        <v>692118</v>
      </c>
      <c r="AD3732" t="s">
        <v>2873</v>
      </c>
      <c r="AF3732" t="s">
        <v>2873</v>
      </c>
      <c r="AG3732" s="1" t="s">
        <v>9792</v>
      </c>
      <c r="AH3732" t="s">
        <v>44</v>
      </c>
    </row>
    <row r="3733" spans="1:34" x14ac:dyDescent="0.3">
      <c r="A3733">
        <v>101</v>
      </c>
      <c r="B3733" t="s">
        <v>34</v>
      </c>
      <c r="C3733">
        <v>2</v>
      </c>
      <c r="D3733" s="1" t="s">
        <v>9803</v>
      </c>
      <c r="E3733" s="1" t="s">
        <v>36</v>
      </c>
      <c r="G3733">
        <v>436674</v>
      </c>
      <c r="H3733" t="s">
        <v>9790</v>
      </c>
      <c r="I3733" t="s">
        <v>2413</v>
      </c>
      <c r="J3733">
        <v>30</v>
      </c>
      <c r="K3733">
        <v>2695</v>
      </c>
      <c r="L3733">
        <v>95000</v>
      </c>
      <c r="M3733" t="s">
        <v>69</v>
      </c>
      <c r="N3733">
        <v>691</v>
      </c>
      <c r="O3733" s="2">
        <v>46141</v>
      </c>
      <c r="P3733" s="2">
        <v>46255</v>
      </c>
      <c r="R3733" t="s">
        <v>9804</v>
      </c>
      <c r="S3733" t="str">
        <f>""</f>
        <v/>
      </c>
      <c r="T3733" t="s">
        <v>41</v>
      </c>
      <c r="U3733">
        <v>12616.25</v>
      </c>
      <c r="V3733">
        <v>12477.47</v>
      </c>
      <c r="W3733">
        <v>12477.47</v>
      </c>
      <c r="X3733">
        <v>0</v>
      </c>
      <c r="Y3733">
        <v>0</v>
      </c>
      <c r="Z3733">
        <v>-480</v>
      </c>
      <c r="AA3733">
        <v>686554</v>
      </c>
      <c r="AD3733" t="s">
        <v>2873</v>
      </c>
      <c r="AF3733" t="s">
        <v>2873</v>
      </c>
      <c r="AG3733" s="1" t="s">
        <v>9792</v>
      </c>
      <c r="AH3733" t="s">
        <v>44</v>
      </c>
    </row>
    <row r="3734" spans="1:34" x14ac:dyDescent="0.3">
      <c r="A3734">
        <v>101</v>
      </c>
      <c r="B3734" t="s">
        <v>34</v>
      </c>
      <c r="C3734">
        <v>2</v>
      </c>
      <c r="D3734" s="1" t="s">
        <v>9805</v>
      </c>
      <c r="E3734" s="1" t="s">
        <v>36</v>
      </c>
      <c r="G3734">
        <v>436674</v>
      </c>
      <c r="H3734" t="s">
        <v>9790</v>
      </c>
      <c r="I3734" t="s">
        <v>2413</v>
      </c>
      <c r="J3734">
        <v>30</v>
      </c>
      <c r="K3734">
        <v>2695</v>
      </c>
      <c r="L3734">
        <v>95000</v>
      </c>
      <c r="M3734" t="s">
        <v>69</v>
      </c>
      <c r="N3734">
        <v>691</v>
      </c>
      <c r="O3734" s="2">
        <v>46185</v>
      </c>
      <c r="P3734" s="2">
        <v>46296</v>
      </c>
      <c r="R3734" t="s">
        <v>9806</v>
      </c>
      <c r="S3734" t="str">
        <f>""</f>
        <v/>
      </c>
      <c r="T3734" t="s">
        <v>41</v>
      </c>
      <c r="U3734">
        <v>2846.4</v>
      </c>
      <c r="V3734">
        <v>2815.09</v>
      </c>
      <c r="W3734">
        <v>2815.09</v>
      </c>
      <c r="X3734">
        <v>0</v>
      </c>
      <c r="Y3734">
        <v>0</v>
      </c>
      <c r="Z3734">
        <v>-521</v>
      </c>
      <c r="AA3734">
        <v>689156</v>
      </c>
      <c r="AD3734" t="s">
        <v>2873</v>
      </c>
      <c r="AF3734" t="s">
        <v>2873</v>
      </c>
      <c r="AG3734" s="1" t="s">
        <v>9792</v>
      </c>
      <c r="AH3734" t="s">
        <v>44</v>
      </c>
    </row>
    <row r="3735" spans="1:34" x14ac:dyDescent="0.3">
      <c r="A3735">
        <v>101</v>
      </c>
      <c r="B3735" t="s">
        <v>34</v>
      </c>
      <c r="C3735">
        <v>2</v>
      </c>
      <c r="D3735" s="1" t="s">
        <v>9807</v>
      </c>
      <c r="E3735" s="1" t="s">
        <v>36</v>
      </c>
      <c r="G3735">
        <v>436674</v>
      </c>
      <c r="H3735" t="s">
        <v>9790</v>
      </c>
      <c r="I3735" t="s">
        <v>2413</v>
      </c>
      <c r="J3735">
        <v>30</v>
      </c>
      <c r="K3735">
        <v>2695</v>
      </c>
      <c r="L3735">
        <v>95000</v>
      </c>
      <c r="M3735" t="s">
        <v>69</v>
      </c>
      <c r="N3735">
        <v>691</v>
      </c>
      <c r="O3735" s="2">
        <v>46141</v>
      </c>
      <c r="P3735" s="2">
        <v>46255</v>
      </c>
      <c r="R3735" t="s">
        <v>9808</v>
      </c>
      <c r="S3735" t="str">
        <f>""</f>
        <v/>
      </c>
      <c r="T3735" t="s">
        <v>41</v>
      </c>
      <c r="U3735">
        <v>2887.34</v>
      </c>
      <c r="V3735">
        <v>2855.58</v>
      </c>
      <c r="W3735">
        <v>2855.58</v>
      </c>
      <c r="X3735">
        <v>0</v>
      </c>
      <c r="Y3735">
        <v>0</v>
      </c>
      <c r="Z3735">
        <v>-480</v>
      </c>
      <c r="AA3735">
        <v>686868</v>
      </c>
      <c r="AD3735" t="s">
        <v>2873</v>
      </c>
      <c r="AF3735" t="s">
        <v>2873</v>
      </c>
      <c r="AG3735" s="1" t="s">
        <v>9792</v>
      </c>
      <c r="AH3735" t="s">
        <v>44</v>
      </c>
    </row>
    <row r="3736" spans="1:34" x14ac:dyDescent="0.3">
      <c r="A3736">
        <v>101</v>
      </c>
      <c r="B3736" t="s">
        <v>34</v>
      </c>
      <c r="C3736">
        <v>2</v>
      </c>
      <c r="D3736" s="1" t="s">
        <v>9809</v>
      </c>
      <c r="E3736" s="1" t="s">
        <v>36</v>
      </c>
      <c r="G3736">
        <v>436674</v>
      </c>
      <c r="H3736" t="s">
        <v>9790</v>
      </c>
      <c r="I3736" t="s">
        <v>2413</v>
      </c>
      <c r="J3736">
        <v>30</v>
      </c>
      <c r="K3736">
        <v>2695</v>
      </c>
      <c r="L3736">
        <v>95000</v>
      </c>
      <c r="M3736" t="s">
        <v>69</v>
      </c>
      <c r="N3736">
        <v>691</v>
      </c>
      <c r="O3736" s="2">
        <v>46141</v>
      </c>
      <c r="P3736" s="2">
        <v>46255</v>
      </c>
      <c r="R3736" t="s">
        <v>9810</v>
      </c>
      <c r="S3736" t="str">
        <f>""</f>
        <v/>
      </c>
      <c r="T3736" t="s">
        <v>41</v>
      </c>
      <c r="U3736">
        <v>136.76</v>
      </c>
      <c r="V3736">
        <v>135.26</v>
      </c>
      <c r="W3736">
        <v>135.26</v>
      </c>
      <c r="X3736">
        <v>0</v>
      </c>
      <c r="Y3736">
        <v>0</v>
      </c>
      <c r="Z3736">
        <v>-480</v>
      </c>
      <c r="AA3736">
        <v>686777</v>
      </c>
      <c r="AD3736" t="s">
        <v>2873</v>
      </c>
      <c r="AF3736" t="s">
        <v>2873</v>
      </c>
      <c r="AG3736" s="1" t="s">
        <v>9792</v>
      </c>
      <c r="AH3736" t="s">
        <v>44</v>
      </c>
    </row>
    <row r="3737" spans="1:34" x14ac:dyDescent="0.3">
      <c r="A3737">
        <v>101</v>
      </c>
      <c r="B3737" t="s">
        <v>34</v>
      </c>
      <c r="C3737">
        <v>2</v>
      </c>
      <c r="D3737" s="1" t="s">
        <v>9811</v>
      </c>
      <c r="E3737" s="1" t="s">
        <v>36</v>
      </c>
      <c r="G3737">
        <v>436674</v>
      </c>
      <c r="H3737" t="s">
        <v>9790</v>
      </c>
      <c r="I3737" t="s">
        <v>2413</v>
      </c>
      <c r="J3737">
        <v>30</v>
      </c>
      <c r="K3737">
        <v>2695</v>
      </c>
      <c r="L3737">
        <v>95000</v>
      </c>
      <c r="M3737" t="s">
        <v>69</v>
      </c>
      <c r="N3737">
        <v>691</v>
      </c>
      <c r="O3737" s="2">
        <v>46253</v>
      </c>
      <c r="P3737" s="2">
        <v>46343</v>
      </c>
      <c r="R3737" t="s">
        <v>9812</v>
      </c>
      <c r="S3737" t="str">
        <f>""</f>
        <v/>
      </c>
      <c r="T3737" t="s">
        <v>41</v>
      </c>
      <c r="U3737">
        <v>1769</v>
      </c>
      <c r="V3737">
        <v>1749.54</v>
      </c>
      <c r="W3737">
        <v>1749.54</v>
      </c>
      <c r="X3737">
        <v>0</v>
      </c>
      <c r="Y3737">
        <v>0</v>
      </c>
      <c r="Z3737">
        <v>-568</v>
      </c>
      <c r="AA3737">
        <v>696949</v>
      </c>
      <c r="AD3737" t="s">
        <v>2873</v>
      </c>
      <c r="AF3737" t="s">
        <v>2873</v>
      </c>
      <c r="AG3737" s="1" t="s">
        <v>9792</v>
      </c>
      <c r="AH3737" t="s">
        <v>44</v>
      </c>
    </row>
    <row r="3738" spans="1:34" x14ac:dyDescent="0.3">
      <c r="A3738">
        <v>101</v>
      </c>
      <c r="B3738" t="s">
        <v>34</v>
      </c>
      <c r="C3738">
        <v>2</v>
      </c>
      <c r="D3738" s="1" t="s">
        <v>9813</v>
      </c>
      <c r="E3738" s="1" t="s">
        <v>36</v>
      </c>
      <c r="G3738">
        <v>436675</v>
      </c>
      <c r="H3738" t="s">
        <v>9814</v>
      </c>
      <c r="I3738" t="s">
        <v>2413</v>
      </c>
      <c r="J3738">
        <v>30</v>
      </c>
      <c r="K3738">
        <v>2695</v>
      </c>
      <c r="L3738">
        <v>95000</v>
      </c>
      <c r="M3738" t="s">
        <v>69</v>
      </c>
      <c r="N3738">
        <v>691</v>
      </c>
      <c r="O3738" s="2">
        <v>46141</v>
      </c>
      <c r="P3738" s="2">
        <v>46255</v>
      </c>
      <c r="R3738" t="s">
        <v>9815</v>
      </c>
      <c r="S3738" t="str">
        <f>""</f>
        <v/>
      </c>
      <c r="T3738" t="s">
        <v>41</v>
      </c>
      <c r="U3738">
        <v>676.46</v>
      </c>
      <c r="V3738">
        <v>669.02</v>
      </c>
      <c r="W3738">
        <v>669.02</v>
      </c>
      <c r="X3738">
        <v>0</v>
      </c>
      <c r="Y3738">
        <v>0</v>
      </c>
      <c r="Z3738">
        <v>-480</v>
      </c>
      <c r="AA3738">
        <v>686803</v>
      </c>
      <c r="AD3738" t="s">
        <v>64</v>
      </c>
      <c r="AE3738" t="s">
        <v>2567</v>
      </c>
      <c r="AF3738" t="s">
        <v>64</v>
      </c>
      <c r="AG3738" s="1" t="s">
        <v>9816</v>
      </c>
      <c r="AH3738" t="s">
        <v>44</v>
      </c>
    </row>
    <row r="3739" spans="1:34" x14ac:dyDescent="0.3">
      <c r="A3739">
        <v>101</v>
      </c>
      <c r="B3739" t="s">
        <v>34</v>
      </c>
      <c r="C3739">
        <v>2</v>
      </c>
      <c r="D3739" s="1" t="s">
        <v>9817</v>
      </c>
      <c r="E3739" s="1" t="s">
        <v>36</v>
      </c>
      <c r="G3739">
        <v>436675</v>
      </c>
      <c r="H3739" t="s">
        <v>9814</v>
      </c>
      <c r="I3739" t="s">
        <v>2413</v>
      </c>
      <c r="J3739">
        <v>30</v>
      </c>
      <c r="K3739">
        <v>2695</v>
      </c>
      <c r="L3739">
        <v>95000</v>
      </c>
      <c r="M3739" t="s">
        <v>69</v>
      </c>
      <c r="N3739">
        <v>691</v>
      </c>
      <c r="O3739" s="2">
        <v>46253</v>
      </c>
      <c r="P3739" s="2">
        <v>46343</v>
      </c>
      <c r="R3739" t="s">
        <v>9818</v>
      </c>
      <c r="S3739" t="str">
        <f>""</f>
        <v/>
      </c>
      <c r="T3739" t="s">
        <v>41</v>
      </c>
      <c r="U3739">
        <v>1769</v>
      </c>
      <c r="V3739">
        <v>1749.54</v>
      </c>
      <c r="W3739">
        <v>1749.54</v>
      </c>
      <c r="X3739">
        <v>0</v>
      </c>
      <c r="Y3739">
        <v>0</v>
      </c>
      <c r="Z3739">
        <v>-568</v>
      </c>
      <c r="AA3739">
        <v>696951</v>
      </c>
      <c r="AD3739" t="s">
        <v>64</v>
      </c>
      <c r="AE3739" t="s">
        <v>2567</v>
      </c>
      <c r="AF3739" t="s">
        <v>64</v>
      </c>
      <c r="AG3739" s="1" t="s">
        <v>9816</v>
      </c>
      <c r="AH3739" t="s">
        <v>44</v>
      </c>
    </row>
    <row r="3740" spans="1:34" x14ac:dyDescent="0.3">
      <c r="A3740">
        <v>101</v>
      </c>
      <c r="B3740" t="s">
        <v>34</v>
      </c>
      <c r="C3740">
        <v>2</v>
      </c>
      <c r="D3740" s="1" t="s">
        <v>9819</v>
      </c>
      <c r="E3740" s="1" t="s">
        <v>36</v>
      </c>
      <c r="G3740">
        <v>436675</v>
      </c>
      <c r="H3740" t="s">
        <v>9814</v>
      </c>
      <c r="I3740" t="s">
        <v>2413</v>
      </c>
      <c r="J3740">
        <v>30</v>
      </c>
      <c r="K3740">
        <v>2695</v>
      </c>
      <c r="L3740">
        <v>95000</v>
      </c>
      <c r="M3740" t="s">
        <v>69</v>
      </c>
      <c r="N3740">
        <v>691</v>
      </c>
      <c r="O3740" s="2">
        <v>46141</v>
      </c>
      <c r="P3740" s="2">
        <v>46255</v>
      </c>
      <c r="R3740" t="s">
        <v>9820</v>
      </c>
      <c r="S3740" t="str">
        <f>""</f>
        <v/>
      </c>
      <c r="T3740" t="s">
        <v>41</v>
      </c>
      <c r="U3740">
        <v>11462.72</v>
      </c>
      <c r="V3740">
        <v>11336.63</v>
      </c>
      <c r="W3740">
        <v>11336.63</v>
      </c>
      <c r="X3740">
        <v>0</v>
      </c>
      <c r="Y3740">
        <v>0</v>
      </c>
      <c r="Z3740">
        <v>-480</v>
      </c>
      <c r="AA3740">
        <v>686707</v>
      </c>
      <c r="AD3740" t="s">
        <v>64</v>
      </c>
      <c r="AE3740" t="s">
        <v>2567</v>
      </c>
      <c r="AF3740" t="s">
        <v>64</v>
      </c>
      <c r="AG3740" s="1" t="s">
        <v>9816</v>
      </c>
      <c r="AH3740" t="s">
        <v>44</v>
      </c>
    </row>
    <row r="3741" spans="1:34" x14ac:dyDescent="0.3">
      <c r="A3741">
        <v>101</v>
      </c>
      <c r="B3741" t="s">
        <v>34</v>
      </c>
      <c r="C3741">
        <v>2</v>
      </c>
      <c r="D3741" s="1" t="s">
        <v>9821</v>
      </c>
      <c r="E3741" s="1" t="s">
        <v>36</v>
      </c>
      <c r="G3741">
        <v>436675</v>
      </c>
      <c r="H3741" t="s">
        <v>9814</v>
      </c>
      <c r="I3741" t="s">
        <v>2413</v>
      </c>
      <c r="J3741">
        <v>30</v>
      </c>
      <c r="K3741">
        <v>2695</v>
      </c>
      <c r="L3741">
        <v>95000</v>
      </c>
      <c r="M3741" t="s">
        <v>69</v>
      </c>
      <c r="N3741">
        <v>691</v>
      </c>
      <c r="O3741" s="2">
        <v>46171</v>
      </c>
      <c r="P3741" s="2">
        <v>46276</v>
      </c>
      <c r="R3741" t="s">
        <v>9822</v>
      </c>
      <c r="S3741" t="str">
        <f>""</f>
        <v/>
      </c>
      <c r="T3741" t="s">
        <v>41</v>
      </c>
      <c r="U3741">
        <v>2846.4</v>
      </c>
      <c r="V3741">
        <v>2815.09</v>
      </c>
      <c r="W3741">
        <v>2815.09</v>
      </c>
      <c r="X3741">
        <v>0</v>
      </c>
      <c r="Y3741">
        <v>0</v>
      </c>
      <c r="Z3741">
        <v>-501</v>
      </c>
      <c r="AA3741">
        <v>689308</v>
      </c>
      <c r="AD3741" t="s">
        <v>64</v>
      </c>
      <c r="AE3741" t="s">
        <v>2567</v>
      </c>
      <c r="AF3741" t="s">
        <v>64</v>
      </c>
      <c r="AG3741" s="1" t="s">
        <v>9816</v>
      </c>
      <c r="AH3741" t="s">
        <v>44</v>
      </c>
    </row>
    <row r="3742" spans="1:34" x14ac:dyDescent="0.3">
      <c r="A3742">
        <v>101</v>
      </c>
      <c r="B3742" t="s">
        <v>34</v>
      </c>
      <c r="C3742">
        <v>2</v>
      </c>
      <c r="D3742" s="1" t="s">
        <v>9823</v>
      </c>
      <c r="E3742" s="1" t="s">
        <v>36</v>
      </c>
      <c r="G3742">
        <v>436675</v>
      </c>
      <c r="H3742" t="s">
        <v>9814</v>
      </c>
      <c r="I3742" t="s">
        <v>2413</v>
      </c>
      <c r="J3742">
        <v>30</v>
      </c>
      <c r="K3742">
        <v>2695</v>
      </c>
      <c r="L3742">
        <v>95000</v>
      </c>
      <c r="M3742" t="s">
        <v>69</v>
      </c>
      <c r="N3742">
        <v>691</v>
      </c>
      <c r="O3742" s="2">
        <v>46141</v>
      </c>
      <c r="P3742" s="2">
        <v>46255</v>
      </c>
      <c r="R3742" t="s">
        <v>9824</v>
      </c>
      <c r="S3742" t="str">
        <f>""</f>
        <v/>
      </c>
      <c r="T3742" t="s">
        <v>41</v>
      </c>
      <c r="U3742">
        <v>4324.42</v>
      </c>
      <c r="V3742">
        <v>4276.8500000000004</v>
      </c>
      <c r="W3742">
        <v>4276.8500000000004</v>
      </c>
      <c r="X3742">
        <v>0</v>
      </c>
      <c r="Y3742">
        <v>0</v>
      </c>
      <c r="Z3742">
        <v>-480</v>
      </c>
      <c r="AA3742">
        <v>686942</v>
      </c>
      <c r="AD3742" t="s">
        <v>64</v>
      </c>
      <c r="AE3742" t="s">
        <v>2567</v>
      </c>
      <c r="AF3742" t="s">
        <v>64</v>
      </c>
      <c r="AG3742" s="1" t="s">
        <v>9816</v>
      </c>
      <c r="AH3742" t="s">
        <v>44</v>
      </c>
    </row>
    <row r="3743" spans="1:34" x14ac:dyDescent="0.3">
      <c r="A3743">
        <v>101</v>
      </c>
      <c r="B3743" t="s">
        <v>34</v>
      </c>
      <c r="C3743">
        <v>2</v>
      </c>
      <c r="D3743" s="1" t="s">
        <v>9825</v>
      </c>
      <c r="E3743" s="1" t="s">
        <v>36</v>
      </c>
      <c r="G3743">
        <v>436675</v>
      </c>
      <c r="H3743" t="s">
        <v>9814</v>
      </c>
      <c r="I3743" t="s">
        <v>2413</v>
      </c>
      <c r="J3743">
        <v>30</v>
      </c>
      <c r="K3743">
        <v>2695</v>
      </c>
      <c r="L3743">
        <v>95000</v>
      </c>
      <c r="M3743" t="s">
        <v>69</v>
      </c>
      <c r="N3743">
        <v>691</v>
      </c>
      <c r="O3743" s="2">
        <v>46197</v>
      </c>
      <c r="P3743" s="2">
        <v>46308</v>
      </c>
      <c r="R3743" t="s">
        <v>9826</v>
      </c>
      <c r="S3743" t="str">
        <f>""</f>
        <v/>
      </c>
      <c r="T3743" t="s">
        <v>41</v>
      </c>
      <c r="U3743">
        <v>22935.58</v>
      </c>
      <c r="V3743">
        <v>22683.29</v>
      </c>
      <c r="W3743">
        <v>22683.29</v>
      </c>
      <c r="X3743">
        <v>0</v>
      </c>
      <c r="Y3743">
        <v>0</v>
      </c>
      <c r="Z3743">
        <v>-533</v>
      </c>
      <c r="AA3743">
        <v>692268</v>
      </c>
      <c r="AD3743" t="s">
        <v>64</v>
      </c>
      <c r="AE3743" t="s">
        <v>2567</v>
      </c>
      <c r="AF3743" t="s">
        <v>64</v>
      </c>
      <c r="AG3743" s="1" t="s">
        <v>9816</v>
      </c>
      <c r="AH3743" t="s">
        <v>44</v>
      </c>
    </row>
    <row r="3744" spans="1:34" x14ac:dyDescent="0.3">
      <c r="A3744">
        <v>101</v>
      </c>
      <c r="B3744" t="s">
        <v>34</v>
      </c>
      <c r="C3744">
        <v>2</v>
      </c>
      <c r="D3744" s="1" t="s">
        <v>9827</v>
      </c>
      <c r="E3744" s="1" t="s">
        <v>36</v>
      </c>
      <c r="G3744">
        <v>436675</v>
      </c>
      <c r="H3744" t="s">
        <v>9814</v>
      </c>
      <c r="I3744" t="s">
        <v>2413</v>
      </c>
      <c r="J3744">
        <v>30</v>
      </c>
      <c r="K3744">
        <v>2695</v>
      </c>
      <c r="L3744">
        <v>95000</v>
      </c>
      <c r="M3744" t="s">
        <v>69</v>
      </c>
      <c r="N3744">
        <v>691</v>
      </c>
      <c r="O3744" s="2">
        <v>46170</v>
      </c>
      <c r="P3744" s="2">
        <v>46276</v>
      </c>
      <c r="R3744" t="s">
        <v>9828</v>
      </c>
      <c r="S3744" t="str">
        <f>""</f>
        <v/>
      </c>
      <c r="T3744" t="s">
        <v>41</v>
      </c>
      <c r="U3744">
        <v>6179.93</v>
      </c>
      <c r="V3744">
        <v>6111.95</v>
      </c>
      <c r="W3744">
        <v>6111.95</v>
      </c>
      <c r="X3744">
        <v>0</v>
      </c>
      <c r="Y3744">
        <v>0</v>
      </c>
      <c r="Z3744">
        <v>-501</v>
      </c>
      <c r="AA3744">
        <v>689308</v>
      </c>
      <c r="AD3744" t="s">
        <v>64</v>
      </c>
      <c r="AE3744" t="s">
        <v>2567</v>
      </c>
      <c r="AF3744" t="s">
        <v>64</v>
      </c>
      <c r="AG3744" s="1" t="s">
        <v>9816</v>
      </c>
      <c r="AH3744" t="s">
        <v>44</v>
      </c>
    </row>
    <row r="3745" spans="1:34" x14ac:dyDescent="0.3">
      <c r="A3745">
        <v>101</v>
      </c>
      <c r="B3745" t="s">
        <v>34</v>
      </c>
      <c r="C3745">
        <v>2</v>
      </c>
      <c r="D3745" s="1" t="s">
        <v>9829</v>
      </c>
      <c r="E3745" s="1" t="s">
        <v>36</v>
      </c>
      <c r="G3745">
        <v>436675</v>
      </c>
      <c r="H3745" t="s">
        <v>9814</v>
      </c>
      <c r="I3745" t="s">
        <v>2413</v>
      </c>
      <c r="J3745">
        <v>30</v>
      </c>
      <c r="K3745">
        <v>2695</v>
      </c>
      <c r="L3745">
        <v>95000</v>
      </c>
      <c r="M3745" t="s">
        <v>69</v>
      </c>
      <c r="N3745">
        <v>691</v>
      </c>
      <c r="O3745" s="2">
        <v>46199</v>
      </c>
      <c r="P3745" s="2">
        <v>46308</v>
      </c>
      <c r="R3745" t="s">
        <v>9830</v>
      </c>
      <c r="S3745" t="str">
        <f>""</f>
        <v/>
      </c>
      <c r="T3745" t="s">
        <v>41</v>
      </c>
      <c r="U3745">
        <v>1326.75</v>
      </c>
      <c r="V3745">
        <v>1312.16</v>
      </c>
      <c r="W3745">
        <v>1312.16</v>
      </c>
      <c r="X3745">
        <v>0</v>
      </c>
      <c r="Y3745">
        <v>0</v>
      </c>
      <c r="Z3745">
        <v>-533</v>
      </c>
      <c r="AA3745">
        <v>692492</v>
      </c>
      <c r="AD3745" t="s">
        <v>64</v>
      </c>
      <c r="AE3745" t="s">
        <v>2567</v>
      </c>
      <c r="AF3745" t="s">
        <v>64</v>
      </c>
      <c r="AG3745" s="1" t="s">
        <v>9816</v>
      </c>
      <c r="AH3745" t="s">
        <v>44</v>
      </c>
    </row>
    <row r="3746" spans="1:34" x14ac:dyDescent="0.3">
      <c r="A3746">
        <v>101</v>
      </c>
      <c r="B3746" t="s">
        <v>34</v>
      </c>
      <c r="C3746">
        <v>2</v>
      </c>
      <c r="D3746" s="1" t="s">
        <v>9831</v>
      </c>
      <c r="E3746" s="1" t="s">
        <v>36</v>
      </c>
      <c r="G3746">
        <v>436675</v>
      </c>
      <c r="H3746" t="s">
        <v>9814</v>
      </c>
      <c r="I3746" t="s">
        <v>2413</v>
      </c>
      <c r="J3746">
        <v>30</v>
      </c>
      <c r="K3746">
        <v>2695</v>
      </c>
      <c r="L3746">
        <v>95000</v>
      </c>
      <c r="M3746" t="s">
        <v>69</v>
      </c>
      <c r="N3746">
        <v>691</v>
      </c>
      <c r="O3746" s="2">
        <v>46226</v>
      </c>
      <c r="P3746" s="2">
        <v>46316</v>
      </c>
      <c r="R3746" t="s">
        <v>9832</v>
      </c>
      <c r="S3746" t="str">
        <f>""</f>
        <v/>
      </c>
      <c r="T3746" t="s">
        <v>41</v>
      </c>
      <c r="U3746">
        <v>19267.84</v>
      </c>
      <c r="V3746">
        <v>19055.89</v>
      </c>
      <c r="W3746">
        <v>19055.89</v>
      </c>
      <c r="X3746">
        <v>0</v>
      </c>
      <c r="Y3746">
        <v>0</v>
      </c>
      <c r="Z3746">
        <v>-541</v>
      </c>
      <c r="AA3746">
        <v>694901</v>
      </c>
      <c r="AD3746" t="s">
        <v>64</v>
      </c>
      <c r="AE3746" t="s">
        <v>2567</v>
      </c>
      <c r="AF3746" t="s">
        <v>64</v>
      </c>
      <c r="AG3746" s="1" t="s">
        <v>9816</v>
      </c>
      <c r="AH3746" t="s">
        <v>44</v>
      </c>
    </row>
    <row r="3747" spans="1:34" x14ac:dyDescent="0.3">
      <c r="A3747">
        <v>101</v>
      </c>
      <c r="B3747" t="s">
        <v>34</v>
      </c>
      <c r="C3747">
        <v>2</v>
      </c>
      <c r="D3747" s="1" t="s">
        <v>9833</v>
      </c>
      <c r="E3747" s="1" t="s">
        <v>36</v>
      </c>
      <c r="G3747">
        <v>436683</v>
      </c>
      <c r="H3747" t="s">
        <v>9834</v>
      </c>
      <c r="I3747" t="s">
        <v>2413</v>
      </c>
      <c r="J3747">
        <v>30</v>
      </c>
      <c r="K3747">
        <v>2695</v>
      </c>
      <c r="L3747">
        <v>95000</v>
      </c>
      <c r="M3747" t="s">
        <v>69</v>
      </c>
      <c r="N3747">
        <v>691</v>
      </c>
      <c r="O3747" s="2">
        <v>46172</v>
      </c>
      <c r="P3747" s="2">
        <v>46296</v>
      </c>
      <c r="R3747" t="s">
        <v>9835</v>
      </c>
      <c r="S3747" t="str">
        <f>""</f>
        <v/>
      </c>
      <c r="T3747" t="s">
        <v>41</v>
      </c>
      <c r="U3747">
        <v>23364.73</v>
      </c>
      <c r="V3747">
        <v>23107.72</v>
      </c>
      <c r="W3747">
        <v>23107.72</v>
      </c>
      <c r="X3747">
        <v>0</v>
      </c>
      <c r="Y3747">
        <v>0</v>
      </c>
      <c r="Z3747">
        <v>-521</v>
      </c>
      <c r="AA3747">
        <v>689164</v>
      </c>
      <c r="AD3747" t="s">
        <v>3604</v>
      </c>
      <c r="AE3747" t="s">
        <v>2567</v>
      </c>
      <c r="AF3747" t="s">
        <v>3604</v>
      </c>
      <c r="AG3747" s="1" t="s">
        <v>9836</v>
      </c>
      <c r="AH3747" t="s">
        <v>44</v>
      </c>
    </row>
    <row r="3748" spans="1:34" x14ac:dyDescent="0.3">
      <c r="A3748">
        <v>101</v>
      </c>
      <c r="B3748" t="s">
        <v>34</v>
      </c>
      <c r="C3748">
        <v>2</v>
      </c>
      <c r="D3748" s="1" t="s">
        <v>9837</v>
      </c>
      <c r="E3748" s="1" t="s">
        <v>36</v>
      </c>
      <c r="G3748">
        <v>436683</v>
      </c>
      <c r="H3748" t="s">
        <v>9834</v>
      </c>
      <c r="I3748" t="s">
        <v>2413</v>
      </c>
      <c r="J3748">
        <v>30</v>
      </c>
      <c r="K3748">
        <v>2695</v>
      </c>
      <c r="L3748">
        <v>95000</v>
      </c>
      <c r="M3748" t="s">
        <v>69</v>
      </c>
      <c r="N3748">
        <v>691</v>
      </c>
      <c r="O3748" s="2">
        <v>46226</v>
      </c>
      <c r="P3748" s="2">
        <v>46349</v>
      </c>
      <c r="R3748" t="s">
        <v>9838</v>
      </c>
      <c r="S3748" t="str">
        <f>""</f>
        <v/>
      </c>
      <c r="T3748" t="s">
        <v>41</v>
      </c>
      <c r="U3748">
        <v>10428.02</v>
      </c>
      <c r="V3748">
        <v>10313.31</v>
      </c>
      <c r="W3748">
        <v>10313.31</v>
      </c>
      <c r="X3748">
        <v>0</v>
      </c>
      <c r="Y3748">
        <v>0</v>
      </c>
      <c r="Z3748">
        <v>-574</v>
      </c>
      <c r="AA3748">
        <v>694905</v>
      </c>
      <c r="AD3748" t="s">
        <v>3604</v>
      </c>
      <c r="AE3748" t="s">
        <v>2567</v>
      </c>
      <c r="AF3748" t="s">
        <v>3604</v>
      </c>
      <c r="AG3748" s="1" t="s">
        <v>9836</v>
      </c>
      <c r="AH3748" t="s">
        <v>44</v>
      </c>
    </row>
    <row r="3749" spans="1:34" x14ac:dyDescent="0.3">
      <c r="A3749">
        <v>101</v>
      </c>
      <c r="B3749" t="s">
        <v>34</v>
      </c>
      <c r="C3749">
        <v>2</v>
      </c>
      <c r="D3749" s="1" t="s">
        <v>9839</v>
      </c>
      <c r="E3749" s="1" t="s">
        <v>36</v>
      </c>
      <c r="G3749">
        <v>436683</v>
      </c>
      <c r="H3749" t="s">
        <v>9834</v>
      </c>
      <c r="I3749" t="s">
        <v>2413</v>
      </c>
      <c r="J3749">
        <v>30</v>
      </c>
      <c r="K3749">
        <v>2695</v>
      </c>
      <c r="L3749">
        <v>95000</v>
      </c>
      <c r="M3749" t="s">
        <v>69</v>
      </c>
      <c r="N3749">
        <v>691</v>
      </c>
      <c r="O3749" s="2">
        <v>46199</v>
      </c>
      <c r="P3749" s="2">
        <v>46316</v>
      </c>
      <c r="R3749" t="s">
        <v>9840</v>
      </c>
      <c r="S3749" t="str">
        <f>""</f>
        <v/>
      </c>
      <c r="T3749" t="s">
        <v>41</v>
      </c>
      <c r="U3749">
        <v>19874.080000000002</v>
      </c>
      <c r="V3749">
        <v>19655.47</v>
      </c>
      <c r="W3749">
        <v>19655.47</v>
      </c>
      <c r="X3749">
        <v>0</v>
      </c>
      <c r="Y3749">
        <v>0</v>
      </c>
      <c r="Z3749">
        <v>-541</v>
      </c>
      <c r="AA3749">
        <v>692126</v>
      </c>
      <c r="AD3749" t="s">
        <v>3604</v>
      </c>
      <c r="AE3749" t="s">
        <v>2567</v>
      </c>
      <c r="AF3749" t="s">
        <v>3604</v>
      </c>
      <c r="AG3749" s="1" t="s">
        <v>9836</v>
      </c>
      <c r="AH3749" t="s">
        <v>44</v>
      </c>
    </row>
    <row r="3750" spans="1:34" x14ac:dyDescent="0.3">
      <c r="A3750">
        <v>101</v>
      </c>
      <c r="B3750" t="s">
        <v>34</v>
      </c>
      <c r="C3750">
        <v>2</v>
      </c>
      <c r="D3750" s="1" t="s">
        <v>9841</v>
      </c>
      <c r="E3750" s="1" t="s">
        <v>36</v>
      </c>
      <c r="G3750">
        <v>436683</v>
      </c>
      <c r="H3750" t="s">
        <v>9834</v>
      </c>
      <c r="I3750" t="s">
        <v>2413</v>
      </c>
      <c r="J3750">
        <v>30</v>
      </c>
      <c r="K3750">
        <v>2695</v>
      </c>
      <c r="L3750">
        <v>95000</v>
      </c>
      <c r="M3750" t="s">
        <v>69</v>
      </c>
      <c r="N3750">
        <v>691</v>
      </c>
      <c r="O3750" s="2">
        <v>46142</v>
      </c>
      <c r="P3750" s="2">
        <v>46266</v>
      </c>
      <c r="R3750" t="s">
        <v>9842</v>
      </c>
      <c r="S3750" t="str">
        <f>""</f>
        <v/>
      </c>
      <c r="T3750" t="s">
        <v>41</v>
      </c>
      <c r="U3750">
        <v>2887.34</v>
      </c>
      <c r="V3750">
        <v>2855.58</v>
      </c>
      <c r="W3750">
        <v>2855.58</v>
      </c>
      <c r="X3750">
        <v>0</v>
      </c>
      <c r="Y3750">
        <v>0</v>
      </c>
      <c r="Z3750">
        <v>-491</v>
      </c>
      <c r="AA3750">
        <v>686872</v>
      </c>
      <c r="AD3750" t="s">
        <v>3604</v>
      </c>
      <c r="AE3750" t="s">
        <v>2567</v>
      </c>
      <c r="AF3750" t="s">
        <v>3604</v>
      </c>
      <c r="AG3750" s="1" t="s">
        <v>9836</v>
      </c>
      <c r="AH3750" t="s">
        <v>44</v>
      </c>
    </row>
    <row r="3751" spans="1:34" x14ac:dyDescent="0.3">
      <c r="A3751">
        <v>101</v>
      </c>
      <c r="B3751" t="s">
        <v>34</v>
      </c>
      <c r="C3751">
        <v>2</v>
      </c>
      <c r="D3751" s="1" t="s">
        <v>9843</v>
      </c>
      <c r="E3751" s="1" t="s">
        <v>36</v>
      </c>
      <c r="G3751">
        <v>436683</v>
      </c>
      <c r="H3751" t="s">
        <v>9834</v>
      </c>
      <c r="I3751" t="s">
        <v>2413</v>
      </c>
      <c r="J3751">
        <v>30</v>
      </c>
      <c r="K3751">
        <v>2695</v>
      </c>
      <c r="L3751">
        <v>95000</v>
      </c>
      <c r="M3751" t="s">
        <v>69</v>
      </c>
      <c r="N3751">
        <v>691</v>
      </c>
      <c r="O3751" s="2">
        <v>46199</v>
      </c>
      <c r="P3751" s="2">
        <v>46316</v>
      </c>
      <c r="R3751" t="s">
        <v>9844</v>
      </c>
      <c r="S3751" t="str">
        <f>""</f>
        <v/>
      </c>
      <c r="T3751" t="s">
        <v>41</v>
      </c>
      <c r="U3751">
        <v>884.5</v>
      </c>
      <c r="V3751">
        <v>874.77</v>
      </c>
      <c r="W3751">
        <v>874.77</v>
      </c>
      <c r="X3751">
        <v>0</v>
      </c>
      <c r="Y3751">
        <v>0</v>
      </c>
      <c r="Z3751">
        <v>-541</v>
      </c>
      <c r="AA3751">
        <v>692496</v>
      </c>
      <c r="AD3751" t="s">
        <v>3604</v>
      </c>
      <c r="AE3751" t="s">
        <v>2567</v>
      </c>
      <c r="AF3751" t="s">
        <v>3604</v>
      </c>
      <c r="AG3751" s="1" t="s">
        <v>9836</v>
      </c>
      <c r="AH3751" t="s">
        <v>44</v>
      </c>
    </row>
    <row r="3752" spans="1:34" x14ac:dyDescent="0.3">
      <c r="A3752">
        <v>101</v>
      </c>
      <c r="B3752" t="s">
        <v>34</v>
      </c>
      <c r="C3752">
        <v>2</v>
      </c>
      <c r="D3752" s="1" t="s">
        <v>9845</v>
      </c>
      <c r="E3752" s="1" t="s">
        <v>36</v>
      </c>
      <c r="G3752">
        <v>436683</v>
      </c>
      <c r="H3752" t="s">
        <v>9834</v>
      </c>
      <c r="I3752" t="s">
        <v>2413</v>
      </c>
      <c r="J3752">
        <v>30</v>
      </c>
      <c r="K3752">
        <v>2695</v>
      </c>
      <c r="L3752">
        <v>95000</v>
      </c>
      <c r="M3752" t="s">
        <v>69</v>
      </c>
      <c r="N3752">
        <v>691</v>
      </c>
      <c r="O3752" s="2">
        <v>46142</v>
      </c>
      <c r="P3752" s="2">
        <v>46266</v>
      </c>
      <c r="R3752" t="s">
        <v>9846</v>
      </c>
      <c r="S3752" t="str">
        <f>""</f>
        <v/>
      </c>
      <c r="T3752" t="s">
        <v>41</v>
      </c>
      <c r="U3752">
        <v>537.24</v>
      </c>
      <c r="V3752">
        <v>531.33000000000004</v>
      </c>
      <c r="W3752">
        <v>531.33000000000004</v>
      </c>
      <c r="X3752">
        <v>0</v>
      </c>
      <c r="Y3752">
        <v>0</v>
      </c>
      <c r="Z3752">
        <v>-491</v>
      </c>
      <c r="AA3752">
        <v>686781</v>
      </c>
      <c r="AD3752" t="s">
        <v>3604</v>
      </c>
      <c r="AE3752" t="s">
        <v>2567</v>
      </c>
      <c r="AF3752" t="s">
        <v>3604</v>
      </c>
      <c r="AG3752" s="1" t="s">
        <v>9836</v>
      </c>
      <c r="AH3752" t="s">
        <v>44</v>
      </c>
    </row>
    <row r="3753" spans="1:34" x14ac:dyDescent="0.3">
      <c r="A3753">
        <v>101</v>
      </c>
      <c r="B3753" t="s">
        <v>34</v>
      </c>
      <c r="C3753">
        <v>2</v>
      </c>
      <c r="D3753" s="1" t="s">
        <v>9847</v>
      </c>
      <c r="E3753" s="1" t="s">
        <v>36</v>
      </c>
      <c r="G3753">
        <v>436683</v>
      </c>
      <c r="H3753" t="s">
        <v>9834</v>
      </c>
      <c r="I3753" t="s">
        <v>2413</v>
      </c>
      <c r="J3753">
        <v>30</v>
      </c>
      <c r="K3753">
        <v>2695</v>
      </c>
      <c r="L3753">
        <v>95000</v>
      </c>
      <c r="M3753" t="s">
        <v>69</v>
      </c>
      <c r="N3753">
        <v>691</v>
      </c>
      <c r="O3753" s="2">
        <v>46199</v>
      </c>
      <c r="P3753" s="2">
        <v>46316</v>
      </c>
      <c r="R3753" t="s">
        <v>9848</v>
      </c>
      <c r="S3753" t="str">
        <f>""</f>
        <v/>
      </c>
      <c r="T3753" t="s">
        <v>41</v>
      </c>
      <c r="U3753">
        <v>2299.35</v>
      </c>
      <c r="V3753">
        <v>2274.06</v>
      </c>
      <c r="W3753">
        <v>2274.06</v>
      </c>
      <c r="X3753">
        <v>0</v>
      </c>
      <c r="Y3753">
        <v>0</v>
      </c>
      <c r="Z3753">
        <v>-541</v>
      </c>
      <c r="AA3753">
        <v>692795</v>
      </c>
      <c r="AD3753" t="s">
        <v>3604</v>
      </c>
      <c r="AE3753" t="s">
        <v>2567</v>
      </c>
      <c r="AF3753" t="s">
        <v>3604</v>
      </c>
      <c r="AG3753" s="1" t="s">
        <v>9836</v>
      </c>
      <c r="AH3753" t="s">
        <v>44</v>
      </c>
    </row>
    <row r="3754" spans="1:34" x14ac:dyDescent="0.3">
      <c r="A3754">
        <v>101</v>
      </c>
      <c r="B3754" t="s">
        <v>34</v>
      </c>
      <c r="C3754">
        <v>2</v>
      </c>
      <c r="D3754" s="1" t="s">
        <v>9849</v>
      </c>
      <c r="E3754" s="1" t="s">
        <v>36</v>
      </c>
      <c r="G3754">
        <v>436683</v>
      </c>
      <c r="H3754" t="s">
        <v>9834</v>
      </c>
      <c r="I3754" t="s">
        <v>2413</v>
      </c>
      <c r="J3754">
        <v>30</v>
      </c>
      <c r="K3754">
        <v>2695</v>
      </c>
      <c r="L3754">
        <v>95000</v>
      </c>
      <c r="M3754" t="s">
        <v>69</v>
      </c>
      <c r="N3754">
        <v>691</v>
      </c>
      <c r="O3754" s="2">
        <v>46142</v>
      </c>
      <c r="P3754" s="2">
        <v>46266</v>
      </c>
      <c r="R3754" t="s">
        <v>9850</v>
      </c>
      <c r="S3754" t="str">
        <f>""</f>
        <v/>
      </c>
      <c r="T3754" t="s">
        <v>41</v>
      </c>
      <c r="U3754">
        <v>21247.88</v>
      </c>
      <c r="V3754">
        <v>21014.15</v>
      </c>
      <c r="W3754">
        <v>21014.15</v>
      </c>
      <c r="X3754">
        <v>0</v>
      </c>
      <c r="Y3754">
        <v>0</v>
      </c>
      <c r="Z3754">
        <v>-491</v>
      </c>
      <c r="AA3754">
        <v>686562</v>
      </c>
      <c r="AD3754" t="s">
        <v>3604</v>
      </c>
      <c r="AE3754" t="s">
        <v>2567</v>
      </c>
      <c r="AF3754" t="s">
        <v>3604</v>
      </c>
      <c r="AG3754" s="1" t="s">
        <v>9836</v>
      </c>
      <c r="AH3754" t="s">
        <v>44</v>
      </c>
    </row>
    <row r="3755" spans="1:34" x14ac:dyDescent="0.3">
      <c r="A3755">
        <v>101</v>
      </c>
      <c r="B3755" t="s">
        <v>34</v>
      </c>
      <c r="C3755">
        <v>2</v>
      </c>
      <c r="D3755" s="1" t="s">
        <v>9851</v>
      </c>
      <c r="E3755" s="1" t="s">
        <v>36</v>
      </c>
      <c r="G3755">
        <v>436683</v>
      </c>
      <c r="H3755" t="s">
        <v>9834</v>
      </c>
      <c r="I3755" t="s">
        <v>2413</v>
      </c>
      <c r="J3755">
        <v>30</v>
      </c>
      <c r="K3755">
        <v>2695</v>
      </c>
      <c r="L3755">
        <v>95000</v>
      </c>
      <c r="M3755" t="s">
        <v>69</v>
      </c>
      <c r="N3755">
        <v>691</v>
      </c>
      <c r="O3755" s="2">
        <v>46172</v>
      </c>
      <c r="P3755" s="2">
        <v>46296</v>
      </c>
      <c r="R3755" t="s">
        <v>9852</v>
      </c>
      <c r="S3755" t="str">
        <f>""</f>
        <v/>
      </c>
      <c r="T3755" t="s">
        <v>41</v>
      </c>
      <c r="U3755">
        <v>2741</v>
      </c>
      <c r="V3755">
        <v>2710.85</v>
      </c>
      <c r="W3755">
        <v>2710.85</v>
      </c>
      <c r="X3755">
        <v>0</v>
      </c>
      <c r="Y3755">
        <v>0</v>
      </c>
      <c r="Z3755">
        <v>-521</v>
      </c>
      <c r="AA3755">
        <v>689447</v>
      </c>
      <c r="AD3755" t="s">
        <v>3604</v>
      </c>
      <c r="AE3755" t="s">
        <v>2567</v>
      </c>
      <c r="AF3755" t="s">
        <v>3604</v>
      </c>
      <c r="AG3755" s="1" t="s">
        <v>9836</v>
      </c>
      <c r="AH3755" t="s">
        <v>44</v>
      </c>
    </row>
    <row r="3756" spans="1:34" x14ac:dyDescent="0.3">
      <c r="A3756">
        <v>101</v>
      </c>
      <c r="B3756" t="s">
        <v>34</v>
      </c>
      <c r="C3756">
        <v>2</v>
      </c>
      <c r="D3756" s="1" t="s">
        <v>9853</v>
      </c>
      <c r="E3756" s="1" t="s">
        <v>36</v>
      </c>
      <c r="G3756">
        <v>436683</v>
      </c>
      <c r="H3756" t="s">
        <v>9834</v>
      </c>
      <c r="I3756" t="s">
        <v>2413</v>
      </c>
      <c r="J3756">
        <v>30</v>
      </c>
      <c r="K3756">
        <v>2695</v>
      </c>
      <c r="L3756">
        <v>95000</v>
      </c>
      <c r="M3756" t="s">
        <v>69</v>
      </c>
      <c r="N3756">
        <v>691</v>
      </c>
      <c r="O3756" s="2">
        <v>46239</v>
      </c>
      <c r="P3756" s="2">
        <v>46349</v>
      </c>
      <c r="R3756" t="s">
        <v>9854</v>
      </c>
      <c r="S3756" t="str">
        <f>""</f>
        <v/>
      </c>
      <c r="T3756" t="s">
        <v>41</v>
      </c>
      <c r="U3756">
        <v>3765.27</v>
      </c>
      <c r="V3756">
        <v>3723.85</v>
      </c>
      <c r="W3756">
        <v>3723.85</v>
      </c>
      <c r="X3756">
        <v>0</v>
      </c>
      <c r="Y3756">
        <v>0</v>
      </c>
      <c r="Z3756">
        <v>-574</v>
      </c>
      <c r="AA3756">
        <v>696179</v>
      </c>
      <c r="AD3756" t="s">
        <v>3604</v>
      </c>
      <c r="AE3756" t="s">
        <v>2567</v>
      </c>
      <c r="AF3756" t="s">
        <v>3604</v>
      </c>
      <c r="AG3756" s="1" t="s">
        <v>9836</v>
      </c>
      <c r="AH3756" t="s">
        <v>44</v>
      </c>
    </row>
    <row r="3757" spans="1:34" x14ac:dyDescent="0.3">
      <c r="A3757">
        <v>101</v>
      </c>
      <c r="B3757" t="s">
        <v>34</v>
      </c>
      <c r="C3757">
        <v>2</v>
      </c>
      <c r="D3757" s="1" t="s">
        <v>9855</v>
      </c>
      <c r="E3757" s="1" t="s">
        <v>36</v>
      </c>
      <c r="G3757">
        <v>436687</v>
      </c>
      <c r="H3757" t="s">
        <v>9856</v>
      </c>
      <c r="I3757" t="s">
        <v>2413</v>
      </c>
      <c r="J3757">
        <v>30</v>
      </c>
      <c r="K3757">
        <v>2695</v>
      </c>
      <c r="L3757">
        <v>95000</v>
      </c>
      <c r="M3757" t="s">
        <v>69</v>
      </c>
      <c r="N3757">
        <v>691</v>
      </c>
      <c r="O3757" s="2">
        <v>46226</v>
      </c>
      <c r="P3757" s="2">
        <v>46349</v>
      </c>
      <c r="R3757" t="s">
        <v>9857</v>
      </c>
      <c r="S3757" t="str">
        <f>""</f>
        <v/>
      </c>
      <c r="T3757" t="s">
        <v>41</v>
      </c>
      <c r="U3757">
        <v>5213.84</v>
      </c>
      <c r="V3757">
        <v>5156.49</v>
      </c>
      <c r="W3757">
        <v>5156.49</v>
      </c>
      <c r="X3757">
        <v>0</v>
      </c>
      <c r="Y3757">
        <v>0</v>
      </c>
      <c r="Z3757">
        <v>-574</v>
      </c>
      <c r="AA3757">
        <v>694903</v>
      </c>
      <c r="AD3757" t="s">
        <v>3308</v>
      </c>
      <c r="AF3757" t="s">
        <v>3308</v>
      </c>
      <c r="AG3757" s="1" t="s">
        <v>9858</v>
      </c>
      <c r="AH3757" t="s">
        <v>44</v>
      </c>
    </row>
    <row r="3758" spans="1:34" x14ac:dyDescent="0.3">
      <c r="A3758">
        <v>101</v>
      </c>
      <c r="B3758" t="s">
        <v>34</v>
      </c>
      <c r="C3758">
        <v>2</v>
      </c>
      <c r="D3758" s="1" t="s">
        <v>9859</v>
      </c>
      <c r="E3758" s="1" t="s">
        <v>36</v>
      </c>
      <c r="G3758">
        <v>436687</v>
      </c>
      <c r="H3758" t="s">
        <v>9856</v>
      </c>
      <c r="I3758" t="s">
        <v>2413</v>
      </c>
      <c r="J3758">
        <v>30</v>
      </c>
      <c r="K3758">
        <v>2695</v>
      </c>
      <c r="L3758">
        <v>95000</v>
      </c>
      <c r="M3758" t="s">
        <v>69</v>
      </c>
      <c r="N3758">
        <v>691</v>
      </c>
      <c r="O3758" s="2">
        <v>46141</v>
      </c>
      <c r="P3758" s="2">
        <v>46255</v>
      </c>
      <c r="R3758" t="s">
        <v>9860</v>
      </c>
      <c r="S3758" t="str">
        <f>""</f>
        <v/>
      </c>
      <c r="T3758" t="s">
        <v>41</v>
      </c>
      <c r="U3758">
        <v>13294.81</v>
      </c>
      <c r="V3758">
        <v>13148.57</v>
      </c>
      <c r="W3758">
        <v>13148.57</v>
      </c>
      <c r="X3758">
        <v>0</v>
      </c>
      <c r="Y3758">
        <v>0</v>
      </c>
      <c r="Z3758">
        <v>-480</v>
      </c>
      <c r="AA3758">
        <v>686560</v>
      </c>
      <c r="AD3758" t="s">
        <v>3308</v>
      </c>
      <c r="AF3758" t="s">
        <v>3308</v>
      </c>
      <c r="AG3758" s="1" t="s">
        <v>9858</v>
      </c>
      <c r="AH3758" t="s">
        <v>44</v>
      </c>
    </row>
    <row r="3759" spans="1:34" x14ac:dyDescent="0.3">
      <c r="A3759">
        <v>101</v>
      </c>
      <c r="B3759" t="s">
        <v>34</v>
      </c>
      <c r="C3759">
        <v>2</v>
      </c>
      <c r="D3759" s="1" t="s">
        <v>9861</v>
      </c>
      <c r="E3759" s="1" t="s">
        <v>36</v>
      </c>
      <c r="G3759">
        <v>436687</v>
      </c>
      <c r="H3759" t="s">
        <v>9856</v>
      </c>
      <c r="I3759" t="s">
        <v>2413</v>
      </c>
      <c r="J3759">
        <v>30</v>
      </c>
      <c r="K3759">
        <v>2695</v>
      </c>
      <c r="L3759">
        <v>95000</v>
      </c>
      <c r="M3759" t="s">
        <v>69</v>
      </c>
      <c r="N3759">
        <v>691</v>
      </c>
      <c r="O3759" s="2">
        <v>46185</v>
      </c>
      <c r="P3759" s="2">
        <v>46296</v>
      </c>
      <c r="R3759" t="s">
        <v>9862</v>
      </c>
      <c r="S3759" t="str">
        <f>""</f>
        <v/>
      </c>
      <c r="T3759" t="s">
        <v>41</v>
      </c>
      <c r="U3759">
        <v>2846.4</v>
      </c>
      <c r="V3759">
        <v>2815.09</v>
      </c>
      <c r="W3759">
        <v>2815.09</v>
      </c>
      <c r="X3759">
        <v>0</v>
      </c>
      <c r="Y3759">
        <v>0</v>
      </c>
      <c r="Z3759">
        <v>-521</v>
      </c>
      <c r="AA3759">
        <v>689162</v>
      </c>
      <c r="AD3759" t="s">
        <v>3308</v>
      </c>
      <c r="AF3759" t="s">
        <v>3308</v>
      </c>
      <c r="AG3759" s="1" t="s">
        <v>9858</v>
      </c>
      <c r="AH3759" t="s">
        <v>44</v>
      </c>
    </row>
    <row r="3760" spans="1:34" x14ac:dyDescent="0.3">
      <c r="A3760">
        <v>101</v>
      </c>
      <c r="B3760" t="s">
        <v>34</v>
      </c>
      <c r="C3760">
        <v>2</v>
      </c>
      <c r="D3760" s="1" t="s">
        <v>9863</v>
      </c>
      <c r="E3760" s="1" t="s">
        <v>36</v>
      </c>
      <c r="G3760">
        <v>436687</v>
      </c>
      <c r="H3760" t="s">
        <v>9856</v>
      </c>
      <c r="I3760" t="s">
        <v>2413</v>
      </c>
      <c r="J3760">
        <v>30</v>
      </c>
      <c r="K3760">
        <v>2695</v>
      </c>
      <c r="L3760">
        <v>95000</v>
      </c>
      <c r="M3760" t="s">
        <v>69</v>
      </c>
      <c r="N3760">
        <v>691</v>
      </c>
      <c r="O3760" s="2">
        <v>46170</v>
      </c>
      <c r="P3760" s="2">
        <v>46296</v>
      </c>
      <c r="R3760" t="s">
        <v>9864</v>
      </c>
      <c r="S3760" t="str">
        <f>""</f>
        <v/>
      </c>
      <c r="T3760" t="s">
        <v>41</v>
      </c>
      <c r="U3760">
        <v>4782.0200000000004</v>
      </c>
      <c r="V3760">
        <v>4729.42</v>
      </c>
      <c r="W3760">
        <v>4729.42</v>
      </c>
      <c r="X3760">
        <v>0</v>
      </c>
      <c r="Y3760">
        <v>0</v>
      </c>
      <c r="Z3760">
        <v>-521</v>
      </c>
      <c r="AA3760">
        <v>689162</v>
      </c>
      <c r="AD3760" t="s">
        <v>3308</v>
      </c>
      <c r="AF3760" t="s">
        <v>3308</v>
      </c>
      <c r="AG3760" s="1" t="s">
        <v>9858</v>
      </c>
      <c r="AH3760" t="s">
        <v>44</v>
      </c>
    </row>
    <row r="3761" spans="1:34" x14ac:dyDescent="0.3">
      <c r="A3761">
        <v>101</v>
      </c>
      <c r="B3761" t="s">
        <v>34</v>
      </c>
      <c r="C3761">
        <v>2</v>
      </c>
      <c r="D3761" s="1" t="s">
        <v>9865</v>
      </c>
      <c r="E3761" s="1" t="s">
        <v>36</v>
      </c>
      <c r="G3761">
        <v>436687</v>
      </c>
      <c r="H3761" t="s">
        <v>9856</v>
      </c>
      <c r="I3761" t="s">
        <v>2413</v>
      </c>
      <c r="J3761">
        <v>30</v>
      </c>
      <c r="K3761">
        <v>2695</v>
      </c>
      <c r="L3761">
        <v>95000</v>
      </c>
      <c r="M3761" t="s">
        <v>69</v>
      </c>
      <c r="N3761">
        <v>691</v>
      </c>
      <c r="O3761" s="2">
        <v>46199</v>
      </c>
      <c r="P3761" s="2">
        <v>46316</v>
      </c>
      <c r="R3761" t="s">
        <v>9866</v>
      </c>
      <c r="S3761" t="str">
        <f>""</f>
        <v/>
      </c>
      <c r="T3761" t="s">
        <v>41</v>
      </c>
      <c r="U3761">
        <v>16352.51</v>
      </c>
      <c r="V3761">
        <v>16172.63</v>
      </c>
      <c r="W3761">
        <v>16172.63</v>
      </c>
      <c r="X3761">
        <v>0</v>
      </c>
      <c r="Y3761">
        <v>0</v>
      </c>
      <c r="Z3761">
        <v>-541</v>
      </c>
      <c r="AA3761">
        <v>692124</v>
      </c>
      <c r="AD3761" t="s">
        <v>3308</v>
      </c>
      <c r="AF3761" t="s">
        <v>3308</v>
      </c>
      <c r="AG3761" s="1" t="s">
        <v>9858</v>
      </c>
      <c r="AH3761" t="s">
        <v>44</v>
      </c>
    </row>
    <row r="3762" spans="1:34" x14ac:dyDescent="0.3">
      <c r="A3762">
        <v>101</v>
      </c>
      <c r="B3762" t="s">
        <v>34</v>
      </c>
      <c r="C3762">
        <v>2</v>
      </c>
      <c r="D3762" s="1" t="s">
        <v>9867</v>
      </c>
      <c r="E3762" s="1" t="s">
        <v>36</v>
      </c>
      <c r="G3762">
        <v>436687</v>
      </c>
      <c r="H3762" t="s">
        <v>9856</v>
      </c>
      <c r="I3762" t="s">
        <v>2413</v>
      </c>
      <c r="J3762">
        <v>30</v>
      </c>
      <c r="K3762">
        <v>2695</v>
      </c>
      <c r="L3762">
        <v>95000</v>
      </c>
      <c r="M3762" t="s">
        <v>69</v>
      </c>
      <c r="N3762">
        <v>691</v>
      </c>
      <c r="O3762" s="2">
        <v>46111</v>
      </c>
      <c r="P3762" s="2">
        <v>46255</v>
      </c>
      <c r="R3762" t="s">
        <v>9868</v>
      </c>
      <c r="S3762" t="str">
        <f>""</f>
        <v/>
      </c>
      <c r="T3762" t="s">
        <v>41</v>
      </c>
      <c r="U3762">
        <v>4294.3</v>
      </c>
      <c r="V3762">
        <v>4247.0600000000004</v>
      </c>
      <c r="W3762">
        <v>4247.0600000000004</v>
      </c>
      <c r="X3762">
        <v>0</v>
      </c>
      <c r="Y3762">
        <v>0</v>
      </c>
      <c r="Z3762">
        <v>-480</v>
      </c>
      <c r="AA3762">
        <v>683492</v>
      </c>
      <c r="AD3762" t="s">
        <v>3308</v>
      </c>
      <c r="AF3762" t="s">
        <v>3308</v>
      </c>
      <c r="AG3762" s="1" t="s">
        <v>9858</v>
      </c>
      <c r="AH3762" t="s">
        <v>44</v>
      </c>
    </row>
    <row r="3763" spans="1:34" x14ac:dyDescent="0.3">
      <c r="A3763">
        <v>101</v>
      </c>
      <c r="B3763" t="s">
        <v>34</v>
      </c>
      <c r="C3763">
        <v>2</v>
      </c>
      <c r="D3763" s="1" t="s">
        <v>9869</v>
      </c>
      <c r="E3763" s="1" t="s">
        <v>36</v>
      </c>
      <c r="G3763">
        <v>436687</v>
      </c>
      <c r="H3763" t="s">
        <v>9856</v>
      </c>
      <c r="I3763" t="s">
        <v>2413</v>
      </c>
      <c r="J3763">
        <v>30</v>
      </c>
      <c r="K3763">
        <v>2695</v>
      </c>
      <c r="L3763">
        <v>95000</v>
      </c>
      <c r="M3763" t="s">
        <v>69</v>
      </c>
      <c r="N3763">
        <v>691</v>
      </c>
      <c r="O3763" s="2">
        <v>46199</v>
      </c>
      <c r="P3763" s="2">
        <v>46316</v>
      </c>
      <c r="R3763" t="s">
        <v>9870</v>
      </c>
      <c r="S3763" t="str">
        <f>""</f>
        <v/>
      </c>
      <c r="T3763" t="s">
        <v>41</v>
      </c>
      <c r="U3763">
        <v>1326.75</v>
      </c>
      <c r="V3763">
        <v>1312.16</v>
      </c>
      <c r="W3763">
        <v>1312.16</v>
      </c>
      <c r="X3763">
        <v>0</v>
      </c>
      <c r="Y3763">
        <v>0</v>
      </c>
      <c r="Z3763">
        <v>-541</v>
      </c>
      <c r="AA3763">
        <v>692494</v>
      </c>
      <c r="AD3763" t="s">
        <v>3308</v>
      </c>
      <c r="AF3763" t="s">
        <v>3308</v>
      </c>
      <c r="AG3763" s="1" t="s">
        <v>9858</v>
      </c>
      <c r="AH3763" t="s">
        <v>44</v>
      </c>
    </row>
    <row r="3764" spans="1:34" x14ac:dyDescent="0.3">
      <c r="A3764">
        <v>101</v>
      </c>
      <c r="B3764" t="s">
        <v>34</v>
      </c>
      <c r="C3764">
        <v>2</v>
      </c>
      <c r="D3764" s="1" t="s">
        <v>9871</v>
      </c>
      <c r="E3764" s="1" t="s">
        <v>36</v>
      </c>
      <c r="G3764">
        <v>436687</v>
      </c>
      <c r="H3764" t="s">
        <v>9856</v>
      </c>
      <c r="I3764" t="s">
        <v>2413</v>
      </c>
      <c r="J3764">
        <v>30</v>
      </c>
      <c r="K3764">
        <v>2695</v>
      </c>
      <c r="L3764">
        <v>95000</v>
      </c>
      <c r="M3764" t="s">
        <v>69</v>
      </c>
      <c r="N3764">
        <v>691</v>
      </c>
      <c r="O3764" s="2">
        <v>46141</v>
      </c>
      <c r="P3764" s="2">
        <v>46255</v>
      </c>
      <c r="R3764" t="s">
        <v>9872</v>
      </c>
      <c r="S3764" t="str">
        <f>""</f>
        <v/>
      </c>
      <c r="T3764" t="s">
        <v>41</v>
      </c>
      <c r="U3764">
        <v>3592.72</v>
      </c>
      <c r="V3764">
        <v>3553.2</v>
      </c>
      <c r="W3764">
        <v>3553.2</v>
      </c>
      <c r="X3764">
        <v>0</v>
      </c>
      <c r="Y3764">
        <v>0</v>
      </c>
      <c r="Z3764">
        <v>-480</v>
      </c>
      <c r="AA3764">
        <v>686870</v>
      </c>
      <c r="AD3764" t="s">
        <v>3308</v>
      </c>
      <c r="AF3764" t="s">
        <v>3308</v>
      </c>
      <c r="AG3764" s="1" t="s">
        <v>9858</v>
      </c>
      <c r="AH3764" t="s">
        <v>44</v>
      </c>
    </row>
    <row r="3765" spans="1:34" x14ac:dyDescent="0.3">
      <c r="A3765">
        <v>101</v>
      </c>
      <c r="B3765" t="s">
        <v>34</v>
      </c>
      <c r="C3765">
        <v>2</v>
      </c>
      <c r="D3765" s="1" t="s">
        <v>9873</v>
      </c>
      <c r="E3765" s="1" t="s">
        <v>36</v>
      </c>
      <c r="G3765">
        <v>436687</v>
      </c>
      <c r="H3765" t="s">
        <v>9856</v>
      </c>
      <c r="I3765" t="s">
        <v>2413</v>
      </c>
      <c r="J3765">
        <v>30</v>
      </c>
      <c r="K3765">
        <v>2695</v>
      </c>
      <c r="L3765">
        <v>95000</v>
      </c>
      <c r="M3765" t="s">
        <v>69</v>
      </c>
      <c r="N3765">
        <v>691</v>
      </c>
      <c r="O3765" s="2">
        <v>46239</v>
      </c>
      <c r="P3765" s="2">
        <v>46349</v>
      </c>
      <c r="R3765" t="s">
        <v>9874</v>
      </c>
      <c r="S3765" t="str">
        <f>""</f>
        <v/>
      </c>
      <c r="T3765" t="s">
        <v>41</v>
      </c>
      <c r="U3765">
        <v>3765.27</v>
      </c>
      <c r="V3765">
        <v>3723.85</v>
      </c>
      <c r="W3765">
        <v>3723.85</v>
      </c>
      <c r="X3765">
        <v>0</v>
      </c>
      <c r="Y3765">
        <v>0</v>
      </c>
      <c r="Z3765">
        <v>-574</v>
      </c>
      <c r="AA3765">
        <v>696177</v>
      </c>
      <c r="AD3765" t="s">
        <v>3308</v>
      </c>
      <c r="AF3765" t="s">
        <v>3308</v>
      </c>
      <c r="AG3765" s="1" t="s">
        <v>9858</v>
      </c>
      <c r="AH3765" t="s">
        <v>44</v>
      </c>
    </row>
    <row r="3766" spans="1:34" x14ac:dyDescent="0.3">
      <c r="A3766">
        <v>101</v>
      </c>
      <c r="B3766" t="s">
        <v>34</v>
      </c>
      <c r="C3766">
        <v>2</v>
      </c>
      <c r="D3766" s="1" t="s">
        <v>9875</v>
      </c>
      <c r="E3766" s="1" t="s">
        <v>36</v>
      </c>
      <c r="G3766">
        <v>436687</v>
      </c>
      <c r="H3766" t="s">
        <v>9856</v>
      </c>
      <c r="I3766" t="s">
        <v>2413</v>
      </c>
      <c r="J3766">
        <v>30</v>
      </c>
      <c r="K3766">
        <v>2695</v>
      </c>
      <c r="L3766">
        <v>95000</v>
      </c>
      <c r="M3766" t="s">
        <v>69</v>
      </c>
      <c r="N3766">
        <v>691</v>
      </c>
      <c r="O3766" s="2">
        <v>46170</v>
      </c>
      <c r="P3766" s="2">
        <v>46296</v>
      </c>
      <c r="R3766" t="s">
        <v>9876</v>
      </c>
      <c r="S3766" t="str">
        <f>""</f>
        <v/>
      </c>
      <c r="T3766" t="s">
        <v>41</v>
      </c>
      <c r="U3766">
        <v>2741</v>
      </c>
      <c r="V3766">
        <v>2710.85</v>
      </c>
      <c r="W3766">
        <v>2710.85</v>
      </c>
      <c r="X3766">
        <v>0</v>
      </c>
      <c r="Y3766">
        <v>0</v>
      </c>
      <c r="Z3766">
        <v>-521</v>
      </c>
      <c r="AA3766">
        <v>689445</v>
      </c>
      <c r="AD3766" t="s">
        <v>3308</v>
      </c>
      <c r="AF3766" t="s">
        <v>3308</v>
      </c>
      <c r="AG3766" s="1" t="s">
        <v>9858</v>
      </c>
      <c r="AH3766" t="s">
        <v>44</v>
      </c>
    </row>
    <row r="3767" spans="1:34" x14ac:dyDescent="0.3">
      <c r="A3767">
        <v>101</v>
      </c>
      <c r="B3767" t="s">
        <v>34</v>
      </c>
      <c r="C3767">
        <v>2</v>
      </c>
      <c r="D3767" s="1" t="s">
        <v>9877</v>
      </c>
      <c r="E3767" s="1" t="s">
        <v>36</v>
      </c>
      <c r="G3767">
        <v>436687</v>
      </c>
      <c r="H3767" t="s">
        <v>9856</v>
      </c>
      <c r="I3767" t="s">
        <v>2413</v>
      </c>
      <c r="J3767">
        <v>30</v>
      </c>
      <c r="K3767">
        <v>2695</v>
      </c>
      <c r="L3767">
        <v>95000</v>
      </c>
      <c r="M3767" t="s">
        <v>69</v>
      </c>
      <c r="N3767">
        <v>691</v>
      </c>
      <c r="O3767" s="2">
        <v>46253</v>
      </c>
      <c r="P3767" s="2">
        <v>46343</v>
      </c>
      <c r="R3767" t="s">
        <v>9878</v>
      </c>
      <c r="S3767" t="str">
        <f>""</f>
        <v/>
      </c>
      <c r="T3767" t="s">
        <v>41</v>
      </c>
      <c r="U3767">
        <v>1769</v>
      </c>
      <c r="V3767">
        <v>1749.54</v>
      </c>
      <c r="W3767">
        <v>1749.54</v>
      </c>
      <c r="X3767">
        <v>0</v>
      </c>
      <c r="Y3767">
        <v>0</v>
      </c>
      <c r="Z3767">
        <v>-568</v>
      </c>
      <c r="AA3767">
        <v>696953</v>
      </c>
      <c r="AD3767" t="s">
        <v>3308</v>
      </c>
      <c r="AF3767" t="s">
        <v>3308</v>
      </c>
      <c r="AG3767" s="1" t="s">
        <v>9858</v>
      </c>
      <c r="AH3767" t="s">
        <v>44</v>
      </c>
    </row>
    <row r="3768" spans="1:34" x14ac:dyDescent="0.3">
      <c r="A3768">
        <v>101</v>
      </c>
      <c r="B3768" t="s">
        <v>34</v>
      </c>
      <c r="C3768">
        <v>2</v>
      </c>
      <c r="D3768" s="1" t="s">
        <v>9879</v>
      </c>
      <c r="E3768" s="1" t="s">
        <v>36</v>
      </c>
      <c r="G3768">
        <v>436689</v>
      </c>
      <c r="H3768" t="s">
        <v>9880</v>
      </c>
      <c r="I3768" t="s">
        <v>2413</v>
      </c>
      <c r="J3768">
        <v>30</v>
      </c>
      <c r="K3768">
        <v>2695</v>
      </c>
      <c r="L3768">
        <v>95000</v>
      </c>
      <c r="M3768" t="s">
        <v>69</v>
      </c>
      <c r="N3768">
        <v>691</v>
      </c>
      <c r="O3768" s="2">
        <v>46171</v>
      </c>
      <c r="P3768" s="2">
        <v>46296</v>
      </c>
      <c r="R3768" t="s">
        <v>9881</v>
      </c>
      <c r="S3768" t="str">
        <f>""</f>
        <v/>
      </c>
      <c r="T3768" t="s">
        <v>41</v>
      </c>
      <c r="U3768">
        <v>2846.4</v>
      </c>
      <c r="V3768">
        <v>2815.09</v>
      </c>
      <c r="W3768">
        <v>2815.09</v>
      </c>
      <c r="X3768">
        <v>0</v>
      </c>
      <c r="Y3768">
        <v>0</v>
      </c>
      <c r="Z3768">
        <v>-521</v>
      </c>
      <c r="AA3768">
        <v>689166</v>
      </c>
      <c r="AD3768" t="s">
        <v>3228</v>
      </c>
      <c r="AF3768" t="s">
        <v>3228</v>
      </c>
      <c r="AG3768" s="1" t="s">
        <v>9882</v>
      </c>
      <c r="AH3768" t="s">
        <v>44</v>
      </c>
    </row>
    <row r="3769" spans="1:34" x14ac:dyDescent="0.3">
      <c r="A3769">
        <v>101</v>
      </c>
      <c r="B3769" t="s">
        <v>34</v>
      </c>
      <c r="C3769">
        <v>2</v>
      </c>
      <c r="D3769" s="1" t="s">
        <v>9883</v>
      </c>
      <c r="E3769" s="1" t="s">
        <v>36</v>
      </c>
      <c r="G3769">
        <v>436689</v>
      </c>
      <c r="H3769" t="s">
        <v>9880</v>
      </c>
      <c r="I3769" t="s">
        <v>2413</v>
      </c>
      <c r="J3769">
        <v>30</v>
      </c>
      <c r="K3769">
        <v>2695</v>
      </c>
      <c r="L3769">
        <v>95000</v>
      </c>
      <c r="M3769" t="s">
        <v>69</v>
      </c>
      <c r="N3769">
        <v>691</v>
      </c>
      <c r="O3769" s="2">
        <v>46239</v>
      </c>
      <c r="P3769" s="2">
        <v>46349</v>
      </c>
      <c r="R3769" t="s">
        <v>9884</v>
      </c>
      <c r="S3769" t="str">
        <f>""</f>
        <v/>
      </c>
      <c r="T3769" t="s">
        <v>41</v>
      </c>
      <c r="U3769">
        <v>3117.72</v>
      </c>
      <c r="V3769">
        <v>3083.43</v>
      </c>
      <c r="W3769">
        <v>3083.43</v>
      </c>
      <c r="X3769">
        <v>0</v>
      </c>
      <c r="Y3769">
        <v>0</v>
      </c>
      <c r="Z3769">
        <v>-574</v>
      </c>
      <c r="AA3769">
        <v>696181</v>
      </c>
      <c r="AD3769" t="s">
        <v>3228</v>
      </c>
      <c r="AF3769" t="s">
        <v>3228</v>
      </c>
      <c r="AG3769" s="1" t="s">
        <v>9882</v>
      </c>
      <c r="AH3769" t="s">
        <v>44</v>
      </c>
    </row>
    <row r="3770" spans="1:34" x14ac:dyDescent="0.3">
      <c r="A3770">
        <v>101</v>
      </c>
      <c r="B3770" t="s">
        <v>34</v>
      </c>
      <c r="C3770">
        <v>2</v>
      </c>
      <c r="D3770" s="1" t="s">
        <v>9885</v>
      </c>
      <c r="E3770" s="1" t="s">
        <v>36</v>
      </c>
      <c r="G3770">
        <v>436689</v>
      </c>
      <c r="H3770" t="s">
        <v>9880</v>
      </c>
      <c r="I3770" t="s">
        <v>2413</v>
      </c>
      <c r="J3770">
        <v>30</v>
      </c>
      <c r="K3770">
        <v>2695</v>
      </c>
      <c r="L3770">
        <v>95000</v>
      </c>
      <c r="M3770" t="s">
        <v>69</v>
      </c>
      <c r="N3770">
        <v>691</v>
      </c>
      <c r="O3770" s="2">
        <v>46141</v>
      </c>
      <c r="P3770" s="2">
        <v>46255</v>
      </c>
      <c r="R3770" t="s">
        <v>9886</v>
      </c>
      <c r="S3770" t="str">
        <f>""</f>
        <v/>
      </c>
      <c r="T3770" t="s">
        <v>41</v>
      </c>
      <c r="U3770">
        <v>4324.42</v>
      </c>
      <c r="V3770">
        <v>4276.8500000000004</v>
      </c>
      <c r="W3770">
        <v>4276.8500000000004</v>
      </c>
      <c r="X3770">
        <v>0</v>
      </c>
      <c r="Y3770">
        <v>0</v>
      </c>
      <c r="Z3770">
        <v>-480</v>
      </c>
      <c r="AA3770">
        <v>686874</v>
      </c>
      <c r="AD3770" t="s">
        <v>3228</v>
      </c>
      <c r="AF3770" t="s">
        <v>3228</v>
      </c>
      <c r="AG3770" s="1" t="s">
        <v>9882</v>
      </c>
      <c r="AH3770" t="s">
        <v>44</v>
      </c>
    </row>
    <row r="3771" spans="1:34" x14ac:dyDescent="0.3">
      <c r="A3771">
        <v>101</v>
      </c>
      <c r="B3771" t="s">
        <v>34</v>
      </c>
      <c r="C3771">
        <v>2</v>
      </c>
      <c r="D3771" s="1" t="s">
        <v>9887</v>
      </c>
      <c r="E3771" s="1" t="s">
        <v>36</v>
      </c>
      <c r="G3771">
        <v>436689</v>
      </c>
      <c r="H3771" t="s">
        <v>9880</v>
      </c>
      <c r="I3771" t="s">
        <v>2413</v>
      </c>
      <c r="J3771">
        <v>30</v>
      </c>
      <c r="K3771">
        <v>2695</v>
      </c>
      <c r="L3771">
        <v>95000</v>
      </c>
      <c r="M3771" t="s">
        <v>69</v>
      </c>
      <c r="N3771">
        <v>691</v>
      </c>
      <c r="O3771" s="2">
        <v>46253</v>
      </c>
      <c r="P3771" s="2">
        <v>46343</v>
      </c>
      <c r="R3771" t="s">
        <v>9888</v>
      </c>
      <c r="S3771" t="str">
        <f>""</f>
        <v/>
      </c>
      <c r="T3771" t="s">
        <v>41</v>
      </c>
      <c r="U3771">
        <v>3538</v>
      </c>
      <c r="V3771">
        <v>3499.08</v>
      </c>
      <c r="W3771">
        <v>3499.08</v>
      </c>
      <c r="X3771">
        <v>0</v>
      </c>
      <c r="Y3771">
        <v>0</v>
      </c>
      <c r="Z3771">
        <v>-568</v>
      </c>
      <c r="AA3771">
        <v>696955</v>
      </c>
      <c r="AD3771" t="s">
        <v>3228</v>
      </c>
      <c r="AF3771" t="s">
        <v>3228</v>
      </c>
      <c r="AG3771" s="1" t="s">
        <v>9882</v>
      </c>
      <c r="AH3771" t="s">
        <v>44</v>
      </c>
    </row>
    <row r="3772" spans="1:34" x14ac:dyDescent="0.3">
      <c r="A3772">
        <v>101</v>
      </c>
      <c r="B3772" t="s">
        <v>34</v>
      </c>
      <c r="C3772">
        <v>2</v>
      </c>
      <c r="D3772" s="1" t="s">
        <v>9889</v>
      </c>
      <c r="E3772" s="1" t="s">
        <v>36</v>
      </c>
      <c r="G3772">
        <v>436689</v>
      </c>
      <c r="H3772" t="s">
        <v>9880</v>
      </c>
      <c r="I3772" t="s">
        <v>2413</v>
      </c>
      <c r="J3772">
        <v>30</v>
      </c>
      <c r="K3772">
        <v>2695</v>
      </c>
      <c r="L3772">
        <v>95000</v>
      </c>
      <c r="M3772" t="s">
        <v>69</v>
      </c>
      <c r="N3772">
        <v>691</v>
      </c>
      <c r="O3772" s="2">
        <v>46141</v>
      </c>
      <c r="P3772" s="2">
        <v>46255</v>
      </c>
      <c r="R3772" t="s">
        <v>9890</v>
      </c>
      <c r="S3772" t="str">
        <f>""</f>
        <v/>
      </c>
      <c r="T3772" t="s">
        <v>41</v>
      </c>
      <c r="U3772">
        <v>24102.55</v>
      </c>
      <c r="V3772">
        <v>23837.42</v>
      </c>
      <c r="W3772">
        <v>23837.42</v>
      </c>
      <c r="X3772">
        <v>0</v>
      </c>
      <c r="Y3772">
        <v>0</v>
      </c>
      <c r="Z3772">
        <v>-480</v>
      </c>
      <c r="AA3772">
        <v>686564</v>
      </c>
      <c r="AD3772" t="s">
        <v>3228</v>
      </c>
      <c r="AF3772" t="s">
        <v>3228</v>
      </c>
      <c r="AG3772" s="1" t="s">
        <v>9882</v>
      </c>
      <c r="AH3772" t="s">
        <v>44</v>
      </c>
    </row>
    <row r="3773" spans="1:34" x14ac:dyDescent="0.3">
      <c r="A3773">
        <v>101</v>
      </c>
      <c r="B3773" t="s">
        <v>34</v>
      </c>
      <c r="C3773">
        <v>2</v>
      </c>
      <c r="D3773" s="1" t="s">
        <v>9891</v>
      </c>
      <c r="E3773" s="1" t="s">
        <v>36</v>
      </c>
      <c r="G3773">
        <v>436689</v>
      </c>
      <c r="H3773" t="s">
        <v>9880</v>
      </c>
      <c r="I3773" t="s">
        <v>2413</v>
      </c>
      <c r="J3773">
        <v>30</v>
      </c>
      <c r="K3773">
        <v>2695</v>
      </c>
      <c r="L3773">
        <v>95000</v>
      </c>
      <c r="M3773" t="s">
        <v>69</v>
      </c>
      <c r="N3773">
        <v>691</v>
      </c>
      <c r="O3773" s="2">
        <v>46199</v>
      </c>
      <c r="P3773" s="2">
        <v>46316</v>
      </c>
      <c r="R3773" t="s">
        <v>9892</v>
      </c>
      <c r="S3773" t="str">
        <f>""</f>
        <v/>
      </c>
      <c r="T3773" t="s">
        <v>41</v>
      </c>
      <c r="U3773">
        <v>292.68</v>
      </c>
      <c r="V3773">
        <v>289.45999999999998</v>
      </c>
      <c r="W3773">
        <v>289.45999999999998</v>
      </c>
      <c r="X3773">
        <v>0</v>
      </c>
      <c r="Y3773">
        <v>0</v>
      </c>
      <c r="Z3773">
        <v>-541</v>
      </c>
      <c r="AA3773">
        <v>692797</v>
      </c>
      <c r="AD3773" t="s">
        <v>3228</v>
      </c>
      <c r="AF3773" t="s">
        <v>3228</v>
      </c>
      <c r="AG3773" s="1" t="s">
        <v>9882</v>
      </c>
      <c r="AH3773" t="s">
        <v>44</v>
      </c>
    </row>
    <row r="3774" spans="1:34" x14ac:dyDescent="0.3">
      <c r="A3774">
        <v>101</v>
      </c>
      <c r="B3774" t="s">
        <v>34</v>
      </c>
      <c r="C3774">
        <v>2</v>
      </c>
      <c r="D3774" s="1" t="s">
        <v>9893</v>
      </c>
      <c r="E3774" s="1" t="s">
        <v>36</v>
      </c>
      <c r="G3774">
        <v>436689</v>
      </c>
      <c r="H3774" t="s">
        <v>9880</v>
      </c>
      <c r="I3774" t="s">
        <v>2413</v>
      </c>
      <c r="J3774">
        <v>30</v>
      </c>
      <c r="K3774">
        <v>2695</v>
      </c>
      <c r="L3774">
        <v>95000</v>
      </c>
      <c r="M3774" t="s">
        <v>69</v>
      </c>
      <c r="N3774">
        <v>691</v>
      </c>
      <c r="O3774" s="2">
        <v>46170</v>
      </c>
      <c r="P3774" s="2">
        <v>46296</v>
      </c>
      <c r="R3774" t="s">
        <v>9894</v>
      </c>
      <c r="S3774" t="str">
        <f>""</f>
        <v/>
      </c>
      <c r="T3774" t="s">
        <v>41</v>
      </c>
      <c r="U3774">
        <v>2155.64</v>
      </c>
      <c r="V3774">
        <v>2131.9299999999998</v>
      </c>
      <c r="W3774">
        <v>2131.9299999999998</v>
      </c>
      <c r="X3774">
        <v>0</v>
      </c>
      <c r="Y3774">
        <v>0</v>
      </c>
      <c r="Z3774">
        <v>-521</v>
      </c>
      <c r="AA3774">
        <v>689449</v>
      </c>
      <c r="AD3774" t="s">
        <v>3228</v>
      </c>
      <c r="AF3774" t="s">
        <v>3228</v>
      </c>
      <c r="AG3774" s="1" t="s">
        <v>9882</v>
      </c>
      <c r="AH3774" t="s">
        <v>44</v>
      </c>
    </row>
    <row r="3775" spans="1:34" x14ac:dyDescent="0.3">
      <c r="A3775">
        <v>101</v>
      </c>
      <c r="B3775" t="s">
        <v>34</v>
      </c>
      <c r="C3775">
        <v>2</v>
      </c>
      <c r="D3775" s="1" t="s">
        <v>9895</v>
      </c>
      <c r="E3775" s="1" t="s">
        <v>36</v>
      </c>
      <c r="G3775">
        <v>436689</v>
      </c>
      <c r="H3775" t="s">
        <v>9880</v>
      </c>
      <c r="I3775" t="s">
        <v>2413</v>
      </c>
      <c r="J3775">
        <v>30</v>
      </c>
      <c r="K3775">
        <v>2695</v>
      </c>
      <c r="L3775">
        <v>95000</v>
      </c>
      <c r="M3775" t="s">
        <v>69</v>
      </c>
      <c r="N3775">
        <v>691</v>
      </c>
      <c r="O3775" s="2">
        <v>46197</v>
      </c>
      <c r="P3775" s="2">
        <v>46316</v>
      </c>
      <c r="R3775" t="s">
        <v>9896</v>
      </c>
      <c r="S3775" t="str">
        <f>""</f>
        <v/>
      </c>
      <c r="T3775" t="s">
        <v>41</v>
      </c>
      <c r="U3775">
        <v>33863.160000000003</v>
      </c>
      <c r="V3775">
        <v>33490.67</v>
      </c>
      <c r="W3775">
        <v>33490.67</v>
      </c>
      <c r="X3775">
        <v>0</v>
      </c>
      <c r="Y3775">
        <v>0</v>
      </c>
      <c r="Z3775">
        <v>-541</v>
      </c>
      <c r="AA3775">
        <v>692128</v>
      </c>
      <c r="AD3775" t="s">
        <v>3228</v>
      </c>
      <c r="AF3775" t="s">
        <v>3228</v>
      </c>
      <c r="AG3775" s="1" t="s">
        <v>9882</v>
      </c>
      <c r="AH3775" t="s">
        <v>44</v>
      </c>
    </row>
    <row r="3776" spans="1:34" x14ac:dyDescent="0.3">
      <c r="A3776">
        <v>101</v>
      </c>
      <c r="B3776" t="s">
        <v>34</v>
      </c>
      <c r="C3776">
        <v>2</v>
      </c>
      <c r="D3776" s="1" t="s">
        <v>9897</v>
      </c>
      <c r="E3776" s="1" t="s">
        <v>36</v>
      </c>
      <c r="G3776">
        <v>436689</v>
      </c>
      <c r="H3776" t="s">
        <v>9880</v>
      </c>
      <c r="I3776" t="s">
        <v>2413</v>
      </c>
      <c r="J3776">
        <v>30</v>
      </c>
      <c r="K3776">
        <v>2695</v>
      </c>
      <c r="L3776">
        <v>95000</v>
      </c>
      <c r="M3776" t="s">
        <v>69</v>
      </c>
      <c r="N3776">
        <v>691</v>
      </c>
      <c r="O3776" s="2">
        <v>46170</v>
      </c>
      <c r="P3776" s="2">
        <v>46296</v>
      </c>
      <c r="R3776" t="s">
        <v>9898</v>
      </c>
      <c r="S3776" t="str">
        <f>""</f>
        <v/>
      </c>
      <c r="T3776" t="s">
        <v>41</v>
      </c>
      <c r="U3776">
        <v>16318.51</v>
      </c>
      <c r="V3776">
        <v>16139.01</v>
      </c>
      <c r="W3776">
        <v>16139.01</v>
      </c>
      <c r="X3776">
        <v>0</v>
      </c>
      <c r="Y3776">
        <v>0</v>
      </c>
      <c r="Z3776">
        <v>-521</v>
      </c>
      <c r="AA3776">
        <v>689166</v>
      </c>
      <c r="AD3776" t="s">
        <v>3228</v>
      </c>
      <c r="AF3776" t="s">
        <v>3228</v>
      </c>
      <c r="AG3776" s="1" t="s">
        <v>9882</v>
      </c>
      <c r="AH3776" t="s">
        <v>44</v>
      </c>
    </row>
    <row r="3777" spans="1:34" x14ac:dyDescent="0.3">
      <c r="A3777">
        <v>101</v>
      </c>
      <c r="B3777" t="s">
        <v>34</v>
      </c>
      <c r="C3777">
        <v>2</v>
      </c>
      <c r="D3777" s="1" t="s">
        <v>9899</v>
      </c>
      <c r="E3777" s="1" t="s">
        <v>36</v>
      </c>
      <c r="G3777">
        <v>436689</v>
      </c>
      <c r="H3777" t="s">
        <v>9880</v>
      </c>
      <c r="I3777" t="s">
        <v>2413</v>
      </c>
      <c r="J3777">
        <v>30</v>
      </c>
      <c r="K3777">
        <v>2695</v>
      </c>
      <c r="L3777">
        <v>95000</v>
      </c>
      <c r="M3777" t="s">
        <v>69</v>
      </c>
      <c r="N3777">
        <v>691</v>
      </c>
      <c r="O3777" s="2">
        <v>46199</v>
      </c>
      <c r="P3777" s="2">
        <v>46316</v>
      </c>
      <c r="R3777" t="s">
        <v>9900</v>
      </c>
      <c r="S3777" t="str">
        <f>""</f>
        <v/>
      </c>
      <c r="T3777" t="s">
        <v>41</v>
      </c>
      <c r="U3777">
        <v>884.5</v>
      </c>
      <c r="V3777">
        <v>874.77</v>
      </c>
      <c r="W3777">
        <v>874.77</v>
      </c>
      <c r="X3777">
        <v>0</v>
      </c>
      <c r="Y3777">
        <v>0</v>
      </c>
      <c r="Z3777">
        <v>-541</v>
      </c>
      <c r="AA3777">
        <v>692498</v>
      </c>
      <c r="AD3777" t="s">
        <v>3228</v>
      </c>
      <c r="AF3777" t="s">
        <v>3228</v>
      </c>
      <c r="AG3777" s="1" t="s">
        <v>9882</v>
      </c>
      <c r="AH3777" t="s">
        <v>44</v>
      </c>
    </row>
    <row r="3778" spans="1:34" x14ac:dyDescent="0.3">
      <c r="A3778">
        <v>101</v>
      </c>
      <c r="B3778" t="s">
        <v>34</v>
      </c>
      <c r="C3778">
        <v>2</v>
      </c>
      <c r="D3778" s="1" t="s">
        <v>9901</v>
      </c>
      <c r="E3778" s="1" t="s">
        <v>36</v>
      </c>
      <c r="G3778">
        <v>436689</v>
      </c>
      <c r="H3778" t="s">
        <v>9880</v>
      </c>
      <c r="I3778" t="s">
        <v>2413</v>
      </c>
      <c r="J3778">
        <v>30</v>
      </c>
      <c r="K3778">
        <v>2695</v>
      </c>
      <c r="L3778">
        <v>95000</v>
      </c>
      <c r="M3778" t="s">
        <v>69</v>
      </c>
      <c r="N3778">
        <v>691</v>
      </c>
      <c r="O3778" s="2">
        <v>46141</v>
      </c>
      <c r="P3778" s="2">
        <v>46255</v>
      </c>
      <c r="R3778" t="s">
        <v>9902</v>
      </c>
      <c r="S3778" t="str">
        <f>""</f>
        <v/>
      </c>
      <c r="T3778" t="s">
        <v>41</v>
      </c>
      <c r="U3778">
        <v>273.52999999999997</v>
      </c>
      <c r="V3778">
        <v>270.52</v>
      </c>
      <c r="W3778">
        <v>270.52</v>
      </c>
      <c r="X3778">
        <v>0</v>
      </c>
      <c r="Y3778">
        <v>0</v>
      </c>
      <c r="Z3778">
        <v>-480</v>
      </c>
      <c r="AA3778">
        <v>686783</v>
      </c>
      <c r="AD3778" t="s">
        <v>3228</v>
      </c>
      <c r="AF3778" t="s">
        <v>3228</v>
      </c>
      <c r="AG3778" s="1" t="s">
        <v>9882</v>
      </c>
      <c r="AH3778" t="s">
        <v>44</v>
      </c>
    </row>
    <row r="3779" spans="1:34" x14ac:dyDescent="0.3">
      <c r="A3779">
        <v>101</v>
      </c>
      <c r="B3779" t="s">
        <v>34</v>
      </c>
      <c r="C3779">
        <v>2</v>
      </c>
      <c r="D3779" s="1" t="s">
        <v>9903</v>
      </c>
      <c r="E3779" s="1" t="s">
        <v>36</v>
      </c>
      <c r="G3779">
        <v>436689</v>
      </c>
      <c r="H3779" t="s">
        <v>9880</v>
      </c>
      <c r="I3779" t="s">
        <v>2413</v>
      </c>
      <c r="J3779">
        <v>30</v>
      </c>
      <c r="K3779">
        <v>2695</v>
      </c>
      <c r="L3779">
        <v>95000</v>
      </c>
      <c r="M3779" t="s">
        <v>69</v>
      </c>
      <c r="N3779">
        <v>691</v>
      </c>
      <c r="O3779" s="2">
        <v>46226</v>
      </c>
      <c r="P3779" s="2">
        <v>46337</v>
      </c>
      <c r="R3779" t="s">
        <v>9904</v>
      </c>
      <c r="S3779" t="str">
        <f>""</f>
        <v/>
      </c>
      <c r="T3779" t="s">
        <v>41</v>
      </c>
      <c r="U3779">
        <v>8402.23</v>
      </c>
      <c r="V3779">
        <v>8309.81</v>
      </c>
      <c r="W3779">
        <v>8309.81</v>
      </c>
      <c r="X3779">
        <v>0</v>
      </c>
      <c r="Y3779">
        <v>0</v>
      </c>
      <c r="Z3779">
        <v>-562</v>
      </c>
      <c r="AA3779">
        <v>694907</v>
      </c>
      <c r="AD3779" t="s">
        <v>3228</v>
      </c>
      <c r="AF3779" t="s">
        <v>3228</v>
      </c>
      <c r="AG3779" s="1" t="s">
        <v>9882</v>
      </c>
      <c r="AH3779" t="s">
        <v>44</v>
      </c>
    </row>
    <row r="3780" spans="1:34" x14ac:dyDescent="0.3">
      <c r="A3780">
        <v>101</v>
      </c>
      <c r="B3780" t="s">
        <v>34</v>
      </c>
      <c r="C3780">
        <v>2</v>
      </c>
      <c r="D3780" s="1" t="s">
        <v>9905</v>
      </c>
      <c r="E3780" s="1" t="s">
        <v>36</v>
      </c>
      <c r="G3780">
        <v>436690</v>
      </c>
      <c r="H3780" t="s">
        <v>9906</v>
      </c>
      <c r="I3780" t="s">
        <v>2413</v>
      </c>
      <c r="J3780">
        <v>30</v>
      </c>
      <c r="K3780">
        <v>2695</v>
      </c>
      <c r="L3780">
        <v>95000</v>
      </c>
      <c r="M3780" t="s">
        <v>69</v>
      </c>
      <c r="N3780">
        <v>691</v>
      </c>
      <c r="O3780" s="2">
        <v>46253</v>
      </c>
      <c r="P3780" s="2">
        <v>46343</v>
      </c>
      <c r="R3780" t="s">
        <v>9907</v>
      </c>
      <c r="S3780" t="str">
        <f>""</f>
        <v/>
      </c>
      <c r="T3780" t="s">
        <v>41</v>
      </c>
      <c r="U3780">
        <v>3538</v>
      </c>
      <c r="V3780">
        <v>3499.08</v>
      </c>
      <c r="W3780">
        <v>3499.08</v>
      </c>
      <c r="X3780">
        <v>0</v>
      </c>
      <c r="Y3780">
        <v>0</v>
      </c>
      <c r="Z3780">
        <v>-568</v>
      </c>
      <c r="AA3780">
        <v>696957</v>
      </c>
      <c r="AD3780" t="s">
        <v>8656</v>
      </c>
      <c r="AF3780" t="s">
        <v>8656</v>
      </c>
      <c r="AG3780" s="1" t="s">
        <v>9908</v>
      </c>
      <c r="AH3780" t="s">
        <v>44</v>
      </c>
    </row>
    <row r="3781" spans="1:34" x14ac:dyDescent="0.3">
      <c r="A3781">
        <v>101</v>
      </c>
      <c r="B3781" t="s">
        <v>34</v>
      </c>
      <c r="C3781">
        <v>2</v>
      </c>
      <c r="D3781" s="1" t="s">
        <v>9909</v>
      </c>
      <c r="E3781" s="1" t="s">
        <v>36</v>
      </c>
      <c r="G3781">
        <v>436690</v>
      </c>
      <c r="H3781" t="s">
        <v>9906</v>
      </c>
      <c r="I3781" t="s">
        <v>2413</v>
      </c>
      <c r="J3781">
        <v>30</v>
      </c>
      <c r="K3781">
        <v>2695</v>
      </c>
      <c r="L3781">
        <v>95000</v>
      </c>
      <c r="M3781" t="s">
        <v>69</v>
      </c>
      <c r="N3781">
        <v>691</v>
      </c>
      <c r="O3781" s="2">
        <v>46199</v>
      </c>
      <c r="P3781" s="2">
        <v>46316</v>
      </c>
      <c r="R3781" t="s">
        <v>9910</v>
      </c>
      <c r="S3781" t="str">
        <f>""</f>
        <v/>
      </c>
      <c r="T3781" t="s">
        <v>41</v>
      </c>
      <c r="U3781">
        <v>884.5</v>
      </c>
      <c r="V3781">
        <v>874.77</v>
      </c>
      <c r="W3781">
        <v>874.77</v>
      </c>
      <c r="X3781">
        <v>0</v>
      </c>
      <c r="Y3781">
        <v>0</v>
      </c>
      <c r="Z3781">
        <v>-541</v>
      </c>
      <c r="AA3781">
        <v>692500</v>
      </c>
      <c r="AD3781" t="s">
        <v>8656</v>
      </c>
      <c r="AF3781" t="s">
        <v>8656</v>
      </c>
      <c r="AG3781" s="1" t="s">
        <v>9908</v>
      </c>
      <c r="AH3781" t="s">
        <v>44</v>
      </c>
    </row>
    <row r="3782" spans="1:34" x14ac:dyDescent="0.3">
      <c r="A3782">
        <v>101</v>
      </c>
      <c r="B3782" t="s">
        <v>34</v>
      </c>
      <c r="C3782">
        <v>2</v>
      </c>
      <c r="D3782" s="1" t="s">
        <v>9911</v>
      </c>
      <c r="E3782" s="1" t="s">
        <v>36</v>
      </c>
      <c r="G3782">
        <v>436690</v>
      </c>
      <c r="H3782" t="s">
        <v>9906</v>
      </c>
      <c r="I3782" t="s">
        <v>2413</v>
      </c>
      <c r="J3782">
        <v>30</v>
      </c>
      <c r="K3782">
        <v>2695</v>
      </c>
      <c r="L3782">
        <v>95000</v>
      </c>
      <c r="M3782" t="s">
        <v>69</v>
      </c>
      <c r="N3782">
        <v>691</v>
      </c>
      <c r="O3782" s="2">
        <v>46141</v>
      </c>
      <c r="P3782" s="2">
        <v>46266</v>
      </c>
      <c r="R3782" t="s">
        <v>9912</v>
      </c>
      <c r="S3782" t="str">
        <f>""</f>
        <v/>
      </c>
      <c r="T3782" t="s">
        <v>41</v>
      </c>
      <c r="U3782">
        <v>6410.34</v>
      </c>
      <c r="V3782">
        <v>6339.83</v>
      </c>
      <c r="W3782">
        <v>6339.83</v>
      </c>
      <c r="X3782">
        <v>0</v>
      </c>
      <c r="Y3782">
        <v>0</v>
      </c>
      <c r="Z3782">
        <v>-491</v>
      </c>
      <c r="AA3782">
        <v>686566</v>
      </c>
      <c r="AD3782" t="s">
        <v>8656</v>
      </c>
      <c r="AF3782" t="s">
        <v>8656</v>
      </c>
      <c r="AG3782" s="1" t="s">
        <v>9908</v>
      </c>
      <c r="AH3782" t="s">
        <v>44</v>
      </c>
    </row>
    <row r="3783" spans="1:34" x14ac:dyDescent="0.3">
      <c r="A3783">
        <v>101</v>
      </c>
      <c r="B3783" t="s">
        <v>34</v>
      </c>
      <c r="C3783">
        <v>2</v>
      </c>
      <c r="D3783" s="1" t="s">
        <v>9913</v>
      </c>
      <c r="E3783" s="1" t="s">
        <v>36</v>
      </c>
      <c r="G3783">
        <v>436690</v>
      </c>
      <c r="H3783" t="s">
        <v>9906</v>
      </c>
      <c r="I3783" t="s">
        <v>2413</v>
      </c>
      <c r="J3783">
        <v>30</v>
      </c>
      <c r="K3783">
        <v>2695</v>
      </c>
      <c r="L3783">
        <v>95000</v>
      </c>
      <c r="M3783" t="s">
        <v>69</v>
      </c>
      <c r="N3783">
        <v>691</v>
      </c>
      <c r="O3783" s="2">
        <v>46199</v>
      </c>
      <c r="P3783" s="2">
        <v>46316</v>
      </c>
      <c r="R3783" t="s">
        <v>9914</v>
      </c>
      <c r="S3783" t="str">
        <f>""</f>
        <v/>
      </c>
      <c r="T3783" t="s">
        <v>41</v>
      </c>
      <c r="U3783">
        <v>8479.66</v>
      </c>
      <c r="V3783">
        <v>8386.3799999999992</v>
      </c>
      <c r="W3783">
        <v>8386.3799999999992</v>
      </c>
      <c r="X3783">
        <v>0</v>
      </c>
      <c r="Y3783">
        <v>0</v>
      </c>
      <c r="Z3783">
        <v>-541</v>
      </c>
      <c r="AA3783">
        <v>692130</v>
      </c>
      <c r="AD3783" t="s">
        <v>8656</v>
      </c>
      <c r="AF3783" t="s">
        <v>8656</v>
      </c>
      <c r="AG3783" s="1" t="s">
        <v>9908</v>
      </c>
      <c r="AH3783" t="s">
        <v>44</v>
      </c>
    </row>
    <row r="3784" spans="1:34" x14ac:dyDescent="0.3">
      <c r="A3784">
        <v>101</v>
      </c>
      <c r="B3784" t="s">
        <v>34</v>
      </c>
      <c r="C3784">
        <v>2</v>
      </c>
      <c r="D3784" s="1" t="s">
        <v>9915</v>
      </c>
      <c r="E3784" s="1" t="s">
        <v>36</v>
      </c>
      <c r="G3784">
        <v>436690</v>
      </c>
      <c r="H3784" t="s">
        <v>9906</v>
      </c>
      <c r="I3784" t="s">
        <v>2413</v>
      </c>
      <c r="J3784">
        <v>30</v>
      </c>
      <c r="K3784">
        <v>2695</v>
      </c>
      <c r="L3784">
        <v>95000</v>
      </c>
      <c r="M3784" t="s">
        <v>69</v>
      </c>
      <c r="N3784">
        <v>691</v>
      </c>
      <c r="O3784" s="2">
        <v>46170</v>
      </c>
      <c r="P3784" s="2">
        <v>46296</v>
      </c>
      <c r="R3784" t="s">
        <v>9916</v>
      </c>
      <c r="S3784" t="str">
        <f>""</f>
        <v/>
      </c>
      <c r="T3784" t="s">
        <v>41</v>
      </c>
      <c r="U3784">
        <v>5742.23</v>
      </c>
      <c r="V3784">
        <v>5679.07</v>
      </c>
      <c r="W3784">
        <v>5679.07</v>
      </c>
      <c r="X3784">
        <v>0</v>
      </c>
      <c r="Y3784">
        <v>0</v>
      </c>
      <c r="Z3784">
        <v>-521</v>
      </c>
      <c r="AA3784">
        <v>689168</v>
      </c>
      <c r="AD3784" t="s">
        <v>8656</v>
      </c>
      <c r="AF3784" t="s">
        <v>8656</v>
      </c>
      <c r="AG3784" s="1" t="s">
        <v>9908</v>
      </c>
      <c r="AH3784" t="s">
        <v>44</v>
      </c>
    </row>
    <row r="3785" spans="1:34" x14ac:dyDescent="0.3">
      <c r="A3785">
        <v>101</v>
      </c>
      <c r="B3785" t="s">
        <v>34</v>
      </c>
      <c r="C3785">
        <v>2</v>
      </c>
      <c r="D3785" s="1" t="s">
        <v>9917</v>
      </c>
      <c r="E3785" s="1" t="s">
        <v>36</v>
      </c>
      <c r="G3785">
        <v>436690</v>
      </c>
      <c r="H3785" t="s">
        <v>9906</v>
      </c>
      <c r="I3785" t="s">
        <v>2413</v>
      </c>
      <c r="J3785">
        <v>30</v>
      </c>
      <c r="K3785">
        <v>2695</v>
      </c>
      <c r="L3785">
        <v>95000</v>
      </c>
      <c r="M3785" t="s">
        <v>69</v>
      </c>
      <c r="N3785">
        <v>691</v>
      </c>
      <c r="O3785" s="2">
        <v>46185</v>
      </c>
      <c r="P3785" s="2">
        <v>46296</v>
      </c>
      <c r="R3785" t="s">
        <v>9918</v>
      </c>
      <c r="S3785" t="str">
        <f>""</f>
        <v/>
      </c>
      <c r="T3785" t="s">
        <v>41</v>
      </c>
      <c r="U3785">
        <v>2846.4</v>
      </c>
      <c r="V3785">
        <v>2815.09</v>
      </c>
      <c r="W3785">
        <v>2815.09</v>
      </c>
      <c r="X3785">
        <v>0</v>
      </c>
      <c r="Y3785">
        <v>0</v>
      </c>
      <c r="Z3785">
        <v>-521</v>
      </c>
      <c r="AA3785">
        <v>689168</v>
      </c>
      <c r="AD3785" t="s">
        <v>8656</v>
      </c>
      <c r="AF3785" t="s">
        <v>8656</v>
      </c>
      <c r="AG3785" s="1" t="s">
        <v>9908</v>
      </c>
      <c r="AH3785" t="s">
        <v>44</v>
      </c>
    </row>
    <row r="3786" spans="1:34" x14ac:dyDescent="0.3">
      <c r="A3786">
        <v>101</v>
      </c>
      <c r="B3786" t="s">
        <v>34</v>
      </c>
      <c r="C3786">
        <v>2</v>
      </c>
      <c r="D3786" s="1" t="s">
        <v>9919</v>
      </c>
      <c r="E3786" s="1" t="s">
        <v>36</v>
      </c>
      <c r="G3786">
        <v>436690</v>
      </c>
      <c r="H3786" t="s">
        <v>9906</v>
      </c>
      <c r="I3786" t="s">
        <v>2413</v>
      </c>
      <c r="J3786">
        <v>30</v>
      </c>
      <c r="K3786">
        <v>2695</v>
      </c>
      <c r="L3786">
        <v>95000</v>
      </c>
      <c r="M3786" t="s">
        <v>69</v>
      </c>
      <c r="N3786">
        <v>691</v>
      </c>
      <c r="O3786" s="2">
        <v>46226</v>
      </c>
      <c r="P3786" s="2">
        <v>46337</v>
      </c>
      <c r="R3786" t="s">
        <v>9920</v>
      </c>
      <c r="S3786" t="str">
        <f>""</f>
        <v/>
      </c>
      <c r="T3786" t="s">
        <v>41</v>
      </c>
      <c r="U3786">
        <v>6544.46</v>
      </c>
      <c r="V3786">
        <v>6472.47</v>
      </c>
      <c r="W3786">
        <v>6472.47</v>
      </c>
      <c r="X3786">
        <v>0</v>
      </c>
      <c r="Y3786">
        <v>0</v>
      </c>
      <c r="Z3786">
        <v>-562</v>
      </c>
      <c r="AA3786">
        <v>694909</v>
      </c>
      <c r="AD3786" t="s">
        <v>8656</v>
      </c>
      <c r="AF3786" t="s">
        <v>8656</v>
      </c>
      <c r="AG3786" s="1" t="s">
        <v>9908</v>
      </c>
      <c r="AH3786" t="s">
        <v>44</v>
      </c>
    </row>
    <row r="3787" spans="1:34" x14ac:dyDescent="0.3">
      <c r="A3787">
        <v>101</v>
      </c>
      <c r="B3787" t="s">
        <v>34</v>
      </c>
      <c r="C3787">
        <v>2</v>
      </c>
      <c r="D3787" s="1" t="s">
        <v>9921</v>
      </c>
      <c r="E3787" s="1" t="s">
        <v>36</v>
      </c>
      <c r="G3787">
        <v>436690</v>
      </c>
      <c r="H3787" t="s">
        <v>9906</v>
      </c>
      <c r="I3787" t="s">
        <v>2413</v>
      </c>
      <c r="J3787">
        <v>30</v>
      </c>
      <c r="K3787">
        <v>2695</v>
      </c>
      <c r="L3787">
        <v>95000</v>
      </c>
      <c r="M3787" t="s">
        <v>69</v>
      </c>
      <c r="N3787">
        <v>691</v>
      </c>
      <c r="O3787" s="2">
        <v>46239</v>
      </c>
      <c r="P3787" s="2">
        <v>46329</v>
      </c>
      <c r="R3787" t="s">
        <v>9922</v>
      </c>
      <c r="S3787" t="str">
        <f>""</f>
        <v/>
      </c>
      <c r="T3787" t="s">
        <v>41</v>
      </c>
      <c r="U3787">
        <v>527.52</v>
      </c>
      <c r="V3787">
        <v>521.72</v>
      </c>
      <c r="W3787">
        <v>521.72</v>
      </c>
      <c r="X3787">
        <v>0</v>
      </c>
      <c r="Y3787">
        <v>0</v>
      </c>
      <c r="Z3787">
        <v>-554</v>
      </c>
      <c r="AA3787">
        <v>696183</v>
      </c>
      <c r="AD3787" t="s">
        <v>8656</v>
      </c>
      <c r="AF3787" t="s">
        <v>8656</v>
      </c>
      <c r="AG3787" s="1" t="s">
        <v>9908</v>
      </c>
      <c r="AH3787" t="s">
        <v>44</v>
      </c>
    </row>
    <row r="3788" spans="1:34" x14ac:dyDescent="0.3">
      <c r="A3788">
        <v>101</v>
      </c>
      <c r="B3788" t="s">
        <v>34</v>
      </c>
      <c r="C3788">
        <v>2</v>
      </c>
      <c r="D3788" s="1" t="s">
        <v>9923</v>
      </c>
      <c r="E3788" s="1" t="s">
        <v>36</v>
      </c>
      <c r="G3788">
        <v>436691</v>
      </c>
      <c r="H3788" t="s">
        <v>9924</v>
      </c>
      <c r="I3788" t="s">
        <v>2413</v>
      </c>
      <c r="J3788">
        <v>30</v>
      </c>
      <c r="K3788">
        <v>2695</v>
      </c>
      <c r="L3788">
        <v>95000</v>
      </c>
      <c r="M3788" t="s">
        <v>69</v>
      </c>
      <c r="N3788">
        <v>691</v>
      </c>
      <c r="O3788" s="2">
        <v>46141</v>
      </c>
      <c r="P3788" s="2">
        <v>46266</v>
      </c>
      <c r="R3788" t="s">
        <v>9925</v>
      </c>
      <c r="S3788" t="str">
        <f>""</f>
        <v/>
      </c>
      <c r="T3788" t="s">
        <v>41</v>
      </c>
      <c r="U3788">
        <v>8745.65</v>
      </c>
      <c r="V3788">
        <v>8649.4500000000007</v>
      </c>
      <c r="W3788">
        <v>8649.4500000000007</v>
      </c>
      <c r="X3788">
        <v>0</v>
      </c>
      <c r="Y3788">
        <v>0</v>
      </c>
      <c r="Z3788">
        <v>-491</v>
      </c>
      <c r="AA3788">
        <v>686709</v>
      </c>
      <c r="AD3788" t="s">
        <v>9926</v>
      </c>
      <c r="AF3788" t="s">
        <v>9926</v>
      </c>
      <c r="AG3788" s="1" t="s">
        <v>9927</v>
      </c>
      <c r="AH3788" t="s">
        <v>44</v>
      </c>
    </row>
    <row r="3789" spans="1:34" x14ac:dyDescent="0.3">
      <c r="A3789">
        <v>101</v>
      </c>
      <c r="B3789" t="s">
        <v>34</v>
      </c>
      <c r="C3789">
        <v>2</v>
      </c>
      <c r="D3789" s="1" t="s">
        <v>9928</v>
      </c>
      <c r="E3789" s="1" t="s">
        <v>36</v>
      </c>
      <c r="G3789">
        <v>436691</v>
      </c>
      <c r="H3789" t="s">
        <v>9924</v>
      </c>
      <c r="I3789" t="s">
        <v>2413</v>
      </c>
      <c r="J3789">
        <v>30</v>
      </c>
      <c r="K3789">
        <v>2695</v>
      </c>
      <c r="L3789">
        <v>95000</v>
      </c>
      <c r="M3789" t="s">
        <v>69</v>
      </c>
      <c r="N3789">
        <v>691</v>
      </c>
      <c r="O3789" s="2">
        <v>46199</v>
      </c>
      <c r="P3789" s="2">
        <v>46316</v>
      </c>
      <c r="R3789" t="s">
        <v>9929</v>
      </c>
      <c r="S3789" t="str">
        <f>""</f>
        <v/>
      </c>
      <c r="T3789" t="s">
        <v>41</v>
      </c>
      <c r="U3789">
        <v>884.5</v>
      </c>
      <c r="V3789">
        <v>874.77</v>
      </c>
      <c r="W3789">
        <v>874.77</v>
      </c>
      <c r="X3789">
        <v>0</v>
      </c>
      <c r="Y3789">
        <v>0</v>
      </c>
      <c r="Z3789">
        <v>-541</v>
      </c>
      <c r="AA3789">
        <v>692502</v>
      </c>
      <c r="AD3789" t="s">
        <v>9926</v>
      </c>
      <c r="AF3789" t="s">
        <v>9926</v>
      </c>
      <c r="AG3789" s="1" t="s">
        <v>9927</v>
      </c>
      <c r="AH3789" t="s">
        <v>44</v>
      </c>
    </row>
    <row r="3790" spans="1:34" x14ac:dyDescent="0.3">
      <c r="A3790">
        <v>101</v>
      </c>
      <c r="B3790" t="s">
        <v>34</v>
      </c>
      <c r="C3790">
        <v>2</v>
      </c>
      <c r="D3790" s="1" t="s">
        <v>9930</v>
      </c>
      <c r="E3790" s="1" t="s">
        <v>36</v>
      </c>
      <c r="G3790">
        <v>436691</v>
      </c>
      <c r="H3790" t="s">
        <v>9924</v>
      </c>
      <c r="I3790" t="s">
        <v>2413</v>
      </c>
      <c r="J3790">
        <v>30</v>
      </c>
      <c r="K3790">
        <v>2695</v>
      </c>
      <c r="L3790">
        <v>95000</v>
      </c>
      <c r="M3790" t="s">
        <v>69</v>
      </c>
      <c r="N3790">
        <v>691</v>
      </c>
      <c r="O3790" s="2">
        <v>46141</v>
      </c>
      <c r="P3790" s="2">
        <v>46266</v>
      </c>
      <c r="R3790" t="s">
        <v>9931</v>
      </c>
      <c r="S3790" t="str">
        <f>""</f>
        <v/>
      </c>
      <c r="T3790" t="s">
        <v>41</v>
      </c>
      <c r="U3790">
        <v>273.52999999999997</v>
      </c>
      <c r="V3790">
        <v>270.52</v>
      </c>
      <c r="W3790">
        <v>270.52</v>
      </c>
      <c r="X3790">
        <v>0</v>
      </c>
      <c r="Y3790">
        <v>0</v>
      </c>
      <c r="Z3790">
        <v>-491</v>
      </c>
      <c r="AA3790">
        <v>686805</v>
      </c>
      <c r="AD3790" t="s">
        <v>9926</v>
      </c>
      <c r="AF3790" t="s">
        <v>9926</v>
      </c>
      <c r="AG3790" s="1" t="s">
        <v>9927</v>
      </c>
      <c r="AH3790" t="s">
        <v>44</v>
      </c>
    </row>
    <row r="3791" spans="1:34" x14ac:dyDescent="0.3">
      <c r="A3791">
        <v>101</v>
      </c>
      <c r="B3791" t="s">
        <v>34</v>
      </c>
      <c r="C3791">
        <v>2</v>
      </c>
      <c r="D3791" s="1" t="s">
        <v>9932</v>
      </c>
      <c r="E3791" s="1" t="s">
        <v>36</v>
      </c>
      <c r="G3791">
        <v>436691</v>
      </c>
      <c r="H3791" t="s">
        <v>9924</v>
      </c>
      <c r="I3791" t="s">
        <v>2413</v>
      </c>
      <c r="J3791">
        <v>30</v>
      </c>
      <c r="K3791">
        <v>2695</v>
      </c>
      <c r="L3791">
        <v>95000</v>
      </c>
      <c r="M3791" t="s">
        <v>69</v>
      </c>
      <c r="N3791">
        <v>691</v>
      </c>
      <c r="O3791" s="2">
        <v>46199</v>
      </c>
      <c r="P3791" s="2">
        <v>46316</v>
      </c>
      <c r="R3791" t="s">
        <v>9933</v>
      </c>
      <c r="S3791" t="str">
        <f>""</f>
        <v/>
      </c>
      <c r="T3791" t="s">
        <v>41</v>
      </c>
      <c r="U3791">
        <v>9189.2800000000007</v>
      </c>
      <c r="V3791">
        <v>9088.2000000000007</v>
      </c>
      <c r="W3791">
        <v>9088.2000000000007</v>
      </c>
      <c r="X3791">
        <v>0</v>
      </c>
      <c r="Y3791">
        <v>0</v>
      </c>
      <c r="Z3791">
        <v>-541</v>
      </c>
      <c r="AA3791">
        <v>692270</v>
      </c>
      <c r="AD3791" t="s">
        <v>9926</v>
      </c>
      <c r="AF3791" t="s">
        <v>9926</v>
      </c>
      <c r="AG3791" s="1" t="s">
        <v>9927</v>
      </c>
      <c r="AH3791" t="s">
        <v>44</v>
      </c>
    </row>
    <row r="3792" spans="1:34" x14ac:dyDescent="0.3">
      <c r="A3792">
        <v>101</v>
      </c>
      <c r="B3792" t="s">
        <v>34</v>
      </c>
      <c r="C3792">
        <v>2</v>
      </c>
      <c r="D3792" s="1" t="s">
        <v>9934</v>
      </c>
      <c r="E3792" s="1" t="s">
        <v>36</v>
      </c>
      <c r="G3792">
        <v>436691</v>
      </c>
      <c r="H3792" t="s">
        <v>9924</v>
      </c>
      <c r="I3792" t="s">
        <v>2413</v>
      </c>
      <c r="J3792">
        <v>30</v>
      </c>
      <c r="K3792">
        <v>2695</v>
      </c>
      <c r="L3792">
        <v>95000</v>
      </c>
      <c r="M3792" t="s">
        <v>69</v>
      </c>
      <c r="N3792">
        <v>691</v>
      </c>
      <c r="O3792" s="2">
        <v>46170</v>
      </c>
      <c r="P3792" s="2">
        <v>46276</v>
      </c>
      <c r="R3792" t="s">
        <v>9935</v>
      </c>
      <c r="S3792" t="str">
        <f>""</f>
        <v/>
      </c>
      <c r="T3792" t="s">
        <v>41</v>
      </c>
      <c r="U3792">
        <v>6139.72</v>
      </c>
      <c r="V3792">
        <v>6072.18</v>
      </c>
      <c r="W3792">
        <v>6072.18</v>
      </c>
      <c r="X3792">
        <v>0</v>
      </c>
      <c r="Y3792">
        <v>0</v>
      </c>
      <c r="Z3792">
        <v>-501</v>
      </c>
      <c r="AA3792">
        <v>689310</v>
      </c>
      <c r="AD3792" t="s">
        <v>9926</v>
      </c>
      <c r="AF3792" t="s">
        <v>9926</v>
      </c>
      <c r="AG3792" s="1" t="s">
        <v>9927</v>
      </c>
      <c r="AH3792" t="s">
        <v>44</v>
      </c>
    </row>
    <row r="3793" spans="1:34" x14ac:dyDescent="0.3">
      <c r="A3793">
        <v>101</v>
      </c>
      <c r="B3793" t="s">
        <v>34</v>
      </c>
      <c r="C3793">
        <v>2</v>
      </c>
      <c r="D3793" s="1" t="s">
        <v>9936</v>
      </c>
      <c r="E3793" s="1" t="s">
        <v>36</v>
      </c>
      <c r="G3793">
        <v>436691</v>
      </c>
      <c r="H3793" t="s">
        <v>9924</v>
      </c>
      <c r="I3793" t="s">
        <v>2413</v>
      </c>
      <c r="J3793">
        <v>30</v>
      </c>
      <c r="K3793">
        <v>2695</v>
      </c>
      <c r="L3793">
        <v>95000</v>
      </c>
      <c r="M3793" t="s">
        <v>69</v>
      </c>
      <c r="N3793">
        <v>691</v>
      </c>
      <c r="O3793" s="2">
        <v>46171</v>
      </c>
      <c r="P3793" s="2">
        <v>46276</v>
      </c>
      <c r="R3793" t="s">
        <v>9937</v>
      </c>
      <c r="S3793" t="str">
        <f>""</f>
        <v/>
      </c>
      <c r="T3793" t="s">
        <v>41</v>
      </c>
      <c r="U3793">
        <v>2846.4</v>
      </c>
      <c r="V3793">
        <v>2815.09</v>
      </c>
      <c r="W3793">
        <v>2815.09</v>
      </c>
      <c r="X3793">
        <v>0</v>
      </c>
      <c r="Y3793">
        <v>0</v>
      </c>
      <c r="Z3793">
        <v>-501</v>
      </c>
      <c r="AA3793">
        <v>689310</v>
      </c>
      <c r="AD3793" t="s">
        <v>9926</v>
      </c>
      <c r="AF3793" t="s">
        <v>9926</v>
      </c>
      <c r="AG3793" s="1" t="s">
        <v>9927</v>
      </c>
      <c r="AH3793" t="s">
        <v>44</v>
      </c>
    </row>
    <row r="3794" spans="1:34" x14ac:dyDescent="0.3">
      <c r="A3794">
        <v>101</v>
      </c>
      <c r="B3794" t="s">
        <v>34</v>
      </c>
      <c r="C3794">
        <v>2</v>
      </c>
      <c r="D3794" s="1" t="s">
        <v>9938</v>
      </c>
      <c r="E3794" s="1" t="s">
        <v>36</v>
      </c>
      <c r="G3794">
        <v>436691</v>
      </c>
      <c r="H3794" t="s">
        <v>9924</v>
      </c>
      <c r="I3794" t="s">
        <v>2413</v>
      </c>
      <c r="J3794">
        <v>30</v>
      </c>
      <c r="K3794">
        <v>2695</v>
      </c>
      <c r="L3794">
        <v>95000</v>
      </c>
      <c r="M3794" t="s">
        <v>69</v>
      </c>
      <c r="N3794">
        <v>691</v>
      </c>
      <c r="O3794" s="2">
        <v>46141</v>
      </c>
      <c r="P3794" s="2">
        <v>46266</v>
      </c>
      <c r="R3794" t="s">
        <v>9939</v>
      </c>
      <c r="S3794" t="str">
        <f>""</f>
        <v/>
      </c>
      <c r="T3794" t="s">
        <v>41</v>
      </c>
      <c r="U3794">
        <v>4324.42</v>
      </c>
      <c r="V3794">
        <v>4276.8500000000004</v>
      </c>
      <c r="W3794">
        <v>4276.8500000000004</v>
      </c>
      <c r="X3794">
        <v>0</v>
      </c>
      <c r="Y3794">
        <v>0</v>
      </c>
      <c r="Z3794">
        <v>-491</v>
      </c>
      <c r="AA3794">
        <v>686944</v>
      </c>
      <c r="AD3794" t="s">
        <v>9926</v>
      </c>
      <c r="AF3794" t="s">
        <v>9926</v>
      </c>
      <c r="AG3794" s="1" t="s">
        <v>9927</v>
      </c>
      <c r="AH3794" t="s">
        <v>44</v>
      </c>
    </row>
    <row r="3795" spans="1:34" x14ac:dyDescent="0.3">
      <c r="A3795">
        <v>101</v>
      </c>
      <c r="B3795" t="s">
        <v>34</v>
      </c>
      <c r="C3795">
        <v>2</v>
      </c>
      <c r="D3795" s="1" t="s">
        <v>9940</v>
      </c>
      <c r="E3795" s="1" t="s">
        <v>36</v>
      </c>
      <c r="G3795">
        <v>436691</v>
      </c>
      <c r="H3795" t="s">
        <v>9924</v>
      </c>
      <c r="I3795" t="s">
        <v>2413</v>
      </c>
      <c r="J3795">
        <v>30</v>
      </c>
      <c r="K3795">
        <v>2695</v>
      </c>
      <c r="L3795">
        <v>95000</v>
      </c>
      <c r="M3795" t="s">
        <v>69</v>
      </c>
      <c r="N3795">
        <v>691</v>
      </c>
      <c r="O3795" s="2">
        <v>46226</v>
      </c>
      <c r="P3795" s="2">
        <v>46349</v>
      </c>
      <c r="R3795" t="s">
        <v>9941</v>
      </c>
      <c r="S3795" t="str">
        <f>""</f>
        <v/>
      </c>
      <c r="T3795" t="s">
        <v>41</v>
      </c>
      <c r="U3795">
        <v>3796.8</v>
      </c>
      <c r="V3795">
        <v>3755.04</v>
      </c>
      <c r="W3795">
        <v>3755.04</v>
      </c>
      <c r="X3795">
        <v>0</v>
      </c>
      <c r="Y3795">
        <v>0</v>
      </c>
      <c r="Z3795">
        <v>-574</v>
      </c>
      <c r="AA3795">
        <v>694911</v>
      </c>
      <c r="AD3795" t="s">
        <v>9926</v>
      </c>
      <c r="AF3795" t="s">
        <v>9926</v>
      </c>
      <c r="AG3795" s="1" t="s">
        <v>9927</v>
      </c>
      <c r="AH3795" t="s">
        <v>44</v>
      </c>
    </row>
    <row r="3796" spans="1:34" x14ac:dyDescent="0.3">
      <c r="A3796">
        <v>101</v>
      </c>
      <c r="B3796" t="s">
        <v>34</v>
      </c>
      <c r="C3796">
        <v>2</v>
      </c>
      <c r="D3796" s="1" t="s">
        <v>9942</v>
      </c>
      <c r="E3796" s="1" t="s">
        <v>36</v>
      </c>
      <c r="G3796">
        <v>436691</v>
      </c>
      <c r="H3796" t="s">
        <v>9924</v>
      </c>
      <c r="I3796" t="s">
        <v>2413</v>
      </c>
      <c r="J3796">
        <v>30</v>
      </c>
      <c r="K3796">
        <v>2695</v>
      </c>
      <c r="L3796">
        <v>95000</v>
      </c>
      <c r="M3796" t="s">
        <v>69</v>
      </c>
      <c r="N3796">
        <v>691</v>
      </c>
      <c r="O3796" s="2">
        <v>46253</v>
      </c>
      <c r="P3796" s="2">
        <v>46343</v>
      </c>
      <c r="R3796" t="s">
        <v>9943</v>
      </c>
      <c r="S3796" t="str">
        <f>""</f>
        <v/>
      </c>
      <c r="T3796" t="s">
        <v>41</v>
      </c>
      <c r="U3796">
        <v>2653.5</v>
      </c>
      <c r="V3796">
        <v>2624.31</v>
      </c>
      <c r="W3796">
        <v>2624.31</v>
      </c>
      <c r="X3796">
        <v>0</v>
      </c>
      <c r="Y3796">
        <v>0</v>
      </c>
      <c r="Z3796">
        <v>-568</v>
      </c>
      <c r="AA3796">
        <v>696959</v>
      </c>
      <c r="AD3796" t="s">
        <v>9926</v>
      </c>
      <c r="AF3796" t="s">
        <v>9926</v>
      </c>
      <c r="AG3796" s="1" t="s">
        <v>9927</v>
      </c>
      <c r="AH3796" t="s">
        <v>44</v>
      </c>
    </row>
    <row r="3797" spans="1:34" x14ac:dyDescent="0.3">
      <c r="A3797">
        <v>101</v>
      </c>
      <c r="B3797" t="s">
        <v>34</v>
      </c>
      <c r="C3797">
        <v>2</v>
      </c>
      <c r="D3797" s="1" t="s">
        <v>9944</v>
      </c>
      <c r="E3797" s="1" t="s">
        <v>36</v>
      </c>
      <c r="G3797">
        <v>436693</v>
      </c>
      <c r="H3797" t="s">
        <v>9945</v>
      </c>
      <c r="I3797" t="s">
        <v>2413</v>
      </c>
      <c r="J3797">
        <v>30</v>
      </c>
      <c r="K3797">
        <v>2695</v>
      </c>
      <c r="L3797">
        <v>95000</v>
      </c>
      <c r="M3797" t="s">
        <v>69</v>
      </c>
      <c r="N3797">
        <v>691</v>
      </c>
      <c r="O3797" s="2">
        <v>46171</v>
      </c>
      <c r="P3797" s="2">
        <v>46276</v>
      </c>
      <c r="R3797" t="s">
        <v>9946</v>
      </c>
      <c r="S3797" t="str">
        <f>""</f>
        <v/>
      </c>
      <c r="T3797" t="s">
        <v>41</v>
      </c>
      <c r="U3797">
        <v>2846.4</v>
      </c>
      <c r="V3797">
        <v>2815.09</v>
      </c>
      <c r="W3797">
        <v>2815.09</v>
      </c>
      <c r="X3797">
        <v>0</v>
      </c>
      <c r="Y3797">
        <v>0</v>
      </c>
      <c r="Z3797">
        <v>-501</v>
      </c>
      <c r="AA3797">
        <v>689170</v>
      </c>
      <c r="AD3797" t="s">
        <v>64</v>
      </c>
      <c r="AF3797" t="s">
        <v>64</v>
      </c>
      <c r="AG3797" s="1" t="s">
        <v>9947</v>
      </c>
      <c r="AH3797" t="s">
        <v>44</v>
      </c>
    </row>
    <row r="3798" spans="1:34" x14ac:dyDescent="0.3">
      <c r="A3798">
        <v>101</v>
      </c>
      <c r="B3798" t="s">
        <v>34</v>
      </c>
      <c r="C3798">
        <v>2</v>
      </c>
      <c r="D3798" s="1" t="s">
        <v>9948</v>
      </c>
      <c r="E3798" s="1" t="s">
        <v>36</v>
      </c>
      <c r="G3798">
        <v>436693</v>
      </c>
      <c r="H3798" t="s">
        <v>9945</v>
      </c>
      <c r="I3798" t="s">
        <v>2413</v>
      </c>
      <c r="J3798">
        <v>30</v>
      </c>
      <c r="K3798">
        <v>2695</v>
      </c>
      <c r="L3798">
        <v>95000</v>
      </c>
      <c r="M3798" t="s">
        <v>69</v>
      </c>
      <c r="N3798">
        <v>691</v>
      </c>
      <c r="O3798" s="2">
        <v>46170</v>
      </c>
      <c r="P3798" s="2">
        <v>46276</v>
      </c>
      <c r="R3798" t="s">
        <v>9949</v>
      </c>
      <c r="S3798" t="str">
        <f>""</f>
        <v/>
      </c>
      <c r="T3798" t="s">
        <v>41</v>
      </c>
      <c r="U3798">
        <v>11677.86</v>
      </c>
      <c r="V3798">
        <v>11549.4</v>
      </c>
      <c r="W3798">
        <v>11549.4</v>
      </c>
      <c r="X3798">
        <v>0</v>
      </c>
      <c r="Y3798">
        <v>0</v>
      </c>
      <c r="Z3798">
        <v>-501</v>
      </c>
      <c r="AA3798">
        <v>689170</v>
      </c>
      <c r="AD3798" t="s">
        <v>64</v>
      </c>
      <c r="AF3798" t="s">
        <v>64</v>
      </c>
      <c r="AG3798" s="1" t="s">
        <v>9947</v>
      </c>
      <c r="AH3798" t="s">
        <v>44</v>
      </c>
    </row>
    <row r="3799" spans="1:34" x14ac:dyDescent="0.3">
      <c r="A3799">
        <v>101</v>
      </c>
      <c r="B3799" t="s">
        <v>34</v>
      </c>
      <c r="C3799">
        <v>2</v>
      </c>
      <c r="D3799" s="1" t="s">
        <v>9950</v>
      </c>
      <c r="E3799" s="1" t="s">
        <v>36</v>
      </c>
      <c r="G3799">
        <v>436693</v>
      </c>
      <c r="H3799" t="s">
        <v>9945</v>
      </c>
      <c r="I3799" t="s">
        <v>2413</v>
      </c>
      <c r="J3799">
        <v>30</v>
      </c>
      <c r="K3799">
        <v>2695</v>
      </c>
      <c r="L3799">
        <v>95000</v>
      </c>
      <c r="M3799" t="s">
        <v>69</v>
      </c>
      <c r="N3799">
        <v>691</v>
      </c>
      <c r="O3799" s="2">
        <v>46235</v>
      </c>
      <c r="P3799" s="2">
        <v>46325</v>
      </c>
      <c r="R3799" t="s">
        <v>9951</v>
      </c>
      <c r="S3799" t="str">
        <f>""</f>
        <v/>
      </c>
      <c r="T3799" t="s">
        <v>41</v>
      </c>
      <c r="U3799">
        <v>7701.48</v>
      </c>
      <c r="V3799">
        <v>7616.76</v>
      </c>
      <c r="W3799">
        <v>7616.76</v>
      </c>
      <c r="X3799">
        <v>0</v>
      </c>
      <c r="Y3799">
        <v>0</v>
      </c>
      <c r="Z3799">
        <v>-550</v>
      </c>
      <c r="AA3799">
        <v>694913</v>
      </c>
      <c r="AD3799" t="s">
        <v>64</v>
      </c>
      <c r="AF3799" t="s">
        <v>64</v>
      </c>
      <c r="AG3799" s="1" t="s">
        <v>9947</v>
      </c>
      <c r="AH3799" t="s">
        <v>44</v>
      </c>
    </row>
    <row r="3800" spans="1:34" x14ac:dyDescent="0.3">
      <c r="A3800">
        <v>101</v>
      </c>
      <c r="B3800" t="s">
        <v>34</v>
      </c>
      <c r="C3800">
        <v>2</v>
      </c>
      <c r="D3800" s="1" t="s">
        <v>9952</v>
      </c>
      <c r="E3800" s="1" t="s">
        <v>36</v>
      </c>
      <c r="G3800">
        <v>436693</v>
      </c>
      <c r="H3800" t="s">
        <v>9945</v>
      </c>
      <c r="I3800" t="s">
        <v>2413</v>
      </c>
      <c r="J3800">
        <v>30</v>
      </c>
      <c r="K3800">
        <v>2695</v>
      </c>
      <c r="L3800">
        <v>95000</v>
      </c>
      <c r="M3800" t="s">
        <v>69</v>
      </c>
      <c r="N3800">
        <v>691</v>
      </c>
      <c r="O3800" s="2">
        <v>46253</v>
      </c>
      <c r="P3800" s="2">
        <v>46343</v>
      </c>
      <c r="R3800" t="s">
        <v>9953</v>
      </c>
      <c r="S3800" t="str">
        <f>""</f>
        <v/>
      </c>
      <c r="T3800" t="s">
        <v>41</v>
      </c>
      <c r="U3800">
        <v>3538</v>
      </c>
      <c r="V3800">
        <v>3499.08</v>
      </c>
      <c r="W3800">
        <v>3499.08</v>
      </c>
      <c r="X3800">
        <v>0</v>
      </c>
      <c r="Y3800">
        <v>0</v>
      </c>
      <c r="Z3800">
        <v>-568</v>
      </c>
      <c r="AA3800">
        <v>696961</v>
      </c>
      <c r="AD3800" t="s">
        <v>64</v>
      </c>
      <c r="AF3800" t="s">
        <v>64</v>
      </c>
      <c r="AG3800" s="1" t="s">
        <v>9947</v>
      </c>
      <c r="AH3800" t="s">
        <v>44</v>
      </c>
    </row>
    <row r="3801" spans="1:34" x14ac:dyDescent="0.3">
      <c r="A3801">
        <v>101</v>
      </c>
      <c r="B3801" t="s">
        <v>34</v>
      </c>
      <c r="C3801">
        <v>2</v>
      </c>
      <c r="D3801" s="1" t="s">
        <v>9954</v>
      </c>
      <c r="E3801" s="1" t="s">
        <v>36</v>
      </c>
      <c r="G3801">
        <v>436693</v>
      </c>
      <c r="H3801" t="s">
        <v>9945</v>
      </c>
      <c r="I3801" t="s">
        <v>2413</v>
      </c>
      <c r="J3801">
        <v>30</v>
      </c>
      <c r="K3801">
        <v>2695</v>
      </c>
      <c r="L3801">
        <v>95000</v>
      </c>
      <c r="M3801" t="s">
        <v>69</v>
      </c>
      <c r="N3801">
        <v>691</v>
      </c>
      <c r="O3801" s="2">
        <v>46199</v>
      </c>
      <c r="P3801" s="2">
        <v>46316</v>
      </c>
      <c r="R3801" t="s">
        <v>9955</v>
      </c>
      <c r="S3801" t="str">
        <f>""</f>
        <v/>
      </c>
      <c r="T3801" t="s">
        <v>41</v>
      </c>
      <c r="U3801">
        <v>2070.5700000000002</v>
      </c>
      <c r="V3801">
        <v>2047.79</v>
      </c>
      <c r="W3801">
        <v>2047.79</v>
      </c>
      <c r="X3801">
        <v>0</v>
      </c>
      <c r="Y3801">
        <v>0</v>
      </c>
      <c r="Z3801">
        <v>-541</v>
      </c>
      <c r="AA3801">
        <v>692132</v>
      </c>
      <c r="AD3801" t="s">
        <v>64</v>
      </c>
      <c r="AF3801" t="s">
        <v>64</v>
      </c>
      <c r="AG3801" s="1" t="s">
        <v>9947</v>
      </c>
      <c r="AH3801" t="s">
        <v>44</v>
      </c>
    </row>
    <row r="3802" spans="1:34" x14ac:dyDescent="0.3">
      <c r="A3802">
        <v>101</v>
      </c>
      <c r="B3802" t="s">
        <v>34</v>
      </c>
      <c r="C3802">
        <v>2</v>
      </c>
      <c r="D3802" s="1" t="s">
        <v>9956</v>
      </c>
      <c r="E3802" s="1" t="s">
        <v>36</v>
      </c>
      <c r="G3802">
        <v>436693</v>
      </c>
      <c r="H3802" t="s">
        <v>9945</v>
      </c>
      <c r="I3802" t="s">
        <v>2413</v>
      </c>
      <c r="J3802">
        <v>30</v>
      </c>
      <c r="K3802">
        <v>2695</v>
      </c>
      <c r="L3802">
        <v>95000</v>
      </c>
      <c r="M3802" t="s">
        <v>69</v>
      </c>
      <c r="N3802">
        <v>691</v>
      </c>
      <c r="O3802" s="2">
        <v>46141</v>
      </c>
      <c r="P3802" s="2">
        <v>46266</v>
      </c>
      <c r="R3802" t="s">
        <v>9957</v>
      </c>
      <c r="S3802" t="str">
        <f>""</f>
        <v/>
      </c>
      <c r="T3802" t="s">
        <v>41</v>
      </c>
      <c r="U3802">
        <v>4324.42</v>
      </c>
      <c r="V3802">
        <v>4276.8500000000004</v>
      </c>
      <c r="W3802">
        <v>4276.8500000000004</v>
      </c>
      <c r="X3802">
        <v>0</v>
      </c>
      <c r="Y3802">
        <v>0</v>
      </c>
      <c r="Z3802">
        <v>-491</v>
      </c>
      <c r="AA3802">
        <v>686876</v>
      </c>
      <c r="AD3802" t="s">
        <v>64</v>
      </c>
      <c r="AF3802" t="s">
        <v>64</v>
      </c>
      <c r="AG3802" s="1" t="s">
        <v>9947</v>
      </c>
      <c r="AH3802" t="s">
        <v>44</v>
      </c>
    </row>
    <row r="3803" spans="1:34" x14ac:dyDescent="0.3">
      <c r="A3803">
        <v>101</v>
      </c>
      <c r="B3803" t="s">
        <v>34</v>
      </c>
      <c r="C3803">
        <v>2</v>
      </c>
      <c r="D3803" s="1" t="s">
        <v>9958</v>
      </c>
      <c r="E3803" s="1" t="s">
        <v>36</v>
      </c>
      <c r="G3803">
        <v>436693</v>
      </c>
      <c r="H3803" t="s">
        <v>9945</v>
      </c>
      <c r="I3803" t="s">
        <v>2413</v>
      </c>
      <c r="J3803">
        <v>30</v>
      </c>
      <c r="K3803">
        <v>2695</v>
      </c>
      <c r="L3803">
        <v>95000</v>
      </c>
      <c r="M3803" t="s">
        <v>69</v>
      </c>
      <c r="N3803">
        <v>691</v>
      </c>
      <c r="O3803" s="2">
        <v>46199</v>
      </c>
      <c r="P3803" s="2">
        <v>46316</v>
      </c>
      <c r="R3803" t="s">
        <v>9959</v>
      </c>
      <c r="S3803" t="str">
        <f>""</f>
        <v/>
      </c>
      <c r="T3803" t="s">
        <v>41</v>
      </c>
      <c r="U3803">
        <v>1769</v>
      </c>
      <c r="V3803">
        <v>1749.54</v>
      </c>
      <c r="W3803">
        <v>1749.54</v>
      </c>
      <c r="X3803">
        <v>0</v>
      </c>
      <c r="Y3803">
        <v>0</v>
      </c>
      <c r="Z3803">
        <v>-541</v>
      </c>
      <c r="AA3803">
        <v>692504</v>
      </c>
      <c r="AD3803" t="s">
        <v>64</v>
      </c>
      <c r="AF3803" t="s">
        <v>64</v>
      </c>
      <c r="AG3803" s="1" t="s">
        <v>9947</v>
      </c>
      <c r="AH3803" t="s">
        <v>44</v>
      </c>
    </row>
    <row r="3804" spans="1:34" x14ac:dyDescent="0.3">
      <c r="A3804">
        <v>101</v>
      </c>
      <c r="B3804" t="s">
        <v>34</v>
      </c>
      <c r="C3804">
        <v>2</v>
      </c>
      <c r="D3804" s="1" t="s">
        <v>9960</v>
      </c>
      <c r="E3804" s="1" t="s">
        <v>36</v>
      </c>
      <c r="G3804">
        <v>436693</v>
      </c>
      <c r="H3804" t="s">
        <v>9945</v>
      </c>
      <c r="I3804" t="s">
        <v>2413</v>
      </c>
      <c r="J3804">
        <v>30</v>
      </c>
      <c r="K3804">
        <v>2695</v>
      </c>
      <c r="L3804">
        <v>95000</v>
      </c>
      <c r="M3804" t="s">
        <v>69</v>
      </c>
      <c r="N3804">
        <v>691</v>
      </c>
      <c r="O3804" s="2">
        <v>46141</v>
      </c>
      <c r="P3804" s="2">
        <v>46266</v>
      </c>
      <c r="R3804" t="s">
        <v>9961</v>
      </c>
      <c r="S3804" t="str">
        <f>""</f>
        <v/>
      </c>
      <c r="T3804" t="s">
        <v>41</v>
      </c>
      <c r="U3804">
        <v>15370.8</v>
      </c>
      <c r="V3804">
        <v>15201.72</v>
      </c>
      <c r="W3804">
        <v>15201.72</v>
      </c>
      <c r="X3804">
        <v>0</v>
      </c>
      <c r="Y3804">
        <v>0</v>
      </c>
      <c r="Z3804">
        <v>-491</v>
      </c>
      <c r="AA3804">
        <v>686568</v>
      </c>
      <c r="AD3804" t="s">
        <v>64</v>
      </c>
      <c r="AF3804" t="s">
        <v>64</v>
      </c>
      <c r="AG3804" s="1" t="s">
        <v>9947</v>
      </c>
      <c r="AH3804" t="s">
        <v>44</v>
      </c>
    </row>
    <row r="3805" spans="1:34" x14ac:dyDescent="0.3">
      <c r="A3805">
        <v>101</v>
      </c>
      <c r="B3805" t="s">
        <v>34</v>
      </c>
      <c r="C3805">
        <v>2</v>
      </c>
      <c r="D3805" s="1" t="s">
        <v>9962</v>
      </c>
      <c r="E3805" s="1" t="s">
        <v>36</v>
      </c>
      <c r="G3805">
        <v>436693</v>
      </c>
      <c r="H3805" t="s">
        <v>9945</v>
      </c>
      <c r="I3805" t="s">
        <v>2413</v>
      </c>
      <c r="J3805">
        <v>30</v>
      </c>
      <c r="K3805">
        <v>2695</v>
      </c>
      <c r="L3805">
        <v>95000</v>
      </c>
      <c r="M3805" t="s">
        <v>69</v>
      </c>
      <c r="N3805">
        <v>691</v>
      </c>
      <c r="O3805" s="2">
        <v>46171</v>
      </c>
      <c r="P3805" s="2">
        <v>46276</v>
      </c>
      <c r="R3805" t="s">
        <v>9963</v>
      </c>
      <c r="S3805" t="str">
        <f>""</f>
        <v/>
      </c>
      <c r="T3805" t="s">
        <v>41</v>
      </c>
      <c r="U3805">
        <v>2741</v>
      </c>
      <c r="V3805">
        <v>2710.85</v>
      </c>
      <c r="W3805">
        <v>2710.85</v>
      </c>
      <c r="X3805">
        <v>0</v>
      </c>
      <c r="Y3805">
        <v>0</v>
      </c>
      <c r="Z3805">
        <v>-501</v>
      </c>
      <c r="AA3805">
        <v>689451</v>
      </c>
      <c r="AD3805" t="s">
        <v>64</v>
      </c>
      <c r="AF3805" t="s">
        <v>64</v>
      </c>
      <c r="AG3805" s="1" t="s">
        <v>9947</v>
      </c>
      <c r="AH3805" t="s">
        <v>44</v>
      </c>
    </row>
    <row r="3806" spans="1:34" x14ac:dyDescent="0.3">
      <c r="A3806">
        <v>101</v>
      </c>
      <c r="B3806" t="s">
        <v>34</v>
      </c>
      <c r="C3806">
        <v>2</v>
      </c>
      <c r="D3806" s="1" t="s">
        <v>9964</v>
      </c>
      <c r="E3806" s="1" t="s">
        <v>36</v>
      </c>
      <c r="G3806">
        <v>436693</v>
      </c>
      <c r="H3806" t="s">
        <v>9945</v>
      </c>
      <c r="I3806" t="s">
        <v>2413</v>
      </c>
      <c r="J3806">
        <v>30</v>
      </c>
      <c r="K3806">
        <v>2695</v>
      </c>
      <c r="L3806">
        <v>95000</v>
      </c>
      <c r="M3806" t="s">
        <v>69</v>
      </c>
      <c r="N3806">
        <v>691</v>
      </c>
      <c r="O3806" s="2">
        <v>46239</v>
      </c>
      <c r="P3806" s="2">
        <v>46329</v>
      </c>
      <c r="R3806" t="s">
        <v>9965</v>
      </c>
      <c r="S3806" t="str">
        <f>""</f>
        <v/>
      </c>
      <c r="T3806" t="s">
        <v>41</v>
      </c>
      <c r="U3806">
        <v>527.52</v>
      </c>
      <c r="V3806">
        <v>521.72</v>
      </c>
      <c r="W3806">
        <v>521.72</v>
      </c>
      <c r="X3806">
        <v>0</v>
      </c>
      <c r="Y3806">
        <v>0</v>
      </c>
      <c r="Z3806">
        <v>-554</v>
      </c>
      <c r="AA3806">
        <v>696185</v>
      </c>
      <c r="AD3806" t="s">
        <v>64</v>
      </c>
      <c r="AF3806" t="s">
        <v>64</v>
      </c>
      <c r="AG3806" s="1" t="s">
        <v>9947</v>
      </c>
      <c r="AH3806" t="s">
        <v>44</v>
      </c>
    </row>
    <row r="3807" spans="1:34" x14ac:dyDescent="0.3">
      <c r="A3807">
        <v>101</v>
      </c>
      <c r="B3807" t="s">
        <v>34</v>
      </c>
      <c r="C3807">
        <v>2</v>
      </c>
      <c r="D3807" s="1" t="s">
        <v>9966</v>
      </c>
      <c r="E3807" s="1" t="s">
        <v>36</v>
      </c>
      <c r="G3807">
        <v>436694</v>
      </c>
      <c r="H3807" t="s">
        <v>9967</v>
      </c>
      <c r="I3807" t="s">
        <v>2413</v>
      </c>
      <c r="J3807">
        <v>30</v>
      </c>
      <c r="K3807">
        <v>2695</v>
      </c>
      <c r="L3807">
        <v>95000</v>
      </c>
      <c r="M3807" t="s">
        <v>69</v>
      </c>
      <c r="N3807">
        <v>691</v>
      </c>
      <c r="O3807" s="2">
        <v>46253</v>
      </c>
      <c r="P3807" s="2">
        <v>46343</v>
      </c>
      <c r="R3807" t="s">
        <v>9968</v>
      </c>
      <c r="S3807" t="str">
        <f>""</f>
        <v/>
      </c>
      <c r="T3807" t="s">
        <v>41</v>
      </c>
      <c r="U3807">
        <v>1769</v>
      </c>
      <c r="V3807">
        <v>1749.54</v>
      </c>
      <c r="W3807">
        <v>1749.54</v>
      </c>
      <c r="X3807">
        <v>0</v>
      </c>
      <c r="Y3807">
        <v>0</v>
      </c>
      <c r="Z3807">
        <v>-568</v>
      </c>
      <c r="AA3807">
        <v>696965</v>
      </c>
      <c r="AD3807" t="s">
        <v>64</v>
      </c>
      <c r="AF3807" t="s">
        <v>64</v>
      </c>
      <c r="AG3807" s="1" t="s">
        <v>9969</v>
      </c>
      <c r="AH3807" t="s">
        <v>44</v>
      </c>
    </row>
    <row r="3808" spans="1:34" x14ac:dyDescent="0.3">
      <c r="A3808">
        <v>101</v>
      </c>
      <c r="B3808" t="s">
        <v>34</v>
      </c>
      <c r="C3808">
        <v>2</v>
      </c>
      <c r="D3808" s="1" t="s">
        <v>9970</v>
      </c>
      <c r="E3808" s="1" t="s">
        <v>36</v>
      </c>
      <c r="G3808">
        <v>436694</v>
      </c>
      <c r="H3808" t="s">
        <v>9967</v>
      </c>
      <c r="I3808" t="s">
        <v>2413</v>
      </c>
      <c r="J3808">
        <v>30</v>
      </c>
      <c r="K3808">
        <v>2695</v>
      </c>
      <c r="L3808">
        <v>95000</v>
      </c>
      <c r="M3808" t="s">
        <v>69</v>
      </c>
      <c r="N3808">
        <v>691</v>
      </c>
      <c r="O3808" s="2">
        <v>46170</v>
      </c>
      <c r="P3808" s="2">
        <v>46276</v>
      </c>
      <c r="R3808" t="s">
        <v>9971</v>
      </c>
      <c r="S3808" t="str">
        <f>""</f>
        <v/>
      </c>
      <c r="T3808" t="s">
        <v>41</v>
      </c>
      <c r="U3808">
        <v>8595.58</v>
      </c>
      <c r="V3808">
        <v>8501.0300000000007</v>
      </c>
      <c r="W3808">
        <v>8501.0300000000007</v>
      </c>
      <c r="X3808">
        <v>0</v>
      </c>
      <c r="Y3808">
        <v>0</v>
      </c>
      <c r="Z3808">
        <v>-501</v>
      </c>
      <c r="AA3808">
        <v>689312</v>
      </c>
      <c r="AD3808" t="s">
        <v>64</v>
      </c>
      <c r="AF3808" t="s">
        <v>64</v>
      </c>
      <c r="AG3808" s="1" t="s">
        <v>9969</v>
      </c>
      <c r="AH3808" t="s">
        <v>44</v>
      </c>
    </row>
    <row r="3809" spans="1:34" x14ac:dyDescent="0.3">
      <c r="A3809">
        <v>101</v>
      </c>
      <c r="B3809" t="s">
        <v>34</v>
      </c>
      <c r="C3809">
        <v>2</v>
      </c>
      <c r="D3809" s="1" t="s">
        <v>9972</v>
      </c>
      <c r="E3809" s="1" t="s">
        <v>36</v>
      </c>
      <c r="G3809">
        <v>436694</v>
      </c>
      <c r="H3809" t="s">
        <v>9967</v>
      </c>
      <c r="I3809" t="s">
        <v>2413</v>
      </c>
      <c r="J3809">
        <v>30</v>
      </c>
      <c r="K3809">
        <v>2695</v>
      </c>
      <c r="L3809">
        <v>95000</v>
      </c>
      <c r="M3809" t="s">
        <v>69</v>
      </c>
      <c r="N3809">
        <v>691</v>
      </c>
      <c r="O3809" s="2">
        <v>46171</v>
      </c>
      <c r="P3809" s="2">
        <v>46276</v>
      </c>
      <c r="R3809" t="s">
        <v>9973</v>
      </c>
      <c r="S3809" t="str">
        <f>""</f>
        <v/>
      </c>
      <c r="T3809" t="s">
        <v>41</v>
      </c>
      <c r="U3809">
        <v>2846.4</v>
      </c>
      <c r="V3809">
        <v>2815.09</v>
      </c>
      <c r="W3809">
        <v>2815.09</v>
      </c>
      <c r="X3809">
        <v>0</v>
      </c>
      <c r="Y3809">
        <v>0</v>
      </c>
      <c r="Z3809">
        <v>-501</v>
      </c>
      <c r="AA3809">
        <v>689312</v>
      </c>
      <c r="AD3809" t="s">
        <v>64</v>
      </c>
      <c r="AF3809" t="s">
        <v>64</v>
      </c>
      <c r="AG3809" s="1" t="s">
        <v>9969</v>
      </c>
      <c r="AH3809" t="s">
        <v>44</v>
      </c>
    </row>
    <row r="3810" spans="1:34" x14ac:dyDescent="0.3">
      <c r="A3810">
        <v>101</v>
      </c>
      <c r="B3810" t="s">
        <v>34</v>
      </c>
      <c r="C3810">
        <v>2</v>
      </c>
      <c r="D3810" s="1" t="s">
        <v>9974</v>
      </c>
      <c r="E3810" s="1" t="s">
        <v>36</v>
      </c>
      <c r="G3810">
        <v>436694</v>
      </c>
      <c r="H3810" t="s">
        <v>9967</v>
      </c>
      <c r="I3810" t="s">
        <v>2413</v>
      </c>
      <c r="J3810">
        <v>30</v>
      </c>
      <c r="K3810">
        <v>2695</v>
      </c>
      <c r="L3810">
        <v>95000</v>
      </c>
      <c r="M3810" t="s">
        <v>69</v>
      </c>
      <c r="N3810">
        <v>691</v>
      </c>
      <c r="O3810" s="2">
        <v>46141</v>
      </c>
      <c r="P3810" s="2">
        <v>46266</v>
      </c>
      <c r="R3810" t="s">
        <v>9975</v>
      </c>
      <c r="S3810" t="str">
        <f>""</f>
        <v/>
      </c>
      <c r="T3810" t="s">
        <v>41</v>
      </c>
      <c r="U3810">
        <v>3592.72</v>
      </c>
      <c r="V3810">
        <v>3553.2</v>
      </c>
      <c r="W3810">
        <v>3553.2</v>
      </c>
      <c r="X3810">
        <v>0</v>
      </c>
      <c r="Y3810">
        <v>0</v>
      </c>
      <c r="Z3810">
        <v>-491</v>
      </c>
      <c r="AA3810">
        <v>686946</v>
      </c>
      <c r="AD3810" t="s">
        <v>64</v>
      </c>
      <c r="AF3810" t="s">
        <v>64</v>
      </c>
      <c r="AG3810" s="1" t="s">
        <v>9969</v>
      </c>
      <c r="AH3810" t="s">
        <v>44</v>
      </c>
    </row>
    <row r="3811" spans="1:34" x14ac:dyDescent="0.3">
      <c r="A3811">
        <v>101</v>
      </c>
      <c r="B3811" t="s">
        <v>34</v>
      </c>
      <c r="C3811">
        <v>2</v>
      </c>
      <c r="D3811" s="1" t="s">
        <v>9976</v>
      </c>
      <c r="E3811" s="1" t="s">
        <v>36</v>
      </c>
      <c r="G3811">
        <v>436694</v>
      </c>
      <c r="H3811" t="s">
        <v>9967</v>
      </c>
      <c r="I3811" t="s">
        <v>2413</v>
      </c>
      <c r="J3811">
        <v>30</v>
      </c>
      <c r="K3811">
        <v>2695</v>
      </c>
      <c r="L3811">
        <v>95000</v>
      </c>
      <c r="M3811" t="s">
        <v>69</v>
      </c>
      <c r="N3811">
        <v>691</v>
      </c>
      <c r="O3811" s="2">
        <v>46199</v>
      </c>
      <c r="P3811" s="2">
        <v>46316</v>
      </c>
      <c r="R3811" t="s">
        <v>9977</v>
      </c>
      <c r="S3811" t="str">
        <f>""</f>
        <v/>
      </c>
      <c r="T3811" t="s">
        <v>41</v>
      </c>
      <c r="U3811">
        <v>7463.19</v>
      </c>
      <c r="V3811">
        <v>7381.09</v>
      </c>
      <c r="W3811">
        <v>7381.09</v>
      </c>
      <c r="X3811">
        <v>0</v>
      </c>
      <c r="Y3811">
        <v>0</v>
      </c>
      <c r="Z3811">
        <v>-541</v>
      </c>
      <c r="AA3811">
        <v>692272</v>
      </c>
      <c r="AD3811" t="s">
        <v>64</v>
      </c>
      <c r="AF3811" t="s">
        <v>64</v>
      </c>
      <c r="AG3811" s="1" t="s">
        <v>9969</v>
      </c>
      <c r="AH3811" t="s">
        <v>44</v>
      </c>
    </row>
    <row r="3812" spans="1:34" x14ac:dyDescent="0.3">
      <c r="A3812">
        <v>101</v>
      </c>
      <c r="B3812" t="s">
        <v>34</v>
      </c>
      <c r="C3812">
        <v>2</v>
      </c>
      <c r="D3812" s="1" t="s">
        <v>9978</v>
      </c>
      <c r="E3812" s="1" t="s">
        <v>36</v>
      </c>
      <c r="G3812">
        <v>436694</v>
      </c>
      <c r="H3812" t="s">
        <v>9967</v>
      </c>
      <c r="I3812" t="s">
        <v>2413</v>
      </c>
      <c r="J3812">
        <v>30</v>
      </c>
      <c r="K3812">
        <v>2695</v>
      </c>
      <c r="L3812">
        <v>95000</v>
      </c>
      <c r="M3812" t="s">
        <v>69</v>
      </c>
      <c r="N3812">
        <v>691</v>
      </c>
      <c r="O3812" s="2">
        <v>46141</v>
      </c>
      <c r="P3812" s="2">
        <v>46266</v>
      </c>
      <c r="R3812" t="s">
        <v>9979</v>
      </c>
      <c r="S3812" t="str">
        <f>""</f>
        <v/>
      </c>
      <c r="T3812" t="s">
        <v>41</v>
      </c>
      <c r="U3812">
        <v>7201.48</v>
      </c>
      <c r="V3812">
        <v>7122.26</v>
      </c>
      <c r="W3812">
        <v>7122.26</v>
      </c>
      <c r="X3812">
        <v>0</v>
      </c>
      <c r="Y3812">
        <v>0</v>
      </c>
      <c r="Z3812">
        <v>-491</v>
      </c>
      <c r="AA3812">
        <v>686711</v>
      </c>
      <c r="AD3812" t="s">
        <v>64</v>
      </c>
      <c r="AF3812" t="s">
        <v>64</v>
      </c>
      <c r="AG3812" s="1" t="s">
        <v>9969</v>
      </c>
      <c r="AH3812" t="s">
        <v>44</v>
      </c>
    </row>
    <row r="3813" spans="1:34" x14ac:dyDescent="0.3">
      <c r="A3813">
        <v>101</v>
      </c>
      <c r="B3813" t="s">
        <v>34</v>
      </c>
      <c r="C3813">
        <v>2</v>
      </c>
      <c r="D3813" s="1" t="s">
        <v>9980</v>
      </c>
      <c r="E3813" s="1" t="s">
        <v>36</v>
      </c>
      <c r="G3813">
        <v>436694</v>
      </c>
      <c r="H3813" t="s">
        <v>9967</v>
      </c>
      <c r="I3813" t="s">
        <v>2413</v>
      </c>
      <c r="J3813">
        <v>30</v>
      </c>
      <c r="K3813">
        <v>2695</v>
      </c>
      <c r="L3813">
        <v>95000</v>
      </c>
      <c r="M3813" t="s">
        <v>69</v>
      </c>
      <c r="N3813">
        <v>691</v>
      </c>
      <c r="O3813" s="2">
        <v>46199</v>
      </c>
      <c r="P3813" s="2">
        <v>46316</v>
      </c>
      <c r="R3813" t="s">
        <v>9981</v>
      </c>
      <c r="S3813" t="str">
        <f>""</f>
        <v/>
      </c>
      <c r="T3813" t="s">
        <v>41</v>
      </c>
      <c r="U3813">
        <v>442.25</v>
      </c>
      <c r="V3813">
        <v>437.39</v>
      </c>
      <c r="W3813">
        <v>437.39</v>
      </c>
      <c r="X3813">
        <v>0</v>
      </c>
      <c r="Y3813">
        <v>0</v>
      </c>
      <c r="Z3813">
        <v>-541</v>
      </c>
      <c r="AA3813">
        <v>692508</v>
      </c>
      <c r="AD3813" t="s">
        <v>64</v>
      </c>
      <c r="AF3813" t="s">
        <v>64</v>
      </c>
      <c r="AG3813" s="1" t="s">
        <v>9969</v>
      </c>
      <c r="AH3813" t="s">
        <v>44</v>
      </c>
    </row>
    <row r="3814" spans="1:34" x14ac:dyDescent="0.3">
      <c r="A3814">
        <v>101</v>
      </c>
      <c r="B3814" t="s">
        <v>34</v>
      </c>
      <c r="C3814">
        <v>2</v>
      </c>
      <c r="D3814" s="1" t="s">
        <v>9982</v>
      </c>
      <c r="E3814" s="1" t="s">
        <v>36</v>
      </c>
      <c r="G3814">
        <v>436694</v>
      </c>
      <c r="H3814" t="s">
        <v>9967</v>
      </c>
      <c r="I3814" t="s">
        <v>2413</v>
      </c>
      <c r="J3814">
        <v>30</v>
      </c>
      <c r="K3814">
        <v>2695</v>
      </c>
      <c r="L3814">
        <v>95000</v>
      </c>
      <c r="M3814" t="s">
        <v>69</v>
      </c>
      <c r="N3814">
        <v>691</v>
      </c>
      <c r="O3814" s="2">
        <v>46170</v>
      </c>
      <c r="P3814" s="2">
        <v>46276</v>
      </c>
      <c r="R3814" t="s">
        <v>9983</v>
      </c>
      <c r="S3814" t="str">
        <f>""</f>
        <v/>
      </c>
      <c r="T3814" t="s">
        <v>41</v>
      </c>
      <c r="U3814">
        <v>2741</v>
      </c>
      <c r="V3814">
        <v>2710.85</v>
      </c>
      <c r="W3814">
        <v>2710.85</v>
      </c>
      <c r="X3814">
        <v>0</v>
      </c>
      <c r="Y3814">
        <v>0</v>
      </c>
      <c r="Z3814">
        <v>-501</v>
      </c>
      <c r="AA3814">
        <v>689533</v>
      </c>
      <c r="AD3814" t="s">
        <v>64</v>
      </c>
      <c r="AF3814" t="s">
        <v>64</v>
      </c>
      <c r="AG3814" s="1" t="s">
        <v>9969</v>
      </c>
      <c r="AH3814" t="s">
        <v>44</v>
      </c>
    </row>
    <row r="3815" spans="1:34" x14ac:dyDescent="0.3">
      <c r="A3815">
        <v>101</v>
      </c>
      <c r="B3815" t="s">
        <v>34</v>
      </c>
      <c r="C3815">
        <v>2</v>
      </c>
      <c r="D3815" s="1" t="s">
        <v>9984</v>
      </c>
      <c r="E3815" s="1" t="s">
        <v>36</v>
      </c>
      <c r="G3815">
        <v>436694</v>
      </c>
      <c r="H3815" t="s">
        <v>9967</v>
      </c>
      <c r="I3815" t="s">
        <v>2413</v>
      </c>
      <c r="J3815">
        <v>30</v>
      </c>
      <c r="K3815">
        <v>2695</v>
      </c>
      <c r="L3815">
        <v>95000</v>
      </c>
      <c r="M3815" t="s">
        <v>69</v>
      </c>
      <c r="N3815">
        <v>691</v>
      </c>
      <c r="O3815" s="2">
        <v>46239</v>
      </c>
      <c r="P3815" s="2">
        <v>46329</v>
      </c>
      <c r="R3815" t="s">
        <v>9985</v>
      </c>
      <c r="S3815" t="str">
        <f>""</f>
        <v/>
      </c>
      <c r="T3815" t="s">
        <v>41</v>
      </c>
      <c r="U3815">
        <v>527.52</v>
      </c>
      <c r="V3815">
        <v>521.72</v>
      </c>
      <c r="W3815">
        <v>521.72</v>
      </c>
      <c r="X3815">
        <v>0</v>
      </c>
      <c r="Y3815">
        <v>0</v>
      </c>
      <c r="Z3815">
        <v>-554</v>
      </c>
      <c r="AA3815">
        <v>696189</v>
      </c>
      <c r="AD3815" t="s">
        <v>64</v>
      </c>
      <c r="AF3815" t="s">
        <v>64</v>
      </c>
      <c r="AG3815" s="1" t="s">
        <v>9969</v>
      </c>
      <c r="AH3815" t="s">
        <v>44</v>
      </c>
    </row>
    <row r="3816" spans="1:34" x14ac:dyDescent="0.3">
      <c r="A3816">
        <v>101</v>
      </c>
      <c r="B3816" t="s">
        <v>34</v>
      </c>
      <c r="C3816">
        <v>2</v>
      </c>
      <c r="D3816" s="1" t="s">
        <v>9986</v>
      </c>
      <c r="E3816" s="1" t="s">
        <v>36</v>
      </c>
      <c r="G3816">
        <v>436694</v>
      </c>
      <c r="H3816" t="s">
        <v>9967</v>
      </c>
      <c r="I3816" t="s">
        <v>2413</v>
      </c>
      <c r="J3816">
        <v>30</v>
      </c>
      <c r="K3816">
        <v>2695</v>
      </c>
      <c r="L3816">
        <v>95000</v>
      </c>
      <c r="M3816" t="s">
        <v>69</v>
      </c>
      <c r="N3816">
        <v>691</v>
      </c>
      <c r="O3816" s="2">
        <v>46235</v>
      </c>
      <c r="P3816" s="2">
        <v>46325</v>
      </c>
      <c r="R3816" t="s">
        <v>9987</v>
      </c>
      <c r="S3816" t="str">
        <f>""</f>
        <v/>
      </c>
      <c r="T3816" t="s">
        <v>41</v>
      </c>
      <c r="U3816">
        <v>3263.83</v>
      </c>
      <c r="V3816">
        <v>3227.93</v>
      </c>
      <c r="W3816">
        <v>3227.93</v>
      </c>
      <c r="X3816">
        <v>0</v>
      </c>
      <c r="Y3816">
        <v>0</v>
      </c>
      <c r="Z3816">
        <v>-550</v>
      </c>
      <c r="AA3816">
        <v>694917</v>
      </c>
      <c r="AD3816" t="s">
        <v>64</v>
      </c>
      <c r="AF3816" t="s">
        <v>64</v>
      </c>
      <c r="AG3816" s="1" t="s">
        <v>9969</v>
      </c>
      <c r="AH3816" t="s">
        <v>44</v>
      </c>
    </row>
    <row r="3817" spans="1:34" x14ac:dyDescent="0.3">
      <c r="A3817">
        <v>101</v>
      </c>
      <c r="B3817" t="s">
        <v>34</v>
      </c>
      <c r="C3817">
        <v>2</v>
      </c>
      <c r="D3817" s="1" t="s">
        <v>9988</v>
      </c>
      <c r="E3817" s="1" t="s">
        <v>36</v>
      </c>
      <c r="G3817">
        <v>436696</v>
      </c>
      <c r="H3817" t="s">
        <v>9989</v>
      </c>
      <c r="I3817" t="s">
        <v>2413</v>
      </c>
      <c r="J3817">
        <v>30</v>
      </c>
      <c r="K3817">
        <v>2695</v>
      </c>
      <c r="L3817">
        <v>95000</v>
      </c>
      <c r="M3817" t="s">
        <v>69</v>
      </c>
      <c r="N3817">
        <v>691</v>
      </c>
      <c r="O3817" s="2">
        <v>46199</v>
      </c>
      <c r="P3817" s="2">
        <v>46316</v>
      </c>
      <c r="R3817" t="s">
        <v>9990</v>
      </c>
      <c r="S3817" t="str">
        <f>""</f>
        <v/>
      </c>
      <c r="T3817" t="s">
        <v>41</v>
      </c>
      <c r="U3817">
        <v>1492.13</v>
      </c>
      <c r="V3817">
        <v>1475.72</v>
      </c>
      <c r="W3817">
        <v>1475.72</v>
      </c>
      <c r="X3817">
        <v>0</v>
      </c>
      <c r="Y3817">
        <v>0</v>
      </c>
      <c r="Z3817">
        <v>-541</v>
      </c>
      <c r="AA3817">
        <v>692274</v>
      </c>
      <c r="AD3817" t="s">
        <v>9991</v>
      </c>
      <c r="AF3817" t="s">
        <v>9991</v>
      </c>
      <c r="AG3817" s="1" t="s">
        <v>9992</v>
      </c>
      <c r="AH3817" t="s">
        <v>44</v>
      </c>
    </row>
    <row r="3818" spans="1:34" x14ac:dyDescent="0.3">
      <c r="A3818">
        <v>101</v>
      </c>
      <c r="B3818" t="s">
        <v>34</v>
      </c>
      <c r="C3818">
        <v>2</v>
      </c>
      <c r="D3818" s="1" t="s">
        <v>9993</v>
      </c>
      <c r="E3818" s="1" t="s">
        <v>36</v>
      </c>
      <c r="G3818">
        <v>436696</v>
      </c>
      <c r="H3818" t="s">
        <v>9989</v>
      </c>
      <c r="I3818" t="s">
        <v>2413</v>
      </c>
      <c r="J3818">
        <v>30</v>
      </c>
      <c r="K3818">
        <v>2695</v>
      </c>
      <c r="L3818">
        <v>95000</v>
      </c>
      <c r="M3818" t="s">
        <v>69</v>
      </c>
      <c r="N3818">
        <v>691</v>
      </c>
      <c r="O3818" s="2">
        <v>46226</v>
      </c>
      <c r="P3818" s="2">
        <v>46316</v>
      </c>
      <c r="R3818" t="s">
        <v>9994</v>
      </c>
      <c r="S3818" t="str">
        <f>""</f>
        <v/>
      </c>
      <c r="T3818" t="s">
        <v>41</v>
      </c>
      <c r="U3818">
        <v>4528.38</v>
      </c>
      <c r="V3818">
        <v>4478.57</v>
      </c>
      <c r="W3818">
        <v>4478.57</v>
      </c>
      <c r="X3818">
        <v>0</v>
      </c>
      <c r="Y3818">
        <v>0</v>
      </c>
      <c r="Z3818">
        <v>-541</v>
      </c>
      <c r="AA3818">
        <v>694919</v>
      </c>
      <c r="AD3818" t="s">
        <v>9991</v>
      </c>
      <c r="AF3818" t="s">
        <v>9991</v>
      </c>
      <c r="AG3818" s="1" t="s">
        <v>9992</v>
      </c>
      <c r="AH3818" t="s">
        <v>44</v>
      </c>
    </row>
    <row r="3819" spans="1:34" x14ac:dyDescent="0.3">
      <c r="A3819">
        <v>101</v>
      </c>
      <c r="B3819" t="s">
        <v>34</v>
      </c>
      <c r="C3819">
        <v>2</v>
      </c>
      <c r="D3819" s="1" t="s">
        <v>9995</v>
      </c>
      <c r="E3819" s="1" t="s">
        <v>36</v>
      </c>
      <c r="G3819">
        <v>436696</v>
      </c>
      <c r="H3819" t="s">
        <v>9989</v>
      </c>
      <c r="I3819" t="s">
        <v>2413</v>
      </c>
      <c r="J3819">
        <v>30</v>
      </c>
      <c r="K3819">
        <v>2695</v>
      </c>
      <c r="L3819">
        <v>95000</v>
      </c>
      <c r="M3819" t="s">
        <v>69</v>
      </c>
      <c r="N3819">
        <v>691</v>
      </c>
      <c r="O3819" s="2">
        <v>46171</v>
      </c>
      <c r="P3819" s="2">
        <v>46276</v>
      </c>
      <c r="R3819" t="s">
        <v>9996</v>
      </c>
      <c r="S3819" t="str">
        <f>""</f>
        <v/>
      </c>
      <c r="T3819" t="s">
        <v>41</v>
      </c>
      <c r="U3819">
        <v>2846.4</v>
      </c>
      <c r="V3819">
        <v>2815.09</v>
      </c>
      <c r="W3819">
        <v>2815.09</v>
      </c>
      <c r="X3819">
        <v>0</v>
      </c>
      <c r="Y3819">
        <v>0</v>
      </c>
      <c r="Z3819">
        <v>-501</v>
      </c>
      <c r="AA3819">
        <v>689314</v>
      </c>
      <c r="AD3819" t="s">
        <v>9991</v>
      </c>
      <c r="AF3819" t="s">
        <v>9991</v>
      </c>
      <c r="AG3819" s="1" t="s">
        <v>9992</v>
      </c>
      <c r="AH3819" t="s">
        <v>44</v>
      </c>
    </row>
    <row r="3820" spans="1:34" x14ac:dyDescent="0.3">
      <c r="A3820">
        <v>101</v>
      </c>
      <c r="B3820" t="s">
        <v>34</v>
      </c>
      <c r="C3820">
        <v>2</v>
      </c>
      <c r="D3820" s="1" t="s">
        <v>9997</v>
      </c>
      <c r="E3820" s="1" t="s">
        <v>36</v>
      </c>
      <c r="G3820">
        <v>436696</v>
      </c>
      <c r="H3820" t="s">
        <v>9989</v>
      </c>
      <c r="I3820" t="s">
        <v>2413</v>
      </c>
      <c r="J3820">
        <v>30</v>
      </c>
      <c r="K3820">
        <v>2695</v>
      </c>
      <c r="L3820">
        <v>95000</v>
      </c>
      <c r="M3820" t="s">
        <v>69</v>
      </c>
      <c r="N3820">
        <v>691</v>
      </c>
      <c r="O3820" s="2">
        <v>46141</v>
      </c>
      <c r="P3820" s="2">
        <v>46266</v>
      </c>
      <c r="R3820" t="s">
        <v>9998</v>
      </c>
      <c r="S3820" t="str">
        <f>""</f>
        <v/>
      </c>
      <c r="T3820" t="s">
        <v>41</v>
      </c>
      <c r="U3820">
        <v>10784.92</v>
      </c>
      <c r="V3820">
        <v>10666.29</v>
      </c>
      <c r="W3820">
        <v>10666.29</v>
      </c>
      <c r="X3820">
        <v>0</v>
      </c>
      <c r="Y3820">
        <v>0</v>
      </c>
      <c r="Z3820">
        <v>-491</v>
      </c>
      <c r="AA3820">
        <v>686713</v>
      </c>
      <c r="AD3820" t="s">
        <v>9991</v>
      </c>
      <c r="AF3820" t="s">
        <v>9991</v>
      </c>
      <c r="AG3820" s="1" t="s">
        <v>9992</v>
      </c>
      <c r="AH3820" t="s">
        <v>44</v>
      </c>
    </row>
    <row r="3821" spans="1:34" x14ac:dyDescent="0.3">
      <c r="A3821">
        <v>101</v>
      </c>
      <c r="B3821" t="s">
        <v>34</v>
      </c>
      <c r="C3821">
        <v>2</v>
      </c>
      <c r="D3821" s="1" t="s">
        <v>9999</v>
      </c>
      <c r="E3821" s="1" t="s">
        <v>36</v>
      </c>
      <c r="G3821">
        <v>436696</v>
      </c>
      <c r="H3821" t="s">
        <v>9989</v>
      </c>
      <c r="I3821" t="s">
        <v>2413</v>
      </c>
      <c r="J3821">
        <v>30</v>
      </c>
      <c r="K3821">
        <v>2695</v>
      </c>
      <c r="L3821">
        <v>95000</v>
      </c>
      <c r="M3821" t="s">
        <v>69</v>
      </c>
      <c r="N3821">
        <v>691</v>
      </c>
      <c r="O3821" s="2">
        <v>46199</v>
      </c>
      <c r="P3821" s="2">
        <v>46316</v>
      </c>
      <c r="R3821" t="s">
        <v>10000</v>
      </c>
      <c r="S3821" t="str">
        <f>""</f>
        <v/>
      </c>
      <c r="T3821" t="s">
        <v>41</v>
      </c>
      <c r="U3821">
        <v>442.25</v>
      </c>
      <c r="V3821">
        <v>437.39</v>
      </c>
      <c r="W3821">
        <v>437.39</v>
      </c>
      <c r="X3821">
        <v>0</v>
      </c>
      <c r="Y3821">
        <v>0</v>
      </c>
      <c r="Z3821">
        <v>-541</v>
      </c>
      <c r="AA3821">
        <v>692510</v>
      </c>
      <c r="AD3821" t="s">
        <v>9991</v>
      </c>
      <c r="AF3821" t="s">
        <v>9991</v>
      </c>
      <c r="AG3821" s="1" t="s">
        <v>9992</v>
      </c>
      <c r="AH3821" t="s">
        <v>44</v>
      </c>
    </row>
    <row r="3822" spans="1:34" x14ac:dyDescent="0.3">
      <c r="A3822">
        <v>101</v>
      </c>
      <c r="B3822" t="s">
        <v>34</v>
      </c>
      <c r="C3822">
        <v>2</v>
      </c>
      <c r="D3822" s="1" t="s">
        <v>10001</v>
      </c>
      <c r="E3822" s="1" t="s">
        <v>36</v>
      </c>
      <c r="G3822">
        <v>436696</v>
      </c>
      <c r="H3822" t="s">
        <v>9989</v>
      </c>
      <c r="I3822" t="s">
        <v>2413</v>
      </c>
      <c r="J3822">
        <v>30</v>
      </c>
      <c r="K3822">
        <v>2695</v>
      </c>
      <c r="L3822">
        <v>95000</v>
      </c>
      <c r="M3822" t="s">
        <v>69</v>
      </c>
      <c r="N3822">
        <v>691</v>
      </c>
      <c r="O3822" s="2">
        <v>46170</v>
      </c>
      <c r="P3822" s="2">
        <v>46276</v>
      </c>
      <c r="R3822" t="s">
        <v>10002</v>
      </c>
      <c r="S3822" t="str">
        <f>""</f>
        <v/>
      </c>
      <c r="T3822" t="s">
        <v>41</v>
      </c>
      <c r="U3822">
        <v>21917.31</v>
      </c>
      <c r="V3822">
        <v>21676.22</v>
      </c>
      <c r="W3822">
        <v>21676.22</v>
      </c>
      <c r="X3822">
        <v>0</v>
      </c>
      <c r="Y3822">
        <v>0</v>
      </c>
      <c r="Z3822">
        <v>-501</v>
      </c>
      <c r="AA3822">
        <v>689314</v>
      </c>
      <c r="AD3822" t="s">
        <v>9991</v>
      </c>
      <c r="AF3822" t="s">
        <v>9991</v>
      </c>
      <c r="AG3822" s="1" t="s">
        <v>9992</v>
      </c>
      <c r="AH3822" t="s">
        <v>44</v>
      </c>
    </row>
    <row r="3823" spans="1:34" x14ac:dyDescent="0.3">
      <c r="A3823">
        <v>101</v>
      </c>
      <c r="B3823" t="s">
        <v>34</v>
      </c>
      <c r="C3823">
        <v>2</v>
      </c>
      <c r="D3823" s="1" t="s">
        <v>10003</v>
      </c>
      <c r="E3823" s="1" t="s">
        <v>36</v>
      </c>
      <c r="G3823">
        <v>436696</v>
      </c>
      <c r="H3823" t="s">
        <v>9989</v>
      </c>
      <c r="I3823" t="s">
        <v>2413</v>
      </c>
      <c r="J3823">
        <v>30</v>
      </c>
      <c r="K3823">
        <v>2695</v>
      </c>
      <c r="L3823">
        <v>95000</v>
      </c>
      <c r="M3823" t="s">
        <v>69</v>
      </c>
      <c r="N3823">
        <v>691</v>
      </c>
      <c r="O3823" s="2">
        <v>46253</v>
      </c>
      <c r="P3823" s="2">
        <v>46343</v>
      </c>
      <c r="R3823" t="s">
        <v>10004</v>
      </c>
      <c r="S3823" t="str">
        <f>""</f>
        <v/>
      </c>
      <c r="T3823" t="s">
        <v>41</v>
      </c>
      <c r="U3823">
        <v>1769</v>
      </c>
      <c r="V3823">
        <v>1749.54</v>
      </c>
      <c r="W3823">
        <v>1749.54</v>
      </c>
      <c r="X3823">
        <v>0</v>
      </c>
      <c r="Y3823">
        <v>0</v>
      </c>
      <c r="Z3823">
        <v>-568</v>
      </c>
      <c r="AA3823">
        <v>696967</v>
      </c>
      <c r="AD3823" t="s">
        <v>9991</v>
      </c>
      <c r="AF3823" t="s">
        <v>9991</v>
      </c>
      <c r="AG3823" s="1" t="s">
        <v>9992</v>
      </c>
      <c r="AH3823" t="s">
        <v>44</v>
      </c>
    </row>
    <row r="3824" spans="1:34" x14ac:dyDescent="0.3">
      <c r="A3824">
        <v>101</v>
      </c>
      <c r="B3824" t="s">
        <v>34</v>
      </c>
      <c r="C3824">
        <v>2</v>
      </c>
      <c r="D3824" s="1" t="s">
        <v>10005</v>
      </c>
      <c r="E3824" s="1" t="s">
        <v>36</v>
      </c>
      <c r="G3824">
        <v>436699</v>
      </c>
      <c r="H3824" t="s">
        <v>10006</v>
      </c>
      <c r="I3824" t="s">
        <v>2413</v>
      </c>
      <c r="J3824">
        <v>30</v>
      </c>
      <c r="K3824">
        <v>2695</v>
      </c>
      <c r="L3824">
        <v>95000</v>
      </c>
      <c r="M3824" t="s">
        <v>69</v>
      </c>
      <c r="N3824">
        <v>691</v>
      </c>
      <c r="O3824" s="2">
        <v>46226</v>
      </c>
      <c r="P3824" s="2">
        <v>46316</v>
      </c>
      <c r="R3824" t="s">
        <v>10007</v>
      </c>
      <c r="S3824" t="str">
        <f>""</f>
        <v/>
      </c>
      <c r="T3824" t="s">
        <v>41</v>
      </c>
      <c r="U3824">
        <v>5561.93</v>
      </c>
      <c r="V3824">
        <v>5500.75</v>
      </c>
      <c r="W3824">
        <v>5500.75</v>
      </c>
      <c r="X3824">
        <v>0</v>
      </c>
      <c r="Y3824">
        <v>0</v>
      </c>
      <c r="Z3824">
        <v>-541</v>
      </c>
      <c r="AA3824">
        <v>694927</v>
      </c>
      <c r="AD3824" t="s">
        <v>9991</v>
      </c>
      <c r="AF3824" t="s">
        <v>9991</v>
      </c>
      <c r="AG3824" s="1" t="s">
        <v>10008</v>
      </c>
      <c r="AH3824" t="s">
        <v>44</v>
      </c>
    </row>
    <row r="3825" spans="1:34" x14ac:dyDescent="0.3">
      <c r="A3825">
        <v>101</v>
      </c>
      <c r="B3825" t="s">
        <v>34</v>
      </c>
      <c r="C3825">
        <v>2</v>
      </c>
      <c r="D3825" s="1" t="s">
        <v>10009</v>
      </c>
      <c r="E3825" s="1" t="s">
        <v>36</v>
      </c>
      <c r="G3825">
        <v>436699</v>
      </c>
      <c r="H3825" t="s">
        <v>10006</v>
      </c>
      <c r="I3825" t="s">
        <v>2413</v>
      </c>
      <c r="J3825">
        <v>30</v>
      </c>
      <c r="K3825">
        <v>2695</v>
      </c>
      <c r="L3825">
        <v>95000</v>
      </c>
      <c r="M3825" t="s">
        <v>69</v>
      </c>
      <c r="N3825">
        <v>691</v>
      </c>
      <c r="O3825" s="2">
        <v>46198</v>
      </c>
      <c r="P3825" s="2">
        <v>46296</v>
      </c>
      <c r="R3825" t="s">
        <v>10010</v>
      </c>
      <c r="S3825" t="str">
        <f>""</f>
        <v/>
      </c>
      <c r="T3825" t="s">
        <v>41</v>
      </c>
      <c r="U3825">
        <v>4050.09</v>
      </c>
      <c r="V3825">
        <v>4005.54</v>
      </c>
      <c r="W3825">
        <v>4005.54</v>
      </c>
      <c r="X3825">
        <v>0</v>
      </c>
      <c r="Y3825">
        <v>0</v>
      </c>
      <c r="Z3825">
        <v>-521</v>
      </c>
      <c r="AA3825">
        <v>692136</v>
      </c>
      <c r="AD3825" t="s">
        <v>9991</v>
      </c>
      <c r="AF3825" t="s">
        <v>9991</v>
      </c>
      <c r="AG3825" s="1" t="s">
        <v>10008</v>
      </c>
      <c r="AH3825" t="s">
        <v>44</v>
      </c>
    </row>
    <row r="3826" spans="1:34" x14ac:dyDescent="0.3">
      <c r="A3826">
        <v>101</v>
      </c>
      <c r="B3826" t="s">
        <v>34</v>
      </c>
      <c r="C3826">
        <v>2</v>
      </c>
      <c r="D3826" s="1" t="s">
        <v>10011</v>
      </c>
      <c r="E3826" s="1" t="s">
        <v>36</v>
      </c>
      <c r="G3826">
        <v>436699</v>
      </c>
      <c r="H3826" t="s">
        <v>10006</v>
      </c>
      <c r="I3826" t="s">
        <v>2413</v>
      </c>
      <c r="J3826">
        <v>30</v>
      </c>
      <c r="K3826">
        <v>2695</v>
      </c>
      <c r="L3826">
        <v>95000</v>
      </c>
      <c r="M3826" t="s">
        <v>69</v>
      </c>
      <c r="N3826">
        <v>691</v>
      </c>
      <c r="O3826" s="2">
        <v>46171</v>
      </c>
      <c r="P3826" s="2">
        <v>46276</v>
      </c>
      <c r="R3826" t="s">
        <v>10012</v>
      </c>
      <c r="S3826" t="str">
        <f>""</f>
        <v/>
      </c>
      <c r="T3826" t="s">
        <v>41</v>
      </c>
      <c r="U3826">
        <v>2846.4</v>
      </c>
      <c r="V3826">
        <v>2815.09</v>
      </c>
      <c r="W3826">
        <v>2815.09</v>
      </c>
      <c r="X3826">
        <v>0</v>
      </c>
      <c r="Y3826">
        <v>0</v>
      </c>
      <c r="Z3826">
        <v>-501</v>
      </c>
      <c r="AA3826">
        <v>689174</v>
      </c>
      <c r="AD3826" t="s">
        <v>9991</v>
      </c>
      <c r="AF3826" t="s">
        <v>9991</v>
      </c>
      <c r="AG3826" s="1" t="s">
        <v>10008</v>
      </c>
      <c r="AH3826" t="s">
        <v>44</v>
      </c>
    </row>
    <row r="3827" spans="1:34" x14ac:dyDescent="0.3">
      <c r="A3827">
        <v>101</v>
      </c>
      <c r="B3827" t="s">
        <v>34</v>
      </c>
      <c r="C3827">
        <v>2</v>
      </c>
      <c r="D3827" s="1" t="s">
        <v>10013</v>
      </c>
      <c r="E3827" s="1" t="s">
        <v>36</v>
      </c>
      <c r="G3827">
        <v>436699</v>
      </c>
      <c r="H3827" t="s">
        <v>10006</v>
      </c>
      <c r="I3827" t="s">
        <v>2413</v>
      </c>
      <c r="J3827">
        <v>30</v>
      </c>
      <c r="K3827">
        <v>2695</v>
      </c>
      <c r="L3827">
        <v>95000</v>
      </c>
      <c r="M3827" t="s">
        <v>69</v>
      </c>
      <c r="N3827">
        <v>691</v>
      </c>
      <c r="O3827" s="2">
        <v>46198</v>
      </c>
      <c r="P3827" s="2">
        <v>46296</v>
      </c>
      <c r="R3827" t="s">
        <v>10014</v>
      </c>
      <c r="S3827" t="str">
        <f>""</f>
        <v/>
      </c>
      <c r="T3827" t="s">
        <v>41</v>
      </c>
      <c r="U3827">
        <v>884.5</v>
      </c>
      <c r="V3827">
        <v>874.77</v>
      </c>
      <c r="W3827">
        <v>874.77</v>
      </c>
      <c r="X3827">
        <v>0</v>
      </c>
      <c r="Y3827">
        <v>0</v>
      </c>
      <c r="Z3827">
        <v>-521</v>
      </c>
      <c r="AA3827">
        <v>692516</v>
      </c>
      <c r="AD3827" t="s">
        <v>9991</v>
      </c>
      <c r="AF3827" t="s">
        <v>9991</v>
      </c>
      <c r="AG3827" s="1" t="s">
        <v>10008</v>
      </c>
      <c r="AH3827" t="s">
        <v>44</v>
      </c>
    </row>
    <row r="3828" spans="1:34" x14ac:dyDescent="0.3">
      <c r="A3828">
        <v>101</v>
      </c>
      <c r="B3828" t="s">
        <v>34</v>
      </c>
      <c r="C3828">
        <v>2</v>
      </c>
      <c r="D3828" s="1" t="s">
        <v>10015</v>
      </c>
      <c r="E3828" s="1" t="s">
        <v>36</v>
      </c>
      <c r="G3828">
        <v>436699</v>
      </c>
      <c r="H3828" t="s">
        <v>10006</v>
      </c>
      <c r="I3828" t="s">
        <v>2413</v>
      </c>
      <c r="J3828">
        <v>30</v>
      </c>
      <c r="K3828">
        <v>2695</v>
      </c>
      <c r="L3828">
        <v>95000</v>
      </c>
      <c r="M3828" t="s">
        <v>69</v>
      </c>
      <c r="N3828">
        <v>691</v>
      </c>
      <c r="O3828" s="2">
        <v>46140</v>
      </c>
      <c r="P3828" s="2">
        <v>46266</v>
      </c>
      <c r="R3828" t="s">
        <v>10016</v>
      </c>
      <c r="S3828" t="str">
        <f>""</f>
        <v/>
      </c>
      <c r="T3828" t="s">
        <v>41</v>
      </c>
      <c r="U3828">
        <v>5287.83</v>
      </c>
      <c r="V3828">
        <v>5229.66</v>
      </c>
      <c r="W3828">
        <v>5229.66</v>
      </c>
      <c r="X3828">
        <v>0</v>
      </c>
      <c r="Y3828">
        <v>0</v>
      </c>
      <c r="Z3828">
        <v>-491</v>
      </c>
      <c r="AA3828">
        <v>686572</v>
      </c>
      <c r="AD3828" t="s">
        <v>9991</v>
      </c>
      <c r="AF3828" t="s">
        <v>9991</v>
      </c>
      <c r="AG3828" s="1" t="s">
        <v>10008</v>
      </c>
      <c r="AH3828" t="s">
        <v>44</v>
      </c>
    </row>
    <row r="3829" spans="1:34" x14ac:dyDescent="0.3">
      <c r="A3829">
        <v>101</v>
      </c>
      <c r="B3829" t="s">
        <v>34</v>
      </c>
      <c r="C3829">
        <v>2</v>
      </c>
      <c r="D3829" s="1" t="s">
        <v>10017</v>
      </c>
      <c r="E3829" s="1" t="s">
        <v>36</v>
      </c>
      <c r="G3829">
        <v>436699</v>
      </c>
      <c r="H3829" t="s">
        <v>10006</v>
      </c>
      <c r="I3829" t="s">
        <v>2413</v>
      </c>
      <c r="J3829">
        <v>30</v>
      </c>
      <c r="K3829">
        <v>2695</v>
      </c>
      <c r="L3829">
        <v>95000</v>
      </c>
      <c r="M3829" t="s">
        <v>69</v>
      </c>
      <c r="N3829">
        <v>691</v>
      </c>
      <c r="O3829" s="2">
        <v>46253</v>
      </c>
      <c r="P3829" s="2">
        <v>46343</v>
      </c>
      <c r="R3829" t="s">
        <v>10018</v>
      </c>
      <c r="S3829" t="str">
        <f>""</f>
        <v/>
      </c>
      <c r="T3829" t="s">
        <v>41</v>
      </c>
      <c r="U3829">
        <v>2653.5</v>
      </c>
      <c r="V3829">
        <v>2624.31</v>
      </c>
      <c r="W3829">
        <v>2624.31</v>
      </c>
      <c r="X3829">
        <v>0</v>
      </c>
      <c r="Y3829">
        <v>0</v>
      </c>
      <c r="Z3829">
        <v>-568</v>
      </c>
      <c r="AA3829">
        <v>696973</v>
      </c>
      <c r="AD3829" t="s">
        <v>9991</v>
      </c>
      <c r="AF3829" t="s">
        <v>9991</v>
      </c>
      <c r="AG3829" s="1" t="s">
        <v>10008</v>
      </c>
      <c r="AH3829" t="s">
        <v>44</v>
      </c>
    </row>
    <row r="3830" spans="1:34" x14ac:dyDescent="0.3">
      <c r="A3830">
        <v>101</v>
      </c>
      <c r="B3830" t="s">
        <v>34</v>
      </c>
      <c r="C3830">
        <v>2</v>
      </c>
      <c r="D3830" s="1" t="s">
        <v>10019</v>
      </c>
      <c r="E3830" s="1" t="s">
        <v>36</v>
      </c>
      <c r="G3830">
        <v>436699</v>
      </c>
      <c r="H3830" t="s">
        <v>10006</v>
      </c>
      <c r="I3830" t="s">
        <v>2413</v>
      </c>
      <c r="J3830">
        <v>30</v>
      </c>
      <c r="K3830">
        <v>2695</v>
      </c>
      <c r="L3830">
        <v>95000</v>
      </c>
      <c r="M3830" t="s">
        <v>69</v>
      </c>
      <c r="N3830">
        <v>691</v>
      </c>
      <c r="O3830" s="2">
        <v>46170</v>
      </c>
      <c r="P3830" s="2">
        <v>46276</v>
      </c>
      <c r="R3830" t="s">
        <v>10020</v>
      </c>
      <c r="S3830" t="str">
        <f>""</f>
        <v/>
      </c>
      <c r="T3830" t="s">
        <v>41</v>
      </c>
      <c r="U3830">
        <v>585.36</v>
      </c>
      <c r="V3830">
        <v>578.91999999999996</v>
      </c>
      <c r="W3830">
        <v>578.91999999999996</v>
      </c>
      <c r="X3830">
        <v>0</v>
      </c>
      <c r="Y3830">
        <v>0</v>
      </c>
      <c r="Z3830">
        <v>-501</v>
      </c>
      <c r="AA3830">
        <v>689455</v>
      </c>
      <c r="AD3830" t="s">
        <v>9991</v>
      </c>
      <c r="AF3830" t="s">
        <v>9991</v>
      </c>
      <c r="AG3830" s="1" t="s">
        <v>10008</v>
      </c>
      <c r="AH3830" t="s">
        <v>44</v>
      </c>
    </row>
    <row r="3831" spans="1:34" x14ac:dyDescent="0.3">
      <c r="A3831">
        <v>101</v>
      </c>
      <c r="B3831" t="s">
        <v>34</v>
      </c>
      <c r="C3831">
        <v>2</v>
      </c>
      <c r="D3831" s="1" t="s">
        <v>10021</v>
      </c>
      <c r="E3831" s="1" t="s">
        <v>36</v>
      </c>
      <c r="G3831">
        <v>436699</v>
      </c>
      <c r="H3831" t="s">
        <v>10006</v>
      </c>
      <c r="I3831" t="s">
        <v>2413</v>
      </c>
      <c r="J3831">
        <v>30</v>
      </c>
      <c r="K3831">
        <v>2695</v>
      </c>
      <c r="L3831">
        <v>95000</v>
      </c>
      <c r="M3831" t="s">
        <v>69</v>
      </c>
      <c r="N3831">
        <v>691</v>
      </c>
      <c r="O3831" s="2">
        <v>46170</v>
      </c>
      <c r="P3831" s="2">
        <v>46276</v>
      </c>
      <c r="R3831" t="s">
        <v>10022</v>
      </c>
      <c r="S3831" t="str">
        <f>""</f>
        <v/>
      </c>
      <c r="T3831" t="s">
        <v>41</v>
      </c>
      <c r="U3831">
        <v>22223.62</v>
      </c>
      <c r="V3831">
        <v>21979.16</v>
      </c>
      <c r="W3831">
        <v>21979.16</v>
      </c>
      <c r="X3831">
        <v>0</v>
      </c>
      <c r="Y3831">
        <v>0</v>
      </c>
      <c r="Z3831">
        <v>-501</v>
      </c>
      <c r="AA3831">
        <v>689174</v>
      </c>
      <c r="AD3831" t="s">
        <v>9991</v>
      </c>
      <c r="AF3831" t="s">
        <v>9991</v>
      </c>
      <c r="AG3831" s="1" t="s">
        <v>10008</v>
      </c>
      <c r="AH3831" t="s">
        <v>44</v>
      </c>
    </row>
    <row r="3832" spans="1:34" x14ac:dyDescent="0.3">
      <c r="A3832">
        <v>101</v>
      </c>
      <c r="B3832" t="s">
        <v>34</v>
      </c>
      <c r="C3832">
        <v>2</v>
      </c>
      <c r="D3832" s="1" t="s">
        <v>10023</v>
      </c>
      <c r="E3832" s="1" t="s">
        <v>36</v>
      </c>
      <c r="G3832">
        <v>436699</v>
      </c>
      <c r="H3832" t="s">
        <v>10006</v>
      </c>
      <c r="I3832" t="s">
        <v>2413</v>
      </c>
      <c r="J3832">
        <v>30</v>
      </c>
      <c r="K3832">
        <v>2695</v>
      </c>
      <c r="L3832">
        <v>95000</v>
      </c>
      <c r="M3832" t="s">
        <v>69</v>
      </c>
      <c r="N3832">
        <v>691</v>
      </c>
      <c r="O3832" s="2">
        <v>46140</v>
      </c>
      <c r="P3832" s="2">
        <v>46266</v>
      </c>
      <c r="R3832" t="s">
        <v>10024</v>
      </c>
      <c r="S3832" t="str">
        <f>""</f>
        <v/>
      </c>
      <c r="T3832" t="s">
        <v>41</v>
      </c>
      <c r="U3832">
        <v>2155.64</v>
      </c>
      <c r="V3832">
        <v>2131.9299999999998</v>
      </c>
      <c r="W3832">
        <v>2131.9299999999998</v>
      </c>
      <c r="X3832">
        <v>0</v>
      </c>
      <c r="Y3832">
        <v>0</v>
      </c>
      <c r="Z3832">
        <v>-491</v>
      </c>
      <c r="AA3832">
        <v>686878</v>
      </c>
      <c r="AD3832" t="s">
        <v>9991</v>
      </c>
      <c r="AF3832" t="s">
        <v>9991</v>
      </c>
      <c r="AG3832" s="1" t="s">
        <v>10008</v>
      </c>
      <c r="AH3832" t="s">
        <v>44</v>
      </c>
    </row>
    <row r="3833" spans="1:34" x14ac:dyDescent="0.3">
      <c r="A3833">
        <v>101</v>
      </c>
      <c r="B3833" t="s">
        <v>34</v>
      </c>
      <c r="C3833">
        <v>2</v>
      </c>
      <c r="D3833" s="1" t="s">
        <v>10025</v>
      </c>
      <c r="E3833" s="1" t="s">
        <v>36</v>
      </c>
      <c r="G3833">
        <v>436699</v>
      </c>
      <c r="H3833" t="s">
        <v>10006</v>
      </c>
      <c r="I3833" t="s">
        <v>2413</v>
      </c>
      <c r="J3833">
        <v>30</v>
      </c>
      <c r="K3833">
        <v>2695</v>
      </c>
      <c r="L3833">
        <v>95000</v>
      </c>
      <c r="M3833" t="s">
        <v>69</v>
      </c>
      <c r="N3833">
        <v>691</v>
      </c>
      <c r="O3833" s="2">
        <v>46239</v>
      </c>
      <c r="P3833" s="2">
        <v>46329</v>
      </c>
      <c r="R3833" t="s">
        <v>10026</v>
      </c>
      <c r="S3833" t="str">
        <f>""</f>
        <v/>
      </c>
      <c r="T3833" t="s">
        <v>41</v>
      </c>
      <c r="U3833">
        <v>1822.62</v>
      </c>
      <c r="V3833">
        <v>1802.57</v>
      </c>
      <c r="W3833">
        <v>1802.57</v>
      </c>
      <c r="X3833">
        <v>0</v>
      </c>
      <c r="Y3833">
        <v>0</v>
      </c>
      <c r="Z3833">
        <v>-554</v>
      </c>
      <c r="AA3833">
        <v>696195</v>
      </c>
      <c r="AD3833" t="s">
        <v>9991</v>
      </c>
      <c r="AF3833" t="s">
        <v>9991</v>
      </c>
      <c r="AG3833" s="1" t="s">
        <v>10008</v>
      </c>
      <c r="AH3833" t="s">
        <v>44</v>
      </c>
    </row>
    <row r="3834" spans="1:34" x14ac:dyDescent="0.3">
      <c r="A3834">
        <v>101</v>
      </c>
      <c r="B3834" t="s">
        <v>34</v>
      </c>
      <c r="C3834">
        <v>2</v>
      </c>
      <c r="D3834" s="1" t="s">
        <v>10027</v>
      </c>
      <c r="E3834" s="1" t="s">
        <v>36</v>
      </c>
      <c r="G3834">
        <v>436701</v>
      </c>
      <c r="H3834" t="s">
        <v>10028</v>
      </c>
      <c r="I3834" t="s">
        <v>2413</v>
      </c>
      <c r="J3834">
        <v>30</v>
      </c>
      <c r="K3834">
        <v>2695</v>
      </c>
      <c r="L3834">
        <v>95000</v>
      </c>
      <c r="M3834" t="s">
        <v>69</v>
      </c>
      <c r="N3834">
        <v>691</v>
      </c>
      <c r="O3834" s="2">
        <v>46197</v>
      </c>
      <c r="P3834" s="2">
        <v>46296</v>
      </c>
      <c r="R3834" t="s">
        <v>10029</v>
      </c>
      <c r="S3834" t="str">
        <f>""</f>
        <v/>
      </c>
      <c r="T3834" t="s">
        <v>41</v>
      </c>
      <c r="U3834">
        <v>14866.14</v>
      </c>
      <c r="V3834">
        <v>14702.61</v>
      </c>
      <c r="W3834">
        <v>14702.61</v>
      </c>
      <c r="X3834">
        <v>0</v>
      </c>
      <c r="Y3834">
        <v>0</v>
      </c>
      <c r="Z3834">
        <v>-521</v>
      </c>
      <c r="AA3834">
        <v>692094</v>
      </c>
      <c r="AD3834" t="s">
        <v>64</v>
      </c>
      <c r="AF3834" t="s">
        <v>64</v>
      </c>
      <c r="AG3834" s="1" t="s">
        <v>10030</v>
      </c>
      <c r="AH3834" t="s">
        <v>44</v>
      </c>
    </row>
    <row r="3835" spans="1:34" x14ac:dyDescent="0.3">
      <c r="A3835">
        <v>101</v>
      </c>
      <c r="B3835" t="s">
        <v>34</v>
      </c>
      <c r="C3835">
        <v>2</v>
      </c>
      <c r="D3835" s="1" t="s">
        <v>10031</v>
      </c>
      <c r="E3835" s="1" t="s">
        <v>36</v>
      </c>
      <c r="G3835">
        <v>436701</v>
      </c>
      <c r="H3835" t="s">
        <v>10028</v>
      </c>
      <c r="I3835" t="s">
        <v>2413</v>
      </c>
      <c r="J3835">
        <v>30</v>
      </c>
      <c r="K3835">
        <v>2695</v>
      </c>
      <c r="L3835">
        <v>95000</v>
      </c>
      <c r="M3835" t="s">
        <v>69</v>
      </c>
      <c r="N3835">
        <v>691</v>
      </c>
      <c r="O3835" s="2">
        <v>46253</v>
      </c>
      <c r="P3835" s="2">
        <v>46343</v>
      </c>
      <c r="R3835" t="s">
        <v>10032</v>
      </c>
      <c r="S3835" t="str">
        <f>""</f>
        <v/>
      </c>
      <c r="T3835" t="s">
        <v>41</v>
      </c>
      <c r="U3835">
        <v>3980.25</v>
      </c>
      <c r="V3835">
        <v>3936.47</v>
      </c>
      <c r="W3835">
        <v>3936.47</v>
      </c>
      <c r="X3835">
        <v>0</v>
      </c>
      <c r="Y3835">
        <v>0</v>
      </c>
      <c r="Z3835">
        <v>-568</v>
      </c>
      <c r="AA3835">
        <v>696979</v>
      </c>
      <c r="AD3835" t="s">
        <v>64</v>
      </c>
      <c r="AF3835" t="s">
        <v>64</v>
      </c>
      <c r="AG3835" s="1" t="s">
        <v>10030</v>
      </c>
      <c r="AH3835" t="s">
        <v>44</v>
      </c>
    </row>
    <row r="3836" spans="1:34" x14ac:dyDescent="0.3">
      <c r="A3836">
        <v>101</v>
      </c>
      <c r="B3836" t="s">
        <v>34</v>
      </c>
      <c r="C3836">
        <v>2</v>
      </c>
      <c r="D3836" s="1" t="s">
        <v>10033</v>
      </c>
      <c r="E3836" s="1" t="s">
        <v>36</v>
      </c>
      <c r="G3836">
        <v>436701</v>
      </c>
      <c r="H3836" t="s">
        <v>10028</v>
      </c>
      <c r="I3836" t="s">
        <v>2413</v>
      </c>
      <c r="J3836">
        <v>30</v>
      </c>
      <c r="K3836">
        <v>2695</v>
      </c>
      <c r="L3836">
        <v>95000</v>
      </c>
      <c r="M3836" t="s">
        <v>69</v>
      </c>
      <c r="N3836">
        <v>691</v>
      </c>
      <c r="O3836" s="2">
        <v>46170</v>
      </c>
      <c r="P3836" s="2">
        <v>46296</v>
      </c>
      <c r="R3836" t="s">
        <v>10034</v>
      </c>
      <c r="S3836" t="str">
        <f>""</f>
        <v/>
      </c>
      <c r="T3836" t="s">
        <v>41</v>
      </c>
      <c r="U3836">
        <v>17809.599999999999</v>
      </c>
      <c r="V3836">
        <v>17613.689999999999</v>
      </c>
      <c r="W3836">
        <v>17613.689999999999</v>
      </c>
      <c r="X3836">
        <v>0</v>
      </c>
      <c r="Y3836">
        <v>0</v>
      </c>
      <c r="Z3836">
        <v>-521</v>
      </c>
      <c r="AA3836">
        <v>689132</v>
      </c>
      <c r="AD3836" t="s">
        <v>64</v>
      </c>
      <c r="AF3836" t="s">
        <v>64</v>
      </c>
      <c r="AG3836" s="1" t="s">
        <v>10030</v>
      </c>
      <c r="AH3836" t="s">
        <v>44</v>
      </c>
    </row>
    <row r="3837" spans="1:34" x14ac:dyDescent="0.3">
      <c r="A3837">
        <v>101</v>
      </c>
      <c r="B3837" t="s">
        <v>34</v>
      </c>
      <c r="C3837">
        <v>2</v>
      </c>
      <c r="D3837" s="1" t="s">
        <v>10035</v>
      </c>
      <c r="E3837" s="1" t="s">
        <v>36</v>
      </c>
      <c r="G3837">
        <v>436701</v>
      </c>
      <c r="H3837" t="s">
        <v>10028</v>
      </c>
      <c r="I3837" t="s">
        <v>2413</v>
      </c>
      <c r="J3837">
        <v>30</v>
      </c>
      <c r="K3837">
        <v>2695</v>
      </c>
      <c r="L3837">
        <v>95000</v>
      </c>
      <c r="M3837" t="s">
        <v>69</v>
      </c>
      <c r="N3837">
        <v>691</v>
      </c>
      <c r="O3837" s="2">
        <v>46239</v>
      </c>
      <c r="P3837" s="2">
        <v>46329</v>
      </c>
      <c r="R3837" t="s">
        <v>10036</v>
      </c>
      <c r="S3837" t="str">
        <f>""</f>
        <v/>
      </c>
      <c r="T3837" t="s">
        <v>41</v>
      </c>
      <c r="U3837">
        <v>3765.27</v>
      </c>
      <c r="V3837">
        <v>3723.85</v>
      </c>
      <c r="W3837">
        <v>3723.85</v>
      </c>
      <c r="X3837">
        <v>0</v>
      </c>
      <c r="Y3837">
        <v>0</v>
      </c>
      <c r="Z3837">
        <v>-554</v>
      </c>
      <c r="AA3837">
        <v>696199</v>
      </c>
      <c r="AD3837" t="s">
        <v>64</v>
      </c>
      <c r="AF3837" t="s">
        <v>64</v>
      </c>
      <c r="AG3837" s="1" t="s">
        <v>10030</v>
      </c>
      <c r="AH3837" t="s">
        <v>44</v>
      </c>
    </row>
    <row r="3838" spans="1:34" x14ac:dyDescent="0.3">
      <c r="A3838">
        <v>101</v>
      </c>
      <c r="B3838" t="s">
        <v>34</v>
      </c>
      <c r="C3838">
        <v>2</v>
      </c>
      <c r="D3838" s="1" t="s">
        <v>10037</v>
      </c>
      <c r="E3838" s="1" t="s">
        <v>36</v>
      </c>
      <c r="G3838">
        <v>436701</v>
      </c>
      <c r="H3838" t="s">
        <v>10028</v>
      </c>
      <c r="I3838" t="s">
        <v>2413</v>
      </c>
      <c r="J3838">
        <v>30</v>
      </c>
      <c r="K3838">
        <v>2695</v>
      </c>
      <c r="L3838">
        <v>95000</v>
      </c>
      <c r="M3838" t="s">
        <v>69</v>
      </c>
      <c r="N3838">
        <v>691</v>
      </c>
      <c r="O3838" s="2">
        <v>46140</v>
      </c>
      <c r="P3838" s="2">
        <v>46255</v>
      </c>
      <c r="R3838" t="s">
        <v>10038</v>
      </c>
      <c r="S3838" t="str">
        <f>""</f>
        <v/>
      </c>
      <c r="T3838" t="s">
        <v>41</v>
      </c>
      <c r="U3838">
        <v>21529.11</v>
      </c>
      <c r="V3838">
        <v>21292.29</v>
      </c>
      <c r="W3838">
        <v>21292.29</v>
      </c>
      <c r="X3838">
        <v>0</v>
      </c>
      <c r="Y3838">
        <v>0</v>
      </c>
      <c r="Z3838">
        <v>-480</v>
      </c>
      <c r="AA3838">
        <v>686530</v>
      </c>
      <c r="AD3838" t="s">
        <v>64</v>
      </c>
      <c r="AF3838" t="s">
        <v>64</v>
      </c>
      <c r="AG3838" s="1" t="s">
        <v>10030</v>
      </c>
      <c r="AH3838" t="s">
        <v>44</v>
      </c>
    </row>
    <row r="3839" spans="1:34" x14ac:dyDescent="0.3">
      <c r="A3839">
        <v>101</v>
      </c>
      <c r="B3839" t="s">
        <v>34</v>
      </c>
      <c r="C3839">
        <v>2</v>
      </c>
      <c r="D3839" s="1" t="s">
        <v>10039</v>
      </c>
      <c r="E3839" s="1" t="s">
        <v>36</v>
      </c>
      <c r="G3839">
        <v>436701</v>
      </c>
      <c r="H3839" t="s">
        <v>10028</v>
      </c>
      <c r="I3839" t="s">
        <v>2413</v>
      </c>
      <c r="J3839">
        <v>30</v>
      </c>
      <c r="K3839">
        <v>2695</v>
      </c>
      <c r="L3839">
        <v>95000</v>
      </c>
      <c r="M3839" t="s">
        <v>69</v>
      </c>
      <c r="N3839">
        <v>691</v>
      </c>
      <c r="O3839" s="2">
        <v>46199</v>
      </c>
      <c r="P3839" s="2">
        <v>46316</v>
      </c>
      <c r="R3839" t="s">
        <v>10040</v>
      </c>
      <c r="S3839" t="str">
        <f>""</f>
        <v/>
      </c>
      <c r="T3839" t="s">
        <v>41</v>
      </c>
      <c r="U3839">
        <v>723.81</v>
      </c>
      <c r="V3839">
        <v>715.85</v>
      </c>
      <c r="W3839">
        <v>715.85</v>
      </c>
      <c r="X3839">
        <v>0</v>
      </c>
      <c r="Y3839">
        <v>0</v>
      </c>
      <c r="Z3839">
        <v>-541</v>
      </c>
      <c r="AA3839">
        <v>692799</v>
      </c>
      <c r="AD3839" t="s">
        <v>64</v>
      </c>
      <c r="AF3839" t="s">
        <v>64</v>
      </c>
      <c r="AG3839" s="1" t="s">
        <v>10030</v>
      </c>
      <c r="AH3839" t="s">
        <v>44</v>
      </c>
    </row>
    <row r="3840" spans="1:34" x14ac:dyDescent="0.3">
      <c r="A3840">
        <v>101</v>
      </c>
      <c r="B3840" t="s">
        <v>34</v>
      </c>
      <c r="C3840">
        <v>2</v>
      </c>
      <c r="D3840" s="1" t="s">
        <v>10041</v>
      </c>
      <c r="E3840" s="1" t="s">
        <v>36</v>
      </c>
      <c r="G3840">
        <v>436701</v>
      </c>
      <c r="H3840" t="s">
        <v>10028</v>
      </c>
      <c r="I3840" t="s">
        <v>2413</v>
      </c>
      <c r="J3840">
        <v>30</v>
      </c>
      <c r="K3840">
        <v>2695</v>
      </c>
      <c r="L3840">
        <v>95000</v>
      </c>
      <c r="M3840" t="s">
        <v>69</v>
      </c>
      <c r="N3840">
        <v>691</v>
      </c>
      <c r="O3840" s="2">
        <v>46140</v>
      </c>
      <c r="P3840" s="2">
        <v>46255</v>
      </c>
      <c r="R3840" t="s">
        <v>10042</v>
      </c>
      <c r="S3840" t="str">
        <f>""</f>
        <v/>
      </c>
      <c r="T3840" t="s">
        <v>41</v>
      </c>
      <c r="U3840">
        <v>4324.42</v>
      </c>
      <c r="V3840">
        <v>4276.8500000000004</v>
      </c>
      <c r="W3840">
        <v>4276.8500000000004</v>
      </c>
      <c r="X3840">
        <v>0</v>
      </c>
      <c r="Y3840">
        <v>0</v>
      </c>
      <c r="Z3840">
        <v>-480</v>
      </c>
      <c r="AA3840">
        <v>686856</v>
      </c>
      <c r="AD3840" t="s">
        <v>64</v>
      </c>
      <c r="AF3840" t="s">
        <v>64</v>
      </c>
      <c r="AG3840" s="1" t="s">
        <v>10030</v>
      </c>
      <c r="AH3840" t="s">
        <v>44</v>
      </c>
    </row>
    <row r="3841" spans="1:34" x14ac:dyDescent="0.3">
      <c r="A3841">
        <v>101</v>
      </c>
      <c r="B3841" t="s">
        <v>34</v>
      </c>
      <c r="C3841">
        <v>2</v>
      </c>
      <c r="D3841" s="1" t="s">
        <v>10043</v>
      </c>
      <c r="E3841" s="1" t="s">
        <v>36</v>
      </c>
      <c r="G3841">
        <v>436701</v>
      </c>
      <c r="H3841" t="s">
        <v>10028</v>
      </c>
      <c r="I3841" t="s">
        <v>2413</v>
      </c>
      <c r="J3841">
        <v>30</v>
      </c>
      <c r="K3841">
        <v>2695</v>
      </c>
      <c r="L3841">
        <v>95000</v>
      </c>
      <c r="M3841" t="s">
        <v>69</v>
      </c>
      <c r="N3841">
        <v>691</v>
      </c>
      <c r="O3841" s="2">
        <v>46199</v>
      </c>
      <c r="P3841" s="2">
        <v>46316</v>
      </c>
      <c r="R3841" t="s">
        <v>10044</v>
      </c>
      <c r="S3841" t="str">
        <f>""</f>
        <v/>
      </c>
      <c r="T3841" t="s">
        <v>41</v>
      </c>
      <c r="U3841">
        <v>884.5</v>
      </c>
      <c r="V3841">
        <v>874.77</v>
      </c>
      <c r="W3841">
        <v>874.77</v>
      </c>
      <c r="X3841">
        <v>0</v>
      </c>
      <c r="Y3841">
        <v>0</v>
      </c>
      <c r="Z3841">
        <v>-541</v>
      </c>
      <c r="AA3841">
        <v>692520</v>
      </c>
      <c r="AD3841" t="s">
        <v>64</v>
      </c>
      <c r="AF3841" t="s">
        <v>64</v>
      </c>
      <c r="AG3841" s="1" t="s">
        <v>10030</v>
      </c>
      <c r="AH3841" t="s">
        <v>44</v>
      </c>
    </row>
    <row r="3842" spans="1:34" x14ac:dyDescent="0.3">
      <c r="A3842">
        <v>101</v>
      </c>
      <c r="B3842" t="s">
        <v>34</v>
      </c>
      <c r="C3842">
        <v>2</v>
      </c>
      <c r="D3842" s="1" t="s">
        <v>10045</v>
      </c>
      <c r="E3842" s="1" t="s">
        <v>36</v>
      </c>
      <c r="G3842">
        <v>436701</v>
      </c>
      <c r="H3842" t="s">
        <v>10028</v>
      </c>
      <c r="I3842" t="s">
        <v>2413</v>
      </c>
      <c r="J3842">
        <v>30</v>
      </c>
      <c r="K3842">
        <v>2695</v>
      </c>
      <c r="L3842">
        <v>95000</v>
      </c>
      <c r="M3842" t="s">
        <v>69</v>
      </c>
      <c r="N3842">
        <v>691</v>
      </c>
      <c r="O3842" s="2">
        <v>46171</v>
      </c>
      <c r="P3842" s="2">
        <v>46296</v>
      </c>
      <c r="R3842" t="s">
        <v>10046</v>
      </c>
      <c r="S3842" t="str">
        <f>""</f>
        <v/>
      </c>
      <c r="T3842" t="s">
        <v>41</v>
      </c>
      <c r="U3842">
        <v>4269.6000000000004</v>
      </c>
      <c r="V3842">
        <v>4222.63</v>
      </c>
      <c r="W3842">
        <v>4222.63</v>
      </c>
      <c r="X3842">
        <v>0</v>
      </c>
      <c r="Y3842">
        <v>0</v>
      </c>
      <c r="Z3842">
        <v>-521</v>
      </c>
      <c r="AA3842">
        <v>689132</v>
      </c>
      <c r="AD3842" t="s">
        <v>64</v>
      </c>
      <c r="AF3842" t="s">
        <v>64</v>
      </c>
      <c r="AG3842" s="1" t="s">
        <v>10030</v>
      </c>
      <c r="AH3842" t="s">
        <v>44</v>
      </c>
    </row>
    <row r="3843" spans="1:34" x14ac:dyDescent="0.3">
      <c r="A3843">
        <v>101</v>
      </c>
      <c r="B3843" t="s">
        <v>34</v>
      </c>
      <c r="C3843">
        <v>2</v>
      </c>
      <c r="D3843" s="1" t="s">
        <v>10047</v>
      </c>
      <c r="E3843" s="1" t="s">
        <v>36</v>
      </c>
      <c r="G3843">
        <v>436701</v>
      </c>
      <c r="H3843" t="s">
        <v>10028</v>
      </c>
      <c r="I3843" t="s">
        <v>2413</v>
      </c>
      <c r="J3843">
        <v>30</v>
      </c>
      <c r="K3843">
        <v>2695</v>
      </c>
      <c r="L3843">
        <v>95000</v>
      </c>
      <c r="M3843" t="s">
        <v>69</v>
      </c>
      <c r="N3843">
        <v>691</v>
      </c>
      <c r="O3843" s="2">
        <v>46170</v>
      </c>
      <c r="P3843" s="2">
        <v>46296</v>
      </c>
      <c r="R3843" t="s">
        <v>10048</v>
      </c>
      <c r="S3843" t="str">
        <f>""</f>
        <v/>
      </c>
      <c r="T3843" t="s">
        <v>41</v>
      </c>
      <c r="U3843">
        <v>585.36</v>
      </c>
      <c r="V3843">
        <v>578.91999999999996</v>
      </c>
      <c r="W3843">
        <v>578.91999999999996</v>
      </c>
      <c r="X3843">
        <v>0</v>
      </c>
      <c r="Y3843">
        <v>0</v>
      </c>
      <c r="Z3843">
        <v>-521</v>
      </c>
      <c r="AA3843">
        <v>689421</v>
      </c>
      <c r="AD3843" t="s">
        <v>64</v>
      </c>
      <c r="AF3843" t="s">
        <v>64</v>
      </c>
      <c r="AG3843" s="1" t="s">
        <v>10030</v>
      </c>
      <c r="AH3843" t="s">
        <v>44</v>
      </c>
    </row>
    <row r="3844" spans="1:34" x14ac:dyDescent="0.3">
      <c r="A3844">
        <v>101</v>
      </c>
      <c r="B3844" t="s">
        <v>34</v>
      </c>
      <c r="C3844">
        <v>2</v>
      </c>
      <c r="D3844" s="1" t="s">
        <v>10049</v>
      </c>
      <c r="E3844" s="1" t="s">
        <v>36</v>
      </c>
      <c r="G3844">
        <v>436701</v>
      </c>
      <c r="H3844" t="s">
        <v>10028</v>
      </c>
      <c r="I3844" t="s">
        <v>2413</v>
      </c>
      <c r="J3844">
        <v>30</v>
      </c>
      <c r="K3844">
        <v>2695</v>
      </c>
      <c r="L3844">
        <v>95000</v>
      </c>
      <c r="M3844" t="s">
        <v>69</v>
      </c>
      <c r="N3844">
        <v>691</v>
      </c>
      <c r="O3844" s="2">
        <v>46226</v>
      </c>
      <c r="P3844" s="2">
        <v>46316</v>
      </c>
      <c r="R3844" t="s">
        <v>10050</v>
      </c>
      <c r="S3844" t="str">
        <f>""</f>
        <v/>
      </c>
      <c r="T3844" t="s">
        <v>41</v>
      </c>
      <c r="U3844">
        <v>20540.34</v>
      </c>
      <c r="V3844">
        <v>20314.400000000001</v>
      </c>
      <c r="W3844">
        <v>20314.400000000001</v>
      </c>
      <c r="X3844">
        <v>0</v>
      </c>
      <c r="Y3844">
        <v>0</v>
      </c>
      <c r="Z3844">
        <v>-541</v>
      </c>
      <c r="AA3844">
        <v>694933</v>
      </c>
      <c r="AD3844" t="s">
        <v>64</v>
      </c>
      <c r="AF3844" t="s">
        <v>64</v>
      </c>
      <c r="AG3844" s="1" t="s">
        <v>10030</v>
      </c>
      <c r="AH3844" t="s">
        <v>44</v>
      </c>
    </row>
    <row r="3845" spans="1:34" x14ac:dyDescent="0.3">
      <c r="A3845">
        <v>101</v>
      </c>
      <c r="B3845" t="s">
        <v>34</v>
      </c>
      <c r="C3845">
        <v>2</v>
      </c>
      <c r="D3845" s="1" t="s">
        <v>10051</v>
      </c>
      <c r="E3845" s="1" t="s">
        <v>36</v>
      </c>
      <c r="G3845">
        <v>436782</v>
      </c>
      <c r="H3845" t="s">
        <v>10052</v>
      </c>
      <c r="I3845" t="s">
        <v>2413</v>
      </c>
      <c r="J3845">
        <v>30</v>
      </c>
      <c r="K3845">
        <v>2695</v>
      </c>
      <c r="L3845">
        <v>95000</v>
      </c>
      <c r="M3845" t="s">
        <v>69</v>
      </c>
      <c r="N3845">
        <v>691</v>
      </c>
      <c r="O3845" s="2">
        <v>46170</v>
      </c>
      <c r="P3845" s="2">
        <v>46296</v>
      </c>
      <c r="R3845" t="s">
        <v>10053</v>
      </c>
      <c r="S3845" t="str">
        <f>""</f>
        <v/>
      </c>
      <c r="T3845" t="s">
        <v>41</v>
      </c>
      <c r="U3845">
        <v>16800.82</v>
      </c>
      <c r="V3845">
        <v>16616.009999999998</v>
      </c>
      <c r="W3845">
        <v>16616.009999999998</v>
      </c>
      <c r="X3845">
        <v>0</v>
      </c>
      <c r="Y3845">
        <v>0</v>
      </c>
      <c r="Z3845">
        <v>-521</v>
      </c>
      <c r="AA3845">
        <v>689322</v>
      </c>
      <c r="AD3845" t="s">
        <v>3224</v>
      </c>
      <c r="AF3845" t="s">
        <v>3224</v>
      </c>
      <c r="AG3845" s="1" t="s">
        <v>10054</v>
      </c>
      <c r="AH3845" t="s">
        <v>44</v>
      </c>
    </row>
    <row r="3846" spans="1:34" x14ac:dyDescent="0.3">
      <c r="A3846">
        <v>101</v>
      </c>
      <c r="B3846" t="s">
        <v>34</v>
      </c>
      <c r="C3846">
        <v>2</v>
      </c>
      <c r="D3846" s="1" t="s">
        <v>10055</v>
      </c>
      <c r="E3846" s="1" t="s">
        <v>36</v>
      </c>
      <c r="G3846">
        <v>436782</v>
      </c>
      <c r="H3846" t="s">
        <v>10052</v>
      </c>
      <c r="I3846" t="s">
        <v>2413</v>
      </c>
      <c r="J3846">
        <v>30</v>
      </c>
      <c r="K3846">
        <v>2695</v>
      </c>
      <c r="L3846">
        <v>95000</v>
      </c>
      <c r="M3846" t="s">
        <v>69</v>
      </c>
      <c r="N3846">
        <v>691</v>
      </c>
      <c r="O3846" s="2">
        <v>46226</v>
      </c>
      <c r="P3846" s="2">
        <v>46337</v>
      </c>
      <c r="R3846" t="s">
        <v>10056</v>
      </c>
      <c r="S3846" t="str">
        <f>""</f>
        <v/>
      </c>
      <c r="T3846" t="s">
        <v>41</v>
      </c>
      <c r="U3846">
        <v>5880.86</v>
      </c>
      <c r="V3846">
        <v>5816.17</v>
      </c>
      <c r="W3846">
        <v>5816.17</v>
      </c>
      <c r="X3846">
        <v>0</v>
      </c>
      <c r="Y3846">
        <v>0</v>
      </c>
      <c r="Z3846">
        <v>-562</v>
      </c>
      <c r="AA3846">
        <v>694929</v>
      </c>
      <c r="AD3846" t="s">
        <v>3224</v>
      </c>
      <c r="AF3846" t="s">
        <v>3224</v>
      </c>
      <c r="AG3846" s="1" t="s">
        <v>10054</v>
      </c>
      <c r="AH3846" t="s">
        <v>44</v>
      </c>
    </row>
    <row r="3847" spans="1:34" x14ac:dyDescent="0.3">
      <c r="A3847">
        <v>101</v>
      </c>
      <c r="B3847" t="s">
        <v>34</v>
      </c>
      <c r="C3847">
        <v>2</v>
      </c>
      <c r="D3847" s="1" t="s">
        <v>10057</v>
      </c>
      <c r="E3847" s="1" t="s">
        <v>36</v>
      </c>
      <c r="G3847">
        <v>436782</v>
      </c>
      <c r="H3847" t="s">
        <v>10052</v>
      </c>
      <c r="I3847" t="s">
        <v>2413</v>
      </c>
      <c r="J3847">
        <v>30</v>
      </c>
      <c r="K3847">
        <v>2695</v>
      </c>
      <c r="L3847">
        <v>95000</v>
      </c>
      <c r="M3847" t="s">
        <v>69</v>
      </c>
      <c r="N3847">
        <v>691</v>
      </c>
      <c r="O3847" s="2">
        <v>46140</v>
      </c>
      <c r="P3847" s="2">
        <v>46255</v>
      </c>
      <c r="R3847" t="s">
        <v>10058</v>
      </c>
      <c r="S3847" t="str">
        <f>""</f>
        <v/>
      </c>
      <c r="T3847" t="s">
        <v>41</v>
      </c>
      <c r="U3847">
        <v>2887.34</v>
      </c>
      <c r="V3847">
        <v>2855.58</v>
      </c>
      <c r="W3847">
        <v>2855.58</v>
      </c>
      <c r="X3847">
        <v>0</v>
      </c>
      <c r="Y3847">
        <v>0</v>
      </c>
      <c r="Z3847">
        <v>-480</v>
      </c>
      <c r="AA3847">
        <v>686953</v>
      </c>
      <c r="AD3847" t="s">
        <v>3224</v>
      </c>
      <c r="AF3847" t="s">
        <v>3224</v>
      </c>
      <c r="AG3847" s="1" t="s">
        <v>10054</v>
      </c>
      <c r="AH3847" t="s">
        <v>44</v>
      </c>
    </row>
    <row r="3848" spans="1:34" x14ac:dyDescent="0.3">
      <c r="A3848">
        <v>101</v>
      </c>
      <c r="B3848" t="s">
        <v>34</v>
      </c>
      <c r="C3848">
        <v>2</v>
      </c>
      <c r="D3848" s="1" t="s">
        <v>10059</v>
      </c>
      <c r="E3848" s="1" t="s">
        <v>36</v>
      </c>
      <c r="G3848">
        <v>436782</v>
      </c>
      <c r="H3848" t="s">
        <v>10052</v>
      </c>
      <c r="I3848" t="s">
        <v>2413</v>
      </c>
      <c r="J3848">
        <v>30</v>
      </c>
      <c r="K3848">
        <v>2695</v>
      </c>
      <c r="L3848">
        <v>95000</v>
      </c>
      <c r="M3848" t="s">
        <v>69</v>
      </c>
      <c r="N3848">
        <v>691</v>
      </c>
      <c r="O3848" s="2">
        <v>46198</v>
      </c>
      <c r="P3848" s="2">
        <v>46288</v>
      </c>
      <c r="R3848" t="s">
        <v>10060</v>
      </c>
      <c r="S3848" t="str">
        <f>""</f>
        <v/>
      </c>
      <c r="T3848" t="s">
        <v>41</v>
      </c>
      <c r="U3848">
        <v>11309.3</v>
      </c>
      <c r="V3848">
        <v>11184.9</v>
      </c>
      <c r="W3848">
        <v>11184.9</v>
      </c>
      <c r="X3848">
        <v>0</v>
      </c>
      <c r="Y3848">
        <v>0</v>
      </c>
      <c r="Z3848">
        <v>-513</v>
      </c>
      <c r="AA3848">
        <v>692282</v>
      </c>
      <c r="AD3848" t="s">
        <v>3224</v>
      </c>
      <c r="AF3848" t="s">
        <v>3224</v>
      </c>
      <c r="AG3848" s="1" t="s">
        <v>10054</v>
      </c>
      <c r="AH3848" t="s">
        <v>44</v>
      </c>
    </row>
    <row r="3849" spans="1:34" x14ac:dyDescent="0.3">
      <c r="A3849">
        <v>101</v>
      </c>
      <c r="B3849" t="s">
        <v>34</v>
      </c>
      <c r="C3849">
        <v>2</v>
      </c>
      <c r="D3849" s="1" t="s">
        <v>10061</v>
      </c>
      <c r="E3849" s="1" t="s">
        <v>36</v>
      </c>
      <c r="G3849">
        <v>436782</v>
      </c>
      <c r="H3849" t="s">
        <v>10052</v>
      </c>
      <c r="I3849" t="s">
        <v>2413</v>
      </c>
      <c r="J3849">
        <v>30</v>
      </c>
      <c r="K3849">
        <v>2695</v>
      </c>
      <c r="L3849">
        <v>95000</v>
      </c>
      <c r="M3849" t="s">
        <v>69</v>
      </c>
      <c r="N3849">
        <v>691</v>
      </c>
      <c r="O3849" s="2">
        <v>46170</v>
      </c>
      <c r="P3849" s="2">
        <v>46296</v>
      </c>
      <c r="R3849" t="s">
        <v>10062</v>
      </c>
      <c r="S3849" t="str">
        <f>""</f>
        <v/>
      </c>
      <c r="T3849" t="s">
        <v>41</v>
      </c>
      <c r="U3849">
        <v>2741</v>
      </c>
      <c r="V3849">
        <v>2710.85</v>
      </c>
      <c r="W3849">
        <v>2710.85</v>
      </c>
      <c r="X3849">
        <v>0</v>
      </c>
      <c r="Y3849">
        <v>0</v>
      </c>
      <c r="Z3849">
        <v>-521</v>
      </c>
      <c r="AA3849">
        <v>689539</v>
      </c>
      <c r="AD3849" t="s">
        <v>3224</v>
      </c>
      <c r="AF3849" t="s">
        <v>3224</v>
      </c>
      <c r="AG3849" s="1" t="s">
        <v>10054</v>
      </c>
      <c r="AH3849" t="s">
        <v>44</v>
      </c>
    </row>
    <row r="3850" spans="1:34" x14ac:dyDescent="0.3">
      <c r="A3850">
        <v>101</v>
      </c>
      <c r="B3850" t="s">
        <v>34</v>
      </c>
      <c r="C3850">
        <v>2</v>
      </c>
      <c r="D3850" s="1" t="s">
        <v>10063</v>
      </c>
      <c r="E3850" s="1" t="s">
        <v>36</v>
      </c>
      <c r="G3850">
        <v>436782</v>
      </c>
      <c r="H3850" t="s">
        <v>10052</v>
      </c>
      <c r="I3850" t="s">
        <v>2413</v>
      </c>
      <c r="J3850">
        <v>30</v>
      </c>
      <c r="K3850">
        <v>2695</v>
      </c>
      <c r="L3850">
        <v>95000</v>
      </c>
      <c r="M3850" t="s">
        <v>69</v>
      </c>
      <c r="N3850">
        <v>691</v>
      </c>
      <c r="O3850" s="2">
        <v>46198</v>
      </c>
      <c r="P3850" s="2">
        <v>46288</v>
      </c>
      <c r="R3850" t="s">
        <v>10064</v>
      </c>
      <c r="S3850" t="str">
        <f>""</f>
        <v/>
      </c>
      <c r="T3850" t="s">
        <v>41</v>
      </c>
      <c r="U3850">
        <v>884.5</v>
      </c>
      <c r="V3850">
        <v>874.77</v>
      </c>
      <c r="W3850">
        <v>874.77</v>
      </c>
      <c r="X3850">
        <v>0</v>
      </c>
      <c r="Y3850">
        <v>0</v>
      </c>
      <c r="Z3850">
        <v>-513</v>
      </c>
      <c r="AA3850">
        <v>692518</v>
      </c>
      <c r="AD3850" t="s">
        <v>3224</v>
      </c>
      <c r="AF3850" t="s">
        <v>3224</v>
      </c>
      <c r="AG3850" s="1" t="s">
        <v>10054</v>
      </c>
      <c r="AH3850" t="s">
        <v>44</v>
      </c>
    </row>
    <row r="3851" spans="1:34" x14ac:dyDescent="0.3">
      <c r="A3851">
        <v>101</v>
      </c>
      <c r="B3851" t="s">
        <v>34</v>
      </c>
      <c r="C3851">
        <v>2</v>
      </c>
      <c r="D3851" s="1" t="s">
        <v>10065</v>
      </c>
      <c r="E3851" s="1" t="s">
        <v>36</v>
      </c>
      <c r="G3851">
        <v>436782</v>
      </c>
      <c r="H3851" t="s">
        <v>10052</v>
      </c>
      <c r="I3851" t="s">
        <v>2413</v>
      </c>
      <c r="J3851">
        <v>30</v>
      </c>
      <c r="K3851">
        <v>2695</v>
      </c>
      <c r="L3851">
        <v>95000</v>
      </c>
      <c r="M3851" t="s">
        <v>69</v>
      </c>
      <c r="N3851">
        <v>691</v>
      </c>
      <c r="O3851" s="2">
        <v>46140</v>
      </c>
      <c r="P3851" s="2">
        <v>46255</v>
      </c>
      <c r="R3851" t="s">
        <v>10066</v>
      </c>
      <c r="S3851" t="str">
        <f>""</f>
        <v/>
      </c>
      <c r="T3851" t="s">
        <v>41</v>
      </c>
      <c r="U3851">
        <v>9246.48</v>
      </c>
      <c r="V3851">
        <v>9144.77</v>
      </c>
      <c r="W3851">
        <v>9144.77</v>
      </c>
      <c r="X3851">
        <v>0</v>
      </c>
      <c r="Y3851">
        <v>0</v>
      </c>
      <c r="Z3851">
        <v>-480</v>
      </c>
      <c r="AA3851">
        <v>686722</v>
      </c>
      <c r="AD3851" t="s">
        <v>3224</v>
      </c>
      <c r="AF3851" t="s">
        <v>3224</v>
      </c>
      <c r="AG3851" s="1" t="s">
        <v>10054</v>
      </c>
      <c r="AH3851" t="s">
        <v>44</v>
      </c>
    </row>
    <row r="3852" spans="1:34" x14ac:dyDescent="0.3">
      <c r="A3852">
        <v>101</v>
      </c>
      <c r="B3852" t="s">
        <v>34</v>
      </c>
      <c r="C3852">
        <v>2</v>
      </c>
      <c r="D3852" s="1" t="s">
        <v>10067</v>
      </c>
      <c r="E3852" s="1" t="s">
        <v>36</v>
      </c>
      <c r="G3852">
        <v>436782</v>
      </c>
      <c r="H3852" t="s">
        <v>10052</v>
      </c>
      <c r="I3852" t="s">
        <v>2413</v>
      </c>
      <c r="J3852">
        <v>30</v>
      </c>
      <c r="K3852">
        <v>2695</v>
      </c>
      <c r="L3852">
        <v>95000</v>
      </c>
      <c r="M3852" t="s">
        <v>69</v>
      </c>
      <c r="N3852">
        <v>691</v>
      </c>
      <c r="O3852" s="2">
        <v>46182</v>
      </c>
      <c r="P3852" s="2">
        <v>46296</v>
      </c>
      <c r="R3852" t="s">
        <v>10068</v>
      </c>
      <c r="S3852" t="str">
        <f>""</f>
        <v/>
      </c>
      <c r="T3852" t="s">
        <v>41</v>
      </c>
      <c r="U3852">
        <v>2846.4</v>
      </c>
      <c r="V3852">
        <v>2815.09</v>
      </c>
      <c r="W3852">
        <v>2815.09</v>
      </c>
      <c r="X3852">
        <v>0</v>
      </c>
      <c r="Y3852">
        <v>0</v>
      </c>
      <c r="Z3852">
        <v>-521</v>
      </c>
      <c r="AA3852">
        <v>689322</v>
      </c>
      <c r="AD3852" t="s">
        <v>3224</v>
      </c>
      <c r="AF3852" t="s">
        <v>3224</v>
      </c>
      <c r="AG3852" s="1" t="s">
        <v>10054</v>
      </c>
      <c r="AH3852" t="s">
        <v>44</v>
      </c>
    </row>
    <row r="3853" spans="1:34" x14ac:dyDescent="0.3">
      <c r="A3853">
        <v>101</v>
      </c>
      <c r="B3853" t="s">
        <v>34</v>
      </c>
      <c r="C3853">
        <v>2</v>
      </c>
      <c r="D3853" s="1" t="s">
        <v>10069</v>
      </c>
      <c r="E3853" s="1" t="s">
        <v>36</v>
      </c>
      <c r="G3853">
        <v>436782</v>
      </c>
      <c r="H3853" t="s">
        <v>10052</v>
      </c>
      <c r="I3853" t="s">
        <v>2413</v>
      </c>
      <c r="J3853">
        <v>30</v>
      </c>
      <c r="K3853">
        <v>2695</v>
      </c>
      <c r="L3853">
        <v>95000</v>
      </c>
      <c r="M3853" t="s">
        <v>69</v>
      </c>
      <c r="N3853">
        <v>691</v>
      </c>
      <c r="O3853" s="2">
        <v>46239</v>
      </c>
      <c r="P3853" s="2">
        <v>46329</v>
      </c>
      <c r="R3853" t="s">
        <v>10070</v>
      </c>
      <c r="S3853" t="str">
        <f>""</f>
        <v/>
      </c>
      <c r="T3853" t="s">
        <v>41</v>
      </c>
      <c r="U3853">
        <v>1295.0999999999999</v>
      </c>
      <c r="V3853">
        <v>1280.8499999999999</v>
      </c>
      <c r="W3853">
        <v>1280.8499999999999</v>
      </c>
      <c r="X3853">
        <v>0</v>
      </c>
      <c r="Y3853">
        <v>0</v>
      </c>
      <c r="Z3853">
        <v>-554</v>
      </c>
      <c r="AA3853">
        <v>696197</v>
      </c>
      <c r="AD3853" t="s">
        <v>3224</v>
      </c>
      <c r="AF3853" t="s">
        <v>3224</v>
      </c>
      <c r="AG3853" s="1" t="s">
        <v>10054</v>
      </c>
      <c r="AH3853" t="s">
        <v>44</v>
      </c>
    </row>
    <row r="3854" spans="1:34" x14ac:dyDescent="0.3">
      <c r="A3854">
        <v>101</v>
      </c>
      <c r="B3854" t="s">
        <v>34</v>
      </c>
      <c r="C3854">
        <v>2</v>
      </c>
      <c r="D3854" s="1" t="s">
        <v>10071</v>
      </c>
      <c r="E3854" s="1" t="s">
        <v>36</v>
      </c>
      <c r="G3854">
        <v>436787</v>
      </c>
      <c r="H3854" t="s">
        <v>10072</v>
      </c>
      <c r="I3854" t="s">
        <v>2413</v>
      </c>
      <c r="J3854">
        <v>30</v>
      </c>
      <c r="K3854">
        <v>2695</v>
      </c>
      <c r="L3854">
        <v>95000</v>
      </c>
      <c r="M3854" t="s">
        <v>69</v>
      </c>
      <c r="N3854">
        <v>691</v>
      </c>
      <c r="O3854" s="2">
        <v>46235</v>
      </c>
      <c r="P3854" s="2">
        <v>46325</v>
      </c>
      <c r="R3854" t="s">
        <v>10073</v>
      </c>
      <c r="S3854" t="str">
        <f>""</f>
        <v/>
      </c>
      <c r="T3854" t="s">
        <v>41</v>
      </c>
      <c r="U3854">
        <v>3050.8</v>
      </c>
      <c r="V3854">
        <v>3017.24</v>
      </c>
      <c r="W3854">
        <v>3017.24</v>
      </c>
      <c r="X3854">
        <v>0</v>
      </c>
      <c r="Y3854">
        <v>0</v>
      </c>
      <c r="Z3854">
        <v>-550</v>
      </c>
      <c r="AA3854">
        <v>694869</v>
      </c>
      <c r="AD3854" t="s">
        <v>9099</v>
      </c>
      <c r="AF3854" t="s">
        <v>9099</v>
      </c>
      <c r="AG3854" s="1" t="s">
        <v>10074</v>
      </c>
      <c r="AH3854" t="s">
        <v>44</v>
      </c>
    </row>
    <row r="3855" spans="1:34" x14ac:dyDescent="0.3">
      <c r="A3855">
        <v>101</v>
      </c>
      <c r="B3855" t="s">
        <v>34</v>
      </c>
      <c r="C3855">
        <v>2</v>
      </c>
      <c r="D3855" s="1" t="s">
        <v>10075</v>
      </c>
      <c r="E3855" s="1" t="s">
        <v>36</v>
      </c>
      <c r="G3855">
        <v>436787</v>
      </c>
      <c r="H3855" t="s">
        <v>10072</v>
      </c>
      <c r="I3855" t="s">
        <v>2413</v>
      </c>
      <c r="J3855">
        <v>30</v>
      </c>
      <c r="K3855">
        <v>2695</v>
      </c>
      <c r="L3855">
        <v>95000</v>
      </c>
      <c r="M3855" t="s">
        <v>69</v>
      </c>
      <c r="N3855">
        <v>691</v>
      </c>
      <c r="O3855" s="2">
        <v>46141</v>
      </c>
      <c r="P3855" s="2">
        <v>46266</v>
      </c>
      <c r="R3855" t="s">
        <v>10076</v>
      </c>
      <c r="S3855" t="str">
        <f>""</f>
        <v/>
      </c>
      <c r="T3855" t="s">
        <v>41</v>
      </c>
      <c r="U3855">
        <v>13592.34</v>
      </c>
      <c r="V3855">
        <v>13442.82</v>
      </c>
      <c r="W3855">
        <v>13442.82</v>
      </c>
      <c r="X3855">
        <v>0</v>
      </c>
      <c r="Y3855">
        <v>0</v>
      </c>
      <c r="Z3855">
        <v>-491</v>
      </c>
      <c r="AA3855">
        <v>686687</v>
      </c>
      <c r="AD3855" t="s">
        <v>9099</v>
      </c>
      <c r="AF3855" t="s">
        <v>9099</v>
      </c>
      <c r="AG3855" s="1" t="s">
        <v>10074</v>
      </c>
      <c r="AH3855" t="s">
        <v>44</v>
      </c>
    </row>
    <row r="3856" spans="1:34" x14ac:dyDescent="0.3">
      <c r="A3856">
        <v>101</v>
      </c>
      <c r="B3856" t="s">
        <v>34</v>
      </c>
      <c r="C3856">
        <v>2</v>
      </c>
      <c r="D3856" s="1" t="s">
        <v>10077</v>
      </c>
      <c r="E3856" s="1" t="s">
        <v>36</v>
      </c>
      <c r="G3856">
        <v>436787</v>
      </c>
      <c r="H3856" t="s">
        <v>10072</v>
      </c>
      <c r="I3856" t="s">
        <v>2413</v>
      </c>
      <c r="J3856">
        <v>30</v>
      </c>
      <c r="K3856">
        <v>2695</v>
      </c>
      <c r="L3856">
        <v>95000</v>
      </c>
      <c r="M3856" t="s">
        <v>69</v>
      </c>
      <c r="N3856">
        <v>691</v>
      </c>
      <c r="O3856" s="2">
        <v>46198</v>
      </c>
      <c r="P3856" s="2">
        <v>46296</v>
      </c>
      <c r="R3856" t="s">
        <v>10078</v>
      </c>
      <c r="S3856" t="str">
        <f>""</f>
        <v/>
      </c>
      <c r="T3856" t="s">
        <v>41</v>
      </c>
      <c r="U3856">
        <v>30731.200000000001</v>
      </c>
      <c r="V3856">
        <v>30393.16</v>
      </c>
      <c r="W3856">
        <v>30393.16</v>
      </c>
      <c r="X3856">
        <v>0</v>
      </c>
      <c r="Y3856">
        <v>0</v>
      </c>
      <c r="Z3856">
        <v>-521</v>
      </c>
      <c r="AA3856">
        <v>692248</v>
      </c>
      <c r="AD3856" t="s">
        <v>9099</v>
      </c>
      <c r="AF3856" t="s">
        <v>9099</v>
      </c>
      <c r="AG3856" s="1" t="s">
        <v>10074</v>
      </c>
      <c r="AH3856" t="s">
        <v>44</v>
      </c>
    </row>
    <row r="3857" spans="1:34" x14ac:dyDescent="0.3">
      <c r="A3857">
        <v>101</v>
      </c>
      <c r="B3857" t="s">
        <v>34</v>
      </c>
      <c r="C3857">
        <v>2</v>
      </c>
      <c r="D3857" s="1" t="s">
        <v>10079</v>
      </c>
      <c r="E3857" s="1" t="s">
        <v>36</v>
      </c>
      <c r="G3857">
        <v>436787</v>
      </c>
      <c r="H3857" t="s">
        <v>10072</v>
      </c>
      <c r="I3857" t="s">
        <v>2413</v>
      </c>
      <c r="J3857">
        <v>30</v>
      </c>
      <c r="K3857">
        <v>2695</v>
      </c>
      <c r="L3857">
        <v>95000</v>
      </c>
      <c r="M3857" t="s">
        <v>69</v>
      </c>
      <c r="N3857">
        <v>691</v>
      </c>
      <c r="O3857" s="2">
        <v>46198</v>
      </c>
      <c r="P3857" s="2">
        <v>46296</v>
      </c>
      <c r="R3857" t="s">
        <v>10080</v>
      </c>
      <c r="S3857" t="str">
        <f>""</f>
        <v/>
      </c>
      <c r="T3857" t="s">
        <v>41</v>
      </c>
      <c r="U3857">
        <v>707.6</v>
      </c>
      <c r="V3857">
        <v>699.82</v>
      </c>
      <c r="W3857">
        <v>699.82</v>
      </c>
      <c r="X3857">
        <v>0</v>
      </c>
      <c r="Y3857">
        <v>0</v>
      </c>
      <c r="Z3857">
        <v>-521</v>
      </c>
      <c r="AA3857">
        <v>692480</v>
      </c>
      <c r="AD3857" t="s">
        <v>9099</v>
      </c>
      <c r="AF3857" t="s">
        <v>9099</v>
      </c>
      <c r="AG3857" s="1" t="s">
        <v>10074</v>
      </c>
      <c r="AH3857" t="s">
        <v>44</v>
      </c>
    </row>
    <row r="3858" spans="1:34" x14ac:dyDescent="0.3">
      <c r="A3858">
        <v>101</v>
      </c>
      <c r="B3858" t="s">
        <v>34</v>
      </c>
      <c r="C3858">
        <v>2</v>
      </c>
      <c r="D3858" s="1" t="s">
        <v>10081</v>
      </c>
      <c r="E3858" s="1" t="s">
        <v>36</v>
      </c>
      <c r="G3858">
        <v>436787</v>
      </c>
      <c r="H3858" t="s">
        <v>10072</v>
      </c>
      <c r="I3858" t="s">
        <v>2413</v>
      </c>
      <c r="J3858">
        <v>30</v>
      </c>
      <c r="K3858">
        <v>2695</v>
      </c>
      <c r="L3858">
        <v>95000</v>
      </c>
      <c r="M3858" t="s">
        <v>69</v>
      </c>
      <c r="N3858">
        <v>691</v>
      </c>
      <c r="O3858" s="2">
        <v>46181</v>
      </c>
      <c r="P3858" s="2">
        <v>46296</v>
      </c>
      <c r="R3858" t="s">
        <v>10082</v>
      </c>
      <c r="S3858" t="str">
        <f>""</f>
        <v/>
      </c>
      <c r="T3858" t="s">
        <v>41</v>
      </c>
      <c r="U3858">
        <v>21637.88</v>
      </c>
      <c r="V3858">
        <v>21399.86</v>
      </c>
      <c r="W3858">
        <v>21399.86</v>
      </c>
      <c r="X3858">
        <v>0</v>
      </c>
      <c r="Y3858">
        <v>0</v>
      </c>
      <c r="Z3858">
        <v>-521</v>
      </c>
      <c r="AA3858">
        <v>689288</v>
      </c>
      <c r="AD3858" t="s">
        <v>9099</v>
      </c>
      <c r="AF3858" t="s">
        <v>9099</v>
      </c>
      <c r="AG3858" s="1" t="s">
        <v>10074</v>
      </c>
      <c r="AH3858" t="s">
        <v>44</v>
      </c>
    </row>
    <row r="3859" spans="1:34" x14ac:dyDescent="0.3">
      <c r="A3859">
        <v>101</v>
      </c>
      <c r="B3859" t="s">
        <v>34</v>
      </c>
      <c r="C3859">
        <v>2</v>
      </c>
      <c r="D3859" s="1" t="s">
        <v>10083</v>
      </c>
      <c r="E3859" s="1" t="s">
        <v>36</v>
      </c>
      <c r="G3859">
        <v>436787</v>
      </c>
      <c r="H3859" t="s">
        <v>10072</v>
      </c>
      <c r="I3859" t="s">
        <v>2413</v>
      </c>
      <c r="J3859">
        <v>30</v>
      </c>
      <c r="K3859">
        <v>2695</v>
      </c>
      <c r="L3859">
        <v>95000</v>
      </c>
      <c r="M3859" t="s">
        <v>69</v>
      </c>
      <c r="N3859">
        <v>691</v>
      </c>
      <c r="O3859" s="2">
        <v>46253</v>
      </c>
      <c r="P3859" s="2">
        <v>46343</v>
      </c>
      <c r="R3859" t="s">
        <v>10084</v>
      </c>
      <c r="S3859" t="str">
        <f>""</f>
        <v/>
      </c>
      <c r="T3859" t="s">
        <v>41</v>
      </c>
      <c r="U3859">
        <v>2653.5</v>
      </c>
      <c r="V3859">
        <v>2624.31</v>
      </c>
      <c r="W3859">
        <v>2624.31</v>
      </c>
      <c r="X3859">
        <v>0</v>
      </c>
      <c r="Y3859">
        <v>0</v>
      </c>
      <c r="Z3859">
        <v>-568</v>
      </c>
      <c r="AA3859">
        <v>696937</v>
      </c>
      <c r="AD3859" t="s">
        <v>9099</v>
      </c>
      <c r="AF3859" t="s">
        <v>9099</v>
      </c>
      <c r="AG3859" s="1" t="s">
        <v>10074</v>
      </c>
      <c r="AH3859" t="s">
        <v>44</v>
      </c>
    </row>
    <row r="3860" spans="1:34" x14ac:dyDescent="0.3">
      <c r="A3860">
        <v>101</v>
      </c>
      <c r="B3860" t="s">
        <v>34</v>
      </c>
      <c r="C3860">
        <v>2</v>
      </c>
      <c r="D3860" s="1" t="s">
        <v>10085</v>
      </c>
      <c r="E3860" s="1" t="s">
        <v>36</v>
      </c>
      <c r="G3860">
        <v>436788</v>
      </c>
      <c r="H3860" t="s">
        <v>10086</v>
      </c>
      <c r="I3860" t="s">
        <v>2413</v>
      </c>
      <c r="J3860">
        <v>30</v>
      </c>
      <c r="K3860">
        <v>2695</v>
      </c>
      <c r="L3860">
        <v>95000</v>
      </c>
      <c r="M3860" t="s">
        <v>69</v>
      </c>
      <c r="N3860">
        <v>691</v>
      </c>
      <c r="O3860" s="2">
        <v>46226</v>
      </c>
      <c r="P3860" s="2">
        <v>46316</v>
      </c>
      <c r="R3860" t="s">
        <v>10087</v>
      </c>
      <c r="S3860" t="str">
        <f>""</f>
        <v/>
      </c>
      <c r="T3860" t="s">
        <v>41</v>
      </c>
      <c r="U3860">
        <v>29964.54</v>
      </c>
      <c r="V3860">
        <v>29634.93</v>
      </c>
      <c r="W3860">
        <v>29634.93</v>
      </c>
      <c r="X3860">
        <v>0</v>
      </c>
      <c r="Y3860">
        <v>0</v>
      </c>
      <c r="Z3860">
        <v>-541</v>
      </c>
      <c r="AA3860">
        <v>694879</v>
      </c>
      <c r="AD3860" t="s">
        <v>57</v>
      </c>
      <c r="AF3860" t="s">
        <v>57</v>
      </c>
      <c r="AG3860" s="1" t="s">
        <v>10088</v>
      </c>
      <c r="AH3860" t="s">
        <v>44</v>
      </c>
    </row>
    <row r="3861" spans="1:34" x14ac:dyDescent="0.3">
      <c r="A3861">
        <v>101</v>
      </c>
      <c r="B3861" t="s">
        <v>34</v>
      </c>
      <c r="C3861">
        <v>2</v>
      </c>
      <c r="D3861" s="1" t="s">
        <v>10089</v>
      </c>
      <c r="E3861" s="1" t="s">
        <v>36</v>
      </c>
      <c r="G3861">
        <v>436788</v>
      </c>
      <c r="H3861" t="s">
        <v>10086</v>
      </c>
      <c r="I3861" t="s">
        <v>2413</v>
      </c>
      <c r="J3861">
        <v>30</v>
      </c>
      <c r="K3861">
        <v>2695</v>
      </c>
      <c r="L3861">
        <v>95000</v>
      </c>
      <c r="M3861" t="s">
        <v>69</v>
      </c>
      <c r="N3861">
        <v>691</v>
      </c>
      <c r="O3861" s="2">
        <v>46170</v>
      </c>
      <c r="P3861" s="2">
        <v>46296</v>
      </c>
      <c r="R3861" t="s">
        <v>10090</v>
      </c>
      <c r="S3861" t="str">
        <f>""</f>
        <v/>
      </c>
      <c r="T3861" t="s">
        <v>41</v>
      </c>
      <c r="U3861">
        <v>15099.47</v>
      </c>
      <c r="V3861">
        <v>14933.38</v>
      </c>
      <c r="W3861">
        <v>14933.38</v>
      </c>
      <c r="X3861">
        <v>0</v>
      </c>
      <c r="Y3861">
        <v>0</v>
      </c>
      <c r="Z3861">
        <v>-521</v>
      </c>
      <c r="AA3861">
        <v>689298</v>
      </c>
      <c r="AD3861" t="s">
        <v>57</v>
      </c>
      <c r="AF3861" t="s">
        <v>57</v>
      </c>
      <c r="AG3861" s="1" t="s">
        <v>10088</v>
      </c>
      <c r="AH3861" t="s">
        <v>44</v>
      </c>
    </row>
    <row r="3862" spans="1:34" x14ac:dyDescent="0.3">
      <c r="A3862">
        <v>101</v>
      </c>
      <c r="B3862" t="s">
        <v>34</v>
      </c>
      <c r="C3862">
        <v>2</v>
      </c>
      <c r="D3862" s="1" t="s">
        <v>10091</v>
      </c>
      <c r="E3862" s="1" t="s">
        <v>36</v>
      </c>
      <c r="G3862">
        <v>436788</v>
      </c>
      <c r="H3862" t="s">
        <v>10086</v>
      </c>
      <c r="I3862" t="s">
        <v>2413</v>
      </c>
      <c r="J3862">
        <v>30</v>
      </c>
      <c r="K3862">
        <v>2695</v>
      </c>
      <c r="L3862">
        <v>95000</v>
      </c>
      <c r="M3862" t="s">
        <v>69</v>
      </c>
      <c r="N3862">
        <v>691</v>
      </c>
      <c r="O3862" s="2">
        <v>46185</v>
      </c>
      <c r="P3862" s="2">
        <v>46296</v>
      </c>
      <c r="R3862" t="s">
        <v>10092</v>
      </c>
      <c r="S3862" t="str">
        <f>""</f>
        <v/>
      </c>
      <c r="T3862" t="s">
        <v>41</v>
      </c>
      <c r="U3862">
        <v>2846.4</v>
      </c>
      <c r="V3862">
        <v>2815.09</v>
      </c>
      <c r="W3862">
        <v>2815.09</v>
      </c>
      <c r="X3862">
        <v>0</v>
      </c>
      <c r="Y3862">
        <v>0</v>
      </c>
      <c r="Z3862">
        <v>-521</v>
      </c>
      <c r="AA3862">
        <v>689298</v>
      </c>
      <c r="AD3862" t="s">
        <v>57</v>
      </c>
      <c r="AF3862" t="s">
        <v>57</v>
      </c>
      <c r="AG3862" s="1" t="s">
        <v>10088</v>
      </c>
      <c r="AH3862" t="s">
        <v>44</v>
      </c>
    </row>
    <row r="3863" spans="1:34" x14ac:dyDescent="0.3">
      <c r="A3863">
        <v>101</v>
      </c>
      <c r="B3863" t="s">
        <v>34</v>
      </c>
      <c r="C3863">
        <v>2</v>
      </c>
      <c r="D3863" s="1" t="s">
        <v>10093</v>
      </c>
      <c r="E3863" s="1" t="s">
        <v>36</v>
      </c>
      <c r="G3863">
        <v>436788</v>
      </c>
      <c r="H3863" t="s">
        <v>10086</v>
      </c>
      <c r="I3863" t="s">
        <v>2413</v>
      </c>
      <c r="J3863">
        <v>30</v>
      </c>
      <c r="K3863">
        <v>2695</v>
      </c>
      <c r="L3863">
        <v>95000</v>
      </c>
      <c r="M3863" t="s">
        <v>69</v>
      </c>
      <c r="N3863">
        <v>691</v>
      </c>
      <c r="O3863" s="2">
        <v>46141</v>
      </c>
      <c r="P3863" s="2">
        <v>46255</v>
      </c>
      <c r="R3863" t="s">
        <v>10094</v>
      </c>
      <c r="S3863" t="str">
        <f>""</f>
        <v/>
      </c>
      <c r="T3863" t="s">
        <v>41</v>
      </c>
      <c r="U3863">
        <v>14349.67</v>
      </c>
      <c r="V3863">
        <v>14191.82</v>
      </c>
      <c r="W3863">
        <v>14191.82</v>
      </c>
      <c r="X3863">
        <v>0</v>
      </c>
      <c r="Y3863">
        <v>0</v>
      </c>
      <c r="Z3863">
        <v>-480</v>
      </c>
      <c r="AA3863">
        <v>686697</v>
      </c>
      <c r="AD3863" t="s">
        <v>57</v>
      </c>
      <c r="AF3863" t="s">
        <v>57</v>
      </c>
      <c r="AG3863" s="1" t="s">
        <v>10088</v>
      </c>
      <c r="AH3863" t="s">
        <v>44</v>
      </c>
    </row>
    <row r="3864" spans="1:34" x14ac:dyDescent="0.3">
      <c r="A3864">
        <v>101</v>
      </c>
      <c r="B3864" t="s">
        <v>34</v>
      </c>
      <c r="C3864">
        <v>2</v>
      </c>
      <c r="D3864" s="1" t="s">
        <v>10095</v>
      </c>
      <c r="E3864" s="1" t="s">
        <v>36</v>
      </c>
      <c r="G3864">
        <v>436788</v>
      </c>
      <c r="H3864" t="s">
        <v>10086</v>
      </c>
      <c r="I3864" t="s">
        <v>2413</v>
      </c>
      <c r="J3864">
        <v>30</v>
      </c>
      <c r="K3864">
        <v>2695</v>
      </c>
      <c r="L3864">
        <v>95000</v>
      </c>
      <c r="M3864" t="s">
        <v>69</v>
      </c>
      <c r="N3864">
        <v>691</v>
      </c>
      <c r="O3864" s="2">
        <v>46199</v>
      </c>
      <c r="P3864" s="2">
        <v>46329</v>
      </c>
      <c r="R3864" t="s">
        <v>10096</v>
      </c>
      <c r="S3864" t="str">
        <f>""</f>
        <v/>
      </c>
      <c r="T3864" t="s">
        <v>41</v>
      </c>
      <c r="U3864">
        <v>1580.8</v>
      </c>
      <c r="V3864">
        <v>1563.41</v>
      </c>
      <c r="W3864">
        <v>1563.41</v>
      </c>
      <c r="X3864">
        <v>0</v>
      </c>
      <c r="Y3864">
        <v>0</v>
      </c>
      <c r="Z3864">
        <v>-554</v>
      </c>
      <c r="AA3864">
        <v>692789</v>
      </c>
      <c r="AD3864" t="s">
        <v>57</v>
      </c>
      <c r="AF3864" t="s">
        <v>57</v>
      </c>
      <c r="AG3864" s="1" t="s">
        <v>10088</v>
      </c>
      <c r="AH3864" t="s">
        <v>44</v>
      </c>
    </row>
    <row r="3865" spans="1:34" x14ac:dyDescent="0.3">
      <c r="A3865">
        <v>101</v>
      </c>
      <c r="B3865" t="s">
        <v>34</v>
      </c>
      <c r="C3865">
        <v>2</v>
      </c>
      <c r="D3865" s="1" t="s">
        <v>10097</v>
      </c>
      <c r="E3865" s="1" t="s">
        <v>36</v>
      </c>
      <c r="G3865">
        <v>436788</v>
      </c>
      <c r="H3865" t="s">
        <v>10086</v>
      </c>
      <c r="I3865" t="s">
        <v>2413</v>
      </c>
      <c r="J3865">
        <v>30</v>
      </c>
      <c r="K3865">
        <v>2695</v>
      </c>
      <c r="L3865">
        <v>95000</v>
      </c>
      <c r="M3865" t="s">
        <v>69</v>
      </c>
      <c r="N3865">
        <v>691</v>
      </c>
      <c r="O3865" s="2">
        <v>46170</v>
      </c>
      <c r="P3865" s="2">
        <v>46296</v>
      </c>
      <c r="R3865" t="s">
        <v>10098</v>
      </c>
      <c r="S3865" t="str">
        <f>""</f>
        <v/>
      </c>
      <c r="T3865" t="s">
        <v>41</v>
      </c>
      <c r="U3865">
        <v>585.36</v>
      </c>
      <c r="V3865">
        <v>578.91999999999996</v>
      </c>
      <c r="W3865">
        <v>578.91999999999996</v>
      </c>
      <c r="X3865">
        <v>0</v>
      </c>
      <c r="Y3865">
        <v>0</v>
      </c>
      <c r="Z3865">
        <v>-521</v>
      </c>
      <c r="AA3865">
        <v>689529</v>
      </c>
      <c r="AD3865" t="s">
        <v>57</v>
      </c>
      <c r="AF3865" t="s">
        <v>57</v>
      </c>
      <c r="AG3865" s="1" t="s">
        <v>10088</v>
      </c>
      <c r="AH3865" t="s">
        <v>44</v>
      </c>
    </row>
    <row r="3866" spans="1:34" x14ac:dyDescent="0.3">
      <c r="A3866">
        <v>101</v>
      </c>
      <c r="B3866" t="s">
        <v>34</v>
      </c>
      <c r="C3866">
        <v>2</v>
      </c>
      <c r="D3866" s="1" t="s">
        <v>10099</v>
      </c>
      <c r="E3866" s="1" t="s">
        <v>36</v>
      </c>
      <c r="G3866">
        <v>436788</v>
      </c>
      <c r="H3866" t="s">
        <v>10086</v>
      </c>
      <c r="I3866" t="s">
        <v>2413</v>
      </c>
      <c r="J3866">
        <v>30</v>
      </c>
      <c r="K3866">
        <v>2695</v>
      </c>
      <c r="L3866">
        <v>95000</v>
      </c>
      <c r="M3866" t="s">
        <v>69</v>
      </c>
      <c r="N3866">
        <v>691</v>
      </c>
      <c r="O3866" s="2">
        <v>46199</v>
      </c>
      <c r="P3866" s="2">
        <v>46329</v>
      </c>
      <c r="R3866" t="s">
        <v>10100</v>
      </c>
      <c r="S3866" t="str">
        <f>""</f>
        <v/>
      </c>
      <c r="T3866" t="s">
        <v>41</v>
      </c>
      <c r="U3866">
        <v>2653.5</v>
      </c>
      <c r="V3866">
        <v>2624.31</v>
      </c>
      <c r="W3866">
        <v>2624.31</v>
      </c>
      <c r="X3866">
        <v>0</v>
      </c>
      <c r="Y3866">
        <v>0</v>
      </c>
      <c r="Z3866">
        <v>-554</v>
      </c>
      <c r="AA3866">
        <v>692482</v>
      </c>
      <c r="AD3866" t="s">
        <v>57</v>
      </c>
      <c r="AF3866" t="s">
        <v>57</v>
      </c>
      <c r="AG3866" s="1" t="s">
        <v>10088</v>
      </c>
      <c r="AH3866" t="s">
        <v>44</v>
      </c>
    </row>
    <row r="3867" spans="1:34" x14ac:dyDescent="0.3">
      <c r="A3867">
        <v>101</v>
      </c>
      <c r="B3867" t="s">
        <v>34</v>
      </c>
      <c r="C3867">
        <v>2</v>
      </c>
      <c r="D3867" s="1" t="s">
        <v>10101</v>
      </c>
      <c r="E3867" s="1" t="s">
        <v>36</v>
      </c>
      <c r="G3867">
        <v>436788</v>
      </c>
      <c r="H3867" t="s">
        <v>10086</v>
      </c>
      <c r="I3867" t="s">
        <v>2413</v>
      </c>
      <c r="J3867">
        <v>30</v>
      </c>
      <c r="K3867">
        <v>2695</v>
      </c>
      <c r="L3867">
        <v>95000</v>
      </c>
      <c r="M3867" t="s">
        <v>69</v>
      </c>
      <c r="N3867">
        <v>691</v>
      </c>
      <c r="O3867" s="2">
        <v>46141</v>
      </c>
      <c r="P3867" s="2">
        <v>46255</v>
      </c>
      <c r="R3867" t="s">
        <v>10102</v>
      </c>
      <c r="S3867" t="str">
        <f>""</f>
        <v/>
      </c>
      <c r="T3867" t="s">
        <v>41</v>
      </c>
      <c r="U3867">
        <v>4324.42</v>
      </c>
      <c r="V3867">
        <v>4276.8500000000004</v>
      </c>
      <c r="W3867">
        <v>4276.8500000000004</v>
      </c>
      <c r="X3867">
        <v>0</v>
      </c>
      <c r="Y3867">
        <v>0</v>
      </c>
      <c r="Z3867">
        <v>-480</v>
      </c>
      <c r="AA3867">
        <v>686938</v>
      </c>
      <c r="AD3867" t="s">
        <v>57</v>
      </c>
      <c r="AF3867" t="s">
        <v>57</v>
      </c>
      <c r="AG3867" s="1" t="s">
        <v>10088</v>
      </c>
      <c r="AH3867" t="s">
        <v>44</v>
      </c>
    </row>
    <row r="3868" spans="1:34" x14ac:dyDescent="0.3">
      <c r="A3868">
        <v>101</v>
      </c>
      <c r="B3868" t="s">
        <v>34</v>
      </c>
      <c r="C3868">
        <v>2</v>
      </c>
      <c r="D3868" s="1" t="s">
        <v>10103</v>
      </c>
      <c r="E3868" s="1" t="s">
        <v>36</v>
      </c>
      <c r="G3868">
        <v>436788</v>
      </c>
      <c r="H3868" t="s">
        <v>10086</v>
      </c>
      <c r="I3868" t="s">
        <v>2413</v>
      </c>
      <c r="J3868">
        <v>30</v>
      </c>
      <c r="K3868">
        <v>2695</v>
      </c>
      <c r="L3868">
        <v>95000</v>
      </c>
      <c r="M3868" t="s">
        <v>69</v>
      </c>
      <c r="N3868">
        <v>691</v>
      </c>
      <c r="O3868" s="2">
        <v>46199</v>
      </c>
      <c r="P3868" s="2">
        <v>46329</v>
      </c>
      <c r="R3868" t="s">
        <v>10104</v>
      </c>
      <c r="S3868" t="str">
        <f>""</f>
        <v/>
      </c>
      <c r="T3868" t="s">
        <v>41</v>
      </c>
      <c r="U3868">
        <v>23520.7</v>
      </c>
      <c r="V3868">
        <v>23261.97</v>
      </c>
      <c r="W3868">
        <v>23261.97</v>
      </c>
      <c r="X3868">
        <v>0</v>
      </c>
      <c r="Y3868">
        <v>0</v>
      </c>
      <c r="Z3868">
        <v>-554</v>
      </c>
      <c r="AA3868">
        <v>692258</v>
      </c>
      <c r="AD3868" t="s">
        <v>57</v>
      </c>
      <c r="AF3868" t="s">
        <v>57</v>
      </c>
      <c r="AG3868" s="1" t="s">
        <v>10088</v>
      </c>
      <c r="AH3868" t="s">
        <v>44</v>
      </c>
    </row>
    <row r="3869" spans="1:34" x14ac:dyDescent="0.3">
      <c r="A3869">
        <v>101</v>
      </c>
      <c r="B3869" t="s">
        <v>34</v>
      </c>
      <c r="C3869">
        <v>2</v>
      </c>
      <c r="D3869" s="1" t="s">
        <v>10105</v>
      </c>
      <c r="E3869" s="1" t="s">
        <v>36</v>
      </c>
      <c r="G3869">
        <v>436788</v>
      </c>
      <c r="H3869" t="s">
        <v>10086</v>
      </c>
      <c r="I3869" t="s">
        <v>2413</v>
      </c>
      <c r="J3869">
        <v>30</v>
      </c>
      <c r="K3869">
        <v>2695</v>
      </c>
      <c r="L3869">
        <v>95000</v>
      </c>
      <c r="M3869" t="s">
        <v>69</v>
      </c>
      <c r="N3869">
        <v>691</v>
      </c>
      <c r="O3869" s="2">
        <v>46141</v>
      </c>
      <c r="P3869" s="2">
        <v>46255</v>
      </c>
      <c r="R3869" t="s">
        <v>10106</v>
      </c>
      <c r="S3869" t="str">
        <f>""</f>
        <v/>
      </c>
      <c r="T3869" t="s">
        <v>41</v>
      </c>
      <c r="U3869">
        <v>1211.25</v>
      </c>
      <c r="V3869">
        <v>1197.93</v>
      </c>
      <c r="W3869">
        <v>1197.93</v>
      </c>
      <c r="X3869">
        <v>0</v>
      </c>
      <c r="Y3869">
        <v>0</v>
      </c>
      <c r="Z3869">
        <v>-480</v>
      </c>
      <c r="AA3869">
        <v>686799</v>
      </c>
      <c r="AD3869" t="s">
        <v>57</v>
      </c>
      <c r="AF3869" t="s">
        <v>57</v>
      </c>
      <c r="AG3869" s="1" t="s">
        <v>10088</v>
      </c>
      <c r="AH3869" t="s">
        <v>44</v>
      </c>
    </row>
    <row r="3870" spans="1:34" x14ac:dyDescent="0.3">
      <c r="A3870">
        <v>101</v>
      </c>
      <c r="B3870" t="s">
        <v>34</v>
      </c>
      <c r="C3870">
        <v>2</v>
      </c>
      <c r="D3870" s="1" t="s">
        <v>10107</v>
      </c>
      <c r="E3870" s="1" t="s">
        <v>36</v>
      </c>
      <c r="G3870">
        <v>436788</v>
      </c>
      <c r="H3870" t="s">
        <v>10086</v>
      </c>
      <c r="I3870" t="s">
        <v>2413</v>
      </c>
      <c r="J3870">
        <v>30</v>
      </c>
      <c r="K3870">
        <v>2695</v>
      </c>
      <c r="L3870">
        <v>95000</v>
      </c>
      <c r="M3870" t="s">
        <v>69</v>
      </c>
      <c r="N3870">
        <v>691</v>
      </c>
      <c r="O3870" s="2">
        <v>46253</v>
      </c>
      <c r="P3870" s="2">
        <v>46343</v>
      </c>
      <c r="R3870" t="s">
        <v>10108</v>
      </c>
      <c r="S3870" t="str">
        <f>""</f>
        <v/>
      </c>
      <c r="T3870" t="s">
        <v>41</v>
      </c>
      <c r="U3870">
        <v>4422.5</v>
      </c>
      <c r="V3870">
        <v>4373.8500000000004</v>
      </c>
      <c r="W3870">
        <v>4373.8500000000004</v>
      </c>
      <c r="X3870">
        <v>0</v>
      </c>
      <c r="Y3870">
        <v>0</v>
      </c>
      <c r="Z3870">
        <v>-568</v>
      </c>
      <c r="AA3870">
        <v>696939</v>
      </c>
      <c r="AD3870" t="s">
        <v>57</v>
      </c>
      <c r="AF3870" t="s">
        <v>57</v>
      </c>
      <c r="AG3870" s="1" t="s">
        <v>10088</v>
      </c>
      <c r="AH3870" t="s">
        <v>44</v>
      </c>
    </row>
    <row r="3871" spans="1:34" x14ac:dyDescent="0.3">
      <c r="A3871">
        <v>101</v>
      </c>
      <c r="B3871" t="s">
        <v>34</v>
      </c>
      <c r="C3871">
        <v>2</v>
      </c>
      <c r="D3871" s="1" t="s">
        <v>10109</v>
      </c>
      <c r="E3871" s="1" t="s">
        <v>36</v>
      </c>
      <c r="G3871">
        <v>436788</v>
      </c>
      <c r="H3871" t="s">
        <v>10086</v>
      </c>
      <c r="I3871" t="s">
        <v>2413</v>
      </c>
      <c r="J3871">
        <v>30</v>
      </c>
      <c r="K3871">
        <v>2695</v>
      </c>
      <c r="L3871">
        <v>95000</v>
      </c>
      <c r="M3871" t="s">
        <v>69</v>
      </c>
      <c r="N3871">
        <v>691</v>
      </c>
      <c r="O3871" s="2">
        <v>46239</v>
      </c>
      <c r="P3871" s="2">
        <v>46329</v>
      </c>
      <c r="R3871" t="s">
        <v>10110</v>
      </c>
      <c r="S3871" t="str">
        <f>""</f>
        <v/>
      </c>
      <c r="T3871" t="s">
        <v>41</v>
      </c>
      <c r="U3871">
        <v>3376.74</v>
      </c>
      <c r="V3871">
        <v>3339.6</v>
      </c>
      <c r="W3871">
        <v>3339.6</v>
      </c>
      <c r="X3871">
        <v>0</v>
      </c>
      <c r="Y3871">
        <v>0</v>
      </c>
      <c r="Z3871">
        <v>-554</v>
      </c>
      <c r="AA3871">
        <v>696161</v>
      </c>
      <c r="AD3871" t="s">
        <v>57</v>
      </c>
      <c r="AF3871" t="s">
        <v>57</v>
      </c>
      <c r="AG3871" s="1" t="s">
        <v>10088</v>
      </c>
      <c r="AH3871" t="s">
        <v>44</v>
      </c>
    </row>
    <row r="3872" spans="1:34" x14ac:dyDescent="0.3">
      <c r="A3872">
        <v>101</v>
      </c>
      <c r="B3872" t="s">
        <v>34</v>
      </c>
      <c r="C3872">
        <v>2</v>
      </c>
      <c r="D3872" s="1" t="s">
        <v>10111</v>
      </c>
      <c r="E3872" s="1" t="s">
        <v>36</v>
      </c>
      <c r="G3872">
        <v>436789</v>
      </c>
      <c r="H3872" t="s">
        <v>10112</v>
      </c>
      <c r="I3872" t="s">
        <v>2413</v>
      </c>
      <c r="J3872">
        <v>30</v>
      </c>
      <c r="K3872">
        <v>2695</v>
      </c>
      <c r="L3872">
        <v>95000</v>
      </c>
      <c r="M3872" t="s">
        <v>69</v>
      </c>
      <c r="N3872">
        <v>691</v>
      </c>
      <c r="O3872" s="2">
        <v>46172</v>
      </c>
      <c r="P3872" s="2">
        <v>46308</v>
      </c>
      <c r="R3872" t="s">
        <v>10113</v>
      </c>
      <c r="S3872" t="str">
        <f>""</f>
        <v/>
      </c>
      <c r="T3872" t="s">
        <v>41</v>
      </c>
      <c r="U3872">
        <v>2155.64</v>
      </c>
      <c r="V3872">
        <v>2131.9299999999998</v>
      </c>
      <c r="W3872">
        <v>2131.9299999999998</v>
      </c>
      <c r="X3872">
        <v>0</v>
      </c>
      <c r="Y3872">
        <v>0</v>
      </c>
      <c r="Z3872">
        <v>-533</v>
      </c>
      <c r="AA3872">
        <v>689531</v>
      </c>
      <c r="AD3872" t="s">
        <v>10114</v>
      </c>
      <c r="AF3872" t="s">
        <v>10114</v>
      </c>
      <c r="AG3872" s="1" t="s">
        <v>10115</v>
      </c>
      <c r="AH3872" t="s">
        <v>44</v>
      </c>
    </row>
    <row r="3873" spans="1:34" x14ac:dyDescent="0.3">
      <c r="A3873">
        <v>101</v>
      </c>
      <c r="B3873" t="s">
        <v>34</v>
      </c>
      <c r="C3873">
        <v>2</v>
      </c>
      <c r="D3873" s="1" t="s">
        <v>10116</v>
      </c>
      <c r="E3873" s="1" t="s">
        <v>36</v>
      </c>
      <c r="G3873">
        <v>436789</v>
      </c>
      <c r="H3873" t="s">
        <v>10112</v>
      </c>
      <c r="I3873" t="s">
        <v>2413</v>
      </c>
      <c r="J3873">
        <v>30</v>
      </c>
      <c r="K3873">
        <v>2695</v>
      </c>
      <c r="L3873">
        <v>95000</v>
      </c>
      <c r="M3873" t="s">
        <v>69</v>
      </c>
      <c r="N3873">
        <v>691</v>
      </c>
      <c r="O3873" s="2">
        <v>46141</v>
      </c>
      <c r="P3873" s="2">
        <v>46266</v>
      </c>
      <c r="R3873" t="s">
        <v>10117</v>
      </c>
      <c r="S3873" t="str">
        <f>""</f>
        <v/>
      </c>
      <c r="T3873" t="s">
        <v>41</v>
      </c>
      <c r="U3873">
        <v>3592.72</v>
      </c>
      <c r="V3873">
        <v>3553.2</v>
      </c>
      <c r="W3873">
        <v>3553.2</v>
      </c>
      <c r="X3873">
        <v>0</v>
      </c>
      <c r="Y3873">
        <v>0</v>
      </c>
      <c r="Z3873">
        <v>-491</v>
      </c>
      <c r="AA3873">
        <v>686940</v>
      </c>
      <c r="AD3873" t="s">
        <v>10114</v>
      </c>
      <c r="AF3873" t="s">
        <v>10114</v>
      </c>
      <c r="AG3873" s="1" t="s">
        <v>10115</v>
      </c>
      <c r="AH3873" t="s">
        <v>44</v>
      </c>
    </row>
    <row r="3874" spans="1:34" x14ac:dyDescent="0.3">
      <c r="A3874">
        <v>101</v>
      </c>
      <c r="B3874" t="s">
        <v>34</v>
      </c>
      <c r="C3874">
        <v>2</v>
      </c>
      <c r="D3874" s="1" t="s">
        <v>10118</v>
      </c>
      <c r="E3874" s="1" t="s">
        <v>36</v>
      </c>
      <c r="G3874">
        <v>436789</v>
      </c>
      <c r="H3874" t="s">
        <v>10112</v>
      </c>
      <c r="I3874" t="s">
        <v>2413</v>
      </c>
      <c r="J3874">
        <v>30</v>
      </c>
      <c r="K3874">
        <v>2695</v>
      </c>
      <c r="L3874">
        <v>95000</v>
      </c>
      <c r="M3874" t="s">
        <v>69</v>
      </c>
      <c r="N3874">
        <v>691</v>
      </c>
      <c r="O3874" s="2">
        <v>46253</v>
      </c>
      <c r="P3874" s="2">
        <v>46343</v>
      </c>
      <c r="R3874" t="s">
        <v>10119</v>
      </c>
      <c r="S3874" t="str">
        <f>""</f>
        <v/>
      </c>
      <c r="T3874" t="s">
        <v>41</v>
      </c>
      <c r="U3874">
        <v>2653.5</v>
      </c>
      <c r="V3874">
        <v>2624.31</v>
      </c>
      <c r="W3874">
        <v>2624.31</v>
      </c>
      <c r="X3874">
        <v>0</v>
      </c>
      <c r="Y3874">
        <v>0</v>
      </c>
      <c r="Z3874">
        <v>-568</v>
      </c>
      <c r="AA3874">
        <v>696943</v>
      </c>
      <c r="AD3874" t="s">
        <v>10114</v>
      </c>
      <c r="AF3874" t="s">
        <v>10114</v>
      </c>
      <c r="AG3874" s="1" t="s">
        <v>10115</v>
      </c>
      <c r="AH3874" t="s">
        <v>44</v>
      </c>
    </row>
    <row r="3875" spans="1:34" x14ac:dyDescent="0.3">
      <c r="A3875">
        <v>101</v>
      </c>
      <c r="B3875" t="s">
        <v>34</v>
      </c>
      <c r="C3875">
        <v>2</v>
      </c>
      <c r="D3875" s="1" t="s">
        <v>10120</v>
      </c>
      <c r="E3875" s="1" t="s">
        <v>36</v>
      </c>
      <c r="G3875">
        <v>436789</v>
      </c>
      <c r="H3875" t="s">
        <v>10112</v>
      </c>
      <c r="I3875" t="s">
        <v>2413</v>
      </c>
      <c r="J3875">
        <v>30</v>
      </c>
      <c r="K3875">
        <v>2695</v>
      </c>
      <c r="L3875">
        <v>95000</v>
      </c>
      <c r="M3875" t="s">
        <v>69</v>
      </c>
      <c r="N3875">
        <v>691</v>
      </c>
      <c r="O3875" s="2">
        <v>46239</v>
      </c>
      <c r="P3875" s="2">
        <v>46349</v>
      </c>
      <c r="R3875" t="s">
        <v>10121</v>
      </c>
      <c r="S3875" t="str">
        <f>""</f>
        <v/>
      </c>
      <c r="T3875" t="s">
        <v>41</v>
      </c>
      <c r="U3875">
        <v>2849.22</v>
      </c>
      <c r="V3875">
        <v>2817.88</v>
      </c>
      <c r="W3875">
        <v>2817.88</v>
      </c>
      <c r="X3875">
        <v>0</v>
      </c>
      <c r="Y3875">
        <v>0</v>
      </c>
      <c r="Z3875">
        <v>-574</v>
      </c>
      <c r="AA3875">
        <v>696163</v>
      </c>
      <c r="AD3875" t="s">
        <v>10114</v>
      </c>
      <c r="AF3875" t="s">
        <v>10114</v>
      </c>
      <c r="AG3875" s="1" t="s">
        <v>10115</v>
      </c>
      <c r="AH3875" t="s">
        <v>44</v>
      </c>
    </row>
    <row r="3876" spans="1:34" x14ac:dyDescent="0.3">
      <c r="A3876">
        <v>101</v>
      </c>
      <c r="B3876" t="s">
        <v>34</v>
      </c>
      <c r="C3876">
        <v>2</v>
      </c>
      <c r="D3876" s="1" t="s">
        <v>10122</v>
      </c>
      <c r="E3876" s="1" t="s">
        <v>36</v>
      </c>
      <c r="G3876">
        <v>436789</v>
      </c>
      <c r="H3876" t="s">
        <v>10112</v>
      </c>
      <c r="I3876" t="s">
        <v>2413</v>
      </c>
      <c r="J3876">
        <v>30</v>
      </c>
      <c r="K3876">
        <v>2695</v>
      </c>
      <c r="L3876">
        <v>95000</v>
      </c>
      <c r="M3876" t="s">
        <v>69</v>
      </c>
      <c r="N3876">
        <v>691</v>
      </c>
      <c r="O3876" s="2">
        <v>46197</v>
      </c>
      <c r="P3876" s="2">
        <v>46316</v>
      </c>
      <c r="R3876" t="s">
        <v>10123</v>
      </c>
      <c r="S3876" t="str">
        <f>""</f>
        <v/>
      </c>
      <c r="T3876" t="s">
        <v>41</v>
      </c>
      <c r="U3876">
        <v>20771.73</v>
      </c>
      <c r="V3876">
        <v>20543.240000000002</v>
      </c>
      <c r="W3876">
        <v>20543.240000000002</v>
      </c>
      <c r="X3876">
        <v>0</v>
      </c>
      <c r="Y3876">
        <v>0</v>
      </c>
      <c r="Z3876">
        <v>-541</v>
      </c>
      <c r="AA3876">
        <v>692262</v>
      </c>
      <c r="AD3876" t="s">
        <v>10114</v>
      </c>
      <c r="AF3876" t="s">
        <v>10114</v>
      </c>
      <c r="AG3876" s="1" t="s">
        <v>10115</v>
      </c>
      <c r="AH3876" t="s">
        <v>44</v>
      </c>
    </row>
    <row r="3877" spans="1:34" x14ac:dyDescent="0.3">
      <c r="A3877">
        <v>101</v>
      </c>
      <c r="B3877" t="s">
        <v>34</v>
      </c>
      <c r="C3877">
        <v>2</v>
      </c>
      <c r="D3877" s="1" t="s">
        <v>10124</v>
      </c>
      <c r="E3877" s="1" t="s">
        <v>36</v>
      </c>
      <c r="G3877">
        <v>436789</v>
      </c>
      <c r="H3877" t="s">
        <v>10112</v>
      </c>
      <c r="I3877" t="s">
        <v>2413</v>
      </c>
      <c r="J3877">
        <v>30</v>
      </c>
      <c r="K3877">
        <v>2695</v>
      </c>
      <c r="L3877">
        <v>95000</v>
      </c>
      <c r="M3877" t="s">
        <v>69</v>
      </c>
      <c r="N3877">
        <v>691</v>
      </c>
      <c r="O3877" s="2">
        <v>46141</v>
      </c>
      <c r="P3877" s="2">
        <v>46266</v>
      </c>
      <c r="R3877" t="s">
        <v>10125</v>
      </c>
      <c r="S3877" t="str">
        <f>""</f>
        <v/>
      </c>
      <c r="T3877" t="s">
        <v>41</v>
      </c>
      <c r="U3877">
        <v>134.31</v>
      </c>
      <c r="V3877">
        <v>132.83000000000001</v>
      </c>
      <c r="W3877">
        <v>132.83000000000001</v>
      </c>
      <c r="X3877">
        <v>0</v>
      </c>
      <c r="Y3877">
        <v>0</v>
      </c>
      <c r="Z3877">
        <v>-491</v>
      </c>
      <c r="AA3877">
        <v>686801</v>
      </c>
      <c r="AD3877" t="s">
        <v>10114</v>
      </c>
      <c r="AF3877" t="s">
        <v>10114</v>
      </c>
      <c r="AG3877" s="1" t="s">
        <v>10115</v>
      </c>
      <c r="AH3877" t="s">
        <v>44</v>
      </c>
    </row>
    <row r="3878" spans="1:34" x14ac:dyDescent="0.3">
      <c r="A3878">
        <v>101</v>
      </c>
      <c r="B3878" t="s">
        <v>34</v>
      </c>
      <c r="C3878">
        <v>2</v>
      </c>
      <c r="D3878" s="1" t="s">
        <v>10126</v>
      </c>
      <c r="E3878" s="1" t="s">
        <v>36</v>
      </c>
      <c r="G3878">
        <v>436789</v>
      </c>
      <c r="H3878" t="s">
        <v>10112</v>
      </c>
      <c r="I3878" t="s">
        <v>2413</v>
      </c>
      <c r="J3878">
        <v>30</v>
      </c>
      <c r="K3878">
        <v>2695</v>
      </c>
      <c r="L3878">
        <v>95000</v>
      </c>
      <c r="M3878" t="s">
        <v>69</v>
      </c>
      <c r="N3878">
        <v>691</v>
      </c>
      <c r="O3878" s="2">
        <v>46172</v>
      </c>
      <c r="P3878" s="2">
        <v>46308</v>
      </c>
      <c r="R3878" t="s">
        <v>10127</v>
      </c>
      <c r="S3878" t="str">
        <f>""</f>
        <v/>
      </c>
      <c r="T3878" t="s">
        <v>41</v>
      </c>
      <c r="U3878">
        <v>17984.509999999998</v>
      </c>
      <c r="V3878">
        <v>17786.68</v>
      </c>
      <c r="W3878">
        <v>17786.68</v>
      </c>
      <c r="X3878">
        <v>0</v>
      </c>
      <c r="Y3878">
        <v>0</v>
      </c>
      <c r="Z3878">
        <v>-533</v>
      </c>
      <c r="AA3878">
        <v>689302</v>
      </c>
      <c r="AD3878" t="s">
        <v>10114</v>
      </c>
      <c r="AF3878" t="s">
        <v>10114</v>
      </c>
      <c r="AG3878" s="1" t="s">
        <v>10115</v>
      </c>
      <c r="AH3878" t="s">
        <v>44</v>
      </c>
    </row>
    <row r="3879" spans="1:34" x14ac:dyDescent="0.3">
      <c r="A3879">
        <v>101</v>
      </c>
      <c r="B3879" t="s">
        <v>34</v>
      </c>
      <c r="C3879">
        <v>2</v>
      </c>
      <c r="D3879" s="1" t="s">
        <v>10128</v>
      </c>
      <c r="E3879" s="1" t="s">
        <v>36</v>
      </c>
      <c r="G3879">
        <v>436789</v>
      </c>
      <c r="H3879" t="s">
        <v>10112</v>
      </c>
      <c r="I3879" t="s">
        <v>2413</v>
      </c>
      <c r="J3879">
        <v>30</v>
      </c>
      <c r="K3879">
        <v>2695</v>
      </c>
      <c r="L3879">
        <v>95000</v>
      </c>
      <c r="M3879" t="s">
        <v>69</v>
      </c>
      <c r="N3879">
        <v>691</v>
      </c>
      <c r="O3879" s="2">
        <v>46141</v>
      </c>
      <c r="P3879" s="2">
        <v>46266</v>
      </c>
      <c r="R3879" t="s">
        <v>10129</v>
      </c>
      <c r="S3879" t="str">
        <f>""</f>
        <v/>
      </c>
      <c r="T3879" t="s">
        <v>41</v>
      </c>
      <c r="U3879">
        <v>16946.57</v>
      </c>
      <c r="V3879">
        <v>16760.16</v>
      </c>
      <c r="W3879">
        <v>16760.16</v>
      </c>
      <c r="X3879">
        <v>0</v>
      </c>
      <c r="Y3879">
        <v>0</v>
      </c>
      <c r="Z3879">
        <v>-491</v>
      </c>
      <c r="AA3879">
        <v>686701</v>
      </c>
      <c r="AD3879" t="s">
        <v>10114</v>
      </c>
      <c r="AF3879" t="s">
        <v>10114</v>
      </c>
      <c r="AG3879" s="1" t="s">
        <v>10115</v>
      </c>
      <c r="AH3879" t="s">
        <v>44</v>
      </c>
    </row>
    <row r="3880" spans="1:34" x14ac:dyDescent="0.3">
      <c r="A3880">
        <v>101</v>
      </c>
      <c r="B3880" t="s">
        <v>34</v>
      </c>
      <c r="C3880">
        <v>2</v>
      </c>
      <c r="D3880" s="1" t="s">
        <v>10130</v>
      </c>
      <c r="E3880" s="1" t="s">
        <v>36</v>
      </c>
      <c r="G3880">
        <v>436789</v>
      </c>
      <c r="H3880" t="s">
        <v>10112</v>
      </c>
      <c r="I3880" t="s">
        <v>2413</v>
      </c>
      <c r="J3880">
        <v>30</v>
      </c>
      <c r="K3880">
        <v>2695</v>
      </c>
      <c r="L3880">
        <v>95000</v>
      </c>
      <c r="M3880" t="s">
        <v>69</v>
      </c>
      <c r="N3880">
        <v>691</v>
      </c>
      <c r="O3880" s="2">
        <v>46226</v>
      </c>
      <c r="P3880" s="2">
        <v>46349</v>
      </c>
      <c r="R3880" t="s">
        <v>10131</v>
      </c>
      <c r="S3880" t="str">
        <f>""</f>
        <v/>
      </c>
      <c r="T3880" t="s">
        <v>41</v>
      </c>
      <c r="U3880">
        <v>13057.6</v>
      </c>
      <c r="V3880">
        <v>12913.97</v>
      </c>
      <c r="W3880">
        <v>12913.97</v>
      </c>
      <c r="X3880">
        <v>0</v>
      </c>
      <c r="Y3880">
        <v>0</v>
      </c>
      <c r="Z3880">
        <v>-574</v>
      </c>
      <c r="AA3880">
        <v>694883</v>
      </c>
      <c r="AD3880" t="s">
        <v>10114</v>
      </c>
      <c r="AF3880" t="s">
        <v>10114</v>
      </c>
      <c r="AG3880" s="1" t="s">
        <v>10115</v>
      </c>
      <c r="AH3880" t="s">
        <v>44</v>
      </c>
    </row>
    <row r="3881" spans="1:34" x14ac:dyDescent="0.3">
      <c r="A3881">
        <v>101</v>
      </c>
      <c r="B3881" t="s">
        <v>34</v>
      </c>
      <c r="C3881">
        <v>2</v>
      </c>
      <c r="D3881" s="1" t="s">
        <v>10132</v>
      </c>
      <c r="E3881" s="1" t="s">
        <v>36</v>
      </c>
      <c r="G3881">
        <v>436795</v>
      </c>
      <c r="H3881" t="s">
        <v>10133</v>
      </c>
      <c r="I3881" t="s">
        <v>2413</v>
      </c>
      <c r="J3881">
        <v>30</v>
      </c>
      <c r="K3881">
        <v>2695</v>
      </c>
      <c r="L3881">
        <v>95000</v>
      </c>
      <c r="M3881" t="s">
        <v>69</v>
      </c>
      <c r="N3881">
        <v>691</v>
      </c>
      <c r="O3881" s="2">
        <v>46141</v>
      </c>
      <c r="P3881" s="2">
        <v>46266</v>
      </c>
      <c r="R3881" t="s">
        <v>10134</v>
      </c>
      <c r="S3881" t="str">
        <f>""</f>
        <v/>
      </c>
      <c r="T3881" t="s">
        <v>41</v>
      </c>
      <c r="U3881">
        <v>12116.96</v>
      </c>
      <c r="V3881">
        <v>11983.67</v>
      </c>
      <c r="W3881">
        <v>11983.67</v>
      </c>
      <c r="X3881">
        <v>0</v>
      </c>
      <c r="Y3881">
        <v>0</v>
      </c>
      <c r="Z3881">
        <v>-491</v>
      </c>
      <c r="AA3881">
        <v>686558</v>
      </c>
      <c r="AD3881" t="s">
        <v>3188</v>
      </c>
      <c r="AE3881" t="s">
        <v>10135</v>
      </c>
      <c r="AF3881" t="s">
        <v>3188</v>
      </c>
      <c r="AG3881" s="1" t="s">
        <v>10136</v>
      </c>
      <c r="AH3881" t="s">
        <v>44</v>
      </c>
    </row>
    <row r="3882" spans="1:34" x14ac:dyDescent="0.3">
      <c r="A3882">
        <v>101</v>
      </c>
      <c r="B3882" t="s">
        <v>34</v>
      </c>
      <c r="C3882">
        <v>2</v>
      </c>
      <c r="D3882" s="1" t="s">
        <v>10137</v>
      </c>
      <c r="E3882" s="1" t="s">
        <v>36</v>
      </c>
      <c r="G3882">
        <v>436795</v>
      </c>
      <c r="H3882" t="s">
        <v>10133</v>
      </c>
      <c r="I3882" t="s">
        <v>2413</v>
      </c>
      <c r="J3882">
        <v>30</v>
      </c>
      <c r="K3882">
        <v>2695</v>
      </c>
      <c r="L3882">
        <v>95000</v>
      </c>
      <c r="M3882" t="s">
        <v>69</v>
      </c>
      <c r="N3882">
        <v>691</v>
      </c>
      <c r="O3882" s="2">
        <v>46226</v>
      </c>
      <c r="P3882" s="2">
        <v>46316</v>
      </c>
      <c r="R3882" t="s">
        <v>10138</v>
      </c>
      <c r="S3882" t="str">
        <f>""</f>
        <v/>
      </c>
      <c r="T3882" t="s">
        <v>41</v>
      </c>
      <c r="U3882">
        <v>7520.8</v>
      </c>
      <c r="V3882">
        <v>7438.07</v>
      </c>
      <c r="W3882">
        <v>7438.07</v>
      </c>
      <c r="X3882">
        <v>0</v>
      </c>
      <c r="Y3882">
        <v>0</v>
      </c>
      <c r="Z3882">
        <v>-541</v>
      </c>
      <c r="AA3882">
        <v>694897</v>
      </c>
      <c r="AD3882" t="s">
        <v>3188</v>
      </c>
      <c r="AE3882" t="s">
        <v>10135</v>
      </c>
      <c r="AF3882" t="s">
        <v>3188</v>
      </c>
      <c r="AG3882" s="1" t="s">
        <v>10136</v>
      </c>
      <c r="AH3882" t="s">
        <v>44</v>
      </c>
    </row>
    <row r="3883" spans="1:34" x14ac:dyDescent="0.3">
      <c r="A3883">
        <v>101</v>
      </c>
      <c r="B3883" t="s">
        <v>34</v>
      </c>
      <c r="C3883">
        <v>2</v>
      </c>
      <c r="D3883" s="1" t="s">
        <v>10139</v>
      </c>
      <c r="E3883" s="1" t="s">
        <v>36</v>
      </c>
      <c r="G3883">
        <v>436795</v>
      </c>
      <c r="H3883" t="s">
        <v>10133</v>
      </c>
      <c r="I3883" t="s">
        <v>2413</v>
      </c>
      <c r="J3883">
        <v>30</v>
      </c>
      <c r="K3883">
        <v>2695</v>
      </c>
      <c r="L3883">
        <v>95000</v>
      </c>
      <c r="M3883" t="s">
        <v>69</v>
      </c>
      <c r="N3883">
        <v>691</v>
      </c>
      <c r="O3883" s="2">
        <v>46199</v>
      </c>
      <c r="P3883" s="2">
        <v>46329</v>
      </c>
      <c r="R3883" t="s">
        <v>10140</v>
      </c>
      <c r="S3883" t="str">
        <f>""</f>
        <v/>
      </c>
      <c r="T3883" t="s">
        <v>41</v>
      </c>
      <c r="U3883">
        <v>442.25</v>
      </c>
      <c r="V3883">
        <v>437.39</v>
      </c>
      <c r="W3883">
        <v>437.39</v>
      </c>
      <c r="X3883">
        <v>0</v>
      </c>
      <c r="Y3883">
        <v>0</v>
      </c>
      <c r="Z3883">
        <v>-554</v>
      </c>
      <c r="AA3883">
        <v>692490</v>
      </c>
      <c r="AD3883" t="s">
        <v>3188</v>
      </c>
      <c r="AE3883" t="s">
        <v>10135</v>
      </c>
      <c r="AF3883" t="s">
        <v>3188</v>
      </c>
      <c r="AG3883" s="1" t="s">
        <v>10136</v>
      </c>
      <c r="AH3883" t="s">
        <v>44</v>
      </c>
    </row>
    <row r="3884" spans="1:34" x14ac:dyDescent="0.3">
      <c r="A3884">
        <v>101</v>
      </c>
      <c r="B3884" t="s">
        <v>34</v>
      </c>
      <c r="C3884">
        <v>2</v>
      </c>
      <c r="D3884" s="1" t="s">
        <v>10141</v>
      </c>
      <c r="E3884" s="1" t="s">
        <v>36</v>
      </c>
      <c r="G3884">
        <v>436795</v>
      </c>
      <c r="H3884" t="s">
        <v>10133</v>
      </c>
      <c r="I3884" t="s">
        <v>2413</v>
      </c>
      <c r="J3884">
        <v>30</v>
      </c>
      <c r="K3884">
        <v>2695</v>
      </c>
      <c r="L3884">
        <v>95000</v>
      </c>
      <c r="M3884" t="s">
        <v>69</v>
      </c>
      <c r="N3884">
        <v>691</v>
      </c>
      <c r="O3884" s="2">
        <v>46181</v>
      </c>
      <c r="P3884" s="2">
        <v>46296</v>
      </c>
      <c r="R3884" t="s">
        <v>10142</v>
      </c>
      <c r="S3884" t="str">
        <f>""</f>
        <v/>
      </c>
      <c r="T3884" t="s">
        <v>41</v>
      </c>
      <c r="U3884">
        <v>14238.64</v>
      </c>
      <c r="V3884">
        <v>14082.01</v>
      </c>
      <c r="W3884">
        <v>14082.01</v>
      </c>
      <c r="X3884">
        <v>0</v>
      </c>
      <c r="Y3884">
        <v>0</v>
      </c>
      <c r="Z3884">
        <v>-521</v>
      </c>
      <c r="AA3884">
        <v>689160</v>
      </c>
      <c r="AD3884" t="s">
        <v>3188</v>
      </c>
      <c r="AE3884" t="s">
        <v>10135</v>
      </c>
      <c r="AF3884" t="s">
        <v>3188</v>
      </c>
      <c r="AG3884" s="1" t="s">
        <v>10136</v>
      </c>
      <c r="AH3884" t="s">
        <v>44</v>
      </c>
    </row>
    <row r="3885" spans="1:34" x14ac:dyDescent="0.3">
      <c r="A3885">
        <v>101</v>
      </c>
      <c r="B3885" t="s">
        <v>34</v>
      </c>
      <c r="C3885">
        <v>2</v>
      </c>
      <c r="D3885" s="1" t="s">
        <v>10143</v>
      </c>
      <c r="E3885" s="1" t="s">
        <v>36</v>
      </c>
      <c r="G3885">
        <v>436795</v>
      </c>
      <c r="H3885" t="s">
        <v>10133</v>
      </c>
      <c r="I3885" t="s">
        <v>2413</v>
      </c>
      <c r="J3885">
        <v>30</v>
      </c>
      <c r="K3885">
        <v>2695</v>
      </c>
      <c r="L3885">
        <v>95000</v>
      </c>
      <c r="M3885" t="s">
        <v>69</v>
      </c>
      <c r="N3885">
        <v>691</v>
      </c>
      <c r="O3885" s="2">
        <v>46199</v>
      </c>
      <c r="P3885" s="2">
        <v>46329</v>
      </c>
      <c r="R3885" t="s">
        <v>10144</v>
      </c>
      <c r="S3885" t="str">
        <f>""</f>
        <v/>
      </c>
      <c r="T3885" t="s">
        <v>41</v>
      </c>
      <c r="U3885">
        <v>2330.7399999999998</v>
      </c>
      <c r="V3885">
        <v>2305.1</v>
      </c>
      <c r="W3885">
        <v>2305.1</v>
      </c>
      <c r="X3885">
        <v>0</v>
      </c>
      <c r="Y3885">
        <v>0</v>
      </c>
      <c r="Z3885">
        <v>-554</v>
      </c>
      <c r="AA3885">
        <v>692122</v>
      </c>
      <c r="AD3885" t="s">
        <v>3188</v>
      </c>
      <c r="AE3885" t="s">
        <v>10135</v>
      </c>
      <c r="AF3885" t="s">
        <v>3188</v>
      </c>
      <c r="AG3885" s="1" t="s">
        <v>10136</v>
      </c>
      <c r="AH3885" t="s">
        <v>44</v>
      </c>
    </row>
    <row r="3886" spans="1:34" x14ac:dyDescent="0.3">
      <c r="A3886">
        <v>101</v>
      </c>
      <c r="B3886" t="s">
        <v>34</v>
      </c>
      <c r="C3886">
        <v>2</v>
      </c>
      <c r="D3886" s="1" t="s">
        <v>10145</v>
      </c>
      <c r="E3886" s="1" t="s">
        <v>36</v>
      </c>
      <c r="G3886">
        <v>436795</v>
      </c>
      <c r="H3886" t="s">
        <v>10133</v>
      </c>
      <c r="I3886" t="s">
        <v>2413</v>
      </c>
      <c r="J3886">
        <v>30</v>
      </c>
      <c r="K3886">
        <v>2695</v>
      </c>
      <c r="L3886">
        <v>95000</v>
      </c>
      <c r="M3886" t="s">
        <v>69</v>
      </c>
      <c r="N3886">
        <v>691</v>
      </c>
      <c r="O3886" s="2">
        <v>46239</v>
      </c>
      <c r="P3886" s="2">
        <v>46329</v>
      </c>
      <c r="R3886" t="s">
        <v>10146</v>
      </c>
      <c r="S3886" t="str">
        <f>""</f>
        <v/>
      </c>
      <c r="T3886" t="s">
        <v>41</v>
      </c>
      <c r="U3886">
        <v>2470.17</v>
      </c>
      <c r="V3886">
        <v>2443</v>
      </c>
      <c r="W3886">
        <v>2443</v>
      </c>
      <c r="X3886">
        <v>0</v>
      </c>
      <c r="Y3886">
        <v>0</v>
      </c>
      <c r="Z3886">
        <v>-554</v>
      </c>
      <c r="AA3886">
        <v>696175</v>
      </c>
      <c r="AD3886" t="s">
        <v>3188</v>
      </c>
      <c r="AE3886" t="s">
        <v>10135</v>
      </c>
      <c r="AF3886" t="s">
        <v>3188</v>
      </c>
      <c r="AG3886" s="1" t="s">
        <v>10136</v>
      </c>
      <c r="AH3886" t="s">
        <v>44</v>
      </c>
    </row>
    <row r="3887" spans="1:34" x14ac:dyDescent="0.3">
      <c r="A3887">
        <v>101</v>
      </c>
      <c r="B3887" t="s">
        <v>34</v>
      </c>
      <c r="C3887">
        <v>2</v>
      </c>
      <c r="D3887" s="1" t="s">
        <v>10147</v>
      </c>
      <c r="E3887" s="1" t="s">
        <v>36</v>
      </c>
      <c r="G3887">
        <v>440172</v>
      </c>
      <c r="H3887" t="s">
        <v>10148</v>
      </c>
      <c r="I3887" t="s">
        <v>2413</v>
      </c>
      <c r="J3887">
        <v>30</v>
      </c>
      <c r="K3887">
        <v>2695</v>
      </c>
      <c r="L3887">
        <v>95000</v>
      </c>
      <c r="M3887" t="s">
        <v>69</v>
      </c>
      <c r="N3887">
        <v>691</v>
      </c>
      <c r="O3887" s="2">
        <v>46140</v>
      </c>
      <c r="P3887" s="2">
        <v>46266</v>
      </c>
      <c r="R3887" t="s">
        <v>10149</v>
      </c>
      <c r="S3887" t="str">
        <f>""</f>
        <v/>
      </c>
      <c r="T3887" t="s">
        <v>41</v>
      </c>
      <c r="U3887">
        <v>1484.77</v>
      </c>
      <c r="V3887">
        <v>1468.44</v>
      </c>
      <c r="W3887">
        <v>1468.44</v>
      </c>
      <c r="X3887">
        <v>0</v>
      </c>
      <c r="Y3887">
        <v>0</v>
      </c>
      <c r="Z3887">
        <v>-491</v>
      </c>
      <c r="AA3887">
        <v>686785</v>
      </c>
      <c r="AD3887" t="s">
        <v>2811</v>
      </c>
      <c r="AE3887" t="s">
        <v>2533</v>
      </c>
      <c r="AF3887" t="s">
        <v>2811</v>
      </c>
      <c r="AG3887" s="1" t="s">
        <v>10150</v>
      </c>
      <c r="AH3887" t="s">
        <v>44</v>
      </c>
    </row>
    <row r="3888" spans="1:34" x14ac:dyDescent="0.3">
      <c r="A3888">
        <v>101</v>
      </c>
      <c r="B3888" t="s">
        <v>34</v>
      </c>
      <c r="C3888">
        <v>2</v>
      </c>
      <c r="D3888" s="1" t="s">
        <v>10151</v>
      </c>
      <c r="E3888" s="1" t="s">
        <v>36</v>
      </c>
      <c r="G3888">
        <v>440172</v>
      </c>
      <c r="H3888" t="s">
        <v>10148</v>
      </c>
      <c r="I3888" t="s">
        <v>2413</v>
      </c>
      <c r="J3888">
        <v>30</v>
      </c>
      <c r="K3888">
        <v>2695</v>
      </c>
      <c r="L3888">
        <v>95000</v>
      </c>
      <c r="M3888" t="s">
        <v>69</v>
      </c>
      <c r="N3888">
        <v>691</v>
      </c>
      <c r="O3888" s="2">
        <v>46235</v>
      </c>
      <c r="P3888" s="2">
        <v>46325</v>
      </c>
      <c r="R3888" t="s">
        <v>10152</v>
      </c>
      <c r="S3888" t="str">
        <f>""</f>
        <v/>
      </c>
      <c r="T3888" t="s">
        <v>41</v>
      </c>
      <c r="U3888">
        <v>11427.62</v>
      </c>
      <c r="V3888">
        <v>11301.92</v>
      </c>
      <c r="W3888">
        <v>11301.92</v>
      </c>
      <c r="X3888">
        <v>0</v>
      </c>
      <c r="Y3888">
        <v>0</v>
      </c>
      <c r="Z3888">
        <v>-550</v>
      </c>
      <c r="AA3888">
        <v>694939</v>
      </c>
      <c r="AD3888" t="s">
        <v>2811</v>
      </c>
      <c r="AE3888" t="s">
        <v>2533</v>
      </c>
      <c r="AF3888" t="s">
        <v>2811</v>
      </c>
      <c r="AG3888" s="1" t="s">
        <v>10150</v>
      </c>
      <c r="AH3888" t="s">
        <v>44</v>
      </c>
    </row>
    <row r="3889" spans="1:34" x14ac:dyDescent="0.3">
      <c r="A3889">
        <v>101</v>
      </c>
      <c r="B3889" t="s">
        <v>34</v>
      </c>
      <c r="C3889">
        <v>2</v>
      </c>
      <c r="D3889" s="1" t="s">
        <v>10153</v>
      </c>
      <c r="E3889" s="1" t="s">
        <v>36</v>
      </c>
      <c r="G3889">
        <v>440172</v>
      </c>
      <c r="H3889" t="s">
        <v>10148</v>
      </c>
      <c r="I3889" t="s">
        <v>2413</v>
      </c>
      <c r="J3889">
        <v>30</v>
      </c>
      <c r="K3889">
        <v>2695</v>
      </c>
      <c r="L3889">
        <v>95000</v>
      </c>
      <c r="M3889" t="s">
        <v>69</v>
      </c>
      <c r="N3889">
        <v>691</v>
      </c>
      <c r="O3889" s="2">
        <v>46198</v>
      </c>
      <c r="P3889" s="2">
        <v>46308</v>
      </c>
      <c r="R3889" t="s">
        <v>10154</v>
      </c>
      <c r="S3889" t="str">
        <f>""</f>
        <v/>
      </c>
      <c r="T3889" t="s">
        <v>41</v>
      </c>
      <c r="U3889">
        <v>20647.04</v>
      </c>
      <c r="V3889">
        <v>20419.919999999998</v>
      </c>
      <c r="W3889">
        <v>20419.919999999998</v>
      </c>
      <c r="X3889">
        <v>0</v>
      </c>
      <c r="Y3889">
        <v>0</v>
      </c>
      <c r="Z3889">
        <v>-533</v>
      </c>
      <c r="AA3889">
        <v>692144</v>
      </c>
      <c r="AD3889" t="s">
        <v>2811</v>
      </c>
      <c r="AE3889" t="s">
        <v>2533</v>
      </c>
      <c r="AF3889" t="s">
        <v>2811</v>
      </c>
      <c r="AG3889" s="1" t="s">
        <v>10150</v>
      </c>
      <c r="AH3889" t="s">
        <v>44</v>
      </c>
    </row>
    <row r="3890" spans="1:34" x14ac:dyDescent="0.3">
      <c r="A3890">
        <v>101</v>
      </c>
      <c r="B3890" t="s">
        <v>34</v>
      </c>
      <c r="C3890">
        <v>2</v>
      </c>
      <c r="D3890" s="1" t="s">
        <v>10155</v>
      </c>
      <c r="E3890" s="1" t="s">
        <v>36</v>
      </c>
      <c r="G3890">
        <v>440172</v>
      </c>
      <c r="H3890" t="s">
        <v>10148</v>
      </c>
      <c r="I3890" t="s">
        <v>2413</v>
      </c>
      <c r="J3890">
        <v>30</v>
      </c>
      <c r="K3890">
        <v>2695</v>
      </c>
      <c r="L3890">
        <v>95000</v>
      </c>
      <c r="M3890" t="s">
        <v>69</v>
      </c>
      <c r="N3890">
        <v>691</v>
      </c>
      <c r="O3890" s="2">
        <v>46239</v>
      </c>
      <c r="P3890" s="2">
        <v>46329</v>
      </c>
      <c r="R3890" t="s">
        <v>10156</v>
      </c>
      <c r="S3890" t="str">
        <f>""</f>
        <v/>
      </c>
      <c r="T3890" t="s">
        <v>41</v>
      </c>
      <c r="U3890">
        <v>3117.72</v>
      </c>
      <c r="V3890">
        <v>3083.43</v>
      </c>
      <c r="W3890">
        <v>3083.43</v>
      </c>
      <c r="X3890">
        <v>0</v>
      </c>
      <c r="Y3890">
        <v>0</v>
      </c>
      <c r="Z3890">
        <v>-554</v>
      </c>
      <c r="AA3890">
        <v>696203</v>
      </c>
      <c r="AD3890" t="s">
        <v>2811</v>
      </c>
      <c r="AE3890" t="s">
        <v>2533</v>
      </c>
      <c r="AF3890" t="s">
        <v>2811</v>
      </c>
      <c r="AG3890" s="1" t="s">
        <v>10150</v>
      </c>
      <c r="AH3890" t="s">
        <v>44</v>
      </c>
    </row>
    <row r="3891" spans="1:34" x14ac:dyDescent="0.3">
      <c r="A3891">
        <v>101</v>
      </c>
      <c r="B3891" t="s">
        <v>34</v>
      </c>
      <c r="C3891">
        <v>2</v>
      </c>
      <c r="D3891" s="1" t="s">
        <v>10157</v>
      </c>
      <c r="E3891" s="1" t="s">
        <v>36</v>
      </c>
      <c r="G3891">
        <v>440172</v>
      </c>
      <c r="H3891" t="s">
        <v>10148</v>
      </c>
      <c r="I3891" t="s">
        <v>2413</v>
      </c>
      <c r="J3891">
        <v>30</v>
      </c>
      <c r="K3891">
        <v>2695</v>
      </c>
      <c r="L3891">
        <v>95000</v>
      </c>
      <c r="M3891" t="s">
        <v>69</v>
      </c>
      <c r="N3891">
        <v>691</v>
      </c>
      <c r="O3891" s="2">
        <v>46198</v>
      </c>
      <c r="P3891" s="2">
        <v>46308</v>
      </c>
      <c r="R3891" t="s">
        <v>10158</v>
      </c>
      <c r="S3891" t="str">
        <f>""</f>
        <v/>
      </c>
      <c r="T3891" t="s">
        <v>41</v>
      </c>
      <c r="U3891">
        <v>1326.75</v>
      </c>
      <c r="V3891">
        <v>1312.16</v>
      </c>
      <c r="W3891">
        <v>1312.16</v>
      </c>
      <c r="X3891">
        <v>0</v>
      </c>
      <c r="Y3891">
        <v>0</v>
      </c>
      <c r="Z3891">
        <v>-533</v>
      </c>
      <c r="AA3891">
        <v>692526</v>
      </c>
      <c r="AD3891" t="s">
        <v>2811</v>
      </c>
      <c r="AE3891" t="s">
        <v>2533</v>
      </c>
      <c r="AF3891" t="s">
        <v>2811</v>
      </c>
      <c r="AG3891" s="1" t="s">
        <v>10150</v>
      </c>
      <c r="AH3891" t="s">
        <v>44</v>
      </c>
    </row>
    <row r="3892" spans="1:34" x14ac:dyDescent="0.3">
      <c r="A3892">
        <v>101</v>
      </c>
      <c r="B3892" t="s">
        <v>34</v>
      </c>
      <c r="C3892">
        <v>2</v>
      </c>
      <c r="D3892" s="1" t="s">
        <v>10159</v>
      </c>
      <c r="E3892" s="1" t="s">
        <v>36</v>
      </c>
      <c r="G3892">
        <v>440172</v>
      </c>
      <c r="H3892" t="s">
        <v>10148</v>
      </c>
      <c r="I3892" t="s">
        <v>2413</v>
      </c>
      <c r="J3892">
        <v>30</v>
      </c>
      <c r="K3892">
        <v>2695</v>
      </c>
      <c r="L3892">
        <v>95000</v>
      </c>
      <c r="M3892" t="s">
        <v>69</v>
      </c>
      <c r="N3892">
        <v>691</v>
      </c>
      <c r="O3892" s="2">
        <v>46140</v>
      </c>
      <c r="P3892" s="2">
        <v>46266</v>
      </c>
      <c r="R3892" t="s">
        <v>10160</v>
      </c>
      <c r="S3892" t="str">
        <f>""</f>
        <v/>
      </c>
      <c r="T3892" t="s">
        <v>41</v>
      </c>
      <c r="U3892">
        <v>4324.42</v>
      </c>
      <c r="V3892">
        <v>4276.8500000000004</v>
      </c>
      <c r="W3892">
        <v>4276.8500000000004</v>
      </c>
      <c r="X3892">
        <v>0</v>
      </c>
      <c r="Y3892">
        <v>0</v>
      </c>
      <c r="Z3892">
        <v>-491</v>
      </c>
      <c r="AA3892">
        <v>686884</v>
      </c>
      <c r="AD3892" t="s">
        <v>2811</v>
      </c>
      <c r="AE3892" t="s">
        <v>2533</v>
      </c>
      <c r="AF3892" t="s">
        <v>2811</v>
      </c>
      <c r="AG3892" s="1" t="s">
        <v>10150</v>
      </c>
      <c r="AH3892" t="s">
        <v>44</v>
      </c>
    </row>
    <row r="3893" spans="1:34" x14ac:dyDescent="0.3">
      <c r="A3893">
        <v>101</v>
      </c>
      <c r="B3893" t="s">
        <v>34</v>
      </c>
      <c r="C3893">
        <v>2</v>
      </c>
      <c r="D3893" s="1" t="s">
        <v>10161</v>
      </c>
      <c r="E3893" s="1" t="s">
        <v>36</v>
      </c>
      <c r="G3893">
        <v>440172</v>
      </c>
      <c r="H3893" t="s">
        <v>10148</v>
      </c>
      <c r="I3893" t="s">
        <v>2413</v>
      </c>
      <c r="J3893">
        <v>30</v>
      </c>
      <c r="K3893">
        <v>2695</v>
      </c>
      <c r="L3893">
        <v>95000</v>
      </c>
      <c r="M3893" t="s">
        <v>69</v>
      </c>
      <c r="N3893">
        <v>691</v>
      </c>
      <c r="O3893" s="2">
        <v>46181</v>
      </c>
      <c r="P3893" s="2">
        <v>46286</v>
      </c>
      <c r="R3893" t="s">
        <v>10162</v>
      </c>
      <c r="S3893" t="str">
        <f>""</f>
        <v/>
      </c>
      <c r="T3893" t="s">
        <v>41</v>
      </c>
      <c r="U3893">
        <v>18165.080000000002</v>
      </c>
      <c r="V3893">
        <v>17965.259999999998</v>
      </c>
      <c r="W3893">
        <v>17965.259999999998</v>
      </c>
      <c r="X3893">
        <v>0</v>
      </c>
      <c r="Y3893">
        <v>0</v>
      </c>
      <c r="Z3893">
        <v>-511</v>
      </c>
      <c r="AA3893">
        <v>689182</v>
      </c>
      <c r="AD3893" t="s">
        <v>2811</v>
      </c>
      <c r="AE3893" t="s">
        <v>2533</v>
      </c>
      <c r="AF3893" t="s">
        <v>2811</v>
      </c>
      <c r="AG3893" s="1" t="s">
        <v>10150</v>
      </c>
      <c r="AH3893" t="s">
        <v>44</v>
      </c>
    </row>
    <row r="3894" spans="1:34" x14ac:dyDescent="0.3">
      <c r="A3894">
        <v>101</v>
      </c>
      <c r="B3894" t="s">
        <v>34</v>
      </c>
      <c r="C3894">
        <v>2</v>
      </c>
      <c r="D3894" s="1" t="s">
        <v>10163</v>
      </c>
      <c r="E3894" s="1" t="s">
        <v>36</v>
      </c>
      <c r="G3894">
        <v>440172</v>
      </c>
      <c r="H3894" t="s">
        <v>10148</v>
      </c>
      <c r="I3894" t="s">
        <v>2413</v>
      </c>
      <c r="J3894">
        <v>30</v>
      </c>
      <c r="K3894">
        <v>2695</v>
      </c>
      <c r="L3894">
        <v>95000</v>
      </c>
      <c r="M3894" t="s">
        <v>69</v>
      </c>
      <c r="N3894">
        <v>691</v>
      </c>
      <c r="O3894" s="2">
        <v>46140</v>
      </c>
      <c r="P3894" s="2">
        <v>46266</v>
      </c>
      <c r="R3894" t="s">
        <v>10164</v>
      </c>
      <c r="S3894" t="str">
        <f>""</f>
        <v/>
      </c>
      <c r="T3894" t="s">
        <v>41</v>
      </c>
      <c r="U3894">
        <v>8623.2999999999993</v>
      </c>
      <c r="V3894">
        <v>8528.44</v>
      </c>
      <c r="W3894">
        <v>8528.44</v>
      </c>
      <c r="X3894">
        <v>0</v>
      </c>
      <c r="Y3894">
        <v>0</v>
      </c>
      <c r="Z3894">
        <v>-491</v>
      </c>
      <c r="AA3894">
        <v>686580</v>
      </c>
      <c r="AD3894" t="s">
        <v>2811</v>
      </c>
      <c r="AE3894" t="s">
        <v>2533</v>
      </c>
      <c r="AF3894" t="s">
        <v>2811</v>
      </c>
      <c r="AG3894" s="1" t="s">
        <v>10150</v>
      </c>
      <c r="AH3894" t="s">
        <v>44</v>
      </c>
    </row>
    <row r="3895" spans="1:34" x14ac:dyDescent="0.3">
      <c r="A3895">
        <v>101</v>
      </c>
      <c r="B3895" t="s">
        <v>34</v>
      </c>
      <c r="C3895">
        <v>2</v>
      </c>
      <c r="D3895" s="1" t="s">
        <v>10165</v>
      </c>
      <c r="E3895" s="1" t="s">
        <v>36</v>
      </c>
      <c r="G3895">
        <v>440172</v>
      </c>
      <c r="H3895" t="s">
        <v>10148</v>
      </c>
      <c r="I3895" t="s">
        <v>2413</v>
      </c>
      <c r="J3895">
        <v>30</v>
      </c>
      <c r="K3895">
        <v>2695</v>
      </c>
      <c r="L3895">
        <v>95000</v>
      </c>
      <c r="M3895" t="s">
        <v>69</v>
      </c>
      <c r="N3895">
        <v>691</v>
      </c>
      <c r="O3895" s="2">
        <v>46185</v>
      </c>
      <c r="P3895" s="2">
        <v>46296</v>
      </c>
      <c r="R3895" t="s">
        <v>10166</v>
      </c>
      <c r="S3895" t="str">
        <f>""</f>
        <v/>
      </c>
      <c r="T3895" t="s">
        <v>41</v>
      </c>
      <c r="U3895">
        <v>2741</v>
      </c>
      <c r="V3895">
        <v>2710.85</v>
      </c>
      <c r="W3895">
        <v>2710.85</v>
      </c>
      <c r="X3895">
        <v>0</v>
      </c>
      <c r="Y3895">
        <v>0</v>
      </c>
      <c r="Z3895">
        <v>-521</v>
      </c>
      <c r="AA3895">
        <v>689463</v>
      </c>
      <c r="AD3895" t="s">
        <v>2811</v>
      </c>
      <c r="AE3895" t="s">
        <v>2533</v>
      </c>
      <c r="AF3895" t="s">
        <v>2811</v>
      </c>
      <c r="AG3895" s="1" t="s">
        <v>10150</v>
      </c>
      <c r="AH3895" t="s">
        <v>44</v>
      </c>
    </row>
    <row r="3896" spans="1:34" x14ac:dyDescent="0.3">
      <c r="A3896">
        <v>101</v>
      </c>
      <c r="B3896" t="s">
        <v>34</v>
      </c>
      <c r="C3896">
        <v>2</v>
      </c>
      <c r="D3896" s="1" t="s">
        <v>10167</v>
      </c>
      <c r="E3896" s="1" t="s">
        <v>36</v>
      </c>
      <c r="G3896">
        <v>440172</v>
      </c>
      <c r="H3896" t="s">
        <v>10148</v>
      </c>
      <c r="I3896" t="s">
        <v>2413</v>
      </c>
      <c r="J3896">
        <v>30</v>
      </c>
      <c r="K3896">
        <v>2695</v>
      </c>
      <c r="L3896">
        <v>95000</v>
      </c>
      <c r="M3896" t="s">
        <v>69</v>
      </c>
      <c r="N3896">
        <v>691</v>
      </c>
      <c r="O3896" s="2">
        <v>46253</v>
      </c>
      <c r="P3896" s="2">
        <v>46343</v>
      </c>
      <c r="R3896" t="s">
        <v>10168</v>
      </c>
      <c r="S3896" t="str">
        <f>""</f>
        <v/>
      </c>
      <c r="T3896" t="s">
        <v>41</v>
      </c>
      <c r="U3896">
        <v>3538</v>
      </c>
      <c r="V3896">
        <v>3499.08</v>
      </c>
      <c r="W3896">
        <v>3499.08</v>
      </c>
      <c r="X3896">
        <v>0</v>
      </c>
      <c r="Y3896">
        <v>0</v>
      </c>
      <c r="Z3896">
        <v>-568</v>
      </c>
      <c r="AA3896">
        <v>696985</v>
      </c>
      <c r="AD3896" t="s">
        <v>2811</v>
      </c>
      <c r="AE3896" t="s">
        <v>2533</v>
      </c>
      <c r="AF3896" t="s">
        <v>2811</v>
      </c>
      <c r="AG3896" s="1" t="s">
        <v>10150</v>
      </c>
      <c r="AH3896" t="s">
        <v>44</v>
      </c>
    </row>
    <row r="3897" spans="1:34" x14ac:dyDescent="0.3">
      <c r="A3897">
        <v>101</v>
      </c>
      <c r="B3897" t="s">
        <v>34</v>
      </c>
      <c r="C3897">
        <v>2</v>
      </c>
      <c r="D3897" s="1" t="s">
        <v>10169</v>
      </c>
      <c r="E3897" s="1" t="s">
        <v>36</v>
      </c>
      <c r="G3897">
        <v>440173</v>
      </c>
      <c r="H3897" t="s">
        <v>10170</v>
      </c>
      <c r="I3897" t="s">
        <v>2413</v>
      </c>
      <c r="J3897">
        <v>30</v>
      </c>
      <c r="K3897">
        <v>2695</v>
      </c>
      <c r="L3897">
        <v>95000</v>
      </c>
      <c r="M3897" t="s">
        <v>69</v>
      </c>
      <c r="N3897">
        <v>691</v>
      </c>
      <c r="O3897" s="2">
        <v>46239</v>
      </c>
      <c r="P3897" s="2">
        <v>46329</v>
      </c>
      <c r="R3897" t="s">
        <v>10171</v>
      </c>
      <c r="S3897" t="str">
        <f>""</f>
        <v/>
      </c>
      <c r="T3897" t="s">
        <v>41</v>
      </c>
      <c r="U3897">
        <v>5707.92</v>
      </c>
      <c r="V3897">
        <v>5645.13</v>
      </c>
      <c r="W3897">
        <v>5645.13</v>
      </c>
      <c r="X3897">
        <v>0</v>
      </c>
      <c r="Y3897">
        <v>0</v>
      </c>
      <c r="Z3897">
        <v>-554</v>
      </c>
      <c r="AA3897">
        <v>696193</v>
      </c>
      <c r="AD3897" t="s">
        <v>2873</v>
      </c>
      <c r="AE3897" t="s">
        <v>5287</v>
      </c>
      <c r="AF3897" t="s">
        <v>2873</v>
      </c>
      <c r="AG3897" s="1" t="s">
        <v>10172</v>
      </c>
      <c r="AH3897" t="s">
        <v>44</v>
      </c>
    </row>
    <row r="3898" spans="1:34" x14ac:dyDescent="0.3">
      <c r="A3898">
        <v>101</v>
      </c>
      <c r="B3898" t="s">
        <v>34</v>
      </c>
      <c r="C3898">
        <v>2</v>
      </c>
      <c r="D3898" s="1" t="s">
        <v>10173</v>
      </c>
      <c r="E3898" s="1" t="s">
        <v>36</v>
      </c>
      <c r="G3898">
        <v>440173</v>
      </c>
      <c r="H3898" t="s">
        <v>10170</v>
      </c>
      <c r="I3898" t="s">
        <v>2413</v>
      </c>
      <c r="J3898">
        <v>30</v>
      </c>
      <c r="K3898">
        <v>2695</v>
      </c>
      <c r="L3898">
        <v>95000</v>
      </c>
      <c r="M3898" t="s">
        <v>69</v>
      </c>
      <c r="N3898">
        <v>691</v>
      </c>
      <c r="O3898" s="2">
        <v>46170</v>
      </c>
      <c r="P3898" s="2">
        <v>46296</v>
      </c>
      <c r="R3898" t="s">
        <v>10174</v>
      </c>
      <c r="S3898" t="str">
        <f>""</f>
        <v/>
      </c>
      <c r="T3898" t="s">
        <v>41</v>
      </c>
      <c r="U3898">
        <v>49042.91</v>
      </c>
      <c r="V3898">
        <v>48503.44</v>
      </c>
      <c r="W3898">
        <v>48503.44</v>
      </c>
      <c r="X3898">
        <v>0</v>
      </c>
      <c r="Y3898">
        <v>0</v>
      </c>
      <c r="Z3898">
        <v>-521</v>
      </c>
      <c r="AA3898">
        <v>689320</v>
      </c>
      <c r="AD3898" t="s">
        <v>2873</v>
      </c>
      <c r="AE3898" t="s">
        <v>5287</v>
      </c>
      <c r="AF3898" t="s">
        <v>2873</v>
      </c>
      <c r="AG3898" s="1" t="s">
        <v>10172</v>
      </c>
      <c r="AH3898" t="s">
        <v>44</v>
      </c>
    </row>
    <row r="3899" spans="1:34" x14ac:dyDescent="0.3">
      <c r="A3899">
        <v>101</v>
      </c>
      <c r="B3899" t="s">
        <v>34</v>
      </c>
      <c r="C3899">
        <v>2</v>
      </c>
      <c r="D3899" s="1" t="s">
        <v>10175</v>
      </c>
      <c r="E3899" s="1" t="s">
        <v>36</v>
      </c>
      <c r="G3899">
        <v>440173</v>
      </c>
      <c r="H3899" t="s">
        <v>10170</v>
      </c>
      <c r="I3899" t="s">
        <v>2413</v>
      </c>
      <c r="J3899">
        <v>30</v>
      </c>
      <c r="K3899">
        <v>2695</v>
      </c>
      <c r="L3899">
        <v>95000</v>
      </c>
      <c r="M3899" t="s">
        <v>69</v>
      </c>
      <c r="N3899">
        <v>691</v>
      </c>
      <c r="O3899" s="2">
        <v>46198</v>
      </c>
      <c r="P3899" s="2">
        <v>46308</v>
      </c>
      <c r="R3899" t="s">
        <v>10176</v>
      </c>
      <c r="S3899" t="str">
        <f>""</f>
        <v/>
      </c>
      <c r="T3899" t="s">
        <v>41</v>
      </c>
      <c r="U3899">
        <v>24886.61</v>
      </c>
      <c r="V3899">
        <v>24612.86</v>
      </c>
      <c r="W3899">
        <v>24612.86</v>
      </c>
      <c r="X3899">
        <v>0</v>
      </c>
      <c r="Y3899">
        <v>0</v>
      </c>
      <c r="Z3899">
        <v>-533</v>
      </c>
      <c r="AA3899">
        <v>692280</v>
      </c>
      <c r="AD3899" t="s">
        <v>2873</v>
      </c>
      <c r="AE3899" t="s">
        <v>5287</v>
      </c>
      <c r="AF3899" t="s">
        <v>2873</v>
      </c>
      <c r="AG3899" s="1" t="s">
        <v>10172</v>
      </c>
      <c r="AH3899" t="s">
        <v>44</v>
      </c>
    </row>
    <row r="3900" spans="1:34" x14ac:dyDescent="0.3">
      <c r="A3900">
        <v>101</v>
      </c>
      <c r="B3900" t="s">
        <v>34</v>
      </c>
      <c r="C3900">
        <v>2</v>
      </c>
      <c r="D3900" s="1" t="s">
        <v>10177</v>
      </c>
      <c r="E3900" s="1" t="s">
        <v>36</v>
      </c>
      <c r="G3900">
        <v>440173</v>
      </c>
      <c r="H3900" t="s">
        <v>10170</v>
      </c>
      <c r="I3900" t="s">
        <v>2413</v>
      </c>
      <c r="J3900">
        <v>30</v>
      </c>
      <c r="K3900">
        <v>2695</v>
      </c>
      <c r="L3900">
        <v>95000</v>
      </c>
      <c r="M3900" t="s">
        <v>69</v>
      </c>
      <c r="N3900">
        <v>691</v>
      </c>
      <c r="O3900" s="2">
        <v>46140</v>
      </c>
      <c r="P3900" s="2">
        <v>46266</v>
      </c>
      <c r="R3900" t="s">
        <v>10178</v>
      </c>
      <c r="S3900" t="str">
        <f>""</f>
        <v/>
      </c>
      <c r="T3900" t="s">
        <v>41</v>
      </c>
      <c r="U3900">
        <v>40302.980000000003</v>
      </c>
      <c r="V3900">
        <v>39859.65</v>
      </c>
      <c r="W3900">
        <v>39859.65</v>
      </c>
      <c r="X3900">
        <v>0</v>
      </c>
      <c r="Y3900">
        <v>0</v>
      </c>
      <c r="Z3900">
        <v>-491</v>
      </c>
      <c r="AA3900">
        <v>686720</v>
      </c>
      <c r="AD3900" t="s">
        <v>2873</v>
      </c>
      <c r="AE3900" t="s">
        <v>5287</v>
      </c>
      <c r="AF3900" t="s">
        <v>2873</v>
      </c>
      <c r="AG3900" s="1" t="s">
        <v>10172</v>
      </c>
      <c r="AH3900" t="s">
        <v>44</v>
      </c>
    </row>
    <row r="3901" spans="1:34" x14ac:dyDescent="0.3">
      <c r="A3901">
        <v>101</v>
      </c>
      <c r="B3901" t="s">
        <v>34</v>
      </c>
      <c r="C3901">
        <v>2</v>
      </c>
      <c r="D3901" s="1" t="s">
        <v>10179</v>
      </c>
      <c r="E3901" s="1" t="s">
        <v>36</v>
      </c>
      <c r="G3901">
        <v>440173</v>
      </c>
      <c r="H3901" t="s">
        <v>10170</v>
      </c>
      <c r="I3901" t="s">
        <v>2413</v>
      </c>
      <c r="J3901">
        <v>30</v>
      </c>
      <c r="K3901">
        <v>2695</v>
      </c>
      <c r="L3901">
        <v>95000</v>
      </c>
      <c r="M3901" t="s">
        <v>69</v>
      </c>
      <c r="N3901">
        <v>691</v>
      </c>
      <c r="O3901" s="2">
        <v>46198</v>
      </c>
      <c r="P3901" s="2">
        <v>46308</v>
      </c>
      <c r="R3901" t="s">
        <v>10180</v>
      </c>
      <c r="S3901" t="str">
        <f>""</f>
        <v/>
      </c>
      <c r="T3901" t="s">
        <v>41</v>
      </c>
      <c r="U3901">
        <v>884.5</v>
      </c>
      <c r="V3901">
        <v>874.77</v>
      </c>
      <c r="W3901">
        <v>874.77</v>
      </c>
      <c r="X3901">
        <v>0</v>
      </c>
      <c r="Y3901">
        <v>0</v>
      </c>
      <c r="Z3901">
        <v>-533</v>
      </c>
      <c r="AA3901">
        <v>692514</v>
      </c>
      <c r="AD3901" t="s">
        <v>2873</v>
      </c>
      <c r="AE3901" t="s">
        <v>5287</v>
      </c>
      <c r="AF3901" t="s">
        <v>2873</v>
      </c>
      <c r="AG3901" s="1" t="s">
        <v>10172</v>
      </c>
      <c r="AH3901" t="s">
        <v>44</v>
      </c>
    </row>
    <row r="3902" spans="1:34" x14ac:dyDescent="0.3">
      <c r="A3902">
        <v>101</v>
      </c>
      <c r="B3902" t="s">
        <v>34</v>
      </c>
      <c r="C3902">
        <v>2</v>
      </c>
      <c r="D3902" s="1" t="s">
        <v>10181</v>
      </c>
      <c r="E3902" s="1" t="s">
        <v>36</v>
      </c>
      <c r="G3902">
        <v>440173</v>
      </c>
      <c r="H3902" t="s">
        <v>10170</v>
      </c>
      <c r="I3902" t="s">
        <v>2413</v>
      </c>
      <c r="J3902">
        <v>30</v>
      </c>
      <c r="K3902">
        <v>2695</v>
      </c>
      <c r="L3902">
        <v>95000</v>
      </c>
      <c r="M3902" t="s">
        <v>69</v>
      </c>
      <c r="N3902">
        <v>691</v>
      </c>
      <c r="O3902" s="2">
        <v>46140</v>
      </c>
      <c r="P3902" s="2">
        <v>46266</v>
      </c>
      <c r="R3902" t="s">
        <v>10182</v>
      </c>
      <c r="S3902" t="str">
        <f>""</f>
        <v/>
      </c>
      <c r="T3902" t="s">
        <v>41</v>
      </c>
      <c r="U3902">
        <v>4324.42</v>
      </c>
      <c r="V3902">
        <v>4276.8500000000004</v>
      </c>
      <c r="W3902">
        <v>4276.8500000000004</v>
      </c>
      <c r="X3902">
        <v>0</v>
      </c>
      <c r="Y3902">
        <v>0</v>
      </c>
      <c r="Z3902">
        <v>-491</v>
      </c>
      <c r="AA3902">
        <v>686951</v>
      </c>
      <c r="AD3902" t="s">
        <v>2873</v>
      </c>
      <c r="AE3902" t="s">
        <v>5287</v>
      </c>
      <c r="AF3902" t="s">
        <v>2873</v>
      </c>
      <c r="AG3902" s="1" t="s">
        <v>10172</v>
      </c>
      <c r="AH3902" t="s">
        <v>44</v>
      </c>
    </row>
    <row r="3903" spans="1:34" x14ac:dyDescent="0.3">
      <c r="A3903">
        <v>101</v>
      </c>
      <c r="B3903" t="s">
        <v>34</v>
      </c>
      <c r="C3903">
        <v>2</v>
      </c>
      <c r="D3903" s="1" t="s">
        <v>10183</v>
      </c>
      <c r="E3903" s="1" t="s">
        <v>36</v>
      </c>
      <c r="G3903">
        <v>440173</v>
      </c>
      <c r="H3903" t="s">
        <v>10170</v>
      </c>
      <c r="I3903" t="s">
        <v>2413</v>
      </c>
      <c r="J3903">
        <v>30</v>
      </c>
      <c r="K3903">
        <v>2695</v>
      </c>
      <c r="L3903">
        <v>95000</v>
      </c>
      <c r="M3903" t="s">
        <v>69</v>
      </c>
      <c r="N3903">
        <v>691</v>
      </c>
      <c r="O3903" s="2">
        <v>46182</v>
      </c>
      <c r="P3903" s="2">
        <v>46296</v>
      </c>
      <c r="R3903" t="s">
        <v>10184</v>
      </c>
      <c r="S3903" t="str">
        <f>""</f>
        <v/>
      </c>
      <c r="T3903" t="s">
        <v>41</v>
      </c>
      <c r="U3903">
        <v>3558</v>
      </c>
      <c r="V3903">
        <v>3518.86</v>
      </c>
      <c r="W3903">
        <v>3518.86</v>
      </c>
      <c r="X3903">
        <v>0</v>
      </c>
      <c r="Y3903">
        <v>0</v>
      </c>
      <c r="Z3903">
        <v>-521</v>
      </c>
      <c r="AA3903">
        <v>689320</v>
      </c>
      <c r="AD3903" t="s">
        <v>2873</v>
      </c>
      <c r="AE3903" t="s">
        <v>5287</v>
      </c>
      <c r="AF3903" t="s">
        <v>2873</v>
      </c>
      <c r="AG3903" s="1" t="s">
        <v>10172</v>
      </c>
      <c r="AH3903" t="s">
        <v>44</v>
      </c>
    </row>
    <row r="3904" spans="1:34" x14ac:dyDescent="0.3">
      <c r="A3904">
        <v>101</v>
      </c>
      <c r="B3904" t="s">
        <v>34</v>
      </c>
      <c r="C3904">
        <v>2</v>
      </c>
      <c r="D3904" s="1" t="s">
        <v>10185</v>
      </c>
      <c r="E3904" s="1" t="s">
        <v>36</v>
      </c>
      <c r="G3904">
        <v>440173</v>
      </c>
      <c r="H3904" t="s">
        <v>10170</v>
      </c>
      <c r="I3904" t="s">
        <v>2413</v>
      </c>
      <c r="J3904">
        <v>30</v>
      </c>
      <c r="K3904">
        <v>2695</v>
      </c>
      <c r="L3904">
        <v>95000</v>
      </c>
      <c r="M3904" t="s">
        <v>69</v>
      </c>
      <c r="N3904">
        <v>691</v>
      </c>
      <c r="O3904" s="2">
        <v>46140</v>
      </c>
      <c r="P3904" s="2">
        <v>46266</v>
      </c>
      <c r="R3904" t="s">
        <v>10186</v>
      </c>
      <c r="S3904" t="str">
        <f>""</f>
        <v/>
      </c>
      <c r="T3904" t="s">
        <v>41</v>
      </c>
      <c r="U3904">
        <v>1880.35</v>
      </c>
      <c r="V3904">
        <v>1859.67</v>
      </c>
      <c r="W3904">
        <v>1859.67</v>
      </c>
      <c r="X3904">
        <v>0</v>
      </c>
      <c r="Y3904">
        <v>0</v>
      </c>
      <c r="Z3904">
        <v>-491</v>
      </c>
      <c r="AA3904">
        <v>686809</v>
      </c>
      <c r="AD3904" t="s">
        <v>2873</v>
      </c>
      <c r="AE3904" t="s">
        <v>5287</v>
      </c>
      <c r="AF3904" t="s">
        <v>2873</v>
      </c>
      <c r="AG3904" s="1" t="s">
        <v>10172</v>
      </c>
      <c r="AH3904" t="s">
        <v>44</v>
      </c>
    </row>
    <row r="3905" spans="1:34" x14ac:dyDescent="0.3">
      <c r="A3905">
        <v>101</v>
      </c>
      <c r="B3905" t="s">
        <v>34</v>
      </c>
      <c r="C3905">
        <v>2</v>
      </c>
      <c r="D3905" s="1" t="s">
        <v>10187</v>
      </c>
      <c r="E3905" s="1" t="s">
        <v>36</v>
      </c>
      <c r="G3905">
        <v>440173</v>
      </c>
      <c r="H3905" t="s">
        <v>10170</v>
      </c>
      <c r="I3905" t="s">
        <v>2413</v>
      </c>
      <c r="J3905">
        <v>30</v>
      </c>
      <c r="K3905">
        <v>2695</v>
      </c>
      <c r="L3905">
        <v>95000</v>
      </c>
      <c r="M3905" t="s">
        <v>69</v>
      </c>
      <c r="N3905">
        <v>691</v>
      </c>
      <c r="O3905" s="2">
        <v>46253</v>
      </c>
      <c r="P3905" s="2">
        <v>46343</v>
      </c>
      <c r="R3905" t="s">
        <v>10188</v>
      </c>
      <c r="S3905" t="str">
        <f>""</f>
        <v/>
      </c>
      <c r="T3905" t="s">
        <v>41</v>
      </c>
      <c r="U3905">
        <v>2653.5</v>
      </c>
      <c r="V3905">
        <v>2624.31</v>
      </c>
      <c r="W3905">
        <v>2624.31</v>
      </c>
      <c r="X3905">
        <v>0</v>
      </c>
      <c r="Y3905">
        <v>0</v>
      </c>
      <c r="Z3905">
        <v>-568</v>
      </c>
      <c r="AA3905">
        <v>696971</v>
      </c>
      <c r="AD3905" t="s">
        <v>2873</v>
      </c>
      <c r="AE3905" t="s">
        <v>5287</v>
      </c>
      <c r="AF3905" t="s">
        <v>2873</v>
      </c>
      <c r="AG3905" s="1" t="s">
        <v>10172</v>
      </c>
      <c r="AH3905" t="s">
        <v>44</v>
      </c>
    </row>
    <row r="3906" spans="1:34" x14ac:dyDescent="0.3">
      <c r="A3906">
        <v>101</v>
      </c>
      <c r="B3906" t="s">
        <v>34</v>
      </c>
      <c r="C3906">
        <v>2</v>
      </c>
      <c r="D3906" s="1" t="s">
        <v>10189</v>
      </c>
      <c r="E3906" s="1" t="s">
        <v>36</v>
      </c>
      <c r="G3906">
        <v>440173</v>
      </c>
      <c r="H3906" t="s">
        <v>10170</v>
      </c>
      <c r="I3906" t="s">
        <v>2413</v>
      </c>
      <c r="J3906">
        <v>30</v>
      </c>
      <c r="K3906">
        <v>2695</v>
      </c>
      <c r="L3906">
        <v>95000</v>
      </c>
      <c r="M3906" t="s">
        <v>69</v>
      </c>
      <c r="N3906">
        <v>691</v>
      </c>
      <c r="O3906" s="2">
        <v>46170</v>
      </c>
      <c r="P3906" s="2">
        <v>46296</v>
      </c>
      <c r="R3906" t="s">
        <v>10190</v>
      </c>
      <c r="S3906" t="str">
        <f>""</f>
        <v/>
      </c>
      <c r="T3906" t="s">
        <v>41</v>
      </c>
      <c r="U3906">
        <v>2741</v>
      </c>
      <c r="V3906">
        <v>2710.85</v>
      </c>
      <c r="W3906">
        <v>2710.85</v>
      </c>
      <c r="X3906">
        <v>0</v>
      </c>
      <c r="Y3906">
        <v>0</v>
      </c>
      <c r="Z3906">
        <v>-521</v>
      </c>
      <c r="AA3906">
        <v>689537</v>
      </c>
      <c r="AD3906" t="s">
        <v>2873</v>
      </c>
      <c r="AE3906" t="s">
        <v>5287</v>
      </c>
      <c r="AF3906" t="s">
        <v>2873</v>
      </c>
      <c r="AG3906" s="1" t="s">
        <v>10172</v>
      </c>
      <c r="AH3906" t="s">
        <v>44</v>
      </c>
    </row>
    <row r="3907" spans="1:34" x14ac:dyDescent="0.3">
      <c r="A3907">
        <v>101</v>
      </c>
      <c r="B3907" t="s">
        <v>34</v>
      </c>
      <c r="C3907">
        <v>2</v>
      </c>
      <c r="D3907" s="1" t="s">
        <v>10191</v>
      </c>
      <c r="E3907" s="1" t="s">
        <v>36</v>
      </c>
      <c r="G3907">
        <v>440173</v>
      </c>
      <c r="H3907" t="s">
        <v>10170</v>
      </c>
      <c r="I3907" t="s">
        <v>2413</v>
      </c>
      <c r="J3907">
        <v>30</v>
      </c>
      <c r="K3907">
        <v>2695</v>
      </c>
      <c r="L3907">
        <v>95000</v>
      </c>
      <c r="M3907" t="s">
        <v>69</v>
      </c>
      <c r="N3907">
        <v>691</v>
      </c>
      <c r="O3907" s="2">
        <v>46226</v>
      </c>
      <c r="P3907" s="2">
        <v>46337</v>
      </c>
      <c r="R3907" t="s">
        <v>10192</v>
      </c>
      <c r="S3907" t="str">
        <f>""</f>
        <v/>
      </c>
      <c r="T3907" t="s">
        <v>41</v>
      </c>
      <c r="U3907">
        <v>12510.46</v>
      </c>
      <c r="V3907">
        <v>12372.84</v>
      </c>
      <c r="W3907">
        <v>12372.84</v>
      </c>
      <c r="X3907">
        <v>0</v>
      </c>
      <c r="Y3907">
        <v>0</v>
      </c>
      <c r="Z3907">
        <v>-562</v>
      </c>
      <c r="AA3907">
        <v>694925</v>
      </c>
      <c r="AD3907" t="s">
        <v>2873</v>
      </c>
      <c r="AE3907" t="s">
        <v>5287</v>
      </c>
      <c r="AF3907" t="s">
        <v>2873</v>
      </c>
      <c r="AG3907" s="1" t="s">
        <v>10172</v>
      </c>
      <c r="AH3907" t="s">
        <v>44</v>
      </c>
    </row>
    <row r="3908" spans="1:34" x14ac:dyDescent="0.3">
      <c r="A3908">
        <v>101</v>
      </c>
      <c r="B3908" t="s">
        <v>34</v>
      </c>
      <c r="C3908">
        <v>2</v>
      </c>
      <c r="D3908" s="1" t="s">
        <v>10193</v>
      </c>
      <c r="E3908" s="1" t="s">
        <v>36</v>
      </c>
      <c r="G3908">
        <v>443805</v>
      </c>
      <c r="H3908" t="s">
        <v>10194</v>
      </c>
      <c r="I3908" t="s">
        <v>2413</v>
      </c>
      <c r="J3908">
        <v>30</v>
      </c>
      <c r="K3908">
        <v>2695</v>
      </c>
      <c r="L3908">
        <v>95000</v>
      </c>
      <c r="M3908" t="s">
        <v>69</v>
      </c>
      <c r="N3908">
        <v>691</v>
      </c>
      <c r="O3908" s="2">
        <v>46141</v>
      </c>
      <c r="P3908" s="2">
        <v>46266</v>
      </c>
      <c r="R3908" t="s">
        <v>10195</v>
      </c>
      <c r="S3908" t="str">
        <f>""</f>
        <v/>
      </c>
      <c r="T3908" t="s">
        <v>41</v>
      </c>
      <c r="U3908">
        <v>4628.4799999999996</v>
      </c>
      <c r="V3908">
        <v>4577.57</v>
      </c>
      <c r="W3908">
        <v>4577.57</v>
      </c>
      <c r="X3908">
        <v>0</v>
      </c>
      <c r="Y3908">
        <v>0</v>
      </c>
      <c r="Z3908">
        <v>-491</v>
      </c>
      <c r="AA3908">
        <v>686715</v>
      </c>
      <c r="AD3908" t="s">
        <v>3228</v>
      </c>
      <c r="AE3908" t="s">
        <v>5734</v>
      </c>
      <c r="AF3908" t="s">
        <v>3228</v>
      </c>
      <c r="AG3908" s="1" t="s">
        <v>10196</v>
      </c>
      <c r="AH3908" t="s">
        <v>44</v>
      </c>
    </row>
    <row r="3909" spans="1:34" x14ac:dyDescent="0.3">
      <c r="A3909">
        <v>101</v>
      </c>
      <c r="B3909" t="s">
        <v>34</v>
      </c>
      <c r="C3909">
        <v>2</v>
      </c>
      <c r="D3909" s="1" t="s">
        <v>10197</v>
      </c>
      <c r="E3909" s="1" t="s">
        <v>36</v>
      </c>
      <c r="G3909">
        <v>443805</v>
      </c>
      <c r="H3909" t="s">
        <v>10194</v>
      </c>
      <c r="I3909" t="s">
        <v>2413</v>
      </c>
      <c r="J3909">
        <v>30</v>
      </c>
      <c r="K3909">
        <v>2695</v>
      </c>
      <c r="L3909">
        <v>95000</v>
      </c>
      <c r="M3909" t="s">
        <v>69</v>
      </c>
      <c r="N3909">
        <v>691</v>
      </c>
      <c r="O3909" s="2">
        <v>46226</v>
      </c>
      <c r="P3909" s="2">
        <v>46316</v>
      </c>
      <c r="R3909" t="s">
        <v>10198</v>
      </c>
      <c r="S3909" t="str">
        <f>""</f>
        <v/>
      </c>
      <c r="T3909" t="s">
        <v>41</v>
      </c>
      <c r="U3909">
        <v>4719.51</v>
      </c>
      <c r="V3909">
        <v>4667.6000000000004</v>
      </c>
      <c r="W3909">
        <v>4667.6000000000004</v>
      </c>
      <c r="X3909">
        <v>0</v>
      </c>
      <c r="Y3909">
        <v>0</v>
      </c>
      <c r="Z3909">
        <v>-541</v>
      </c>
      <c r="AA3909">
        <v>694921</v>
      </c>
      <c r="AD3909" t="s">
        <v>3228</v>
      </c>
      <c r="AE3909" t="s">
        <v>5734</v>
      </c>
      <c r="AF3909" t="s">
        <v>3228</v>
      </c>
      <c r="AG3909" s="1" t="s">
        <v>10196</v>
      </c>
      <c r="AH3909" t="s">
        <v>44</v>
      </c>
    </row>
    <row r="3910" spans="1:34" x14ac:dyDescent="0.3">
      <c r="A3910">
        <v>101</v>
      </c>
      <c r="B3910" t="s">
        <v>34</v>
      </c>
      <c r="C3910">
        <v>2</v>
      </c>
      <c r="D3910" s="1" t="s">
        <v>10199</v>
      </c>
      <c r="E3910" s="1" t="s">
        <v>36</v>
      </c>
      <c r="G3910">
        <v>443805</v>
      </c>
      <c r="H3910" t="s">
        <v>10194</v>
      </c>
      <c r="I3910" t="s">
        <v>2413</v>
      </c>
      <c r="J3910">
        <v>30</v>
      </c>
      <c r="K3910">
        <v>2695</v>
      </c>
      <c r="L3910">
        <v>95000</v>
      </c>
      <c r="M3910" t="s">
        <v>69</v>
      </c>
      <c r="N3910">
        <v>691</v>
      </c>
      <c r="O3910" s="2">
        <v>46170</v>
      </c>
      <c r="P3910" s="2">
        <v>46276</v>
      </c>
      <c r="R3910" t="s">
        <v>10200</v>
      </c>
      <c r="S3910" t="str">
        <f>""</f>
        <v/>
      </c>
      <c r="T3910" t="s">
        <v>41</v>
      </c>
      <c r="U3910">
        <v>13017.44</v>
      </c>
      <c r="V3910">
        <v>12874.25</v>
      </c>
      <c r="W3910">
        <v>12874.25</v>
      </c>
      <c r="X3910">
        <v>0</v>
      </c>
      <c r="Y3910">
        <v>0</v>
      </c>
      <c r="Z3910">
        <v>-501</v>
      </c>
      <c r="AA3910">
        <v>689316</v>
      </c>
      <c r="AD3910" t="s">
        <v>3228</v>
      </c>
      <c r="AE3910" t="s">
        <v>5734</v>
      </c>
      <c r="AF3910" t="s">
        <v>3228</v>
      </c>
      <c r="AG3910" s="1" t="s">
        <v>10196</v>
      </c>
      <c r="AH3910" t="s">
        <v>44</v>
      </c>
    </row>
    <row r="3911" spans="1:34" x14ac:dyDescent="0.3">
      <c r="A3911">
        <v>101</v>
      </c>
      <c r="B3911" t="s">
        <v>34</v>
      </c>
      <c r="C3911">
        <v>2</v>
      </c>
      <c r="D3911" s="1" t="s">
        <v>10201</v>
      </c>
      <c r="E3911" s="1" t="s">
        <v>36</v>
      </c>
      <c r="G3911">
        <v>443805</v>
      </c>
      <c r="H3911" t="s">
        <v>10194</v>
      </c>
      <c r="I3911" t="s">
        <v>2413</v>
      </c>
      <c r="J3911">
        <v>30</v>
      </c>
      <c r="K3911">
        <v>2695</v>
      </c>
      <c r="L3911">
        <v>95000</v>
      </c>
      <c r="M3911" t="s">
        <v>69</v>
      </c>
      <c r="N3911">
        <v>691</v>
      </c>
      <c r="O3911" s="2">
        <v>46171</v>
      </c>
      <c r="P3911" s="2">
        <v>46276</v>
      </c>
      <c r="R3911" t="s">
        <v>10202</v>
      </c>
      <c r="S3911" t="str">
        <f>""</f>
        <v/>
      </c>
      <c r="T3911" t="s">
        <v>41</v>
      </c>
      <c r="U3911">
        <v>2846.4</v>
      </c>
      <c r="V3911">
        <v>2815.09</v>
      </c>
      <c r="W3911">
        <v>2815.09</v>
      </c>
      <c r="X3911">
        <v>0</v>
      </c>
      <c r="Y3911">
        <v>0</v>
      </c>
      <c r="Z3911">
        <v>-501</v>
      </c>
      <c r="AA3911">
        <v>689316</v>
      </c>
      <c r="AD3911" t="s">
        <v>3228</v>
      </c>
      <c r="AE3911" t="s">
        <v>5734</v>
      </c>
      <c r="AF3911" t="s">
        <v>3228</v>
      </c>
      <c r="AG3911" s="1" t="s">
        <v>10196</v>
      </c>
      <c r="AH3911" t="s">
        <v>44</v>
      </c>
    </row>
    <row r="3912" spans="1:34" x14ac:dyDescent="0.3">
      <c r="A3912">
        <v>101</v>
      </c>
      <c r="B3912" t="s">
        <v>34</v>
      </c>
      <c r="C3912">
        <v>2</v>
      </c>
      <c r="D3912" s="1" t="s">
        <v>10203</v>
      </c>
      <c r="E3912" s="1" t="s">
        <v>36</v>
      </c>
      <c r="G3912">
        <v>443805</v>
      </c>
      <c r="H3912" t="s">
        <v>10194</v>
      </c>
      <c r="I3912" t="s">
        <v>2413</v>
      </c>
      <c r="J3912">
        <v>30</v>
      </c>
      <c r="K3912">
        <v>2695</v>
      </c>
      <c r="L3912">
        <v>95000</v>
      </c>
      <c r="M3912" t="s">
        <v>69</v>
      </c>
      <c r="N3912">
        <v>691</v>
      </c>
      <c r="O3912" s="2">
        <v>46197</v>
      </c>
      <c r="P3912" s="2">
        <v>46316</v>
      </c>
      <c r="R3912" t="s">
        <v>10204</v>
      </c>
      <c r="S3912" t="str">
        <f>""</f>
        <v/>
      </c>
      <c r="T3912" t="s">
        <v>41</v>
      </c>
      <c r="U3912">
        <v>8048.2</v>
      </c>
      <c r="V3912">
        <v>7959.67</v>
      </c>
      <c r="W3912">
        <v>7959.67</v>
      </c>
      <c r="X3912">
        <v>0</v>
      </c>
      <c r="Y3912">
        <v>0</v>
      </c>
      <c r="Z3912">
        <v>-541</v>
      </c>
      <c r="AA3912">
        <v>692276</v>
      </c>
      <c r="AD3912" t="s">
        <v>3228</v>
      </c>
      <c r="AE3912" t="s">
        <v>5734</v>
      </c>
      <c r="AF3912" t="s">
        <v>3228</v>
      </c>
      <c r="AG3912" s="1" t="s">
        <v>10196</v>
      </c>
      <c r="AH3912" t="s">
        <v>44</v>
      </c>
    </row>
    <row r="3913" spans="1:34" x14ac:dyDescent="0.3">
      <c r="A3913">
        <v>101</v>
      </c>
      <c r="B3913" t="s">
        <v>34</v>
      </c>
      <c r="C3913">
        <v>2</v>
      </c>
      <c r="D3913" s="1" t="s">
        <v>10205</v>
      </c>
      <c r="E3913" s="1" t="s">
        <v>36</v>
      </c>
      <c r="G3913">
        <v>443806</v>
      </c>
      <c r="H3913" t="s">
        <v>10206</v>
      </c>
      <c r="I3913" t="s">
        <v>2413</v>
      </c>
      <c r="J3913">
        <v>30</v>
      </c>
      <c r="K3913">
        <v>2695</v>
      </c>
      <c r="L3913">
        <v>95000</v>
      </c>
      <c r="M3913" t="s">
        <v>69</v>
      </c>
      <c r="N3913">
        <v>691</v>
      </c>
      <c r="O3913" s="2">
        <v>46253</v>
      </c>
      <c r="P3913" s="2">
        <v>46343</v>
      </c>
      <c r="R3913" t="s">
        <v>10207</v>
      </c>
      <c r="S3913" t="str">
        <f>""</f>
        <v/>
      </c>
      <c r="T3913" t="s">
        <v>41</v>
      </c>
      <c r="U3913">
        <v>1769</v>
      </c>
      <c r="V3913">
        <v>1749.54</v>
      </c>
      <c r="W3913">
        <v>1749.54</v>
      </c>
      <c r="X3913">
        <v>0</v>
      </c>
      <c r="Y3913">
        <v>0</v>
      </c>
      <c r="Z3913">
        <v>-568</v>
      </c>
      <c r="AA3913">
        <v>696969</v>
      </c>
      <c r="AD3913" t="s">
        <v>4402</v>
      </c>
      <c r="AE3913" t="s">
        <v>5734</v>
      </c>
      <c r="AF3913" t="s">
        <v>4402</v>
      </c>
      <c r="AG3913" s="1" t="s">
        <v>10208</v>
      </c>
      <c r="AH3913" t="s">
        <v>44</v>
      </c>
    </row>
    <row r="3914" spans="1:34" x14ac:dyDescent="0.3">
      <c r="A3914">
        <v>101</v>
      </c>
      <c r="B3914" t="s">
        <v>34</v>
      </c>
      <c r="C3914">
        <v>2</v>
      </c>
      <c r="D3914" s="1" t="s">
        <v>10209</v>
      </c>
      <c r="E3914" s="1" t="s">
        <v>36</v>
      </c>
      <c r="G3914">
        <v>443806</v>
      </c>
      <c r="H3914" t="s">
        <v>10206</v>
      </c>
      <c r="I3914" t="s">
        <v>2413</v>
      </c>
      <c r="J3914">
        <v>30</v>
      </c>
      <c r="K3914">
        <v>2695</v>
      </c>
      <c r="L3914">
        <v>95000</v>
      </c>
      <c r="M3914" t="s">
        <v>69</v>
      </c>
      <c r="N3914">
        <v>691</v>
      </c>
      <c r="O3914" s="2">
        <v>46226</v>
      </c>
      <c r="P3914" s="2">
        <v>46316</v>
      </c>
      <c r="R3914" t="s">
        <v>10210</v>
      </c>
      <c r="S3914" t="str">
        <f>""</f>
        <v/>
      </c>
      <c r="T3914" t="s">
        <v>41</v>
      </c>
      <c r="U3914">
        <v>9728.4699999999993</v>
      </c>
      <c r="V3914">
        <v>9621.4599999999991</v>
      </c>
      <c r="W3914">
        <v>9621.4599999999991</v>
      </c>
      <c r="X3914">
        <v>0</v>
      </c>
      <c r="Y3914">
        <v>0</v>
      </c>
      <c r="Z3914">
        <v>-541</v>
      </c>
      <c r="AA3914">
        <v>694923</v>
      </c>
      <c r="AD3914" t="s">
        <v>4402</v>
      </c>
      <c r="AE3914" t="s">
        <v>5734</v>
      </c>
      <c r="AF3914" t="s">
        <v>4402</v>
      </c>
      <c r="AG3914" s="1" t="s">
        <v>10208</v>
      </c>
      <c r="AH3914" t="s">
        <v>44</v>
      </c>
    </row>
    <row r="3915" spans="1:34" x14ac:dyDescent="0.3">
      <c r="A3915">
        <v>101</v>
      </c>
      <c r="B3915" t="s">
        <v>34</v>
      </c>
      <c r="C3915">
        <v>2</v>
      </c>
      <c r="D3915" s="1" t="s">
        <v>10211</v>
      </c>
      <c r="E3915" s="1" t="s">
        <v>36</v>
      </c>
      <c r="G3915">
        <v>443806</v>
      </c>
      <c r="H3915" t="s">
        <v>10206</v>
      </c>
      <c r="I3915" t="s">
        <v>2413</v>
      </c>
      <c r="J3915">
        <v>30</v>
      </c>
      <c r="K3915">
        <v>2695</v>
      </c>
      <c r="L3915">
        <v>95000</v>
      </c>
      <c r="M3915" t="s">
        <v>69</v>
      </c>
      <c r="N3915">
        <v>691</v>
      </c>
      <c r="O3915" s="2">
        <v>46141</v>
      </c>
      <c r="P3915" s="2">
        <v>46266</v>
      </c>
      <c r="R3915" t="s">
        <v>10212</v>
      </c>
      <c r="S3915" t="str">
        <f>""</f>
        <v/>
      </c>
      <c r="T3915" t="s">
        <v>41</v>
      </c>
      <c r="U3915">
        <v>16726.66</v>
      </c>
      <c r="V3915">
        <v>16542.669999999998</v>
      </c>
      <c r="W3915">
        <v>16542.669999999998</v>
      </c>
      <c r="X3915">
        <v>0</v>
      </c>
      <c r="Y3915">
        <v>0</v>
      </c>
      <c r="Z3915">
        <v>-491</v>
      </c>
      <c r="AA3915">
        <v>686718</v>
      </c>
      <c r="AD3915" t="s">
        <v>4402</v>
      </c>
      <c r="AE3915" t="s">
        <v>5734</v>
      </c>
      <c r="AF3915" t="s">
        <v>4402</v>
      </c>
      <c r="AG3915" s="1" t="s">
        <v>10208</v>
      </c>
      <c r="AH3915" t="s">
        <v>44</v>
      </c>
    </row>
    <row r="3916" spans="1:34" x14ac:dyDescent="0.3">
      <c r="A3916">
        <v>101</v>
      </c>
      <c r="B3916" t="s">
        <v>34</v>
      </c>
      <c r="C3916">
        <v>2</v>
      </c>
      <c r="D3916" s="1" t="s">
        <v>10213</v>
      </c>
      <c r="E3916" s="1" t="s">
        <v>36</v>
      </c>
      <c r="G3916">
        <v>443806</v>
      </c>
      <c r="H3916" t="s">
        <v>10206</v>
      </c>
      <c r="I3916" t="s">
        <v>2413</v>
      </c>
      <c r="J3916">
        <v>30</v>
      </c>
      <c r="K3916">
        <v>2695</v>
      </c>
      <c r="L3916">
        <v>95000</v>
      </c>
      <c r="M3916" t="s">
        <v>69</v>
      </c>
      <c r="N3916">
        <v>691</v>
      </c>
      <c r="O3916" s="2">
        <v>46199</v>
      </c>
      <c r="P3916" s="2">
        <v>46329</v>
      </c>
      <c r="R3916" t="s">
        <v>10214</v>
      </c>
      <c r="S3916" t="str">
        <f>""</f>
        <v/>
      </c>
      <c r="T3916" t="s">
        <v>41</v>
      </c>
      <c r="U3916">
        <v>24390.76</v>
      </c>
      <c r="V3916">
        <v>24122.46</v>
      </c>
      <c r="W3916">
        <v>24122.46</v>
      </c>
      <c r="X3916">
        <v>0</v>
      </c>
      <c r="Y3916">
        <v>0</v>
      </c>
      <c r="Z3916">
        <v>-554</v>
      </c>
      <c r="AA3916">
        <v>692278</v>
      </c>
      <c r="AD3916" t="s">
        <v>4402</v>
      </c>
      <c r="AE3916" t="s">
        <v>5734</v>
      </c>
      <c r="AF3916" t="s">
        <v>4402</v>
      </c>
      <c r="AG3916" s="1" t="s">
        <v>10208</v>
      </c>
      <c r="AH3916" t="s">
        <v>44</v>
      </c>
    </row>
    <row r="3917" spans="1:34" x14ac:dyDescent="0.3">
      <c r="A3917">
        <v>101</v>
      </c>
      <c r="B3917" t="s">
        <v>34</v>
      </c>
      <c r="C3917">
        <v>2</v>
      </c>
      <c r="D3917" s="1" t="s">
        <v>10215</v>
      </c>
      <c r="E3917" s="1" t="s">
        <v>36</v>
      </c>
      <c r="G3917">
        <v>443806</v>
      </c>
      <c r="H3917" t="s">
        <v>10206</v>
      </c>
      <c r="I3917" t="s">
        <v>2413</v>
      </c>
      <c r="J3917">
        <v>30</v>
      </c>
      <c r="K3917">
        <v>2695</v>
      </c>
      <c r="L3917">
        <v>95000</v>
      </c>
      <c r="M3917" t="s">
        <v>69</v>
      </c>
      <c r="N3917">
        <v>691</v>
      </c>
      <c r="O3917" s="2">
        <v>46170</v>
      </c>
      <c r="P3917" s="2">
        <v>46286</v>
      </c>
      <c r="R3917" t="s">
        <v>10216</v>
      </c>
      <c r="S3917" t="str">
        <f>""</f>
        <v/>
      </c>
      <c r="T3917" t="s">
        <v>41</v>
      </c>
      <c r="U3917">
        <v>585.36</v>
      </c>
      <c r="V3917">
        <v>578.91999999999996</v>
      </c>
      <c r="W3917">
        <v>578.91999999999996</v>
      </c>
      <c r="X3917">
        <v>0</v>
      </c>
      <c r="Y3917">
        <v>0</v>
      </c>
      <c r="Z3917">
        <v>-511</v>
      </c>
      <c r="AA3917">
        <v>689535</v>
      </c>
      <c r="AD3917" t="s">
        <v>4402</v>
      </c>
      <c r="AE3917" t="s">
        <v>5734</v>
      </c>
      <c r="AF3917" t="s">
        <v>4402</v>
      </c>
      <c r="AG3917" s="1" t="s">
        <v>10208</v>
      </c>
      <c r="AH3917" t="s">
        <v>44</v>
      </c>
    </row>
    <row r="3918" spans="1:34" x14ac:dyDescent="0.3">
      <c r="A3918">
        <v>101</v>
      </c>
      <c r="B3918" t="s">
        <v>34</v>
      </c>
      <c r="C3918">
        <v>2</v>
      </c>
      <c r="D3918" s="1" t="s">
        <v>10217</v>
      </c>
      <c r="E3918" s="1" t="s">
        <v>36</v>
      </c>
      <c r="G3918">
        <v>443806</v>
      </c>
      <c r="H3918" t="s">
        <v>10206</v>
      </c>
      <c r="I3918" t="s">
        <v>2413</v>
      </c>
      <c r="J3918">
        <v>30</v>
      </c>
      <c r="K3918">
        <v>2695</v>
      </c>
      <c r="L3918">
        <v>95000</v>
      </c>
      <c r="M3918" t="s">
        <v>69</v>
      </c>
      <c r="N3918">
        <v>691</v>
      </c>
      <c r="O3918" s="2">
        <v>46199</v>
      </c>
      <c r="P3918" s="2">
        <v>46329</v>
      </c>
      <c r="R3918" t="s">
        <v>10218</v>
      </c>
      <c r="S3918" t="str">
        <f>""</f>
        <v/>
      </c>
      <c r="T3918" t="s">
        <v>41</v>
      </c>
      <c r="U3918">
        <v>707.6</v>
      </c>
      <c r="V3918">
        <v>699.82</v>
      </c>
      <c r="W3918">
        <v>699.82</v>
      </c>
      <c r="X3918">
        <v>0</v>
      </c>
      <c r="Y3918">
        <v>0</v>
      </c>
      <c r="Z3918">
        <v>-554</v>
      </c>
      <c r="AA3918">
        <v>692512</v>
      </c>
      <c r="AD3918" t="s">
        <v>4402</v>
      </c>
      <c r="AE3918" t="s">
        <v>5734</v>
      </c>
      <c r="AF3918" t="s">
        <v>4402</v>
      </c>
      <c r="AG3918" s="1" t="s">
        <v>10208</v>
      </c>
      <c r="AH3918" t="s">
        <v>44</v>
      </c>
    </row>
    <row r="3919" spans="1:34" x14ac:dyDescent="0.3">
      <c r="A3919">
        <v>101</v>
      </c>
      <c r="B3919" t="s">
        <v>34</v>
      </c>
      <c r="C3919">
        <v>2</v>
      </c>
      <c r="D3919" s="1" t="s">
        <v>10219</v>
      </c>
      <c r="E3919" s="1" t="s">
        <v>36</v>
      </c>
      <c r="G3919">
        <v>443806</v>
      </c>
      <c r="H3919" t="s">
        <v>10206</v>
      </c>
      <c r="I3919" t="s">
        <v>2413</v>
      </c>
      <c r="J3919">
        <v>30</v>
      </c>
      <c r="K3919">
        <v>2695</v>
      </c>
      <c r="L3919">
        <v>95000</v>
      </c>
      <c r="M3919" t="s">
        <v>69</v>
      </c>
      <c r="N3919">
        <v>691</v>
      </c>
      <c r="O3919" s="2">
        <v>46170</v>
      </c>
      <c r="P3919" s="2">
        <v>46286</v>
      </c>
      <c r="R3919" t="s">
        <v>10220</v>
      </c>
      <c r="S3919" t="str">
        <f>""</f>
        <v/>
      </c>
      <c r="T3919" t="s">
        <v>41</v>
      </c>
      <c r="U3919">
        <v>14201.46</v>
      </c>
      <c r="V3919">
        <v>14045.24</v>
      </c>
      <c r="W3919">
        <v>14045.24</v>
      </c>
      <c r="X3919">
        <v>0</v>
      </c>
      <c r="Y3919">
        <v>0</v>
      </c>
      <c r="Z3919">
        <v>-511</v>
      </c>
      <c r="AA3919">
        <v>689318</v>
      </c>
      <c r="AD3919" t="s">
        <v>4402</v>
      </c>
      <c r="AE3919" t="s">
        <v>5734</v>
      </c>
      <c r="AF3919" t="s">
        <v>4402</v>
      </c>
      <c r="AG3919" s="1" t="s">
        <v>10208</v>
      </c>
      <c r="AH3919" t="s">
        <v>44</v>
      </c>
    </row>
    <row r="3920" spans="1:34" x14ac:dyDescent="0.3">
      <c r="A3920">
        <v>101</v>
      </c>
      <c r="B3920" t="s">
        <v>34</v>
      </c>
      <c r="C3920">
        <v>2</v>
      </c>
      <c r="D3920" s="1" t="s">
        <v>10221</v>
      </c>
      <c r="E3920" s="1" t="s">
        <v>36</v>
      </c>
      <c r="G3920">
        <v>443806</v>
      </c>
      <c r="H3920" t="s">
        <v>10206</v>
      </c>
      <c r="I3920" t="s">
        <v>2413</v>
      </c>
      <c r="J3920">
        <v>30</v>
      </c>
      <c r="K3920">
        <v>2695</v>
      </c>
      <c r="L3920">
        <v>95000</v>
      </c>
      <c r="M3920" t="s">
        <v>69</v>
      </c>
      <c r="N3920">
        <v>691</v>
      </c>
      <c r="O3920" s="2">
        <v>46185</v>
      </c>
      <c r="P3920" s="2">
        <v>46286</v>
      </c>
      <c r="R3920" t="s">
        <v>10222</v>
      </c>
      <c r="S3920" t="str">
        <f>""</f>
        <v/>
      </c>
      <c r="T3920" t="s">
        <v>41</v>
      </c>
      <c r="U3920">
        <v>2846.4</v>
      </c>
      <c r="V3920">
        <v>2815.09</v>
      </c>
      <c r="W3920">
        <v>2815.09</v>
      </c>
      <c r="X3920">
        <v>0</v>
      </c>
      <c r="Y3920">
        <v>0</v>
      </c>
      <c r="Z3920">
        <v>-511</v>
      </c>
      <c r="AA3920">
        <v>689318</v>
      </c>
      <c r="AD3920" t="s">
        <v>4402</v>
      </c>
      <c r="AE3920" t="s">
        <v>5734</v>
      </c>
      <c r="AF3920" t="s">
        <v>4402</v>
      </c>
      <c r="AG3920" s="1" t="s">
        <v>10208</v>
      </c>
      <c r="AH3920" t="s">
        <v>44</v>
      </c>
    </row>
    <row r="3921" spans="1:34" x14ac:dyDescent="0.3">
      <c r="A3921">
        <v>101</v>
      </c>
      <c r="B3921" t="s">
        <v>34</v>
      </c>
      <c r="C3921">
        <v>2</v>
      </c>
      <c r="D3921" s="1" t="s">
        <v>10223</v>
      </c>
      <c r="E3921" s="1" t="s">
        <v>36</v>
      </c>
      <c r="G3921">
        <v>443806</v>
      </c>
      <c r="H3921" t="s">
        <v>10206</v>
      </c>
      <c r="I3921" t="s">
        <v>2413</v>
      </c>
      <c r="J3921">
        <v>30</v>
      </c>
      <c r="K3921">
        <v>2695</v>
      </c>
      <c r="L3921">
        <v>95000</v>
      </c>
      <c r="M3921" t="s">
        <v>69</v>
      </c>
      <c r="N3921">
        <v>691</v>
      </c>
      <c r="O3921" s="2">
        <v>46141</v>
      </c>
      <c r="P3921" s="2">
        <v>46266</v>
      </c>
      <c r="R3921" t="s">
        <v>10224</v>
      </c>
      <c r="S3921" t="str">
        <f>""</f>
        <v/>
      </c>
      <c r="T3921" t="s">
        <v>41</v>
      </c>
      <c r="U3921">
        <v>136.76</v>
      </c>
      <c r="V3921">
        <v>135.26</v>
      </c>
      <c r="W3921">
        <v>135.26</v>
      </c>
      <c r="X3921">
        <v>0</v>
      </c>
      <c r="Y3921">
        <v>0</v>
      </c>
      <c r="Z3921">
        <v>-491</v>
      </c>
      <c r="AA3921">
        <v>686807</v>
      </c>
      <c r="AD3921" t="s">
        <v>4402</v>
      </c>
      <c r="AE3921" t="s">
        <v>5734</v>
      </c>
      <c r="AF3921" t="s">
        <v>4402</v>
      </c>
      <c r="AG3921" s="1" t="s">
        <v>10208</v>
      </c>
      <c r="AH3921" t="s">
        <v>44</v>
      </c>
    </row>
    <row r="3922" spans="1:34" x14ac:dyDescent="0.3">
      <c r="A3922">
        <v>101</v>
      </c>
      <c r="B3922" t="s">
        <v>34</v>
      </c>
      <c r="C3922">
        <v>2</v>
      </c>
      <c r="D3922" s="1" t="s">
        <v>10225</v>
      </c>
      <c r="E3922" s="1" t="s">
        <v>36</v>
      </c>
      <c r="G3922">
        <v>443806</v>
      </c>
      <c r="H3922" t="s">
        <v>10206</v>
      </c>
      <c r="I3922" t="s">
        <v>2413</v>
      </c>
      <c r="J3922">
        <v>30</v>
      </c>
      <c r="K3922">
        <v>2695</v>
      </c>
      <c r="L3922">
        <v>95000</v>
      </c>
      <c r="M3922" t="s">
        <v>69</v>
      </c>
      <c r="N3922">
        <v>691</v>
      </c>
      <c r="O3922" s="2">
        <v>46141</v>
      </c>
      <c r="P3922" s="2">
        <v>46266</v>
      </c>
      <c r="R3922" t="s">
        <v>10226</v>
      </c>
      <c r="S3922" t="str">
        <f>""</f>
        <v/>
      </c>
      <c r="T3922" t="s">
        <v>41</v>
      </c>
      <c r="U3922">
        <v>731.7</v>
      </c>
      <c r="V3922">
        <v>723.65</v>
      </c>
      <c r="W3922">
        <v>723.65</v>
      </c>
      <c r="X3922">
        <v>0</v>
      </c>
      <c r="Y3922">
        <v>0</v>
      </c>
      <c r="Z3922">
        <v>-491</v>
      </c>
      <c r="AA3922">
        <v>686949</v>
      </c>
      <c r="AD3922" t="s">
        <v>4402</v>
      </c>
      <c r="AE3922" t="s">
        <v>5734</v>
      </c>
      <c r="AF3922" t="s">
        <v>4402</v>
      </c>
      <c r="AG3922" s="1" t="s">
        <v>10208</v>
      </c>
      <c r="AH3922" t="s">
        <v>44</v>
      </c>
    </row>
    <row r="3923" spans="1:34" x14ac:dyDescent="0.3">
      <c r="A3923">
        <v>101</v>
      </c>
      <c r="B3923" t="s">
        <v>34</v>
      </c>
      <c r="C3923">
        <v>2</v>
      </c>
      <c r="D3923" s="1" t="s">
        <v>10227</v>
      </c>
      <c r="E3923" s="1" t="s">
        <v>36</v>
      </c>
      <c r="G3923">
        <v>443806</v>
      </c>
      <c r="H3923" t="s">
        <v>10206</v>
      </c>
      <c r="I3923" t="s">
        <v>2413</v>
      </c>
      <c r="J3923">
        <v>30</v>
      </c>
      <c r="K3923">
        <v>2695</v>
      </c>
      <c r="L3923">
        <v>95000</v>
      </c>
      <c r="M3923" t="s">
        <v>69</v>
      </c>
      <c r="N3923">
        <v>691</v>
      </c>
      <c r="O3923" s="2">
        <v>46239</v>
      </c>
      <c r="P3923" s="2">
        <v>46329</v>
      </c>
      <c r="R3923" t="s">
        <v>10228</v>
      </c>
      <c r="S3923" t="str">
        <f>""</f>
        <v/>
      </c>
      <c r="T3923" t="s">
        <v>41</v>
      </c>
      <c r="U3923">
        <v>527.52</v>
      </c>
      <c r="V3923">
        <v>521.72</v>
      </c>
      <c r="W3923">
        <v>521.72</v>
      </c>
      <c r="X3923">
        <v>0</v>
      </c>
      <c r="Y3923">
        <v>0</v>
      </c>
      <c r="Z3923">
        <v>-554</v>
      </c>
      <c r="AA3923">
        <v>696191</v>
      </c>
      <c r="AD3923" t="s">
        <v>4402</v>
      </c>
      <c r="AE3923" t="s">
        <v>5734</v>
      </c>
      <c r="AF3923" t="s">
        <v>4402</v>
      </c>
      <c r="AG3923" s="1" t="s">
        <v>10208</v>
      </c>
      <c r="AH3923" t="s">
        <v>44</v>
      </c>
    </row>
    <row r="3924" spans="1:34" x14ac:dyDescent="0.3">
      <c r="A3924">
        <v>101</v>
      </c>
      <c r="B3924" t="s">
        <v>34</v>
      </c>
      <c r="C3924">
        <v>2</v>
      </c>
      <c r="D3924" s="1" t="s">
        <v>10229</v>
      </c>
      <c r="E3924" s="1" t="s">
        <v>36</v>
      </c>
      <c r="G3924">
        <v>444509</v>
      </c>
      <c r="H3924" t="s">
        <v>10230</v>
      </c>
      <c r="I3924" t="s">
        <v>2413</v>
      </c>
      <c r="J3924">
        <v>30</v>
      </c>
      <c r="K3924">
        <v>2695</v>
      </c>
      <c r="L3924">
        <v>95000</v>
      </c>
      <c r="M3924" t="s">
        <v>69</v>
      </c>
      <c r="N3924">
        <v>691</v>
      </c>
      <c r="O3924" s="2">
        <v>46170</v>
      </c>
      <c r="P3924" s="2">
        <v>46308</v>
      </c>
      <c r="R3924" t="s">
        <v>10231</v>
      </c>
      <c r="S3924" t="str">
        <f>""</f>
        <v/>
      </c>
      <c r="T3924" t="s">
        <v>41</v>
      </c>
      <c r="U3924">
        <v>2741</v>
      </c>
      <c r="V3924">
        <v>2710.85</v>
      </c>
      <c r="W3924">
        <v>2710.85</v>
      </c>
      <c r="X3924">
        <v>0</v>
      </c>
      <c r="Y3924">
        <v>0</v>
      </c>
      <c r="Z3924">
        <v>-533</v>
      </c>
      <c r="AA3924">
        <v>689475</v>
      </c>
      <c r="AD3924" t="s">
        <v>3373</v>
      </c>
      <c r="AF3924" t="s">
        <v>3373</v>
      </c>
      <c r="AG3924" s="1" t="s">
        <v>10232</v>
      </c>
      <c r="AH3924" t="s">
        <v>44</v>
      </c>
    </row>
    <row r="3925" spans="1:34" x14ac:dyDescent="0.3">
      <c r="A3925">
        <v>101</v>
      </c>
      <c r="B3925" t="s">
        <v>34</v>
      </c>
      <c r="C3925">
        <v>2</v>
      </c>
      <c r="D3925" s="1" t="s">
        <v>10233</v>
      </c>
      <c r="E3925" s="1" t="s">
        <v>36</v>
      </c>
      <c r="G3925">
        <v>444509</v>
      </c>
      <c r="H3925" t="s">
        <v>10230</v>
      </c>
      <c r="I3925" t="s">
        <v>2413</v>
      </c>
      <c r="J3925">
        <v>30</v>
      </c>
      <c r="K3925">
        <v>2695</v>
      </c>
      <c r="L3925">
        <v>95000</v>
      </c>
      <c r="M3925" t="s">
        <v>69</v>
      </c>
      <c r="N3925">
        <v>691</v>
      </c>
      <c r="O3925" s="2">
        <v>46185</v>
      </c>
      <c r="P3925" s="2">
        <v>46308</v>
      </c>
      <c r="R3925" t="s">
        <v>10234</v>
      </c>
      <c r="S3925" t="str">
        <f>""</f>
        <v/>
      </c>
      <c r="T3925" t="s">
        <v>41</v>
      </c>
      <c r="U3925">
        <v>2846.4</v>
      </c>
      <c r="V3925">
        <v>2815.09</v>
      </c>
      <c r="W3925">
        <v>2815.09</v>
      </c>
      <c r="X3925">
        <v>0</v>
      </c>
      <c r="Y3925">
        <v>0</v>
      </c>
      <c r="Z3925">
        <v>-533</v>
      </c>
      <c r="AA3925">
        <v>689194</v>
      </c>
      <c r="AD3925" t="s">
        <v>3373</v>
      </c>
      <c r="AF3925" t="s">
        <v>3373</v>
      </c>
      <c r="AG3925" s="1" t="s">
        <v>10232</v>
      </c>
      <c r="AH3925" t="s">
        <v>44</v>
      </c>
    </row>
    <row r="3926" spans="1:34" x14ac:dyDescent="0.3">
      <c r="A3926">
        <v>101</v>
      </c>
      <c r="B3926" t="s">
        <v>34</v>
      </c>
      <c r="C3926">
        <v>2</v>
      </c>
      <c r="D3926" s="1" t="s">
        <v>10235</v>
      </c>
      <c r="E3926" s="1" t="s">
        <v>36</v>
      </c>
      <c r="G3926">
        <v>444509</v>
      </c>
      <c r="H3926" t="s">
        <v>10230</v>
      </c>
      <c r="I3926" t="s">
        <v>2413</v>
      </c>
      <c r="J3926">
        <v>30</v>
      </c>
      <c r="K3926">
        <v>2695</v>
      </c>
      <c r="L3926">
        <v>95000</v>
      </c>
      <c r="M3926" t="s">
        <v>69</v>
      </c>
      <c r="N3926">
        <v>691</v>
      </c>
      <c r="O3926" s="2">
        <v>46170</v>
      </c>
      <c r="P3926" s="2">
        <v>46308</v>
      </c>
      <c r="R3926" t="s">
        <v>10236</v>
      </c>
      <c r="S3926" t="str">
        <f>""</f>
        <v/>
      </c>
      <c r="T3926" t="s">
        <v>41</v>
      </c>
      <c r="U3926">
        <v>12873.69</v>
      </c>
      <c r="V3926">
        <v>12732.08</v>
      </c>
      <c r="W3926">
        <v>12732.08</v>
      </c>
      <c r="X3926">
        <v>0</v>
      </c>
      <c r="Y3926">
        <v>0</v>
      </c>
      <c r="Z3926">
        <v>-533</v>
      </c>
      <c r="AA3926">
        <v>689194</v>
      </c>
      <c r="AD3926" t="s">
        <v>3373</v>
      </c>
      <c r="AF3926" t="s">
        <v>3373</v>
      </c>
      <c r="AG3926" s="1" t="s">
        <v>10232</v>
      </c>
      <c r="AH3926" t="s">
        <v>44</v>
      </c>
    </row>
    <row r="3927" spans="1:34" x14ac:dyDescent="0.3">
      <c r="A3927">
        <v>101</v>
      </c>
      <c r="B3927" t="s">
        <v>34</v>
      </c>
      <c r="C3927">
        <v>2</v>
      </c>
      <c r="D3927" s="1" t="s">
        <v>10237</v>
      </c>
      <c r="E3927" s="1" t="s">
        <v>36</v>
      </c>
      <c r="G3927">
        <v>444509</v>
      </c>
      <c r="H3927" t="s">
        <v>10230</v>
      </c>
      <c r="I3927" t="s">
        <v>2413</v>
      </c>
      <c r="J3927">
        <v>30</v>
      </c>
      <c r="K3927">
        <v>2695</v>
      </c>
      <c r="L3927">
        <v>95000</v>
      </c>
      <c r="M3927" t="s">
        <v>69</v>
      </c>
      <c r="N3927">
        <v>691</v>
      </c>
      <c r="O3927" s="2">
        <v>46197</v>
      </c>
      <c r="P3927" s="2">
        <v>46308</v>
      </c>
      <c r="R3927" t="s">
        <v>10238</v>
      </c>
      <c r="S3927" t="str">
        <f>""</f>
        <v/>
      </c>
      <c r="T3927" t="s">
        <v>41</v>
      </c>
      <c r="U3927">
        <v>13112.29</v>
      </c>
      <c r="V3927">
        <v>12968.05</v>
      </c>
      <c r="W3927">
        <v>12968.05</v>
      </c>
      <c r="X3927">
        <v>0</v>
      </c>
      <c r="Y3927">
        <v>0</v>
      </c>
      <c r="Z3927">
        <v>-533</v>
      </c>
      <c r="AA3927">
        <v>692156</v>
      </c>
      <c r="AD3927" t="s">
        <v>3373</v>
      </c>
      <c r="AF3927" t="s">
        <v>3373</v>
      </c>
      <c r="AG3927" s="1" t="s">
        <v>10232</v>
      </c>
      <c r="AH3927" t="s">
        <v>44</v>
      </c>
    </row>
    <row r="3928" spans="1:34" x14ac:dyDescent="0.3">
      <c r="A3928">
        <v>101</v>
      </c>
      <c r="B3928" t="s">
        <v>34</v>
      </c>
      <c r="C3928">
        <v>2</v>
      </c>
      <c r="D3928" s="1" t="s">
        <v>10239</v>
      </c>
      <c r="E3928" s="1" t="s">
        <v>36</v>
      </c>
      <c r="G3928">
        <v>444509</v>
      </c>
      <c r="H3928" t="s">
        <v>10230</v>
      </c>
      <c r="I3928" t="s">
        <v>2413</v>
      </c>
      <c r="J3928">
        <v>30</v>
      </c>
      <c r="K3928">
        <v>2695</v>
      </c>
      <c r="L3928">
        <v>95000</v>
      </c>
      <c r="M3928" t="s">
        <v>69</v>
      </c>
      <c r="N3928">
        <v>691</v>
      </c>
      <c r="O3928" s="2">
        <v>46140</v>
      </c>
      <c r="P3928" s="2">
        <v>46266</v>
      </c>
      <c r="R3928" t="s">
        <v>10240</v>
      </c>
      <c r="S3928" t="str">
        <f>""</f>
        <v/>
      </c>
      <c r="T3928" t="s">
        <v>41</v>
      </c>
      <c r="U3928">
        <v>9397.1200000000008</v>
      </c>
      <c r="V3928">
        <v>9293.75</v>
      </c>
      <c r="W3928">
        <v>9293.75</v>
      </c>
      <c r="X3928">
        <v>0</v>
      </c>
      <c r="Y3928">
        <v>0</v>
      </c>
      <c r="Z3928">
        <v>-491</v>
      </c>
      <c r="AA3928">
        <v>686592</v>
      </c>
      <c r="AD3928" t="s">
        <v>3373</v>
      </c>
      <c r="AF3928" t="s">
        <v>3373</v>
      </c>
      <c r="AG3928" s="1" t="s">
        <v>10232</v>
      </c>
      <c r="AH3928" t="s">
        <v>44</v>
      </c>
    </row>
    <row r="3929" spans="1:34" x14ac:dyDescent="0.3">
      <c r="A3929">
        <v>101</v>
      </c>
      <c r="B3929" t="s">
        <v>34</v>
      </c>
      <c r="C3929">
        <v>2</v>
      </c>
      <c r="D3929" s="1" t="s">
        <v>10241</v>
      </c>
      <c r="E3929" s="1" t="s">
        <v>36</v>
      </c>
      <c r="G3929">
        <v>444509</v>
      </c>
      <c r="H3929" t="s">
        <v>10230</v>
      </c>
      <c r="I3929" t="s">
        <v>2413</v>
      </c>
      <c r="J3929">
        <v>30</v>
      </c>
      <c r="K3929">
        <v>2695</v>
      </c>
      <c r="L3929">
        <v>95000</v>
      </c>
      <c r="M3929" t="s">
        <v>69</v>
      </c>
      <c r="N3929">
        <v>691</v>
      </c>
      <c r="O3929" s="2">
        <v>46140</v>
      </c>
      <c r="P3929" s="2">
        <v>46266</v>
      </c>
      <c r="R3929" t="s">
        <v>10242</v>
      </c>
      <c r="S3929" t="str">
        <f>""</f>
        <v/>
      </c>
      <c r="T3929" t="s">
        <v>41</v>
      </c>
      <c r="U3929">
        <v>3592.72</v>
      </c>
      <c r="V3929">
        <v>3553.2</v>
      </c>
      <c r="W3929">
        <v>3553.2</v>
      </c>
      <c r="X3929">
        <v>0</v>
      </c>
      <c r="Y3929">
        <v>0</v>
      </c>
      <c r="Z3929">
        <v>-491</v>
      </c>
      <c r="AA3929">
        <v>686892</v>
      </c>
      <c r="AD3929" t="s">
        <v>3373</v>
      </c>
      <c r="AF3929" t="s">
        <v>3373</v>
      </c>
      <c r="AG3929" s="1" t="s">
        <v>10232</v>
      </c>
      <c r="AH3929" t="s">
        <v>44</v>
      </c>
    </row>
    <row r="3930" spans="1:34" x14ac:dyDescent="0.3">
      <c r="A3930">
        <v>101</v>
      </c>
      <c r="B3930" t="s">
        <v>34</v>
      </c>
      <c r="C3930">
        <v>2</v>
      </c>
      <c r="D3930" s="1" t="s">
        <v>10243</v>
      </c>
      <c r="E3930" s="1" t="s">
        <v>36</v>
      </c>
      <c r="G3930">
        <v>444509</v>
      </c>
      <c r="H3930" t="s">
        <v>10230</v>
      </c>
      <c r="I3930" t="s">
        <v>2413</v>
      </c>
      <c r="J3930">
        <v>30</v>
      </c>
      <c r="K3930">
        <v>2695</v>
      </c>
      <c r="L3930">
        <v>95000</v>
      </c>
      <c r="M3930" t="s">
        <v>69</v>
      </c>
      <c r="N3930">
        <v>691</v>
      </c>
      <c r="O3930" s="2">
        <v>46253</v>
      </c>
      <c r="P3930" s="2">
        <v>46343</v>
      </c>
      <c r="R3930" t="s">
        <v>10244</v>
      </c>
      <c r="S3930" t="str">
        <f>""</f>
        <v/>
      </c>
      <c r="T3930" t="s">
        <v>41</v>
      </c>
      <c r="U3930">
        <v>2653.5</v>
      </c>
      <c r="V3930">
        <v>2624.31</v>
      </c>
      <c r="W3930">
        <v>2624.31</v>
      </c>
      <c r="X3930">
        <v>0</v>
      </c>
      <c r="Y3930">
        <v>0</v>
      </c>
      <c r="Z3930">
        <v>-568</v>
      </c>
      <c r="AA3930">
        <v>696993</v>
      </c>
      <c r="AD3930" t="s">
        <v>3373</v>
      </c>
      <c r="AF3930" t="s">
        <v>3373</v>
      </c>
      <c r="AG3930" s="1" t="s">
        <v>10232</v>
      </c>
      <c r="AH3930" t="s">
        <v>44</v>
      </c>
    </row>
    <row r="3931" spans="1:34" x14ac:dyDescent="0.3">
      <c r="A3931">
        <v>101</v>
      </c>
      <c r="B3931" t="s">
        <v>34</v>
      </c>
      <c r="C3931">
        <v>2</v>
      </c>
      <c r="D3931" s="1" t="s">
        <v>10245</v>
      </c>
      <c r="E3931" s="1" t="s">
        <v>36</v>
      </c>
      <c r="G3931">
        <v>444510</v>
      </c>
      <c r="H3931" t="s">
        <v>10246</v>
      </c>
      <c r="I3931" t="s">
        <v>2413</v>
      </c>
      <c r="J3931">
        <v>30</v>
      </c>
      <c r="K3931">
        <v>2695</v>
      </c>
      <c r="L3931">
        <v>95000</v>
      </c>
      <c r="M3931" t="s">
        <v>69</v>
      </c>
      <c r="N3931">
        <v>691</v>
      </c>
      <c r="O3931" s="2">
        <v>46239</v>
      </c>
      <c r="P3931" s="2">
        <v>46349</v>
      </c>
      <c r="R3931" t="s">
        <v>10247</v>
      </c>
      <c r="S3931" t="str">
        <f>""</f>
        <v/>
      </c>
      <c r="T3931" t="s">
        <v>41</v>
      </c>
      <c r="U3931">
        <v>3765.27</v>
      </c>
      <c r="V3931">
        <v>3723.85</v>
      </c>
      <c r="W3931">
        <v>3723.85</v>
      </c>
      <c r="X3931">
        <v>0</v>
      </c>
      <c r="Y3931">
        <v>0</v>
      </c>
      <c r="Z3931">
        <v>-574</v>
      </c>
      <c r="AA3931">
        <v>696213</v>
      </c>
      <c r="AD3931" t="s">
        <v>64</v>
      </c>
      <c r="AF3931" t="s">
        <v>64</v>
      </c>
      <c r="AG3931" s="1" t="s">
        <v>10248</v>
      </c>
      <c r="AH3931" t="s">
        <v>44</v>
      </c>
    </row>
    <row r="3932" spans="1:34" x14ac:dyDescent="0.3">
      <c r="A3932">
        <v>101</v>
      </c>
      <c r="B3932" t="s">
        <v>34</v>
      </c>
      <c r="C3932">
        <v>2</v>
      </c>
      <c r="D3932" s="1" t="s">
        <v>10249</v>
      </c>
      <c r="E3932" s="1" t="s">
        <v>36</v>
      </c>
      <c r="G3932">
        <v>444510</v>
      </c>
      <c r="H3932" t="s">
        <v>10246</v>
      </c>
      <c r="I3932" t="s">
        <v>2413</v>
      </c>
      <c r="J3932">
        <v>30</v>
      </c>
      <c r="K3932">
        <v>2695</v>
      </c>
      <c r="L3932">
        <v>95000</v>
      </c>
      <c r="M3932" t="s">
        <v>69</v>
      </c>
      <c r="N3932">
        <v>691</v>
      </c>
      <c r="O3932" s="2">
        <v>46199</v>
      </c>
      <c r="P3932" s="2">
        <v>46308</v>
      </c>
      <c r="R3932" t="s">
        <v>10250</v>
      </c>
      <c r="S3932" t="str">
        <f>""</f>
        <v/>
      </c>
      <c r="T3932" t="s">
        <v>41</v>
      </c>
      <c r="U3932">
        <v>2011.92</v>
      </c>
      <c r="V3932">
        <v>1989.79</v>
      </c>
      <c r="W3932">
        <v>1989.79</v>
      </c>
      <c r="X3932">
        <v>0</v>
      </c>
      <c r="Y3932">
        <v>0</v>
      </c>
      <c r="Z3932">
        <v>-533</v>
      </c>
      <c r="AA3932">
        <v>692809</v>
      </c>
      <c r="AD3932" t="s">
        <v>64</v>
      </c>
      <c r="AF3932" t="s">
        <v>64</v>
      </c>
      <c r="AG3932" s="1" t="s">
        <v>10248</v>
      </c>
      <c r="AH3932" t="s">
        <v>44</v>
      </c>
    </row>
    <row r="3933" spans="1:34" x14ac:dyDescent="0.3">
      <c r="A3933">
        <v>101</v>
      </c>
      <c r="B3933" t="s">
        <v>34</v>
      </c>
      <c r="C3933">
        <v>2</v>
      </c>
      <c r="D3933" s="1" t="s">
        <v>10251</v>
      </c>
      <c r="E3933" s="1" t="s">
        <v>36</v>
      </c>
      <c r="G3933">
        <v>444510</v>
      </c>
      <c r="H3933" t="s">
        <v>10246</v>
      </c>
      <c r="I3933" t="s">
        <v>2413</v>
      </c>
      <c r="J3933">
        <v>30</v>
      </c>
      <c r="K3933">
        <v>2695</v>
      </c>
      <c r="L3933">
        <v>95000</v>
      </c>
      <c r="M3933" t="s">
        <v>69</v>
      </c>
      <c r="N3933">
        <v>691</v>
      </c>
      <c r="O3933" s="2">
        <v>46140</v>
      </c>
      <c r="P3933" s="2">
        <v>46266</v>
      </c>
      <c r="R3933" t="s">
        <v>10252</v>
      </c>
      <c r="S3933" t="str">
        <f>""</f>
        <v/>
      </c>
      <c r="T3933" t="s">
        <v>41</v>
      </c>
      <c r="U3933">
        <v>4324.42</v>
      </c>
      <c r="V3933">
        <v>4276.8500000000004</v>
      </c>
      <c r="W3933">
        <v>4276.8500000000004</v>
      </c>
      <c r="X3933">
        <v>0</v>
      </c>
      <c r="Y3933">
        <v>0</v>
      </c>
      <c r="Z3933">
        <v>-491</v>
      </c>
      <c r="AA3933">
        <v>686890</v>
      </c>
      <c r="AD3933" t="s">
        <v>64</v>
      </c>
      <c r="AF3933" t="s">
        <v>64</v>
      </c>
      <c r="AG3933" s="1" t="s">
        <v>10248</v>
      </c>
      <c r="AH3933" t="s">
        <v>44</v>
      </c>
    </row>
    <row r="3934" spans="1:34" x14ac:dyDescent="0.3">
      <c r="A3934">
        <v>101</v>
      </c>
      <c r="B3934" t="s">
        <v>34</v>
      </c>
      <c r="C3934">
        <v>2</v>
      </c>
      <c r="D3934" s="1" t="s">
        <v>10253</v>
      </c>
      <c r="E3934" s="1" t="s">
        <v>36</v>
      </c>
      <c r="G3934">
        <v>444510</v>
      </c>
      <c r="H3934" t="s">
        <v>10246</v>
      </c>
      <c r="I3934" t="s">
        <v>2413</v>
      </c>
      <c r="J3934">
        <v>30</v>
      </c>
      <c r="K3934">
        <v>2695</v>
      </c>
      <c r="L3934">
        <v>95000</v>
      </c>
      <c r="M3934" t="s">
        <v>69</v>
      </c>
      <c r="N3934">
        <v>691</v>
      </c>
      <c r="O3934" s="2">
        <v>46199</v>
      </c>
      <c r="P3934" s="2">
        <v>46308</v>
      </c>
      <c r="R3934" t="s">
        <v>10254</v>
      </c>
      <c r="S3934" t="str">
        <f>""</f>
        <v/>
      </c>
      <c r="T3934" t="s">
        <v>41</v>
      </c>
      <c r="U3934">
        <v>1326.75</v>
      </c>
      <c r="V3934">
        <v>1312.16</v>
      </c>
      <c r="W3934">
        <v>1312.16</v>
      </c>
      <c r="X3934">
        <v>0</v>
      </c>
      <c r="Y3934">
        <v>0</v>
      </c>
      <c r="Z3934">
        <v>-533</v>
      </c>
      <c r="AA3934">
        <v>692534</v>
      </c>
      <c r="AD3934" t="s">
        <v>64</v>
      </c>
      <c r="AF3934" t="s">
        <v>64</v>
      </c>
      <c r="AG3934" s="1" t="s">
        <v>10248</v>
      </c>
      <c r="AH3934" t="s">
        <v>44</v>
      </c>
    </row>
    <row r="3935" spans="1:34" x14ac:dyDescent="0.3">
      <c r="A3935">
        <v>101</v>
      </c>
      <c r="B3935" t="s">
        <v>34</v>
      </c>
      <c r="C3935">
        <v>2</v>
      </c>
      <c r="D3935" s="1" t="s">
        <v>10255</v>
      </c>
      <c r="E3935" s="1" t="s">
        <v>36</v>
      </c>
      <c r="G3935">
        <v>444510</v>
      </c>
      <c r="H3935" t="s">
        <v>10246</v>
      </c>
      <c r="I3935" t="s">
        <v>2413</v>
      </c>
      <c r="J3935">
        <v>30</v>
      </c>
      <c r="K3935">
        <v>2695</v>
      </c>
      <c r="L3935">
        <v>95000</v>
      </c>
      <c r="M3935" t="s">
        <v>69</v>
      </c>
      <c r="N3935">
        <v>691</v>
      </c>
      <c r="O3935" s="2">
        <v>46140</v>
      </c>
      <c r="P3935" s="2">
        <v>46266</v>
      </c>
      <c r="R3935" t="s">
        <v>10256</v>
      </c>
      <c r="S3935" t="str">
        <f>""</f>
        <v/>
      </c>
      <c r="T3935" t="s">
        <v>41</v>
      </c>
      <c r="U3935">
        <v>11481.49</v>
      </c>
      <c r="V3935">
        <v>11355.19</v>
      </c>
      <c r="W3935">
        <v>11355.19</v>
      </c>
      <c r="X3935">
        <v>0</v>
      </c>
      <c r="Y3935">
        <v>0</v>
      </c>
      <c r="Z3935">
        <v>-491</v>
      </c>
      <c r="AA3935">
        <v>686590</v>
      </c>
      <c r="AD3935" t="s">
        <v>64</v>
      </c>
      <c r="AF3935" t="s">
        <v>64</v>
      </c>
      <c r="AG3935" s="1" t="s">
        <v>10248</v>
      </c>
      <c r="AH3935" t="s">
        <v>44</v>
      </c>
    </row>
    <row r="3936" spans="1:34" x14ac:dyDescent="0.3">
      <c r="A3936">
        <v>101</v>
      </c>
      <c r="B3936" t="s">
        <v>34</v>
      </c>
      <c r="C3936">
        <v>2</v>
      </c>
      <c r="D3936" s="1" t="s">
        <v>10257</v>
      </c>
      <c r="E3936" s="1" t="s">
        <v>36</v>
      </c>
      <c r="G3936">
        <v>444510</v>
      </c>
      <c r="H3936" t="s">
        <v>10246</v>
      </c>
      <c r="I3936" t="s">
        <v>2413</v>
      </c>
      <c r="J3936">
        <v>30</v>
      </c>
      <c r="K3936">
        <v>2695</v>
      </c>
      <c r="L3936">
        <v>95000</v>
      </c>
      <c r="M3936" t="s">
        <v>69</v>
      </c>
      <c r="N3936">
        <v>691</v>
      </c>
      <c r="O3936" s="2">
        <v>46197</v>
      </c>
      <c r="P3936" s="2">
        <v>46316</v>
      </c>
      <c r="R3936" t="s">
        <v>10258</v>
      </c>
      <c r="S3936" t="str">
        <f>""</f>
        <v/>
      </c>
      <c r="T3936" t="s">
        <v>41</v>
      </c>
      <c r="U3936">
        <v>27065.26</v>
      </c>
      <c r="V3936">
        <v>26767.54</v>
      </c>
      <c r="W3936">
        <v>26767.54</v>
      </c>
      <c r="X3936">
        <v>0</v>
      </c>
      <c r="Y3936">
        <v>0</v>
      </c>
      <c r="Z3936">
        <v>-541</v>
      </c>
      <c r="AA3936">
        <v>692154</v>
      </c>
      <c r="AD3936" t="s">
        <v>64</v>
      </c>
      <c r="AF3936" t="s">
        <v>64</v>
      </c>
      <c r="AG3936" s="1" t="s">
        <v>10248</v>
      </c>
      <c r="AH3936" t="s">
        <v>44</v>
      </c>
    </row>
    <row r="3937" spans="1:34" x14ac:dyDescent="0.3">
      <c r="A3937">
        <v>101</v>
      </c>
      <c r="B3937" t="s">
        <v>34</v>
      </c>
      <c r="C3937">
        <v>2</v>
      </c>
      <c r="D3937" s="1" t="s">
        <v>10259</v>
      </c>
      <c r="E3937" s="1" t="s">
        <v>36</v>
      </c>
      <c r="G3937">
        <v>444510</v>
      </c>
      <c r="H3937" t="s">
        <v>10246</v>
      </c>
      <c r="I3937" t="s">
        <v>2413</v>
      </c>
      <c r="J3937">
        <v>30</v>
      </c>
      <c r="K3937">
        <v>2695</v>
      </c>
      <c r="L3937">
        <v>95000</v>
      </c>
      <c r="M3937" t="s">
        <v>69</v>
      </c>
      <c r="N3937">
        <v>691</v>
      </c>
      <c r="O3937" s="2">
        <v>46170</v>
      </c>
      <c r="P3937" s="2">
        <v>46296</v>
      </c>
      <c r="R3937" t="s">
        <v>10260</v>
      </c>
      <c r="S3937" t="str">
        <f>""</f>
        <v/>
      </c>
      <c r="T3937" t="s">
        <v>41</v>
      </c>
      <c r="U3937">
        <v>2741</v>
      </c>
      <c r="V3937">
        <v>2710.85</v>
      </c>
      <c r="W3937">
        <v>2710.85</v>
      </c>
      <c r="X3937">
        <v>0</v>
      </c>
      <c r="Y3937">
        <v>0</v>
      </c>
      <c r="Z3937">
        <v>-521</v>
      </c>
      <c r="AA3937">
        <v>689473</v>
      </c>
      <c r="AD3937" t="s">
        <v>64</v>
      </c>
      <c r="AF3937" t="s">
        <v>64</v>
      </c>
      <c r="AG3937" s="1" t="s">
        <v>10248</v>
      </c>
      <c r="AH3937" t="s">
        <v>44</v>
      </c>
    </row>
    <row r="3938" spans="1:34" x14ac:dyDescent="0.3">
      <c r="A3938">
        <v>101</v>
      </c>
      <c r="B3938" t="s">
        <v>34</v>
      </c>
      <c r="C3938">
        <v>2</v>
      </c>
      <c r="D3938" s="1" t="s">
        <v>10261</v>
      </c>
      <c r="E3938" s="1" t="s">
        <v>36</v>
      </c>
      <c r="G3938">
        <v>444510</v>
      </c>
      <c r="H3938" t="s">
        <v>10246</v>
      </c>
      <c r="I3938" t="s">
        <v>2413</v>
      </c>
      <c r="J3938">
        <v>30</v>
      </c>
      <c r="K3938">
        <v>2695</v>
      </c>
      <c r="L3938">
        <v>95000</v>
      </c>
      <c r="M3938" t="s">
        <v>69</v>
      </c>
      <c r="N3938">
        <v>691</v>
      </c>
      <c r="O3938" s="2">
        <v>46253</v>
      </c>
      <c r="P3938" s="2">
        <v>46343</v>
      </c>
      <c r="R3938" t="s">
        <v>10262</v>
      </c>
      <c r="S3938" t="str">
        <f>""</f>
        <v/>
      </c>
      <c r="T3938" t="s">
        <v>41</v>
      </c>
      <c r="U3938">
        <v>3538</v>
      </c>
      <c r="V3938">
        <v>3499.08</v>
      </c>
      <c r="W3938">
        <v>3499.08</v>
      </c>
      <c r="X3938">
        <v>0</v>
      </c>
      <c r="Y3938">
        <v>0</v>
      </c>
      <c r="Z3938">
        <v>-568</v>
      </c>
      <c r="AA3938">
        <v>696991</v>
      </c>
      <c r="AD3938" t="s">
        <v>64</v>
      </c>
      <c r="AF3938" t="s">
        <v>64</v>
      </c>
      <c r="AG3938" s="1" t="s">
        <v>10248</v>
      </c>
      <c r="AH3938" t="s">
        <v>44</v>
      </c>
    </row>
    <row r="3939" spans="1:34" x14ac:dyDescent="0.3">
      <c r="A3939">
        <v>101</v>
      </c>
      <c r="B3939" t="s">
        <v>34</v>
      </c>
      <c r="C3939">
        <v>2</v>
      </c>
      <c r="D3939" s="1" t="s">
        <v>10263</v>
      </c>
      <c r="E3939" s="1" t="s">
        <v>36</v>
      </c>
      <c r="G3939">
        <v>444510</v>
      </c>
      <c r="H3939" t="s">
        <v>10246</v>
      </c>
      <c r="I3939" t="s">
        <v>2413</v>
      </c>
      <c r="J3939">
        <v>30</v>
      </c>
      <c r="K3939">
        <v>2695</v>
      </c>
      <c r="L3939">
        <v>95000</v>
      </c>
      <c r="M3939" t="s">
        <v>69</v>
      </c>
      <c r="N3939">
        <v>691</v>
      </c>
      <c r="O3939" s="2">
        <v>46171</v>
      </c>
      <c r="P3939" s="2">
        <v>46296</v>
      </c>
      <c r="R3939" t="s">
        <v>10264</v>
      </c>
      <c r="S3939" t="str">
        <f>""</f>
        <v/>
      </c>
      <c r="T3939" t="s">
        <v>41</v>
      </c>
      <c r="U3939">
        <v>2846.4</v>
      </c>
      <c r="V3939">
        <v>2815.09</v>
      </c>
      <c r="W3939">
        <v>2815.09</v>
      </c>
      <c r="X3939">
        <v>0</v>
      </c>
      <c r="Y3939">
        <v>0</v>
      </c>
      <c r="Z3939">
        <v>-521</v>
      </c>
      <c r="AA3939">
        <v>689192</v>
      </c>
      <c r="AD3939" t="s">
        <v>64</v>
      </c>
      <c r="AF3939" t="s">
        <v>64</v>
      </c>
      <c r="AG3939" s="1" t="s">
        <v>10248</v>
      </c>
      <c r="AH3939" t="s">
        <v>44</v>
      </c>
    </row>
    <row r="3940" spans="1:34" x14ac:dyDescent="0.3">
      <c r="A3940">
        <v>101</v>
      </c>
      <c r="B3940" t="s">
        <v>34</v>
      </c>
      <c r="C3940">
        <v>2</v>
      </c>
      <c r="D3940" s="1" t="s">
        <v>10265</v>
      </c>
      <c r="E3940" s="1" t="s">
        <v>36</v>
      </c>
      <c r="G3940">
        <v>444510</v>
      </c>
      <c r="H3940" t="s">
        <v>10246</v>
      </c>
      <c r="I3940" t="s">
        <v>2413</v>
      </c>
      <c r="J3940">
        <v>30</v>
      </c>
      <c r="K3940">
        <v>2695</v>
      </c>
      <c r="L3940">
        <v>95000</v>
      </c>
      <c r="M3940" t="s">
        <v>69</v>
      </c>
      <c r="N3940">
        <v>691</v>
      </c>
      <c r="O3940" s="2">
        <v>46170</v>
      </c>
      <c r="P3940" s="2">
        <v>46296</v>
      </c>
      <c r="R3940" t="s">
        <v>10266</v>
      </c>
      <c r="S3940" t="str">
        <f>""</f>
        <v/>
      </c>
      <c r="T3940" t="s">
        <v>41</v>
      </c>
      <c r="U3940">
        <v>17616.189999999999</v>
      </c>
      <c r="V3940">
        <v>17422.41</v>
      </c>
      <c r="W3940">
        <v>17422.41</v>
      </c>
      <c r="X3940">
        <v>0</v>
      </c>
      <c r="Y3940">
        <v>0</v>
      </c>
      <c r="Z3940">
        <v>-521</v>
      </c>
      <c r="AA3940">
        <v>689192</v>
      </c>
      <c r="AD3940" t="s">
        <v>64</v>
      </c>
      <c r="AF3940" t="s">
        <v>64</v>
      </c>
      <c r="AG3940" s="1" t="s">
        <v>10248</v>
      </c>
      <c r="AH3940" t="s">
        <v>44</v>
      </c>
    </row>
    <row r="3941" spans="1:34" x14ac:dyDescent="0.3">
      <c r="A3941">
        <v>101</v>
      </c>
      <c r="B3941" t="s">
        <v>34</v>
      </c>
      <c r="C3941">
        <v>2</v>
      </c>
      <c r="D3941" s="1" t="s">
        <v>10267</v>
      </c>
      <c r="E3941" s="1" t="s">
        <v>36</v>
      </c>
      <c r="G3941">
        <v>444510</v>
      </c>
      <c r="H3941" t="s">
        <v>10246</v>
      </c>
      <c r="I3941" t="s">
        <v>2413</v>
      </c>
      <c r="J3941">
        <v>30</v>
      </c>
      <c r="K3941">
        <v>2695</v>
      </c>
      <c r="L3941">
        <v>95000</v>
      </c>
      <c r="M3941" t="s">
        <v>69</v>
      </c>
      <c r="N3941">
        <v>691</v>
      </c>
      <c r="O3941" s="2">
        <v>46226</v>
      </c>
      <c r="P3941" s="2">
        <v>46349</v>
      </c>
      <c r="R3941" t="s">
        <v>10268</v>
      </c>
      <c r="S3941" t="str">
        <f>""</f>
        <v/>
      </c>
      <c r="T3941" t="s">
        <v>41</v>
      </c>
      <c r="U3941">
        <v>2574.04</v>
      </c>
      <c r="V3941">
        <v>2545.73</v>
      </c>
      <c r="W3941">
        <v>2545.73</v>
      </c>
      <c r="X3941">
        <v>0</v>
      </c>
      <c r="Y3941">
        <v>0</v>
      </c>
      <c r="Z3941">
        <v>-574</v>
      </c>
      <c r="AA3941">
        <v>694957</v>
      </c>
      <c r="AD3941" t="s">
        <v>64</v>
      </c>
      <c r="AF3941" t="s">
        <v>64</v>
      </c>
      <c r="AG3941" s="1" t="s">
        <v>10248</v>
      </c>
      <c r="AH3941" t="s">
        <v>44</v>
      </c>
    </row>
    <row r="3942" spans="1:34" x14ac:dyDescent="0.3">
      <c r="A3942">
        <v>101</v>
      </c>
      <c r="B3942" t="s">
        <v>34</v>
      </c>
      <c r="C3942">
        <v>2</v>
      </c>
      <c r="D3942" s="1" t="s">
        <v>10269</v>
      </c>
      <c r="E3942" s="1" t="s">
        <v>36</v>
      </c>
      <c r="G3942">
        <v>445796</v>
      </c>
      <c r="H3942" t="s">
        <v>10270</v>
      </c>
      <c r="I3942" t="s">
        <v>2413</v>
      </c>
      <c r="J3942">
        <v>30</v>
      </c>
      <c r="K3942">
        <v>2695</v>
      </c>
      <c r="L3942">
        <v>95000</v>
      </c>
      <c r="M3942" t="s">
        <v>69</v>
      </c>
      <c r="N3942">
        <v>691</v>
      </c>
      <c r="O3942" s="2">
        <v>46171</v>
      </c>
      <c r="P3942" s="2">
        <v>46296</v>
      </c>
      <c r="R3942" t="s">
        <v>10271</v>
      </c>
      <c r="S3942" t="str">
        <f>""</f>
        <v/>
      </c>
      <c r="T3942" t="s">
        <v>41</v>
      </c>
      <c r="U3942">
        <v>3558</v>
      </c>
      <c r="V3942">
        <v>3518.86</v>
      </c>
      <c r="W3942">
        <v>3518.86</v>
      </c>
      <c r="X3942">
        <v>0</v>
      </c>
      <c r="Y3942">
        <v>0</v>
      </c>
      <c r="Z3942">
        <v>-521</v>
      </c>
      <c r="AA3942">
        <v>689328</v>
      </c>
      <c r="AD3942" t="s">
        <v>64</v>
      </c>
      <c r="AE3942" t="s">
        <v>2533</v>
      </c>
      <c r="AF3942" t="s">
        <v>64</v>
      </c>
      <c r="AG3942" s="1" t="s">
        <v>10272</v>
      </c>
      <c r="AH3942" t="s">
        <v>44</v>
      </c>
    </row>
    <row r="3943" spans="1:34" x14ac:dyDescent="0.3">
      <c r="A3943">
        <v>101</v>
      </c>
      <c r="B3943" t="s">
        <v>34</v>
      </c>
      <c r="C3943">
        <v>2</v>
      </c>
      <c r="D3943" s="1" t="s">
        <v>10273</v>
      </c>
      <c r="E3943" s="1" t="s">
        <v>36</v>
      </c>
      <c r="G3943">
        <v>445796</v>
      </c>
      <c r="H3943" t="s">
        <v>10270</v>
      </c>
      <c r="I3943" t="s">
        <v>2413</v>
      </c>
      <c r="J3943">
        <v>30</v>
      </c>
      <c r="K3943">
        <v>2695</v>
      </c>
      <c r="L3943">
        <v>95000</v>
      </c>
      <c r="M3943" t="s">
        <v>69</v>
      </c>
      <c r="N3943">
        <v>691</v>
      </c>
      <c r="O3943" s="2">
        <v>46226</v>
      </c>
      <c r="P3943" s="2">
        <v>46316</v>
      </c>
      <c r="R3943" t="s">
        <v>10274</v>
      </c>
      <c r="S3943" t="str">
        <f>""</f>
        <v/>
      </c>
      <c r="T3943" t="s">
        <v>41</v>
      </c>
      <c r="U3943">
        <v>5696.48</v>
      </c>
      <c r="V3943">
        <v>5633.82</v>
      </c>
      <c r="W3943">
        <v>5633.82</v>
      </c>
      <c r="X3943">
        <v>0</v>
      </c>
      <c r="Y3943">
        <v>0</v>
      </c>
      <c r="Z3943">
        <v>-541</v>
      </c>
      <c r="AA3943">
        <v>694953</v>
      </c>
      <c r="AD3943" t="s">
        <v>64</v>
      </c>
      <c r="AE3943" t="s">
        <v>2533</v>
      </c>
      <c r="AF3943" t="s">
        <v>64</v>
      </c>
      <c r="AG3943" s="1" t="s">
        <v>10272</v>
      </c>
      <c r="AH3943" t="s">
        <v>44</v>
      </c>
    </row>
    <row r="3944" spans="1:34" x14ac:dyDescent="0.3">
      <c r="A3944">
        <v>101</v>
      </c>
      <c r="B3944" t="s">
        <v>34</v>
      </c>
      <c r="C3944">
        <v>2</v>
      </c>
      <c r="D3944" s="1" t="s">
        <v>10275</v>
      </c>
      <c r="E3944" s="1" t="s">
        <v>36</v>
      </c>
      <c r="G3944">
        <v>445796</v>
      </c>
      <c r="H3944" t="s">
        <v>10270</v>
      </c>
      <c r="I3944" t="s">
        <v>2413</v>
      </c>
      <c r="J3944">
        <v>30</v>
      </c>
      <c r="K3944">
        <v>2695</v>
      </c>
      <c r="L3944">
        <v>95000</v>
      </c>
      <c r="M3944" t="s">
        <v>69</v>
      </c>
      <c r="N3944">
        <v>691</v>
      </c>
      <c r="O3944" s="2">
        <v>46170</v>
      </c>
      <c r="P3944" s="2">
        <v>46296</v>
      </c>
      <c r="R3944" t="s">
        <v>10276</v>
      </c>
      <c r="S3944" t="str">
        <f>""</f>
        <v/>
      </c>
      <c r="T3944" t="s">
        <v>41</v>
      </c>
      <c r="U3944">
        <v>16555.939999999999</v>
      </c>
      <c r="V3944">
        <v>16373.82</v>
      </c>
      <c r="W3944">
        <v>16373.82</v>
      </c>
      <c r="X3944">
        <v>0</v>
      </c>
      <c r="Y3944">
        <v>0</v>
      </c>
      <c r="Z3944">
        <v>-521</v>
      </c>
      <c r="AA3944">
        <v>689328</v>
      </c>
      <c r="AD3944" t="s">
        <v>64</v>
      </c>
      <c r="AE3944" t="s">
        <v>2533</v>
      </c>
      <c r="AF3944" t="s">
        <v>64</v>
      </c>
      <c r="AG3944" s="1" t="s">
        <v>10272</v>
      </c>
      <c r="AH3944" t="s">
        <v>44</v>
      </c>
    </row>
    <row r="3945" spans="1:34" x14ac:dyDescent="0.3">
      <c r="A3945">
        <v>101</v>
      </c>
      <c r="B3945" t="s">
        <v>34</v>
      </c>
      <c r="C3945">
        <v>2</v>
      </c>
      <c r="D3945" s="1" t="s">
        <v>10277</v>
      </c>
      <c r="E3945" s="1" t="s">
        <v>36</v>
      </c>
      <c r="G3945">
        <v>445796</v>
      </c>
      <c r="H3945" t="s">
        <v>10270</v>
      </c>
      <c r="I3945" t="s">
        <v>2413</v>
      </c>
      <c r="J3945">
        <v>30</v>
      </c>
      <c r="K3945">
        <v>2695</v>
      </c>
      <c r="L3945">
        <v>95000</v>
      </c>
      <c r="M3945" t="s">
        <v>69</v>
      </c>
      <c r="N3945">
        <v>691</v>
      </c>
      <c r="O3945" s="2">
        <v>46197</v>
      </c>
      <c r="P3945" s="2">
        <v>46316</v>
      </c>
      <c r="R3945" t="s">
        <v>10278</v>
      </c>
      <c r="S3945" t="str">
        <f>""</f>
        <v/>
      </c>
      <c r="T3945" t="s">
        <v>41</v>
      </c>
      <c r="U3945">
        <v>20072.599999999999</v>
      </c>
      <c r="V3945">
        <v>19851.8</v>
      </c>
      <c r="W3945">
        <v>19851.8</v>
      </c>
      <c r="X3945">
        <v>0</v>
      </c>
      <c r="Y3945">
        <v>0</v>
      </c>
      <c r="Z3945">
        <v>-541</v>
      </c>
      <c r="AA3945">
        <v>692288</v>
      </c>
      <c r="AD3945" t="s">
        <v>64</v>
      </c>
      <c r="AE3945" t="s">
        <v>2533</v>
      </c>
      <c r="AF3945" t="s">
        <v>64</v>
      </c>
      <c r="AG3945" s="1" t="s">
        <v>10272</v>
      </c>
      <c r="AH3945" t="s">
        <v>44</v>
      </c>
    </row>
    <row r="3946" spans="1:34" x14ac:dyDescent="0.3">
      <c r="A3946">
        <v>101</v>
      </c>
      <c r="B3946" t="s">
        <v>34</v>
      </c>
      <c r="C3946">
        <v>2</v>
      </c>
      <c r="D3946" s="1" t="s">
        <v>10279</v>
      </c>
      <c r="E3946" s="1" t="s">
        <v>36</v>
      </c>
      <c r="G3946">
        <v>445797</v>
      </c>
      <c r="H3946" t="s">
        <v>10280</v>
      </c>
      <c r="I3946" t="s">
        <v>2413</v>
      </c>
      <c r="J3946">
        <v>30</v>
      </c>
      <c r="K3946">
        <v>2695</v>
      </c>
      <c r="L3946">
        <v>95000</v>
      </c>
      <c r="M3946" t="s">
        <v>69</v>
      </c>
      <c r="N3946">
        <v>691</v>
      </c>
      <c r="O3946" s="2">
        <v>46253</v>
      </c>
      <c r="P3946" s="2">
        <v>46343</v>
      </c>
      <c r="R3946" t="s">
        <v>10281</v>
      </c>
      <c r="S3946" t="str">
        <f>""</f>
        <v/>
      </c>
      <c r="T3946" t="s">
        <v>41</v>
      </c>
      <c r="U3946">
        <v>3538</v>
      </c>
      <c r="V3946">
        <v>3499.08</v>
      </c>
      <c r="W3946">
        <v>3499.08</v>
      </c>
      <c r="X3946">
        <v>0</v>
      </c>
      <c r="Y3946">
        <v>0</v>
      </c>
      <c r="Z3946">
        <v>-568</v>
      </c>
      <c r="AA3946">
        <v>696995</v>
      </c>
      <c r="AD3946" t="s">
        <v>64</v>
      </c>
      <c r="AE3946" t="s">
        <v>2533</v>
      </c>
      <c r="AF3946" t="s">
        <v>64</v>
      </c>
      <c r="AG3946" s="1" t="s">
        <v>10282</v>
      </c>
      <c r="AH3946" t="s">
        <v>44</v>
      </c>
    </row>
    <row r="3947" spans="1:34" x14ac:dyDescent="0.3">
      <c r="A3947">
        <v>101</v>
      </c>
      <c r="B3947" t="s">
        <v>34</v>
      </c>
      <c r="C3947">
        <v>2</v>
      </c>
      <c r="D3947" s="1" t="s">
        <v>10283</v>
      </c>
      <c r="E3947" s="1" t="s">
        <v>36</v>
      </c>
      <c r="G3947">
        <v>445797</v>
      </c>
      <c r="H3947" t="s">
        <v>10280</v>
      </c>
      <c r="I3947" t="s">
        <v>2413</v>
      </c>
      <c r="J3947">
        <v>30</v>
      </c>
      <c r="K3947">
        <v>2695</v>
      </c>
      <c r="L3947">
        <v>95000</v>
      </c>
      <c r="M3947" t="s">
        <v>69</v>
      </c>
      <c r="N3947">
        <v>691</v>
      </c>
      <c r="O3947" s="2">
        <v>46226</v>
      </c>
      <c r="P3947" s="2">
        <v>46349</v>
      </c>
      <c r="R3947" t="s">
        <v>10284</v>
      </c>
      <c r="S3947" t="str">
        <f>""</f>
        <v/>
      </c>
      <c r="T3947" t="s">
        <v>41</v>
      </c>
      <c r="U3947">
        <v>10294.799999999999</v>
      </c>
      <c r="V3947">
        <v>10181.56</v>
      </c>
      <c r="W3947">
        <v>10181.56</v>
      </c>
      <c r="X3947">
        <v>0</v>
      </c>
      <c r="Y3947">
        <v>0</v>
      </c>
      <c r="Z3947">
        <v>-574</v>
      </c>
      <c r="AA3947">
        <v>694961</v>
      </c>
      <c r="AD3947" t="s">
        <v>64</v>
      </c>
      <c r="AE3947" t="s">
        <v>2533</v>
      </c>
      <c r="AF3947" t="s">
        <v>64</v>
      </c>
      <c r="AG3947" s="1" t="s">
        <v>10282</v>
      </c>
      <c r="AH3947" t="s">
        <v>44</v>
      </c>
    </row>
    <row r="3948" spans="1:34" x14ac:dyDescent="0.3">
      <c r="A3948">
        <v>101</v>
      </c>
      <c r="B3948" t="s">
        <v>34</v>
      </c>
      <c r="C3948">
        <v>2</v>
      </c>
      <c r="D3948" s="1" t="s">
        <v>10285</v>
      </c>
      <c r="E3948" s="1" t="s">
        <v>36</v>
      </c>
      <c r="G3948">
        <v>445797</v>
      </c>
      <c r="H3948" t="s">
        <v>10280</v>
      </c>
      <c r="I3948" t="s">
        <v>2413</v>
      </c>
      <c r="J3948">
        <v>30</v>
      </c>
      <c r="K3948">
        <v>2695</v>
      </c>
      <c r="L3948">
        <v>95000</v>
      </c>
      <c r="M3948" t="s">
        <v>69</v>
      </c>
      <c r="N3948">
        <v>691</v>
      </c>
      <c r="O3948" s="2">
        <v>46171</v>
      </c>
      <c r="P3948" s="2">
        <v>46286</v>
      </c>
      <c r="R3948" t="s">
        <v>10286</v>
      </c>
      <c r="S3948" t="str">
        <f>""</f>
        <v/>
      </c>
      <c r="T3948" t="s">
        <v>41</v>
      </c>
      <c r="U3948">
        <v>2134.8000000000002</v>
      </c>
      <c r="V3948">
        <v>2111.3200000000002</v>
      </c>
      <c r="W3948">
        <v>2111.3200000000002</v>
      </c>
      <c r="X3948">
        <v>0</v>
      </c>
      <c r="Y3948">
        <v>0</v>
      </c>
      <c r="Z3948">
        <v>-511</v>
      </c>
      <c r="AA3948">
        <v>689196</v>
      </c>
      <c r="AD3948" t="s">
        <v>64</v>
      </c>
      <c r="AE3948" t="s">
        <v>2533</v>
      </c>
      <c r="AF3948" t="s">
        <v>64</v>
      </c>
      <c r="AG3948" s="1" t="s">
        <v>10282</v>
      </c>
      <c r="AH3948" t="s">
        <v>44</v>
      </c>
    </row>
    <row r="3949" spans="1:34" x14ac:dyDescent="0.3">
      <c r="A3949">
        <v>101</v>
      </c>
      <c r="B3949" t="s">
        <v>34</v>
      </c>
      <c r="C3949">
        <v>2</v>
      </c>
      <c r="D3949" s="1" t="s">
        <v>10287</v>
      </c>
      <c r="E3949" s="1" t="s">
        <v>36</v>
      </c>
      <c r="G3949">
        <v>445797</v>
      </c>
      <c r="H3949" t="s">
        <v>10280</v>
      </c>
      <c r="I3949" t="s">
        <v>2413</v>
      </c>
      <c r="J3949">
        <v>30</v>
      </c>
      <c r="K3949">
        <v>2695</v>
      </c>
      <c r="L3949">
        <v>95000</v>
      </c>
      <c r="M3949" t="s">
        <v>69</v>
      </c>
      <c r="N3949">
        <v>691</v>
      </c>
      <c r="O3949" s="2">
        <v>46199</v>
      </c>
      <c r="P3949" s="2">
        <v>46316</v>
      </c>
      <c r="R3949" t="s">
        <v>10288</v>
      </c>
      <c r="S3949" t="str">
        <f>""</f>
        <v/>
      </c>
      <c r="T3949" t="s">
        <v>41</v>
      </c>
      <c r="U3949">
        <v>585.36</v>
      </c>
      <c r="V3949">
        <v>578.91999999999996</v>
      </c>
      <c r="W3949">
        <v>578.91999999999996</v>
      </c>
      <c r="X3949">
        <v>0</v>
      </c>
      <c r="Y3949">
        <v>0</v>
      </c>
      <c r="Z3949">
        <v>-541</v>
      </c>
      <c r="AA3949">
        <v>692811</v>
      </c>
      <c r="AD3949" t="s">
        <v>64</v>
      </c>
      <c r="AE3949" t="s">
        <v>2533</v>
      </c>
      <c r="AF3949" t="s">
        <v>64</v>
      </c>
      <c r="AG3949" s="1" t="s">
        <v>10282</v>
      </c>
      <c r="AH3949" t="s">
        <v>44</v>
      </c>
    </row>
    <row r="3950" spans="1:34" x14ac:dyDescent="0.3">
      <c r="A3950">
        <v>101</v>
      </c>
      <c r="B3950" t="s">
        <v>34</v>
      </c>
      <c r="C3950">
        <v>2</v>
      </c>
      <c r="D3950" s="1" t="s">
        <v>10289</v>
      </c>
      <c r="E3950" s="1" t="s">
        <v>36</v>
      </c>
      <c r="G3950">
        <v>445797</v>
      </c>
      <c r="H3950" t="s">
        <v>10280</v>
      </c>
      <c r="I3950" t="s">
        <v>2413</v>
      </c>
      <c r="J3950">
        <v>30</v>
      </c>
      <c r="K3950">
        <v>2695</v>
      </c>
      <c r="L3950">
        <v>95000</v>
      </c>
      <c r="M3950" t="s">
        <v>69</v>
      </c>
      <c r="N3950">
        <v>691</v>
      </c>
      <c r="O3950" s="2">
        <v>46170</v>
      </c>
      <c r="P3950" s="2">
        <v>46286</v>
      </c>
      <c r="R3950" t="s">
        <v>10290</v>
      </c>
      <c r="S3950" t="str">
        <f>""</f>
        <v/>
      </c>
      <c r="T3950" t="s">
        <v>41</v>
      </c>
      <c r="U3950">
        <v>13090.03</v>
      </c>
      <c r="V3950">
        <v>12946.04</v>
      </c>
      <c r="W3950">
        <v>12946.04</v>
      </c>
      <c r="X3950">
        <v>0</v>
      </c>
      <c r="Y3950">
        <v>0</v>
      </c>
      <c r="Z3950">
        <v>-511</v>
      </c>
      <c r="AA3950">
        <v>689196</v>
      </c>
      <c r="AD3950" t="s">
        <v>64</v>
      </c>
      <c r="AE3950" t="s">
        <v>2533</v>
      </c>
      <c r="AF3950" t="s">
        <v>64</v>
      </c>
      <c r="AG3950" s="1" t="s">
        <v>10282</v>
      </c>
      <c r="AH3950" t="s">
        <v>44</v>
      </c>
    </row>
    <row r="3951" spans="1:34" x14ac:dyDescent="0.3">
      <c r="A3951">
        <v>101</v>
      </c>
      <c r="B3951" t="s">
        <v>34</v>
      </c>
      <c r="C3951">
        <v>2</v>
      </c>
      <c r="D3951" s="1" t="s">
        <v>10291</v>
      </c>
      <c r="E3951" s="1" t="s">
        <v>36</v>
      </c>
      <c r="G3951">
        <v>445797</v>
      </c>
      <c r="H3951" t="s">
        <v>10280</v>
      </c>
      <c r="I3951" t="s">
        <v>2413</v>
      </c>
      <c r="J3951">
        <v>30</v>
      </c>
      <c r="K3951">
        <v>2695</v>
      </c>
      <c r="L3951">
        <v>95000</v>
      </c>
      <c r="M3951" t="s">
        <v>69</v>
      </c>
      <c r="N3951">
        <v>691</v>
      </c>
      <c r="O3951" s="2">
        <v>46199</v>
      </c>
      <c r="P3951" s="2">
        <v>46316</v>
      </c>
      <c r="R3951" t="s">
        <v>10292</v>
      </c>
      <c r="S3951" t="str">
        <f>""</f>
        <v/>
      </c>
      <c r="T3951" t="s">
        <v>41</v>
      </c>
      <c r="U3951">
        <v>884.5</v>
      </c>
      <c r="V3951">
        <v>874.77</v>
      </c>
      <c r="W3951">
        <v>874.77</v>
      </c>
      <c r="X3951">
        <v>0</v>
      </c>
      <c r="Y3951">
        <v>0</v>
      </c>
      <c r="Z3951">
        <v>-541</v>
      </c>
      <c r="AA3951">
        <v>692536</v>
      </c>
      <c r="AD3951" t="s">
        <v>64</v>
      </c>
      <c r="AE3951" t="s">
        <v>2533</v>
      </c>
      <c r="AF3951" t="s">
        <v>64</v>
      </c>
      <c r="AG3951" s="1" t="s">
        <v>10282</v>
      </c>
      <c r="AH3951" t="s">
        <v>44</v>
      </c>
    </row>
    <row r="3952" spans="1:34" x14ac:dyDescent="0.3">
      <c r="A3952">
        <v>101</v>
      </c>
      <c r="B3952" t="s">
        <v>34</v>
      </c>
      <c r="C3952">
        <v>2</v>
      </c>
      <c r="D3952" s="1" t="s">
        <v>10293</v>
      </c>
      <c r="E3952" s="1" t="s">
        <v>36</v>
      </c>
      <c r="G3952">
        <v>445797</v>
      </c>
      <c r="H3952" t="s">
        <v>10280</v>
      </c>
      <c r="I3952" t="s">
        <v>2413</v>
      </c>
      <c r="J3952">
        <v>30</v>
      </c>
      <c r="K3952">
        <v>2695</v>
      </c>
      <c r="L3952">
        <v>95000</v>
      </c>
      <c r="M3952" t="s">
        <v>69</v>
      </c>
      <c r="N3952">
        <v>691</v>
      </c>
      <c r="O3952" s="2">
        <v>46170</v>
      </c>
      <c r="P3952" s="2">
        <v>46286</v>
      </c>
      <c r="R3952" t="s">
        <v>10294</v>
      </c>
      <c r="S3952" t="str">
        <f>""</f>
        <v/>
      </c>
      <c r="T3952" t="s">
        <v>41</v>
      </c>
      <c r="U3952">
        <v>2155.64</v>
      </c>
      <c r="V3952">
        <v>2131.9299999999998</v>
      </c>
      <c r="W3952">
        <v>2131.9299999999998</v>
      </c>
      <c r="X3952">
        <v>0</v>
      </c>
      <c r="Y3952">
        <v>0</v>
      </c>
      <c r="Z3952">
        <v>-511</v>
      </c>
      <c r="AA3952">
        <v>689477</v>
      </c>
      <c r="AD3952" t="s">
        <v>64</v>
      </c>
      <c r="AE3952" t="s">
        <v>2533</v>
      </c>
      <c r="AF3952" t="s">
        <v>64</v>
      </c>
      <c r="AG3952" s="1" t="s">
        <v>10282</v>
      </c>
      <c r="AH3952" t="s">
        <v>44</v>
      </c>
    </row>
    <row r="3953" spans="1:34" x14ac:dyDescent="0.3">
      <c r="A3953">
        <v>101</v>
      </c>
      <c r="B3953" t="s">
        <v>34</v>
      </c>
      <c r="C3953">
        <v>2</v>
      </c>
      <c r="D3953" s="1" t="s">
        <v>10295</v>
      </c>
      <c r="E3953" s="1" t="s">
        <v>36</v>
      </c>
      <c r="G3953">
        <v>445797</v>
      </c>
      <c r="H3953" t="s">
        <v>10280</v>
      </c>
      <c r="I3953" t="s">
        <v>2413</v>
      </c>
      <c r="J3953">
        <v>30</v>
      </c>
      <c r="K3953">
        <v>2695</v>
      </c>
      <c r="L3953">
        <v>95000</v>
      </c>
      <c r="M3953" t="s">
        <v>69</v>
      </c>
      <c r="N3953">
        <v>691</v>
      </c>
      <c r="O3953" s="2">
        <v>46197</v>
      </c>
      <c r="P3953" s="2">
        <v>46316</v>
      </c>
      <c r="R3953" t="s">
        <v>10296</v>
      </c>
      <c r="S3953" t="str">
        <f>""</f>
        <v/>
      </c>
      <c r="T3953" t="s">
        <v>41</v>
      </c>
      <c r="U3953">
        <v>13238.28</v>
      </c>
      <c r="V3953">
        <v>13092.66</v>
      </c>
      <c r="W3953">
        <v>13092.66</v>
      </c>
      <c r="X3953">
        <v>0</v>
      </c>
      <c r="Y3953">
        <v>0</v>
      </c>
      <c r="Z3953">
        <v>-541</v>
      </c>
      <c r="AA3953">
        <v>692158</v>
      </c>
      <c r="AD3953" t="s">
        <v>64</v>
      </c>
      <c r="AE3953" t="s">
        <v>2533</v>
      </c>
      <c r="AF3953" t="s">
        <v>64</v>
      </c>
      <c r="AG3953" s="1" t="s">
        <v>10282</v>
      </c>
      <c r="AH3953" t="s">
        <v>44</v>
      </c>
    </row>
    <row r="3954" spans="1:34" x14ac:dyDescent="0.3">
      <c r="A3954">
        <v>101</v>
      </c>
      <c r="B3954" t="s">
        <v>34</v>
      </c>
      <c r="C3954">
        <v>2</v>
      </c>
      <c r="D3954" s="1" t="s">
        <v>10297</v>
      </c>
      <c r="E3954" s="1" t="s">
        <v>36</v>
      </c>
      <c r="G3954">
        <v>445797</v>
      </c>
      <c r="H3954" t="s">
        <v>10280</v>
      </c>
      <c r="I3954" t="s">
        <v>2413</v>
      </c>
      <c r="J3954">
        <v>30</v>
      </c>
      <c r="K3954">
        <v>2695</v>
      </c>
      <c r="L3954">
        <v>95000</v>
      </c>
      <c r="M3954" t="s">
        <v>69</v>
      </c>
      <c r="N3954">
        <v>691</v>
      </c>
      <c r="O3954" s="2">
        <v>46140</v>
      </c>
      <c r="P3954" s="2">
        <v>46255</v>
      </c>
      <c r="R3954" t="s">
        <v>10298</v>
      </c>
      <c r="S3954" t="str">
        <f>""</f>
        <v/>
      </c>
      <c r="T3954" t="s">
        <v>41</v>
      </c>
      <c r="U3954">
        <v>4324.42</v>
      </c>
      <c r="V3954">
        <v>4276.8500000000004</v>
      </c>
      <c r="W3954">
        <v>4276.8500000000004</v>
      </c>
      <c r="X3954">
        <v>0</v>
      </c>
      <c r="Y3954">
        <v>0</v>
      </c>
      <c r="Z3954">
        <v>-480</v>
      </c>
      <c r="AA3954">
        <v>686894</v>
      </c>
      <c r="AD3954" t="s">
        <v>64</v>
      </c>
      <c r="AE3954" t="s">
        <v>2533</v>
      </c>
      <c r="AF3954" t="s">
        <v>64</v>
      </c>
      <c r="AG3954" s="1" t="s">
        <v>10282</v>
      </c>
      <c r="AH3954" t="s">
        <v>44</v>
      </c>
    </row>
    <row r="3955" spans="1:34" x14ac:dyDescent="0.3">
      <c r="A3955">
        <v>101</v>
      </c>
      <c r="B3955" t="s">
        <v>34</v>
      </c>
      <c r="C3955">
        <v>2</v>
      </c>
      <c r="D3955" s="1" t="s">
        <v>10299</v>
      </c>
      <c r="E3955" s="1" t="s">
        <v>36</v>
      </c>
      <c r="G3955">
        <v>445797</v>
      </c>
      <c r="H3955" t="s">
        <v>10280</v>
      </c>
      <c r="I3955" t="s">
        <v>2413</v>
      </c>
      <c r="J3955">
        <v>30</v>
      </c>
      <c r="K3955">
        <v>2695</v>
      </c>
      <c r="L3955">
        <v>95000</v>
      </c>
      <c r="M3955" t="s">
        <v>69</v>
      </c>
      <c r="N3955">
        <v>691</v>
      </c>
      <c r="O3955" s="2">
        <v>46140</v>
      </c>
      <c r="P3955" s="2">
        <v>46255</v>
      </c>
      <c r="R3955" t="s">
        <v>10300</v>
      </c>
      <c r="S3955" t="str">
        <f>""</f>
        <v/>
      </c>
      <c r="T3955" t="s">
        <v>41</v>
      </c>
      <c r="U3955">
        <v>11714.47</v>
      </c>
      <c r="V3955">
        <v>11585.61</v>
      </c>
      <c r="W3955">
        <v>11585.61</v>
      </c>
      <c r="X3955">
        <v>0</v>
      </c>
      <c r="Y3955">
        <v>0</v>
      </c>
      <c r="Z3955">
        <v>-480</v>
      </c>
      <c r="AA3955">
        <v>686594</v>
      </c>
      <c r="AD3955" t="s">
        <v>64</v>
      </c>
      <c r="AE3955" t="s">
        <v>2533</v>
      </c>
      <c r="AF3955" t="s">
        <v>64</v>
      </c>
      <c r="AG3955" s="1" t="s">
        <v>10282</v>
      </c>
      <c r="AH3955" t="s">
        <v>44</v>
      </c>
    </row>
    <row r="3956" spans="1:34" x14ac:dyDescent="0.3">
      <c r="A3956">
        <v>101</v>
      </c>
      <c r="B3956" t="s">
        <v>34</v>
      </c>
      <c r="C3956">
        <v>2</v>
      </c>
      <c r="D3956" s="1" t="s">
        <v>10301</v>
      </c>
      <c r="E3956" s="1" t="s">
        <v>36</v>
      </c>
      <c r="G3956">
        <v>445797</v>
      </c>
      <c r="H3956" t="s">
        <v>10280</v>
      </c>
      <c r="I3956" t="s">
        <v>2413</v>
      </c>
      <c r="J3956">
        <v>30</v>
      </c>
      <c r="K3956">
        <v>2695</v>
      </c>
      <c r="L3956">
        <v>95000</v>
      </c>
      <c r="M3956" t="s">
        <v>69</v>
      </c>
      <c r="N3956">
        <v>691</v>
      </c>
      <c r="O3956" s="2">
        <v>46239</v>
      </c>
      <c r="P3956" s="2">
        <v>46349</v>
      </c>
      <c r="R3956" t="s">
        <v>10302</v>
      </c>
      <c r="S3956" t="str">
        <f>""</f>
        <v/>
      </c>
      <c r="T3956" t="s">
        <v>41</v>
      </c>
      <c r="U3956">
        <v>2470.17</v>
      </c>
      <c r="V3956">
        <v>2443</v>
      </c>
      <c r="W3956">
        <v>2443</v>
      </c>
      <c r="X3956">
        <v>0</v>
      </c>
      <c r="Y3956">
        <v>0</v>
      </c>
      <c r="Z3956">
        <v>-574</v>
      </c>
      <c r="AA3956">
        <v>696215</v>
      </c>
      <c r="AD3956" t="s">
        <v>64</v>
      </c>
      <c r="AE3956" t="s">
        <v>2533</v>
      </c>
      <c r="AF3956" t="s">
        <v>64</v>
      </c>
      <c r="AG3956" s="1" t="s">
        <v>10282</v>
      </c>
      <c r="AH3956" t="s">
        <v>44</v>
      </c>
    </row>
    <row r="3957" spans="1:34" x14ac:dyDescent="0.3">
      <c r="A3957">
        <v>101</v>
      </c>
      <c r="B3957" t="s">
        <v>34</v>
      </c>
      <c r="C3957">
        <v>2</v>
      </c>
      <c r="D3957" s="1" t="s">
        <v>10303</v>
      </c>
      <c r="E3957" s="1" t="s">
        <v>36</v>
      </c>
      <c r="G3957">
        <v>446132</v>
      </c>
      <c r="H3957" t="s">
        <v>10304</v>
      </c>
      <c r="I3957" t="s">
        <v>2413</v>
      </c>
      <c r="J3957">
        <v>30</v>
      </c>
      <c r="K3957">
        <v>2695</v>
      </c>
      <c r="L3957">
        <v>95000</v>
      </c>
      <c r="M3957" t="s">
        <v>69</v>
      </c>
      <c r="N3957">
        <v>691</v>
      </c>
      <c r="O3957" s="2">
        <v>46170</v>
      </c>
      <c r="P3957" s="2">
        <v>46286</v>
      </c>
      <c r="R3957" t="s">
        <v>10305</v>
      </c>
      <c r="S3957" t="str">
        <f>""</f>
        <v/>
      </c>
      <c r="T3957" t="s">
        <v>41</v>
      </c>
      <c r="U3957">
        <v>18398.810000000001</v>
      </c>
      <c r="V3957">
        <v>18196.419999999998</v>
      </c>
      <c r="W3957">
        <v>18196.419999999998</v>
      </c>
      <c r="X3957">
        <v>0</v>
      </c>
      <c r="Y3957">
        <v>0</v>
      </c>
      <c r="Z3957">
        <v>-511</v>
      </c>
      <c r="AA3957">
        <v>689326</v>
      </c>
      <c r="AD3957" t="s">
        <v>5477</v>
      </c>
      <c r="AE3957" t="s">
        <v>2533</v>
      </c>
      <c r="AF3957" t="s">
        <v>5477</v>
      </c>
      <c r="AG3957" s="1" t="s">
        <v>10306</v>
      </c>
      <c r="AH3957" t="s">
        <v>44</v>
      </c>
    </row>
    <row r="3958" spans="1:34" x14ac:dyDescent="0.3">
      <c r="A3958">
        <v>101</v>
      </c>
      <c r="B3958" t="s">
        <v>34</v>
      </c>
      <c r="C3958">
        <v>2</v>
      </c>
      <c r="D3958" s="1" t="s">
        <v>10307</v>
      </c>
      <c r="E3958" s="1" t="s">
        <v>36</v>
      </c>
      <c r="G3958">
        <v>446132</v>
      </c>
      <c r="H3958" t="s">
        <v>10304</v>
      </c>
      <c r="I3958" t="s">
        <v>2413</v>
      </c>
      <c r="J3958">
        <v>30</v>
      </c>
      <c r="K3958">
        <v>2695</v>
      </c>
      <c r="L3958">
        <v>95000</v>
      </c>
      <c r="M3958" t="s">
        <v>69</v>
      </c>
      <c r="N3958">
        <v>691</v>
      </c>
      <c r="O3958" s="2">
        <v>46185</v>
      </c>
      <c r="P3958" s="2">
        <v>46286</v>
      </c>
      <c r="R3958" t="s">
        <v>10308</v>
      </c>
      <c r="S3958" t="str">
        <f>""</f>
        <v/>
      </c>
      <c r="T3958" t="s">
        <v>41</v>
      </c>
      <c r="U3958">
        <v>2846.4</v>
      </c>
      <c r="V3958">
        <v>2815.09</v>
      </c>
      <c r="W3958">
        <v>2815.09</v>
      </c>
      <c r="X3958">
        <v>0</v>
      </c>
      <c r="Y3958">
        <v>0</v>
      </c>
      <c r="Z3958">
        <v>-511</v>
      </c>
      <c r="AA3958">
        <v>689326</v>
      </c>
      <c r="AD3958" t="s">
        <v>5477</v>
      </c>
      <c r="AE3958" t="s">
        <v>2533</v>
      </c>
      <c r="AF3958" t="s">
        <v>5477</v>
      </c>
      <c r="AG3958" s="1" t="s">
        <v>10306</v>
      </c>
      <c r="AH3958" t="s">
        <v>44</v>
      </c>
    </row>
    <row r="3959" spans="1:34" x14ac:dyDescent="0.3">
      <c r="A3959">
        <v>101</v>
      </c>
      <c r="B3959" t="s">
        <v>34</v>
      </c>
      <c r="C3959">
        <v>2</v>
      </c>
      <c r="D3959" s="1" t="s">
        <v>10309</v>
      </c>
      <c r="E3959" s="1" t="s">
        <v>36</v>
      </c>
      <c r="G3959">
        <v>446132</v>
      </c>
      <c r="H3959" t="s">
        <v>10304</v>
      </c>
      <c r="I3959" t="s">
        <v>2413</v>
      </c>
      <c r="J3959">
        <v>30</v>
      </c>
      <c r="K3959">
        <v>2695</v>
      </c>
      <c r="L3959">
        <v>95000</v>
      </c>
      <c r="M3959" t="s">
        <v>69</v>
      </c>
      <c r="N3959">
        <v>691</v>
      </c>
      <c r="O3959" s="2">
        <v>46140</v>
      </c>
      <c r="P3959" s="2">
        <v>46255</v>
      </c>
      <c r="R3959" t="s">
        <v>10310</v>
      </c>
      <c r="S3959" t="str">
        <f>""</f>
        <v/>
      </c>
      <c r="T3959" t="s">
        <v>41</v>
      </c>
      <c r="U3959">
        <v>6907.31</v>
      </c>
      <c r="V3959">
        <v>6831.33</v>
      </c>
      <c r="W3959">
        <v>6831.33</v>
      </c>
      <c r="X3959">
        <v>0</v>
      </c>
      <c r="Y3959">
        <v>0</v>
      </c>
      <c r="Z3959">
        <v>-480</v>
      </c>
      <c r="AA3959">
        <v>686726</v>
      </c>
      <c r="AD3959" t="s">
        <v>5477</v>
      </c>
      <c r="AE3959" t="s">
        <v>2533</v>
      </c>
      <c r="AF3959" t="s">
        <v>5477</v>
      </c>
      <c r="AG3959" s="1" t="s">
        <v>10306</v>
      </c>
      <c r="AH3959" t="s">
        <v>44</v>
      </c>
    </row>
    <row r="3960" spans="1:34" x14ac:dyDescent="0.3">
      <c r="A3960">
        <v>101</v>
      </c>
      <c r="B3960" t="s">
        <v>34</v>
      </c>
      <c r="C3960">
        <v>2</v>
      </c>
      <c r="D3960" s="1" t="s">
        <v>10311</v>
      </c>
      <c r="E3960" s="1" t="s">
        <v>36</v>
      </c>
      <c r="G3960">
        <v>446132</v>
      </c>
      <c r="H3960" t="s">
        <v>10304</v>
      </c>
      <c r="I3960" t="s">
        <v>2413</v>
      </c>
      <c r="J3960">
        <v>30</v>
      </c>
      <c r="K3960">
        <v>2695</v>
      </c>
      <c r="L3960">
        <v>95000</v>
      </c>
      <c r="M3960" t="s">
        <v>69</v>
      </c>
      <c r="N3960">
        <v>691</v>
      </c>
      <c r="O3960" s="2">
        <v>46197</v>
      </c>
      <c r="P3960" s="2">
        <v>46308</v>
      </c>
      <c r="R3960" t="s">
        <v>10312</v>
      </c>
      <c r="S3960" t="str">
        <f>""</f>
        <v/>
      </c>
      <c r="T3960" t="s">
        <v>41</v>
      </c>
      <c r="U3960">
        <v>9386.92</v>
      </c>
      <c r="V3960">
        <v>9283.66</v>
      </c>
      <c r="W3960">
        <v>9283.66</v>
      </c>
      <c r="X3960">
        <v>0</v>
      </c>
      <c r="Y3960">
        <v>0</v>
      </c>
      <c r="Z3960">
        <v>-533</v>
      </c>
      <c r="AA3960">
        <v>692286</v>
      </c>
      <c r="AD3960" t="s">
        <v>5477</v>
      </c>
      <c r="AE3960" t="s">
        <v>2533</v>
      </c>
      <c r="AF3960" t="s">
        <v>5477</v>
      </c>
      <c r="AG3960" s="1" t="s">
        <v>10306</v>
      </c>
      <c r="AH3960" t="s">
        <v>44</v>
      </c>
    </row>
    <row r="3961" spans="1:34" x14ac:dyDescent="0.3">
      <c r="A3961">
        <v>101</v>
      </c>
      <c r="B3961" t="s">
        <v>34</v>
      </c>
      <c r="C3961">
        <v>2</v>
      </c>
      <c r="D3961" s="1" t="s">
        <v>10313</v>
      </c>
      <c r="E3961" s="1" t="s">
        <v>36</v>
      </c>
      <c r="G3961">
        <v>446132</v>
      </c>
      <c r="H3961" t="s">
        <v>10304</v>
      </c>
      <c r="I3961" t="s">
        <v>2413</v>
      </c>
      <c r="J3961">
        <v>30</v>
      </c>
      <c r="K3961">
        <v>2695</v>
      </c>
      <c r="L3961">
        <v>95000</v>
      </c>
      <c r="M3961" t="s">
        <v>69</v>
      </c>
      <c r="N3961">
        <v>691</v>
      </c>
      <c r="O3961" s="2">
        <v>46226</v>
      </c>
      <c r="P3961" s="2">
        <v>46349</v>
      </c>
      <c r="R3961" t="s">
        <v>10314</v>
      </c>
      <c r="S3961" t="str">
        <f>""</f>
        <v/>
      </c>
      <c r="T3961" t="s">
        <v>41</v>
      </c>
      <c r="U3961">
        <v>8701.3799999999992</v>
      </c>
      <c r="V3961">
        <v>8605.66</v>
      </c>
      <c r="W3961">
        <v>8605.66</v>
      </c>
      <c r="X3961">
        <v>0</v>
      </c>
      <c r="Y3961">
        <v>0</v>
      </c>
      <c r="Z3961">
        <v>-574</v>
      </c>
      <c r="AA3961">
        <v>694949</v>
      </c>
      <c r="AD3961" t="s">
        <v>5477</v>
      </c>
      <c r="AE3961" t="s">
        <v>2533</v>
      </c>
      <c r="AF3961" t="s">
        <v>5477</v>
      </c>
      <c r="AG3961" s="1" t="s">
        <v>10306</v>
      </c>
      <c r="AH3961" t="s">
        <v>44</v>
      </c>
    </row>
    <row r="3962" spans="1:34" x14ac:dyDescent="0.3">
      <c r="A3962">
        <v>101</v>
      </c>
      <c r="B3962" t="s">
        <v>34</v>
      </c>
      <c r="C3962">
        <v>2</v>
      </c>
      <c r="D3962" s="1" t="s">
        <v>10315</v>
      </c>
      <c r="E3962" s="1" t="s">
        <v>36</v>
      </c>
      <c r="G3962">
        <v>446134</v>
      </c>
      <c r="H3962" t="s">
        <v>10316</v>
      </c>
      <c r="I3962" t="s">
        <v>2413</v>
      </c>
      <c r="J3962">
        <v>30</v>
      </c>
      <c r="K3962">
        <v>2695</v>
      </c>
      <c r="L3962">
        <v>95000</v>
      </c>
      <c r="M3962" t="s">
        <v>69</v>
      </c>
      <c r="N3962">
        <v>691</v>
      </c>
      <c r="O3962" s="2">
        <v>46198</v>
      </c>
      <c r="P3962" s="2">
        <v>46308</v>
      </c>
      <c r="R3962" t="s">
        <v>10317</v>
      </c>
      <c r="S3962" t="str">
        <f>""</f>
        <v/>
      </c>
      <c r="T3962" t="s">
        <v>41</v>
      </c>
      <c r="U3962">
        <v>17464.89</v>
      </c>
      <c r="V3962">
        <v>17272.78</v>
      </c>
      <c r="W3962">
        <v>17272.78</v>
      </c>
      <c r="X3962">
        <v>0</v>
      </c>
      <c r="Y3962">
        <v>0</v>
      </c>
      <c r="Z3962">
        <v>-533</v>
      </c>
      <c r="AA3962">
        <v>692298</v>
      </c>
      <c r="AD3962" t="s">
        <v>5182</v>
      </c>
      <c r="AE3962" t="s">
        <v>2533</v>
      </c>
      <c r="AF3962" t="s">
        <v>5182</v>
      </c>
      <c r="AG3962" s="1" t="s">
        <v>10318</v>
      </c>
      <c r="AH3962" t="s">
        <v>44</v>
      </c>
    </row>
    <row r="3963" spans="1:34" x14ac:dyDescent="0.3">
      <c r="A3963">
        <v>101</v>
      </c>
      <c r="B3963" t="s">
        <v>34</v>
      </c>
      <c r="C3963">
        <v>2</v>
      </c>
      <c r="D3963" s="1" t="s">
        <v>10319</v>
      </c>
      <c r="E3963" s="1" t="s">
        <v>36</v>
      </c>
      <c r="G3963">
        <v>446134</v>
      </c>
      <c r="H3963" t="s">
        <v>10316</v>
      </c>
      <c r="I3963" t="s">
        <v>2413</v>
      </c>
      <c r="J3963">
        <v>30</v>
      </c>
      <c r="K3963">
        <v>2695</v>
      </c>
      <c r="L3963">
        <v>95000</v>
      </c>
      <c r="M3963" t="s">
        <v>69</v>
      </c>
      <c r="N3963">
        <v>691</v>
      </c>
      <c r="O3963" s="2">
        <v>46226</v>
      </c>
      <c r="P3963" s="2">
        <v>46349</v>
      </c>
      <c r="R3963" t="s">
        <v>10320</v>
      </c>
      <c r="S3963" t="str">
        <f>""</f>
        <v/>
      </c>
      <c r="T3963" t="s">
        <v>41</v>
      </c>
      <c r="U3963">
        <v>10570.44</v>
      </c>
      <c r="V3963">
        <v>10454.17</v>
      </c>
      <c r="W3963">
        <v>10454.17</v>
      </c>
      <c r="X3963">
        <v>0</v>
      </c>
      <c r="Y3963">
        <v>0</v>
      </c>
      <c r="Z3963">
        <v>-574</v>
      </c>
      <c r="AA3963">
        <v>694971</v>
      </c>
      <c r="AD3963" t="s">
        <v>5182</v>
      </c>
      <c r="AE3963" t="s">
        <v>2533</v>
      </c>
      <c r="AF3963" t="s">
        <v>5182</v>
      </c>
      <c r="AG3963" s="1" t="s">
        <v>10318</v>
      </c>
      <c r="AH3963" t="s">
        <v>44</v>
      </c>
    </row>
    <row r="3964" spans="1:34" x14ac:dyDescent="0.3">
      <c r="A3964">
        <v>101</v>
      </c>
      <c r="B3964" t="s">
        <v>34</v>
      </c>
      <c r="C3964">
        <v>2</v>
      </c>
      <c r="D3964" s="1" t="s">
        <v>10321</v>
      </c>
      <c r="E3964" s="1" t="s">
        <v>36</v>
      </c>
      <c r="G3964">
        <v>446134</v>
      </c>
      <c r="H3964" t="s">
        <v>10316</v>
      </c>
      <c r="I3964" t="s">
        <v>2413</v>
      </c>
      <c r="J3964">
        <v>30</v>
      </c>
      <c r="K3964">
        <v>2695</v>
      </c>
      <c r="L3964">
        <v>95000</v>
      </c>
      <c r="M3964" t="s">
        <v>69</v>
      </c>
      <c r="N3964">
        <v>691</v>
      </c>
      <c r="O3964" s="2">
        <v>46185</v>
      </c>
      <c r="P3964" s="2">
        <v>46308</v>
      </c>
      <c r="R3964" t="s">
        <v>10322</v>
      </c>
      <c r="S3964" t="str">
        <f>""</f>
        <v/>
      </c>
      <c r="T3964" t="s">
        <v>41</v>
      </c>
      <c r="U3964">
        <v>2134.8000000000002</v>
      </c>
      <c r="V3964">
        <v>2111.3200000000002</v>
      </c>
      <c r="W3964">
        <v>2111.3200000000002</v>
      </c>
      <c r="X3964">
        <v>0</v>
      </c>
      <c r="Y3964">
        <v>0</v>
      </c>
      <c r="Z3964">
        <v>-533</v>
      </c>
      <c r="AA3964">
        <v>689338</v>
      </c>
      <c r="AD3964" t="s">
        <v>5182</v>
      </c>
      <c r="AE3964" t="s">
        <v>2533</v>
      </c>
      <c r="AF3964" t="s">
        <v>5182</v>
      </c>
      <c r="AG3964" s="1" t="s">
        <v>10318</v>
      </c>
      <c r="AH3964" t="s">
        <v>44</v>
      </c>
    </row>
    <row r="3965" spans="1:34" x14ac:dyDescent="0.3">
      <c r="A3965">
        <v>101</v>
      </c>
      <c r="B3965" t="s">
        <v>34</v>
      </c>
      <c r="C3965">
        <v>2</v>
      </c>
      <c r="D3965" s="1" t="s">
        <v>10323</v>
      </c>
      <c r="E3965" s="1" t="s">
        <v>36</v>
      </c>
      <c r="G3965">
        <v>446134</v>
      </c>
      <c r="H3965" t="s">
        <v>10316</v>
      </c>
      <c r="I3965" t="s">
        <v>2413</v>
      </c>
      <c r="J3965">
        <v>30</v>
      </c>
      <c r="K3965">
        <v>2695</v>
      </c>
      <c r="L3965">
        <v>95000</v>
      </c>
      <c r="M3965" t="s">
        <v>69</v>
      </c>
      <c r="N3965">
        <v>691</v>
      </c>
      <c r="O3965" s="2">
        <v>46170</v>
      </c>
      <c r="P3965" s="2">
        <v>46308</v>
      </c>
      <c r="R3965" t="s">
        <v>10324</v>
      </c>
      <c r="S3965" t="str">
        <f>""</f>
        <v/>
      </c>
      <c r="T3965" t="s">
        <v>41</v>
      </c>
      <c r="U3965">
        <v>14364.03</v>
      </c>
      <c r="V3965">
        <v>14206.03</v>
      </c>
      <c r="W3965">
        <v>14206.03</v>
      </c>
      <c r="X3965">
        <v>0</v>
      </c>
      <c r="Y3965">
        <v>0</v>
      </c>
      <c r="Z3965">
        <v>-533</v>
      </c>
      <c r="AA3965">
        <v>689338</v>
      </c>
      <c r="AD3965" t="s">
        <v>5182</v>
      </c>
      <c r="AE3965" t="s">
        <v>2533</v>
      </c>
      <c r="AF3965" t="s">
        <v>5182</v>
      </c>
      <c r="AG3965" s="1" t="s">
        <v>10318</v>
      </c>
      <c r="AH3965" t="s">
        <v>44</v>
      </c>
    </row>
    <row r="3966" spans="1:34" x14ac:dyDescent="0.3">
      <c r="A3966">
        <v>101</v>
      </c>
      <c r="B3966" t="s">
        <v>34</v>
      </c>
      <c r="C3966">
        <v>2</v>
      </c>
      <c r="D3966" s="1" t="s">
        <v>10325</v>
      </c>
      <c r="E3966" s="1" t="s">
        <v>36</v>
      </c>
      <c r="G3966">
        <v>446134</v>
      </c>
      <c r="H3966" t="s">
        <v>10316</v>
      </c>
      <c r="I3966" t="s">
        <v>2413</v>
      </c>
      <c r="J3966">
        <v>30</v>
      </c>
      <c r="K3966">
        <v>2695</v>
      </c>
      <c r="L3966">
        <v>95000</v>
      </c>
      <c r="M3966" t="s">
        <v>69</v>
      </c>
      <c r="N3966">
        <v>691</v>
      </c>
      <c r="O3966" s="2">
        <v>46141</v>
      </c>
      <c r="P3966" s="2">
        <v>46266</v>
      </c>
      <c r="R3966" t="s">
        <v>10326</v>
      </c>
      <c r="S3966" t="str">
        <f>""</f>
        <v/>
      </c>
      <c r="T3966" t="s">
        <v>41</v>
      </c>
      <c r="U3966">
        <v>11387.35</v>
      </c>
      <c r="V3966">
        <v>11262.09</v>
      </c>
      <c r="W3966">
        <v>11262.09</v>
      </c>
      <c r="X3966">
        <v>0</v>
      </c>
      <c r="Y3966">
        <v>0</v>
      </c>
      <c r="Z3966">
        <v>-491</v>
      </c>
      <c r="AA3966">
        <v>686738</v>
      </c>
      <c r="AD3966" t="s">
        <v>5182</v>
      </c>
      <c r="AE3966" t="s">
        <v>2533</v>
      </c>
      <c r="AF3966" t="s">
        <v>5182</v>
      </c>
      <c r="AG3966" s="1" t="s">
        <v>10318</v>
      </c>
      <c r="AH3966" t="s">
        <v>44</v>
      </c>
    </row>
    <row r="3967" spans="1:34" x14ac:dyDescent="0.3">
      <c r="A3967">
        <v>101</v>
      </c>
      <c r="B3967" t="s">
        <v>34</v>
      </c>
      <c r="C3967">
        <v>2</v>
      </c>
      <c r="D3967" s="1" t="s">
        <v>10327</v>
      </c>
      <c r="E3967" s="1" t="s">
        <v>36</v>
      </c>
      <c r="G3967">
        <v>446135</v>
      </c>
      <c r="H3967" t="s">
        <v>10328</v>
      </c>
      <c r="I3967" t="s">
        <v>2413</v>
      </c>
      <c r="J3967">
        <v>30</v>
      </c>
      <c r="K3967">
        <v>2695</v>
      </c>
      <c r="L3967">
        <v>95000</v>
      </c>
      <c r="M3967" t="s">
        <v>69</v>
      </c>
      <c r="N3967">
        <v>691</v>
      </c>
      <c r="O3967" s="2">
        <v>46197</v>
      </c>
      <c r="P3967" s="2">
        <v>46337</v>
      </c>
      <c r="R3967" t="s">
        <v>10329</v>
      </c>
      <c r="S3967" t="str">
        <f>""</f>
        <v/>
      </c>
      <c r="T3967" t="s">
        <v>41</v>
      </c>
      <c r="U3967">
        <v>1319.81</v>
      </c>
      <c r="V3967">
        <v>1305.29</v>
      </c>
      <c r="W3967">
        <v>1305.29</v>
      </c>
      <c r="X3967">
        <v>0</v>
      </c>
      <c r="Y3967">
        <v>0</v>
      </c>
      <c r="Z3967">
        <v>-562</v>
      </c>
      <c r="AA3967">
        <v>692294</v>
      </c>
      <c r="AD3967" t="s">
        <v>64</v>
      </c>
      <c r="AE3967" t="s">
        <v>2533</v>
      </c>
      <c r="AF3967" t="s">
        <v>64</v>
      </c>
      <c r="AG3967" s="1" t="s">
        <v>10330</v>
      </c>
      <c r="AH3967" t="s">
        <v>44</v>
      </c>
    </row>
    <row r="3968" spans="1:34" x14ac:dyDescent="0.3">
      <c r="A3968">
        <v>101</v>
      </c>
      <c r="B3968" t="s">
        <v>34</v>
      </c>
      <c r="C3968">
        <v>2</v>
      </c>
      <c r="D3968" s="1" t="s">
        <v>10331</v>
      </c>
      <c r="E3968" s="1" t="s">
        <v>36</v>
      </c>
      <c r="G3968">
        <v>446135</v>
      </c>
      <c r="H3968" t="s">
        <v>10328</v>
      </c>
      <c r="I3968" t="s">
        <v>2413</v>
      </c>
      <c r="J3968">
        <v>30</v>
      </c>
      <c r="K3968">
        <v>2695</v>
      </c>
      <c r="L3968">
        <v>95000</v>
      </c>
      <c r="M3968" t="s">
        <v>69</v>
      </c>
      <c r="N3968">
        <v>691</v>
      </c>
      <c r="O3968" s="2">
        <v>46170</v>
      </c>
      <c r="P3968" s="2">
        <v>46276</v>
      </c>
      <c r="R3968" t="s">
        <v>10332</v>
      </c>
      <c r="S3968" t="str">
        <f>""</f>
        <v/>
      </c>
      <c r="T3968" t="s">
        <v>41</v>
      </c>
      <c r="U3968">
        <v>12190.43</v>
      </c>
      <c r="V3968">
        <v>12056.34</v>
      </c>
      <c r="W3968">
        <v>12056.34</v>
      </c>
      <c r="X3968">
        <v>0</v>
      </c>
      <c r="Y3968">
        <v>0</v>
      </c>
      <c r="Z3968">
        <v>-501</v>
      </c>
      <c r="AA3968">
        <v>689334</v>
      </c>
      <c r="AD3968" t="s">
        <v>64</v>
      </c>
      <c r="AE3968" t="s">
        <v>2533</v>
      </c>
      <c r="AF3968" t="s">
        <v>64</v>
      </c>
      <c r="AG3968" s="1" t="s">
        <v>10330</v>
      </c>
      <c r="AH3968" t="s">
        <v>44</v>
      </c>
    </row>
    <row r="3969" spans="1:34" x14ac:dyDescent="0.3">
      <c r="A3969">
        <v>101</v>
      </c>
      <c r="B3969" t="s">
        <v>34</v>
      </c>
      <c r="C3969">
        <v>2</v>
      </c>
      <c r="D3969" s="1" t="s">
        <v>10333</v>
      </c>
      <c r="E3969" s="1" t="s">
        <v>36</v>
      </c>
      <c r="G3969">
        <v>446135</v>
      </c>
      <c r="H3969" t="s">
        <v>10328</v>
      </c>
      <c r="I3969" t="s">
        <v>2413</v>
      </c>
      <c r="J3969">
        <v>30</v>
      </c>
      <c r="K3969">
        <v>2695</v>
      </c>
      <c r="L3969">
        <v>95000</v>
      </c>
      <c r="M3969" t="s">
        <v>69</v>
      </c>
      <c r="N3969">
        <v>691</v>
      </c>
      <c r="O3969" s="2">
        <v>46171</v>
      </c>
      <c r="P3969" s="2">
        <v>46276</v>
      </c>
      <c r="R3969" t="s">
        <v>10334</v>
      </c>
      <c r="S3969" t="str">
        <f>""</f>
        <v/>
      </c>
      <c r="T3969" t="s">
        <v>41</v>
      </c>
      <c r="U3969">
        <v>2134.8000000000002</v>
      </c>
      <c r="V3969">
        <v>2111.3200000000002</v>
      </c>
      <c r="W3969">
        <v>2111.3200000000002</v>
      </c>
      <c r="X3969">
        <v>0</v>
      </c>
      <c r="Y3969">
        <v>0</v>
      </c>
      <c r="Z3969">
        <v>-501</v>
      </c>
      <c r="AA3969">
        <v>689334</v>
      </c>
      <c r="AD3969" t="s">
        <v>64</v>
      </c>
      <c r="AE3969" t="s">
        <v>2533</v>
      </c>
      <c r="AF3969" t="s">
        <v>64</v>
      </c>
      <c r="AG3969" s="1" t="s">
        <v>10330</v>
      </c>
      <c r="AH3969" t="s">
        <v>44</v>
      </c>
    </row>
    <row r="3970" spans="1:34" x14ac:dyDescent="0.3">
      <c r="A3970">
        <v>101</v>
      </c>
      <c r="B3970" t="s">
        <v>34</v>
      </c>
      <c r="C3970">
        <v>2</v>
      </c>
      <c r="D3970" s="1" t="s">
        <v>10335</v>
      </c>
      <c r="E3970" s="1" t="s">
        <v>36</v>
      </c>
      <c r="G3970">
        <v>446135</v>
      </c>
      <c r="H3970" t="s">
        <v>10328</v>
      </c>
      <c r="I3970" t="s">
        <v>2413</v>
      </c>
      <c r="J3970">
        <v>30</v>
      </c>
      <c r="K3970">
        <v>2695</v>
      </c>
      <c r="L3970">
        <v>95000</v>
      </c>
      <c r="M3970" t="s">
        <v>69</v>
      </c>
      <c r="N3970">
        <v>691</v>
      </c>
      <c r="O3970" s="2">
        <v>46226</v>
      </c>
      <c r="P3970" s="2">
        <v>46349</v>
      </c>
      <c r="R3970" t="s">
        <v>10336</v>
      </c>
      <c r="S3970" t="str">
        <f>""</f>
        <v/>
      </c>
      <c r="T3970" t="s">
        <v>41</v>
      </c>
      <c r="U3970">
        <v>6547.8</v>
      </c>
      <c r="V3970">
        <v>6475.77</v>
      </c>
      <c r="W3970">
        <v>6475.77</v>
      </c>
      <c r="X3970">
        <v>0</v>
      </c>
      <c r="Y3970">
        <v>0</v>
      </c>
      <c r="Z3970">
        <v>-574</v>
      </c>
      <c r="AA3970">
        <v>694967</v>
      </c>
      <c r="AD3970" t="s">
        <v>64</v>
      </c>
      <c r="AE3970" t="s">
        <v>2533</v>
      </c>
      <c r="AF3970" t="s">
        <v>64</v>
      </c>
      <c r="AG3970" s="1" t="s">
        <v>10330</v>
      </c>
      <c r="AH3970" t="s">
        <v>44</v>
      </c>
    </row>
    <row r="3971" spans="1:34" x14ac:dyDescent="0.3">
      <c r="A3971">
        <v>101</v>
      </c>
      <c r="B3971" t="s">
        <v>34</v>
      </c>
      <c r="C3971">
        <v>2</v>
      </c>
      <c r="D3971" s="1" t="s">
        <v>10337</v>
      </c>
      <c r="E3971" s="1" t="s">
        <v>36</v>
      </c>
      <c r="G3971">
        <v>446136</v>
      </c>
      <c r="H3971" t="s">
        <v>10338</v>
      </c>
      <c r="I3971" t="s">
        <v>2413</v>
      </c>
      <c r="J3971">
        <v>30</v>
      </c>
      <c r="K3971">
        <v>2695</v>
      </c>
      <c r="L3971">
        <v>95000</v>
      </c>
      <c r="M3971" t="s">
        <v>69</v>
      </c>
      <c r="N3971">
        <v>691</v>
      </c>
      <c r="O3971" s="2">
        <v>46141</v>
      </c>
      <c r="P3971" s="2">
        <v>46255</v>
      </c>
      <c r="R3971" t="s">
        <v>10339</v>
      </c>
      <c r="S3971" t="str">
        <f>""</f>
        <v/>
      </c>
      <c r="T3971" t="s">
        <v>41</v>
      </c>
      <c r="U3971">
        <v>3430.24</v>
      </c>
      <c r="V3971">
        <v>3392.51</v>
      </c>
      <c r="W3971">
        <v>3392.51</v>
      </c>
      <c r="X3971">
        <v>0</v>
      </c>
      <c r="Y3971">
        <v>0</v>
      </c>
      <c r="Z3971">
        <v>-480</v>
      </c>
      <c r="AA3971">
        <v>686736</v>
      </c>
      <c r="AD3971" t="s">
        <v>4997</v>
      </c>
      <c r="AE3971" t="s">
        <v>2533</v>
      </c>
      <c r="AF3971" t="s">
        <v>4997</v>
      </c>
      <c r="AG3971" s="1" t="s">
        <v>10340</v>
      </c>
      <c r="AH3971" t="s">
        <v>44</v>
      </c>
    </row>
    <row r="3972" spans="1:34" x14ac:dyDescent="0.3">
      <c r="A3972">
        <v>101</v>
      </c>
      <c r="B3972" t="s">
        <v>34</v>
      </c>
      <c r="C3972">
        <v>2</v>
      </c>
      <c r="D3972" s="1" t="s">
        <v>10341</v>
      </c>
      <c r="E3972" s="1" t="s">
        <v>36</v>
      </c>
      <c r="G3972">
        <v>446136</v>
      </c>
      <c r="H3972" t="s">
        <v>10338</v>
      </c>
      <c r="I3972" t="s">
        <v>2413</v>
      </c>
      <c r="J3972">
        <v>30</v>
      </c>
      <c r="K3972">
        <v>2695</v>
      </c>
      <c r="L3972">
        <v>95000</v>
      </c>
      <c r="M3972" t="s">
        <v>69</v>
      </c>
      <c r="N3972">
        <v>691</v>
      </c>
      <c r="O3972" s="2">
        <v>46226</v>
      </c>
      <c r="P3972" s="2">
        <v>46349</v>
      </c>
      <c r="R3972" t="s">
        <v>10342</v>
      </c>
      <c r="S3972" t="str">
        <f>""</f>
        <v/>
      </c>
      <c r="T3972" t="s">
        <v>41</v>
      </c>
      <c r="U3972">
        <v>11968.64</v>
      </c>
      <c r="V3972">
        <v>11836.98</v>
      </c>
      <c r="W3972">
        <v>11836.98</v>
      </c>
      <c r="X3972">
        <v>0</v>
      </c>
      <c r="Y3972">
        <v>0</v>
      </c>
      <c r="Z3972">
        <v>-574</v>
      </c>
      <c r="AA3972">
        <v>694969</v>
      </c>
      <c r="AD3972" t="s">
        <v>4997</v>
      </c>
      <c r="AE3972" t="s">
        <v>2533</v>
      </c>
      <c r="AF3972" t="s">
        <v>4997</v>
      </c>
      <c r="AG3972" s="1" t="s">
        <v>10340</v>
      </c>
      <c r="AH3972" t="s">
        <v>44</v>
      </c>
    </row>
    <row r="3973" spans="1:34" x14ac:dyDescent="0.3">
      <c r="A3973">
        <v>101</v>
      </c>
      <c r="B3973" t="s">
        <v>34</v>
      </c>
      <c r="C3973">
        <v>2</v>
      </c>
      <c r="D3973" s="1" t="s">
        <v>10343</v>
      </c>
      <c r="E3973" s="1" t="s">
        <v>36</v>
      </c>
      <c r="G3973">
        <v>446136</v>
      </c>
      <c r="H3973" t="s">
        <v>10338</v>
      </c>
      <c r="I3973" t="s">
        <v>2413</v>
      </c>
      <c r="J3973">
        <v>30</v>
      </c>
      <c r="K3973">
        <v>2695</v>
      </c>
      <c r="L3973">
        <v>95000</v>
      </c>
      <c r="M3973" t="s">
        <v>69</v>
      </c>
      <c r="N3973">
        <v>691</v>
      </c>
      <c r="O3973" s="2">
        <v>46181</v>
      </c>
      <c r="P3973" s="2">
        <v>46286</v>
      </c>
      <c r="R3973" t="s">
        <v>10344</v>
      </c>
      <c r="S3973" t="str">
        <f>""</f>
        <v/>
      </c>
      <c r="T3973" t="s">
        <v>41</v>
      </c>
      <c r="U3973">
        <v>21984.52</v>
      </c>
      <c r="V3973">
        <v>21742.69</v>
      </c>
      <c r="W3973">
        <v>21742.69</v>
      </c>
      <c r="X3973">
        <v>0</v>
      </c>
      <c r="Y3973">
        <v>0</v>
      </c>
      <c r="Z3973">
        <v>-511</v>
      </c>
      <c r="AA3973">
        <v>689336</v>
      </c>
      <c r="AD3973" t="s">
        <v>4997</v>
      </c>
      <c r="AE3973" t="s">
        <v>2533</v>
      </c>
      <c r="AF3973" t="s">
        <v>4997</v>
      </c>
      <c r="AG3973" s="1" t="s">
        <v>10340</v>
      </c>
      <c r="AH3973" t="s">
        <v>44</v>
      </c>
    </row>
    <row r="3974" spans="1:34" x14ac:dyDescent="0.3">
      <c r="A3974">
        <v>101</v>
      </c>
      <c r="B3974" t="s">
        <v>34</v>
      </c>
      <c r="C3974">
        <v>2</v>
      </c>
      <c r="D3974" s="1" t="s">
        <v>10345</v>
      </c>
      <c r="E3974" s="1" t="s">
        <v>36</v>
      </c>
      <c r="G3974">
        <v>446136</v>
      </c>
      <c r="H3974" t="s">
        <v>10338</v>
      </c>
      <c r="I3974" t="s">
        <v>2413</v>
      </c>
      <c r="J3974">
        <v>30</v>
      </c>
      <c r="K3974">
        <v>2695</v>
      </c>
      <c r="L3974">
        <v>95000</v>
      </c>
      <c r="M3974" t="s">
        <v>69</v>
      </c>
      <c r="N3974">
        <v>691</v>
      </c>
      <c r="O3974" s="2">
        <v>46198</v>
      </c>
      <c r="P3974" s="2">
        <v>46296</v>
      </c>
      <c r="R3974" t="s">
        <v>10346</v>
      </c>
      <c r="S3974" t="str">
        <f>""</f>
        <v/>
      </c>
      <c r="T3974" t="s">
        <v>41</v>
      </c>
      <c r="U3974">
        <v>12587.58</v>
      </c>
      <c r="V3974">
        <v>12449.12</v>
      </c>
      <c r="W3974">
        <v>12449.12</v>
      </c>
      <c r="X3974">
        <v>0</v>
      </c>
      <c r="Y3974">
        <v>0</v>
      </c>
      <c r="Z3974">
        <v>-521</v>
      </c>
      <c r="AA3974">
        <v>692296</v>
      </c>
      <c r="AD3974" t="s">
        <v>4997</v>
      </c>
      <c r="AE3974" t="s">
        <v>2533</v>
      </c>
      <c r="AF3974" t="s">
        <v>4997</v>
      </c>
      <c r="AG3974" s="1" t="s">
        <v>10340</v>
      </c>
      <c r="AH3974" t="s">
        <v>44</v>
      </c>
    </row>
    <row r="3975" spans="1:34" x14ac:dyDescent="0.3">
      <c r="A3975">
        <v>101</v>
      </c>
      <c r="B3975" t="s">
        <v>34</v>
      </c>
      <c r="C3975">
        <v>2</v>
      </c>
      <c r="D3975" s="1" t="s">
        <v>10347</v>
      </c>
      <c r="E3975" s="1" t="s">
        <v>36</v>
      </c>
      <c r="G3975">
        <v>446613</v>
      </c>
      <c r="H3975" t="s">
        <v>10348</v>
      </c>
      <c r="I3975" t="s">
        <v>2413</v>
      </c>
      <c r="J3975">
        <v>30</v>
      </c>
      <c r="K3975">
        <v>2695</v>
      </c>
      <c r="L3975">
        <v>95000</v>
      </c>
      <c r="M3975" t="s">
        <v>69</v>
      </c>
      <c r="N3975">
        <v>691</v>
      </c>
      <c r="O3975" s="2">
        <v>46226</v>
      </c>
      <c r="P3975" s="2">
        <v>46316</v>
      </c>
      <c r="R3975" t="s">
        <v>10349</v>
      </c>
      <c r="S3975" t="str">
        <f>""</f>
        <v/>
      </c>
      <c r="T3975" t="s">
        <v>41</v>
      </c>
      <c r="U3975">
        <v>3083.31</v>
      </c>
      <c r="V3975">
        <v>3049.39</v>
      </c>
      <c r="W3975">
        <v>3049.39</v>
      </c>
      <c r="X3975">
        <v>0</v>
      </c>
      <c r="Y3975">
        <v>0</v>
      </c>
      <c r="Z3975">
        <v>-541</v>
      </c>
      <c r="AA3975">
        <v>694955</v>
      </c>
      <c r="AD3975" t="s">
        <v>57</v>
      </c>
      <c r="AE3975" t="s">
        <v>2533</v>
      </c>
      <c r="AF3975" t="s">
        <v>57</v>
      </c>
      <c r="AG3975" s="1" t="s">
        <v>10350</v>
      </c>
      <c r="AH3975" t="s">
        <v>44</v>
      </c>
    </row>
    <row r="3976" spans="1:34" x14ac:dyDescent="0.3">
      <c r="A3976">
        <v>101</v>
      </c>
      <c r="B3976" t="s">
        <v>34</v>
      </c>
      <c r="C3976">
        <v>2</v>
      </c>
      <c r="D3976" s="1" t="s">
        <v>10351</v>
      </c>
      <c r="E3976" s="1" t="s">
        <v>36</v>
      </c>
      <c r="G3976">
        <v>446613</v>
      </c>
      <c r="H3976" t="s">
        <v>10348</v>
      </c>
      <c r="I3976" t="s">
        <v>2413</v>
      </c>
      <c r="J3976">
        <v>30</v>
      </c>
      <c r="K3976">
        <v>2695</v>
      </c>
      <c r="L3976">
        <v>95000</v>
      </c>
      <c r="M3976" t="s">
        <v>69</v>
      </c>
      <c r="N3976">
        <v>691</v>
      </c>
      <c r="O3976" s="2">
        <v>46198</v>
      </c>
      <c r="P3976" s="2">
        <v>46296</v>
      </c>
      <c r="R3976" t="s">
        <v>10352</v>
      </c>
      <c r="S3976" t="str">
        <f>""</f>
        <v/>
      </c>
      <c r="T3976" t="s">
        <v>41</v>
      </c>
      <c r="U3976">
        <v>6454.75</v>
      </c>
      <c r="V3976">
        <v>6383.75</v>
      </c>
      <c r="W3976">
        <v>6383.75</v>
      </c>
      <c r="X3976">
        <v>0</v>
      </c>
      <c r="Y3976">
        <v>0</v>
      </c>
      <c r="Z3976">
        <v>-521</v>
      </c>
      <c r="AA3976">
        <v>692290</v>
      </c>
      <c r="AD3976" t="s">
        <v>57</v>
      </c>
      <c r="AE3976" t="s">
        <v>2533</v>
      </c>
      <c r="AF3976" t="s">
        <v>57</v>
      </c>
      <c r="AG3976" s="1" t="s">
        <v>10350</v>
      </c>
      <c r="AH3976" t="s">
        <v>44</v>
      </c>
    </row>
    <row r="3977" spans="1:34" x14ac:dyDescent="0.3">
      <c r="A3977">
        <v>101</v>
      </c>
      <c r="B3977" t="s">
        <v>34</v>
      </c>
      <c r="C3977">
        <v>2</v>
      </c>
      <c r="D3977" s="1" t="s">
        <v>10353</v>
      </c>
      <c r="E3977" s="1" t="s">
        <v>36</v>
      </c>
      <c r="G3977">
        <v>446613</v>
      </c>
      <c r="H3977" t="s">
        <v>10348</v>
      </c>
      <c r="I3977" t="s">
        <v>2413</v>
      </c>
      <c r="J3977">
        <v>30</v>
      </c>
      <c r="K3977">
        <v>2695</v>
      </c>
      <c r="L3977">
        <v>95000</v>
      </c>
      <c r="M3977" t="s">
        <v>69</v>
      </c>
      <c r="N3977">
        <v>691</v>
      </c>
      <c r="O3977" s="2">
        <v>46185</v>
      </c>
      <c r="P3977" s="2">
        <v>46296</v>
      </c>
      <c r="R3977" t="s">
        <v>10354</v>
      </c>
      <c r="S3977" t="str">
        <f>""</f>
        <v/>
      </c>
      <c r="T3977" t="s">
        <v>41</v>
      </c>
      <c r="U3977">
        <v>3558</v>
      </c>
      <c r="V3977">
        <v>3518.86</v>
      </c>
      <c r="W3977">
        <v>3518.86</v>
      </c>
      <c r="X3977">
        <v>0</v>
      </c>
      <c r="Y3977">
        <v>0</v>
      </c>
      <c r="Z3977">
        <v>-521</v>
      </c>
      <c r="AA3977">
        <v>689330</v>
      </c>
      <c r="AD3977" t="s">
        <v>57</v>
      </c>
      <c r="AE3977" t="s">
        <v>2533</v>
      </c>
      <c r="AF3977" t="s">
        <v>57</v>
      </c>
      <c r="AG3977" s="1" t="s">
        <v>10350</v>
      </c>
      <c r="AH3977" t="s">
        <v>44</v>
      </c>
    </row>
    <row r="3978" spans="1:34" x14ac:dyDescent="0.3">
      <c r="A3978">
        <v>101</v>
      </c>
      <c r="B3978" t="s">
        <v>34</v>
      </c>
      <c r="C3978">
        <v>2</v>
      </c>
      <c r="D3978" s="1" t="s">
        <v>10355</v>
      </c>
      <c r="E3978" s="1" t="s">
        <v>36</v>
      </c>
      <c r="G3978">
        <v>446613</v>
      </c>
      <c r="H3978" t="s">
        <v>10348</v>
      </c>
      <c r="I3978" t="s">
        <v>2413</v>
      </c>
      <c r="J3978">
        <v>30</v>
      </c>
      <c r="K3978">
        <v>2695</v>
      </c>
      <c r="L3978">
        <v>95000</v>
      </c>
      <c r="M3978" t="s">
        <v>69</v>
      </c>
      <c r="N3978">
        <v>691</v>
      </c>
      <c r="O3978" s="2">
        <v>46170</v>
      </c>
      <c r="P3978" s="2">
        <v>46286</v>
      </c>
      <c r="R3978" t="s">
        <v>10356</v>
      </c>
      <c r="S3978" t="str">
        <f>""</f>
        <v/>
      </c>
      <c r="T3978" t="s">
        <v>41</v>
      </c>
      <c r="U3978">
        <v>8520.99</v>
      </c>
      <c r="V3978">
        <v>8427.26</v>
      </c>
      <c r="W3978">
        <v>8427.26</v>
      </c>
      <c r="X3978">
        <v>0</v>
      </c>
      <c r="Y3978">
        <v>0</v>
      </c>
      <c r="Z3978">
        <v>-511</v>
      </c>
      <c r="AA3978">
        <v>689330</v>
      </c>
      <c r="AD3978" t="s">
        <v>57</v>
      </c>
      <c r="AE3978" t="s">
        <v>2533</v>
      </c>
      <c r="AF3978" t="s">
        <v>57</v>
      </c>
      <c r="AG3978" s="1" t="s">
        <v>10350</v>
      </c>
      <c r="AH3978" t="s">
        <v>44</v>
      </c>
    </row>
    <row r="3979" spans="1:34" x14ac:dyDescent="0.3">
      <c r="A3979">
        <v>101</v>
      </c>
      <c r="B3979" t="s">
        <v>34</v>
      </c>
      <c r="C3979">
        <v>2</v>
      </c>
      <c r="D3979" s="1" t="s">
        <v>10357</v>
      </c>
      <c r="E3979" s="1" t="s">
        <v>36</v>
      </c>
      <c r="G3979">
        <v>446613</v>
      </c>
      <c r="H3979" t="s">
        <v>10348</v>
      </c>
      <c r="I3979" t="s">
        <v>2413</v>
      </c>
      <c r="J3979">
        <v>30</v>
      </c>
      <c r="K3979">
        <v>2695</v>
      </c>
      <c r="L3979">
        <v>95000</v>
      </c>
      <c r="M3979" t="s">
        <v>69</v>
      </c>
      <c r="N3979">
        <v>691</v>
      </c>
      <c r="O3979" s="2">
        <v>46140</v>
      </c>
      <c r="P3979" s="2">
        <v>46255</v>
      </c>
      <c r="R3979" t="s">
        <v>10358</v>
      </c>
      <c r="S3979" t="str">
        <f>""</f>
        <v/>
      </c>
      <c r="T3979" t="s">
        <v>41</v>
      </c>
      <c r="U3979">
        <v>4863.6899999999996</v>
      </c>
      <c r="V3979">
        <v>4810.1899999999996</v>
      </c>
      <c r="W3979">
        <v>4810.1899999999996</v>
      </c>
      <c r="X3979">
        <v>0</v>
      </c>
      <c r="Y3979">
        <v>0</v>
      </c>
      <c r="Z3979">
        <v>-480</v>
      </c>
      <c r="AA3979">
        <v>686730</v>
      </c>
      <c r="AD3979" t="s">
        <v>57</v>
      </c>
      <c r="AE3979" t="s">
        <v>2533</v>
      </c>
      <c r="AF3979" t="s">
        <v>57</v>
      </c>
      <c r="AG3979" s="1" t="s">
        <v>10350</v>
      </c>
      <c r="AH3979" t="s">
        <v>44</v>
      </c>
    </row>
    <row r="3980" spans="1:34" x14ac:dyDescent="0.3">
      <c r="A3980">
        <v>101</v>
      </c>
      <c r="B3980" t="s">
        <v>34</v>
      </c>
      <c r="C3980">
        <v>2</v>
      </c>
      <c r="D3980" s="1" t="s">
        <v>10359</v>
      </c>
      <c r="E3980" s="1" t="s">
        <v>36</v>
      </c>
      <c r="G3980">
        <v>446919</v>
      </c>
      <c r="H3980" t="s">
        <v>10360</v>
      </c>
      <c r="I3980" t="s">
        <v>2413</v>
      </c>
      <c r="J3980">
        <v>30</v>
      </c>
      <c r="K3980">
        <v>2695</v>
      </c>
      <c r="L3980">
        <v>95000</v>
      </c>
      <c r="M3980" t="s">
        <v>69</v>
      </c>
      <c r="N3980">
        <v>691</v>
      </c>
      <c r="O3980" s="2">
        <v>46239</v>
      </c>
      <c r="P3980" s="2">
        <v>46329</v>
      </c>
      <c r="R3980" t="s">
        <v>10361</v>
      </c>
      <c r="S3980" t="str">
        <f>""</f>
        <v/>
      </c>
      <c r="T3980" t="s">
        <v>41</v>
      </c>
      <c r="U3980">
        <v>527.52</v>
      </c>
      <c r="V3980">
        <v>521.72</v>
      </c>
      <c r="W3980">
        <v>521.72</v>
      </c>
      <c r="X3980">
        <v>0</v>
      </c>
      <c r="Y3980">
        <v>0</v>
      </c>
      <c r="Z3980">
        <v>-554</v>
      </c>
      <c r="AA3980">
        <v>696217</v>
      </c>
      <c r="AD3980" t="s">
        <v>3390</v>
      </c>
      <c r="AE3980" t="s">
        <v>5778</v>
      </c>
      <c r="AF3980" t="s">
        <v>3390</v>
      </c>
      <c r="AG3980" s="1" t="s">
        <v>10362</v>
      </c>
      <c r="AH3980" t="s">
        <v>44</v>
      </c>
    </row>
    <row r="3981" spans="1:34" x14ac:dyDescent="0.3">
      <c r="A3981">
        <v>101</v>
      </c>
      <c r="B3981" t="s">
        <v>34</v>
      </c>
      <c r="C3981">
        <v>2</v>
      </c>
      <c r="D3981" s="1" t="s">
        <v>10363</v>
      </c>
      <c r="E3981" s="1" t="s">
        <v>36</v>
      </c>
      <c r="G3981">
        <v>446919</v>
      </c>
      <c r="H3981" t="s">
        <v>10360</v>
      </c>
      <c r="I3981" t="s">
        <v>2413</v>
      </c>
      <c r="J3981">
        <v>30</v>
      </c>
      <c r="K3981">
        <v>2695</v>
      </c>
      <c r="L3981">
        <v>95000</v>
      </c>
      <c r="M3981" t="s">
        <v>69</v>
      </c>
      <c r="N3981">
        <v>691</v>
      </c>
      <c r="O3981" s="2">
        <v>46226</v>
      </c>
      <c r="P3981" s="2">
        <v>46316</v>
      </c>
      <c r="R3981" t="s">
        <v>10364</v>
      </c>
      <c r="S3981" t="str">
        <f>""</f>
        <v/>
      </c>
      <c r="T3981" t="s">
        <v>41</v>
      </c>
      <c r="U3981">
        <v>1947.4</v>
      </c>
      <c r="V3981">
        <v>1925.98</v>
      </c>
      <c r="W3981">
        <v>1925.98</v>
      </c>
      <c r="X3981">
        <v>0</v>
      </c>
      <c r="Y3981">
        <v>0</v>
      </c>
      <c r="Z3981">
        <v>-541</v>
      </c>
      <c r="AA3981">
        <v>694963</v>
      </c>
      <c r="AD3981" t="s">
        <v>3390</v>
      </c>
      <c r="AE3981" t="s">
        <v>5778</v>
      </c>
      <c r="AF3981" t="s">
        <v>3390</v>
      </c>
      <c r="AG3981" s="1" t="s">
        <v>10362</v>
      </c>
      <c r="AH3981" t="s">
        <v>44</v>
      </c>
    </row>
    <row r="3982" spans="1:34" x14ac:dyDescent="0.3">
      <c r="A3982">
        <v>101</v>
      </c>
      <c r="B3982" t="s">
        <v>34</v>
      </c>
      <c r="C3982">
        <v>2</v>
      </c>
      <c r="D3982" s="1" t="s">
        <v>10365</v>
      </c>
      <c r="E3982" s="1" t="s">
        <v>36</v>
      </c>
      <c r="G3982">
        <v>446919</v>
      </c>
      <c r="H3982" t="s">
        <v>10360</v>
      </c>
      <c r="I3982" t="s">
        <v>2413</v>
      </c>
      <c r="J3982">
        <v>30</v>
      </c>
      <c r="K3982">
        <v>2695</v>
      </c>
      <c r="L3982">
        <v>95000</v>
      </c>
      <c r="M3982" t="s">
        <v>69</v>
      </c>
      <c r="N3982">
        <v>691</v>
      </c>
      <c r="O3982" s="2">
        <v>46197</v>
      </c>
      <c r="P3982" s="2">
        <v>46308</v>
      </c>
      <c r="R3982" t="s">
        <v>10366</v>
      </c>
      <c r="S3982" t="str">
        <f>""</f>
        <v/>
      </c>
      <c r="T3982" t="s">
        <v>41</v>
      </c>
      <c r="U3982">
        <v>13871.94</v>
      </c>
      <c r="V3982">
        <v>13719.35</v>
      </c>
      <c r="W3982">
        <v>13719.35</v>
      </c>
      <c r="X3982">
        <v>0</v>
      </c>
      <c r="Y3982">
        <v>0</v>
      </c>
      <c r="Z3982">
        <v>-533</v>
      </c>
      <c r="AA3982">
        <v>692160</v>
      </c>
      <c r="AD3982" t="s">
        <v>3390</v>
      </c>
      <c r="AE3982" t="s">
        <v>5778</v>
      </c>
      <c r="AF3982" t="s">
        <v>3390</v>
      </c>
      <c r="AG3982" s="1" t="s">
        <v>10362</v>
      </c>
      <c r="AH3982" t="s">
        <v>44</v>
      </c>
    </row>
    <row r="3983" spans="1:34" x14ac:dyDescent="0.3">
      <c r="A3983">
        <v>101</v>
      </c>
      <c r="B3983" t="s">
        <v>34</v>
      </c>
      <c r="C3983">
        <v>2</v>
      </c>
      <c r="D3983" s="1" t="s">
        <v>10367</v>
      </c>
      <c r="E3983" s="1" t="s">
        <v>36</v>
      </c>
      <c r="G3983">
        <v>446919</v>
      </c>
      <c r="H3983" t="s">
        <v>10360</v>
      </c>
      <c r="I3983" t="s">
        <v>2413</v>
      </c>
      <c r="J3983">
        <v>30</v>
      </c>
      <c r="K3983">
        <v>2695</v>
      </c>
      <c r="L3983">
        <v>95000</v>
      </c>
      <c r="M3983" t="s">
        <v>69</v>
      </c>
      <c r="N3983">
        <v>691</v>
      </c>
      <c r="O3983" s="2">
        <v>46140</v>
      </c>
      <c r="P3983" s="2">
        <v>46255</v>
      </c>
      <c r="R3983" t="s">
        <v>10368</v>
      </c>
      <c r="S3983" t="str">
        <f>""</f>
        <v/>
      </c>
      <c r="T3983" t="s">
        <v>41</v>
      </c>
      <c r="U3983">
        <v>8001.2</v>
      </c>
      <c r="V3983">
        <v>7913.19</v>
      </c>
      <c r="W3983">
        <v>7913.19</v>
      </c>
      <c r="X3983">
        <v>0</v>
      </c>
      <c r="Y3983">
        <v>0</v>
      </c>
      <c r="Z3983">
        <v>-480</v>
      </c>
      <c r="AA3983">
        <v>686596</v>
      </c>
      <c r="AD3983" t="s">
        <v>3390</v>
      </c>
      <c r="AE3983" t="s">
        <v>5778</v>
      </c>
      <c r="AF3983" t="s">
        <v>3390</v>
      </c>
      <c r="AG3983" s="1" t="s">
        <v>10362</v>
      </c>
      <c r="AH3983" t="s">
        <v>44</v>
      </c>
    </row>
    <row r="3984" spans="1:34" x14ac:dyDescent="0.3">
      <c r="A3984">
        <v>101</v>
      </c>
      <c r="B3984" t="s">
        <v>34</v>
      </c>
      <c r="C3984">
        <v>2</v>
      </c>
      <c r="D3984" s="1" t="s">
        <v>10369</v>
      </c>
      <c r="E3984" s="1" t="s">
        <v>36</v>
      </c>
      <c r="G3984">
        <v>446919</v>
      </c>
      <c r="H3984" t="s">
        <v>10360</v>
      </c>
      <c r="I3984" t="s">
        <v>2413</v>
      </c>
      <c r="J3984">
        <v>30</v>
      </c>
      <c r="K3984">
        <v>2695</v>
      </c>
      <c r="L3984">
        <v>95000</v>
      </c>
      <c r="M3984" t="s">
        <v>69</v>
      </c>
      <c r="N3984">
        <v>691</v>
      </c>
      <c r="O3984" s="2">
        <v>46185</v>
      </c>
      <c r="P3984" s="2">
        <v>46296</v>
      </c>
      <c r="R3984" t="s">
        <v>10370</v>
      </c>
      <c r="S3984" t="str">
        <f>""</f>
        <v/>
      </c>
      <c r="T3984" t="s">
        <v>41</v>
      </c>
      <c r="U3984">
        <v>2846.4</v>
      </c>
      <c r="V3984">
        <v>2815.09</v>
      </c>
      <c r="W3984">
        <v>2815.09</v>
      </c>
      <c r="X3984">
        <v>0</v>
      </c>
      <c r="Y3984">
        <v>0</v>
      </c>
      <c r="Z3984">
        <v>-521</v>
      </c>
      <c r="AA3984">
        <v>689198</v>
      </c>
      <c r="AD3984" t="s">
        <v>3390</v>
      </c>
      <c r="AE3984" t="s">
        <v>5778</v>
      </c>
      <c r="AF3984" t="s">
        <v>3390</v>
      </c>
      <c r="AG3984" s="1" t="s">
        <v>10362</v>
      </c>
      <c r="AH3984" t="s">
        <v>44</v>
      </c>
    </row>
    <row r="3985" spans="1:34" x14ac:dyDescent="0.3">
      <c r="A3985">
        <v>101</v>
      </c>
      <c r="B3985" t="s">
        <v>34</v>
      </c>
      <c r="C3985">
        <v>2</v>
      </c>
      <c r="D3985" s="1" t="s">
        <v>10371</v>
      </c>
      <c r="E3985" s="1" t="s">
        <v>36</v>
      </c>
      <c r="G3985">
        <v>446919</v>
      </c>
      <c r="H3985" t="s">
        <v>10360</v>
      </c>
      <c r="I3985" t="s">
        <v>2413</v>
      </c>
      <c r="J3985">
        <v>30</v>
      </c>
      <c r="K3985">
        <v>2695</v>
      </c>
      <c r="L3985">
        <v>95000</v>
      </c>
      <c r="M3985" t="s">
        <v>69</v>
      </c>
      <c r="N3985">
        <v>691</v>
      </c>
      <c r="O3985" s="2">
        <v>46170</v>
      </c>
      <c r="P3985" s="2">
        <v>46296</v>
      </c>
      <c r="R3985" t="s">
        <v>10372</v>
      </c>
      <c r="S3985" t="str">
        <f>""</f>
        <v/>
      </c>
      <c r="T3985" t="s">
        <v>41</v>
      </c>
      <c r="U3985">
        <v>9040.91</v>
      </c>
      <c r="V3985">
        <v>8941.4599999999991</v>
      </c>
      <c r="W3985">
        <v>8941.4599999999991</v>
      </c>
      <c r="X3985">
        <v>0</v>
      </c>
      <c r="Y3985">
        <v>0</v>
      </c>
      <c r="Z3985">
        <v>-521</v>
      </c>
      <c r="AA3985">
        <v>689198</v>
      </c>
      <c r="AD3985" t="s">
        <v>3390</v>
      </c>
      <c r="AE3985" t="s">
        <v>5778</v>
      </c>
      <c r="AF3985" t="s">
        <v>3390</v>
      </c>
      <c r="AG3985" s="1" t="s">
        <v>10362</v>
      </c>
      <c r="AH3985" t="s">
        <v>44</v>
      </c>
    </row>
    <row r="3986" spans="1:34" x14ac:dyDescent="0.3">
      <c r="A3986">
        <v>101</v>
      </c>
      <c r="B3986" t="s">
        <v>34</v>
      </c>
      <c r="C3986">
        <v>2</v>
      </c>
      <c r="D3986" s="1" t="s">
        <v>10373</v>
      </c>
      <c r="E3986" s="1" t="s">
        <v>36</v>
      </c>
      <c r="G3986">
        <v>446919</v>
      </c>
      <c r="H3986" t="s">
        <v>10360</v>
      </c>
      <c r="I3986" t="s">
        <v>2413</v>
      </c>
      <c r="J3986">
        <v>30</v>
      </c>
      <c r="K3986">
        <v>2695</v>
      </c>
      <c r="L3986">
        <v>95000</v>
      </c>
      <c r="M3986" t="s">
        <v>69</v>
      </c>
      <c r="N3986">
        <v>691</v>
      </c>
      <c r="O3986" s="2">
        <v>46253</v>
      </c>
      <c r="P3986" s="2">
        <v>46343</v>
      </c>
      <c r="R3986" t="s">
        <v>10374</v>
      </c>
      <c r="S3986" t="str">
        <f>""</f>
        <v/>
      </c>
      <c r="T3986" t="s">
        <v>41</v>
      </c>
      <c r="U3986">
        <v>4422.5</v>
      </c>
      <c r="V3986">
        <v>4373.8500000000004</v>
      </c>
      <c r="W3986">
        <v>4373.8500000000004</v>
      </c>
      <c r="X3986">
        <v>0</v>
      </c>
      <c r="Y3986">
        <v>0</v>
      </c>
      <c r="Z3986">
        <v>-568</v>
      </c>
      <c r="AA3986">
        <v>696997</v>
      </c>
      <c r="AD3986" t="s">
        <v>3390</v>
      </c>
      <c r="AE3986" t="s">
        <v>5778</v>
      </c>
      <c r="AF3986" t="s">
        <v>3390</v>
      </c>
      <c r="AG3986" s="1" t="s">
        <v>10362</v>
      </c>
      <c r="AH3986" t="s">
        <v>44</v>
      </c>
    </row>
    <row r="3987" spans="1:34" x14ac:dyDescent="0.3">
      <c r="A3987">
        <v>101</v>
      </c>
      <c r="B3987" t="s">
        <v>34</v>
      </c>
      <c r="C3987">
        <v>2</v>
      </c>
      <c r="D3987" s="1" t="s">
        <v>10375</v>
      </c>
      <c r="E3987" s="1" t="s">
        <v>36</v>
      </c>
      <c r="G3987">
        <v>446919</v>
      </c>
      <c r="H3987" t="s">
        <v>10360</v>
      </c>
      <c r="I3987" t="s">
        <v>2413</v>
      </c>
      <c r="J3987">
        <v>30</v>
      </c>
      <c r="K3987">
        <v>2695</v>
      </c>
      <c r="L3987">
        <v>95000</v>
      </c>
      <c r="M3987" t="s">
        <v>69</v>
      </c>
      <c r="N3987">
        <v>691</v>
      </c>
      <c r="O3987" s="2">
        <v>46170</v>
      </c>
      <c r="P3987" s="2">
        <v>46296</v>
      </c>
      <c r="R3987" t="s">
        <v>10376</v>
      </c>
      <c r="S3987" t="str">
        <f>""</f>
        <v/>
      </c>
      <c r="T3987" t="s">
        <v>41</v>
      </c>
      <c r="U3987">
        <v>2741</v>
      </c>
      <c r="V3987">
        <v>2710.85</v>
      </c>
      <c r="W3987">
        <v>2710.85</v>
      </c>
      <c r="X3987">
        <v>0</v>
      </c>
      <c r="Y3987">
        <v>0</v>
      </c>
      <c r="Z3987">
        <v>-521</v>
      </c>
      <c r="AA3987">
        <v>689479</v>
      </c>
      <c r="AD3987" t="s">
        <v>3390</v>
      </c>
      <c r="AE3987" t="s">
        <v>5778</v>
      </c>
      <c r="AF3987" t="s">
        <v>3390</v>
      </c>
      <c r="AG3987" s="1" t="s">
        <v>10362</v>
      </c>
      <c r="AH3987" t="s">
        <v>44</v>
      </c>
    </row>
    <row r="3988" spans="1:34" x14ac:dyDescent="0.3">
      <c r="A3988">
        <v>101</v>
      </c>
      <c r="B3988" t="s">
        <v>34</v>
      </c>
      <c r="C3988">
        <v>2</v>
      </c>
      <c r="D3988" s="1" t="s">
        <v>10377</v>
      </c>
      <c r="E3988" s="1" t="s">
        <v>36</v>
      </c>
      <c r="G3988">
        <v>446919</v>
      </c>
      <c r="H3988" t="s">
        <v>10360</v>
      </c>
      <c r="I3988" t="s">
        <v>2413</v>
      </c>
      <c r="J3988">
        <v>30</v>
      </c>
      <c r="K3988">
        <v>2695</v>
      </c>
      <c r="L3988">
        <v>95000</v>
      </c>
      <c r="M3988" t="s">
        <v>69</v>
      </c>
      <c r="N3988">
        <v>691</v>
      </c>
      <c r="O3988" s="2">
        <v>46203</v>
      </c>
      <c r="P3988" s="2">
        <v>46316</v>
      </c>
      <c r="R3988" t="s">
        <v>10378</v>
      </c>
      <c r="S3988" t="str">
        <f>""</f>
        <v/>
      </c>
      <c r="T3988" t="s">
        <v>41</v>
      </c>
      <c r="U3988">
        <v>1769</v>
      </c>
      <c r="V3988">
        <v>1749.54</v>
      </c>
      <c r="W3988">
        <v>1749.54</v>
      </c>
      <c r="X3988">
        <v>0</v>
      </c>
      <c r="Y3988">
        <v>0</v>
      </c>
      <c r="Z3988">
        <v>-541</v>
      </c>
      <c r="AA3988">
        <v>692538</v>
      </c>
      <c r="AD3988" t="s">
        <v>3390</v>
      </c>
      <c r="AE3988" t="s">
        <v>5778</v>
      </c>
      <c r="AF3988" t="s">
        <v>3390</v>
      </c>
      <c r="AG3988" s="1" t="s">
        <v>10362</v>
      </c>
      <c r="AH3988" t="s">
        <v>44</v>
      </c>
    </row>
    <row r="3989" spans="1:34" x14ac:dyDescent="0.3">
      <c r="A3989">
        <v>101</v>
      </c>
      <c r="B3989" t="s">
        <v>34</v>
      </c>
      <c r="C3989">
        <v>2</v>
      </c>
      <c r="D3989" s="1" t="s">
        <v>10379</v>
      </c>
      <c r="E3989" s="1" t="s">
        <v>36</v>
      </c>
      <c r="G3989">
        <v>447869</v>
      </c>
      <c r="H3989" t="s">
        <v>10380</v>
      </c>
      <c r="I3989" t="s">
        <v>2413</v>
      </c>
      <c r="J3989">
        <v>30</v>
      </c>
      <c r="K3989">
        <v>2695</v>
      </c>
      <c r="L3989">
        <v>95000</v>
      </c>
      <c r="M3989" t="s">
        <v>69</v>
      </c>
      <c r="N3989">
        <v>691</v>
      </c>
      <c r="O3989" s="2">
        <v>46198</v>
      </c>
      <c r="P3989" s="2">
        <v>46296</v>
      </c>
      <c r="R3989" t="s">
        <v>10381</v>
      </c>
      <c r="S3989" t="str">
        <f>""</f>
        <v/>
      </c>
      <c r="T3989" t="s">
        <v>41</v>
      </c>
      <c r="U3989">
        <v>1769</v>
      </c>
      <c r="V3989">
        <v>1749.54</v>
      </c>
      <c r="W3989">
        <v>1749.54</v>
      </c>
      <c r="X3989">
        <v>0</v>
      </c>
      <c r="Y3989">
        <v>0</v>
      </c>
      <c r="Z3989">
        <v>-521</v>
      </c>
      <c r="AA3989">
        <v>692540</v>
      </c>
      <c r="AD3989" t="s">
        <v>9926</v>
      </c>
      <c r="AE3989" t="s">
        <v>10382</v>
      </c>
      <c r="AF3989" t="s">
        <v>9926</v>
      </c>
      <c r="AG3989" s="1" t="s">
        <v>10383</v>
      </c>
      <c r="AH3989" t="s">
        <v>44</v>
      </c>
    </row>
    <row r="3990" spans="1:34" x14ac:dyDescent="0.3">
      <c r="A3990">
        <v>101</v>
      </c>
      <c r="B3990" t="s">
        <v>34</v>
      </c>
      <c r="C3990">
        <v>2</v>
      </c>
      <c r="D3990" s="1" t="s">
        <v>10384</v>
      </c>
      <c r="E3990" s="1" t="s">
        <v>36</v>
      </c>
      <c r="G3990">
        <v>447869</v>
      </c>
      <c r="H3990" t="s">
        <v>10380</v>
      </c>
      <c r="I3990" t="s">
        <v>2413</v>
      </c>
      <c r="J3990">
        <v>30</v>
      </c>
      <c r="K3990">
        <v>2695</v>
      </c>
      <c r="L3990">
        <v>95000</v>
      </c>
      <c r="M3990" t="s">
        <v>69</v>
      </c>
      <c r="N3990">
        <v>691</v>
      </c>
      <c r="O3990" s="2">
        <v>46253</v>
      </c>
      <c r="P3990" s="2">
        <v>46343</v>
      </c>
      <c r="R3990" t="s">
        <v>10385</v>
      </c>
      <c r="S3990" t="str">
        <f>""</f>
        <v/>
      </c>
      <c r="T3990" t="s">
        <v>41</v>
      </c>
      <c r="U3990">
        <v>2653.5</v>
      </c>
      <c r="V3990">
        <v>2624.31</v>
      </c>
      <c r="W3990">
        <v>2624.31</v>
      </c>
      <c r="X3990">
        <v>0</v>
      </c>
      <c r="Y3990">
        <v>0</v>
      </c>
      <c r="Z3990">
        <v>-568</v>
      </c>
      <c r="AA3990">
        <v>696999</v>
      </c>
      <c r="AD3990" t="s">
        <v>9926</v>
      </c>
      <c r="AE3990" t="s">
        <v>10382</v>
      </c>
      <c r="AF3990" t="s">
        <v>9926</v>
      </c>
      <c r="AG3990" s="1" t="s">
        <v>10383</v>
      </c>
      <c r="AH3990" t="s">
        <v>44</v>
      </c>
    </row>
    <row r="3991" spans="1:34" x14ac:dyDescent="0.3">
      <c r="A3991">
        <v>101</v>
      </c>
      <c r="B3991" t="s">
        <v>34</v>
      </c>
      <c r="C3991">
        <v>2</v>
      </c>
      <c r="D3991" s="1" t="s">
        <v>10386</v>
      </c>
      <c r="E3991" s="1" t="s">
        <v>36</v>
      </c>
      <c r="G3991">
        <v>447869</v>
      </c>
      <c r="H3991" t="s">
        <v>10380</v>
      </c>
      <c r="I3991" t="s">
        <v>2413</v>
      </c>
      <c r="J3991">
        <v>30</v>
      </c>
      <c r="K3991">
        <v>2695</v>
      </c>
      <c r="L3991">
        <v>95000</v>
      </c>
      <c r="M3991" t="s">
        <v>69</v>
      </c>
      <c r="N3991">
        <v>691</v>
      </c>
      <c r="O3991" s="2">
        <v>46140</v>
      </c>
      <c r="P3991" s="2">
        <v>46266</v>
      </c>
      <c r="R3991" t="s">
        <v>10387</v>
      </c>
      <c r="S3991" t="str">
        <f>""</f>
        <v/>
      </c>
      <c r="T3991" t="s">
        <v>41</v>
      </c>
      <c r="U3991">
        <v>4557.57</v>
      </c>
      <c r="V3991">
        <v>4507.4399999999996</v>
      </c>
      <c r="W3991">
        <v>4507.4399999999996</v>
      </c>
      <c r="X3991">
        <v>0</v>
      </c>
      <c r="Y3991">
        <v>0</v>
      </c>
      <c r="Z3991">
        <v>-491</v>
      </c>
      <c r="AA3991">
        <v>686732</v>
      </c>
      <c r="AD3991" t="s">
        <v>9926</v>
      </c>
      <c r="AE3991" t="s">
        <v>10382</v>
      </c>
      <c r="AF3991" t="s">
        <v>9926</v>
      </c>
      <c r="AG3991" s="1" t="s">
        <v>10383</v>
      </c>
      <c r="AH3991" t="s">
        <v>44</v>
      </c>
    </row>
    <row r="3992" spans="1:34" x14ac:dyDescent="0.3">
      <c r="A3992">
        <v>101</v>
      </c>
      <c r="B3992" t="s">
        <v>34</v>
      </c>
      <c r="C3992">
        <v>2</v>
      </c>
      <c r="D3992" s="1" t="s">
        <v>10388</v>
      </c>
      <c r="E3992" s="1" t="s">
        <v>36</v>
      </c>
      <c r="G3992">
        <v>447869</v>
      </c>
      <c r="H3992" t="s">
        <v>10380</v>
      </c>
      <c r="I3992" t="s">
        <v>2413</v>
      </c>
      <c r="J3992">
        <v>30</v>
      </c>
      <c r="K3992">
        <v>2695</v>
      </c>
      <c r="L3992">
        <v>95000</v>
      </c>
      <c r="M3992" t="s">
        <v>69</v>
      </c>
      <c r="N3992">
        <v>691</v>
      </c>
      <c r="O3992" s="2">
        <v>46226</v>
      </c>
      <c r="P3992" s="2">
        <v>46316</v>
      </c>
      <c r="R3992" t="s">
        <v>10389</v>
      </c>
      <c r="S3992" t="str">
        <f>""</f>
        <v/>
      </c>
      <c r="T3992" t="s">
        <v>41</v>
      </c>
      <c r="U3992">
        <v>2230.38</v>
      </c>
      <c r="V3992">
        <v>2205.85</v>
      </c>
      <c r="W3992">
        <v>2205.85</v>
      </c>
      <c r="X3992">
        <v>0</v>
      </c>
      <c r="Y3992">
        <v>0</v>
      </c>
      <c r="Z3992">
        <v>-541</v>
      </c>
      <c r="AA3992">
        <v>694965</v>
      </c>
      <c r="AD3992" t="s">
        <v>9926</v>
      </c>
      <c r="AE3992" t="s">
        <v>10382</v>
      </c>
      <c r="AF3992" t="s">
        <v>9926</v>
      </c>
      <c r="AG3992" s="1" t="s">
        <v>10383</v>
      </c>
      <c r="AH3992" t="s">
        <v>44</v>
      </c>
    </row>
    <row r="3993" spans="1:34" x14ac:dyDescent="0.3">
      <c r="A3993">
        <v>101</v>
      </c>
      <c r="B3993" t="s">
        <v>34</v>
      </c>
      <c r="C3993">
        <v>2</v>
      </c>
      <c r="D3993" s="1" t="s">
        <v>10390</v>
      </c>
      <c r="E3993" s="1" t="s">
        <v>36</v>
      </c>
      <c r="G3993">
        <v>447869</v>
      </c>
      <c r="H3993" t="s">
        <v>10380</v>
      </c>
      <c r="I3993" t="s">
        <v>2413</v>
      </c>
      <c r="J3993">
        <v>30</v>
      </c>
      <c r="K3993">
        <v>2695</v>
      </c>
      <c r="L3993">
        <v>95000</v>
      </c>
      <c r="M3993" t="s">
        <v>69</v>
      </c>
      <c r="N3993">
        <v>691</v>
      </c>
      <c r="O3993" s="2">
        <v>46170</v>
      </c>
      <c r="P3993" s="2">
        <v>46276</v>
      </c>
      <c r="R3993" t="s">
        <v>10391</v>
      </c>
      <c r="S3993" t="str">
        <f>""</f>
        <v/>
      </c>
      <c r="T3993" t="s">
        <v>41</v>
      </c>
      <c r="U3993">
        <v>6760.3</v>
      </c>
      <c r="V3993">
        <v>6685.94</v>
      </c>
      <c r="W3993">
        <v>6685.94</v>
      </c>
      <c r="X3993">
        <v>0</v>
      </c>
      <c r="Y3993">
        <v>0</v>
      </c>
      <c r="Z3993">
        <v>-501</v>
      </c>
      <c r="AA3993">
        <v>689332</v>
      </c>
      <c r="AD3993" t="s">
        <v>9926</v>
      </c>
      <c r="AE3993" t="s">
        <v>10382</v>
      </c>
      <c r="AF3993" t="s">
        <v>9926</v>
      </c>
      <c r="AG3993" s="1" t="s">
        <v>10383</v>
      </c>
      <c r="AH3993" t="s">
        <v>44</v>
      </c>
    </row>
    <row r="3994" spans="1:34" x14ac:dyDescent="0.3">
      <c r="A3994">
        <v>101</v>
      </c>
      <c r="B3994" t="s">
        <v>34</v>
      </c>
      <c r="C3994">
        <v>2</v>
      </c>
      <c r="D3994" s="1" t="s">
        <v>10392</v>
      </c>
      <c r="E3994" s="1" t="s">
        <v>36</v>
      </c>
      <c r="G3994">
        <v>447869</v>
      </c>
      <c r="H3994" t="s">
        <v>10380</v>
      </c>
      <c r="I3994" t="s">
        <v>2413</v>
      </c>
      <c r="J3994">
        <v>30</v>
      </c>
      <c r="K3994">
        <v>2695</v>
      </c>
      <c r="L3994">
        <v>95000</v>
      </c>
      <c r="M3994" t="s">
        <v>69</v>
      </c>
      <c r="N3994">
        <v>691</v>
      </c>
      <c r="O3994" s="2">
        <v>46198</v>
      </c>
      <c r="P3994" s="2">
        <v>46296</v>
      </c>
      <c r="R3994" t="s">
        <v>10393</v>
      </c>
      <c r="S3994" t="str">
        <f>""</f>
        <v/>
      </c>
      <c r="T3994" t="s">
        <v>41</v>
      </c>
      <c r="U3994">
        <v>14508.4</v>
      </c>
      <c r="V3994">
        <v>14348.81</v>
      </c>
      <c r="W3994">
        <v>14348.81</v>
      </c>
      <c r="X3994">
        <v>0</v>
      </c>
      <c r="Y3994">
        <v>0</v>
      </c>
      <c r="Z3994">
        <v>-521</v>
      </c>
      <c r="AA3994">
        <v>692292</v>
      </c>
      <c r="AD3994" t="s">
        <v>9926</v>
      </c>
      <c r="AE3994" t="s">
        <v>10382</v>
      </c>
      <c r="AF3994" t="s">
        <v>9926</v>
      </c>
      <c r="AG3994" s="1" t="s">
        <v>10383</v>
      </c>
      <c r="AH3994" t="s">
        <v>44</v>
      </c>
    </row>
    <row r="3995" spans="1:34" x14ac:dyDescent="0.3">
      <c r="A3995">
        <v>101</v>
      </c>
      <c r="B3995" t="s">
        <v>34</v>
      </c>
      <c r="C3995">
        <v>2</v>
      </c>
      <c r="D3995" s="1" t="s">
        <v>10394</v>
      </c>
      <c r="E3995" s="1" t="s">
        <v>36</v>
      </c>
      <c r="G3995">
        <v>447869</v>
      </c>
      <c r="H3995" t="s">
        <v>10380</v>
      </c>
      <c r="I3995" t="s">
        <v>2413</v>
      </c>
      <c r="J3995">
        <v>30</v>
      </c>
      <c r="K3995">
        <v>2695</v>
      </c>
      <c r="L3995">
        <v>95000</v>
      </c>
      <c r="M3995" t="s">
        <v>69</v>
      </c>
      <c r="N3995">
        <v>691</v>
      </c>
      <c r="O3995" s="2">
        <v>46170</v>
      </c>
      <c r="P3995" s="2">
        <v>46276</v>
      </c>
      <c r="R3995" t="s">
        <v>10395</v>
      </c>
      <c r="S3995" t="str">
        <f>""</f>
        <v/>
      </c>
      <c r="T3995" t="s">
        <v>41</v>
      </c>
      <c r="U3995">
        <v>2741</v>
      </c>
      <c r="V3995">
        <v>2710.85</v>
      </c>
      <c r="W3995">
        <v>2710.85</v>
      </c>
      <c r="X3995">
        <v>0</v>
      </c>
      <c r="Y3995">
        <v>0</v>
      </c>
      <c r="Z3995">
        <v>-501</v>
      </c>
      <c r="AA3995">
        <v>689541</v>
      </c>
      <c r="AD3995" t="s">
        <v>9926</v>
      </c>
      <c r="AE3995" t="s">
        <v>10382</v>
      </c>
      <c r="AF3995" t="s">
        <v>9926</v>
      </c>
      <c r="AG3995" s="1" t="s">
        <v>10383</v>
      </c>
      <c r="AH3995" t="s">
        <v>44</v>
      </c>
    </row>
    <row r="3996" spans="1:34" x14ac:dyDescent="0.3">
      <c r="A3996">
        <v>101</v>
      </c>
      <c r="B3996" t="s">
        <v>34</v>
      </c>
      <c r="C3996">
        <v>2</v>
      </c>
      <c r="D3996" s="1" t="s">
        <v>10396</v>
      </c>
      <c r="E3996" s="1" t="s">
        <v>36</v>
      </c>
      <c r="G3996">
        <v>447869</v>
      </c>
      <c r="H3996" t="s">
        <v>10380</v>
      </c>
      <c r="I3996" t="s">
        <v>2413</v>
      </c>
      <c r="J3996">
        <v>30</v>
      </c>
      <c r="K3996">
        <v>2695</v>
      </c>
      <c r="L3996">
        <v>95000</v>
      </c>
      <c r="M3996" t="s">
        <v>69</v>
      </c>
      <c r="N3996">
        <v>691</v>
      </c>
      <c r="O3996" s="2">
        <v>46171</v>
      </c>
      <c r="P3996" s="2">
        <v>46276</v>
      </c>
      <c r="R3996" t="s">
        <v>10397</v>
      </c>
      <c r="S3996" t="str">
        <f>""</f>
        <v/>
      </c>
      <c r="T3996" t="s">
        <v>41</v>
      </c>
      <c r="U3996">
        <v>2846.4</v>
      </c>
      <c r="V3996">
        <v>2815.09</v>
      </c>
      <c r="W3996">
        <v>2815.09</v>
      </c>
      <c r="X3996">
        <v>0</v>
      </c>
      <c r="Y3996">
        <v>0</v>
      </c>
      <c r="Z3996">
        <v>-501</v>
      </c>
      <c r="AA3996">
        <v>689332</v>
      </c>
      <c r="AD3996" t="s">
        <v>9926</v>
      </c>
      <c r="AE3996" t="s">
        <v>10382</v>
      </c>
      <c r="AF3996" t="s">
        <v>9926</v>
      </c>
      <c r="AG3996" s="1" t="s">
        <v>10383</v>
      </c>
      <c r="AH3996" t="s">
        <v>44</v>
      </c>
    </row>
    <row r="3997" spans="1:34" x14ac:dyDescent="0.3">
      <c r="A3997">
        <v>101</v>
      </c>
      <c r="B3997" t="s">
        <v>34</v>
      </c>
      <c r="C3997">
        <v>2</v>
      </c>
      <c r="D3997" s="1" t="s">
        <v>10398</v>
      </c>
      <c r="E3997" s="1" t="s">
        <v>36</v>
      </c>
      <c r="G3997">
        <v>447869</v>
      </c>
      <c r="H3997" t="s">
        <v>10380</v>
      </c>
      <c r="I3997" t="s">
        <v>2413</v>
      </c>
      <c r="J3997">
        <v>30</v>
      </c>
      <c r="K3997">
        <v>2695</v>
      </c>
      <c r="L3997">
        <v>95000</v>
      </c>
      <c r="M3997" t="s">
        <v>69</v>
      </c>
      <c r="N3997">
        <v>691</v>
      </c>
      <c r="O3997" s="2">
        <v>46239</v>
      </c>
      <c r="P3997" s="2">
        <v>46329</v>
      </c>
      <c r="R3997" t="s">
        <v>10399</v>
      </c>
      <c r="S3997" t="str">
        <f>""</f>
        <v/>
      </c>
      <c r="T3997" t="s">
        <v>41</v>
      </c>
      <c r="U3997">
        <v>527.52</v>
      </c>
      <c r="V3997">
        <v>521.72</v>
      </c>
      <c r="W3997">
        <v>521.72</v>
      </c>
      <c r="X3997">
        <v>0</v>
      </c>
      <c r="Y3997">
        <v>0</v>
      </c>
      <c r="Z3997">
        <v>-554</v>
      </c>
      <c r="AA3997">
        <v>696219</v>
      </c>
      <c r="AD3997" t="s">
        <v>9926</v>
      </c>
      <c r="AE3997" t="s">
        <v>10382</v>
      </c>
      <c r="AF3997" t="s">
        <v>9926</v>
      </c>
      <c r="AG3997" s="1" t="s">
        <v>10383</v>
      </c>
      <c r="AH3997" t="s">
        <v>44</v>
      </c>
    </row>
    <row r="3998" spans="1:34" x14ac:dyDescent="0.3">
      <c r="A3998">
        <v>101</v>
      </c>
      <c r="B3998" t="s">
        <v>34</v>
      </c>
      <c r="C3998">
        <v>2</v>
      </c>
      <c r="D3998" s="1" t="s">
        <v>10400</v>
      </c>
      <c r="E3998" s="1" t="s">
        <v>36</v>
      </c>
      <c r="G3998">
        <v>450444</v>
      </c>
      <c r="H3998" t="s">
        <v>10401</v>
      </c>
      <c r="I3998" t="s">
        <v>2413</v>
      </c>
      <c r="J3998">
        <v>30</v>
      </c>
      <c r="K3998">
        <v>2695</v>
      </c>
      <c r="L3998">
        <v>95000</v>
      </c>
      <c r="M3998" t="s">
        <v>69</v>
      </c>
      <c r="N3998">
        <v>691</v>
      </c>
      <c r="O3998" s="2">
        <v>46226</v>
      </c>
      <c r="P3998" s="2">
        <v>46349</v>
      </c>
      <c r="R3998" t="s">
        <v>10402</v>
      </c>
      <c r="S3998" t="str">
        <f>""</f>
        <v/>
      </c>
      <c r="T3998" t="s">
        <v>41</v>
      </c>
      <c r="U3998">
        <v>27890.880000000001</v>
      </c>
      <c r="V3998">
        <v>27584.080000000002</v>
      </c>
      <c r="W3998">
        <v>27584.080000000002</v>
      </c>
      <c r="X3998">
        <v>0</v>
      </c>
      <c r="Y3998">
        <v>0</v>
      </c>
      <c r="Z3998">
        <v>-574</v>
      </c>
      <c r="AA3998">
        <v>694935</v>
      </c>
      <c r="AD3998" t="s">
        <v>64</v>
      </c>
      <c r="AE3998" t="s">
        <v>5778</v>
      </c>
      <c r="AF3998" t="s">
        <v>64</v>
      </c>
      <c r="AG3998" s="1" t="s">
        <v>10403</v>
      </c>
      <c r="AH3998" t="s">
        <v>44</v>
      </c>
    </row>
    <row r="3999" spans="1:34" x14ac:dyDescent="0.3">
      <c r="A3999">
        <v>101</v>
      </c>
      <c r="B3999" t="s">
        <v>34</v>
      </c>
      <c r="C3999">
        <v>2</v>
      </c>
      <c r="D3999" s="1" t="s">
        <v>10404</v>
      </c>
      <c r="E3999" s="1" t="s">
        <v>36</v>
      </c>
      <c r="G3999">
        <v>450444</v>
      </c>
      <c r="H3999" t="s">
        <v>10401</v>
      </c>
      <c r="I3999" t="s">
        <v>2413</v>
      </c>
      <c r="J3999">
        <v>30</v>
      </c>
      <c r="K3999">
        <v>2695</v>
      </c>
      <c r="L3999">
        <v>95000</v>
      </c>
      <c r="M3999" t="s">
        <v>69</v>
      </c>
      <c r="N3999">
        <v>691</v>
      </c>
      <c r="O3999" s="2">
        <v>46199</v>
      </c>
      <c r="P3999" s="2">
        <v>46316</v>
      </c>
      <c r="R3999" t="s">
        <v>10405</v>
      </c>
      <c r="S3999" t="str">
        <f>""</f>
        <v/>
      </c>
      <c r="T3999" t="s">
        <v>41</v>
      </c>
      <c r="U3999">
        <v>884.5</v>
      </c>
      <c r="V3999">
        <v>874.77</v>
      </c>
      <c r="W3999">
        <v>874.77</v>
      </c>
      <c r="X3999">
        <v>0</v>
      </c>
      <c r="Y3999">
        <v>0</v>
      </c>
      <c r="Z3999">
        <v>-541</v>
      </c>
      <c r="AA3999">
        <v>692522</v>
      </c>
      <c r="AD3999" t="s">
        <v>64</v>
      </c>
      <c r="AE3999" t="s">
        <v>5778</v>
      </c>
      <c r="AF3999" t="s">
        <v>64</v>
      </c>
      <c r="AG3999" s="1" t="s">
        <v>10403</v>
      </c>
      <c r="AH3999" t="s">
        <v>44</v>
      </c>
    </row>
    <row r="4000" spans="1:34" x14ac:dyDescent="0.3">
      <c r="A4000">
        <v>101</v>
      </c>
      <c r="B4000" t="s">
        <v>34</v>
      </c>
      <c r="C4000">
        <v>2</v>
      </c>
      <c r="D4000" s="1" t="s">
        <v>10406</v>
      </c>
      <c r="E4000" s="1" t="s">
        <v>36</v>
      </c>
      <c r="G4000">
        <v>450444</v>
      </c>
      <c r="H4000" t="s">
        <v>10401</v>
      </c>
      <c r="I4000" t="s">
        <v>2413</v>
      </c>
      <c r="J4000">
        <v>30</v>
      </c>
      <c r="K4000">
        <v>2695</v>
      </c>
      <c r="L4000">
        <v>95000</v>
      </c>
      <c r="M4000" t="s">
        <v>69</v>
      </c>
      <c r="N4000">
        <v>691</v>
      </c>
      <c r="O4000" s="2">
        <v>46170</v>
      </c>
      <c r="P4000" s="2">
        <v>46296</v>
      </c>
      <c r="R4000" t="s">
        <v>10407</v>
      </c>
      <c r="S4000" t="str">
        <f>""</f>
        <v/>
      </c>
      <c r="T4000" t="s">
        <v>41</v>
      </c>
      <c r="U4000">
        <v>22204.59</v>
      </c>
      <c r="V4000">
        <v>21960.34</v>
      </c>
      <c r="W4000">
        <v>21960.34</v>
      </c>
      <c r="X4000">
        <v>0</v>
      </c>
      <c r="Y4000">
        <v>0</v>
      </c>
      <c r="Z4000">
        <v>-521</v>
      </c>
      <c r="AA4000">
        <v>689178</v>
      </c>
      <c r="AD4000" t="s">
        <v>64</v>
      </c>
      <c r="AE4000" t="s">
        <v>5778</v>
      </c>
      <c r="AF4000" t="s">
        <v>64</v>
      </c>
      <c r="AG4000" s="1" t="s">
        <v>10403</v>
      </c>
      <c r="AH4000" t="s">
        <v>44</v>
      </c>
    </row>
    <row r="4001" spans="1:34" x14ac:dyDescent="0.3">
      <c r="A4001">
        <v>101</v>
      </c>
      <c r="B4001" t="s">
        <v>34</v>
      </c>
      <c r="C4001">
        <v>2</v>
      </c>
      <c r="D4001" s="1" t="s">
        <v>10408</v>
      </c>
      <c r="E4001" s="1" t="s">
        <v>36</v>
      </c>
      <c r="G4001">
        <v>450444</v>
      </c>
      <c r="H4001" t="s">
        <v>10401</v>
      </c>
      <c r="I4001" t="s">
        <v>2413</v>
      </c>
      <c r="J4001">
        <v>30</v>
      </c>
      <c r="K4001">
        <v>2695</v>
      </c>
      <c r="L4001">
        <v>95000</v>
      </c>
      <c r="M4001" t="s">
        <v>69</v>
      </c>
      <c r="N4001">
        <v>691</v>
      </c>
      <c r="O4001" s="2">
        <v>46197</v>
      </c>
      <c r="P4001" s="2">
        <v>46337</v>
      </c>
      <c r="R4001" t="s">
        <v>10409</v>
      </c>
      <c r="S4001" t="str">
        <f>""</f>
        <v/>
      </c>
      <c r="T4001" t="s">
        <v>41</v>
      </c>
      <c r="U4001">
        <v>37117.089999999997</v>
      </c>
      <c r="V4001">
        <v>36708.800000000003</v>
      </c>
      <c r="W4001">
        <v>36708.800000000003</v>
      </c>
      <c r="X4001">
        <v>0</v>
      </c>
      <c r="Y4001">
        <v>0</v>
      </c>
      <c r="Z4001">
        <v>-562</v>
      </c>
      <c r="AA4001">
        <v>692140</v>
      </c>
      <c r="AD4001" t="s">
        <v>64</v>
      </c>
      <c r="AE4001" t="s">
        <v>5778</v>
      </c>
      <c r="AF4001" t="s">
        <v>64</v>
      </c>
      <c r="AG4001" s="1" t="s">
        <v>10403</v>
      </c>
      <c r="AH4001" t="s">
        <v>44</v>
      </c>
    </row>
    <row r="4002" spans="1:34" x14ac:dyDescent="0.3">
      <c r="A4002">
        <v>101</v>
      </c>
      <c r="B4002" t="s">
        <v>34</v>
      </c>
      <c r="C4002">
        <v>2</v>
      </c>
      <c r="D4002" s="1" t="s">
        <v>10410</v>
      </c>
      <c r="E4002" s="1" t="s">
        <v>36</v>
      </c>
      <c r="G4002">
        <v>450444</v>
      </c>
      <c r="H4002" t="s">
        <v>10401</v>
      </c>
      <c r="I4002" t="s">
        <v>2413</v>
      </c>
      <c r="J4002">
        <v>30</v>
      </c>
      <c r="K4002">
        <v>2695</v>
      </c>
      <c r="L4002">
        <v>95000</v>
      </c>
      <c r="M4002" t="s">
        <v>69</v>
      </c>
      <c r="N4002">
        <v>691</v>
      </c>
      <c r="O4002" s="2">
        <v>46140</v>
      </c>
      <c r="P4002" s="2">
        <v>46255</v>
      </c>
      <c r="R4002" t="s">
        <v>10411</v>
      </c>
      <c r="S4002" t="str">
        <f>""</f>
        <v/>
      </c>
      <c r="T4002" t="s">
        <v>41</v>
      </c>
      <c r="U4002">
        <v>15768.77</v>
      </c>
      <c r="V4002">
        <v>15595.31</v>
      </c>
      <c r="W4002">
        <v>15595.31</v>
      </c>
      <c r="X4002">
        <v>0</v>
      </c>
      <c r="Y4002">
        <v>0</v>
      </c>
      <c r="Z4002">
        <v>-480</v>
      </c>
      <c r="AA4002">
        <v>686576</v>
      </c>
      <c r="AD4002" t="s">
        <v>64</v>
      </c>
      <c r="AE4002" t="s">
        <v>5778</v>
      </c>
      <c r="AF4002" t="s">
        <v>64</v>
      </c>
      <c r="AG4002" s="1" t="s">
        <v>10403</v>
      </c>
      <c r="AH4002" t="s">
        <v>44</v>
      </c>
    </row>
    <row r="4003" spans="1:34" x14ac:dyDescent="0.3">
      <c r="A4003">
        <v>101</v>
      </c>
      <c r="B4003" t="s">
        <v>34</v>
      </c>
      <c r="C4003">
        <v>2</v>
      </c>
      <c r="D4003" s="1" t="s">
        <v>10412</v>
      </c>
      <c r="E4003" s="1" t="s">
        <v>36</v>
      </c>
      <c r="G4003">
        <v>450444</v>
      </c>
      <c r="H4003" t="s">
        <v>10401</v>
      </c>
      <c r="I4003" t="s">
        <v>2413</v>
      </c>
      <c r="J4003">
        <v>30</v>
      </c>
      <c r="K4003">
        <v>2695</v>
      </c>
      <c r="L4003">
        <v>95000</v>
      </c>
      <c r="M4003" t="s">
        <v>69</v>
      </c>
      <c r="N4003">
        <v>691</v>
      </c>
      <c r="O4003" s="2">
        <v>46199</v>
      </c>
      <c r="P4003" s="2">
        <v>46316</v>
      </c>
      <c r="R4003" t="s">
        <v>10413</v>
      </c>
      <c r="S4003" t="str">
        <f>""</f>
        <v/>
      </c>
      <c r="T4003" t="s">
        <v>41</v>
      </c>
      <c r="U4003">
        <v>292.68</v>
      </c>
      <c r="V4003">
        <v>289.45999999999998</v>
      </c>
      <c r="W4003">
        <v>289.45999999999998</v>
      </c>
      <c r="X4003">
        <v>0</v>
      </c>
      <c r="Y4003">
        <v>0</v>
      </c>
      <c r="Z4003">
        <v>-541</v>
      </c>
      <c r="AA4003">
        <v>692801</v>
      </c>
      <c r="AD4003" t="s">
        <v>64</v>
      </c>
      <c r="AE4003" t="s">
        <v>5778</v>
      </c>
      <c r="AF4003" t="s">
        <v>64</v>
      </c>
      <c r="AG4003" s="1" t="s">
        <v>10403</v>
      </c>
      <c r="AH4003" t="s">
        <v>44</v>
      </c>
    </row>
    <row r="4004" spans="1:34" x14ac:dyDescent="0.3">
      <c r="A4004">
        <v>101</v>
      </c>
      <c r="B4004" t="s">
        <v>34</v>
      </c>
      <c r="C4004">
        <v>2</v>
      </c>
      <c r="D4004" s="1" t="s">
        <v>10414</v>
      </c>
      <c r="E4004" s="1" t="s">
        <v>36</v>
      </c>
      <c r="G4004">
        <v>450444</v>
      </c>
      <c r="H4004" t="s">
        <v>10401</v>
      </c>
      <c r="I4004" t="s">
        <v>2413</v>
      </c>
      <c r="J4004">
        <v>30</v>
      </c>
      <c r="K4004">
        <v>2695</v>
      </c>
      <c r="L4004">
        <v>95000</v>
      </c>
      <c r="M4004" t="s">
        <v>69</v>
      </c>
      <c r="N4004">
        <v>691</v>
      </c>
      <c r="O4004" s="2">
        <v>46170</v>
      </c>
      <c r="P4004" s="2">
        <v>46296</v>
      </c>
      <c r="R4004" t="s">
        <v>10415</v>
      </c>
      <c r="S4004" t="str">
        <f>""</f>
        <v/>
      </c>
      <c r="T4004" t="s">
        <v>41</v>
      </c>
      <c r="U4004">
        <v>2741</v>
      </c>
      <c r="V4004">
        <v>2710.85</v>
      </c>
      <c r="W4004">
        <v>2710.85</v>
      </c>
      <c r="X4004">
        <v>0</v>
      </c>
      <c r="Y4004">
        <v>0</v>
      </c>
      <c r="Z4004">
        <v>-521</v>
      </c>
      <c r="AA4004">
        <v>689459</v>
      </c>
      <c r="AD4004" t="s">
        <v>64</v>
      </c>
      <c r="AE4004" t="s">
        <v>5778</v>
      </c>
      <c r="AF4004" t="s">
        <v>64</v>
      </c>
      <c r="AG4004" s="1" t="s">
        <v>10403</v>
      </c>
      <c r="AH4004" t="s">
        <v>44</v>
      </c>
    </row>
    <row r="4005" spans="1:34" x14ac:dyDescent="0.3">
      <c r="A4005">
        <v>101</v>
      </c>
      <c r="B4005" t="s">
        <v>34</v>
      </c>
      <c r="C4005">
        <v>2</v>
      </c>
      <c r="D4005" s="1" t="s">
        <v>10416</v>
      </c>
      <c r="E4005" s="1" t="s">
        <v>36</v>
      </c>
      <c r="G4005">
        <v>450444</v>
      </c>
      <c r="H4005" t="s">
        <v>10401</v>
      </c>
      <c r="I4005" t="s">
        <v>2413</v>
      </c>
      <c r="J4005">
        <v>30</v>
      </c>
      <c r="K4005">
        <v>2695</v>
      </c>
      <c r="L4005">
        <v>95000</v>
      </c>
      <c r="M4005" t="s">
        <v>69</v>
      </c>
      <c r="N4005">
        <v>691</v>
      </c>
      <c r="O4005" s="2">
        <v>46239</v>
      </c>
      <c r="P4005" s="2">
        <v>46349</v>
      </c>
      <c r="R4005" t="s">
        <v>10417</v>
      </c>
      <c r="S4005" t="str">
        <f>""</f>
        <v/>
      </c>
      <c r="T4005" t="s">
        <v>41</v>
      </c>
      <c r="U4005">
        <v>5060.37</v>
      </c>
      <c r="V4005">
        <v>5004.71</v>
      </c>
      <c r="W4005">
        <v>5004.71</v>
      </c>
      <c r="X4005">
        <v>0</v>
      </c>
      <c r="Y4005">
        <v>0</v>
      </c>
      <c r="Z4005">
        <v>-574</v>
      </c>
      <c r="AA4005">
        <v>696201</v>
      </c>
      <c r="AD4005" t="s">
        <v>64</v>
      </c>
      <c r="AE4005" t="s">
        <v>5778</v>
      </c>
      <c r="AF4005" t="s">
        <v>64</v>
      </c>
      <c r="AG4005" s="1" t="s">
        <v>10403</v>
      </c>
      <c r="AH4005" t="s">
        <v>44</v>
      </c>
    </row>
    <row r="4006" spans="1:34" x14ac:dyDescent="0.3">
      <c r="A4006">
        <v>101</v>
      </c>
      <c r="B4006" t="s">
        <v>34</v>
      </c>
      <c r="C4006">
        <v>2</v>
      </c>
      <c r="D4006" s="1" t="s">
        <v>10418</v>
      </c>
      <c r="E4006" s="1" t="s">
        <v>36</v>
      </c>
      <c r="G4006">
        <v>450444</v>
      </c>
      <c r="H4006" t="s">
        <v>10401</v>
      </c>
      <c r="I4006" t="s">
        <v>2413</v>
      </c>
      <c r="J4006">
        <v>30</v>
      </c>
      <c r="K4006">
        <v>2695</v>
      </c>
      <c r="L4006">
        <v>95000</v>
      </c>
      <c r="M4006" t="s">
        <v>69</v>
      </c>
      <c r="N4006">
        <v>691</v>
      </c>
      <c r="O4006" s="2">
        <v>46171</v>
      </c>
      <c r="P4006" s="2">
        <v>46296</v>
      </c>
      <c r="R4006" t="s">
        <v>10419</v>
      </c>
      <c r="S4006" t="str">
        <f>""</f>
        <v/>
      </c>
      <c r="T4006" t="s">
        <v>41</v>
      </c>
      <c r="U4006">
        <v>2846.4</v>
      </c>
      <c r="V4006">
        <v>2815.09</v>
      </c>
      <c r="W4006">
        <v>2815.09</v>
      </c>
      <c r="X4006">
        <v>0</v>
      </c>
      <c r="Y4006">
        <v>0</v>
      </c>
      <c r="Z4006">
        <v>-521</v>
      </c>
      <c r="AA4006">
        <v>689178</v>
      </c>
      <c r="AD4006" t="s">
        <v>64</v>
      </c>
      <c r="AE4006" t="s">
        <v>5778</v>
      </c>
      <c r="AF4006" t="s">
        <v>64</v>
      </c>
      <c r="AG4006" s="1" t="s">
        <v>10403</v>
      </c>
      <c r="AH4006" t="s">
        <v>44</v>
      </c>
    </row>
    <row r="4007" spans="1:34" x14ac:dyDescent="0.3">
      <c r="A4007">
        <v>101</v>
      </c>
      <c r="B4007" t="s">
        <v>34</v>
      </c>
      <c r="C4007">
        <v>2</v>
      </c>
      <c r="D4007" s="1" t="s">
        <v>10420</v>
      </c>
      <c r="E4007" s="1" t="s">
        <v>36</v>
      </c>
      <c r="G4007">
        <v>450444</v>
      </c>
      <c r="H4007" t="s">
        <v>10401</v>
      </c>
      <c r="I4007" t="s">
        <v>2413</v>
      </c>
      <c r="J4007">
        <v>30</v>
      </c>
      <c r="K4007">
        <v>2695</v>
      </c>
      <c r="L4007">
        <v>95000</v>
      </c>
      <c r="M4007" t="s">
        <v>69</v>
      </c>
      <c r="N4007">
        <v>691</v>
      </c>
      <c r="O4007" s="2">
        <v>46253</v>
      </c>
      <c r="P4007" s="2">
        <v>46343</v>
      </c>
      <c r="R4007" t="s">
        <v>10421</v>
      </c>
      <c r="S4007" t="str">
        <f>""</f>
        <v/>
      </c>
      <c r="T4007" t="s">
        <v>41</v>
      </c>
      <c r="U4007">
        <v>3538</v>
      </c>
      <c r="V4007">
        <v>3499.08</v>
      </c>
      <c r="W4007">
        <v>3499.08</v>
      </c>
      <c r="X4007">
        <v>0</v>
      </c>
      <c r="Y4007">
        <v>0</v>
      </c>
      <c r="Z4007">
        <v>-568</v>
      </c>
      <c r="AA4007">
        <v>696981</v>
      </c>
      <c r="AD4007" t="s">
        <v>64</v>
      </c>
      <c r="AE4007" t="s">
        <v>5778</v>
      </c>
      <c r="AF4007" t="s">
        <v>64</v>
      </c>
      <c r="AG4007" s="1" t="s">
        <v>10403</v>
      </c>
      <c r="AH4007" t="s">
        <v>44</v>
      </c>
    </row>
    <row r="4008" spans="1:34" x14ac:dyDescent="0.3">
      <c r="A4008">
        <v>101</v>
      </c>
      <c r="B4008" t="s">
        <v>34</v>
      </c>
      <c r="C4008">
        <v>2</v>
      </c>
      <c r="D4008" s="1" t="s">
        <v>10422</v>
      </c>
      <c r="E4008" s="1" t="s">
        <v>36</v>
      </c>
      <c r="G4008">
        <v>450851</v>
      </c>
      <c r="H4008" t="s">
        <v>10423</v>
      </c>
      <c r="I4008" t="s">
        <v>2413</v>
      </c>
      <c r="J4008">
        <v>30</v>
      </c>
      <c r="K4008">
        <v>2695</v>
      </c>
      <c r="L4008">
        <v>95000</v>
      </c>
      <c r="M4008" t="s">
        <v>69</v>
      </c>
      <c r="N4008">
        <v>691</v>
      </c>
      <c r="O4008" s="2">
        <v>46171</v>
      </c>
      <c r="P4008" s="2">
        <v>46296</v>
      </c>
      <c r="R4008" t="s">
        <v>10424</v>
      </c>
      <c r="S4008" t="str">
        <f>""</f>
        <v/>
      </c>
      <c r="T4008" t="s">
        <v>41</v>
      </c>
      <c r="U4008">
        <v>2846.4</v>
      </c>
      <c r="V4008">
        <v>2815.09</v>
      </c>
      <c r="W4008">
        <v>2815.09</v>
      </c>
      <c r="X4008">
        <v>0</v>
      </c>
      <c r="Y4008">
        <v>0</v>
      </c>
      <c r="Z4008">
        <v>-521</v>
      </c>
      <c r="AA4008">
        <v>689176</v>
      </c>
      <c r="AD4008" t="s">
        <v>3228</v>
      </c>
      <c r="AF4008" t="s">
        <v>3228</v>
      </c>
      <c r="AG4008" s="1" t="s">
        <v>10425</v>
      </c>
      <c r="AH4008" t="s">
        <v>44</v>
      </c>
    </row>
    <row r="4009" spans="1:34" x14ac:dyDescent="0.3">
      <c r="A4009">
        <v>101</v>
      </c>
      <c r="B4009" t="s">
        <v>34</v>
      </c>
      <c r="C4009">
        <v>2</v>
      </c>
      <c r="D4009" s="1" t="s">
        <v>10426</v>
      </c>
      <c r="E4009" s="1" t="s">
        <v>36</v>
      </c>
      <c r="G4009">
        <v>450851</v>
      </c>
      <c r="H4009" t="s">
        <v>10423</v>
      </c>
      <c r="I4009" t="s">
        <v>2413</v>
      </c>
      <c r="J4009">
        <v>30</v>
      </c>
      <c r="K4009">
        <v>2695</v>
      </c>
      <c r="L4009">
        <v>95000</v>
      </c>
      <c r="M4009" t="s">
        <v>69</v>
      </c>
      <c r="N4009">
        <v>691</v>
      </c>
      <c r="O4009" s="2">
        <v>46253</v>
      </c>
      <c r="P4009" s="2">
        <v>46343</v>
      </c>
      <c r="R4009" t="s">
        <v>10427</v>
      </c>
      <c r="S4009" t="str">
        <f>""</f>
        <v/>
      </c>
      <c r="T4009" t="s">
        <v>41</v>
      </c>
      <c r="U4009">
        <v>3538</v>
      </c>
      <c r="V4009">
        <v>3499.08</v>
      </c>
      <c r="W4009">
        <v>3499.08</v>
      </c>
      <c r="X4009">
        <v>0</v>
      </c>
      <c r="Y4009">
        <v>0</v>
      </c>
      <c r="Z4009">
        <v>-568</v>
      </c>
      <c r="AA4009">
        <v>696977</v>
      </c>
      <c r="AD4009" t="s">
        <v>3228</v>
      </c>
      <c r="AF4009" t="s">
        <v>3228</v>
      </c>
      <c r="AG4009" s="1" t="s">
        <v>10425</v>
      </c>
      <c r="AH4009" t="s">
        <v>44</v>
      </c>
    </row>
    <row r="4010" spans="1:34" x14ac:dyDescent="0.3">
      <c r="A4010">
        <v>101</v>
      </c>
      <c r="B4010" t="s">
        <v>34</v>
      </c>
      <c r="C4010">
        <v>2</v>
      </c>
      <c r="D4010" s="1" t="s">
        <v>10428</v>
      </c>
      <c r="E4010" s="1" t="s">
        <v>36</v>
      </c>
      <c r="G4010">
        <v>450851</v>
      </c>
      <c r="H4010" t="s">
        <v>10423</v>
      </c>
      <c r="I4010" t="s">
        <v>2413</v>
      </c>
      <c r="J4010">
        <v>30</v>
      </c>
      <c r="K4010">
        <v>2695</v>
      </c>
      <c r="L4010">
        <v>95000</v>
      </c>
      <c r="M4010" t="s">
        <v>69</v>
      </c>
      <c r="N4010">
        <v>691</v>
      </c>
      <c r="O4010" s="2">
        <v>46140</v>
      </c>
      <c r="P4010" s="2">
        <v>46255</v>
      </c>
      <c r="R4010" t="s">
        <v>10429</v>
      </c>
      <c r="S4010" t="str">
        <f>""</f>
        <v/>
      </c>
      <c r="T4010" t="s">
        <v>41</v>
      </c>
      <c r="U4010">
        <v>731.7</v>
      </c>
      <c r="V4010">
        <v>723.65</v>
      </c>
      <c r="W4010">
        <v>723.65</v>
      </c>
      <c r="X4010">
        <v>0</v>
      </c>
      <c r="Y4010">
        <v>0</v>
      </c>
      <c r="Z4010">
        <v>-480</v>
      </c>
      <c r="AA4010">
        <v>686880</v>
      </c>
      <c r="AD4010" t="s">
        <v>3228</v>
      </c>
      <c r="AF4010" t="s">
        <v>3228</v>
      </c>
      <c r="AG4010" s="1" t="s">
        <v>10425</v>
      </c>
      <c r="AH4010" t="s">
        <v>44</v>
      </c>
    </row>
    <row r="4011" spans="1:34" x14ac:dyDescent="0.3">
      <c r="A4011">
        <v>101</v>
      </c>
      <c r="B4011" t="s">
        <v>34</v>
      </c>
      <c r="C4011">
        <v>2</v>
      </c>
      <c r="D4011" s="1" t="s">
        <v>10430</v>
      </c>
      <c r="E4011" s="1" t="s">
        <v>36</v>
      </c>
      <c r="G4011">
        <v>450851</v>
      </c>
      <c r="H4011" t="s">
        <v>10423</v>
      </c>
      <c r="I4011" t="s">
        <v>2413</v>
      </c>
      <c r="J4011">
        <v>30</v>
      </c>
      <c r="K4011">
        <v>2695</v>
      </c>
      <c r="L4011">
        <v>95000</v>
      </c>
      <c r="M4011" t="s">
        <v>69</v>
      </c>
      <c r="N4011">
        <v>691</v>
      </c>
      <c r="O4011" s="2">
        <v>46197</v>
      </c>
      <c r="P4011" s="2">
        <v>46296</v>
      </c>
      <c r="R4011" t="s">
        <v>10431</v>
      </c>
      <c r="S4011" t="str">
        <f>""</f>
        <v/>
      </c>
      <c r="T4011" t="s">
        <v>41</v>
      </c>
      <c r="U4011">
        <v>13672.26</v>
      </c>
      <c r="V4011">
        <v>13521.87</v>
      </c>
      <c r="W4011">
        <v>13521.87</v>
      </c>
      <c r="X4011">
        <v>0</v>
      </c>
      <c r="Y4011">
        <v>0</v>
      </c>
      <c r="Z4011">
        <v>-521</v>
      </c>
      <c r="AA4011">
        <v>692138</v>
      </c>
      <c r="AD4011" t="s">
        <v>3228</v>
      </c>
      <c r="AF4011" t="s">
        <v>3228</v>
      </c>
      <c r="AG4011" s="1" t="s">
        <v>10425</v>
      </c>
      <c r="AH4011" t="s">
        <v>44</v>
      </c>
    </row>
    <row r="4012" spans="1:34" x14ac:dyDescent="0.3">
      <c r="A4012">
        <v>101</v>
      </c>
      <c r="B4012" t="s">
        <v>34</v>
      </c>
      <c r="C4012">
        <v>2</v>
      </c>
      <c r="D4012" s="1" t="s">
        <v>10432</v>
      </c>
      <c r="E4012" s="1" t="s">
        <v>36</v>
      </c>
      <c r="G4012">
        <v>450851</v>
      </c>
      <c r="H4012" t="s">
        <v>10423</v>
      </c>
      <c r="I4012" t="s">
        <v>2413</v>
      </c>
      <c r="J4012">
        <v>30</v>
      </c>
      <c r="K4012">
        <v>2695</v>
      </c>
      <c r="L4012">
        <v>95000</v>
      </c>
      <c r="M4012" t="s">
        <v>69</v>
      </c>
      <c r="N4012">
        <v>691</v>
      </c>
      <c r="O4012" s="2">
        <v>46170</v>
      </c>
      <c r="P4012" s="2">
        <v>46296</v>
      </c>
      <c r="R4012" t="s">
        <v>10433</v>
      </c>
      <c r="S4012" t="str">
        <f>""</f>
        <v/>
      </c>
      <c r="T4012" t="s">
        <v>41</v>
      </c>
      <c r="U4012">
        <v>585.36</v>
      </c>
      <c r="V4012">
        <v>578.91999999999996</v>
      </c>
      <c r="W4012">
        <v>578.91999999999996</v>
      </c>
      <c r="X4012">
        <v>0</v>
      </c>
      <c r="Y4012">
        <v>0</v>
      </c>
      <c r="Z4012">
        <v>-521</v>
      </c>
      <c r="AA4012">
        <v>689457</v>
      </c>
      <c r="AD4012" t="s">
        <v>3228</v>
      </c>
      <c r="AF4012" t="s">
        <v>3228</v>
      </c>
      <c r="AG4012" s="1" t="s">
        <v>10425</v>
      </c>
      <c r="AH4012" t="s">
        <v>44</v>
      </c>
    </row>
    <row r="4013" spans="1:34" x14ac:dyDescent="0.3">
      <c r="A4013">
        <v>101</v>
      </c>
      <c r="B4013" t="s">
        <v>34</v>
      </c>
      <c r="C4013">
        <v>2</v>
      </c>
      <c r="D4013" s="1" t="s">
        <v>10434</v>
      </c>
      <c r="E4013" s="1" t="s">
        <v>36</v>
      </c>
      <c r="G4013">
        <v>450851</v>
      </c>
      <c r="H4013" t="s">
        <v>10423</v>
      </c>
      <c r="I4013" t="s">
        <v>2413</v>
      </c>
      <c r="J4013">
        <v>30</v>
      </c>
      <c r="K4013">
        <v>2695</v>
      </c>
      <c r="L4013">
        <v>95000</v>
      </c>
      <c r="M4013" t="s">
        <v>69</v>
      </c>
      <c r="N4013">
        <v>691</v>
      </c>
      <c r="O4013" s="2">
        <v>46140</v>
      </c>
      <c r="P4013" s="2">
        <v>46255</v>
      </c>
      <c r="R4013" t="s">
        <v>10435</v>
      </c>
      <c r="S4013" t="str">
        <f>""</f>
        <v/>
      </c>
      <c r="T4013" t="s">
        <v>41</v>
      </c>
      <c r="U4013">
        <v>4973.88</v>
      </c>
      <c r="V4013">
        <v>4919.17</v>
      </c>
      <c r="W4013">
        <v>4919.17</v>
      </c>
      <c r="X4013">
        <v>0</v>
      </c>
      <c r="Y4013">
        <v>0</v>
      </c>
      <c r="Z4013">
        <v>-480</v>
      </c>
      <c r="AA4013">
        <v>686574</v>
      </c>
      <c r="AD4013" t="s">
        <v>3228</v>
      </c>
      <c r="AF4013" t="s">
        <v>3228</v>
      </c>
      <c r="AG4013" s="1" t="s">
        <v>10425</v>
      </c>
      <c r="AH4013" t="s">
        <v>44</v>
      </c>
    </row>
    <row r="4014" spans="1:34" x14ac:dyDescent="0.3">
      <c r="A4014">
        <v>101</v>
      </c>
      <c r="B4014" t="s">
        <v>34</v>
      </c>
      <c r="C4014">
        <v>2</v>
      </c>
      <c r="D4014" s="1" t="s">
        <v>10436</v>
      </c>
      <c r="E4014" s="1" t="s">
        <v>36</v>
      </c>
      <c r="G4014">
        <v>450851</v>
      </c>
      <c r="H4014" t="s">
        <v>10423</v>
      </c>
      <c r="I4014" t="s">
        <v>2413</v>
      </c>
      <c r="J4014">
        <v>30</v>
      </c>
      <c r="K4014">
        <v>2695</v>
      </c>
      <c r="L4014">
        <v>95000</v>
      </c>
      <c r="M4014" t="s">
        <v>69</v>
      </c>
      <c r="N4014">
        <v>691</v>
      </c>
      <c r="O4014" s="2">
        <v>46170</v>
      </c>
      <c r="P4014" s="2">
        <v>46296</v>
      </c>
      <c r="R4014" t="s">
        <v>10437</v>
      </c>
      <c r="S4014" t="str">
        <f>""</f>
        <v/>
      </c>
      <c r="T4014" t="s">
        <v>41</v>
      </c>
      <c r="U4014">
        <v>6287.26</v>
      </c>
      <c r="V4014">
        <v>6218.1</v>
      </c>
      <c r="W4014">
        <v>6218.1</v>
      </c>
      <c r="X4014">
        <v>0</v>
      </c>
      <c r="Y4014">
        <v>0</v>
      </c>
      <c r="Z4014">
        <v>-521</v>
      </c>
      <c r="AA4014">
        <v>689176</v>
      </c>
      <c r="AD4014" t="s">
        <v>3228</v>
      </c>
      <c r="AF4014" t="s">
        <v>3228</v>
      </c>
      <c r="AG4014" s="1" t="s">
        <v>10425</v>
      </c>
      <c r="AH4014" t="s">
        <v>44</v>
      </c>
    </row>
    <row r="4015" spans="1:34" x14ac:dyDescent="0.3">
      <c r="A4015">
        <v>101</v>
      </c>
      <c r="B4015" t="s">
        <v>34</v>
      </c>
      <c r="C4015">
        <v>2</v>
      </c>
      <c r="D4015" s="1" t="s">
        <v>10438</v>
      </c>
      <c r="E4015" s="1" t="s">
        <v>36</v>
      </c>
      <c r="G4015">
        <v>450851</v>
      </c>
      <c r="H4015" t="s">
        <v>10423</v>
      </c>
      <c r="I4015" t="s">
        <v>2413</v>
      </c>
      <c r="J4015">
        <v>30</v>
      </c>
      <c r="K4015">
        <v>2695</v>
      </c>
      <c r="L4015">
        <v>95000</v>
      </c>
      <c r="M4015" t="s">
        <v>69</v>
      </c>
      <c r="N4015">
        <v>691</v>
      </c>
      <c r="O4015" s="2">
        <v>46226</v>
      </c>
      <c r="P4015" s="2">
        <v>46316</v>
      </c>
      <c r="R4015" t="s">
        <v>10439</v>
      </c>
      <c r="S4015" t="str">
        <f>""</f>
        <v/>
      </c>
      <c r="T4015" t="s">
        <v>41</v>
      </c>
      <c r="U4015">
        <v>3787.97</v>
      </c>
      <c r="V4015">
        <v>3746.3</v>
      </c>
      <c r="W4015">
        <v>3746.3</v>
      </c>
      <c r="X4015">
        <v>0</v>
      </c>
      <c r="Y4015">
        <v>0</v>
      </c>
      <c r="Z4015">
        <v>-541</v>
      </c>
      <c r="AA4015">
        <v>694931</v>
      </c>
      <c r="AD4015" t="s">
        <v>3228</v>
      </c>
      <c r="AF4015" t="s">
        <v>3228</v>
      </c>
      <c r="AG4015" s="1" t="s">
        <v>10425</v>
      </c>
      <c r="AH4015" t="s">
        <v>44</v>
      </c>
    </row>
    <row r="4016" spans="1:34" x14ac:dyDescent="0.3">
      <c r="A4016">
        <v>101</v>
      </c>
      <c r="B4016" t="s">
        <v>34</v>
      </c>
      <c r="C4016">
        <v>2</v>
      </c>
      <c r="D4016" s="1" t="s">
        <v>10440</v>
      </c>
      <c r="E4016" s="1" t="s">
        <v>36</v>
      </c>
      <c r="G4016">
        <v>451045</v>
      </c>
      <c r="H4016" t="s">
        <v>10441</v>
      </c>
      <c r="I4016" t="s">
        <v>2413</v>
      </c>
      <c r="J4016">
        <v>30</v>
      </c>
      <c r="K4016">
        <v>2695</v>
      </c>
      <c r="L4016">
        <v>95000</v>
      </c>
      <c r="M4016" t="s">
        <v>69</v>
      </c>
      <c r="N4016">
        <v>691</v>
      </c>
      <c r="O4016" s="2">
        <v>46140</v>
      </c>
      <c r="P4016" s="2">
        <v>46255</v>
      </c>
      <c r="R4016" t="s">
        <v>10442</v>
      </c>
      <c r="S4016" t="str">
        <f>""</f>
        <v/>
      </c>
      <c r="T4016" t="s">
        <v>41</v>
      </c>
      <c r="U4016">
        <v>731.7</v>
      </c>
      <c r="V4016">
        <v>723.65</v>
      </c>
      <c r="W4016">
        <v>723.65</v>
      </c>
      <c r="X4016">
        <v>0</v>
      </c>
      <c r="Y4016">
        <v>0</v>
      </c>
      <c r="Z4016">
        <v>-480</v>
      </c>
      <c r="AA4016">
        <v>686888</v>
      </c>
      <c r="AD4016" t="s">
        <v>10443</v>
      </c>
      <c r="AF4016" t="s">
        <v>10443</v>
      </c>
      <c r="AG4016" s="1" t="s">
        <v>10444</v>
      </c>
      <c r="AH4016" t="s">
        <v>44</v>
      </c>
    </row>
    <row r="4017" spans="1:34" x14ac:dyDescent="0.3">
      <c r="A4017">
        <v>101</v>
      </c>
      <c r="B4017" t="s">
        <v>34</v>
      </c>
      <c r="C4017">
        <v>2</v>
      </c>
      <c r="D4017" s="1" t="s">
        <v>10445</v>
      </c>
      <c r="E4017" s="1" t="s">
        <v>36</v>
      </c>
      <c r="G4017">
        <v>451045</v>
      </c>
      <c r="H4017" t="s">
        <v>10441</v>
      </c>
      <c r="I4017" t="s">
        <v>2413</v>
      </c>
      <c r="J4017">
        <v>30</v>
      </c>
      <c r="K4017">
        <v>2695</v>
      </c>
      <c r="L4017">
        <v>95000</v>
      </c>
      <c r="M4017" t="s">
        <v>69</v>
      </c>
      <c r="N4017">
        <v>691</v>
      </c>
      <c r="O4017" s="2">
        <v>46226</v>
      </c>
      <c r="P4017" s="2">
        <v>46316</v>
      </c>
      <c r="R4017" t="s">
        <v>10446</v>
      </c>
      <c r="S4017" t="str">
        <f>""</f>
        <v/>
      </c>
      <c r="T4017" t="s">
        <v>41</v>
      </c>
      <c r="U4017">
        <v>7669.61</v>
      </c>
      <c r="V4017">
        <v>7585.24</v>
      </c>
      <c r="W4017">
        <v>7585.24</v>
      </c>
      <c r="X4017">
        <v>0</v>
      </c>
      <c r="Y4017">
        <v>0</v>
      </c>
      <c r="Z4017">
        <v>-541</v>
      </c>
      <c r="AA4017">
        <v>694951</v>
      </c>
      <c r="AD4017" t="s">
        <v>10443</v>
      </c>
      <c r="AF4017" t="s">
        <v>10443</v>
      </c>
      <c r="AG4017" s="1" t="s">
        <v>10444</v>
      </c>
      <c r="AH4017" t="s">
        <v>44</v>
      </c>
    </row>
    <row r="4018" spans="1:34" x14ac:dyDescent="0.3">
      <c r="A4018">
        <v>101</v>
      </c>
      <c r="B4018" t="s">
        <v>34</v>
      </c>
      <c r="C4018">
        <v>2</v>
      </c>
      <c r="D4018" s="1" t="s">
        <v>10447</v>
      </c>
      <c r="E4018" s="1" t="s">
        <v>36</v>
      </c>
      <c r="G4018">
        <v>451045</v>
      </c>
      <c r="H4018" t="s">
        <v>10441</v>
      </c>
      <c r="I4018" t="s">
        <v>2413</v>
      </c>
      <c r="J4018">
        <v>30</v>
      </c>
      <c r="K4018">
        <v>2695</v>
      </c>
      <c r="L4018">
        <v>95000</v>
      </c>
      <c r="M4018" t="s">
        <v>69</v>
      </c>
      <c r="N4018">
        <v>691</v>
      </c>
      <c r="O4018" s="2">
        <v>46140</v>
      </c>
      <c r="P4018" s="2">
        <v>46255</v>
      </c>
      <c r="R4018" t="s">
        <v>10448</v>
      </c>
      <c r="S4018" t="str">
        <f>""</f>
        <v/>
      </c>
      <c r="T4018" t="s">
        <v>41</v>
      </c>
      <c r="U4018">
        <v>810.77</v>
      </c>
      <c r="V4018">
        <v>801.85</v>
      </c>
      <c r="W4018">
        <v>801.85</v>
      </c>
      <c r="X4018">
        <v>0</v>
      </c>
      <c r="Y4018">
        <v>0</v>
      </c>
      <c r="Z4018">
        <v>-480</v>
      </c>
      <c r="AA4018">
        <v>686789</v>
      </c>
      <c r="AD4018" t="s">
        <v>10443</v>
      </c>
      <c r="AF4018" t="s">
        <v>10443</v>
      </c>
      <c r="AG4018" s="1" t="s">
        <v>10444</v>
      </c>
      <c r="AH4018" t="s">
        <v>44</v>
      </c>
    </row>
    <row r="4019" spans="1:34" x14ac:dyDescent="0.3">
      <c r="A4019">
        <v>101</v>
      </c>
      <c r="B4019" t="s">
        <v>34</v>
      </c>
      <c r="C4019">
        <v>2</v>
      </c>
      <c r="D4019" s="1" t="s">
        <v>10449</v>
      </c>
      <c r="E4019" s="1" t="s">
        <v>36</v>
      </c>
      <c r="G4019">
        <v>451045</v>
      </c>
      <c r="H4019" t="s">
        <v>10441</v>
      </c>
      <c r="I4019" t="s">
        <v>2413</v>
      </c>
      <c r="J4019">
        <v>30</v>
      </c>
      <c r="K4019">
        <v>2695</v>
      </c>
      <c r="L4019">
        <v>95000</v>
      </c>
      <c r="M4019" t="s">
        <v>69</v>
      </c>
      <c r="N4019">
        <v>691</v>
      </c>
      <c r="O4019" s="2">
        <v>46181</v>
      </c>
      <c r="P4019" s="2">
        <v>46296</v>
      </c>
      <c r="R4019" t="s">
        <v>10450</v>
      </c>
      <c r="S4019" t="str">
        <f>""</f>
        <v/>
      </c>
      <c r="T4019" t="s">
        <v>41</v>
      </c>
      <c r="U4019">
        <v>12875.15</v>
      </c>
      <c r="V4019">
        <v>12733.52</v>
      </c>
      <c r="W4019">
        <v>12733.52</v>
      </c>
      <c r="X4019">
        <v>0</v>
      </c>
      <c r="Y4019">
        <v>0</v>
      </c>
      <c r="Z4019">
        <v>-521</v>
      </c>
      <c r="AA4019">
        <v>689190</v>
      </c>
      <c r="AD4019" t="s">
        <v>10443</v>
      </c>
      <c r="AF4019" t="s">
        <v>10443</v>
      </c>
      <c r="AG4019" s="1" t="s">
        <v>10444</v>
      </c>
      <c r="AH4019" t="s">
        <v>44</v>
      </c>
    </row>
    <row r="4020" spans="1:34" x14ac:dyDescent="0.3">
      <c r="A4020">
        <v>101</v>
      </c>
      <c r="B4020" t="s">
        <v>34</v>
      </c>
      <c r="C4020">
        <v>2</v>
      </c>
      <c r="D4020" s="1" t="s">
        <v>10451</v>
      </c>
      <c r="E4020" s="1" t="s">
        <v>36</v>
      </c>
      <c r="G4020">
        <v>451045</v>
      </c>
      <c r="H4020" t="s">
        <v>10441</v>
      </c>
      <c r="I4020" t="s">
        <v>2413</v>
      </c>
      <c r="J4020">
        <v>30</v>
      </c>
      <c r="K4020">
        <v>2695</v>
      </c>
      <c r="L4020">
        <v>95000</v>
      </c>
      <c r="M4020" t="s">
        <v>69</v>
      </c>
      <c r="N4020">
        <v>691</v>
      </c>
      <c r="O4020" s="2">
        <v>46140</v>
      </c>
      <c r="P4020" s="2">
        <v>46255</v>
      </c>
      <c r="R4020" t="s">
        <v>10452</v>
      </c>
      <c r="S4020" t="str">
        <f>""</f>
        <v/>
      </c>
      <c r="T4020" t="s">
        <v>41</v>
      </c>
      <c r="U4020">
        <v>10738.19</v>
      </c>
      <c r="V4020">
        <v>10620.07</v>
      </c>
      <c r="W4020">
        <v>10620.07</v>
      </c>
      <c r="X4020">
        <v>0</v>
      </c>
      <c r="Y4020">
        <v>0</v>
      </c>
      <c r="Z4020">
        <v>-480</v>
      </c>
      <c r="AA4020">
        <v>686588</v>
      </c>
      <c r="AD4020" t="s">
        <v>10443</v>
      </c>
      <c r="AF4020" t="s">
        <v>10443</v>
      </c>
      <c r="AG4020" s="1" t="s">
        <v>10444</v>
      </c>
      <c r="AH4020" t="s">
        <v>44</v>
      </c>
    </row>
    <row r="4021" spans="1:34" x14ac:dyDescent="0.3">
      <c r="A4021">
        <v>101</v>
      </c>
      <c r="B4021" t="s">
        <v>34</v>
      </c>
      <c r="C4021">
        <v>2</v>
      </c>
      <c r="D4021" s="1" t="s">
        <v>10453</v>
      </c>
      <c r="E4021" s="1" t="s">
        <v>36</v>
      </c>
      <c r="G4021">
        <v>451045</v>
      </c>
      <c r="H4021" t="s">
        <v>10441</v>
      </c>
      <c r="I4021" t="s">
        <v>2413</v>
      </c>
      <c r="J4021">
        <v>30</v>
      </c>
      <c r="K4021">
        <v>2695</v>
      </c>
      <c r="L4021">
        <v>95000</v>
      </c>
      <c r="M4021" t="s">
        <v>69</v>
      </c>
      <c r="N4021">
        <v>691</v>
      </c>
      <c r="O4021" s="2">
        <v>46197</v>
      </c>
      <c r="P4021" s="2">
        <v>46308</v>
      </c>
      <c r="R4021" t="s">
        <v>10454</v>
      </c>
      <c r="S4021" t="str">
        <f>""</f>
        <v/>
      </c>
      <c r="T4021" t="s">
        <v>41</v>
      </c>
      <c r="U4021">
        <v>22163.91</v>
      </c>
      <c r="V4021">
        <v>21920.11</v>
      </c>
      <c r="W4021">
        <v>21920.11</v>
      </c>
      <c r="X4021">
        <v>0</v>
      </c>
      <c r="Y4021">
        <v>0</v>
      </c>
      <c r="Z4021">
        <v>-533</v>
      </c>
      <c r="AA4021">
        <v>692152</v>
      </c>
      <c r="AD4021" t="s">
        <v>10443</v>
      </c>
      <c r="AF4021" t="s">
        <v>10443</v>
      </c>
      <c r="AG4021" s="1" t="s">
        <v>10444</v>
      </c>
      <c r="AH4021" t="s">
        <v>44</v>
      </c>
    </row>
    <row r="4022" spans="1:34" x14ac:dyDescent="0.3">
      <c r="A4022">
        <v>101</v>
      </c>
      <c r="B4022" t="s">
        <v>34</v>
      </c>
      <c r="C4022">
        <v>2</v>
      </c>
      <c r="D4022" s="1" t="s">
        <v>10455</v>
      </c>
      <c r="E4022" s="1" t="s">
        <v>36</v>
      </c>
      <c r="G4022">
        <v>451045</v>
      </c>
      <c r="H4022" t="s">
        <v>10441</v>
      </c>
      <c r="I4022" t="s">
        <v>2413</v>
      </c>
      <c r="J4022">
        <v>30</v>
      </c>
      <c r="K4022">
        <v>2695</v>
      </c>
      <c r="L4022">
        <v>95000</v>
      </c>
      <c r="M4022" t="s">
        <v>69</v>
      </c>
      <c r="N4022">
        <v>691</v>
      </c>
      <c r="O4022" s="2">
        <v>46199</v>
      </c>
      <c r="P4022" s="2">
        <v>46308</v>
      </c>
      <c r="R4022" t="s">
        <v>10456</v>
      </c>
      <c r="S4022" t="str">
        <f>""</f>
        <v/>
      </c>
      <c r="T4022" t="s">
        <v>41</v>
      </c>
      <c r="U4022">
        <v>884.5</v>
      </c>
      <c r="V4022">
        <v>874.77</v>
      </c>
      <c r="W4022">
        <v>874.77</v>
      </c>
      <c r="X4022">
        <v>0</v>
      </c>
      <c r="Y4022">
        <v>0</v>
      </c>
      <c r="Z4022">
        <v>-533</v>
      </c>
      <c r="AA4022">
        <v>692532</v>
      </c>
      <c r="AD4022" t="s">
        <v>10443</v>
      </c>
      <c r="AF4022" t="s">
        <v>10443</v>
      </c>
      <c r="AG4022" s="1" t="s">
        <v>10444</v>
      </c>
      <c r="AH4022" t="s">
        <v>44</v>
      </c>
    </row>
    <row r="4023" spans="1:34" x14ac:dyDescent="0.3">
      <c r="A4023">
        <v>101</v>
      </c>
      <c r="B4023" t="s">
        <v>34</v>
      </c>
      <c r="C4023">
        <v>2</v>
      </c>
      <c r="D4023" s="1" t="s">
        <v>10457</v>
      </c>
      <c r="E4023" s="1" t="s">
        <v>36</v>
      </c>
      <c r="G4023">
        <v>451045</v>
      </c>
      <c r="H4023" t="s">
        <v>10441</v>
      </c>
      <c r="I4023" t="s">
        <v>2413</v>
      </c>
      <c r="J4023">
        <v>30</v>
      </c>
      <c r="K4023">
        <v>2695</v>
      </c>
      <c r="L4023">
        <v>95000</v>
      </c>
      <c r="M4023" t="s">
        <v>69</v>
      </c>
      <c r="N4023">
        <v>691</v>
      </c>
      <c r="O4023" s="2">
        <v>46182</v>
      </c>
      <c r="P4023" s="2">
        <v>46296</v>
      </c>
      <c r="R4023" t="s">
        <v>10458</v>
      </c>
      <c r="S4023" t="str">
        <f>""</f>
        <v/>
      </c>
      <c r="T4023" t="s">
        <v>41</v>
      </c>
      <c r="U4023">
        <v>2155.64</v>
      </c>
      <c r="V4023">
        <v>2131.9299999999998</v>
      </c>
      <c r="W4023">
        <v>2131.9299999999998</v>
      </c>
      <c r="X4023">
        <v>0</v>
      </c>
      <c r="Y4023">
        <v>0</v>
      </c>
      <c r="Z4023">
        <v>-521</v>
      </c>
      <c r="AA4023">
        <v>689471</v>
      </c>
      <c r="AD4023" t="s">
        <v>10443</v>
      </c>
      <c r="AF4023" t="s">
        <v>10443</v>
      </c>
      <c r="AG4023" s="1" t="s">
        <v>10444</v>
      </c>
      <c r="AH4023" t="s">
        <v>44</v>
      </c>
    </row>
    <row r="4024" spans="1:34" x14ac:dyDescent="0.3">
      <c r="A4024">
        <v>101</v>
      </c>
      <c r="B4024" t="s">
        <v>34</v>
      </c>
      <c r="C4024">
        <v>2</v>
      </c>
      <c r="D4024" s="1" t="s">
        <v>10459</v>
      </c>
      <c r="E4024" s="1" t="s">
        <v>36</v>
      </c>
      <c r="G4024">
        <v>451045</v>
      </c>
      <c r="H4024" t="s">
        <v>10441</v>
      </c>
      <c r="I4024" t="s">
        <v>2413</v>
      </c>
      <c r="J4024">
        <v>30</v>
      </c>
      <c r="K4024">
        <v>2695</v>
      </c>
      <c r="L4024">
        <v>95000</v>
      </c>
      <c r="M4024" t="s">
        <v>69</v>
      </c>
      <c r="N4024">
        <v>691</v>
      </c>
      <c r="O4024" s="2">
        <v>46239</v>
      </c>
      <c r="P4024" s="2">
        <v>46329</v>
      </c>
      <c r="R4024" t="s">
        <v>10460</v>
      </c>
      <c r="S4024" t="str">
        <f>""</f>
        <v/>
      </c>
      <c r="T4024" t="s">
        <v>41</v>
      </c>
      <c r="U4024">
        <v>527.52</v>
      </c>
      <c r="V4024">
        <v>521.72</v>
      </c>
      <c r="W4024">
        <v>521.72</v>
      </c>
      <c r="X4024">
        <v>0</v>
      </c>
      <c r="Y4024">
        <v>0</v>
      </c>
      <c r="Z4024">
        <v>-554</v>
      </c>
      <c r="AA4024">
        <v>696211</v>
      </c>
      <c r="AD4024" t="s">
        <v>10443</v>
      </c>
      <c r="AF4024" t="s">
        <v>10443</v>
      </c>
      <c r="AG4024" s="1" t="s">
        <v>10444</v>
      </c>
      <c r="AH4024" t="s">
        <v>44</v>
      </c>
    </row>
    <row r="4025" spans="1:34" x14ac:dyDescent="0.3">
      <c r="A4025">
        <v>101</v>
      </c>
      <c r="B4025" t="s">
        <v>34</v>
      </c>
      <c r="C4025">
        <v>2</v>
      </c>
      <c r="D4025" s="1" t="s">
        <v>10461</v>
      </c>
      <c r="E4025" s="1" t="s">
        <v>36</v>
      </c>
      <c r="G4025">
        <v>451046</v>
      </c>
      <c r="H4025" t="s">
        <v>10462</v>
      </c>
      <c r="I4025" t="s">
        <v>2413</v>
      </c>
      <c r="J4025">
        <v>30</v>
      </c>
      <c r="K4025">
        <v>2695</v>
      </c>
      <c r="L4025">
        <v>95000</v>
      </c>
      <c r="M4025" t="s">
        <v>69</v>
      </c>
      <c r="N4025">
        <v>691</v>
      </c>
      <c r="O4025" s="2">
        <v>46226</v>
      </c>
      <c r="P4025" s="2">
        <v>46349</v>
      </c>
      <c r="R4025" t="s">
        <v>10463</v>
      </c>
      <c r="S4025" t="str">
        <f>""</f>
        <v/>
      </c>
      <c r="T4025" t="s">
        <v>41</v>
      </c>
      <c r="U4025">
        <v>16836</v>
      </c>
      <c r="V4025">
        <v>16650.8</v>
      </c>
      <c r="W4025">
        <v>16650.8</v>
      </c>
      <c r="X4025">
        <v>0</v>
      </c>
      <c r="Y4025">
        <v>0</v>
      </c>
      <c r="Z4025">
        <v>-574</v>
      </c>
      <c r="AA4025">
        <v>694915</v>
      </c>
      <c r="AD4025" t="s">
        <v>50</v>
      </c>
      <c r="AF4025" t="s">
        <v>50</v>
      </c>
      <c r="AG4025" s="1" t="s">
        <v>10464</v>
      </c>
      <c r="AH4025" t="s">
        <v>44</v>
      </c>
    </row>
    <row r="4026" spans="1:34" x14ac:dyDescent="0.3">
      <c r="A4026">
        <v>101</v>
      </c>
      <c r="B4026" t="s">
        <v>34</v>
      </c>
      <c r="C4026">
        <v>2</v>
      </c>
      <c r="D4026" s="1" t="s">
        <v>10465</v>
      </c>
      <c r="E4026" s="1" t="s">
        <v>36</v>
      </c>
      <c r="G4026">
        <v>451046</v>
      </c>
      <c r="H4026" t="s">
        <v>10462</v>
      </c>
      <c r="I4026" t="s">
        <v>2413</v>
      </c>
      <c r="J4026">
        <v>30</v>
      </c>
      <c r="K4026">
        <v>2695</v>
      </c>
      <c r="L4026">
        <v>95000</v>
      </c>
      <c r="M4026" t="s">
        <v>69</v>
      </c>
      <c r="N4026">
        <v>691</v>
      </c>
      <c r="O4026" s="2">
        <v>46141</v>
      </c>
      <c r="P4026" s="2">
        <v>46266</v>
      </c>
      <c r="R4026" t="s">
        <v>10466</v>
      </c>
      <c r="S4026" t="str">
        <f>""</f>
        <v/>
      </c>
      <c r="T4026" t="s">
        <v>41</v>
      </c>
      <c r="U4026">
        <v>4726.2700000000004</v>
      </c>
      <c r="V4026">
        <v>4674.28</v>
      </c>
      <c r="W4026">
        <v>4674.28</v>
      </c>
      <c r="X4026">
        <v>0</v>
      </c>
      <c r="Y4026">
        <v>0</v>
      </c>
      <c r="Z4026">
        <v>-491</v>
      </c>
      <c r="AA4026">
        <v>686570</v>
      </c>
      <c r="AD4026" t="s">
        <v>50</v>
      </c>
      <c r="AF4026" t="s">
        <v>50</v>
      </c>
      <c r="AG4026" s="1" t="s">
        <v>10464</v>
      </c>
      <c r="AH4026" t="s">
        <v>44</v>
      </c>
    </row>
    <row r="4027" spans="1:34" x14ac:dyDescent="0.3">
      <c r="A4027">
        <v>101</v>
      </c>
      <c r="B4027" t="s">
        <v>34</v>
      </c>
      <c r="C4027">
        <v>2</v>
      </c>
      <c r="D4027" s="1" t="s">
        <v>10467</v>
      </c>
      <c r="E4027" s="1" t="s">
        <v>36</v>
      </c>
      <c r="G4027">
        <v>451046</v>
      </c>
      <c r="H4027" t="s">
        <v>10462</v>
      </c>
      <c r="I4027" t="s">
        <v>2413</v>
      </c>
      <c r="J4027">
        <v>30</v>
      </c>
      <c r="K4027">
        <v>2695</v>
      </c>
      <c r="L4027">
        <v>95000</v>
      </c>
      <c r="M4027" t="s">
        <v>69</v>
      </c>
      <c r="N4027">
        <v>691</v>
      </c>
      <c r="O4027" s="2">
        <v>46197</v>
      </c>
      <c r="P4027" s="2">
        <v>46316</v>
      </c>
      <c r="R4027" t="s">
        <v>10468</v>
      </c>
      <c r="S4027" t="str">
        <f>""</f>
        <v/>
      </c>
      <c r="T4027" t="s">
        <v>41</v>
      </c>
      <c r="U4027">
        <v>10421.969999999999</v>
      </c>
      <c r="V4027">
        <v>10307.33</v>
      </c>
      <c r="W4027">
        <v>10307.33</v>
      </c>
      <c r="X4027">
        <v>0</v>
      </c>
      <c r="Y4027">
        <v>0</v>
      </c>
      <c r="Z4027">
        <v>-541</v>
      </c>
      <c r="AA4027">
        <v>692134</v>
      </c>
      <c r="AD4027" t="s">
        <v>50</v>
      </c>
      <c r="AF4027" t="s">
        <v>50</v>
      </c>
      <c r="AG4027" s="1" t="s">
        <v>10464</v>
      </c>
      <c r="AH4027" t="s">
        <v>44</v>
      </c>
    </row>
    <row r="4028" spans="1:34" x14ac:dyDescent="0.3">
      <c r="A4028">
        <v>101</v>
      </c>
      <c r="B4028" t="s">
        <v>34</v>
      </c>
      <c r="C4028">
        <v>2</v>
      </c>
      <c r="D4028" s="1" t="s">
        <v>10469</v>
      </c>
      <c r="E4028" s="1" t="s">
        <v>36</v>
      </c>
      <c r="G4028">
        <v>451046</v>
      </c>
      <c r="H4028" t="s">
        <v>10462</v>
      </c>
      <c r="I4028" t="s">
        <v>2413</v>
      </c>
      <c r="J4028">
        <v>30</v>
      </c>
      <c r="K4028">
        <v>2695</v>
      </c>
      <c r="L4028">
        <v>95000</v>
      </c>
      <c r="M4028" t="s">
        <v>69</v>
      </c>
      <c r="N4028">
        <v>691</v>
      </c>
      <c r="O4028" s="2">
        <v>46170</v>
      </c>
      <c r="P4028" s="2">
        <v>46276</v>
      </c>
      <c r="R4028" t="s">
        <v>10470</v>
      </c>
      <c r="S4028" t="str">
        <f>""</f>
        <v/>
      </c>
      <c r="T4028" t="s">
        <v>41</v>
      </c>
      <c r="U4028">
        <v>2741</v>
      </c>
      <c r="V4028">
        <v>2710.85</v>
      </c>
      <c r="W4028">
        <v>2710.85</v>
      </c>
      <c r="X4028">
        <v>0</v>
      </c>
      <c r="Y4028">
        <v>0</v>
      </c>
      <c r="Z4028">
        <v>-501</v>
      </c>
      <c r="AA4028">
        <v>689453</v>
      </c>
      <c r="AD4028" t="s">
        <v>50</v>
      </c>
      <c r="AF4028" t="s">
        <v>50</v>
      </c>
      <c r="AG4028" s="1" t="s">
        <v>10464</v>
      </c>
      <c r="AH4028" t="s">
        <v>44</v>
      </c>
    </row>
    <row r="4029" spans="1:34" x14ac:dyDescent="0.3">
      <c r="A4029">
        <v>101</v>
      </c>
      <c r="B4029" t="s">
        <v>34</v>
      </c>
      <c r="C4029">
        <v>2</v>
      </c>
      <c r="D4029" s="1" t="s">
        <v>10471</v>
      </c>
      <c r="E4029" s="1" t="s">
        <v>36</v>
      </c>
      <c r="G4029">
        <v>451046</v>
      </c>
      <c r="H4029" t="s">
        <v>10462</v>
      </c>
      <c r="I4029" t="s">
        <v>2413</v>
      </c>
      <c r="J4029">
        <v>30</v>
      </c>
      <c r="K4029">
        <v>2695</v>
      </c>
      <c r="L4029">
        <v>95000</v>
      </c>
      <c r="M4029" t="s">
        <v>69</v>
      </c>
      <c r="N4029">
        <v>691</v>
      </c>
      <c r="O4029" s="2">
        <v>46171</v>
      </c>
      <c r="P4029" s="2">
        <v>46276</v>
      </c>
      <c r="R4029" t="s">
        <v>10472</v>
      </c>
      <c r="S4029" t="str">
        <f>""</f>
        <v/>
      </c>
      <c r="T4029" t="s">
        <v>41</v>
      </c>
      <c r="U4029">
        <v>2846.4</v>
      </c>
      <c r="V4029">
        <v>2815.09</v>
      </c>
      <c r="W4029">
        <v>2815.09</v>
      </c>
      <c r="X4029">
        <v>0</v>
      </c>
      <c r="Y4029">
        <v>0</v>
      </c>
      <c r="Z4029">
        <v>-501</v>
      </c>
      <c r="AA4029">
        <v>689172</v>
      </c>
      <c r="AD4029" t="s">
        <v>50</v>
      </c>
      <c r="AF4029" t="s">
        <v>50</v>
      </c>
      <c r="AG4029" s="1" t="s">
        <v>10464</v>
      </c>
      <c r="AH4029" t="s">
        <v>44</v>
      </c>
    </row>
    <row r="4030" spans="1:34" x14ac:dyDescent="0.3">
      <c r="A4030">
        <v>101</v>
      </c>
      <c r="B4030" t="s">
        <v>34</v>
      </c>
      <c r="C4030">
        <v>2</v>
      </c>
      <c r="D4030" s="1" t="s">
        <v>10473</v>
      </c>
      <c r="E4030" s="1" t="s">
        <v>36</v>
      </c>
      <c r="G4030">
        <v>451046</v>
      </c>
      <c r="H4030" t="s">
        <v>10462</v>
      </c>
      <c r="I4030" t="s">
        <v>2413</v>
      </c>
      <c r="J4030">
        <v>30</v>
      </c>
      <c r="K4030">
        <v>2695</v>
      </c>
      <c r="L4030">
        <v>95000</v>
      </c>
      <c r="M4030" t="s">
        <v>69</v>
      </c>
      <c r="N4030">
        <v>691</v>
      </c>
      <c r="O4030" s="2">
        <v>46170</v>
      </c>
      <c r="P4030" s="2">
        <v>46276</v>
      </c>
      <c r="R4030" t="s">
        <v>10474</v>
      </c>
      <c r="S4030" t="str">
        <f>""</f>
        <v/>
      </c>
      <c r="T4030" t="s">
        <v>41</v>
      </c>
      <c r="U4030">
        <v>14095.47</v>
      </c>
      <c r="V4030">
        <v>13940.42</v>
      </c>
      <c r="W4030">
        <v>13940.42</v>
      </c>
      <c r="X4030">
        <v>0</v>
      </c>
      <c r="Y4030">
        <v>0</v>
      </c>
      <c r="Z4030">
        <v>-501</v>
      </c>
      <c r="AA4030">
        <v>689172</v>
      </c>
      <c r="AD4030" t="s">
        <v>50</v>
      </c>
      <c r="AF4030" t="s">
        <v>50</v>
      </c>
      <c r="AG4030" s="1" t="s">
        <v>10464</v>
      </c>
      <c r="AH4030" t="s">
        <v>44</v>
      </c>
    </row>
    <row r="4031" spans="1:34" x14ac:dyDescent="0.3">
      <c r="A4031">
        <v>101</v>
      </c>
      <c r="B4031" t="s">
        <v>34</v>
      </c>
      <c r="C4031">
        <v>2</v>
      </c>
      <c r="D4031" s="1" t="s">
        <v>10475</v>
      </c>
      <c r="E4031" s="1" t="s">
        <v>36</v>
      </c>
      <c r="G4031">
        <v>451046</v>
      </c>
      <c r="H4031" t="s">
        <v>10462</v>
      </c>
      <c r="I4031" t="s">
        <v>2413</v>
      </c>
      <c r="J4031">
        <v>30</v>
      </c>
      <c r="K4031">
        <v>2695</v>
      </c>
      <c r="L4031">
        <v>95000</v>
      </c>
      <c r="M4031" t="s">
        <v>69</v>
      </c>
      <c r="N4031">
        <v>691</v>
      </c>
      <c r="O4031" s="2">
        <v>46239</v>
      </c>
      <c r="P4031" s="2">
        <v>46349</v>
      </c>
      <c r="R4031" t="s">
        <v>10476</v>
      </c>
      <c r="S4031" t="str">
        <f>""</f>
        <v/>
      </c>
      <c r="T4031" t="s">
        <v>41</v>
      </c>
      <c r="U4031">
        <v>2470.17</v>
      </c>
      <c r="V4031">
        <v>2443</v>
      </c>
      <c r="W4031">
        <v>2443</v>
      </c>
      <c r="X4031">
        <v>0</v>
      </c>
      <c r="Y4031">
        <v>0</v>
      </c>
      <c r="Z4031">
        <v>-574</v>
      </c>
      <c r="AA4031">
        <v>696187</v>
      </c>
      <c r="AD4031" t="s">
        <v>50</v>
      </c>
      <c r="AF4031" t="s">
        <v>50</v>
      </c>
      <c r="AG4031" s="1" t="s">
        <v>10464</v>
      </c>
      <c r="AH4031" t="s">
        <v>44</v>
      </c>
    </row>
    <row r="4032" spans="1:34" x14ac:dyDescent="0.3">
      <c r="A4032">
        <v>101</v>
      </c>
      <c r="B4032" t="s">
        <v>34</v>
      </c>
      <c r="C4032">
        <v>2</v>
      </c>
      <c r="D4032" s="1" t="s">
        <v>10477</v>
      </c>
      <c r="E4032" s="1" t="s">
        <v>36</v>
      </c>
      <c r="G4032">
        <v>451046</v>
      </c>
      <c r="H4032" t="s">
        <v>10462</v>
      </c>
      <c r="I4032" t="s">
        <v>2413</v>
      </c>
      <c r="J4032">
        <v>30</v>
      </c>
      <c r="K4032">
        <v>2695</v>
      </c>
      <c r="L4032">
        <v>95000</v>
      </c>
      <c r="M4032" t="s">
        <v>69</v>
      </c>
      <c r="N4032">
        <v>691</v>
      </c>
      <c r="O4032" s="2">
        <v>46253</v>
      </c>
      <c r="P4032" s="2">
        <v>46343</v>
      </c>
      <c r="R4032" t="s">
        <v>10478</v>
      </c>
      <c r="S4032" t="str">
        <f>""</f>
        <v/>
      </c>
      <c r="T4032" t="s">
        <v>41</v>
      </c>
      <c r="U4032">
        <v>1769</v>
      </c>
      <c r="V4032">
        <v>1749.54</v>
      </c>
      <c r="W4032">
        <v>1749.54</v>
      </c>
      <c r="X4032">
        <v>0</v>
      </c>
      <c r="Y4032">
        <v>0</v>
      </c>
      <c r="Z4032">
        <v>-568</v>
      </c>
      <c r="AA4032">
        <v>696963</v>
      </c>
      <c r="AD4032" t="s">
        <v>50</v>
      </c>
      <c r="AF4032" t="s">
        <v>50</v>
      </c>
      <c r="AG4032" s="1" t="s">
        <v>10464</v>
      </c>
      <c r="AH4032" t="s">
        <v>44</v>
      </c>
    </row>
    <row r="4033" spans="1:34" x14ac:dyDescent="0.3">
      <c r="A4033">
        <v>101</v>
      </c>
      <c r="B4033" t="s">
        <v>34</v>
      </c>
      <c r="C4033">
        <v>2</v>
      </c>
      <c r="D4033" s="1" t="s">
        <v>10479</v>
      </c>
      <c r="E4033" s="1" t="s">
        <v>36</v>
      </c>
      <c r="G4033">
        <v>451047</v>
      </c>
      <c r="H4033" t="s">
        <v>10480</v>
      </c>
      <c r="I4033" t="s">
        <v>2413</v>
      </c>
      <c r="J4033">
        <v>30</v>
      </c>
      <c r="K4033">
        <v>2695</v>
      </c>
      <c r="L4033">
        <v>95000</v>
      </c>
      <c r="M4033" t="s">
        <v>69</v>
      </c>
      <c r="N4033">
        <v>691</v>
      </c>
      <c r="O4033" s="2">
        <v>46199</v>
      </c>
      <c r="P4033" s="2">
        <v>46308</v>
      </c>
      <c r="R4033" t="s">
        <v>10481</v>
      </c>
      <c r="S4033" t="str">
        <f>""</f>
        <v/>
      </c>
      <c r="T4033" t="s">
        <v>41</v>
      </c>
      <c r="U4033">
        <v>4598.6899999999996</v>
      </c>
      <c r="V4033">
        <v>4548.1000000000004</v>
      </c>
      <c r="W4033">
        <v>4548.1000000000004</v>
      </c>
      <c r="X4033">
        <v>0</v>
      </c>
      <c r="Y4033">
        <v>0</v>
      </c>
      <c r="Z4033">
        <v>-533</v>
      </c>
      <c r="AA4033">
        <v>692851</v>
      </c>
      <c r="AD4033" t="s">
        <v>64</v>
      </c>
      <c r="AF4033" t="s">
        <v>64</v>
      </c>
      <c r="AG4033" s="1" t="s">
        <v>10482</v>
      </c>
      <c r="AH4033" t="s">
        <v>44</v>
      </c>
    </row>
    <row r="4034" spans="1:34" x14ac:dyDescent="0.3">
      <c r="A4034">
        <v>101</v>
      </c>
      <c r="B4034" t="s">
        <v>34</v>
      </c>
      <c r="C4034">
        <v>2</v>
      </c>
      <c r="D4034" s="1" t="s">
        <v>10483</v>
      </c>
      <c r="E4034" s="1" t="s">
        <v>36</v>
      </c>
      <c r="G4034">
        <v>451047</v>
      </c>
      <c r="H4034" t="s">
        <v>10480</v>
      </c>
      <c r="I4034" t="s">
        <v>2413</v>
      </c>
      <c r="J4034">
        <v>30</v>
      </c>
      <c r="K4034">
        <v>2695</v>
      </c>
      <c r="L4034">
        <v>95000</v>
      </c>
      <c r="M4034" t="s">
        <v>69</v>
      </c>
      <c r="N4034">
        <v>691</v>
      </c>
      <c r="O4034" s="2">
        <v>46140</v>
      </c>
      <c r="P4034" s="2">
        <v>46266</v>
      </c>
      <c r="R4034" t="s">
        <v>10484</v>
      </c>
      <c r="S4034" t="str">
        <f>""</f>
        <v/>
      </c>
      <c r="T4034" t="s">
        <v>41</v>
      </c>
      <c r="U4034">
        <v>8477.16</v>
      </c>
      <c r="V4034">
        <v>8383.91</v>
      </c>
      <c r="W4034">
        <v>8383.91</v>
      </c>
      <c r="X4034">
        <v>0</v>
      </c>
      <c r="Y4034">
        <v>0</v>
      </c>
      <c r="Z4034">
        <v>-491</v>
      </c>
      <c r="AA4034">
        <v>686586</v>
      </c>
      <c r="AD4034" t="s">
        <v>64</v>
      </c>
      <c r="AF4034" t="s">
        <v>64</v>
      </c>
      <c r="AG4034" s="1" t="s">
        <v>10482</v>
      </c>
      <c r="AH4034" t="s">
        <v>44</v>
      </c>
    </row>
    <row r="4035" spans="1:34" x14ac:dyDescent="0.3">
      <c r="A4035">
        <v>101</v>
      </c>
      <c r="B4035" t="s">
        <v>34</v>
      </c>
      <c r="C4035">
        <v>2</v>
      </c>
      <c r="D4035" s="1" t="s">
        <v>10485</v>
      </c>
      <c r="E4035" s="1" t="s">
        <v>36</v>
      </c>
      <c r="G4035">
        <v>451047</v>
      </c>
      <c r="H4035" t="s">
        <v>10480</v>
      </c>
      <c r="I4035" t="s">
        <v>2413</v>
      </c>
      <c r="J4035">
        <v>30</v>
      </c>
      <c r="K4035">
        <v>2695</v>
      </c>
      <c r="L4035">
        <v>95000</v>
      </c>
      <c r="M4035" t="s">
        <v>69</v>
      </c>
      <c r="N4035">
        <v>691</v>
      </c>
      <c r="O4035" s="2">
        <v>46197</v>
      </c>
      <c r="P4035" s="2">
        <v>46308</v>
      </c>
      <c r="R4035" t="s">
        <v>10486</v>
      </c>
      <c r="S4035" t="str">
        <f>""</f>
        <v/>
      </c>
      <c r="T4035" t="s">
        <v>41</v>
      </c>
      <c r="U4035">
        <v>23180.71</v>
      </c>
      <c r="V4035">
        <v>22925.72</v>
      </c>
      <c r="W4035">
        <v>22925.72</v>
      </c>
      <c r="X4035">
        <v>0</v>
      </c>
      <c r="Y4035">
        <v>0</v>
      </c>
      <c r="Z4035">
        <v>-533</v>
      </c>
      <c r="AA4035">
        <v>692150</v>
      </c>
      <c r="AD4035" t="s">
        <v>64</v>
      </c>
      <c r="AF4035" t="s">
        <v>64</v>
      </c>
      <c r="AG4035" s="1" t="s">
        <v>10482</v>
      </c>
      <c r="AH4035" t="s">
        <v>44</v>
      </c>
    </row>
    <row r="4036" spans="1:34" x14ac:dyDescent="0.3">
      <c r="A4036">
        <v>101</v>
      </c>
      <c r="B4036" t="s">
        <v>34</v>
      </c>
      <c r="C4036">
        <v>2</v>
      </c>
      <c r="D4036" s="1" t="s">
        <v>10487</v>
      </c>
      <c r="E4036" s="1" t="s">
        <v>36</v>
      </c>
      <c r="G4036">
        <v>451047</v>
      </c>
      <c r="H4036" t="s">
        <v>10480</v>
      </c>
      <c r="I4036" t="s">
        <v>2413</v>
      </c>
      <c r="J4036">
        <v>30</v>
      </c>
      <c r="K4036">
        <v>2695</v>
      </c>
      <c r="L4036">
        <v>95000</v>
      </c>
      <c r="M4036" t="s">
        <v>69</v>
      </c>
      <c r="N4036">
        <v>691</v>
      </c>
      <c r="O4036" s="2">
        <v>46170</v>
      </c>
      <c r="P4036" s="2">
        <v>46296</v>
      </c>
      <c r="R4036" t="s">
        <v>10488</v>
      </c>
      <c r="S4036" t="str">
        <f>""</f>
        <v/>
      </c>
      <c r="T4036" t="s">
        <v>41</v>
      </c>
      <c r="U4036">
        <v>14271.99</v>
      </c>
      <c r="V4036">
        <v>14115</v>
      </c>
      <c r="W4036">
        <v>14115</v>
      </c>
      <c r="X4036">
        <v>0</v>
      </c>
      <c r="Y4036">
        <v>0</v>
      </c>
      <c r="Z4036">
        <v>-521</v>
      </c>
      <c r="AA4036">
        <v>689188</v>
      </c>
      <c r="AD4036" t="s">
        <v>64</v>
      </c>
      <c r="AF4036" t="s">
        <v>64</v>
      </c>
      <c r="AG4036" s="1" t="s">
        <v>10482</v>
      </c>
      <c r="AH4036" t="s">
        <v>44</v>
      </c>
    </row>
    <row r="4037" spans="1:34" x14ac:dyDescent="0.3">
      <c r="A4037">
        <v>101</v>
      </c>
      <c r="B4037" t="s">
        <v>34</v>
      </c>
      <c r="C4037">
        <v>2</v>
      </c>
      <c r="D4037" s="1" t="s">
        <v>10489</v>
      </c>
      <c r="E4037" s="1" t="s">
        <v>36</v>
      </c>
      <c r="G4037">
        <v>451047</v>
      </c>
      <c r="H4037" t="s">
        <v>10480</v>
      </c>
      <c r="I4037" t="s">
        <v>2413</v>
      </c>
      <c r="J4037">
        <v>30</v>
      </c>
      <c r="K4037">
        <v>2695</v>
      </c>
      <c r="L4037">
        <v>95000</v>
      </c>
      <c r="M4037" t="s">
        <v>69</v>
      </c>
      <c r="N4037">
        <v>691</v>
      </c>
      <c r="O4037" s="2">
        <v>46239</v>
      </c>
      <c r="P4037" s="2">
        <v>46329</v>
      </c>
      <c r="R4037" t="s">
        <v>10490</v>
      </c>
      <c r="S4037" t="str">
        <f>""</f>
        <v/>
      </c>
      <c r="T4037" t="s">
        <v>41</v>
      </c>
      <c r="U4037">
        <v>3765.27</v>
      </c>
      <c r="V4037">
        <v>3723.85</v>
      </c>
      <c r="W4037">
        <v>3723.85</v>
      </c>
      <c r="X4037">
        <v>0</v>
      </c>
      <c r="Y4037">
        <v>0</v>
      </c>
      <c r="Z4037">
        <v>-554</v>
      </c>
      <c r="AA4037">
        <v>696209</v>
      </c>
      <c r="AD4037" t="s">
        <v>64</v>
      </c>
      <c r="AF4037" t="s">
        <v>64</v>
      </c>
      <c r="AG4037" s="1" t="s">
        <v>10482</v>
      </c>
      <c r="AH4037" t="s">
        <v>44</v>
      </c>
    </row>
    <row r="4038" spans="1:34" x14ac:dyDescent="0.3">
      <c r="A4038">
        <v>101</v>
      </c>
      <c r="B4038" t="s">
        <v>34</v>
      </c>
      <c r="C4038">
        <v>2</v>
      </c>
      <c r="D4038" s="1" t="s">
        <v>10491</v>
      </c>
      <c r="E4038" s="1" t="s">
        <v>36</v>
      </c>
      <c r="G4038">
        <v>451047</v>
      </c>
      <c r="H4038" t="s">
        <v>10480</v>
      </c>
      <c r="I4038" t="s">
        <v>2413</v>
      </c>
      <c r="J4038">
        <v>30</v>
      </c>
      <c r="K4038">
        <v>2695</v>
      </c>
      <c r="L4038">
        <v>95000</v>
      </c>
      <c r="M4038" t="s">
        <v>69</v>
      </c>
      <c r="N4038">
        <v>691</v>
      </c>
      <c r="O4038" s="2">
        <v>46170</v>
      </c>
      <c r="P4038" s="2">
        <v>46296</v>
      </c>
      <c r="R4038" t="s">
        <v>10492</v>
      </c>
      <c r="S4038" t="str">
        <f>""</f>
        <v/>
      </c>
      <c r="T4038" t="s">
        <v>41</v>
      </c>
      <c r="U4038">
        <v>585.36</v>
      </c>
      <c r="V4038">
        <v>578.91999999999996</v>
      </c>
      <c r="W4038">
        <v>578.91999999999996</v>
      </c>
      <c r="X4038">
        <v>0</v>
      </c>
      <c r="Y4038">
        <v>0</v>
      </c>
      <c r="Z4038">
        <v>-521</v>
      </c>
      <c r="AA4038">
        <v>689469</v>
      </c>
      <c r="AD4038" t="s">
        <v>64</v>
      </c>
      <c r="AF4038" t="s">
        <v>64</v>
      </c>
      <c r="AG4038" s="1" t="s">
        <v>10482</v>
      </c>
      <c r="AH4038" t="s">
        <v>44</v>
      </c>
    </row>
    <row r="4039" spans="1:34" x14ac:dyDescent="0.3">
      <c r="A4039">
        <v>101</v>
      </c>
      <c r="B4039" t="s">
        <v>34</v>
      </c>
      <c r="C4039">
        <v>2</v>
      </c>
      <c r="D4039" s="1" t="s">
        <v>10493</v>
      </c>
      <c r="E4039" s="1" t="s">
        <v>36</v>
      </c>
      <c r="G4039">
        <v>451047</v>
      </c>
      <c r="H4039" t="s">
        <v>10480</v>
      </c>
      <c r="I4039" t="s">
        <v>2413</v>
      </c>
      <c r="J4039">
        <v>30</v>
      </c>
      <c r="K4039">
        <v>2695</v>
      </c>
      <c r="L4039">
        <v>95000</v>
      </c>
      <c r="M4039" t="s">
        <v>69</v>
      </c>
      <c r="N4039">
        <v>691</v>
      </c>
      <c r="O4039" s="2">
        <v>46171</v>
      </c>
      <c r="P4039" s="2">
        <v>46296</v>
      </c>
      <c r="R4039" t="s">
        <v>10494</v>
      </c>
      <c r="S4039" t="str">
        <f>""</f>
        <v/>
      </c>
      <c r="T4039" t="s">
        <v>41</v>
      </c>
      <c r="U4039">
        <v>3558</v>
      </c>
      <c r="V4039">
        <v>3518.86</v>
      </c>
      <c r="W4039">
        <v>3518.86</v>
      </c>
      <c r="X4039">
        <v>0</v>
      </c>
      <c r="Y4039">
        <v>0</v>
      </c>
      <c r="Z4039">
        <v>-521</v>
      </c>
      <c r="AA4039">
        <v>689188</v>
      </c>
      <c r="AD4039" t="s">
        <v>64</v>
      </c>
      <c r="AF4039" t="s">
        <v>64</v>
      </c>
      <c r="AG4039" s="1" t="s">
        <v>10482</v>
      </c>
      <c r="AH4039" t="s">
        <v>44</v>
      </c>
    </row>
    <row r="4040" spans="1:34" x14ac:dyDescent="0.3">
      <c r="A4040">
        <v>101</v>
      </c>
      <c r="B4040" t="s">
        <v>34</v>
      </c>
      <c r="C4040">
        <v>2</v>
      </c>
      <c r="D4040" s="1" t="s">
        <v>10495</v>
      </c>
      <c r="E4040" s="1" t="s">
        <v>36</v>
      </c>
      <c r="G4040">
        <v>451047</v>
      </c>
      <c r="H4040" t="s">
        <v>10480</v>
      </c>
      <c r="I4040" t="s">
        <v>2413</v>
      </c>
      <c r="J4040">
        <v>30</v>
      </c>
      <c r="K4040">
        <v>2695</v>
      </c>
      <c r="L4040">
        <v>95000</v>
      </c>
      <c r="M4040" t="s">
        <v>69</v>
      </c>
      <c r="N4040">
        <v>691</v>
      </c>
      <c r="O4040" s="2">
        <v>46226</v>
      </c>
      <c r="P4040" s="2">
        <v>46316</v>
      </c>
      <c r="R4040" t="s">
        <v>10496</v>
      </c>
      <c r="S4040" t="str">
        <f>""</f>
        <v/>
      </c>
      <c r="T4040" t="s">
        <v>41</v>
      </c>
      <c r="U4040">
        <v>7229.19</v>
      </c>
      <c r="V4040">
        <v>7149.67</v>
      </c>
      <c r="W4040">
        <v>7149.67</v>
      </c>
      <c r="X4040">
        <v>0</v>
      </c>
      <c r="Y4040">
        <v>0</v>
      </c>
      <c r="Z4040">
        <v>-541</v>
      </c>
      <c r="AA4040">
        <v>694947</v>
      </c>
      <c r="AD4040" t="s">
        <v>64</v>
      </c>
      <c r="AF4040" t="s">
        <v>64</v>
      </c>
      <c r="AG4040" s="1" t="s">
        <v>10482</v>
      </c>
      <c r="AH4040" t="s">
        <v>44</v>
      </c>
    </row>
    <row r="4041" spans="1:34" x14ac:dyDescent="0.3">
      <c r="A4041">
        <v>101</v>
      </c>
      <c r="B4041" t="s">
        <v>34</v>
      </c>
      <c r="C4041">
        <v>2</v>
      </c>
      <c r="D4041" s="1" t="s">
        <v>10497</v>
      </c>
      <c r="E4041" s="1" t="s">
        <v>36</v>
      </c>
      <c r="G4041">
        <v>451433</v>
      </c>
      <c r="H4041" t="s">
        <v>10498</v>
      </c>
      <c r="I4041" t="s">
        <v>2413</v>
      </c>
      <c r="J4041">
        <v>30</v>
      </c>
      <c r="K4041">
        <v>2695</v>
      </c>
      <c r="L4041">
        <v>95000</v>
      </c>
      <c r="M4041" t="s">
        <v>69</v>
      </c>
      <c r="N4041">
        <v>691</v>
      </c>
      <c r="O4041" s="2">
        <v>46199</v>
      </c>
      <c r="P4041" s="2">
        <v>46308</v>
      </c>
      <c r="R4041" t="s">
        <v>10499</v>
      </c>
      <c r="S4041" t="str">
        <f>""</f>
        <v/>
      </c>
      <c r="T4041" t="s">
        <v>41</v>
      </c>
      <c r="U4041">
        <v>2586.77</v>
      </c>
      <c r="V4041">
        <v>2558.3200000000002</v>
      </c>
      <c r="W4041">
        <v>2558.3200000000002</v>
      </c>
      <c r="X4041">
        <v>0</v>
      </c>
      <c r="Y4041">
        <v>0</v>
      </c>
      <c r="Z4041">
        <v>-533</v>
      </c>
      <c r="AA4041">
        <v>692807</v>
      </c>
      <c r="AD4041" t="s">
        <v>64</v>
      </c>
      <c r="AE4041" t="s">
        <v>5720</v>
      </c>
      <c r="AF4041" t="s">
        <v>64</v>
      </c>
      <c r="AG4041" s="1" t="s">
        <v>10500</v>
      </c>
      <c r="AH4041" t="s">
        <v>44</v>
      </c>
    </row>
    <row r="4042" spans="1:34" x14ac:dyDescent="0.3">
      <c r="A4042">
        <v>101</v>
      </c>
      <c r="B4042" t="s">
        <v>34</v>
      </c>
      <c r="C4042">
        <v>2</v>
      </c>
      <c r="D4042" s="1" t="s">
        <v>10501</v>
      </c>
      <c r="E4042" s="1" t="s">
        <v>36</v>
      </c>
      <c r="G4042">
        <v>451433</v>
      </c>
      <c r="H4042" t="s">
        <v>10498</v>
      </c>
      <c r="I4042" t="s">
        <v>2413</v>
      </c>
      <c r="J4042">
        <v>30</v>
      </c>
      <c r="K4042">
        <v>2695</v>
      </c>
      <c r="L4042">
        <v>95000</v>
      </c>
      <c r="M4042" t="s">
        <v>69</v>
      </c>
      <c r="N4042">
        <v>691</v>
      </c>
      <c r="O4042" s="2">
        <v>46239</v>
      </c>
      <c r="P4042" s="2">
        <v>46329</v>
      </c>
      <c r="R4042" t="s">
        <v>10502</v>
      </c>
      <c r="S4042" t="str">
        <f>""</f>
        <v/>
      </c>
      <c r="T4042" t="s">
        <v>41</v>
      </c>
      <c r="U4042">
        <v>2470.17</v>
      </c>
      <c r="V4042">
        <v>2443</v>
      </c>
      <c r="W4042">
        <v>2443</v>
      </c>
      <c r="X4042">
        <v>0</v>
      </c>
      <c r="Y4042">
        <v>0</v>
      </c>
      <c r="Z4042">
        <v>-554</v>
      </c>
      <c r="AA4042">
        <v>696207</v>
      </c>
      <c r="AD4042" t="s">
        <v>64</v>
      </c>
      <c r="AE4042" t="s">
        <v>5720</v>
      </c>
      <c r="AF4042" t="s">
        <v>64</v>
      </c>
      <c r="AG4042" s="1" t="s">
        <v>10500</v>
      </c>
      <c r="AH4042" t="s">
        <v>44</v>
      </c>
    </row>
    <row r="4043" spans="1:34" x14ac:dyDescent="0.3">
      <c r="A4043">
        <v>101</v>
      </c>
      <c r="B4043" t="s">
        <v>34</v>
      </c>
      <c r="C4043">
        <v>2</v>
      </c>
      <c r="D4043" s="1" t="s">
        <v>10503</v>
      </c>
      <c r="E4043" s="1" t="s">
        <v>36</v>
      </c>
      <c r="G4043">
        <v>451433</v>
      </c>
      <c r="H4043" t="s">
        <v>10498</v>
      </c>
      <c r="I4043" t="s">
        <v>2413</v>
      </c>
      <c r="J4043">
        <v>30</v>
      </c>
      <c r="K4043">
        <v>2695</v>
      </c>
      <c r="L4043">
        <v>95000</v>
      </c>
      <c r="M4043" t="s">
        <v>69</v>
      </c>
      <c r="N4043">
        <v>691</v>
      </c>
      <c r="O4043" s="2">
        <v>46140</v>
      </c>
      <c r="P4043" s="2">
        <v>46266</v>
      </c>
      <c r="R4043" t="s">
        <v>10504</v>
      </c>
      <c r="S4043" t="str">
        <f>""</f>
        <v/>
      </c>
      <c r="T4043" t="s">
        <v>41</v>
      </c>
      <c r="U4043">
        <v>15122.69</v>
      </c>
      <c r="V4043">
        <v>14956.34</v>
      </c>
      <c r="W4043">
        <v>14956.34</v>
      </c>
      <c r="X4043">
        <v>0</v>
      </c>
      <c r="Y4043">
        <v>0</v>
      </c>
      <c r="Z4043">
        <v>-491</v>
      </c>
      <c r="AA4043">
        <v>686584</v>
      </c>
      <c r="AD4043" t="s">
        <v>64</v>
      </c>
      <c r="AE4043" t="s">
        <v>5720</v>
      </c>
      <c r="AF4043" t="s">
        <v>64</v>
      </c>
      <c r="AG4043" s="1" t="s">
        <v>10500</v>
      </c>
      <c r="AH4043" t="s">
        <v>44</v>
      </c>
    </row>
    <row r="4044" spans="1:34" x14ac:dyDescent="0.3">
      <c r="A4044">
        <v>101</v>
      </c>
      <c r="B4044" t="s">
        <v>34</v>
      </c>
      <c r="C4044">
        <v>2</v>
      </c>
      <c r="D4044" s="1" t="s">
        <v>10505</v>
      </c>
      <c r="E4044" s="1" t="s">
        <v>36</v>
      </c>
      <c r="G4044">
        <v>451433</v>
      </c>
      <c r="H4044" t="s">
        <v>10498</v>
      </c>
      <c r="I4044" t="s">
        <v>2413</v>
      </c>
      <c r="J4044">
        <v>30</v>
      </c>
      <c r="K4044">
        <v>2695</v>
      </c>
      <c r="L4044">
        <v>95000</v>
      </c>
      <c r="M4044" t="s">
        <v>69</v>
      </c>
      <c r="N4044">
        <v>691</v>
      </c>
      <c r="O4044" s="2">
        <v>46226</v>
      </c>
      <c r="P4044" s="2">
        <v>46316</v>
      </c>
      <c r="R4044" t="s">
        <v>10506</v>
      </c>
      <c r="S4044" t="str">
        <f>""</f>
        <v/>
      </c>
      <c r="T4044" t="s">
        <v>41</v>
      </c>
      <c r="U4044">
        <v>8218.5</v>
      </c>
      <c r="V4044">
        <v>8128.1</v>
      </c>
      <c r="W4044">
        <v>8128.1</v>
      </c>
      <c r="X4044">
        <v>0</v>
      </c>
      <c r="Y4044">
        <v>0</v>
      </c>
      <c r="Z4044">
        <v>-541</v>
      </c>
      <c r="AA4044">
        <v>694945</v>
      </c>
      <c r="AD4044" t="s">
        <v>64</v>
      </c>
      <c r="AE4044" t="s">
        <v>5720</v>
      </c>
      <c r="AF4044" t="s">
        <v>64</v>
      </c>
      <c r="AG4044" s="1" t="s">
        <v>10500</v>
      </c>
      <c r="AH4044" t="s">
        <v>44</v>
      </c>
    </row>
    <row r="4045" spans="1:34" x14ac:dyDescent="0.3">
      <c r="A4045">
        <v>101</v>
      </c>
      <c r="B4045" t="s">
        <v>34</v>
      </c>
      <c r="C4045">
        <v>2</v>
      </c>
      <c r="D4045" s="1" t="s">
        <v>10507</v>
      </c>
      <c r="E4045" s="1" t="s">
        <v>36</v>
      </c>
      <c r="G4045">
        <v>451433</v>
      </c>
      <c r="H4045" t="s">
        <v>10498</v>
      </c>
      <c r="I4045" t="s">
        <v>2413</v>
      </c>
      <c r="J4045">
        <v>30</v>
      </c>
      <c r="K4045">
        <v>2695</v>
      </c>
      <c r="L4045">
        <v>95000</v>
      </c>
      <c r="M4045" t="s">
        <v>69</v>
      </c>
      <c r="N4045">
        <v>691</v>
      </c>
      <c r="O4045" s="2">
        <v>46170</v>
      </c>
      <c r="P4045" s="2">
        <v>46286</v>
      </c>
      <c r="R4045" t="s">
        <v>10508</v>
      </c>
      <c r="S4045" t="str">
        <f>""</f>
        <v/>
      </c>
      <c r="T4045" t="s">
        <v>41</v>
      </c>
      <c r="U4045">
        <v>585.36</v>
      </c>
      <c r="V4045">
        <v>578.91999999999996</v>
      </c>
      <c r="W4045">
        <v>578.91999999999996</v>
      </c>
      <c r="X4045">
        <v>0</v>
      </c>
      <c r="Y4045">
        <v>0</v>
      </c>
      <c r="Z4045">
        <v>-511</v>
      </c>
      <c r="AA4045">
        <v>689467</v>
      </c>
      <c r="AD4045" t="s">
        <v>64</v>
      </c>
      <c r="AE4045" t="s">
        <v>5720</v>
      </c>
      <c r="AF4045" t="s">
        <v>64</v>
      </c>
      <c r="AG4045" s="1" t="s">
        <v>10500</v>
      </c>
      <c r="AH4045" t="s">
        <v>44</v>
      </c>
    </row>
    <row r="4046" spans="1:34" x14ac:dyDescent="0.3">
      <c r="A4046">
        <v>101</v>
      </c>
      <c r="B4046" t="s">
        <v>34</v>
      </c>
      <c r="C4046">
        <v>2</v>
      </c>
      <c r="D4046" s="1" t="s">
        <v>10509</v>
      </c>
      <c r="E4046" s="1" t="s">
        <v>36</v>
      </c>
      <c r="G4046">
        <v>451433</v>
      </c>
      <c r="H4046" t="s">
        <v>10498</v>
      </c>
      <c r="I4046" t="s">
        <v>2413</v>
      </c>
      <c r="J4046">
        <v>30</v>
      </c>
      <c r="K4046">
        <v>2695</v>
      </c>
      <c r="L4046">
        <v>95000</v>
      </c>
      <c r="M4046" t="s">
        <v>69</v>
      </c>
      <c r="N4046">
        <v>691</v>
      </c>
      <c r="O4046" s="2">
        <v>46197</v>
      </c>
      <c r="P4046" s="2">
        <v>46308</v>
      </c>
      <c r="R4046" t="s">
        <v>10510</v>
      </c>
      <c r="S4046" t="str">
        <f>""</f>
        <v/>
      </c>
      <c r="T4046" t="s">
        <v>41</v>
      </c>
      <c r="U4046">
        <v>9501.94</v>
      </c>
      <c r="V4046">
        <v>9397.42</v>
      </c>
      <c r="W4046">
        <v>9397.42</v>
      </c>
      <c r="X4046">
        <v>0</v>
      </c>
      <c r="Y4046">
        <v>0</v>
      </c>
      <c r="Z4046">
        <v>-533</v>
      </c>
      <c r="AA4046">
        <v>692148</v>
      </c>
      <c r="AD4046" t="s">
        <v>64</v>
      </c>
      <c r="AE4046" t="s">
        <v>5720</v>
      </c>
      <c r="AF4046" t="s">
        <v>64</v>
      </c>
      <c r="AG4046" s="1" t="s">
        <v>10500</v>
      </c>
      <c r="AH4046" t="s">
        <v>44</v>
      </c>
    </row>
    <row r="4047" spans="1:34" x14ac:dyDescent="0.3">
      <c r="A4047">
        <v>101</v>
      </c>
      <c r="B4047" t="s">
        <v>34</v>
      </c>
      <c r="C4047">
        <v>2</v>
      </c>
      <c r="D4047" s="1" t="s">
        <v>10511</v>
      </c>
      <c r="E4047" s="1" t="s">
        <v>36</v>
      </c>
      <c r="G4047">
        <v>451433</v>
      </c>
      <c r="H4047" t="s">
        <v>10498</v>
      </c>
      <c r="I4047" t="s">
        <v>2413</v>
      </c>
      <c r="J4047">
        <v>30</v>
      </c>
      <c r="K4047">
        <v>2695</v>
      </c>
      <c r="L4047">
        <v>95000</v>
      </c>
      <c r="M4047" t="s">
        <v>69</v>
      </c>
      <c r="N4047">
        <v>691</v>
      </c>
      <c r="O4047" s="2">
        <v>46170</v>
      </c>
      <c r="P4047" s="2">
        <v>46286</v>
      </c>
      <c r="R4047" t="s">
        <v>10512</v>
      </c>
      <c r="S4047" t="str">
        <f>""</f>
        <v/>
      </c>
      <c r="T4047" t="s">
        <v>41</v>
      </c>
      <c r="U4047">
        <v>17957.75</v>
      </c>
      <c r="V4047">
        <v>17760.21</v>
      </c>
      <c r="W4047">
        <v>17760.21</v>
      </c>
      <c r="X4047">
        <v>0</v>
      </c>
      <c r="Y4047">
        <v>0</v>
      </c>
      <c r="Z4047">
        <v>-511</v>
      </c>
      <c r="AA4047">
        <v>689186</v>
      </c>
      <c r="AD4047" t="s">
        <v>64</v>
      </c>
      <c r="AE4047" t="s">
        <v>5720</v>
      </c>
      <c r="AF4047" t="s">
        <v>64</v>
      </c>
      <c r="AG4047" s="1" t="s">
        <v>10500</v>
      </c>
      <c r="AH4047" t="s">
        <v>44</v>
      </c>
    </row>
    <row r="4048" spans="1:34" x14ac:dyDescent="0.3">
      <c r="A4048">
        <v>101</v>
      </c>
      <c r="B4048" t="s">
        <v>34</v>
      </c>
      <c r="C4048">
        <v>2</v>
      </c>
      <c r="D4048" s="1" t="s">
        <v>10513</v>
      </c>
      <c r="E4048" s="1" t="s">
        <v>36</v>
      </c>
      <c r="G4048">
        <v>451433</v>
      </c>
      <c r="H4048" t="s">
        <v>10498</v>
      </c>
      <c r="I4048" t="s">
        <v>2413</v>
      </c>
      <c r="J4048">
        <v>30</v>
      </c>
      <c r="K4048">
        <v>2695</v>
      </c>
      <c r="L4048">
        <v>95000</v>
      </c>
      <c r="M4048" t="s">
        <v>69</v>
      </c>
      <c r="N4048">
        <v>691</v>
      </c>
      <c r="O4048" s="2">
        <v>46199</v>
      </c>
      <c r="P4048" s="2">
        <v>46308</v>
      </c>
      <c r="R4048" t="s">
        <v>10514</v>
      </c>
      <c r="S4048" t="str">
        <f>""</f>
        <v/>
      </c>
      <c r="T4048" t="s">
        <v>41</v>
      </c>
      <c r="U4048">
        <v>884.5</v>
      </c>
      <c r="V4048">
        <v>874.77</v>
      </c>
      <c r="W4048">
        <v>874.77</v>
      </c>
      <c r="X4048">
        <v>0</v>
      </c>
      <c r="Y4048">
        <v>0</v>
      </c>
      <c r="Z4048">
        <v>-533</v>
      </c>
      <c r="AA4048">
        <v>692530</v>
      </c>
      <c r="AD4048" t="s">
        <v>64</v>
      </c>
      <c r="AE4048" t="s">
        <v>5720</v>
      </c>
      <c r="AF4048" t="s">
        <v>64</v>
      </c>
      <c r="AG4048" s="1" t="s">
        <v>10500</v>
      </c>
      <c r="AH4048" t="s">
        <v>44</v>
      </c>
    </row>
    <row r="4049" spans="1:34" x14ac:dyDescent="0.3">
      <c r="A4049">
        <v>101</v>
      </c>
      <c r="B4049" t="s">
        <v>34</v>
      </c>
      <c r="C4049">
        <v>2</v>
      </c>
      <c r="D4049" s="1" t="s">
        <v>10515</v>
      </c>
      <c r="E4049" s="1" t="s">
        <v>36</v>
      </c>
      <c r="G4049">
        <v>451433</v>
      </c>
      <c r="H4049" t="s">
        <v>10498</v>
      </c>
      <c r="I4049" t="s">
        <v>2413</v>
      </c>
      <c r="J4049">
        <v>30</v>
      </c>
      <c r="K4049">
        <v>2695</v>
      </c>
      <c r="L4049">
        <v>95000</v>
      </c>
      <c r="M4049" t="s">
        <v>69</v>
      </c>
      <c r="N4049">
        <v>691</v>
      </c>
      <c r="O4049" s="2">
        <v>46171</v>
      </c>
      <c r="P4049" s="2">
        <v>46286</v>
      </c>
      <c r="R4049" t="s">
        <v>10516</v>
      </c>
      <c r="S4049" t="str">
        <f>""</f>
        <v/>
      </c>
      <c r="T4049" t="s">
        <v>41</v>
      </c>
      <c r="U4049">
        <v>3558</v>
      </c>
      <c r="V4049">
        <v>3518.86</v>
      </c>
      <c r="W4049">
        <v>3518.86</v>
      </c>
      <c r="X4049">
        <v>0</v>
      </c>
      <c r="Y4049">
        <v>0</v>
      </c>
      <c r="Z4049">
        <v>-511</v>
      </c>
      <c r="AA4049">
        <v>689186</v>
      </c>
      <c r="AD4049" t="s">
        <v>64</v>
      </c>
      <c r="AE4049" t="s">
        <v>5720</v>
      </c>
      <c r="AF4049" t="s">
        <v>64</v>
      </c>
      <c r="AG4049" s="1" t="s">
        <v>10500</v>
      </c>
      <c r="AH4049" t="s">
        <v>44</v>
      </c>
    </row>
    <row r="4050" spans="1:34" x14ac:dyDescent="0.3">
      <c r="A4050">
        <v>101</v>
      </c>
      <c r="B4050" t="s">
        <v>34</v>
      </c>
      <c r="C4050">
        <v>2</v>
      </c>
      <c r="D4050" s="1" t="s">
        <v>10517</v>
      </c>
      <c r="E4050" s="1" t="s">
        <v>36</v>
      </c>
      <c r="G4050">
        <v>451433</v>
      </c>
      <c r="H4050" t="s">
        <v>10498</v>
      </c>
      <c r="I4050" t="s">
        <v>2413</v>
      </c>
      <c r="J4050">
        <v>30</v>
      </c>
      <c r="K4050">
        <v>2695</v>
      </c>
      <c r="L4050">
        <v>95000</v>
      </c>
      <c r="M4050" t="s">
        <v>69</v>
      </c>
      <c r="N4050">
        <v>691</v>
      </c>
      <c r="O4050" s="2">
        <v>46140</v>
      </c>
      <c r="P4050" s="2">
        <v>46266</v>
      </c>
      <c r="R4050" t="s">
        <v>10518</v>
      </c>
      <c r="S4050" t="str">
        <f>""</f>
        <v/>
      </c>
      <c r="T4050" t="s">
        <v>41</v>
      </c>
      <c r="U4050">
        <v>136.76</v>
      </c>
      <c r="V4050">
        <v>135.26</v>
      </c>
      <c r="W4050">
        <v>135.26</v>
      </c>
      <c r="X4050">
        <v>0</v>
      </c>
      <c r="Y4050">
        <v>0</v>
      </c>
      <c r="Z4050">
        <v>-491</v>
      </c>
      <c r="AA4050">
        <v>686787</v>
      </c>
      <c r="AD4050" t="s">
        <v>64</v>
      </c>
      <c r="AE4050" t="s">
        <v>5720</v>
      </c>
      <c r="AF4050" t="s">
        <v>64</v>
      </c>
      <c r="AG4050" s="1" t="s">
        <v>10500</v>
      </c>
      <c r="AH4050" t="s">
        <v>44</v>
      </c>
    </row>
    <row r="4051" spans="1:34" x14ac:dyDescent="0.3">
      <c r="A4051">
        <v>101</v>
      </c>
      <c r="B4051" t="s">
        <v>34</v>
      </c>
      <c r="C4051">
        <v>2</v>
      </c>
      <c r="D4051" s="1" t="s">
        <v>10519</v>
      </c>
      <c r="E4051" s="1" t="s">
        <v>36</v>
      </c>
      <c r="G4051">
        <v>451433</v>
      </c>
      <c r="H4051" t="s">
        <v>10498</v>
      </c>
      <c r="I4051" t="s">
        <v>2413</v>
      </c>
      <c r="J4051">
        <v>30</v>
      </c>
      <c r="K4051">
        <v>2695</v>
      </c>
      <c r="L4051">
        <v>95000</v>
      </c>
      <c r="M4051" t="s">
        <v>69</v>
      </c>
      <c r="N4051">
        <v>691</v>
      </c>
      <c r="O4051" s="2">
        <v>46253</v>
      </c>
      <c r="P4051" s="2">
        <v>46343</v>
      </c>
      <c r="R4051" t="s">
        <v>10520</v>
      </c>
      <c r="S4051" t="str">
        <f>""</f>
        <v/>
      </c>
      <c r="T4051" t="s">
        <v>41</v>
      </c>
      <c r="U4051">
        <v>3538</v>
      </c>
      <c r="V4051">
        <v>3499.08</v>
      </c>
      <c r="W4051">
        <v>3499.08</v>
      </c>
      <c r="X4051">
        <v>0</v>
      </c>
      <c r="Y4051">
        <v>0</v>
      </c>
      <c r="Z4051">
        <v>-568</v>
      </c>
      <c r="AA4051">
        <v>696989</v>
      </c>
      <c r="AD4051" t="s">
        <v>64</v>
      </c>
      <c r="AE4051" t="s">
        <v>5720</v>
      </c>
      <c r="AF4051" t="s">
        <v>64</v>
      </c>
      <c r="AG4051" s="1" t="s">
        <v>10500</v>
      </c>
      <c r="AH4051" t="s">
        <v>44</v>
      </c>
    </row>
    <row r="4052" spans="1:34" x14ac:dyDescent="0.3">
      <c r="A4052">
        <v>101</v>
      </c>
      <c r="B4052" t="s">
        <v>34</v>
      </c>
      <c r="C4052">
        <v>2</v>
      </c>
      <c r="D4052" s="1" t="s">
        <v>10521</v>
      </c>
      <c r="E4052" s="1" t="s">
        <v>36</v>
      </c>
      <c r="G4052">
        <v>451447</v>
      </c>
      <c r="H4052" t="s">
        <v>10522</v>
      </c>
      <c r="I4052" t="s">
        <v>2413</v>
      </c>
      <c r="J4052">
        <v>30</v>
      </c>
      <c r="K4052">
        <v>2695</v>
      </c>
      <c r="L4052">
        <v>95000</v>
      </c>
      <c r="M4052" t="s">
        <v>69</v>
      </c>
      <c r="N4052">
        <v>691</v>
      </c>
      <c r="O4052" s="2">
        <v>46226</v>
      </c>
      <c r="P4052" s="2">
        <v>46349</v>
      </c>
      <c r="R4052" t="s">
        <v>10523</v>
      </c>
      <c r="S4052" t="str">
        <f>""</f>
        <v/>
      </c>
      <c r="T4052" t="s">
        <v>41</v>
      </c>
      <c r="U4052">
        <v>13437.96</v>
      </c>
      <c r="V4052">
        <v>13290.14</v>
      </c>
      <c r="W4052">
        <v>13290.14</v>
      </c>
      <c r="X4052">
        <v>0</v>
      </c>
      <c r="Y4052">
        <v>0</v>
      </c>
      <c r="Z4052">
        <v>-574</v>
      </c>
      <c r="AA4052">
        <v>694977</v>
      </c>
      <c r="AD4052" t="s">
        <v>5205</v>
      </c>
      <c r="AE4052" t="s">
        <v>2567</v>
      </c>
      <c r="AF4052" t="s">
        <v>5205</v>
      </c>
      <c r="AG4052" s="1" t="s">
        <v>10524</v>
      </c>
      <c r="AH4052" t="s">
        <v>44</v>
      </c>
    </row>
    <row r="4053" spans="1:34" x14ac:dyDescent="0.3">
      <c r="A4053">
        <v>101</v>
      </c>
      <c r="B4053" t="s">
        <v>34</v>
      </c>
      <c r="C4053">
        <v>2</v>
      </c>
      <c r="D4053" s="1" t="s">
        <v>10525</v>
      </c>
      <c r="E4053" s="1" t="s">
        <v>36</v>
      </c>
      <c r="G4053">
        <v>451447</v>
      </c>
      <c r="H4053" t="s">
        <v>10522</v>
      </c>
      <c r="I4053" t="s">
        <v>2413</v>
      </c>
      <c r="J4053">
        <v>30</v>
      </c>
      <c r="K4053">
        <v>2695</v>
      </c>
      <c r="L4053">
        <v>95000</v>
      </c>
      <c r="M4053" t="s">
        <v>69</v>
      </c>
      <c r="N4053">
        <v>691</v>
      </c>
      <c r="O4053" s="2">
        <v>46198</v>
      </c>
      <c r="P4053" s="2">
        <v>46308</v>
      </c>
      <c r="R4053" t="s">
        <v>10526</v>
      </c>
      <c r="S4053" t="str">
        <f>""</f>
        <v/>
      </c>
      <c r="T4053" t="s">
        <v>41</v>
      </c>
      <c r="U4053">
        <v>16111.5</v>
      </c>
      <c r="V4053">
        <v>15934.27</v>
      </c>
      <c r="W4053">
        <v>15934.27</v>
      </c>
      <c r="X4053">
        <v>0</v>
      </c>
      <c r="Y4053">
        <v>0</v>
      </c>
      <c r="Z4053">
        <v>-533</v>
      </c>
      <c r="AA4053">
        <v>692166</v>
      </c>
      <c r="AD4053" t="s">
        <v>5205</v>
      </c>
      <c r="AE4053" t="s">
        <v>2567</v>
      </c>
      <c r="AF4053" t="s">
        <v>5205</v>
      </c>
      <c r="AG4053" s="1" t="s">
        <v>10524</v>
      </c>
      <c r="AH4053" t="s">
        <v>44</v>
      </c>
    </row>
    <row r="4054" spans="1:34" x14ac:dyDescent="0.3">
      <c r="A4054">
        <v>101</v>
      </c>
      <c r="B4054" t="s">
        <v>34</v>
      </c>
      <c r="C4054">
        <v>2</v>
      </c>
      <c r="D4054" s="1" t="s">
        <v>10527</v>
      </c>
      <c r="E4054" s="1" t="s">
        <v>36</v>
      </c>
      <c r="G4054">
        <v>451447</v>
      </c>
      <c r="H4054" t="s">
        <v>10522</v>
      </c>
      <c r="I4054" t="s">
        <v>2413</v>
      </c>
      <c r="J4054">
        <v>30</v>
      </c>
      <c r="K4054">
        <v>2695</v>
      </c>
      <c r="L4054">
        <v>95000</v>
      </c>
      <c r="M4054" t="s">
        <v>69</v>
      </c>
      <c r="N4054">
        <v>691</v>
      </c>
      <c r="O4054" s="2">
        <v>46170</v>
      </c>
      <c r="P4054" s="2">
        <v>46296</v>
      </c>
      <c r="R4054" t="s">
        <v>10528</v>
      </c>
      <c r="S4054" t="str">
        <f>""</f>
        <v/>
      </c>
      <c r="T4054" t="s">
        <v>41</v>
      </c>
      <c r="U4054">
        <v>12034.15</v>
      </c>
      <c r="V4054">
        <v>11901.77</v>
      </c>
      <c r="W4054">
        <v>11901.77</v>
      </c>
      <c r="X4054">
        <v>0</v>
      </c>
      <c r="Y4054">
        <v>0</v>
      </c>
      <c r="Z4054">
        <v>-521</v>
      </c>
      <c r="AA4054">
        <v>689204</v>
      </c>
      <c r="AD4054" t="s">
        <v>5205</v>
      </c>
      <c r="AE4054" t="s">
        <v>2567</v>
      </c>
      <c r="AF4054" t="s">
        <v>5205</v>
      </c>
      <c r="AG4054" s="1" t="s">
        <v>10524</v>
      </c>
      <c r="AH4054" t="s">
        <v>44</v>
      </c>
    </row>
    <row r="4055" spans="1:34" x14ac:dyDescent="0.3">
      <c r="A4055">
        <v>101</v>
      </c>
      <c r="B4055" t="s">
        <v>34</v>
      </c>
      <c r="C4055">
        <v>2</v>
      </c>
      <c r="D4055" s="1" t="s">
        <v>10529</v>
      </c>
      <c r="E4055" s="1" t="s">
        <v>36</v>
      </c>
      <c r="G4055">
        <v>451447</v>
      </c>
      <c r="H4055" t="s">
        <v>10522</v>
      </c>
      <c r="I4055" t="s">
        <v>2413</v>
      </c>
      <c r="J4055">
        <v>30</v>
      </c>
      <c r="K4055">
        <v>2695</v>
      </c>
      <c r="L4055">
        <v>95000</v>
      </c>
      <c r="M4055" t="s">
        <v>69</v>
      </c>
      <c r="N4055">
        <v>691</v>
      </c>
      <c r="O4055" s="2">
        <v>46185</v>
      </c>
      <c r="P4055" s="2">
        <v>46296</v>
      </c>
      <c r="R4055" t="s">
        <v>10530</v>
      </c>
      <c r="S4055" t="str">
        <f>""</f>
        <v/>
      </c>
      <c r="T4055" t="s">
        <v>41</v>
      </c>
      <c r="U4055">
        <v>2134.8000000000002</v>
      </c>
      <c r="V4055">
        <v>2111.3200000000002</v>
      </c>
      <c r="W4055">
        <v>2111.3200000000002</v>
      </c>
      <c r="X4055">
        <v>0</v>
      </c>
      <c r="Y4055">
        <v>0</v>
      </c>
      <c r="Z4055">
        <v>-521</v>
      </c>
      <c r="AA4055">
        <v>689204</v>
      </c>
      <c r="AD4055" t="s">
        <v>5205</v>
      </c>
      <c r="AE4055" t="s">
        <v>2567</v>
      </c>
      <c r="AF4055" t="s">
        <v>5205</v>
      </c>
      <c r="AG4055" s="1" t="s">
        <v>10524</v>
      </c>
      <c r="AH4055" t="s">
        <v>44</v>
      </c>
    </row>
    <row r="4056" spans="1:34" x14ac:dyDescent="0.3">
      <c r="A4056">
        <v>101</v>
      </c>
      <c r="B4056" t="s">
        <v>34</v>
      </c>
      <c r="C4056">
        <v>2</v>
      </c>
      <c r="D4056" s="1" t="s">
        <v>10531</v>
      </c>
      <c r="E4056" s="1" t="s">
        <v>36</v>
      </c>
      <c r="G4056">
        <v>451447</v>
      </c>
      <c r="H4056" t="s">
        <v>10522</v>
      </c>
      <c r="I4056" t="s">
        <v>2413</v>
      </c>
      <c r="J4056">
        <v>30</v>
      </c>
      <c r="K4056">
        <v>2695</v>
      </c>
      <c r="L4056">
        <v>95000</v>
      </c>
      <c r="M4056" t="s">
        <v>69</v>
      </c>
      <c r="N4056">
        <v>691</v>
      </c>
      <c r="O4056" s="2">
        <v>46141</v>
      </c>
      <c r="P4056" s="2">
        <v>46255</v>
      </c>
      <c r="R4056" t="s">
        <v>10532</v>
      </c>
      <c r="S4056" t="str">
        <f>""</f>
        <v/>
      </c>
      <c r="T4056" t="s">
        <v>41</v>
      </c>
      <c r="U4056">
        <v>8362.7099999999991</v>
      </c>
      <c r="V4056">
        <v>8270.7199999999993</v>
      </c>
      <c r="W4056">
        <v>8270.7199999999993</v>
      </c>
      <c r="X4056">
        <v>0</v>
      </c>
      <c r="Y4056">
        <v>0</v>
      </c>
      <c r="Z4056">
        <v>-480</v>
      </c>
      <c r="AA4056">
        <v>686602</v>
      </c>
      <c r="AD4056" t="s">
        <v>5205</v>
      </c>
      <c r="AE4056" t="s">
        <v>2567</v>
      </c>
      <c r="AF4056" t="s">
        <v>5205</v>
      </c>
      <c r="AG4056" s="1" t="s">
        <v>10524</v>
      </c>
      <c r="AH4056" t="s">
        <v>44</v>
      </c>
    </row>
    <row r="4057" spans="1:34" x14ac:dyDescent="0.3">
      <c r="A4057">
        <v>101</v>
      </c>
      <c r="B4057" t="s">
        <v>34</v>
      </c>
      <c r="C4057">
        <v>2</v>
      </c>
      <c r="D4057" s="1" t="s">
        <v>10533</v>
      </c>
      <c r="E4057" s="1" t="s">
        <v>36</v>
      </c>
      <c r="G4057">
        <v>451447</v>
      </c>
      <c r="H4057" t="s">
        <v>10522</v>
      </c>
      <c r="I4057" t="s">
        <v>2413</v>
      </c>
      <c r="J4057">
        <v>30</v>
      </c>
      <c r="K4057">
        <v>2695</v>
      </c>
      <c r="L4057">
        <v>95000</v>
      </c>
      <c r="M4057" t="s">
        <v>69</v>
      </c>
      <c r="N4057">
        <v>691</v>
      </c>
      <c r="O4057" s="2">
        <v>46198</v>
      </c>
      <c r="P4057" s="2">
        <v>46308</v>
      </c>
      <c r="R4057" t="s">
        <v>10534</v>
      </c>
      <c r="S4057" t="str">
        <f>""</f>
        <v/>
      </c>
      <c r="T4057" t="s">
        <v>41</v>
      </c>
      <c r="U4057">
        <v>2653.5</v>
      </c>
      <c r="V4057">
        <v>2624.31</v>
      </c>
      <c r="W4057">
        <v>2624.31</v>
      </c>
      <c r="X4057">
        <v>0</v>
      </c>
      <c r="Y4057">
        <v>0</v>
      </c>
      <c r="Z4057">
        <v>-533</v>
      </c>
      <c r="AA4057">
        <v>692546</v>
      </c>
      <c r="AD4057" t="s">
        <v>5205</v>
      </c>
      <c r="AE4057" t="s">
        <v>2567</v>
      </c>
      <c r="AF4057" t="s">
        <v>5205</v>
      </c>
      <c r="AG4057" s="1" t="s">
        <v>10524</v>
      </c>
      <c r="AH4057" t="s">
        <v>44</v>
      </c>
    </row>
    <row r="4058" spans="1:34" x14ac:dyDescent="0.3">
      <c r="A4058">
        <v>101</v>
      </c>
      <c r="B4058" t="s">
        <v>34</v>
      </c>
      <c r="C4058">
        <v>2</v>
      </c>
      <c r="D4058" s="1" t="s">
        <v>10535</v>
      </c>
      <c r="E4058" s="1" t="s">
        <v>36</v>
      </c>
      <c r="G4058">
        <v>451447</v>
      </c>
      <c r="H4058" t="s">
        <v>10522</v>
      </c>
      <c r="I4058" t="s">
        <v>2413</v>
      </c>
      <c r="J4058">
        <v>30</v>
      </c>
      <c r="K4058">
        <v>2695</v>
      </c>
      <c r="L4058">
        <v>95000</v>
      </c>
      <c r="M4058" t="s">
        <v>69</v>
      </c>
      <c r="N4058">
        <v>691</v>
      </c>
      <c r="O4058" s="2">
        <v>46141</v>
      </c>
      <c r="P4058" s="2">
        <v>46255</v>
      </c>
      <c r="R4058" t="s">
        <v>10536</v>
      </c>
      <c r="S4058" t="str">
        <f>""</f>
        <v/>
      </c>
      <c r="T4058" t="s">
        <v>41</v>
      </c>
      <c r="U4058">
        <v>4324.42</v>
      </c>
      <c r="V4058">
        <v>4276.8500000000004</v>
      </c>
      <c r="W4058">
        <v>4276.8500000000004</v>
      </c>
      <c r="X4058">
        <v>0</v>
      </c>
      <c r="Y4058">
        <v>0</v>
      </c>
      <c r="Z4058">
        <v>-480</v>
      </c>
      <c r="AA4058">
        <v>686900</v>
      </c>
      <c r="AD4058" t="s">
        <v>5205</v>
      </c>
      <c r="AE4058" t="s">
        <v>2567</v>
      </c>
      <c r="AF4058" t="s">
        <v>5205</v>
      </c>
      <c r="AG4058" s="1" t="s">
        <v>10524</v>
      </c>
      <c r="AH4058" t="s">
        <v>44</v>
      </c>
    </row>
    <row r="4059" spans="1:34" x14ac:dyDescent="0.3">
      <c r="A4059">
        <v>101</v>
      </c>
      <c r="B4059" t="s">
        <v>34</v>
      </c>
      <c r="C4059">
        <v>2</v>
      </c>
      <c r="D4059" s="1" t="s">
        <v>10537</v>
      </c>
      <c r="E4059" s="1" t="s">
        <v>36</v>
      </c>
      <c r="G4059">
        <v>451447</v>
      </c>
      <c r="H4059" t="s">
        <v>10522</v>
      </c>
      <c r="I4059" t="s">
        <v>2413</v>
      </c>
      <c r="J4059">
        <v>30</v>
      </c>
      <c r="K4059">
        <v>2695</v>
      </c>
      <c r="L4059">
        <v>95000</v>
      </c>
      <c r="M4059" t="s">
        <v>69</v>
      </c>
      <c r="N4059">
        <v>691</v>
      </c>
      <c r="O4059" s="2">
        <v>46253</v>
      </c>
      <c r="P4059" s="2">
        <v>46343</v>
      </c>
      <c r="R4059" t="s">
        <v>10538</v>
      </c>
      <c r="S4059" t="str">
        <f>""</f>
        <v/>
      </c>
      <c r="T4059" t="s">
        <v>41</v>
      </c>
      <c r="U4059">
        <v>6191.5</v>
      </c>
      <c r="V4059">
        <v>6123.39</v>
      </c>
      <c r="W4059">
        <v>6123.39</v>
      </c>
      <c r="X4059">
        <v>0</v>
      </c>
      <c r="Y4059">
        <v>0</v>
      </c>
      <c r="Z4059">
        <v>-568</v>
      </c>
      <c r="AA4059">
        <v>697001</v>
      </c>
      <c r="AD4059" t="s">
        <v>5205</v>
      </c>
      <c r="AE4059" t="s">
        <v>2567</v>
      </c>
      <c r="AF4059" t="s">
        <v>5205</v>
      </c>
      <c r="AG4059" s="1" t="s">
        <v>10524</v>
      </c>
      <c r="AH4059" t="s">
        <v>44</v>
      </c>
    </row>
    <row r="4060" spans="1:34" x14ac:dyDescent="0.3">
      <c r="A4060">
        <v>101</v>
      </c>
      <c r="B4060" t="s">
        <v>34</v>
      </c>
      <c r="C4060">
        <v>2</v>
      </c>
      <c r="D4060" s="1" t="s">
        <v>10539</v>
      </c>
      <c r="E4060" s="1" t="s">
        <v>36</v>
      </c>
      <c r="G4060">
        <v>451447</v>
      </c>
      <c r="H4060" t="s">
        <v>10522</v>
      </c>
      <c r="I4060" t="s">
        <v>2413</v>
      </c>
      <c r="J4060">
        <v>30</v>
      </c>
      <c r="K4060">
        <v>2695</v>
      </c>
      <c r="L4060">
        <v>95000</v>
      </c>
      <c r="M4060" t="s">
        <v>69</v>
      </c>
      <c r="N4060">
        <v>691</v>
      </c>
      <c r="O4060" s="2">
        <v>46239</v>
      </c>
      <c r="P4060" s="2">
        <v>46349</v>
      </c>
      <c r="R4060" t="s">
        <v>10540</v>
      </c>
      <c r="S4060" t="str">
        <f>""</f>
        <v/>
      </c>
      <c r="T4060" t="s">
        <v>41</v>
      </c>
      <c r="U4060">
        <v>3117.72</v>
      </c>
      <c r="V4060">
        <v>3083.43</v>
      </c>
      <c r="W4060">
        <v>3083.43</v>
      </c>
      <c r="X4060">
        <v>0</v>
      </c>
      <c r="Y4060">
        <v>0</v>
      </c>
      <c r="Z4060">
        <v>-574</v>
      </c>
      <c r="AA4060">
        <v>696225</v>
      </c>
      <c r="AD4060" t="s">
        <v>5205</v>
      </c>
      <c r="AE4060" t="s">
        <v>2567</v>
      </c>
      <c r="AF4060" t="s">
        <v>5205</v>
      </c>
      <c r="AG4060" s="1" t="s">
        <v>10524</v>
      </c>
      <c r="AH4060" t="s">
        <v>44</v>
      </c>
    </row>
    <row r="4061" spans="1:34" x14ac:dyDescent="0.3">
      <c r="A4061">
        <v>101</v>
      </c>
      <c r="B4061" t="s">
        <v>34</v>
      </c>
      <c r="C4061">
        <v>2</v>
      </c>
      <c r="D4061" s="1" t="s">
        <v>10541</v>
      </c>
      <c r="E4061" s="1" t="s">
        <v>36</v>
      </c>
      <c r="G4061">
        <v>451684</v>
      </c>
      <c r="H4061" t="s">
        <v>10542</v>
      </c>
      <c r="I4061" t="s">
        <v>2413</v>
      </c>
      <c r="J4061">
        <v>30</v>
      </c>
      <c r="K4061">
        <v>2695</v>
      </c>
      <c r="L4061">
        <v>95000</v>
      </c>
      <c r="M4061" t="s">
        <v>69</v>
      </c>
      <c r="N4061">
        <v>691</v>
      </c>
      <c r="O4061" s="2">
        <v>46199</v>
      </c>
      <c r="P4061" s="2">
        <v>46308</v>
      </c>
      <c r="R4061" t="s">
        <v>10543</v>
      </c>
      <c r="S4061" t="str">
        <f>""</f>
        <v/>
      </c>
      <c r="T4061" t="s">
        <v>41</v>
      </c>
      <c r="U4061">
        <v>3305.31</v>
      </c>
      <c r="V4061">
        <v>3268.95</v>
      </c>
      <c r="W4061">
        <v>3268.95</v>
      </c>
      <c r="X4061">
        <v>0</v>
      </c>
      <c r="Y4061">
        <v>0</v>
      </c>
      <c r="Z4061">
        <v>-533</v>
      </c>
      <c r="AA4061">
        <v>692805</v>
      </c>
      <c r="AD4061" t="s">
        <v>3341</v>
      </c>
      <c r="AE4061" t="s">
        <v>2567</v>
      </c>
      <c r="AF4061" t="s">
        <v>3341</v>
      </c>
      <c r="AG4061" s="1" t="s">
        <v>10544</v>
      </c>
      <c r="AH4061" t="s">
        <v>44</v>
      </c>
    </row>
    <row r="4062" spans="1:34" x14ac:dyDescent="0.3">
      <c r="A4062">
        <v>101</v>
      </c>
      <c r="B4062" t="s">
        <v>34</v>
      </c>
      <c r="C4062">
        <v>2</v>
      </c>
      <c r="D4062" s="1" t="s">
        <v>10545</v>
      </c>
      <c r="E4062" s="1" t="s">
        <v>36</v>
      </c>
      <c r="G4062">
        <v>451684</v>
      </c>
      <c r="H4062" t="s">
        <v>10542</v>
      </c>
      <c r="I4062" t="s">
        <v>2413</v>
      </c>
      <c r="J4062">
        <v>30</v>
      </c>
      <c r="K4062">
        <v>2695</v>
      </c>
      <c r="L4062">
        <v>95000</v>
      </c>
      <c r="M4062" t="s">
        <v>69</v>
      </c>
      <c r="N4062">
        <v>691</v>
      </c>
      <c r="O4062" s="2">
        <v>46140</v>
      </c>
      <c r="P4062" s="2">
        <v>46255</v>
      </c>
      <c r="R4062" t="s">
        <v>10546</v>
      </c>
      <c r="S4062" t="str">
        <f>""</f>
        <v/>
      </c>
      <c r="T4062" t="s">
        <v>41</v>
      </c>
      <c r="U4062">
        <v>8848.7199999999993</v>
      </c>
      <c r="V4062">
        <v>8751.3799999999992</v>
      </c>
      <c r="W4062">
        <v>8751.3799999999992</v>
      </c>
      <c r="X4062">
        <v>0</v>
      </c>
      <c r="Y4062">
        <v>0</v>
      </c>
      <c r="Z4062">
        <v>-480</v>
      </c>
      <c r="AA4062">
        <v>686582</v>
      </c>
      <c r="AD4062" t="s">
        <v>3341</v>
      </c>
      <c r="AE4062" t="s">
        <v>2567</v>
      </c>
      <c r="AF4062" t="s">
        <v>3341</v>
      </c>
      <c r="AG4062" s="1" t="s">
        <v>10544</v>
      </c>
      <c r="AH4062" t="s">
        <v>44</v>
      </c>
    </row>
    <row r="4063" spans="1:34" x14ac:dyDescent="0.3">
      <c r="A4063">
        <v>101</v>
      </c>
      <c r="B4063" t="s">
        <v>34</v>
      </c>
      <c r="C4063">
        <v>2</v>
      </c>
      <c r="D4063" s="1" t="s">
        <v>10547</v>
      </c>
      <c r="E4063" s="1" t="s">
        <v>36</v>
      </c>
      <c r="G4063">
        <v>451684</v>
      </c>
      <c r="H4063" t="s">
        <v>10542</v>
      </c>
      <c r="I4063" t="s">
        <v>2413</v>
      </c>
      <c r="J4063">
        <v>30</v>
      </c>
      <c r="K4063">
        <v>2695</v>
      </c>
      <c r="L4063">
        <v>95000</v>
      </c>
      <c r="M4063" t="s">
        <v>69</v>
      </c>
      <c r="N4063">
        <v>691</v>
      </c>
      <c r="O4063" s="2">
        <v>46253</v>
      </c>
      <c r="P4063" s="2">
        <v>46343</v>
      </c>
      <c r="R4063" t="s">
        <v>10548</v>
      </c>
      <c r="S4063" t="str">
        <f>""</f>
        <v/>
      </c>
      <c r="T4063" t="s">
        <v>41</v>
      </c>
      <c r="U4063">
        <v>3538</v>
      </c>
      <c r="V4063">
        <v>3499.08</v>
      </c>
      <c r="W4063">
        <v>3499.08</v>
      </c>
      <c r="X4063">
        <v>0</v>
      </c>
      <c r="Y4063">
        <v>0</v>
      </c>
      <c r="Z4063">
        <v>-568</v>
      </c>
      <c r="AA4063">
        <v>696987</v>
      </c>
      <c r="AD4063" t="s">
        <v>3341</v>
      </c>
      <c r="AE4063" t="s">
        <v>2567</v>
      </c>
      <c r="AF4063" t="s">
        <v>3341</v>
      </c>
      <c r="AG4063" s="1" t="s">
        <v>10544</v>
      </c>
      <c r="AH4063" t="s">
        <v>44</v>
      </c>
    </row>
    <row r="4064" spans="1:34" x14ac:dyDescent="0.3">
      <c r="A4064">
        <v>101</v>
      </c>
      <c r="B4064" t="s">
        <v>34</v>
      </c>
      <c r="C4064">
        <v>2</v>
      </c>
      <c r="D4064" s="1" t="s">
        <v>10549</v>
      </c>
      <c r="E4064" s="1" t="s">
        <v>36</v>
      </c>
      <c r="G4064">
        <v>451684</v>
      </c>
      <c r="H4064" t="s">
        <v>10542</v>
      </c>
      <c r="I4064" t="s">
        <v>2413</v>
      </c>
      <c r="J4064">
        <v>30</v>
      </c>
      <c r="K4064">
        <v>2695</v>
      </c>
      <c r="L4064">
        <v>95000</v>
      </c>
      <c r="M4064" t="s">
        <v>69</v>
      </c>
      <c r="N4064">
        <v>691</v>
      </c>
      <c r="O4064" s="2">
        <v>46239</v>
      </c>
      <c r="P4064" s="2">
        <v>46329</v>
      </c>
      <c r="R4064" t="s">
        <v>10550</v>
      </c>
      <c r="S4064" t="str">
        <f>""</f>
        <v/>
      </c>
      <c r="T4064" t="s">
        <v>41</v>
      </c>
      <c r="U4064">
        <v>4412.82</v>
      </c>
      <c r="V4064">
        <v>4364.28</v>
      </c>
      <c r="W4064">
        <v>4364.28</v>
      </c>
      <c r="X4064">
        <v>0</v>
      </c>
      <c r="Y4064">
        <v>0</v>
      </c>
      <c r="Z4064">
        <v>-554</v>
      </c>
      <c r="AA4064">
        <v>696205</v>
      </c>
      <c r="AD4064" t="s">
        <v>3341</v>
      </c>
      <c r="AE4064" t="s">
        <v>2567</v>
      </c>
      <c r="AF4064" t="s">
        <v>3341</v>
      </c>
      <c r="AG4064" s="1" t="s">
        <v>10544</v>
      </c>
      <c r="AH4064" t="s">
        <v>44</v>
      </c>
    </row>
    <row r="4065" spans="1:34" x14ac:dyDescent="0.3">
      <c r="A4065">
        <v>101</v>
      </c>
      <c r="B4065" t="s">
        <v>34</v>
      </c>
      <c r="C4065">
        <v>2</v>
      </c>
      <c r="D4065" s="1" t="s">
        <v>10551</v>
      </c>
      <c r="E4065" s="1" t="s">
        <v>36</v>
      </c>
      <c r="G4065">
        <v>451684</v>
      </c>
      <c r="H4065" t="s">
        <v>10542</v>
      </c>
      <c r="I4065" t="s">
        <v>2413</v>
      </c>
      <c r="J4065">
        <v>30</v>
      </c>
      <c r="K4065">
        <v>2695</v>
      </c>
      <c r="L4065">
        <v>95000</v>
      </c>
      <c r="M4065" t="s">
        <v>69</v>
      </c>
      <c r="N4065">
        <v>691</v>
      </c>
      <c r="O4065" s="2">
        <v>46197</v>
      </c>
      <c r="P4065" s="2">
        <v>46308</v>
      </c>
      <c r="R4065" t="s">
        <v>10552</v>
      </c>
      <c r="S4065" t="str">
        <f>""</f>
        <v/>
      </c>
      <c r="T4065" t="s">
        <v>41</v>
      </c>
      <c r="U4065">
        <v>8488.69</v>
      </c>
      <c r="V4065">
        <v>8395.31</v>
      </c>
      <c r="W4065">
        <v>8395.31</v>
      </c>
      <c r="X4065">
        <v>0</v>
      </c>
      <c r="Y4065">
        <v>0</v>
      </c>
      <c r="Z4065">
        <v>-533</v>
      </c>
      <c r="AA4065">
        <v>692146</v>
      </c>
      <c r="AD4065" t="s">
        <v>3341</v>
      </c>
      <c r="AE4065" t="s">
        <v>2567</v>
      </c>
      <c r="AF4065" t="s">
        <v>3341</v>
      </c>
      <c r="AG4065" s="1" t="s">
        <v>10544</v>
      </c>
      <c r="AH4065" t="s">
        <v>44</v>
      </c>
    </row>
    <row r="4066" spans="1:34" x14ac:dyDescent="0.3">
      <c r="A4066">
        <v>101</v>
      </c>
      <c r="B4066" t="s">
        <v>34</v>
      </c>
      <c r="C4066">
        <v>2</v>
      </c>
      <c r="D4066" s="1" t="s">
        <v>10553</v>
      </c>
      <c r="E4066" s="1" t="s">
        <v>36</v>
      </c>
      <c r="G4066">
        <v>451684</v>
      </c>
      <c r="H4066" t="s">
        <v>10542</v>
      </c>
      <c r="I4066" t="s">
        <v>2413</v>
      </c>
      <c r="J4066">
        <v>30</v>
      </c>
      <c r="K4066">
        <v>2695</v>
      </c>
      <c r="L4066">
        <v>95000</v>
      </c>
      <c r="M4066" t="s">
        <v>69</v>
      </c>
      <c r="N4066">
        <v>691</v>
      </c>
      <c r="O4066" s="2">
        <v>46170</v>
      </c>
      <c r="P4066" s="2">
        <v>46286</v>
      </c>
      <c r="R4066" t="s">
        <v>10554</v>
      </c>
      <c r="S4066" t="str">
        <f>""</f>
        <v/>
      </c>
      <c r="T4066" t="s">
        <v>41</v>
      </c>
      <c r="U4066">
        <v>25536.91</v>
      </c>
      <c r="V4066">
        <v>25256</v>
      </c>
      <c r="W4066">
        <v>25256</v>
      </c>
      <c r="X4066">
        <v>0</v>
      </c>
      <c r="Y4066">
        <v>0</v>
      </c>
      <c r="Z4066">
        <v>-511</v>
      </c>
      <c r="AA4066">
        <v>689184</v>
      </c>
      <c r="AD4066" t="s">
        <v>3341</v>
      </c>
      <c r="AE4066" t="s">
        <v>2567</v>
      </c>
      <c r="AF4066" t="s">
        <v>3341</v>
      </c>
      <c r="AG4066" s="1" t="s">
        <v>10544</v>
      </c>
      <c r="AH4066" t="s">
        <v>44</v>
      </c>
    </row>
    <row r="4067" spans="1:34" x14ac:dyDescent="0.3">
      <c r="A4067">
        <v>101</v>
      </c>
      <c r="B4067" t="s">
        <v>34</v>
      </c>
      <c r="C4067">
        <v>2</v>
      </c>
      <c r="D4067" s="1" t="s">
        <v>10555</v>
      </c>
      <c r="E4067" s="1" t="s">
        <v>36</v>
      </c>
      <c r="G4067">
        <v>451684</v>
      </c>
      <c r="H4067" t="s">
        <v>10542</v>
      </c>
      <c r="I4067" t="s">
        <v>2413</v>
      </c>
      <c r="J4067">
        <v>30</v>
      </c>
      <c r="K4067">
        <v>2695</v>
      </c>
      <c r="L4067">
        <v>95000</v>
      </c>
      <c r="M4067" t="s">
        <v>69</v>
      </c>
      <c r="N4067">
        <v>691</v>
      </c>
      <c r="O4067" s="2">
        <v>46199</v>
      </c>
      <c r="P4067" s="2">
        <v>46308</v>
      </c>
      <c r="R4067" t="s">
        <v>10556</v>
      </c>
      <c r="S4067" t="str">
        <f>""</f>
        <v/>
      </c>
      <c r="T4067" t="s">
        <v>41</v>
      </c>
      <c r="U4067">
        <v>2653.5</v>
      </c>
      <c r="V4067">
        <v>2624.31</v>
      </c>
      <c r="W4067">
        <v>2624.31</v>
      </c>
      <c r="X4067">
        <v>0</v>
      </c>
      <c r="Y4067">
        <v>0</v>
      </c>
      <c r="Z4067">
        <v>-533</v>
      </c>
      <c r="AA4067">
        <v>692528</v>
      </c>
      <c r="AD4067" t="s">
        <v>3341</v>
      </c>
      <c r="AE4067" t="s">
        <v>2567</v>
      </c>
      <c r="AF4067" t="s">
        <v>3341</v>
      </c>
      <c r="AG4067" s="1" t="s">
        <v>10544</v>
      </c>
      <c r="AH4067" t="s">
        <v>44</v>
      </c>
    </row>
    <row r="4068" spans="1:34" x14ac:dyDescent="0.3">
      <c r="A4068">
        <v>101</v>
      </c>
      <c r="B4068" t="s">
        <v>34</v>
      </c>
      <c r="C4068">
        <v>2</v>
      </c>
      <c r="D4068" s="1" t="s">
        <v>10557</v>
      </c>
      <c r="E4068" s="1" t="s">
        <v>36</v>
      </c>
      <c r="G4068">
        <v>451684</v>
      </c>
      <c r="H4068" t="s">
        <v>10542</v>
      </c>
      <c r="I4068" t="s">
        <v>2413</v>
      </c>
      <c r="J4068">
        <v>30</v>
      </c>
      <c r="K4068">
        <v>2695</v>
      </c>
      <c r="L4068">
        <v>95000</v>
      </c>
      <c r="M4068" t="s">
        <v>69</v>
      </c>
      <c r="N4068">
        <v>691</v>
      </c>
      <c r="O4068" s="2">
        <v>46170</v>
      </c>
      <c r="P4068" s="2">
        <v>46286</v>
      </c>
      <c r="R4068" t="s">
        <v>10558</v>
      </c>
      <c r="S4068" t="str">
        <f>""</f>
        <v/>
      </c>
      <c r="T4068" t="s">
        <v>41</v>
      </c>
      <c r="U4068">
        <v>2155.64</v>
      </c>
      <c r="V4068">
        <v>2131.9299999999998</v>
      </c>
      <c r="W4068">
        <v>2131.9299999999998</v>
      </c>
      <c r="X4068">
        <v>0</v>
      </c>
      <c r="Y4068">
        <v>0</v>
      </c>
      <c r="Z4068">
        <v>-511</v>
      </c>
      <c r="AA4068">
        <v>689465</v>
      </c>
      <c r="AD4068" t="s">
        <v>3341</v>
      </c>
      <c r="AE4068" t="s">
        <v>2567</v>
      </c>
      <c r="AF4068" t="s">
        <v>3341</v>
      </c>
      <c r="AG4068" s="1" t="s">
        <v>10544</v>
      </c>
      <c r="AH4068" t="s">
        <v>44</v>
      </c>
    </row>
    <row r="4069" spans="1:34" x14ac:dyDescent="0.3">
      <c r="A4069">
        <v>101</v>
      </c>
      <c r="B4069" t="s">
        <v>34</v>
      </c>
      <c r="C4069">
        <v>2</v>
      </c>
      <c r="D4069" s="1" t="s">
        <v>10559</v>
      </c>
      <c r="E4069" s="1" t="s">
        <v>36</v>
      </c>
      <c r="G4069">
        <v>451684</v>
      </c>
      <c r="H4069" t="s">
        <v>10542</v>
      </c>
      <c r="I4069" t="s">
        <v>2413</v>
      </c>
      <c r="J4069">
        <v>30</v>
      </c>
      <c r="K4069">
        <v>2695</v>
      </c>
      <c r="L4069">
        <v>95000</v>
      </c>
      <c r="M4069" t="s">
        <v>69</v>
      </c>
      <c r="N4069">
        <v>691</v>
      </c>
      <c r="O4069" s="2">
        <v>46171</v>
      </c>
      <c r="P4069" s="2">
        <v>46286</v>
      </c>
      <c r="R4069" t="s">
        <v>10560</v>
      </c>
      <c r="S4069" t="str">
        <f>""</f>
        <v/>
      </c>
      <c r="T4069" t="s">
        <v>41</v>
      </c>
      <c r="U4069">
        <v>2846.4</v>
      </c>
      <c r="V4069">
        <v>2815.09</v>
      </c>
      <c r="W4069">
        <v>2815.09</v>
      </c>
      <c r="X4069">
        <v>0</v>
      </c>
      <c r="Y4069">
        <v>0</v>
      </c>
      <c r="Z4069">
        <v>-511</v>
      </c>
      <c r="AA4069">
        <v>689184</v>
      </c>
      <c r="AD4069" t="s">
        <v>3341</v>
      </c>
      <c r="AE4069" t="s">
        <v>2567</v>
      </c>
      <c r="AF4069" t="s">
        <v>3341</v>
      </c>
      <c r="AG4069" s="1" t="s">
        <v>10544</v>
      </c>
      <c r="AH4069" t="s">
        <v>44</v>
      </c>
    </row>
    <row r="4070" spans="1:34" x14ac:dyDescent="0.3">
      <c r="A4070">
        <v>101</v>
      </c>
      <c r="B4070" t="s">
        <v>34</v>
      </c>
      <c r="C4070">
        <v>2</v>
      </c>
      <c r="D4070" s="1" t="s">
        <v>10561</v>
      </c>
      <c r="E4070" s="1" t="s">
        <v>36</v>
      </c>
      <c r="G4070">
        <v>451684</v>
      </c>
      <c r="H4070" t="s">
        <v>10542</v>
      </c>
      <c r="I4070" t="s">
        <v>2413</v>
      </c>
      <c r="J4070">
        <v>30</v>
      </c>
      <c r="K4070">
        <v>2695</v>
      </c>
      <c r="L4070">
        <v>95000</v>
      </c>
      <c r="M4070" t="s">
        <v>69</v>
      </c>
      <c r="N4070">
        <v>691</v>
      </c>
      <c r="O4070" s="2">
        <v>46140</v>
      </c>
      <c r="P4070" s="2">
        <v>46255</v>
      </c>
      <c r="R4070" t="s">
        <v>10562</v>
      </c>
      <c r="S4070" t="str">
        <f>""</f>
        <v/>
      </c>
      <c r="T4070" t="s">
        <v>41</v>
      </c>
      <c r="U4070">
        <v>4324.42</v>
      </c>
      <c r="V4070">
        <v>4276.8500000000004</v>
      </c>
      <c r="W4070">
        <v>4276.8500000000004</v>
      </c>
      <c r="X4070">
        <v>0</v>
      </c>
      <c r="Y4070">
        <v>0</v>
      </c>
      <c r="Z4070">
        <v>-480</v>
      </c>
      <c r="AA4070">
        <v>686886</v>
      </c>
      <c r="AD4070" t="s">
        <v>3341</v>
      </c>
      <c r="AE4070" t="s">
        <v>2567</v>
      </c>
      <c r="AF4070" t="s">
        <v>3341</v>
      </c>
      <c r="AG4070" s="1" t="s">
        <v>10544</v>
      </c>
      <c r="AH4070" t="s">
        <v>44</v>
      </c>
    </row>
    <row r="4071" spans="1:34" x14ac:dyDescent="0.3">
      <c r="A4071">
        <v>101</v>
      </c>
      <c r="B4071" t="s">
        <v>34</v>
      </c>
      <c r="C4071">
        <v>2</v>
      </c>
      <c r="D4071" s="1" t="s">
        <v>10563</v>
      </c>
      <c r="E4071" s="1" t="s">
        <v>36</v>
      </c>
      <c r="G4071">
        <v>451684</v>
      </c>
      <c r="H4071" t="s">
        <v>10542</v>
      </c>
      <c r="I4071" t="s">
        <v>2413</v>
      </c>
      <c r="J4071">
        <v>30</v>
      </c>
      <c r="K4071">
        <v>2695</v>
      </c>
      <c r="L4071">
        <v>95000</v>
      </c>
      <c r="M4071" t="s">
        <v>69</v>
      </c>
      <c r="N4071">
        <v>691</v>
      </c>
      <c r="O4071" s="2">
        <v>46226</v>
      </c>
      <c r="P4071" s="2">
        <v>46316</v>
      </c>
      <c r="R4071" t="s">
        <v>10564</v>
      </c>
      <c r="S4071" t="str">
        <f>""</f>
        <v/>
      </c>
      <c r="T4071" t="s">
        <v>41</v>
      </c>
      <c r="U4071">
        <v>11966.4</v>
      </c>
      <c r="V4071">
        <v>11834.77</v>
      </c>
      <c r="W4071">
        <v>11834.77</v>
      </c>
      <c r="X4071">
        <v>0</v>
      </c>
      <c r="Y4071">
        <v>0</v>
      </c>
      <c r="Z4071">
        <v>-541</v>
      </c>
      <c r="AA4071">
        <v>694941</v>
      </c>
      <c r="AD4071" t="s">
        <v>3341</v>
      </c>
      <c r="AE4071" t="s">
        <v>2567</v>
      </c>
      <c r="AF4071" t="s">
        <v>3341</v>
      </c>
      <c r="AG4071" s="1" t="s">
        <v>10544</v>
      </c>
      <c r="AH4071" t="s">
        <v>44</v>
      </c>
    </row>
    <row r="4072" spans="1:34" x14ac:dyDescent="0.3">
      <c r="A4072">
        <v>101</v>
      </c>
      <c r="B4072" t="s">
        <v>34</v>
      </c>
      <c r="C4072">
        <v>2</v>
      </c>
      <c r="D4072" s="1" t="s">
        <v>10565</v>
      </c>
      <c r="E4072" s="1" t="s">
        <v>36</v>
      </c>
      <c r="G4072">
        <v>453152</v>
      </c>
      <c r="H4072" t="s">
        <v>10566</v>
      </c>
      <c r="I4072" t="s">
        <v>2413</v>
      </c>
      <c r="J4072">
        <v>30</v>
      </c>
      <c r="K4072">
        <v>2695</v>
      </c>
      <c r="L4072">
        <v>95000</v>
      </c>
      <c r="M4072" t="s">
        <v>69</v>
      </c>
      <c r="N4072">
        <v>691</v>
      </c>
      <c r="O4072" s="2">
        <v>46239</v>
      </c>
      <c r="P4072" s="2">
        <v>46337</v>
      </c>
      <c r="R4072" t="s">
        <v>10567</v>
      </c>
      <c r="S4072" t="str">
        <f>""</f>
        <v/>
      </c>
      <c r="T4072" t="s">
        <v>41</v>
      </c>
      <c r="U4072">
        <v>3765.27</v>
      </c>
      <c r="V4072">
        <v>3723.85</v>
      </c>
      <c r="W4072">
        <v>3723.85</v>
      </c>
      <c r="X4072">
        <v>0</v>
      </c>
      <c r="Y4072">
        <v>0</v>
      </c>
      <c r="Z4072">
        <v>-562</v>
      </c>
      <c r="AA4072">
        <v>696229</v>
      </c>
      <c r="AD4072" t="s">
        <v>234</v>
      </c>
      <c r="AE4072" t="s">
        <v>10568</v>
      </c>
      <c r="AF4072" t="s">
        <v>234</v>
      </c>
      <c r="AG4072" s="1" t="s">
        <v>10569</v>
      </c>
      <c r="AH4072" t="s">
        <v>44</v>
      </c>
    </row>
    <row r="4073" spans="1:34" x14ac:dyDescent="0.3">
      <c r="A4073">
        <v>101</v>
      </c>
      <c r="B4073" t="s">
        <v>34</v>
      </c>
      <c r="C4073">
        <v>2</v>
      </c>
      <c r="D4073" s="1" t="s">
        <v>10570</v>
      </c>
      <c r="E4073" s="1" t="s">
        <v>36</v>
      </c>
      <c r="G4073">
        <v>453152</v>
      </c>
      <c r="H4073" t="s">
        <v>10566</v>
      </c>
      <c r="I4073" t="s">
        <v>2413</v>
      </c>
      <c r="J4073">
        <v>30</v>
      </c>
      <c r="K4073">
        <v>2695</v>
      </c>
      <c r="L4073">
        <v>95000</v>
      </c>
      <c r="M4073" t="s">
        <v>69</v>
      </c>
      <c r="N4073">
        <v>691</v>
      </c>
      <c r="O4073" s="2">
        <v>46199</v>
      </c>
      <c r="P4073" s="2">
        <v>46316</v>
      </c>
      <c r="R4073" t="s">
        <v>10571</v>
      </c>
      <c r="S4073" t="str">
        <f>""</f>
        <v/>
      </c>
      <c r="T4073" t="s">
        <v>41</v>
      </c>
      <c r="U4073">
        <v>3305.31</v>
      </c>
      <c r="V4073">
        <v>3268.95</v>
      </c>
      <c r="W4073">
        <v>3268.95</v>
      </c>
      <c r="X4073">
        <v>0</v>
      </c>
      <c r="Y4073">
        <v>0</v>
      </c>
      <c r="Z4073">
        <v>-541</v>
      </c>
      <c r="AA4073">
        <v>692819</v>
      </c>
      <c r="AD4073" t="s">
        <v>234</v>
      </c>
      <c r="AE4073" t="s">
        <v>10568</v>
      </c>
      <c r="AF4073" t="s">
        <v>234</v>
      </c>
      <c r="AG4073" s="1" t="s">
        <v>10569</v>
      </c>
      <c r="AH4073" t="s">
        <v>44</v>
      </c>
    </row>
    <row r="4074" spans="1:34" x14ac:dyDescent="0.3">
      <c r="A4074">
        <v>101</v>
      </c>
      <c r="B4074" t="s">
        <v>34</v>
      </c>
      <c r="C4074">
        <v>2</v>
      </c>
      <c r="D4074" s="1" t="s">
        <v>10572</v>
      </c>
      <c r="E4074" s="1" t="s">
        <v>36</v>
      </c>
      <c r="G4074">
        <v>453152</v>
      </c>
      <c r="H4074" t="s">
        <v>10566</v>
      </c>
      <c r="I4074" t="s">
        <v>2413</v>
      </c>
      <c r="J4074">
        <v>30</v>
      </c>
      <c r="K4074">
        <v>2695</v>
      </c>
      <c r="L4074">
        <v>95000</v>
      </c>
      <c r="M4074" t="s">
        <v>69</v>
      </c>
      <c r="N4074">
        <v>691</v>
      </c>
      <c r="O4074" s="2">
        <v>46170</v>
      </c>
      <c r="P4074" s="2">
        <v>46286</v>
      </c>
      <c r="R4074" t="s">
        <v>10573</v>
      </c>
      <c r="S4074" t="str">
        <f>""</f>
        <v/>
      </c>
      <c r="T4074" t="s">
        <v>41</v>
      </c>
      <c r="U4074">
        <v>30890.51</v>
      </c>
      <c r="V4074">
        <v>30550.71</v>
      </c>
      <c r="W4074">
        <v>30550.71</v>
      </c>
      <c r="X4074">
        <v>0</v>
      </c>
      <c r="Y4074">
        <v>0</v>
      </c>
      <c r="Z4074">
        <v>-511</v>
      </c>
      <c r="AA4074">
        <v>689208</v>
      </c>
      <c r="AD4074" t="s">
        <v>234</v>
      </c>
      <c r="AE4074" t="s">
        <v>10568</v>
      </c>
      <c r="AF4074" t="s">
        <v>234</v>
      </c>
      <c r="AG4074" s="1" t="s">
        <v>10569</v>
      </c>
      <c r="AH4074" t="s">
        <v>44</v>
      </c>
    </row>
    <row r="4075" spans="1:34" x14ac:dyDescent="0.3">
      <c r="A4075">
        <v>101</v>
      </c>
      <c r="B4075" t="s">
        <v>34</v>
      </c>
      <c r="C4075">
        <v>2</v>
      </c>
      <c r="D4075" s="1" t="s">
        <v>10574</v>
      </c>
      <c r="E4075" s="1" t="s">
        <v>36</v>
      </c>
      <c r="G4075">
        <v>453152</v>
      </c>
      <c r="H4075" t="s">
        <v>10566</v>
      </c>
      <c r="I4075" t="s">
        <v>2413</v>
      </c>
      <c r="J4075">
        <v>30</v>
      </c>
      <c r="K4075">
        <v>2695</v>
      </c>
      <c r="L4075">
        <v>95000</v>
      </c>
      <c r="M4075" t="s">
        <v>69</v>
      </c>
      <c r="N4075">
        <v>691</v>
      </c>
      <c r="O4075" s="2">
        <v>46199</v>
      </c>
      <c r="P4075" s="2">
        <v>46316</v>
      </c>
      <c r="R4075" t="s">
        <v>10575</v>
      </c>
      <c r="S4075" t="str">
        <f>""</f>
        <v/>
      </c>
      <c r="T4075" t="s">
        <v>41</v>
      </c>
      <c r="U4075">
        <v>884.5</v>
      </c>
      <c r="V4075">
        <v>874.77</v>
      </c>
      <c r="W4075">
        <v>874.77</v>
      </c>
      <c r="X4075">
        <v>0</v>
      </c>
      <c r="Y4075">
        <v>0</v>
      </c>
      <c r="Z4075">
        <v>-541</v>
      </c>
      <c r="AA4075">
        <v>692550</v>
      </c>
      <c r="AD4075" t="s">
        <v>234</v>
      </c>
      <c r="AE4075" t="s">
        <v>10568</v>
      </c>
      <c r="AF4075" t="s">
        <v>234</v>
      </c>
      <c r="AG4075" s="1" t="s">
        <v>10569</v>
      </c>
      <c r="AH4075" t="s">
        <v>44</v>
      </c>
    </row>
    <row r="4076" spans="1:34" x14ac:dyDescent="0.3">
      <c r="A4076">
        <v>101</v>
      </c>
      <c r="B4076" t="s">
        <v>34</v>
      </c>
      <c r="C4076">
        <v>2</v>
      </c>
      <c r="D4076" s="1" t="s">
        <v>10576</v>
      </c>
      <c r="E4076" s="1" t="s">
        <v>36</v>
      </c>
      <c r="G4076">
        <v>453152</v>
      </c>
      <c r="H4076" t="s">
        <v>10566</v>
      </c>
      <c r="I4076" t="s">
        <v>2413</v>
      </c>
      <c r="J4076">
        <v>30</v>
      </c>
      <c r="K4076">
        <v>2695</v>
      </c>
      <c r="L4076">
        <v>95000</v>
      </c>
      <c r="M4076" t="s">
        <v>69</v>
      </c>
      <c r="N4076">
        <v>691</v>
      </c>
      <c r="O4076" s="2">
        <v>46098</v>
      </c>
      <c r="P4076" s="2">
        <v>46255</v>
      </c>
      <c r="R4076" t="s">
        <v>10577</v>
      </c>
      <c r="S4076" t="str">
        <f>""</f>
        <v/>
      </c>
      <c r="T4076" t="s">
        <v>41</v>
      </c>
      <c r="U4076">
        <v>4048.93</v>
      </c>
      <c r="V4076">
        <v>4004.39</v>
      </c>
      <c r="W4076">
        <v>4004.39</v>
      </c>
      <c r="X4076">
        <v>0</v>
      </c>
      <c r="Y4076">
        <v>0</v>
      </c>
      <c r="Z4076">
        <v>-480</v>
      </c>
      <c r="AA4076">
        <v>682593</v>
      </c>
      <c r="AD4076" t="s">
        <v>234</v>
      </c>
      <c r="AE4076" t="s">
        <v>10568</v>
      </c>
      <c r="AF4076" t="s">
        <v>234</v>
      </c>
      <c r="AG4076" s="1" t="s">
        <v>10569</v>
      </c>
      <c r="AH4076" t="s">
        <v>44</v>
      </c>
    </row>
    <row r="4077" spans="1:34" x14ac:dyDescent="0.3">
      <c r="A4077">
        <v>101</v>
      </c>
      <c r="B4077" t="s">
        <v>34</v>
      </c>
      <c r="C4077">
        <v>2</v>
      </c>
      <c r="D4077" s="1" t="s">
        <v>10578</v>
      </c>
      <c r="E4077" s="1" t="s">
        <v>36</v>
      </c>
      <c r="G4077">
        <v>453152</v>
      </c>
      <c r="H4077" t="s">
        <v>10566</v>
      </c>
      <c r="I4077" t="s">
        <v>2413</v>
      </c>
      <c r="J4077">
        <v>30</v>
      </c>
      <c r="K4077">
        <v>2695</v>
      </c>
      <c r="L4077">
        <v>95000</v>
      </c>
      <c r="M4077" t="s">
        <v>69</v>
      </c>
      <c r="N4077">
        <v>691</v>
      </c>
      <c r="O4077" s="2">
        <v>46185</v>
      </c>
      <c r="P4077" s="2">
        <v>46286</v>
      </c>
      <c r="R4077" t="s">
        <v>10579</v>
      </c>
      <c r="S4077" t="str">
        <f>""</f>
        <v/>
      </c>
      <c r="T4077" t="s">
        <v>41</v>
      </c>
      <c r="U4077">
        <v>2134.8000000000002</v>
      </c>
      <c r="V4077">
        <v>2111.3200000000002</v>
      </c>
      <c r="W4077">
        <v>2111.3200000000002</v>
      </c>
      <c r="X4077">
        <v>0</v>
      </c>
      <c r="Y4077">
        <v>0</v>
      </c>
      <c r="Z4077">
        <v>-511</v>
      </c>
      <c r="AA4077">
        <v>689208</v>
      </c>
      <c r="AD4077" t="s">
        <v>234</v>
      </c>
      <c r="AE4077" t="s">
        <v>10568</v>
      </c>
      <c r="AF4077" t="s">
        <v>234</v>
      </c>
      <c r="AG4077" s="1" t="s">
        <v>10569</v>
      </c>
      <c r="AH4077" t="s">
        <v>44</v>
      </c>
    </row>
    <row r="4078" spans="1:34" x14ac:dyDescent="0.3">
      <c r="A4078">
        <v>101</v>
      </c>
      <c r="B4078" t="s">
        <v>34</v>
      </c>
      <c r="C4078">
        <v>2</v>
      </c>
      <c r="D4078" s="1" t="s">
        <v>10580</v>
      </c>
      <c r="E4078" s="1" t="s">
        <v>36</v>
      </c>
      <c r="G4078">
        <v>453152</v>
      </c>
      <c r="H4078" t="s">
        <v>10566</v>
      </c>
      <c r="I4078" t="s">
        <v>2413</v>
      </c>
      <c r="J4078">
        <v>30</v>
      </c>
      <c r="K4078">
        <v>2695</v>
      </c>
      <c r="L4078">
        <v>95000</v>
      </c>
      <c r="M4078" t="s">
        <v>69</v>
      </c>
      <c r="N4078">
        <v>691</v>
      </c>
      <c r="O4078" s="2">
        <v>46140</v>
      </c>
      <c r="P4078" s="2">
        <v>46255</v>
      </c>
      <c r="R4078" t="s">
        <v>10581</v>
      </c>
      <c r="S4078" t="str">
        <f>""</f>
        <v/>
      </c>
      <c r="T4078" t="s">
        <v>41</v>
      </c>
      <c r="U4078">
        <v>26924.34</v>
      </c>
      <c r="V4078">
        <v>26628.17</v>
      </c>
      <c r="W4078">
        <v>26628.17</v>
      </c>
      <c r="X4078">
        <v>0</v>
      </c>
      <c r="Y4078">
        <v>0</v>
      </c>
      <c r="Z4078">
        <v>-480</v>
      </c>
      <c r="AA4078">
        <v>686606</v>
      </c>
      <c r="AD4078" t="s">
        <v>234</v>
      </c>
      <c r="AE4078" t="s">
        <v>10568</v>
      </c>
      <c r="AF4078" t="s">
        <v>234</v>
      </c>
      <c r="AG4078" s="1" t="s">
        <v>10569</v>
      </c>
      <c r="AH4078" t="s">
        <v>44</v>
      </c>
    </row>
    <row r="4079" spans="1:34" x14ac:dyDescent="0.3">
      <c r="A4079">
        <v>101</v>
      </c>
      <c r="B4079" t="s">
        <v>34</v>
      </c>
      <c r="C4079">
        <v>2</v>
      </c>
      <c r="D4079" s="1" t="s">
        <v>10582</v>
      </c>
      <c r="E4079" s="1" t="s">
        <v>36</v>
      </c>
      <c r="G4079">
        <v>453152</v>
      </c>
      <c r="H4079" t="s">
        <v>10566</v>
      </c>
      <c r="I4079" t="s">
        <v>2413</v>
      </c>
      <c r="J4079">
        <v>30</v>
      </c>
      <c r="K4079">
        <v>2695</v>
      </c>
      <c r="L4079">
        <v>95000</v>
      </c>
      <c r="M4079" t="s">
        <v>69</v>
      </c>
      <c r="N4079">
        <v>691</v>
      </c>
      <c r="O4079" s="2">
        <v>46197</v>
      </c>
      <c r="P4079" s="2">
        <v>46296</v>
      </c>
      <c r="R4079" t="s">
        <v>10583</v>
      </c>
      <c r="S4079" t="str">
        <f>""</f>
        <v/>
      </c>
      <c r="T4079" t="s">
        <v>41</v>
      </c>
      <c r="U4079">
        <v>35389.910000000003</v>
      </c>
      <c r="V4079">
        <v>35000.620000000003</v>
      </c>
      <c r="W4079">
        <v>35000.620000000003</v>
      </c>
      <c r="X4079">
        <v>0</v>
      </c>
      <c r="Y4079">
        <v>0</v>
      </c>
      <c r="Z4079">
        <v>-521</v>
      </c>
      <c r="AA4079">
        <v>692170</v>
      </c>
      <c r="AD4079" t="s">
        <v>234</v>
      </c>
      <c r="AE4079" t="s">
        <v>10568</v>
      </c>
      <c r="AF4079" t="s">
        <v>234</v>
      </c>
      <c r="AG4079" s="1" t="s">
        <v>10569</v>
      </c>
      <c r="AH4079" t="s">
        <v>44</v>
      </c>
    </row>
    <row r="4080" spans="1:34" x14ac:dyDescent="0.3">
      <c r="A4080">
        <v>101</v>
      </c>
      <c r="B4080" t="s">
        <v>34</v>
      </c>
      <c r="C4080">
        <v>2</v>
      </c>
      <c r="D4080" s="1" t="s">
        <v>10584</v>
      </c>
      <c r="E4080" s="1" t="s">
        <v>36</v>
      </c>
      <c r="G4080">
        <v>453152</v>
      </c>
      <c r="H4080" t="s">
        <v>10566</v>
      </c>
      <c r="I4080" t="s">
        <v>2413</v>
      </c>
      <c r="J4080">
        <v>30</v>
      </c>
      <c r="K4080">
        <v>2695</v>
      </c>
      <c r="L4080">
        <v>95000</v>
      </c>
      <c r="M4080" t="s">
        <v>69</v>
      </c>
      <c r="N4080">
        <v>691</v>
      </c>
      <c r="O4080" s="2">
        <v>46140</v>
      </c>
      <c r="P4080" s="2">
        <v>46255</v>
      </c>
      <c r="R4080" t="s">
        <v>10585</v>
      </c>
      <c r="S4080" t="str">
        <f>""</f>
        <v/>
      </c>
      <c r="T4080" t="s">
        <v>41</v>
      </c>
      <c r="U4080">
        <v>4324.42</v>
      </c>
      <c r="V4080">
        <v>4276.8500000000004</v>
      </c>
      <c r="W4080">
        <v>4276.8500000000004</v>
      </c>
      <c r="X4080">
        <v>0</v>
      </c>
      <c r="Y4080">
        <v>0</v>
      </c>
      <c r="Z4080">
        <v>-480</v>
      </c>
      <c r="AA4080">
        <v>686902</v>
      </c>
      <c r="AD4080" t="s">
        <v>234</v>
      </c>
      <c r="AE4080" t="s">
        <v>10568</v>
      </c>
      <c r="AF4080" t="s">
        <v>234</v>
      </c>
      <c r="AG4080" s="1" t="s">
        <v>10569</v>
      </c>
      <c r="AH4080" t="s">
        <v>44</v>
      </c>
    </row>
    <row r="4081" spans="1:34" x14ac:dyDescent="0.3">
      <c r="A4081">
        <v>101</v>
      </c>
      <c r="B4081" t="s">
        <v>34</v>
      </c>
      <c r="C4081">
        <v>2</v>
      </c>
      <c r="D4081" s="1" t="s">
        <v>10586</v>
      </c>
      <c r="E4081" s="1" t="s">
        <v>36</v>
      </c>
      <c r="G4081">
        <v>453152</v>
      </c>
      <c r="H4081" t="s">
        <v>10566</v>
      </c>
      <c r="I4081" t="s">
        <v>2413</v>
      </c>
      <c r="J4081">
        <v>30</v>
      </c>
      <c r="K4081">
        <v>2695</v>
      </c>
      <c r="L4081">
        <v>95000</v>
      </c>
      <c r="M4081" t="s">
        <v>69</v>
      </c>
      <c r="N4081">
        <v>691</v>
      </c>
      <c r="O4081" s="2">
        <v>46226</v>
      </c>
      <c r="P4081" s="2">
        <v>46337</v>
      </c>
      <c r="R4081" t="s">
        <v>10587</v>
      </c>
      <c r="S4081" t="str">
        <f>""</f>
        <v/>
      </c>
      <c r="T4081" t="s">
        <v>41</v>
      </c>
      <c r="U4081">
        <v>9895.6</v>
      </c>
      <c r="V4081">
        <v>9786.75</v>
      </c>
      <c r="W4081">
        <v>9786.75</v>
      </c>
      <c r="X4081">
        <v>0</v>
      </c>
      <c r="Y4081">
        <v>0</v>
      </c>
      <c r="Z4081">
        <v>-562</v>
      </c>
      <c r="AA4081">
        <v>694981</v>
      </c>
      <c r="AD4081" t="s">
        <v>234</v>
      </c>
      <c r="AE4081" t="s">
        <v>10568</v>
      </c>
      <c r="AF4081" t="s">
        <v>234</v>
      </c>
      <c r="AG4081" s="1" t="s">
        <v>10569</v>
      </c>
      <c r="AH4081" t="s">
        <v>44</v>
      </c>
    </row>
    <row r="4082" spans="1:34" x14ac:dyDescent="0.3">
      <c r="A4082">
        <v>101</v>
      </c>
      <c r="B4082" t="s">
        <v>34</v>
      </c>
      <c r="C4082">
        <v>2</v>
      </c>
      <c r="D4082" s="1" t="s">
        <v>10588</v>
      </c>
      <c r="E4082" s="1" t="s">
        <v>36</v>
      </c>
      <c r="G4082">
        <v>453152</v>
      </c>
      <c r="H4082" t="s">
        <v>10566</v>
      </c>
      <c r="I4082" t="s">
        <v>2413</v>
      </c>
      <c r="J4082">
        <v>30</v>
      </c>
      <c r="K4082">
        <v>2695</v>
      </c>
      <c r="L4082">
        <v>95000</v>
      </c>
      <c r="M4082" t="s">
        <v>69</v>
      </c>
      <c r="N4082">
        <v>691</v>
      </c>
      <c r="O4082" s="2">
        <v>46253</v>
      </c>
      <c r="P4082" s="2">
        <v>46343</v>
      </c>
      <c r="R4082" t="s">
        <v>10589</v>
      </c>
      <c r="S4082" t="str">
        <f>""</f>
        <v/>
      </c>
      <c r="T4082" t="s">
        <v>41</v>
      </c>
      <c r="U4082">
        <v>3538</v>
      </c>
      <c r="V4082">
        <v>3499.08</v>
      </c>
      <c r="W4082">
        <v>3499.08</v>
      </c>
      <c r="X4082">
        <v>0</v>
      </c>
      <c r="Y4082">
        <v>0</v>
      </c>
      <c r="Z4082">
        <v>-568</v>
      </c>
      <c r="AA4082">
        <v>697005</v>
      </c>
      <c r="AD4082" t="s">
        <v>234</v>
      </c>
      <c r="AE4082" t="s">
        <v>10568</v>
      </c>
      <c r="AF4082" t="s">
        <v>234</v>
      </c>
      <c r="AG4082" s="1" t="s">
        <v>10569</v>
      </c>
      <c r="AH4082" t="s">
        <v>44</v>
      </c>
    </row>
    <row r="4083" spans="1:34" x14ac:dyDescent="0.3">
      <c r="A4083">
        <v>101</v>
      </c>
      <c r="B4083" t="s">
        <v>34</v>
      </c>
      <c r="C4083">
        <v>2</v>
      </c>
      <c r="D4083" s="1" t="s">
        <v>10590</v>
      </c>
      <c r="E4083" s="1" t="s">
        <v>36</v>
      </c>
      <c r="G4083">
        <v>453394</v>
      </c>
      <c r="H4083" t="s">
        <v>10591</v>
      </c>
      <c r="I4083" t="s">
        <v>2413</v>
      </c>
      <c r="J4083">
        <v>30</v>
      </c>
      <c r="K4083">
        <v>2695</v>
      </c>
      <c r="L4083">
        <v>95000</v>
      </c>
      <c r="M4083" t="s">
        <v>69</v>
      </c>
      <c r="N4083">
        <v>691</v>
      </c>
      <c r="O4083" s="2">
        <v>46198</v>
      </c>
      <c r="P4083" s="2">
        <v>46296</v>
      </c>
      <c r="R4083" t="s">
        <v>10592</v>
      </c>
      <c r="S4083" t="str">
        <f>""</f>
        <v/>
      </c>
      <c r="T4083" t="s">
        <v>41</v>
      </c>
      <c r="U4083">
        <v>1769</v>
      </c>
      <c r="V4083">
        <v>1749.54</v>
      </c>
      <c r="W4083">
        <v>1749.54</v>
      </c>
      <c r="X4083">
        <v>0</v>
      </c>
      <c r="Y4083">
        <v>0</v>
      </c>
      <c r="Z4083">
        <v>-521</v>
      </c>
      <c r="AA4083">
        <v>692544</v>
      </c>
      <c r="AD4083" t="s">
        <v>7302</v>
      </c>
      <c r="AE4083" t="s">
        <v>2567</v>
      </c>
      <c r="AF4083" t="s">
        <v>7302</v>
      </c>
      <c r="AG4083" s="1" t="s">
        <v>10593</v>
      </c>
      <c r="AH4083" t="s">
        <v>44</v>
      </c>
    </row>
    <row r="4084" spans="1:34" x14ac:dyDescent="0.3">
      <c r="A4084">
        <v>101</v>
      </c>
      <c r="B4084" t="s">
        <v>34</v>
      </c>
      <c r="C4084">
        <v>2</v>
      </c>
      <c r="D4084" s="1" t="s">
        <v>10594</v>
      </c>
      <c r="E4084" s="1" t="s">
        <v>36</v>
      </c>
      <c r="G4084">
        <v>453394</v>
      </c>
      <c r="H4084" t="s">
        <v>10591</v>
      </c>
      <c r="I4084" t="s">
        <v>2413</v>
      </c>
      <c r="J4084">
        <v>30</v>
      </c>
      <c r="K4084">
        <v>2695</v>
      </c>
      <c r="L4084">
        <v>95000</v>
      </c>
      <c r="M4084" t="s">
        <v>69</v>
      </c>
      <c r="N4084">
        <v>691</v>
      </c>
      <c r="O4084" s="2">
        <v>46141</v>
      </c>
      <c r="P4084" s="2">
        <v>46266</v>
      </c>
      <c r="R4084" t="s">
        <v>10595</v>
      </c>
      <c r="S4084" t="str">
        <f>""</f>
        <v/>
      </c>
      <c r="T4084" t="s">
        <v>41</v>
      </c>
      <c r="U4084">
        <v>3592.72</v>
      </c>
      <c r="V4084">
        <v>3553.2</v>
      </c>
      <c r="W4084">
        <v>3553.2</v>
      </c>
      <c r="X4084">
        <v>0</v>
      </c>
      <c r="Y4084">
        <v>0</v>
      </c>
      <c r="Z4084">
        <v>-491</v>
      </c>
      <c r="AA4084">
        <v>686898</v>
      </c>
      <c r="AD4084" t="s">
        <v>7302</v>
      </c>
      <c r="AE4084" t="s">
        <v>2567</v>
      </c>
      <c r="AF4084" t="s">
        <v>7302</v>
      </c>
      <c r="AG4084" s="1" t="s">
        <v>10593</v>
      </c>
      <c r="AH4084" t="s">
        <v>44</v>
      </c>
    </row>
    <row r="4085" spans="1:34" x14ac:dyDescent="0.3">
      <c r="A4085">
        <v>101</v>
      </c>
      <c r="B4085" t="s">
        <v>34</v>
      </c>
      <c r="C4085">
        <v>2</v>
      </c>
      <c r="D4085" s="1" t="s">
        <v>10596</v>
      </c>
      <c r="E4085" s="1" t="s">
        <v>36</v>
      </c>
      <c r="G4085">
        <v>453394</v>
      </c>
      <c r="H4085" t="s">
        <v>10591</v>
      </c>
      <c r="I4085" t="s">
        <v>2413</v>
      </c>
      <c r="J4085">
        <v>30</v>
      </c>
      <c r="K4085">
        <v>2695</v>
      </c>
      <c r="L4085">
        <v>95000</v>
      </c>
      <c r="M4085" t="s">
        <v>69</v>
      </c>
      <c r="N4085">
        <v>691</v>
      </c>
      <c r="O4085" s="2">
        <v>46226</v>
      </c>
      <c r="P4085" s="2">
        <v>46349</v>
      </c>
      <c r="R4085" t="s">
        <v>10597</v>
      </c>
      <c r="S4085" t="str">
        <f>""</f>
        <v/>
      </c>
      <c r="T4085" t="s">
        <v>41</v>
      </c>
      <c r="U4085">
        <v>16783.810000000001</v>
      </c>
      <c r="V4085">
        <v>16599.189999999999</v>
      </c>
      <c r="W4085">
        <v>16599.189999999999</v>
      </c>
      <c r="X4085">
        <v>0</v>
      </c>
      <c r="Y4085">
        <v>0</v>
      </c>
      <c r="Z4085">
        <v>-574</v>
      </c>
      <c r="AA4085">
        <v>694975</v>
      </c>
      <c r="AD4085" t="s">
        <v>7302</v>
      </c>
      <c r="AE4085" t="s">
        <v>2567</v>
      </c>
      <c r="AF4085" t="s">
        <v>7302</v>
      </c>
      <c r="AG4085" s="1" t="s">
        <v>10593</v>
      </c>
      <c r="AH4085" t="s">
        <v>44</v>
      </c>
    </row>
    <row r="4086" spans="1:34" x14ac:dyDescent="0.3">
      <c r="A4086">
        <v>101</v>
      </c>
      <c r="B4086" t="s">
        <v>34</v>
      </c>
      <c r="C4086">
        <v>2</v>
      </c>
      <c r="D4086" s="1" t="s">
        <v>10598</v>
      </c>
      <c r="E4086" s="1" t="s">
        <v>36</v>
      </c>
      <c r="G4086">
        <v>453394</v>
      </c>
      <c r="H4086" t="s">
        <v>10591</v>
      </c>
      <c r="I4086" t="s">
        <v>2413</v>
      </c>
      <c r="J4086">
        <v>30</v>
      </c>
      <c r="K4086">
        <v>2695</v>
      </c>
      <c r="L4086">
        <v>95000</v>
      </c>
      <c r="M4086" t="s">
        <v>69</v>
      </c>
      <c r="N4086">
        <v>691</v>
      </c>
      <c r="O4086" s="2">
        <v>46239</v>
      </c>
      <c r="P4086" s="2">
        <v>46329</v>
      </c>
      <c r="R4086" t="s">
        <v>10599</v>
      </c>
      <c r="S4086" t="str">
        <f>""</f>
        <v/>
      </c>
      <c r="T4086" t="s">
        <v>41</v>
      </c>
      <c r="U4086">
        <v>3765.27</v>
      </c>
      <c r="V4086">
        <v>3723.85</v>
      </c>
      <c r="W4086">
        <v>3723.85</v>
      </c>
      <c r="X4086">
        <v>0</v>
      </c>
      <c r="Y4086">
        <v>0</v>
      </c>
      <c r="Z4086">
        <v>-554</v>
      </c>
      <c r="AA4086">
        <v>696223</v>
      </c>
      <c r="AD4086" t="s">
        <v>7302</v>
      </c>
      <c r="AE4086" t="s">
        <v>2567</v>
      </c>
      <c r="AF4086" t="s">
        <v>7302</v>
      </c>
      <c r="AG4086" s="1" t="s">
        <v>10593</v>
      </c>
      <c r="AH4086" t="s">
        <v>44</v>
      </c>
    </row>
    <row r="4087" spans="1:34" x14ac:dyDescent="0.3">
      <c r="A4087">
        <v>101</v>
      </c>
      <c r="B4087" t="s">
        <v>34</v>
      </c>
      <c r="C4087">
        <v>2</v>
      </c>
      <c r="D4087" s="1" t="s">
        <v>10600</v>
      </c>
      <c r="E4087" s="1" t="s">
        <v>36</v>
      </c>
      <c r="G4087">
        <v>453394</v>
      </c>
      <c r="H4087" t="s">
        <v>10591</v>
      </c>
      <c r="I4087" t="s">
        <v>2413</v>
      </c>
      <c r="J4087">
        <v>30</v>
      </c>
      <c r="K4087">
        <v>2695</v>
      </c>
      <c r="L4087">
        <v>95000</v>
      </c>
      <c r="M4087" t="s">
        <v>69</v>
      </c>
      <c r="N4087">
        <v>691</v>
      </c>
      <c r="O4087" s="2">
        <v>46198</v>
      </c>
      <c r="P4087" s="2">
        <v>46296</v>
      </c>
      <c r="R4087" t="s">
        <v>10601</v>
      </c>
      <c r="S4087" t="str">
        <f>""</f>
        <v/>
      </c>
      <c r="T4087" t="s">
        <v>41</v>
      </c>
      <c r="U4087">
        <v>16855.259999999998</v>
      </c>
      <c r="V4087">
        <v>16669.849999999999</v>
      </c>
      <c r="W4087">
        <v>16669.849999999999</v>
      </c>
      <c r="X4087">
        <v>0</v>
      </c>
      <c r="Y4087">
        <v>0</v>
      </c>
      <c r="Z4087">
        <v>-521</v>
      </c>
      <c r="AA4087">
        <v>692164</v>
      </c>
      <c r="AD4087" t="s">
        <v>7302</v>
      </c>
      <c r="AE4087" t="s">
        <v>2567</v>
      </c>
      <c r="AF4087" t="s">
        <v>7302</v>
      </c>
      <c r="AG4087" s="1" t="s">
        <v>10593</v>
      </c>
      <c r="AH4087" t="s">
        <v>44</v>
      </c>
    </row>
    <row r="4088" spans="1:34" x14ac:dyDescent="0.3">
      <c r="A4088">
        <v>101</v>
      </c>
      <c r="B4088" t="s">
        <v>34</v>
      </c>
      <c r="C4088">
        <v>2</v>
      </c>
      <c r="D4088" s="1" t="s">
        <v>10602</v>
      </c>
      <c r="E4088" s="1" t="s">
        <v>36</v>
      </c>
      <c r="G4088">
        <v>453394</v>
      </c>
      <c r="H4088" t="s">
        <v>10591</v>
      </c>
      <c r="I4088" t="s">
        <v>2413</v>
      </c>
      <c r="J4088">
        <v>30</v>
      </c>
      <c r="K4088">
        <v>2695</v>
      </c>
      <c r="L4088">
        <v>95000</v>
      </c>
      <c r="M4088" t="s">
        <v>69</v>
      </c>
      <c r="N4088">
        <v>691</v>
      </c>
      <c r="O4088" s="2">
        <v>46141</v>
      </c>
      <c r="P4088" s="2">
        <v>46266</v>
      </c>
      <c r="R4088" t="s">
        <v>10603</v>
      </c>
      <c r="S4088" t="str">
        <f>""</f>
        <v/>
      </c>
      <c r="T4088" t="s">
        <v>41</v>
      </c>
      <c r="U4088">
        <v>1343.11</v>
      </c>
      <c r="V4088">
        <v>1328.34</v>
      </c>
      <c r="W4088">
        <v>1328.34</v>
      </c>
      <c r="X4088">
        <v>0</v>
      </c>
      <c r="Y4088">
        <v>0</v>
      </c>
      <c r="Z4088">
        <v>-491</v>
      </c>
      <c r="AA4088">
        <v>686791</v>
      </c>
      <c r="AD4088" t="s">
        <v>7302</v>
      </c>
      <c r="AE4088" t="s">
        <v>2567</v>
      </c>
      <c r="AF4088" t="s">
        <v>7302</v>
      </c>
      <c r="AG4088" s="1" t="s">
        <v>10593</v>
      </c>
      <c r="AH4088" t="s">
        <v>44</v>
      </c>
    </row>
    <row r="4089" spans="1:34" x14ac:dyDescent="0.3">
      <c r="A4089">
        <v>101</v>
      </c>
      <c r="B4089" t="s">
        <v>34</v>
      </c>
      <c r="C4089">
        <v>2</v>
      </c>
      <c r="D4089" s="1" t="s">
        <v>10604</v>
      </c>
      <c r="E4089" s="1" t="s">
        <v>36</v>
      </c>
      <c r="G4089">
        <v>453394</v>
      </c>
      <c r="H4089" t="s">
        <v>10591</v>
      </c>
      <c r="I4089" t="s">
        <v>2413</v>
      </c>
      <c r="J4089">
        <v>30</v>
      </c>
      <c r="K4089">
        <v>2695</v>
      </c>
      <c r="L4089">
        <v>95000</v>
      </c>
      <c r="M4089" t="s">
        <v>69</v>
      </c>
      <c r="N4089">
        <v>691</v>
      </c>
      <c r="O4089" s="2">
        <v>46172</v>
      </c>
      <c r="P4089" s="2">
        <v>46296</v>
      </c>
      <c r="R4089" t="s">
        <v>10605</v>
      </c>
      <c r="S4089" t="str">
        <f>""</f>
        <v/>
      </c>
      <c r="T4089" t="s">
        <v>41</v>
      </c>
      <c r="U4089">
        <v>2741</v>
      </c>
      <c r="V4089">
        <v>2710.85</v>
      </c>
      <c r="W4089">
        <v>2710.85</v>
      </c>
      <c r="X4089">
        <v>0</v>
      </c>
      <c r="Y4089">
        <v>0</v>
      </c>
      <c r="Z4089">
        <v>-521</v>
      </c>
      <c r="AA4089">
        <v>689483</v>
      </c>
      <c r="AD4089" t="s">
        <v>7302</v>
      </c>
      <c r="AE4089" t="s">
        <v>2567</v>
      </c>
      <c r="AF4089" t="s">
        <v>7302</v>
      </c>
      <c r="AG4089" s="1" t="s">
        <v>10593</v>
      </c>
      <c r="AH4089" t="s">
        <v>44</v>
      </c>
    </row>
    <row r="4090" spans="1:34" x14ac:dyDescent="0.3">
      <c r="A4090">
        <v>101</v>
      </c>
      <c r="B4090" t="s">
        <v>34</v>
      </c>
      <c r="C4090">
        <v>2</v>
      </c>
      <c r="D4090" s="1" t="s">
        <v>10606</v>
      </c>
      <c r="E4090" s="1" t="s">
        <v>36</v>
      </c>
      <c r="G4090">
        <v>453394</v>
      </c>
      <c r="H4090" t="s">
        <v>10591</v>
      </c>
      <c r="I4090" t="s">
        <v>2413</v>
      </c>
      <c r="J4090">
        <v>30</v>
      </c>
      <c r="K4090">
        <v>2695</v>
      </c>
      <c r="L4090">
        <v>95000</v>
      </c>
      <c r="M4090" t="s">
        <v>69</v>
      </c>
      <c r="N4090">
        <v>691</v>
      </c>
      <c r="O4090" s="2">
        <v>46141</v>
      </c>
      <c r="P4090" s="2">
        <v>46266</v>
      </c>
      <c r="R4090" t="s">
        <v>10607</v>
      </c>
      <c r="S4090" t="str">
        <f>""</f>
        <v/>
      </c>
      <c r="T4090" t="s">
        <v>41</v>
      </c>
      <c r="U4090">
        <v>27166.87</v>
      </c>
      <c r="V4090">
        <v>26868.03</v>
      </c>
      <c r="W4090">
        <v>26868.03</v>
      </c>
      <c r="X4090">
        <v>0</v>
      </c>
      <c r="Y4090">
        <v>0</v>
      </c>
      <c r="Z4090">
        <v>-491</v>
      </c>
      <c r="AA4090">
        <v>686600</v>
      </c>
      <c r="AD4090" t="s">
        <v>7302</v>
      </c>
      <c r="AE4090" t="s">
        <v>2567</v>
      </c>
      <c r="AF4090" t="s">
        <v>7302</v>
      </c>
      <c r="AG4090" s="1" t="s">
        <v>10593</v>
      </c>
      <c r="AH4090" t="s">
        <v>44</v>
      </c>
    </row>
    <row r="4091" spans="1:34" x14ac:dyDescent="0.3">
      <c r="A4091">
        <v>101</v>
      </c>
      <c r="B4091" t="s">
        <v>34</v>
      </c>
      <c r="C4091">
        <v>2</v>
      </c>
      <c r="D4091" s="1" t="s">
        <v>10608</v>
      </c>
      <c r="E4091" s="1" t="s">
        <v>36</v>
      </c>
      <c r="G4091">
        <v>453394</v>
      </c>
      <c r="H4091" t="s">
        <v>10591</v>
      </c>
      <c r="I4091" t="s">
        <v>2413</v>
      </c>
      <c r="J4091">
        <v>30</v>
      </c>
      <c r="K4091">
        <v>2695</v>
      </c>
      <c r="L4091">
        <v>95000</v>
      </c>
      <c r="M4091" t="s">
        <v>69</v>
      </c>
      <c r="N4091">
        <v>691</v>
      </c>
      <c r="O4091" s="2">
        <v>46172</v>
      </c>
      <c r="P4091" s="2">
        <v>46296</v>
      </c>
      <c r="R4091" t="s">
        <v>10609</v>
      </c>
      <c r="S4091" t="str">
        <f>""</f>
        <v/>
      </c>
      <c r="T4091" t="s">
        <v>41</v>
      </c>
      <c r="U4091">
        <v>24694.78</v>
      </c>
      <c r="V4091">
        <v>24423.14</v>
      </c>
      <c r="W4091">
        <v>24423.14</v>
      </c>
      <c r="X4091">
        <v>0</v>
      </c>
      <c r="Y4091">
        <v>0</v>
      </c>
      <c r="Z4091">
        <v>-521</v>
      </c>
      <c r="AA4091">
        <v>689202</v>
      </c>
      <c r="AD4091" t="s">
        <v>7302</v>
      </c>
      <c r="AE4091" t="s">
        <v>2567</v>
      </c>
      <c r="AF4091" t="s">
        <v>7302</v>
      </c>
      <c r="AG4091" s="1" t="s">
        <v>10593</v>
      </c>
      <c r="AH4091" t="s">
        <v>44</v>
      </c>
    </row>
    <row r="4092" spans="1:34" x14ac:dyDescent="0.3">
      <c r="A4092">
        <v>101</v>
      </c>
      <c r="B4092" t="s">
        <v>34</v>
      </c>
      <c r="C4092">
        <v>2</v>
      </c>
      <c r="D4092" s="1" t="s">
        <v>10610</v>
      </c>
      <c r="E4092" s="1" t="s">
        <v>36</v>
      </c>
      <c r="G4092">
        <v>453394</v>
      </c>
      <c r="H4092" t="s">
        <v>10591</v>
      </c>
      <c r="I4092" t="s">
        <v>2413</v>
      </c>
      <c r="J4092">
        <v>30</v>
      </c>
      <c r="K4092">
        <v>2695</v>
      </c>
      <c r="L4092">
        <v>95000</v>
      </c>
      <c r="M4092" t="s">
        <v>69</v>
      </c>
      <c r="N4092">
        <v>691</v>
      </c>
      <c r="O4092" s="2">
        <v>46203</v>
      </c>
      <c r="P4092" s="2">
        <v>46329</v>
      </c>
      <c r="R4092" t="s">
        <v>10611</v>
      </c>
      <c r="S4092" t="str">
        <f>""</f>
        <v/>
      </c>
      <c r="T4092" t="s">
        <v>41</v>
      </c>
      <c r="U4092">
        <v>1881.37</v>
      </c>
      <c r="V4092">
        <v>1715.94</v>
      </c>
      <c r="W4092">
        <v>1715.94</v>
      </c>
      <c r="X4092">
        <v>0</v>
      </c>
      <c r="Y4092">
        <v>0</v>
      </c>
      <c r="Z4092">
        <v>-554</v>
      </c>
      <c r="AA4092">
        <v>692815</v>
      </c>
      <c r="AD4092" t="s">
        <v>7302</v>
      </c>
      <c r="AE4092" t="s">
        <v>2567</v>
      </c>
      <c r="AF4092" t="s">
        <v>7302</v>
      </c>
      <c r="AG4092" s="1" t="s">
        <v>10593</v>
      </c>
      <c r="AH4092" t="s">
        <v>44</v>
      </c>
    </row>
    <row r="4093" spans="1:34" x14ac:dyDescent="0.3">
      <c r="A4093">
        <v>101</v>
      </c>
      <c r="B4093" t="s">
        <v>34</v>
      </c>
      <c r="C4093">
        <v>2</v>
      </c>
      <c r="D4093" s="1" t="s">
        <v>10612</v>
      </c>
      <c r="E4093" s="1" t="s">
        <v>36</v>
      </c>
      <c r="G4093">
        <v>453397</v>
      </c>
      <c r="H4093" t="s">
        <v>10613</v>
      </c>
      <c r="I4093" t="s">
        <v>2413</v>
      </c>
      <c r="J4093">
        <v>30</v>
      </c>
      <c r="K4093">
        <v>2695</v>
      </c>
      <c r="L4093">
        <v>95000</v>
      </c>
      <c r="M4093" t="s">
        <v>69</v>
      </c>
      <c r="N4093">
        <v>691</v>
      </c>
      <c r="O4093" s="2">
        <v>46239</v>
      </c>
      <c r="P4093" s="2">
        <v>46329</v>
      </c>
      <c r="R4093" t="s">
        <v>10614</v>
      </c>
      <c r="S4093" t="str">
        <f>""</f>
        <v/>
      </c>
      <c r="T4093" t="s">
        <v>41</v>
      </c>
      <c r="U4093">
        <v>2470.17</v>
      </c>
      <c r="V4093">
        <v>2443</v>
      </c>
      <c r="W4093">
        <v>2443</v>
      </c>
      <c r="X4093">
        <v>0</v>
      </c>
      <c r="Y4093">
        <v>0</v>
      </c>
      <c r="Z4093">
        <v>-554</v>
      </c>
      <c r="AA4093">
        <v>696221</v>
      </c>
      <c r="AD4093" t="s">
        <v>8614</v>
      </c>
      <c r="AE4093" t="s">
        <v>2567</v>
      </c>
      <c r="AF4093" t="s">
        <v>8614</v>
      </c>
      <c r="AG4093" s="1" t="s">
        <v>10615</v>
      </c>
      <c r="AH4093" t="s">
        <v>44</v>
      </c>
    </row>
    <row r="4094" spans="1:34" x14ac:dyDescent="0.3">
      <c r="A4094">
        <v>101</v>
      </c>
      <c r="B4094" t="s">
        <v>34</v>
      </c>
      <c r="C4094">
        <v>2</v>
      </c>
      <c r="D4094" s="1" t="s">
        <v>10616</v>
      </c>
      <c r="E4094" s="1" t="s">
        <v>36</v>
      </c>
      <c r="G4094">
        <v>453397</v>
      </c>
      <c r="H4094" t="s">
        <v>10613</v>
      </c>
      <c r="I4094" t="s">
        <v>2413</v>
      </c>
      <c r="J4094">
        <v>30</v>
      </c>
      <c r="K4094">
        <v>2695</v>
      </c>
      <c r="L4094">
        <v>95000</v>
      </c>
      <c r="M4094" t="s">
        <v>69</v>
      </c>
      <c r="N4094">
        <v>691</v>
      </c>
      <c r="O4094" s="2">
        <v>46140</v>
      </c>
      <c r="P4094" s="2">
        <v>46266</v>
      </c>
      <c r="R4094" t="s">
        <v>10617</v>
      </c>
      <c r="S4094" t="str">
        <f>""</f>
        <v/>
      </c>
      <c r="T4094" t="s">
        <v>41</v>
      </c>
      <c r="U4094">
        <v>16598.560000000001</v>
      </c>
      <c r="V4094">
        <v>16415.98</v>
      </c>
      <c r="W4094">
        <v>16415.98</v>
      </c>
      <c r="X4094">
        <v>0</v>
      </c>
      <c r="Y4094">
        <v>0</v>
      </c>
      <c r="Z4094">
        <v>-491</v>
      </c>
      <c r="AA4094">
        <v>686598</v>
      </c>
      <c r="AD4094" t="s">
        <v>8614</v>
      </c>
      <c r="AE4094" t="s">
        <v>2567</v>
      </c>
      <c r="AF4094" t="s">
        <v>8614</v>
      </c>
      <c r="AG4094" s="1" t="s">
        <v>10615</v>
      </c>
      <c r="AH4094" t="s">
        <v>44</v>
      </c>
    </row>
    <row r="4095" spans="1:34" x14ac:dyDescent="0.3">
      <c r="A4095">
        <v>101</v>
      </c>
      <c r="B4095" t="s">
        <v>34</v>
      </c>
      <c r="C4095">
        <v>2</v>
      </c>
      <c r="D4095" s="1" t="s">
        <v>10618</v>
      </c>
      <c r="E4095" s="1" t="s">
        <v>36</v>
      </c>
      <c r="G4095">
        <v>453397</v>
      </c>
      <c r="H4095" t="s">
        <v>10613</v>
      </c>
      <c r="I4095" t="s">
        <v>2413</v>
      </c>
      <c r="J4095">
        <v>30</v>
      </c>
      <c r="K4095">
        <v>2695</v>
      </c>
      <c r="L4095">
        <v>95000</v>
      </c>
      <c r="M4095" t="s">
        <v>69</v>
      </c>
      <c r="N4095">
        <v>691</v>
      </c>
      <c r="O4095" s="2">
        <v>46198</v>
      </c>
      <c r="P4095" s="2">
        <v>46329</v>
      </c>
      <c r="R4095" t="s">
        <v>10619</v>
      </c>
      <c r="S4095" t="str">
        <f>""</f>
        <v/>
      </c>
      <c r="T4095" t="s">
        <v>41</v>
      </c>
      <c r="U4095">
        <v>2653.5</v>
      </c>
      <c r="V4095">
        <v>2624.31</v>
      </c>
      <c r="W4095">
        <v>2624.31</v>
      </c>
      <c r="X4095">
        <v>0</v>
      </c>
      <c r="Y4095">
        <v>0</v>
      </c>
      <c r="Z4095">
        <v>-554</v>
      </c>
      <c r="AA4095">
        <v>692542</v>
      </c>
      <c r="AD4095" t="s">
        <v>8614</v>
      </c>
      <c r="AE4095" t="s">
        <v>2567</v>
      </c>
      <c r="AF4095" t="s">
        <v>8614</v>
      </c>
      <c r="AG4095" s="1" t="s">
        <v>10615</v>
      </c>
      <c r="AH4095" t="s">
        <v>44</v>
      </c>
    </row>
    <row r="4096" spans="1:34" x14ac:dyDescent="0.3">
      <c r="A4096">
        <v>101</v>
      </c>
      <c r="B4096" t="s">
        <v>34</v>
      </c>
      <c r="C4096">
        <v>2</v>
      </c>
      <c r="D4096" s="1" t="s">
        <v>10620</v>
      </c>
      <c r="E4096" s="1" t="s">
        <v>36</v>
      </c>
      <c r="G4096">
        <v>453397</v>
      </c>
      <c r="H4096" t="s">
        <v>10613</v>
      </c>
      <c r="I4096" t="s">
        <v>2413</v>
      </c>
      <c r="J4096">
        <v>30</v>
      </c>
      <c r="K4096">
        <v>2695</v>
      </c>
      <c r="L4096">
        <v>95000</v>
      </c>
      <c r="M4096" t="s">
        <v>69</v>
      </c>
      <c r="N4096">
        <v>691</v>
      </c>
      <c r="O4096" s="2">
        <v>46140</v>
      </c>
      <c r="P4096" s="2">
        <v>46266</v>
      </c>
      <c r="R4096" t="s">
        <v>10621</v>
      </c>
      <c r="S4096" t="str">
        <f>""</f>
        <v/>
      </c>
      <c r="T4096" t="s">
        <v>41</v>
      </c>
      <c r="U4096">
        <v>2887.34</v>
      </c>
      <c r="V4096">
        <v>2855.58</v>
      </c>
      <c r="W4096">
        <v>2855.58</v>
      </c>
      <c r="X4096">
        <v>0</v>
      </c>
      <c r="Y4096">
        <v>0</v>
      </c>
      <c r="Z4096">
        <v>-491</v>
      </c>
      <c r="AA4096">
        <v>686896</v>
      </c>
      <c r="AD4096" t="s">
        <v>8614</v>
      </c>
      <c r="AE4096" t="s">
        <v>2567</v>
      </c>
      <c r="AF4096" t="s">
        <v>8614</v>
      </c>
      <c r="AG4096" s="1" t="s">
        <v>10615</v>
      </c>
      <c r="AH4096" t="s">
        <v>44</v>
      </c>
    </row>
    <row r="4097" spans="1:34" x14ac:dyDescent="0.3">
      <c r="A4097">
        <v>101</v>
      </c>
      <c r="B4097" t="s">
        <v>34</v>
      </c>
      <c r="C4097">
        <v>2</v>
      </c>
      <c r="D4097" s="1" t="s">
        <v>10622</v>
      </c>
      <c r="E4097" s="1" t="s">
        <v>36</v>
      </c>
      <c r="G4097">
        <v>453397</v>
      </c>
      <c r="H4097" t="s">
        <v>10613</v>
      </c>
      <c r="I4097" t="s">
        <v>2413</v>
      </c>
      <c r="J4097">
        <v>30</v>
      </c>
      <c r="K4097">
        <v>2695</v>
      </c>
      <c r="L4097">
        <v>95000</v>
      </c>
      <c r="M4097" t="s">
        <v>69</v>
      </c>
      <c r="N4097">
        <v>691</v>
      </c>
      <c r="O4097" s="2">
        <v>46198</v>
      </c>
      <c r="P4097" s="2">
        <v>46329</v>
      </c>
      <c r="R4097" t="s">
        <v>10623</v>
      </c>
      <c r="S4097" t="str">
        <f>""</f>
        <v/>
      </c>
      <c r="T4097" t="s">
        <v>41</v>
      </c>
      <c r="U4097">
        <v>27976.68</v>
      </c>
      <c r="V4097">
        <v>27668.94</v>
      </c>
      <c r="W4097">
        <v>27668.94</v>
      </c>
      <c r="X4097">
        <v>0</v>
      </c>
      <c r="Y4097">
        <v>0</v>
      </c>
      <c r="Z4097">
        <v>-554</v>
      </c>
      <c r="AA4097">
        <v>692162</v>
      </c>
      <c r="AD4097" t="s">
        <v>8614</v>
      </c>
      <c r="AE4097" t="s">
        <v>2567</v>
      </c>
      <c r="AF4097" t="s">
        <v>8614</v>
      </c>
      <c r="AG4097" s="1" t="s">
        <v>10615</v>
      </c>
      <c r="AH4097" t="s">
        <v>44</v>
      </c>
    </row>
    <row r="4098" spans="1:34" x14ac:dyDescent="0.3">
      <c r="A4098">
        <v>101</v>
      </c>
      <c r="B4098" t="s">
        <v>34</v>
      </c>
      <c r="C4098">
        <v>2</v>
      </c>
      <c r="D4098" s="1" t="s">
        <v>10624</v>
      </c>
      <c r="E4098" s="1" t="s">
        <v>36</v>
      </c>
      <c r="G4098">
        <v>453397</v>
      </c>
      <c r="H4098" t="s">
        <v>10613</v>
      </c>
      <c r="I4098" t="s">
        <v>2413</v>
      </c>
      <c r="J4098">
        <v>30</v>
      </c>
      <c r="K4098">
        <v>2695</v>
      </c>
      <c r="L4098">
        <v>95000</v>
      </c>
      <c r="M4098" t="s">
        <v>69</v>
      </c>
      <c r="N4098">
        <v>691</v>
      </c>
      <c r="O4098" s="2">
        <v>46172</v>
      </c>
      <c r="P4098" s="2">
        <v>46296</v>
      </c>
      <c r="R4098" t="s">
        <v>10625</v>
      </c>
      <c r="S4098" t="str">
        <f>""</f>
        <v/>
      </c>
      <c r="T4098" t="s">
        <v>41</v>
      </c>
      <c r="U4098">
        <v>2741</v>
      </c>
      <c r="V4098">
        <v>2710.85</v>
      </c>
      <c r="W4098">
        <v>2710.85</v>
      </c>
      <c r="X4098">
        <v>0</v>
      </c>
      <c r="Y4098">
        <v>0</v>
      </c>
      <c r="Z4098">
        <v>-521</v>
      </c>
      <c r="AA4098">
        <v>689481</v>
      </c>
      <c r="AD4098" t="s">
        <v>8614</v>
      </c>
      <c r="AE4098" t="s">
        <v>2567</v>
      </c>
      <c r="AF4098" t="s">
        <v>8614</v>
      </c>
      <c r="AG4098" s="1" t="s">
        <v>10615</v>
      </c>
      <c r="AH4098" t="s">
        <v>44</v>
      </c>
    </row>
    <row r="4099" spans="1:34" x14ac:dyDescent="0.3">
      <c r="A4099">
        <v>101</v>
      </c>
      <c r="B4099" t="s">
        <v>34</v>
      </c>
      <c r="C4099">
        <v>2</v>
      </c>
      <c r="D4099" s="1" t="s">
        <v>10626</v>
      </c>
      <c r="E4099" s="1" t="s">
        <v>36</v>
      </c>
      <c r="G4099">
        <v>453397</v>
      </c>
      <c r="H4099" t="s">
        <v>10613</v>
      </c>
      <c r="I4099" t="s">
        <v>2413</v>
      </c>
      <c r="J4099">
        <v>30</v>
      </c>
      <c r="K4099">
        <v>2695</v>
      </c>
      <c r="L4099">
        <v>95000</v>
      </c>
      <c r="M4099" t="s">
        <v>69</v>
      </c>
      <c r="N4099">
        <v>691</v>
      </c>
      <c r="O4099" s="2">
        <v>46172</v>
      </c>
      <c r="P4099" s="2">
        <v>46296</v>
      </c>
      <c r="R4099" t="s">
        <v>10627</v>
      </c>
      <c r="S4099" t="str">
        <f>""</f>
        <v/>
      </c>
      <c r="T4099" t="s">
        <v>41</v>
      </c>
      <c r="U4099">
        <v>28051.75</v>
      </c>
      <c r="V4099">
        <v>27743.18</v>
      </c>
      <c r="W4099">
        <v>27743.18</v>
      </c>
      <c r="X4099">
        <v>0</v>
      </c>
      <c r="Y4099">
        <v>0</v>
      </c>
      <c r="Z4099">
        <v>-521</v>
      </c>
      <c r="AA4099">
        <v>689200</v>
      </c>
      <c r="AD4099" t="s">
        <v>8614</v>
      </c>
      <c r="AE4099" t="s">
        <v>2567</v>
      </c>
      <c r="AF4099" t="s">
        <v>8614</v>
      </c>
      <c r="AG4099" s="1" t="s">
        <v>10615</v>
      </c>
      <c r="AH4099" t="s">
        <v>44</v>
      </c>
    </row>
    <row r="4100" spans="1:34" x14ac:dyDescent="0.3">
      <c r="A4100">
        <v>101</v>
      </c>
      <c r="B4100" t="s">
        <v>34</v>
      </c>
      <c r="C4100">
        <v>2</v>
      </c>
      <c r="D4100" s="1" t="s">
        <v>10628</v>
      </c>
      <c r="E4100" s="1" t="s">
        <v>36</v>
      </c>
      <c r="G4100">
        <v>453397</v>
      </c>
      <c r="H4100" t="s">
        <v>10613</v>
      </c>
      <c r="I4100" t="s">
        <v>2413</v>
      </c>
      <c r="J4100">
        <v>30</v>
      </c>
      <c r="K4100">
        <v>2695</v>
      </c>
      <c r="L4100">
        <v>95000</v>
      </c>
      <c r="M4100" t="s">
        <v>69</v>
      </c>
      <c r="N4100">
        <v>691</v>
      </c>
      <c r="O4100" s="2">
        <v>46226</v>
      </c>
      <c r="P4100" s="2">
        <v>46316</v>
      </c>
      <c r="R4100" t="s">
        <v>10629</v>
      </c>
      <c r="S4100" t="str">
        <f>""</f>
        <v/>
      </c>
      <c r="T4100" t="s">
        <v>41</v>
      </c>
      <c r="U4100">
        <v>15032.4</v>
      </c>
      <c r="V4100">
        <v>14867.04</v>
      </c>
      <c r="W4100">
        <v>14867.04</v>
      </c>
      <c r="X4100">
        <v>0</v>
      </c>
      <c r="Y4100">
        <v>0</v>
      </c>
      <c r="Z4100">
        <v>-541</v>
      </c>
      <c r="AA4100">
        <v>694973</v>
      </c>
      <c r="AD4100" t="s">
        <v>8614</v>
      </c>
      <c r="AE4100" t="s">
        <v>2567</v>
      </c>
      <c r="AF4100" t="s">
        <v>8614</v>
      </c>
      <c r="AG4100" s="1" t="s">
        <v>10615</v>
      </c>
      <c r="AH4100" t="s">
        <v>44</v>
      </c>
    </row>
    <row r="4101" spans="1:34" x14ac:dyDescent="0.3">
      <c r="A4101">
        <v>101</v>
      </c>
      <c r="B4101" t="s">
        <v>34</v>
      </c>
      <c r="C4101">
        <v>2</v>
      </c>
      <c r="D4101" s="1" t="s">
        <v>10630</v>
      </c>
      <c r="E4101" s="1" t="s">
        <v>36</v>
      </c>
      <c r="G4101">
        <v>453858</v>
      </c>
      <c r="H4101" t="s">
        <v>10631</v>
      </c>
      <c r="I4101" t="s">
        <v>2413</v>
      </c>
      <c r="J4101">
        <v>30</v>
      </c>
      <c r="K4101">
        <v>2695</v>
      </c>
      <c r="L4101">
        <v>95000</v>
      </c>
      <c r="M4101" t="s">
        <v>69</v>
      </c>
      <c r="N4101">
        <v>691</v>
      </c>
      <c r="O4101" s="2">
        <v>46239</v>
      </c>
      <c r="P4101" s="2">
        <v>46349</v>
      </c>
      <c r="R4101" t="s">
        <v>10632</v>
      </c>
      <c r="S4101" t="str">
        <f>""</f>
        <v/>
      </c>
      <c r="T4101" t="s">
        <v>41</v>
      </c>
      <c r="U4101">
        <v>3765.27</v>
      </c>
      <c r="V4101">
        <v>3723.85</v>
      </c>
      <c r="W4101">
        <v>3723.85</v>
      </c>
      <c r="X4101">
        <v>0</v>
      </c>
      <c r="Y4101">
        <v>0</v>
      </c>
      <c r="Z4101">
        <v>-574</v>
      </c>
      <c r="AA4101">
        <v>696227</v>
      </c>
      <c r="AD4101" t="s">
        <v>64</v>
      </c>
      <c r="AE4101">
        <v>1134115000</v>
      </c>
      <c r="AF4101" t="s">
        <v>64</v>
      </c>
      <c r="AG4101" s="1" t="s">
        <v>10633</v>
      </c>
      <c r="AH4101" t="s">
        <v>44</v>
      </c>
    </row>
    <row r="4102" spans="1:34" x14ac:dyDescent="0.3">
      <c r="A4102">
        <v>101</v>
      </c>
      <c r="B4102" t="s">
        <v>34</v>
      </c>
      <c r="C4102">
        <v>2</v>
      </c>
      <c r="D4102" s="1" t="s">
        <v>10634</v>
      </c>
      <c r="E4102" s="1" t="s">
        <v>36</v>
      </c>
      <c r="G4102">
        <v>453858</v>
      </c>
      <c r="H4102" t="s">
        <v>10631</v>
      </c>
      <c r="I4102" t="s">
        <v>2413</v>
      </c>
      <c r="J4102">
        <v>30</v>
      </c>
      <c r="K4102">
        <v>2695</v>
      </c>
      <c r="L4102">
        <v>95000</v>
      </c>
      <c r="M4102" t="s">
        <v>69</v>
      </c>
      <c r="N4102">
        <v>691</v>
      </c>
      <c r="O4102" s="2">
        <v>46170</v>
      </c>
      <c r="P4102" s="2">
        <v>46286</v>
      </c>
      <c r="R4102" t="s">
        <v>10635</v>
      </c>
      <c r="S4102" t="str">
        <f>""</f>
        <v/>
      </c>
      <c r="T4102" t="s">
        <v>41</v>
      </c>
      <c r="U4102">
        <v>15586.49</v>
      </c>
      <c r="V4102">
        <v>15415.04</v>
      </c>
      <c r="W4102">
        <v>15415.04</v>
      </c>
      <c r="X4102">
        <v>0</v>
      </c>
      <c r="Y4102">
        <v>0</v>
      </c>
      <c r="Z4102">
        <v>-511</v>
      </c>
      <c r="AA4102">
        <v>689206</v>
      </c>
      <c r="AD4102" t="s">
        <v>64</v>
      </c>
      <c r="AE4102">
        <v>1134115000</v>
      </c>
      <c r="AF4102" t="s">
        <v>64</v>
      </c>
      <c r="AG4102" s="1" t="s">
        <v>10633</v>
      </c>
      <c r="AH4102" t="s">
        <v>44</v>
      </c>
    </row>
    <row r="4103" spans="1:34" x14ac:dyDescent="0.3">
      <c r="A4103">
        <v>101</v>
      </c>
      <c r="B4103" t="s">
        <v>34</v>
      </c>
      <c r="C4103">
        <v>2</v>
      </c>
      <c r="D4103" s="1" t="s">
        <v>10636</v>
      </c>
      <c r="E4103" s="1" t="s">
        <v>36</v>
      </c>
      <c r="G4103">
        <v>453858</v>
      </c>
      <c r="H4103" t="s">
        <v>10631</v>
      </c>
      <c r="I4103" t="s">
        <v>2413</v>
      </c>
      <c r="J4103">
        <v>30</v>
      </c>
      <c r="K4103">
        <v>2695</v>
      </c>
      <c r="L4103">
        <v>95000</v>
      </c>
      <c r="M4103" t="s">
        <v>69</v>
      </c>
      <c r="N4103">
        <v>691</v>
      </c>
      <c r="O4103" s="2">
        <v>46199</v>
      </c>
      <c r="P4103" s="2">
        <v>46329</v>
      </c>
      <c r="R4103" t="s">
        <v>10637</v>
      </c>
      <c r="S4103" t="str">
        <f>""</f>
        <v/>
      </c>
      <c r="T4103" t="s">
        <v>41</v>
      </c>
      <c r="U4103">
        <v>884.5</v>
      </c>
      <c r="V4103">
        <v>874.77</v>
      </c>
      <c r="W4103">
        <v>874.77</v>
      </c>
      <c r="X4103">
        <v>0</v>
      </c>
      <c r="Y4103">
        <v>0</v>
      </c>
      <c r="Z4103">
        <v>-554</v>
      </c>
      <c r="AA4103">
        <v>692548</v>
      </c>
      <c r="AD4103" t="s">
        <v>64</v>
      </c>
      <c r="AE4103">
        <v>1134115000</v>
      </c>
      <c r="AF4103" t="s">
        <v>64</v>
      </c>
      <c r="AG4103" s="1" t="s">
        <v>10633</v>
      </c>
      <c r="AH4103" t="s">
        <v>44</v>
      </c>
    </row>
    <row r="4104" spans="1:34" x14ac:dyDescent="0.3">
      <c r="A4104">
        <v>101</v>
      </c>
      <c r="B4104" t="s">
        <v>34</v>
      </c>
      <c r="C4104">
        <v>2</v>
      </c>
      <c r="D4104" s="1" t="s">
        <v>10638</v>
      </c>
      <c r="E4104" s="1" t="s">
        <v>36</v>
      </c>
      <c r="G4104">
        <v>453858</v>
      </c>
      <c r="H4104" t="s">
        <v>10631</v>
      </c>
      <c r="I4104" t="s">
        <v>2413</v>
      </c>
      <c r="J4104">
        <v>30</v>
      </c>
      <c r="K4104">
        <v>2695</v>
      </c>
      <c r="L4104">
        <v>95000</v>
      </c>
      <c r="M4104" t="s">
        <v>69</v>
      </c>
      <c r="N4104">
        <v>691</v>
      </c>
      <c r="O4104" s="2">
        <v>46140</v>
      </c>
      <c r="P4104" s="2">
        <v>46255</v>
      </c>
      <c r="R4104" t="s">
        <v>10639</v>
      </c>
      <c r="S4104" t="str">
        <f>""</f>
        <v/>
      </c>
      <c r="T4104" t="s">
        <v>41</v>
      </c>
      <c r="U4104">
        <v>10070.42</v>
      </c>
      <c r="V4104">
        <v>9959.65</v>
      </c>
      <c r="W4104">
        <v>9959.65</v>
      </c>
      <c r="X4104">
        <v>0</v>
      </c>
      <c r="Y4104">
        <v>0</v>
      </c>
      <c r="Z4104">
        <v>-480</v>
      </c>
      <c r="AA4104">
        <v>686604</v>
      </c>
      <c r="AD4104" t="s">
        <v>64</v>
      </c>
      <c r="AE4104">
        <v>1134115000</v>
      </c>
      <c r="AF4104" t="s">
        <v>64</v>
      </c>
      <c r="AG4104" s="1" t="s">
        <v>10633</v>
      </c>
      <c r="AH4104" t="s">
        <v>44</v>
      </c>
    </row>
    <row r="4105" spans="1:34" x14ac:dyDescent="0.3">
      <c r="A4105">
        <v>101</v>
      </c>
      <c r="B4105" t="s">
        <v>34</v>
      </c>
      <c r="C4105">
        <v>2</v>
      </c>
      <c r="D4105" s="1" t="s">
        <v>10640</v>
      </c>
      <c r="E4105" s="1" t="s">
        <v>36</v>
      </c>
      <c r="G4105">
        <v>453858</v>
      </c>
      <c r="H4105" t="s">
        <v>10631</v>
      </c>
      <c r="I4105" t="s">
        <v>2413</v>
      </c>
      <c r="J4105">
        <v>30</v>
      </c>
      <c r="K4105">
        <v>2695</v>
      </c>
      <c r="L4105">
        <v>95000</v>
      </c>
      <c r="M4105" t="s">
        <v>69</v>
      </c>
      <c r="N4105">
        <v>691</v>
      </c>
      <c r="O4105" s="2">
        <v>46197</v>
      </c>
      <c r="P4105" s="2">
        <v>46308</v>
      </c>
      <c r="R4105" t="s">
        <v>10641</v>
      </c>
      <c r="S4105" t="str">
        <f>""</f>
        <v/>
      </c>
      <c r="T4105" t="s">
        <v>41</v>
      </c>
      <c r="U4105">
        <v>19808.09</v>
      </c>
      <c r="V4105">
        <v>19590.2</v>
      </c>
      <c r="W4105">
        <v>19590.2</v>
      </c>
      <c r="X4105">
        <v>0</v>
      </c>
      <c r="Y4105">
        <v>0</v>
      </c>
      <c r="Z4105">
        <v>-533</v>
      </c>
      <c r="AA4105">
        <v>692168</v>
      </c>
      <c r="AD4105" t="s">
        <v>64</v>
      </c>
      <c r="AE4105">
        <v>1134115000</v>
      </c>
      <c r="AF4105" t="s">
        <v>64</v>
      </c>
      <c r="AG4105" s="1" t="s">
        <v>10633</v>
      </c>
      <c r="AH4105" t="s">
        <v>44</v>
      </c>
    </row>
    <row r="4106" spans="1:34" x14ac:dyDescent="0.3">
      <c r="A4106">
        <v>101</v>
      </c>
      <c r="B4106" t="s">
        <v>34</v>
      </c>
      <c r="C4106">
        <v>2</v>
      </c>
      <c r="D4106" s="1" t="s">
        <v>10642</v>
      </c>
      <c r="E4106" s="1" t="s">
        <v>36</v>
      </c>
      <c r="G4106">
        <v>453858</v>
      </c>
      <c r="H4106" t="s">
        <v>10631</v>
      </c>
      <c r="I4106" t="s">
        <v>2413</v>
      </c>
      <c r="J4106">
        <v>30</v>
      </c>
      <c r="K4106">
        <v>2695</v>
      </c>
      <c r="L4106">
        <v>95000</v>
      </c>
      <c r="M4106" t="s">
        <v>69</v>
      </c>
      <c r="N4106">
        <v>691</v>
      </c>
      <c r="O4106" s="2">
        <v>46170</v>
      </c>
      <c r="P4106" s="2">
        <v>46286</v>
      </c>
      <c r="R4106" t="s">
        <v>10643</v>
      </c>
      <c r="S4106" t="str">
        <f>""</f>
        <v/>
      </c>
      <c r="T4106" t="s">
        <v>41</v>
      </c>
      <c r="U4106">
        <v>2741</v>
      </c>
      <c r="V4106">
        <v>2710.85</v>
      </c>
      <c r="W4106">
        <v>2710.85</v>
      </c>
      <c r="X4106">
        <v>0</v>
      </c>
      <c r="Y4106">
        <v>0</v>
      </c>
      <c r="Z4106">
        <v>-511</v>
      </c>
      <c r="AA4106">
        <v>689485</v>
      </c>
      <c r="AD4106" t="s">
        <v>64</v>
      </c>
      <c r="AE4106">
        <v>1134115000</v>
      </c>
      <c r="AF4106" t="s">
        <v>64</v>
      </c>
      <c r="AG4106" s="1" t="s">
        <v>10633</v>
      </c>
      <c r="AH4106" t="s">
        <v>44</v>
      </c>
    </row>
    <row r="4107" spans="1:34" x14ac:dyDescent="0.3">
      <c r="A4107">
        <v>101</v>
      </c>
      <c r="B4107" t="s">
        <v>34</v>
      </c>
      <c r="C4107">
        <v>2</v>
      </c>
      <c r="D4107" s="1" t="s">
        <v>10644</v>
      </c>
      <c r="E4107" s="1" t="s">
        <v>36</v>
      </c>
      <c r="G4107">
        <v>453858</v>
      </c>
      <c r="H4107" t="s">
        <v>10631</v>
      </c>
      <c r="I4107" t="s">
        <v>2413</v>
      </c>
      <c r="J4107">
        <v>30</v>
      </c>
      <c r="K4107">
        <v>2695</v>
      </c>
      <c r="L4107">
        <v>95000</v>
      </c>
      <c r="M4107" t="s">
        <v>69</v>
      </c>
      <c r="N4107">
        <v>691</v>
      </c>
      <c r="O4107" s="2">
        <v>46199</v>
      </c>
      <c r="P4107" s="2">
        <v>46329</v>
      </c>
      <c r="R4107" t="s">
        <v>10645</v>
      </c>
      <c r="S4107" t="str">
        <f>""</f>
        <v/>
      </c>
      <c r="T4107" t="s">
        <v>41</v>
      </c>
      <c r="U4107">
        <v>143.71</v>
      </c>
      <c r="V4107">
        <v>142.13</v>
      </c>
      <c r="W4107">
        <v>142.13</v>
      </c>
      <c r="X4107">
        <v>0</v>
      </c>
      <c r="Y4107">
        <v>0</v>
      </c>
      <c r="Z4107">
        <v>-554</v>
      </c>
      <c r="AA4107">
        <v>692817</v>
      </c>
      <c r="AD4107" t="s">
        <v>64</v>
      </c>
      <c r="AE4107">
        <v>1134115000</v>
      </c>
      <c r="AF4107" t="s">
        <v>64</v>
      </c>
      <c r="AG4107" s="1" t="s">
        <v>10633</v>
      </c>
      <c r="AH4107" t="s">
        <v>44</v>
      </c>
    </row>
    <row r="4108" spans="1:34" x14ac:dyDescent="0.3">
      <c r="A4108">
        <v>101</v>
      </c>
      <c r="B4108" t="s">
        <v>34</v>
      </c>
      <c r="C4108">
        <v>2</v>
      </c>
      <c r="D4108" s="1" t="s">
        <v>10646</v>
      </c>
      <c r="E4108" s="1" t="s">
        <v>36</v>
      </c>
      <c r="G4108">
        <v>453858</v>
      </c>
      <c r="H4108" t="s">
        <v>10631</v>
      </c>
      <c r="I4108" t="s">
        <v>2413</v>
      </c>
      <c r="J4108">
        <v>30</v>
      </c>
      <c r="K4108">
        <v>2695</v>
      </c>
      <c r="L4108">
        <v>95000</v>
      </c>
      <c r="M4108" t="s">
        <v>69</v>
      </c>
      <c r="N4108">
        <v>691</v>
      </c>
      <c r="O4108" s="2">
        <v>46171</v>
      </c>
      <c r="P4108" s="2">
        <v>46286</v>
      </c>
      <c r="R4108" t="s">
        <v>10647</v>
      </c>
      <c r="S4108" t="str">
        <f>""</f>
        <v/>
      </c>
      <c r="T4108" t="s">
        <v>41</v>
      </c>
      <c r="U4108">
        <v>2134.8000000000002</v>
      </c>
      <c r="V4108">
        <v>2111.3200000000002</v>
      </c>
      <c r="W4108">
        <v>2111.3200000000002</v>
      </c>
      <c r="X4108">
        <v>0</v>
      </c>
      <c r="Y4108">
        <v>0</v>
      </c>
      <c r="Z4108">
        <v>-511</v>
      </c>
      <c r="AA4108">
        <v>689206</v>
      </c>
      <c r="AD4108" t="s">
        <v>64</v>
      </c>
      <c r="AE4108">
        <v>1134115000</v>
      </c>
      <c r="AF4108" t="s">
        <v>64</v>
      </c>
      <c r="AG4108" s="1" t="s">
        <v>10633</v>
      </c>
      <c r="AH4108" t="s">
        <v>44</v>
      </c>
    </row>
    <row r="4109" spans="1:34" x14ac:dyDescent="0.3">
      <c r="A4109">
        <v>101</v>
      </c>
      <c r="B4109" t="s">
        <v>34</v>
      </c>
      <c r="C4109">
        <v>2</v>
      </c>
      <c r="D4109" s="1" t="s">
        <v>10648</v>
      </c>
      <c r="E4109" s="1" t="s">
        <v>36</v>
      </c>
      <c r="G4109">
        <v>453858</v>
      </c>
      <c r="H4109" t="s">
        <v>10631</v>
      </c>
      <c r="I4109" t="s">
        <v>2413</v>
      </c>
      <c r="J4109">
        <v>30</v>
      </c>
      <c r="K4109">
        <v>2695</v>
      </c>
      <c r="L4109">
        <v>95000</v>
      </c>
      <c r="M4109" t="s">
        <v>69</v>
      </c>
      <c r="N4109">
        <v>691</v>
      </c>
      <c r="O4109" s="2">
        <v>46226</v>
      </c>
      <c r="P4109" s="2">
        <v>46349</v>
      </c>
      <c r="R4109" t="s">
        <v>10649</v>
      </c>
      <c r="S4109" t="str">
        <f>""</f>
        <v/>
      </c>
      <c r="T4109" t="s">
        <v>41</v>
      </c>
      <c r="U4109">
        <v>10971.4</v>
      </c>
      <c r="V4109">
        <v>10850.71</v>
      </c>
      <c r="W4109">
        <v>10850.71</v>
      </c>
      <c r="X4109">
        <v>0</v>
      </c>
      <c r="Y4109">
        <v>0</v>
      </c>
      <c r="Z4109">
        <v>-574</v>
      </c>
      <c r="AA4109">
        <v>694979</v>
      </c>
      <c r="AD4109" t="s">
        <v>64</v>
      </c>
      <c r="AE4109">
        <v>1134115000</v>
      </c>
      <c r="AF4109" t="s">
        <v>64</v>
      </c>
      <c r="AG4109" s="1" t="s">
        <v>10633</v>
      </c>
      <c r="AH4109" t="s">
        <v>44</v>
      </c>
    </row>
    <row r="4110" spans="1:34" x14ac:dyDescent="0.3">
      <c r="A4110">
        <v>101</v>
      </c>
      <c r="B4110" t="s">
        <v>34</v>
      </c>
      <c r="C4110">
        <v>2</v>
      </c>
      <c r="D4110" s="1" t="s">
        <v>10650</v>
      </c>
      <c r="E4110" s="1" t="s">
        <v>36</v>
      </c>
      <c r="G4110">
        <v>453858</v>
      </c>
      <c r="H4110" t="s">
        <v>10631</v>
      </c>
      <c r="I4110" t="s">
        <v>2413</v>
      </c>
      <c r="J4110">
        <v>30</v>
      </c>
      <c r="K4110">
        <v>2695</v>
      </c>
      <c r="L4110">
        <v>95000</v>
      </c>
      <c r="M4110" t="s">
        <v>69</v>
      </c>
      <c r="N4110">
        <v>691</v>
      </c>
      <c r="O4110" s="2">
        <v>46253</v>
      </c>
      <c r="P4110" s="2">
        <v>46343</v>
      </c>
      <c r="R4110" t="s">
        <v>10651</v>
      </c>
      <c r="S4110" t="str">
        <f>""</f>
        <v/>
      </c>
      <c r="T4110" t="s">
        <v>41</v>
      </c>
      <c r="U4110">
        <v>2653.5</v>
      </c>
      <c r="V4110">
        <v>2624.31</v>
      </c>
      <c r="W4110">
        <v>2624.31</v>
      </c>
      <c r="X4110">
        <v>0</v>
      </c>
      <c r="Y4110">
        <v>0</v>
      </c>
      <c r="Z4110">
        <v>-568</v>
      </c>
      <c r="AA4110">
        <v>697003</v>
      </c>
      <c r="AD4110" t="s">
        <v>64</v>
      </c>
      <c r="AE4110">
        <v>1134115000</v>
      </c>
      <c r="AF4110" t="s">
        <v>64</v>
      </c>
      <c r="AG4110" s="1" t="s">
        <v>10633</v>
      </c>
      <c r="AH4110" t="s">
        <v>44</v>
      </c>
    </row>
    <row r="4111" spans="1:34" x14ac:dyDescent="0.3">
      <c r="A4111">
        <v>101</v>
      </c>
      <c r="B4111" t="s">
        <v>34</v>
      </c>
      <c r="C4111">
        <v>2</v>
      </c>
      <c r="D4111" s="1" t="s">
        <v>10652</v>
      </c>
      <c r="E4111" s="1" t="s">
        <v>36</v>
      </c>
      <c r="G4111">
        <v>453859</v>
      </c>
      <c r="H4111" t="s">
        <v>10653</v>
      </c>
      <c r="I4111" t="s">
        <v>2413</v>
      </c>
      <c r="J4111">
        <v>30</v>
      </c>
      <c r="K4111">
        <v>2695</v>
      </c>
      <c r="L4111">
        <v>95000</v>
      </c>
      <c r="M4111" t="s">
        <v>69</v>
      </c>
      <c r="N4111">
        <v>691</v>
      </c>
      <c r="O4111" s="2">
        <v>46226</v>
      </c>
      <c r="P4111" s="2">
        <v>46316</v>
      </c>
      <c r="R4111" t="s">
        <v>10654</v>
      </c>
      <c r="S4111" t="str">
        <f>""</f>
        <v/>
      </c>
      <c r="T4111" t="s">
        <v>41</v>
      </c>
      <c r="U4111">
        <v>31297.1</v>
      </c>
      <c r="V4111">
        <v>30952.83</v>
      </c>
      <c r="W4111">
        <v>30952.83</v>
      </c>
      <c r="X4111">
        <v>0</v>
      </c>
      <c r="Y4111">
        <v>0</v>
      </c>
      <c r="Z4111">
        <v>-541</v>
      </c>
      <c r="AA4111">
        <v>694937</v>
      </c>
      <c r="AD4111" t="s">
        <v>4421</v>
      </c>
      <c r="AE4111">
        <v>1134115000</v>
      </c>
      <c r="AF4111" t="s">
        <v>4421</v>
      </c>
      <c r="AG4111" s="1" t="s">
        <v>10655</v>
      </c>
      <c r="AH4111" t="s">
        <v>44</v>
      </c>
    </row>
    <row r="4112" spans="1:34" x14ac:dyDescent="0.3">
      <c r="A4112">
        <v>101</v>
      </c>
      <c r="B4112" t="s">
        <v>34</v>
      </c>
      <c r="C4112">
        <v>2</v>
      </c>
      <c r="D4112" s="1" t="s">
        <v>10656</v>
      </c>
      <c r="E4112" s="1" t="s">
        <v>36</v>
      </c>
      <c r="G4112">
        <v>453859</v>
      </c>
      <c r="H4112" t="s">
        <v>10653</v>
      </c>
      <c r="I4112" t="s">
        <v>2413</v>
      </c>
      <c r="J4112">
        <v>30</v>
      </c>
      <c r="K4112">
        <v>2695</v>
      </c>
      <c r="L4112">
        <v>95000</v>
      </c>
      <c r="M4112" t="s">
        <v>69</v>
      </c>
      <c r="N4112">
        <v>691</v>
      </c>
      <c r="O4112" s="2">
        <v>46253</v>
      </c>
      <c r="P4112" s="2">
        <v>46343</v>
      </c>
      <c r="R4112" t="s">
        <v>10657</v>
      </c>
      <c r="S4112" t="str">
        <f>""</f>
        <v/>
      </c>
      <c r="T4112" t="s">
        <v>41</v>
      </c>
      <c r="U4112">
        <v>2653.5</v>
      </c>
      <c r="V4112">
        <v>2624.31</v>
      </c>
      <c r="W4112">
        <v>2624.31</v>
      </c>
      <c r="X4112">
        <v>0</v>
      </c>
      <c r="Y4112">
        <v>0</v>
      </c>
      <c r="Z4112">
        <v>-568</v>
      </c>
      <c r="AA4112">
        <v>696983</v>
      </c>
      <c r="AD4112" t="s">
        <v>4421</v>
      </c>
      <c r="AE4112">
        <v>1134115000</v>
      </c>
      <c r="AF4112" t="s">
        <v>4421</v>
      </c>
      <c r="AG4112" s="1" t="s">
        <v>10655</v>
      </c>
      <c r="AH4112" t="s">
        <v>44</v>
      </c>
    </row>
    <row r="4113" spans="1:34" x14ac:dyDescent="0.3">
      <c r="A4113">
        <v>101</v>
      </c>
      <c r="B4113" t="s">
        <v>34</v>
      </c>
      <c r="C4113">
        <v>2</v>
      </c>
      <c r="D4113" s="1" t="s">
        <v>10658</v>
      </c>
      <c r="E4113" s="1" t="s">
        <v>36</v>
      </c>
      <c r="G4113">
        <v>453859</v>
      </c>
      <c r="H4113" t="s">
        <v>10653</v>
      </c>
      <c r="I4113" t="s">
        <v>2413</v>
      </c>
      <c r="J4113">
        <v>30</v>
      </c>
      <c r="K4113">
        <v>2695</v>
      </c>
      <c r="L4113">
        <v>95000</v>
      </c>
      <c r="M4113" t="s">
        <v>69</v>
      </c>
      <c r="N4113">
        <v>691</v>
      </c>
      <c r="O4113" s="2">
        <v>46140</v>
      </c>
      <c r="P4113" s="2">
        <v>46266</v>
      </c>
      <c r="R4113" t="s">
        <v>10659</v>
      </c>
      <c r="S4113" t="str">
        <f>""</f>
        <v/>
      </c>
      <c r="T4113" t="s">
        <v>41</v>
      </c>
      <c r="U4113">
        <v>4324.42</v>
      </c>
      <c r="V4113">
        <v>4276.8500000000004</v>
      </c>
      <c r="W4113">
        <v>4276.8500000000004</v>
      </c>
      <c r="X4113">
        <v>0</v>
      </c>
      <c r="Y4113">
        <v>0</v>
      </c>
      <c r="Z4113">
        <v>-491</v>
      </c>
      <c r="AA4113">
        <v>686882</v>
      </c>
      <c r="AD4113" t="s">
        <v>4421</v>
      </c>
      <c r="AE4113">
        <v>1134115000</v>
      </c>
      <c r="AF4113" t="s">
        <v>4421</v>
      </c>
      <c r="AG4113" s="1" t="s">
        <v>10655</v>
      </c>
      <c r="AH4113" t="s">
        <v>44</v>
      </c>
    </row>
    <row r="4114" spans="1:34" x14ac:dyDescent="0.3">
      <c r="A4114">
        <v>101</v>
      </c>
      <c r="B4114" t="s">
        <v>34</v>
      </c>
      <c r="C4114">
        <v>2</v>
      </c>
      <c r="D4114" s="1" t="s">
        <v>10660</v>
      </c>
      <c r="E4114" s="1" t="s">
        <v>36</v>
      </c>
      <c r="G4114">
        <v>453859</v>
      </c>
      <c r="H4114" t="s">
        <v>10653</v>
      </c>
      <c r="I4114" t="s">
        <v>2413</v>
      </c>
      <c r="J4114">
        <v>30</v>
      </c>
      <c r="K4114">
        <v>2695</v>
      </c>
      <c r="L4114">
        <v>95000</v>
      </c>
      <c r="M4114" t="s">
        <v>69</v>
      </c>
      <c r="N4114">
        <v>691</v>
      </c>
      <c r="O4114" s="2">
        <v>46140</v>
      </c>
      <c r="P4114" s="2">
        <v>46266</v>
      </c>
      <c r="R4114" t="s">
        <v>10661</v>
      </c>
      <c r="S4114" t="str">
        <f>""</f>
        <v/>
      </c>
      <c r="T4114" t="s">
        <v>41</v>
      </c>
      <c r="U4114">
        <v>13280.78</v>
      </c>
      <c r="V4114">
        <v>13134.69</v>
      </c>
      <c r="W4114">
        <v>13134.69</v>
      </c>
      <c r="X4114">
        <v>0</v>
      </c>
      <c r="Y4114">
        <v>0</v>
      </c>
      <c r="Z4114">
        <v>-491</v>
      </c>
      <c r="AA4114">
        <v>686578</v>
      </c>
      <c r="AD4114" t="s">
        <v>4421</v>
      </c>
      <c r="AE4114">
        <v>1134115000</v>
      </c>
      <c r="AF4114" t="s">
        <v>4421</v>
      </c>
      <c r="AG4114" s="1" t="s">
        <v>10655</v>
      </c>
      <c r="AH4114" t="s">
        <v>44</v>
      </c>
    </row>
    <row r="4115" spans="1:34" x14ac:dyDescent="0.3">
      <c r="A4115">
        <v>101</v>
      </c>
      <c r="B4115" t="s">
        <v>34</v>
      </c>
      <c r="C4115">
        <v>2</v>
      </c>
      <c r="D4115" s="1" t="s">
        <v>10662</v>
      </c>
      <c r="E4115" s="1" t="s">
        <v>36</v>
      </c>
      <c r="G4115">
        <v>453859</v>
      </c>
      <c r="H4115" t="s">
        <v>10653</v>
      </c>
      <c r="I4115" t="s">
        <v>2413</v>
      </c>
      <c r="J4115">
        <v>30</v>
      </c>
      <c r="K4115">
        <v>2695</v>
      </c>
      <c r="L4115">
        <v>95000</v>
      </c>
      <c r="M4115" t="s">
        <v>69</v>
      </c>
      <c r="N4115">
        <v>691</v>
      </c>
      <c r="O4115" s="2">
        <v>46170</v>
      </c>
      <c r="P4115" s="2">
        <v>46296</v>
      </c>
      <c r="R4115" t="s">
        <v>10663</v>
      </c>
      <c r="S4115" t="str">
        <f>""</f>
        <v/>
      </c>
      <c r="T4115" t="s">
        <v>41</v>
      </c>
      <c r="U4115">
        <v>2741</v>
      </c>
      <c r="V4115">
        <v>2710.85</v>
      </c>
      <c r="W4115">
        <v>2710.85</v>
      </c>
      <c r="X4115">
        <v>0</v>
      </c>
      <c r="Y4115">
        <v>0</v>
      </c>
      <c r="Z4115">
        <v>-521</v>
      </c>
      <c r="AA4115">
        <v>689461</v>
      </c>
      <c r="AD4115" t="s">
        <v>4421</v>
      </c>
      <c r="AE4115">
        <v>1134115000</v>
      </c>
      <c r="AF4115" t="s">
        <v>4421</v>
      </c>
      <c r="AG4115" s="1" t="s">
        <v>10655</v>
      </c>
      <c r="AH4115" t="s">
        <v>44</v>
      </c>
    </row>
    <row r="4116" spans="1:34" x14ac:dyDescent="0.3">
      <c r="A4116">
        <v>101</v>
      </c>
      <c r="B4116" t="s">
        <v>34</v>
      </c>
      <c r="C4116">
        <v>2</v>
      </c>
      <c r="D4116" s="1" t="s">
        <v>10664</v>
      </c>
      <c r="E4116" s="1" t="s">
        <v>36</v>
      </c>
      <c r="G4116">
        <v>453859</v>
      </c>
      <c r="H4116" t="s">
        <v>10653</v>
      </c>
      <c r="I4116" t="s">
        <v>2413</v>
      </c>
      <c r="J4116">
        <v>30</v>
      </c>
      <c r="K4116">
        <v>2695</v>
      </c>
      <c r="L4116">
        <v>95000</v>
      </c>
      <c r="M4116" t="s">
        <v>69</v>
      </c>
      <c r="N4116">
        <v>691</v>
      </c>
      <c r="O4116" s="2">
        <v>46170</v>
      </c>
      <c r="P4116" s="2">
        <v>46296</v>
      </c>
      <c r="R4116" t="s">
        <v>10665</v>
      </c>
      <c r="S4116" t="str">
        <f>""</f>
        <v/>
      </c>
      <c r="T4116" t="s">
        <v>41</v>
      </c>
      <c r="U4116">
        <v>16283.06</v>
      </c>
      <c r="V4116">
        <v>16103.95</v>
      </c>
      <c r="W4116">
        <v>16103.95</v>
      </c>
      <c r="X4116">
        <v>0</v>
      </c>
      <c r="Y4116">
        <v>0</v>
      </c>
      <c r="Z4116">
        <v>-521</v>
      </c>
      <c r="AA4116">
        <v>689180</v>
      </c>
      <c r="AD4116" t="s">
        <v>4421</v>
      </c>
      <c r="AE4116">
        <v>1134115000</v>
      </c>
      <c r="AF4116" t="s">
        <v>4421</v>
      </c>
      <c r="AG4116" s="1" t="s">
        <v>10655</v>
      </c>
      <c r="AH4116" t="s">
        <v>44</v>
      </c>
    </row>
    <row r="4117" spans="1:34" x14ac:dyDescent="0.3">
      <c r="A4117">
        <v>101</v>
      </c>
      <c r="B4117" t="s">
        <v>34</v>
      </c>
      <c r="C4117">
        <v>2</v>
      </c>
      <c r="D4117" s="1" t="s">
        <v>10666</v>
      </c>
      <c r="E4117" s="1" t="s">
        <v>36</v>
      </c>
      <c r="G4117">
        <v>453859</v>
      </c>
      <c r="H4117" t="s">
        <v>10653</v>
      </c>
      <c r="I4117" t="s">
        <v>2413</v>
      </c>
      <c r="J4117">
        <v>30</v>
      </c>
      <c r="K4117">
        <v>2695</v>
      </c>
      <c r="L4117">
        <v>95000</v>
      </c>
      <c r="M4117" t="s">
        <v>69</v>
      </c>
      <c r="N4117">
        <v>691</v>
      </c>
      <c r="O4117" s="2">
        <v>46199</v>
      </c>
      <c r="P4117" s="2">
        <v>46329</v>
      </c>
      <c r="R4117" t="s">
        <v>10667</v>
      </c>
      <c r="S4117" t="str">
        <f>""</f>
        <v/>
      </c>
      <c r="T4117" t="s">
        <v>41</v>
      </c>
      <c r="U4117">
        <v>1769</v>
      </c>
      <c r="V4117">
        <v>1749.54</v>
      </c>
      <c r="W4117">
        <v>1749.54</v>
      </c>
      <c r="X4117">
        <v>0</v>
      </c>
      <c r="Y4117">
        <v>0</v>
      </c>
      <c r="Z4117">
        <v>-554</v>
      </c>
      <c r="AA4117">
        <v>692524</v>
      </c>
      <c r="AD4117" t="s">
        <v>4421</v>
      </c>
      <c r="AE4117">
        <v>1134115000</v>
      </c>
      <c r="AF4117" t="s">
        <v>4421</v>
      </c>
      <c r="AG4117" s="1" t="s">
        <v>10655</v>
      </c>
      <c r="AH4117" t="s">
        <v>44</v>
      </c>
    </row>
    <row r="4118" spans="1:34" x14ac:dyDescent="0.3">
      <c r="A4118">
        <v>101</v>
      </c>
      <c r="B4118" t="s">
        <v>34</v>
      </c>
      <c r="C4118">
        <v>2</v>
      </c>
      <c r="D4118" s="1" t="s">
        <v>10668</v>
      </c>
      <c r="E4118" s="1" t="s">
        <v>36</v>
      </c>
      <c r="G4118">
        <v>453859</v>
      </c>
      <c r="H4118" t="s">
        <v>10653</v>
      </c>
      <c r="I4118" t="s">
        <v>2413</v>
      </c>
      <c r="J4118">
        <v>30</v>
      </c>
      <c r="K4118">
        <v>2695</v>
      </c>
      <c r="L4118">
        <v>95000</v>
      </c>
      <c r="M4118" t="s">
        <v>69</v>
      </c>
      <c r="N4118">
        <v>691</v>
      </c>
      <c r="O4118" s="2">
        <v>46185</v>
      </c>
      <c r="P4118" s="2">
        <v>46296</v>
      </c>
      <c r="R4118" t="s">
        <v>10669</v>
      </c>
      <c r="S4118" t="str">
        <f>""</f>
        <v/>
      </c>
      <c r="T4118" t="s">
        <v>41</v>
      </c>
      <c r="U4118">
        <v>3558</v>
      </c>
      <c r="V4118">
        <v>3518.86</v>
      </c>
      <c r="W4118">
        <v>3518.86</v>
      </c>
      <c r="X4118">
        <v>0</v>
      </c>
      <c r="Y4118">
        <v>0</v>
      </c>
      <c r="Z4118">
        <v>-521</v>
      </c>
      <c r="AA4118">
        <v>689180</v>
      </c>
      <c r="AD4118" t="s">
        <v>4421</v>
      </c>
      <c r="AE4118">
        <v>1134115000</v>
      </c>
      <c r="AF4118" t="s">
        <v>4421</v>
      </c>
      <c r="AG4118" s="1" t="s">
        <v>10655</v>
      </c>
      <c r="AH4118" t="s">
        <v>44</v>
      </c>
    </row>
    <row r="4119" spans="1:34" x14ac:dyDescent="0.3">
      <c r="A4119">
        <v>101</v>
      </c>
      <c r="B4119" t="s">
        <v>34</v>
      </c>
      <c r="C4119">
        <v>2</v>
      </c>
      <c r="D4119" s="1" t="s">
        <v>10670</v>
      </c>
      <c r="E4119" s="1" t="s">
        <v>36</v>
      </c>
      <c r="G4119">
        <v>453859</v>
      </c>
      <c r="H4119" t="s">
        <v>10653</v>
      </c>
      <c r="I4119" t="s">
        <v>2413</v>
      </c>
      <c r="J4119">
        <v>30</v>
      </c>
      <c r="K4119">
        <v>2695</v>
      </c>
      <c r="L4119">
        <v>95000</v>
      </c>
      <c r="M4119" t="s">
        <v>69</v>
      </c>
      <c r="N4119">
        <v>691</v>
      </c>
      <c r="O4119" s="2">
        <v>46199</v>
      </c>
      <c r="P4119" s="2">
        <v>46329</v>
      </c>
      <c r="R4119" t="s">
        <v>10671</v>
      </c>
      <c r="S4119" t="str">
        <f>""</f>
        <v/>
      </c>
      <c r="T4119" t="s">
        <v>41</v>
      </c>
      <c r="U4119">
        <v>4603.96</v>
      </c>
      <c r="V4119">
        <v>4553.32</v>
      </c>
      <c r="W4119">
        <v>4553.32</v>
      </c>
      <c r="X4119">
        <v>0</v>
      </c>
      <c r="Y4119">
        <v>0</v>
      </c>
      <c r="Z4119">
        <v>-554</v>
      </c>
      <c r="AA4119">
        <v>692803</v>
      </c>
      <c r="AD4119" t="s">
        <v>4421</v>
      </c>
      <c r="AE4119">
        <v>1134115000</v>
      </c>
      <c r="AF4119" t="s">
        <v>4421</v>
      </c>
      <c r="AG4119" s="1" t="s">
        <v>10655</v>
      </c>
      <c r="AH4119" t="s">
        <v>44</v>
      </c>
    </row>
    <row r="4120" spans="1:34" x14ac:dyDescent="0.3">
      <c r="A4120">
        <v>101</v>
      </c>
      <c r="B4120" t="s">
        <v>34</v>
      </c>
      <c r="C4120">
        <v>2</v>
      </c>
      <c r="D4120" s="1" t="s">
        <v>10672</v>
      </c>
      <c r="E4120" s="1" t="s">
        <v>36</v>
      </c>
      <c r="G4120">
        <v>453859</v>
      </c>
      <c r="H4120" t="s">
        <v>10653</v>
      </c>
      <c r="I4120" t="s">
        <v>2413</v>
      </c>
      <c r="J4120">
        <v>30</v>
      </c>
      <c r="K4120">
        <v>2695</v>
      </c>
      <c r="L4120">
        <v>95000</v>
      </c>
      <c r="M4120" t="s">
        <v>69</v>
      </c>
      <c r="N4120">
        <v>691</v>
      </c>
      <c r="O4120" s="2">
        <v>46197</v>
      </c>
      <c r="P4120" s="2">
        <v>46329</v>
      </c>
      <c r="R4120" t="s">
        <v>10673</v>
      </c>
      <c r="S4120" t="str">
        <f>""</f>
        <v/>
      </c>
      <c r="T4120" t="s">
        <v>41</v>
      </c>
      <c r="U4120">
        <v>32932.21</v>
      </c>
      <c r="V4120">
        <v>32569.96</v>
      </c>
      <c r="W4120">
        <v>32569.96</v>
      </c>
      <c r="X4120">
        <v>0</v>
      </c>
      <c r="Y4120">
        <v>0</v>
      </c>
      <c r="Z4120">
        <v>-554</v>
      </c>
      <c r="AA4120">
        <v>692142</v>
      </c>
      <c r="AD4120" t="s">
        <v>4421</v>
      </c>
      <c r="AE4120">
        <v>1134115000</v>
      </c>
      <c r="AF4120" t="s">
        <v>4421</v>
      </c>
      <c r="AG4120" s="1" t="s">
        <v>10655</v>
      </c>
      <c r="AH4120" t="s">
        <v>44</v>
      </c>
    </row>
    <row r="4121" spans="1:34" x14ac:dyDescent="0.3">
      <c r="A4121">
        <v>101</v>
      </c>
      <c r="B4121" t="s">
        <v>34</v>
      </c>
      <c r="C4121">
        <v>2</v>
      </c>
      <c r="D4121" s="1" t="s">
        <v>10674</v>
      </c>
      <c r="E4121" s="1" t="s">
        <v>36</v>
      </c>
      <c r="G4121">
        <v>453861</v>
      </c>
      <c r="H4121" t="s">
        <v>10675</v>
      </c>
      <c r="I4121" t="s">
        <v>2413</v>
      </c>
      <c r="J4121">
        <v>30</v>
      </c>
      <c r="K4121">
        <v>2695</v>
      </c>
      <c r="L4121">
        <v>95000</v>
      </c>
      <c r="M4121" t="s">
        <v>69</v>
      </c>
      <c r="N4121">
        <v>691</v>
      </c>
      <c r="O4121" s="2">
        <v>46226</v>
      </c>
      <c r="P4121" s="2">
        <v>46337</v>
      </c>
      <c r="R4121" t="s">
        <v>10676</v>
      </c>
      <c r="S4121" t="str">
        <f>""</f>
        <v/>
      </c>
      <c r="T4121" t="s">
        <v>41</v>
      </c>
      <c r="U4121">
        <v>1174.8699999999999</v>
      </c>
      <c r="V4121">
        <v>1161.95</v>
      </c>
      <c r="W4121">
        <v>1161.95</v>
      </c>
      <c r="X4121">
        <v>0</v>
      </c>
      <c r="Y4121">
        <v>0</v>
      </c>
      <c r="Z4121">
        <v>-562</v>
      </c>
      <c r="AA4121">
        <v>694983</v>
      </c>
      <c r="AD4121" t="s">
        <v>3301</v>
      </c>
      <c r="AE4121">
        <v>1134115000</v>
      </c>
      <c r="AF4121" t="s">
        <v>3301</v>
      </c>
      <c r="AG4121" s="1" t="s">
        <v>10677</v>
      </c>
      <c r="AH4121" t="s">
        <v>44</v>
      </c>
    </row>
    <row r="4122" spans="1:34" x14ac:dyDescent="0.3">
      <c r="A4122">
        <v>101</v>
      </c>
      <c r="B4122" t="s">
        <v>34</v>
      </c>
      <c r="C4122">
        <v>2</v>
      </c>
      <c r="D4122" s="1" t="s">
        <v>10678</v>
      </c>
      <c r="E4122" s="1" t="s">
        <v>36</v>
      </c>
      <c r="G4122">
        <v>453861</v>
      </c>
      <c r="H4122" t="s">
        <v>10675</v>
      </c>
      <c r="I4122" t="s">
        <v>2413</v>
      </c>
      <c r="J4122">
        <v>30</v>
      </c>
      <c r="K4122">
        <v>2695</v>
      </c>
      <c r="L4122">
        <v>95000</v>
      </c>
      <c r="M4122" t="s">
        <v>69</v>
      </c>
      <c r="N4122">
        <v>691</v>
      </c>
      <c r="O4122" s="2">
        <v>46253</v>
      </c>
      <c r="P4122" s="2">
        <v>46343</v>
      </c>
      <c r="R4122" t="s">
        <v>10679</v>
      </c>
      <c r="S4122" t="str">
        <f>""</f>
        <v/>
      </c>
      <c r="T4122" t="s">
        <v>41</v>
      </c>
      <c r="U4122">
        <v>1769</v>
      </c>
      <c r="V4122">
        <v>1749.54</v>
      </c>
      <c r="W4122">
        <v>1749.54</v>
      </c>
      <c r="X4122">
        <v>0</v>
      </c>
      <c r="Y4122">
        <v>0</v>
      </c>
      <c r="Z4122">
        <v>-568</v>
      </c>
      <c r="AA4122">
        <v>697007</v>
      </c>
      <c r="AD4122" t="s">
        <v>3301</v>
      </c>
      <c r="AE4122">
        <v>1134115000</v>
      </c>
      <c r="AF4122" t="s">
        <v>3301</v>
      </c>
      <c r="AG4122" s="1" t="s">
        <v>10677</v>
      </c>
      <c r="AH4122" t="s">
        <v>44</v>
      </c>
    </row>
    <row r="4123" spans="1:34" x14ac:dyDescent="0.3">
      <c r="A4123">
        <v>101</v>
      </c>
      <c r="B4123" t="s">
        <v>34</v>
      </c>
      <c r="C4123">
        <v>2</v>
      </c>
      <c r="D4123" s="1" t="s">
        <v>10680</v>
      </c>
      <c r="E4123" s="1" t="s">
        <v>36</v>
      </c>
      <c r="G4123">
        <v>453861</v>
      </c>
      <c r="H4123" t="s">
        <v>10675</v>
      </c>
      <c r="I4123" t="s">
        <v>2413</v>
      </c>
      <c r="J4123">
        <v>30</v>
      </c>
      <c r="K4123">
        <v>2695</v>
      </c>
      <c r="L4123">
        <v>95000</v>
      </c>
      <c r="M4123" t="s">
        <v>69</v>
      </c>
      <c r="N4123">
        <v>691</v>
      </c>
      <c r="O4123" s="2">
        <v>46140</v>
      </c>
      <c r="P4123" s="2">
        <v>46266</v>
      </c>
      <c r="R4123" t="s">
        <v>10681</v>
      </c>
      <c r="S4123" t="str">
        <f>""</f>
        <v/>
      </c>
      <c r="T4123" t="s">
        <v>41</v>
      </c>
      <c r="U4123">
        <v>731.7</v>
      </c>
      <c r="V4123">
        <v>723.65</v>
      </c>
      <c r="W4123">
        <v>723.65</v>
      </c>
      <c r="X4123">
        <v>0</v>
      </c>
      <c r="Y4123">
        <v>0</v>
      </c>
      <c r="Z4123">
        <v>-491</v>
      </c>
      <c r="AA4123">
        <v>686904</v>
      </c>
      <c r="AD4123" t="s">
        <v>3301</v>
      </c>
      <c r="AE4123">
        <v>1134115000</v>
      </c>
      <c r="AF4123" t="s">
        <v>3301</v>
      </c>
      <c r="AG4123" s="1" t="s">
        <v>10677</v>
      </c>
      <c r="AH4123" t="s">
        <v>44</v>
      </c>
    </row>
    <row r="4124" spans="1:34" x14ac:dyDescent="0.3">
      <c r="A4124">
        <v>101</v>
      </c>
      <c r="B4124" t="s">
        <v>34</v>
      </c>
      <c r="C4124">
        <v>2</v>
      </c>
      <c r="D4124" s="1" t="s">
        <v>10682</v>
      </c>
      <c r="E4124" s="1" t="s">
        <v>36</v>
      </c>
      <c r="G4124">
        <v>453861</v>
      </c>
      <c r="H4124" t="s">
        <v>10675</v>
      </c>
      <c r="I4124" t="s">
        <v>2413</v>
      </c>
      <c r="J4124">
        <v>30</v>
      </c>
      <c r="K4124">
        <v>2695</v>
      </c>
      <c r="L4124">
        <v>95000</v>
      </c>
      <c r="M4124" t="s">
        <v>69</v>
      </c>
      <c r="N4124">
        <v>691</v>
      </c>
      <c r="O4124" s="2">
        <v>46197</v>
      </c>
      <c r="P4124" s="2">
        <v>46316</v>
      </c>
      <c r="R4124" t="s">
        <v>10683</v>
      </c>
      <c r="S4124" t="str">
        <f>""</f>
        <v/>
      </c>
      <c r="T4124" t="s">
        <v>41</v>
      </c>
      <c r="U4124">
        <v>5667.34</v>
      </c>
      <c r="V4124">
        <v>5605</v>
      </c>
      <c r="W4124">
        <v>5605</v>
      </c>
      <c r="X4124">
        <v>0</v>
      </c>
      <c r="Y4124">
        <v>0</v>
      </c>
      <c r="Z4124">
        <v>-541</v>
      </c>
      <c r="AA4124">
        <v>692172</v>
      </c>
      <c r="AD4124" t="s">
        <v>3301</v>
      </c>
      <c r="AE4124">
        <v>1134115000</v>
      </c>
      <c r="AF4124" t="s">
        <v>3301</v>
      </c>
      <c r="AG4124" s="1" t="s">
        <v>10677</v>
      </c>
      <c r="AH4124" t="s">
        <v>44</v>
      </c>
    </row>
    <row r="4125" spans="1:34" x14ac:dyDescent="0.3">
      <c r="A4125">
        <v>101</v>
      </c>
      <c r="B4125" t="s">
        <v>34</v>
      </c>
      <c r="C4125">
        <v>2</v>
      </c>
      <c r="D4125" s="1" t="s">
        <v>10684</v>
      </c>
      <c r="E4125" s="1" t="s">
        <v>36</v>
      </c>
      <c r="G4125">
        <v>453861</v>
      </c>
      <c r="H4125" t="s">
        <v>10675</v>
      </c>
      <c r="I4125" t="s">
        <v>2413</v>
      </c>
      <c r="J4125">
        <v>30</v>
      </c>
      <c r="K4125">
        <v>2695</v>
      </c>
      <c r="L4125">
        <v>95000</v>
      </c>
      <c r="M4125" t="s">
        <v>69</v>
      </c>
      <c r="N4125">
        <v>691</v>
      </c>
      <c r="O4125" s="2">
        <v>46140</v>
      </c>
      <c r="P4125" s="2">
        <v>46266</v>
      </c>
      <c r="R4125" t="s">
        <v>10685</v>
      </c>
      <c r="S4125" t="str">
        <f>""</f>
        <v/>
      </c>
      <c r="T4125" t="s">
        <v>41</v>
      </c>
      <c r="U4125">
        <v>9429.93</v>
      </c>
      <c r="V4125">
        <v>9326.2000000000007</v>
      </c>
      <c r="W4125">
        <v>9326.2000000000007</v>
      </c>
      <c r="X4125">
        <v>0</v>
      </c>
      <c r="Y4125">
        <v>0</v>
      </c>
      <c r="Z4125">
        <v>-491</v>
      </c>
      <c r="AA4125">
        <v>686608</v>
      </c>
      <c r="AD4125" t="s">
        <v>3301</v>
      </c>
      <c r="AE4125">
        <v>1134115000</v>
      </c>
      <c r="AF4125" t="s">
        <v>3301</v>
      </c>
      <c r="AG4125" s="1" t="s">
        <v>10677</v>
      </c>
      <c r="AH4125" t="s">
        <v>44</v>
      </c>
    </row>
    <row r="4126" spans="1:34" x14ac:dyDescent="0.3">
      <c r="A4126">
        <v>101</v>
      </c>
      <c r="B4126" t="s">
        <v>34</v>
      </c>
      <c r="C4126">
        <v>2</v>
      </c>
      <c r="D4126" s="1" t="s">
        <v>10686</v>
      </c>
      <c r="E4126" s="1" t="s">
        <v>36</v>
      </c>
      <c r="G4126">
        <v>453861</v>
      </c>
      <c r="H4126" t="s">
        <v>10675</v>
      </c>
      <c r="I4126" t="s">
        <v>2413</v>
      </c>
      <c r="J4126">
        <v>30</v>
      </c>
      <c r="K4126">
        <v>2695</v>
      </c>
      <c r="L4126">
        <v>95000</v>
      </c>
      <c r="M4126" t="s">
        <v>69</v>
      </c>
      <c r="N4126">
        <v>691</v>
      </c>
      <c r="O4126" s="2">
        <v>46170</v>
      </c>
      <c r="P4126" s="2">
        <v>46276</v>
      </c>
      <c r="R4126" t="s">
        <v>10687</v>
      </c>
      <c r="S4126" t="str">
        <f>""</f>
        <v/>
      </c>
      <c r="T4126" t="s">
        <v>41</v>
      </c>
      <c r="U4126">
        <v>585.36</v>
      </c>
      <c r="V4126">
        <v>578.91999999999996</v>
      </c>
      <c r="W4126">
        <v>578.91999999999996</v>
      </c>
      <c r="X4126">
        <v>0</v>
      </c>
      <c r="Y4126">
        <v>0</v>
      </c>
      <c r="Z4126">
        <v>-501</v>
      </c>
      <c r="AA4126">
        <v>689487</v>
      </c>
      <c r="AD4126" t="s">
        <v>3301</v>
      </c>
      <c r="AE4126">
        <v>1134115000</v>
      </c>
      <c r="AF4126" t="s">
        <v>3301</v>
      </c>
      <c r="AG4126" s="1" t="s">
        <v>10677</v>
      </c>
      <c r="AH4126" t="s">
        <v>44</v>
      </c>
    </row>
    <row r="4127" spans="1:34" x14ac:dyDescent="0.3">
      <c r="A4127">
        <v>101</v>
      </c>
      <c r="B4127" t="s">
        <v>34</v>
      </c>
      <c r="C4127">
        <v>2</v>
      </c>
      <c r="D4127" s="1" t="s">
        <v>10688</v>
      </c>
      <c r="E4127" s="1" t="s">
        <v>36</v>
      </c>
      <c r="G4127">
        <v>453861</v>
      </c>
      <c r="H4127" t="s">
        <v>10675</v>
      </c>
      <c r="I4127" t="s">
        <v>2413</v>
      </c>
      <c r="J4127">
        <v>30</v>
      </c>
      <c r="K4127">
        <v>2695</v>
      </c>
      <c r="L4127">
        <v>95000</v>
      </c>
      <c r="M4127" t="s">
        <v>69</v>
      </c>
      <c r="N4127">
        <v>691</v>
      </c>
      <c r="O4127" s="2">
        <v>46170</v>
      </c>
      <c r="P4127" s="2">
        <v>46276</v>
      </c>
      <c r="R4127" t="s">
        <v>10689</v>
      </c>
      <c r="S4127" t="str">
        <f>""</f>
        <v/>
      </c>
      <c r="T4127" t="s">
        <v>41</v>
      </c>
      <c r="U4127">
        <v>18334.47</v>
      </c>
      <c r="V4127">
        <v>18132.79</v>
      </c>
      <c r="W4127">
        <v>18132.79</v>
      </c>
      <c r="X4127">
        <v>0</v>
      </c>
      <c r="Y4127">
        <v>0</v>
      </c>
      <c r="Z4127">
        <v>-501</v>
      </c>
      <c r="AA4127">
        <v>689210</v>
      </c>
      <c r="AD4127" t="s">
        <v>3301</v>
      </c>
      <c r="AE4127">
        <v>1134115000</v>
      </c>
      <c r="AF4127" t="s">
        <v>3301</v>
      </c>
      <c r="AG4127" s="1" t="s">
        <v>10677</v>
      </c>
      <c r="AH4127" t="s">
        <v>44</v>
      </c>
    </row>
    <row r="4128" spans="1:34" x14ac:dyDescent="0.3">
      <c r="A4128">
        <v>101</v>
      </c>
      <c r="B4128" t="s">
        <v>34</v>
      </c>
      <c r="C4128">
        <v>2</v>
      </c>
      <c r="D4128" s="1" t="s">
        <v>10690</v>
      </c>
      <c r="E4128" s="1" t="s">
        <v>36</v>
      </c>
      <c r="G4128">
        <v>453861</v>
      </c>
      <c r="H4128" t="s">
        <v>10675</v>
      </c>
      <c r="I4128" t="s">
        <v>2413</v>
      </c>
      <c r="J4128">
        <v>30</v>
      </c>
      <c r="K4128">
        <v>2695</v>
      </c>
      <c r="L4128">
        <v>95000</v>
      </c>
      <c r="M4128" t="s">
        <v>69</v>
      </c>
      <c r="N4128">
        <v>691</v>
      </c>
      <c r="O4128" s="2">
        <v>46171</v>
      </c>
      <c r="P4128" s="2">
        <v>46276</v>
      </c>
      <c r="R4128" t="s">
        <v>10691</v>
      </c>
      <c r="S4128" t="str">
        <f>""</f>
        <v/>
      </c>
      <c r="T4128" t="s">
        <v>41</v>
      </c>
      <c r="U4128">
        <v>2846.4</v>
      </c>
      <c r="V4128">
        <v>2815.09</v>
      </c>
      <c r="W4128">
        <v>2815.09</v>
      </c>
      <c r="X4128">
        <v>0</v>
      </c>
      <c r="Y4128">
        <v>0</v>
      </c>
      <c r="Z4128">
        <v>-501</v>
      </c>
      <c r="AA4128">
        <v>689210</v>
      </c>
      <c r="AD4128" t="s">
        <v>3301</v>
      </c>
      <c r="AE4128">
        <v>1134115000</v>
      </c>
      <c r="AF4128" t="s">
        <v>3301</v>
      </c>
      <c r="AG4128" s="1" t="s">
        <v>10677</v>
      </c>
      <c r="AH4128" t="s">
        <v>44</v>
      </c>
    </row>
    <row r="4129" spans="1:34" x14ac:dyDescent="0.3">
      <c r="A4129">
        <v>101</v>
      </c>
      <c r="B4129" t="s">
        <v>34</v>
      </c>
      <c r="C4129">
        <v>2</v>
      </c>
      <c r="D4129" s="1" t="s">
        <v>10692</v>
      </c>
      <c r="E4129" s="1" t="s">
        <v>36</v>
      </c>
      <c r="G4129">
        <v>453861</v>
      </c>
      <c r="H4129" t="s">
        <v>10675</v>
      </c>
      <c r="I4129" t="s">
        <v>2413</v>
      </c>
      <c r="J4129">
        <v>30</v>
      </c>
      <c r="K4129">
        <v>2695</v>
      </c>
      <c r="L4129">
        <v>95000</v>
      </c>
      <c r="M4129" t="s">
        <v>69</v>
      </c>
      <c r="N4129">
        <v>691</v>
      </c>
      <c r="O4129" s="2">
        <v>46239</v>
      </c>
      <c r="P4129" s="2">
        <v>46329</v>
      </c>
      <c r="R4129" t="s">
        <v>10693</v>
      </c>
      <c r="S4129" t="str">
        <f>""</f>
        <v/>
      </c>
      <c r="T4129" t="s">
        <v>41</v>
      </c>
      <c r="U4129">
        <v>1822.62</v>
      </c>
      <c r="V4129">
        <v>1802.57</v>
      </c>
      <c r="W4129">
        <v>1802.57</v>
      </c>
      <c r="X4129">
        <v>0</v>
      </c>
      <c r="Y4129">
        <v>0</v>
      </c>
      <c r="Z4129">
        <v>-554</v>
      </c>
      <c r="AA4129">
        <v>696231</v>
      </c>
      <c r="AD4129" t="s">
        <v>3301</v>
      </c>
      <c r="AE4129">
        <v>1134115000</v>
      </c>
      <c r="AF4129" t="s">
        <v>3301</v>
      </c>
      <c r="AG4129" s="1" t="s">
        <v>10677</v>
      </c>
      <c r="AH4129" t="s">
        <v>44</v>
      </c>
    </row>
    <row r="4130" spans="1:34" x14ac:dyDescent="0.3">
      <c r="A4130">
        <v>101</v>
      </c>
      <c r="B4130" t="s">
        <v>34</v>
      </c>
      <c r="C4130">
        <v>2</v>
      </c>
      <c r="D4130" s="1" t="s">
        <v>10694</v>
      </c>
      <c r="E4130" s="1" t="s">
        <v>36</v>
      </c>
      <c r="G4130">
        <v>454450</v>
      </c>
      <c r="H4130" t="s">
        <v>10695</v>
      </c>
      <c r="I4130" t="s">
        <v>2413</v>
      </c>
      <c r="J4130">
        <v>30</v>
      </c>
      <c r="K4130">
        <v>2695</v>
      </c>
      <c r="L4130">
        <v>95000</v>
      </c>
      <c r="M4130" t="s">
        <v>69</v>
      </c>
      <c r="N4130">
        <v>691</v>
      </c>
      <c r="O4130" s="2">
        <v>46171</v>
      </c>
      <c r="P4130" s="2">
        <v>46286</v>
      </c>
      <c r="R4130" t="s">
        <v>10696</v>
      </c>
      <c r="S4130" t="str">
        <f>""</f>
        <v/>
      </c>
      <c r="T4130" t="s">
        <v>41</v>
      </c>
      <c r="U4130">
        <v>2846.4</v>
      </c>
      <c r="V4130">
        <v>2815.09</v>
      </c>
      <c r="W4130">
        <v>2815.09</v>
      </c>
      <c r="X4130">
        <v>0</v>
      </c>
      <c r="Y4130">
        <v>0</v>
      </c>
      <c r="Z4130">
        <v>-511</v>
      </c>
      <c r="AA4130">
        <v>689324</v>
      </c>
      <c r="AD4130" t="s">
        <v>64</v>
      </c>
      <c r="AE4130">
        <v>1134115000</v>
      </c>
      <c r="AF4130" t="s">
        <v>64</v>
      </c>
      <c r="AG4130" s="1" t="s">
        <v>10697</v>
      </c>
      <c r="AH4130" t="s">
        <v>44</v>
      </c>
    </row>
    <row r="4131" spans="1:34" x14ac:dyDescent="0.3">
      <c r="A4131">
        <v>101</v>
      </c>
      <c r="B4131" t="s">
        <v>34</v>
      </c>
      <c r="C4131">
        <v>2</v>
      </c>
      <c r="D4131" s="1" t="s">
        <v>10698</v>
      </c>
      <c r="E4131" s="1" t="s">
        <v>36</v>
      </c>
      <c r="G4131">
        <v>454450</v>
      </c>
      <c r="H4131" t="s">
        <v>10695</v>
      </c>
      <c r="I4131" t="s">
        <v>2413</v>
      </c>
      <c r="J4131">
        <v>30</v>
      </c>
      <c r="K4131">
        <v>2695</v>
      </c>
      <c r="L4131">
        <v>95000</v>
      </c>
      <c r="M4131" t="s">
        <v>69</v>
      </c>
      <c r="N4131">
        <v>691</v>
      </c>
      <c r="O4131" s="2">
        <v>46197</v>
      </c>
      <c r="P4131" s="2">
        <v>46308</v>
      </c>
      <c r="R4131" t="s">
        <v>10699</v>
      </c>
      <c r="S4131" t="str">
        <f>""</f>
        <v/>
      </c>
      <c r="T4131" t="s">
        <v>41</v>
      </c>
      <c r="U4131">
        <v>12670.4</v>
      </c>
      <c r="V4131">
        <v>12531.03</v>
      </c>
      <c r="W4131">
        <v>12531.03</v>
      </c>
      <c r="X4131">
        <v>0</v>
      </c>
      <c r="Y4131">
        <v>0</v>
      </c>
      <c r="Z4131">
        <v>-533</v>
      </c>
      <c r="AA4131">
        <v>692284</v>
      </c>
      <c r="AD4131" t="s">
        <v>64</v>
      </c>
      <c r="AE4131">
        <v>1134115000</v>
      </c>
      <c r="AF4131" t="s">
        <v>64</v>
      </c>
      <c r="AG4131" s="1" t="s">
        <v>10697</v>
      </c>
      <c r="AH4131" t="s">
        <v>44</v>
      </c>
    </row>
    <row r="4132" spans="1:34" x14ac:dyDescent="0.3">
      <c r="A4132">
        <v>101</v>
      </c>
      <c r="B4132" t="s">
        <v>34</v>
      </c>
      <c r="C4132">
        <v>2</v>
      </c>
      <c r="D4132" s="1" t="s">
        <v>10700</v>
      </c>
      <c r="E4132" s="1" t="s">
        <v>36</v>
      </c>
      <c r="G4132">
        <v>454450</v>
      </c>
      <c r="H4132" t="s">
        <v>10695</v>
      </c>
      <c r="I4132" t="s">
        <v>2413</v>
      </c>
      <c r="J4132">
        <v>30</v>
      </c>
      <c r="K4132">
        <v>2695</v>
      </c>
      <c r="L4132">
        <v>95000</v>
      </c>
      <c r="M4132" t="s">
        <v>69</v>
      </c>
      <c r="N4132">
        <v>691</v>
      </c>
      <c r="O4132" s="2">
        <v>46170</v>
      </c>
      <c r="P4132" s="2">
        <v>46286</v>
      </c>
      <c r="R4132" t="s">
        <v>10701</v>
      </c>
      <c r="S4132" t="str">
        <f>""</f>
        <v/>
      </c>
      <c r="T4132" t="s">
        <v>41</v>
      </c>
      <c r="U4132">
        <v>27680.85</v>
      </c>
      <c r="V4132">
        <v>27376.36</v>
      </c>
      <c r="W4132">
        <v>27376.36</v>
      </c>
      <c r="X4132">
        <v>0</v>
      </c>
      <c r="Y4132">
        <v>0</v>
      </c>
      <c r="Z4132">
        <v>-511</v>
      </c>
      <c r="AA4132">
        <v>689324</v>
      </c>
      <c r="AD4132" t="s">
        <v>64</v>
      </c>
      <c r="AE4132">
        <v>1134115000</v>
      </c>
      <c r="AF4132" t="s">
        <v>64</v>
      </c>
      <c r="AG4132" s="1" t="s">
        <v>10697</v>
      </c>
      <c r="AH4132" t="s">
        <v>44</v>
      </c>
    </row>
    <row r="4133" spans="1:34" x14ac:dyDescent="0.3">
      <c r="A4133">
        <v>101</v>
      </c>
      <c r="B4133" t="s">
        <v>34</v>
      </c>
      <c r="C4133">
        <v>2</v>
      </c>
      <c r="D4133" s="1" t="s">
        <v>10702</v>
      </c>
      <c r="E4133" s="1" t="s">
        <v>36</v>
      </c>
      <c r="G4133">
        <v>454450</v>
      </c>
      <c r="H4133" t="s">
        <v>10695</v>
      </c>
      <c r="I4133" t="s">
        <v>2413</v>
      </c>
      <c r="J4133">
        <v>30</v>
      </c>
      <c r="K4133">
        <v>2695</v>
      </c>
      <c r="L4133">
        <v>95000</v>
      </c>
      <c r="M4133" t="s">
        <v>69</v>
      </c>
      <c r="N4133">
        <v>691</v>
      </c>
      <c r="O4133" s="2">
        <v>46140</v>
      </c>
      <c r="P4133" s="2">
        <v>46255</v>
      </c>
      <c r="R4133" t="s">
        <v>10703</v>
      </c>
      <c r="S4133" t="str">
        <f>""</f>
        <v/>
      </c>
      <c r="T4133" t="s">
        <v>41</v>
      </c>
      <c r="U4133">
        <v>5007.63</v>
      </c>
      <c r="V4133">
        <v>4952.55</v>
      </c>
      <c r="W4133">
        <v>4952.55</v>
      </c>
      <c r="X4133">
        <v>0</v>
      </c>
      <c r="Y4133">
        <v>0</v>
      </c>
      <c r="Z4133">
        <v>-480</v>
      </c>
      <c r="AA4133">
        <v>686724</v>
      </c>
      <c r="AD4133" t="s">
        <v>64</v>
      </c>
      <c r="AE4133">
        <v>1134115000</v>
      </c>
      <c r="AF4133" t="s">
        <v>64</v>
      </c>
      <c r="AG4133" s="1" t="s">
        <v>10697</v>
      </c>
      <c r="AH4133" t="s">
        <v>44</v>
      </c>
    </row>
    <row r="4134" spans="1:34" x14ac:dyDescent="0.3">
      <c r="A4134">
        <v>101</v>
      </c>
      <c r="B4134" t="s">
        <v>34</v>
      </c>
      <c r="C4134">
        <v>2</v>
      </c>
      <c r="D4134" s="1" t="s">
        <v>10704</v>
      </c>
      <c r="E4134" s="1" t="s">
        <v>36</v>
      </c>
      <c r="G4134">
        <v>454450</v>
      </c>
      <c r="H4134" t="s">
        <v>10695</v>
      </c>
      <c r="I4134" t="s">
        <v>2413</v>
      </c>
      <c r="J4134">
        <v>30</v>
      </c>
      <c r="K4134">
        <v>2695</v>
      </c>
      <c r="L4134">
        <v>95000</v>
      </c>
      <c r="M4134" t="s">
        <v>69</v>
      </c>
      <c r="N4134">
        <v>691</v>
      </c>
      <c r="O4134" s="2">
        <v>46226</v>
      </c>
      <c r="P4134" s="2">
        <v>46316</v>
      </c>
      <c r="R4134" t="s">
        <v>10705</v>
      </c>
      <c r="S4134" t="str">
        <f>""</f>
        <v/>
      </c>
      <c r="T4134" t="s">
        <v>41</v>
      </c>
      <c r="U4134">
        <v>2586.6</v>
      </c>
      <c r="V4134">
        <v>2558.15</v>
      </c>
      <c r="W4134">
        <v>2558.15</v>
      </c>
      <c r="X4134">
        <v>0</v>
      </c>
      <c r="Y4134">
        <v>0</v>
      </c>
      <c r="Z4134">
        <v>-541</v>
      </c>
      <c r="AA4134">
        <v>694943</v>
      </c>
      <c r="AD4134" t="s">
        <v>64</v>
      </c>
      <c r="AE4134">
        <v>1134115000</v>
      </c>
      <c r="AF4134" t="s">
        <v>64</v>
      </c>
      <c r="AG4134" s="1" t="s">
        <v>10697</v>
      </c>
      <c r="AH4134" t="s">
        <v>44</v>
      </c>
    </row>
    <row r="4135" spans="1:34" x14ac:dyDescent="0.3">
      <c r="A4135">
        <v>101</v>
      </c>
      <c r="B4135" t="s">
        <v>34</v>
      </c>
      <c r="C4135">
        <v>2</v>
      </c>
      <c r="D4135" s="1" t="s">
        <v>10706</v>
      </c>
      <c r="E4135" s="1" t="s">
        <v>36</v>
      </c>
      <c r="G4135">
        <v>455795</v>
      </c>
      <c r="H4135" t="s">
        <v>10707</v>
      </c>
      <c r="I4135" t="s">
        <v>2413</v>
      </c>
      <c r="J4135">
        <v>30</v>
      </c>
      <c r="K4135">
        <v>2695</v>
      </c>
      <c r="L4135">
        <v>95000</v>
      </c>
      <c r="M4135" t="s">
        <v>69</v>
      </c>
      <c r="N4135">
        <v>691</v>
      </c>
      <c r="O4135" s="2">
        <v>46239</v>
      </c>
      <c r="P4135" s="2">
        <v>46349</v>
      </c>
      <c r="R4135" t="s">
        <v>10708</v>
      </c>
      <c r="S4135" t="str">
        <f>""</f>
        <v/>
      </c>
      <c r="T4135" t="s">
        <v>41</v>
      </c>
      <c r="U4135">
        <v>527.52</v>
      </c>
      <c r="V4135">
        <v>521.72</v>
      </c>
      <c r="W4135">
        <v>521.72</v>
      </c>
      <c r="X4135">
        <v>0</v>
      </c>
      <c r="Y4135">
        <v>0</v>
      </c>
      <c r="Z4135">
        <v>-574</v>
      </c>
      <c r="AA4135">
        <v>696237</v>
      </c>
      <c r="AD4135" t="s">
        <v>50</v>
      </c>
      <c r="AE4135">
        <v>1134115000</v>
      </c>
      <c r="AF4135" t="s">
        <v>50</v>
      </c>
      <c r="AG4135" s="1" t="s">
        <v>10709</v>
      </c>
      <c r="AH4135" t="s">
        <v>44</v>
      </c>
    </row>
    <row r="4136" spans="1:34" x14ac:dyDescent="0.3">
      <c r="A4136">
        <v>101</v>
      </c>
      <c r="B4136" t="s">
        <v>34</v>
      </c>
      <c r="C4136">
        <v>2</v>
      </c>
      <c r="D4136" s="1" t="s">
        <v>10710</v>
      </c>
      <c r="E4136" s="1" t="s">
        <v>36</v>
      </c>
      <c r="G4136">
        <v>455795</v>
      </c>
      <c r="H4136" t="s">
        <v>10707</v>
      </c>
      <c r="I4136" t="s">
        <v>2413</v>
      </c>
      <c r="J4136">
        <v>30</v>
      </c>
      <c r="K4136">
        <v>2695</v>
      </c>
      <c r="L4136">
        <v>95000</v>
      </c>
      <c r="M4136" t="s">
        <v>69</v>
      </c>
      <c r="N4136">
        <v>691</v>
      </c>
      <c r="O4136" s="2">
        <v>46199</v>
      </c>
      <c r="P4136" s="2">
        <v>46308</v>
      </c>
      <c r="R4136" t="s">
        <v>10711</v>
      </c>
      <c r="S4136" t="str">
        <f>""</f>
        <v/>
      </c>
      <c r="T4136" t="s">
        <v>41</v>
      </c>
      <c r="U4136">
        <v>884.5</v>
      </c>
      <c r="V4136">
        <v>874.77</v>
      </c>
      <c r="W4136">
        <v>874.77</v>
      </c>
      <c r="X4136">
        <v>0</v>
      </c>
      <c r="Y4136">
        <v>0</v>
      </c>
      <c r="Z4136">
        <v>-533</v>
      </c>
      <c r="AA4136">
        <v>692556</v>
      </c>
      <c r="AD4136" t="s">
        <v>50</v>
      </c>
      <c r="AE4136">
        <v>1134115000</v>
      </c>
      <c r="AF4136" t="s">
        <v>50</v>
      </c>
      <c r="AG4136" s="1" t="s">
        <v>10709</v>
      </c>
      <c r="AH4136" t="s">
        <v>44</v>
      </c>
    </row>
    <row r="4137" spans="1:34" x14ac:dyDescent="0.3">
      <c r="A4137">
        <v>101</v>
      </c>
      <c r="B4137" t="s">
        <v>34</v>
      </c>
      <c r="C4137">
        <v>2</v>
      </c>
      <c r="D4137" s="1" t="s">
        <v>10712</v>
      </c>
      <c r="E4137" s="1" t="s">
        <v>36</v>
      </c>
      <c r="G4137">
        <v>455795</v>
      </c>
      <c r="H4137" t="s">
        <v>10707</v>
      </c>
      <c r="I4137" t="s">
        <v>2413</v>
      </c>
      <c r="J4137">
        <v>30</v>
      </c>
      <c r="K4137">
        <v>2695</v>
      </c>
      <c r="L4137">
        <v>95000</v>
      </c>
      <c r="M4137" t="s">
        <v>69</v>
      </c>
      <c r="N4137">
        <v>691</v>
      </c>
      <c r="O4137" s="2">
        <v>46170</v>
      </c>
      <c r="P4137" s="2">
        <v>46286</v>
      </c>
      <c r="R4137" t="s">
        <v>10713</v>
      </c>
      <c r="S4137" t="str">
        <f>""</f>
        <v/>
      </c>
      <c r="T4137" t="s">
        <v>41</v>
      </c>
      <c r="U4137">
        <v>9203.16</v>
      </c>
      <c r="V4137">
        <v>9101.93</v>
      </c>
      <c r="W4137">
        <v>9101.93</v>
      </c>
      <c r="X4137">
        <v>0</v>
      </c>
      <c r="Y4137">
        <v>0</v>
      </c>
      <c r="Z4137">
        <v>-511</v>
      </c>
      <c r="AA4137">
        <v>689216</v>
      </c>
      <c r="AD4137" t="s">
        <v>50</v>
      </c>
      <c r="AE4137">
        <v>1134115000</v>
      </c>
      <c r="AF4137" t="s">
        <v>50</v>
      </c>
      <c r="AG4137" s="1" t="s">
        <v>10709</v>
      </c>
      <c r="AH4137" t="s">
        <v>44</v>
      </c>
    </row>
    <row r="4138" spans="1:34" x14ac:dyDescent="0.3">
      <c r="A4138">
        <v>101</v>
      </c>
      <c r="B4138" t="s">
        <v>34</v>
      </c>
      <c r="C4138">
        <v>2</v>
      </c>
      <c r="D4138" s="1" t="s">
        <v>10714</v>
      </c>
      <c r="E4138" s="1" t="s">
        <v>36</v>
      </c>
      <c r="G4138">
        <v>455795</v>
      </c>
      <c r="H4138" t="s">
        <v>10707</v>
      </c>
      <c r="I4138" t="s">
        <v>2413</v>
      </c>
      <c r="J4138">
        <v>30</v>
      </c>
      <c r="K4138">
        <v>2695</v>
      </c>
      <c r="L4138">
        <v>95000</v>
      </c>
      <c r="M4138" t="s">
        <v>69</v>
      </c>
      <c r="N4138">
        <v>691</v>
      </c>
      <c r="O4138" s="2">
        <v>46197</v>
      </c>
      <c r="P4138" s="2">
        <v>46308</v>
      </c>
      <c r="R4138" t="s">
        <v>10715</v>
      </c>
      <c r="S4138" t="str">
        <f>""</f>
        <v/>
      </c>
      <c r="T4138" t="s">
        <v>41</v>
      </c>
      <c r="U4138">
        <v>16348.71</v>
      </c>
      <c r="V4138">
        <v>16168.87</v>
      </c>
      <c r="W4138">
        <v>16168.87</v>
      </c>
      <c r="X4138">
        <v>0</v>
      </c>
      <c r="Y4138">
        <v>0</v>
      </c>
      <c r="Z4138">
        <v>-533</v>
      </c>
      <c r="AA4138">
        <v>692178</v>
      </c>
      <c r="AD4138" t="s">
        <v>50</v>
      </c>
      <c r="AE4138">
        <v>1134115000</v>
      </c>
      <c r="AF4138" t="s">
        <v>50</v>
      </c>
      <c r="AG4138" s="1" t="s">
        <v>10709</v>
      </c>
      <c r="AH4138" t="s">
        <v>44</v>
      </c>
    </row>
    <row r="4139" spans="1:34" x14ac:dyDescent="0.3">
      <c r="A4139">
        <v>101</v>
      </c>
      <c r="B4139" t="s">
        <v>34</v>
      </c>
      <c r="C4139">
        <v>2</v>
      </c>
      <c r="D4139" s="1" t="s">
        <v>10716</v>
      </c>
      <c r="E4139" s="1" t="s">
        <v>36</v>
      </c>
      <c r="G4139">
        <v>455795</v>
      </c>
      <c r="H4139" t="s">
        <v>10707</v>
      </c>
      <c r="I4139" t="s">
        <v>2413</v>
      </c>
      <c r="J4139">
        <v>30</v>
      </c>
      <c r="K4139">
        <v>2695</v>
      </c>
      <c r="L4139">
        <v>95000</v>
      </c>
      <c r="M4139" t="s">
        <v>69</v>
      </c>
      <c r="N4139">
        <v>691</v>
      </c>
      <c r="O4139" s="2">
        <v>46171</v>
      </c>
      <c r="P4139" s="2">
        <v>46286</v>
      </c>
      <c r="R4139" t="s">
        <v>10717</v>
      </c>
      <c r="S4139" t="str">
        <f>""</f>
        <v/>
      </c>
      <c r="T4139" t="s">
        <v>41</v>
      </c>
      <c r="U4139">
        <v>2846.4</v>
      </c>
      <c r="V4139">
        <v>2815.09</v>
      </c>
      <c r="W4139">
        <v>2815.09</v>
      </c>
      <c r="X4139">
        <v>0</v>
      </c>
      <c r="Y4139">
        <v>0</v>
      </c>
      <c r="Z4139">
        <v>-511</v>
      </c>
      <c r="AA4139">
        <v>689216</v>
      </c>
      <c r="AD4139" t="s">
        <v>50</v>
      </c>
      <c r="AE4139">
        <v>1134115000</v>
      </c>
      <c r="AF4139" t="s">
        <v>50</v>
      </c>
      <c r="AG4139" s="1" t="s">
        <v>10709</v>
      </c>
      <c r="AH4139" t="s">
        <v>44</v>
      </c>
    </row>
    <row r="4140" spans="1:34" x14ac:dyDescent="0.3">
      <c r="A4140">
        <v>101</v>
      </c>
      <c r="B4140" t="s">
        <v>34</v>
      </c>
      <c r="C4140">
        <v>2</v>
      </c>
      <c r="D4140" s="1" t="s">
        <v>10718</v>
      </c>
      <c r="E4140" s="1" t="s">
        <v>36</v>
      </c>
      <c r="G4140">
        <v>455795</v>
      </c>
      <c r="H4140" t="s">
        <v>10707</v>
      </c>
      <c r="I4140" t="s">
        <v>2413</v>
      </c>
      <c r="J4140">
        <v>30</v>
      </c>
      <c r="K4140">
        <v>2695</v>
      </c>
      <c r="L4140">
        <v>95000</v>
      </c>
      <c r="M4140" t="s">
        <v>69</v>
      </c>
      <c r="N4140">
        <v>691</v>
      </c>
      <c r="O4140" s="2">
        <v>46199</v>
      </c>
      <c r="P4140" s="2">
        <v>46308</v>
      </c>
      <c r="R4140" t="s">
        <v>10719</v>
      </c>
      <c r="S4140" t="str">
        <f>""</f>
        <v/>
      </c>
      <c r="T4140" t="s">
        <v>41</v>
      </c>
      <c r="U4140">
        <v>878.04</v>
      </c>
      <c r="V4140">
        <v>868.38</v>
      </c>
      <c r="W4140">
        <v>868.38</v>
      </c>
      <c r="X4140">
        <v>0</v>
      </c>
      <c r="Y4140">
        <v>0</v>
      </c>
      <c r="Z4140">
        <v>-533</v>
      </c>
      <c r="AA4140">
        <v>692823</v>
      </c>
      <c r="AD4140" t="s">
        <v>50</v>
      </c>
      <c r="AE4140">
        <v>1134115000</v>
      </c>
      <c r="AF4140" t="s">
        <v>50</v>
      </c>
      <c r="AG4140" s="1" t="s">
        <v>10709</v>
      </c>
      <c r="AH4140" t="s">
        <v>44</v>
      </c>
    </row>
    <row r="4141" spans="1:34" x14ac:dyDescent="0.3">
      <c r="A4141">
        <v>101</v>
      </c>
      <c r="B4141" t="s">
        <v>34</v>
      </c>
      <c r="C4141">
        <v>2</v>
      </c>
      <c r="D4141" s="1" t="s">
        <v>10720</v>
      </c>
      <c r="E4141" s="1" t="s">
        <v>36</v>
      </c>
      <c r="G4141">
        <v>455795</v>
      </c>
      <c r="H4141" t="s">
        <v>10707</v>
      </c>
      <c r="I4141" t="s">
        <v>2413</v>
      </c>
      <c r="J4141">
        <v>30</v>
      </c>
      <c r="K4141">
        <v>2695</v>
      </c>
      <c r="L4141">
        <v>95000</v>
      </c>
      <c r="M4141" t="s">
        <v>69</v>
      </c>
      <c r="N4141">
        <v>691</v>
      </c>
      <c r="O4141" s="2">
        <v>46226</v>
      </c>
      <c r="P4141" s="2">
        <v>46337</v>
      </c>
      <c r="R4141" t="s">
        <v>10721</v>
      </c>
      <c r="S4141" t="str">
        <f>""</f>
        <v/>
      </c>
      <c r="T4141" t="s">
        <v>41</v>
      </c>
      <c r="U4141">
        <v>24445.62</v>
      </c>
      <c r="V4141">
        <v>24176.720000000001</v>
      </c>
      <c r="W4141">
        <v>24176.720000000001</v>
      </c>
      <c r="X4141">
        <v>0</v>
      </c>
      <c r="Y4141">
        <v>0</v>
      </c>
      <c r="Z4141">
        <v>-562</v>
      </c>
      <c r="AA4141">
        <v>694989</v>
      </c>
      <c r="AD4141" t="s">
        <v>50</v>
      </c>
      <c r="AE4141">
        <v>1134115000</v>
      </c>
      <c r="AF4141" t="s">
        <v>50</v>
      </c>
      <c r="AG4141" s="1" t="s">
        <v>10709</v>
      </c>
      <c r="AH4141" t="s">
        <v>44</v>
      </c>
    </row>
    <row r="4142" spans="1:34" x14ac:dyDescent="0.3">
      <c r="A4142">
        <v>101</v>
      </c>
      <c r="B4142" t="s">
        <v>34</v>
      </c>
      <c r="C4142">
        <v>2</v>
      </c>
      <c r="D4142" s="1" t="s">
        <v>10722</v>
      </c>
      <c r="E4142" s="1" t="s">
        <v>36</v>
      </c>
      <c r="G4142">
        <v>455795</v>
      </c>
      <c r="H4142" t="s">
        <v>10707</v>
      </c>
      <c r="I4142" t="s">
        <v>2413</v>
      </c>
      <c r="J4142">
        <v>30</v>
      </c>
      <c r="K4142">
        <v>2695</v>
      </c>
      <c r="L4142">
        <v>95000</v>
      </c>
      <c r="M4142" t="s">
        <v>69</v>
      </c>
      <c r="N4142">
        <v>691</v>
      </c>
      <c r="O4142" s="2">
        <v>46253</v>
      </c>
      <c r="P4142" s="2">
        <v>46343</v>
      </c>
      <c r="R4142" t="s">
        <v>10723</v>
      </c>
      <c r="S4142" t="str">
        <f>""</f>
        <v/>
      </c>
      <c r="T4142" t="s">
        <v>41</v>
      </c>
      <c r="U4142">
        <v>2653.5</v>
      </c>
      <c r="V4142">
        <v>2624.31</v>
      </c>
      <c r="W4142">
        <v>2624.31</v>
      </c>
      <c r="X4142">
        <v>0</v>
      </c>
      <c r="Y4142">
        <v>0</v>
      </c>
      <c r="Z4142">
        <v>-568</v>
      </c>
      <c r="AA4142">
        <v>697011</v>
      </c>
      <c r="AD4142" t="s">
        <v>50</v>
      </c>
      <c r="AE4142">
        <v>1134115000</v>
      </c>
      <c r="AF4142" t="s">
        <v>50</v>
      </c>
      <c r="AG4142" s="1" t="s">
        <v>10709</v>
      </c>
      <c r="AH4142" t="s">
        <v>44</v>
      </c>
    </row>
    <row r="4143" spans="1:34" x14ac:dyDescent="0.3">
      <c r="A4143">
        <v>101</v>
      </c>
      <c r="B4143" t="s">
        <v>34</v>
      </c>
      <c r="C4143">
        <v>2</v>
      </c>
      <c r="D4143" s="1" t="s">
        <v>10724</v>
      </c>
      <c r="E4143" s="1" t="s">
        <v>36</v>
      </c>
      <c r="G4143">
        <v>455799</v>
      </c>
      <c r="H4143" t="s">
        <v>10725</v>
      </c>
      <c r="I4143" t="s">
        <v>2413</v>
      </c>
      <c r="J4143">
        <v>30</v>
      </c>
      <c r="K4143">
        <v>2695</v>
      </c>
      <c r="L4143">
        <v>95000</v>
      </c>
      <c r="M4143" t="s">
        <v>69</v>
      </c>
      <c r="N4143">
        <v>691</v>
      </c>
      <c r="O4143" s="2">
        <v>46141</v>
      </c>
      <c r="P4143" s="2">
        <v>46255</v>
      </c>
      <c r="R4143" t="s">
        <v>10726</v>
      </c>
      <c r="S4143" t="str">
        <f>""</f>
        <v/>
      </c>
      <c r="T4143" t="s">
        <v>41</v>
      </c>
      <c r="U4143">
        <v>20395.03</v>
      </c>
      <c r="V4143">
        <v>20170.68</v>
      </c>
      <c r="W4143">
        <v>20170.68</v>
      </c>
      <c r="X4143">
        <v>0</v>
      </c>
      <c r="Y4143">
        <v>0</v>
      </c>
      <c r="Z4143">
        <v>-480</v>
      </c>
      <c r="AA4143">
        <v>686616</v>
      </c>
      <c r="AD4143" t="s">
        <v>3333</v>
      </c>
      <c r="AE4143">
        <v>1134115000</v>
      </c>
      <c r="AF4143" t="s">
        <v>3333</v>
      </c>
      <c r="AG4143" s="1" t="s">
        <v>10727</v>
      </c>
      <c r="AH4143" t="s">
        <v>44</v>
      </c>
    </row>
    <row r="4144" spans="1:34" x14ac:dyDescent="0.3">
      <c r="A4144">
        <v>101</v>
      </c>
      <c r="B4144" t="s">
        <v>34</v>
      </c>
      <c r="C4144">
        <v>2</v>
      </c>
      <c r="D4144" s="1" t="s">
        <v>10728</v>
      </c>
      <c r="E4144" s="1" t="s">
        <v>36</v>
      </c>
      <c r="G4144">
        <v>455799</v>
      </c>
      <c r="H4144" t="s">
        <v>10725</v>
      </c>
      <c r="I4144" t="s">
        <v>2413</v>
      </c>
      <c r="J4144">
        <v>30</v>
      </c>
      <c r="K4144">
        <v>2695</v>
      </c>
      <c r="L4144">
        <v>95000</v>
      </c>
      <c r="M4144" t="s">
        <v>69</v>
      </c>
      <c r="N4144">
        <v>691</v>
      </c>
      <c r="O4144" s="2">
        <v>46185</v>
      </c>
      <c r="P4144" s="2">
        <v>46296</v>
      </c>
      <c r="R4144" t="s">
        <v>10729</v>
      </c>
      <c r="S4144" t="str">
        <f>""</f>
        <v/>
      </c>
      <c r="T4144" t="s">
        <v>41</v>
      </c>
      <c r="U4144">
        <v>2846.4</v>
      </c>
      <c r="V4144">
        <v>2815.09</v>
      </c>
      <c r="W4144">
        <v>2815.09</v>
      </c>
      <c r="X4144">
        <v>0</v>
      </c>
      <c r="Y4144">
        <v>0</v>
      </c>
      <c r="Z4144">
        <v>-521</v>
      </c>
      <c r="AA4144">
        <v>689218</v>
      </c>
      <c r="AD4144" t="s">
        <v>3333</v>
      </c>
      <c r="AE4144">
        <v>1134115000</v>
      </c>
      <c r="AF4144" t="s">
        <v>3333</v>
      </c>
      <c r="AG4144" s="1" t="s">
        <v>10727</v>
      </c>
      <c r="AH4144" t="s">
        <v>44</v>
      </c>
    </row>
    <row r="4145" spans="1:34" x14ac:dyDescent="0.3">
      <c r="A4145">
        <v>101</v>
      </c>
      <c r="B4145" t="s">
        <v>34</v>
      </c>
      <c r="C4145">
        <v>2</v>
      </c>
      <c r="D4145" s="1" t="s">
        <v>10730</v>
      </c>
      <c r="E4145" s="1" t="s">
        <v>36</v>
      </c>
      <c r="G4145">
        <v>455799</v>
      </c>
      <c r="H4145" t="s">
        <v>10725</v>
      </c>
      <c r="I4145" t="s">
        <v>2413</v>
      </c>
      <c r="J4145">
        <v>30</v>
      </c>
      <c r="K4145">
        <v>2695</v>
      </c>
      <c r="L4145">
        <v>95000</v>
      </c>
      <c r="M4145" t="s">
        <v>69</v>
      </c>
      <c r="N4145">
        <v>691</v>
      </c>
      <c r="O4145" s="2">
        <v>46226</v>
      </c>
      <c r="P4145" s="2">
        <v>46316</v>
      </c>
      <c r="R4145" t="s">
        <v>10731</v>
      </c>
      <c r="S4145" t="str">
        <f>""</f>
        <v/>
      </c>
      <c r="T4145" t="s">
        <v>41</v>
      </c>
      <c r="U4145">
        <v>13341.21</v>
      </c>
      <c r="V4145">
        <v>13194.46</v>
      </c>
      <c r="W4145">
        <v>13194.46</v>
      </c>
      <c r="X4145">
        <v>0</v>
      </c>
      <c r="Y4145">
        <v>0</v>
      </c>
      <c r="Z4145">
        <v>-541</v>
      </c>
      <c r="AA4145">
        <v>694991</v>
      </c>
      <c r="AD4145" t="s">
        <v>3333</v>
      </c>
      <c r="AE4145">
        <v>1134115000</v>
      </c>
      <c r="AF4145" t="s">
        <v>3333</v>
      </c>
      <c r="AG4145" s="1" t="s">
        <v>10727</v>
      </c>
      <c r="AH4145" t="s">
        <v>44</v>
      </c>
    </row>
    <row r="4146" spans="1:34" x14ac:dyDescent="0.3">
      <c r="A4146">
        <v>101</v>
      </c>
      <c r="B4146" t="s">
        <v>34</v>
      </c>
      <c r="C4146">
        <v>2</v>
      </c>
      <c r="D4146" s="1" t="s">
        <v>10732</v>
      </c>
      <c r="E4146" s="1" t="s">
        <v>36</v>
      </c>
      <c r="G4146">
        <v>455799</v>
      </c>
      <c r="H4146" t="s">
        <v>10725</v>
      </c>
      <c r="I4146" t="s">
        <v>2413</v>
      </c>
      <c r="J4146">
        <v>30</v>
      </c>
      <c r="K4146">
        <v>2695</v>
      </c>
      <c r="L4146">
        <v>95000</v>
      </c>
      <c r="M4146" t="s">
        <v>69</v>
      </c>
      <c r="N4146">
        <v>691</v>
      </c>
      <c r="O4146" s="2">
        <v>46253</v>
      </c>
      <c r="P4146" s="2">
        <v>46343</v>
      </c>
      <c r="R4146" t="s">
        <v>10733</v>
      </c>
      <c r="S4146" t="str">
        <f>""</f>
        <v/>
      </c>
      <c r="T4146" t="s">
        <v>41</v>
      </c>
      <c r="U4146">
        <v>2653.5</v>
      </c>
      <c r="V4146">
        <v>2624.31</v>
      </c>
      <c r="W4146">
        <v>2624.31</v>
      </c>
      <c r="X4146">
        <v>0</v>
      </c>
      <c r="Y4146">
        <v>0</v>
      </c>
      <c r="Z4146">
        <v>-568</v>
      </c>
      <c r="AA4146">
        <v>697013</v>
      </c>
      <c r="AD4146" t="s">
        <v>3333</v>
      </c>
      <c r="AE4146">
        <v>1134115000</v>
      </c>
      <c r="AF4146" t="s">
        <v>3333</v>
      </c>
      <c r="AG4146" s="1" t="s">
        <v>10727</v>
      </c>
      <c r="AH4146" t="s">
        <v>44</v>
      </c>
    </row>
    <row r="4147" spans="1:34" x14ac:dyDescent="0.3">
      <c r="A4147">
        <v>101</v>
      </c>
      <c r="B4147" t="s">
        <v>34</v>
      </c>
      <c r="C4147">
        <v>2</v>
      </c>
      <c r="D4147" s="1" t="s">
        <v>10734</v>
      </c>
      <c r="E4147" s="1" t="s">
        <v>36</v>
      </c>
      <c r="G4147">
        <v>455799</v>
      </c>
      <c r="H4147" t="s">
        <v>10725</v>
      </c>
      <c r="I4147" t="s">
        <v>2413</v>
      </c>
      <c r="J4147">
        <v>30</v>
      </c>
      <c r="K4147">
        <v>2695</v>
      </c>
      <c r="L4147">
        <v>95000</v>
      </c>
      <c r="M4147" t="s">
        <v>69</v>
      </c>
      <c r="N4147">
        <v>691</v>
      </c>
      <c r="O4147" s="2">
        <v>46141</v>
      </c>
      <c r="P4147" s="2">
        <v>46255</v>
      </c>
      <c r="R4147" t="s">
        <v>10735</v>
      </c>
      <c r="S4147" t="str">
        <f>""</f>
        <v/>
      </c>
      <c r="T4147" t="s">
        <v>41</v>
      </c>
      <c r="U4147">
        <v>731.7</v>
      </c>
      <c r="V4147">
        <v>723.65</v>
      </c>
      <c r="W4147">
        <v>723.65</v>
      </c>
      <c r="X4147">
        <v>0</v>
      </c>
      <c r="Y4147">
        <v>0</v>
      </c>
      <c r="Z4147">
        <v>-480</v>
      </c>
      <c r="AA4147">
        <v>686910</v>
      </c>
      <c r="AD4147" t="s">
        <v>3333</v>
      </c>
      <c r="AE4147">
        <v>1134115000</v>
      </c>
      <c r="AF4147" t="s">
        <v>3333</v>
      </c>
      <c r="AG4147" s="1" t="s">
        <v>10727</v>
      </c>
      <c r="AH4147" t="s">
        <v>44</v>
      </c>
    </row>
    <row r="4148" spans="1:34" x14ac:dyDescent="0.3">
      <c r="A4148">
        <v>101</v>
      </c>
      <c r="B4148" t="s">
        <v>34</v>
      </c>
      <c r="C4148">
        <v>2</v>
      </c>
      <c r="D4148" s="1" t="s">
        <v>10736</v>
      </c>
      <c r="E4148" s="1" t="s">
        <v>36</v>
      </c>
      <c r="G4148">
        <v>455799</v>
      </c>
      <c r="H4148" t="s">
        <v>10725</v>
      </c>
      <c r="I4148" t="s">
        <v>2413</v>
      </c>
      <c r="J4148">
        <v>30</v>
      </c>
      <c r="K4148">
        <v>2695</v>
      </c>
      <c r="L4148">
        <v>95000</v>
      </c>
      <c r="M4148" t="s">
        <v>69</v>
      </c>
      <c r="N4148">
        <v>691</v>
      </c>
      <c r="O4148" s="2">
        <v>46199</v>
      </c>
      <c r="P4148" s="2">
        <v>46308</v>
      </c>
      <c r="R4148" t="s">
        <v>10737</v>
      </c>
      <c r="S4148" t="str">
        <f>""</f>
        <v/>
      </c>
      <c r="T4148" t="s">
        <v>41</v>
      </c>
      <c r="U4148">
        <v>884.5</v>
      </c>
      <c r="V4148">
        <v>874.77</v>
      </c>
      <c r="W4148">
        <v>874.77</v>
      </c>
      <c r="X4148">
        <v>0</v>
      </c>
      <c r="Y4148">
        <v>0</v>
      </c>
      <c r="Z4148">
        <v>-533</v>
      </c>
      <c r="AA4148">
        <v>692558</v>
      </c>
      <c r="AD4148" t="s">
        <v>3333</v>
      </c>
      <c r="AE4148">
        <v>1134115000</v>
      </c>
      <c r="AF4148" t="s">
        <v>3333</v>
      </c>
      <c r="AG4148" s="1" t="s">
        <v>10727</v>
      </c>
      <c r="AH4148" t="s">
        <v>44</v>
      </c>
    </row>
    <row r="4149" spans="1:34" x14ac:dyDescent="0.3">
      <c r="A4149">
        <v>101</v>
      </c>
      <c r="B4149" t="s">
        <v>34</v>
      </c>
      <c r="C4149">
        <v>2</v>
      </c>
      <c r="D4149" s="1" t="s">
        <v>10738</v>
      </c>
      <c r="E4149" s="1" t="s">
        <v>36</v>
      </c>
      <c r="G4149">
        <v>455799</v>
      </c>
      <c r="H4149" t="s">
        <v>10725</v>
      </c>
      <c r="I4149" t="s">
        <v>2413</v>
      </c>
      <c r="J4149">
        <v>30</v>
      </c>
      <c r="K4149">
        <v>2695</v>
      </c>
      <c r="L4149">
        <v>95000</v>
      </c>
      <c r="M4149" t="s">
        <v>69</v>
      </c>
      <c r="N4149">
        <v>691</v>
      </c>
      <c r="O4149" s="2">
        <v>46170</v>
      </c>
      <c r="P4149" s="2">
        <v>46296</v>
      </c>
      <c r="R4149" t="s">
        <v>10739</v>
      </c>
      <c r="S4149" t="str">
        <f>""</f>
        <v/>
      </c>
      <c r="T4149" t="s">
        <v>41</v>
      </c>
      <c r="U4149">
        <v>6891.35</v>
      </c>
      <c r="V4149">
        <v>6815.55</v>
      </c>
      <c r="W4149">
        <v>6815.55</v>
      </c>
      <c r="X4149">
        <v>0</v>
      </c>
      <c r="Y4149">
        <v>0</v>
      </c>
      <c r="Z4149">
        <v>-521</v>
      </c>
      <c r="AA4149">
        <v>689218</v>
      </c>
      <c r="AD4149" t="s">
        <v>3333</v>
      </c>
      <c r="AE4149">
        <v>1134115000</v>
      </c>
      <c r="AF4149" t="s">
        <v>3333</v>
      </c>
      <c r="AG4149" s="1" t="s">
        <v>10727</v>
      </c>
      <c r="AH4149" t="s">
        <v>44</v>
      </c>
    </row>
    <row r="4150" spans="1:34" x14ac:dyDescent="0.3">
      <c r="A4150">
        <v>101</v>
      </c>
      <c r="B4150" t="s">
        <v>34</v>
      </c>
      <c r="C4150">
        <v>2</v>
      </c>
      <c r="D4150" s="1" t="s">
        <v>10740</v>
      </c>
      <c r="E4150" s="1" t="s">
        <v>36</v>
      </c>
      <c r="G4150">
        <v>455799</v>
      </c>
      <c r="H4150" t="s">
        <v>10725</v>
      </c>
      <c r="I4150" t="s">
        <v>2413</v>
      </c>
      <c r="J4150">
        <v>30</v>
      </c>
      <c r="K4150">
        <v>2695</v>
      </c>
      <c r="L4150">
        <v>95000</v>
      </c>
      <c r="M4150" t="s">
        <v>69</v>
      </c>
      <c r="N4150">
        <v>691</v>
      </c>
      <c r="O4150" s="2">
        <v>46197</v>
      </c>
      <c r="P4150" s="2">
        <v>46316</v>
      </c>
      <c r="R4150" t="s">
        <v>10741</v>
      </c>
      <c r="S4150" t="str">
        <f>""</f>
        <v/>
      </c>
      <c r="T4150" t="s">
        <v>41</v>
      </c>
      <c r="U4150">
        <v>25797.22</v>
      </c>
      <c r="V4150">
        <v>25513.45</v>
      </c>
      <c r="W4150">
        <v>25513.45</v>
      </c>
      <c r="X4150">
        <v>0</v>
      </c>
      <c r="Y4150">
        <v>0</v>
      </c>
      <c r="Z4150">
        <v>-541</v>
      </c>
      <c r="AA4150">
        <v>692180</v>
      </c>
      <c r="AD4150" t="s">
        <v>3333</v>
      </c>
      <c r="AE4150">
        <v>1134115000</v>
      </c>
      <c r="AF4150" t="s">
        <v>3333</v>
      </c>
      <c r="AG4150" s="1" t="s">
        <v>10727</v>
      </c>
      <c r="AH4150" t="s">
        <v>44</v>
      </c>
    </row>
    <row r="4151" spans="1:34" x14ac:dyDescent="0.3">
      <c r="A4151">
        <v>101</v>
      </c>
      <c r="B4151" t="s">
        <v>34</v>
      </c>
      <c r="C4151">
        <v>2</v>
      </c>
      <c r="D4151" s="1" t="s">
        <v>10742</v>
      </c>
      <c r="E4151" s="1" t="s">
        <v>36</v>
      </c>
      <c r="G4151">
        <v>455799</v>
      </c>
      <c r="H4151" t="s">
        <v>10725</v>
      </c>
      <c r="I4151" t="s">
        <v>2413</v>
      </c>
      <c r="J4151">
        <v>30</v>
      </c>
      <c r="K4151">
        <v>2695</v>
      </c>
      <c r="L4151">
        <v>95000</v>
      </c>
      <c r="M4151" t="s">
        <v>69</v>
      </c>
      <c r="N4151">
        <v>691</v>
      </c>
      <c r="O4151" s="2">
        <v>46170</v>
      </c>
      <c r="P4151" s="2">
        <v>46296</v>
      </c>
      <c r="R4151" t="s">
        <v>10743</v>
      </c>
      <c r="S4151" t="str">
        <f>""</f>
        <v/>
      </c>
      <c r="T4151" t="s">
        <v>41</v>
      </c>
      <c r="U4151">
        <v>585.36</v>
      </c>
      <c r="V4151">
        <v>578.91999999999996</v>
      </c>
      <c r="W4151">
        <v>578.91999999999996</v>
      </c>
      <c r="X4151">
        <v>0</v>
      </c>
      <c r="Y4151">
        <v>0</v>
      </c>
      <c r="Z4151">
        <v>-521</v>
      </c>
      <c r="AA4151">
        <v>689493</v>
      </c>
      <c r="AD4151" t="s">
        <v>3333</v>
      </c>
      <c r="AE4151">
        <v>1134115000</v>
      </c>
      <c r="AF4151" t="s">
        <v>3333</v>
      </c>
      <c r="AG4151" s="1" t="s">
        <v>10727</v>
      </c>
      <c r="AH4151" t="s">
        <v>44</v>
      </c>
    </row>
    <row r="4152" spans="1:34" x14ac:dyDescent="0.3">
      <c r="A4152">
        <v>101</v>
      </c>
      <c r="B4152" t="s">
        <v>34</v>
      </c>
      <c r="C4152">
        <v>2</v>
      </c>
      <c r="D4152" s="1" t="s">
        <v>10744</v>
      </c>
      <c r="E4152" s="1" t="s">
        <v>36</v>
      </c>
      <c r="G4152">
        <v>455799</v>
      </c>
      <c r="H4152" t="s">
        <v>10725</v>
      </c>
      <c r="I4152" t="s">
        <v>2413</v>
      </c>
      <c r="J4152">
        <v>30</v>
      </c>
      <c r="K4152">
        <v>2695</v>
      </c>
      <c r="L4152">
        <v>95000</v>
      </c>
      <c r="M4152" t="s">
        <v>69</v>
      </c>
      <c r="N4152">
        <v>691</v>
      </c>
      <c r="O4152" s="2">
        <v>46239</v>
      </c>
      <c r="P4152" s="2">
        <v>46329</v>
      </c>
      <c r="R4152" t="s">
        <v>10745</v>
      </c>
      <c r="S4152" t="str">
        <f>""</f>
        <v/>
      </c>
      <c r="T4152" t="s">
        <v>41</v>
      </c>
      <c r="U4152">
        <v>1942.65</v>
      </c>
      <c r="V4152">
        <v>1921.28</v>
      </c>
      <c r="W4152">
        <v>1921.28</v>
      </c>
      <c r="X4152">
        <v>0</v>
      </c>
      <c r="Y4152">
        <v>0</v>
      </c>
      <c r="Z4152">
        <v>-554</v>
      </c>
      <c r="AA4152">
        <v>696239</v>
      </c>
      <c r="AD4152" t="s">
        <v>3333</v>
      </c>
      <c r="AE4152">
        <v>1134115000</v>
      </c>
      <c r="AF4152" t="s">
        <v>3333</v>
      </c>
      <c r="AG4152" s="1" t="s">
        <v>10727</v>
      </c>
      <c r="AH4152" t="s">
        <v>44</v>
      </c>
    </row>
    <row r="4153" spans="1:34" x14ac:dyDescent="0.3">
      <c r="A4153">
        <v>101</v>
      </c>
      <c r="B4153" t="s">
        <v>34</v>
      </c>
      <c r="C4153">
        <v>2</v>
      </c>
      <c r="D4153" s="1" t="s">
        <v>10746</v>
      </c>
      <c r="E4153" s="1" t="s">
        <v>36</v>
      </c>
      <c r="G4153">
        <v>455799</v>
      </c>
      <c r="H4153" t="s">
        <v>10725</v>
      </c>
      <c r="I4153" t="s">
        <v>2413</v>
      </c>
      <c r="J4153">
        <v>30</v>
      </c>
      <c r="K4153">
        <v>2695</v>
      </c>
      <c r="L4153">
        <v>95000</v>
      </c>
      <c r="M4153" t="s">
        <v>69</v>
      </c>
      <c r="N4153">
        <v>691</v>
      </c>
      <c r="O4153" s="2">
        <v>46224</v>
      </c>
      <c r="P4153" s="2">
        <v>46314</v>
      </c>
      <c r="R4153" t="s">
        <v>10747</v>
      </c>
      <c r="S4153" t="str">
        <f>""</f>
        <v/>
      </c>
      <c r="T4153" t="s">
        <v>41</v>
      </c>
      <c r="U4153">
        <v>9026.08</v>
      </c>
      <c r="V4153">
        <v>8926.7900000000009</v>
      </c>
      <c r="W4153">
        <v>8926.7900000000009</v>
      </c>
      <c r="X4153">
        <v>0</v>
      </c>
      <c r="Y4153">
        <v>0</v>
      </c>
      <c r="Z4153">
        <v>-539</v>
      </c>
      <c r="AA4153" t="s">
        <v>10748</v>
      </c>
      <c r="AD4153" t="s">
        <v>3333</v>
      </c>
      <c r="AE4153">
        <v>1134115000</v>
      </c>
      <c r="AF4153" t="s">
        <v>3333</v>
      </c>
      <c r="AG4153" s="1" t="s">
        <v>10727</v>
      </c>
      <c r="AH4153" t="s">
        <v>44</v>
      </c>
    </row>
    <row r="4154" spans="1:34" x14ac:dyDescent="0.3">
      <c r="A4154">
        <v>101</v>
      </c>
      <c r="B4154" t="s">
        <v>34</v>
      </c>
      <c r="C4154">
        <v>2</v>
      </c>
      <c r="D4154" s="1" t="s">
        <v>10749</v>
      </c>
      <c r="E4154" s="1" t="s">
        <v>36</v>
      </c>
      <c r="G4154">
        <v>455800</v>
      </c>
      <c r="H4154" t="s">
        <v>10750</v>
      </c>
      <c r="I4154" t="s">
        <v>2413</v>
      </c>
      <c r="J4154">
        <v>30</v>
      </c>
      <c r="K4154">
        <v>2695</v>
      </c>
      <c r="L4154">
        <v>95000</v>
      </c>
      <c r="M4154" t="s">
        <v>69</v>
      </c>
      <c r="N4154">
        <v>691</v>
      </c>
      <c r="O4154" s="2">
        <v>46199</v>
      </c>
      <c r="P4154" s="2">
        <v>46308</v>
      </c>
      <c r="R4154" t="s">
        <v>10751</v>
      </c>
      <c r="S4154" t="str">
        <f>""</f>
        <v/>
      </c>
      <c r="T4154" t="s">
        <v>41</v>
      </c>
      <c r="U4154">
        <v>884.5</v>
      </c>
      <c r="V4154">
        <v>874.77</v>
      </c>
      <c r="W4154">
        <v>874.77</v>
      </c>
      <c r="X4154">
        <v>0</v>
      </c>
      <c r="Y4154">
        <v>0</v>
      </c>
      <c r="Z4154">
        <v>-533</v>
      </c>
      <c r="AA4154">
        <v>692560</v>
      </c>
      <c r="AD4154" t="s">
        <v>5192</v>
      </c>
      <c r="AE4154">
        <v>1134115000</v>
      </c>
      <c r="AF4154" t="s">
        <v>5192</v>
      </c>
      <c r="AG4154" s="1" t="s">
        <v>10752</v>
      </c>
      <c r="AH4154" t="s">
        <v>44</v>
      </c>
    </row>
    <row r="4155" spans="1:34" x14ac:dyDescent="0.3">
      <c r="A4155">
        <v>101</v>
      </c>
      <c r="B4155" t="s">
        <v>34</v>
      </c>
      <c r="C4155">
        <v>2</v>
      </c>
      <c r="D4155" s="1" t="s">
        <v>10753</v>
      </c>
      <c r="E4155" s="1" t="s">
        <v>36</v>
      </c>
      <c r="G4155">
        <v>455800</v>
      </c>
      <c r="H4155" t="s">
        <v>10750</v>
      </c>
      <c r="I4155" t="s">
        <v>2413</v>
      </c>
      <c r="J4155">
        <v>30</v>
      </c>
      <c r="K4155">
        <v>2695</v>
      </c>
      <c r="L4155">
        <v>95000</v>
      </c>
      <c r="M4155" t="s">
        <v>69</v>
      </c>
      <c r="N4155">
        <v>691</v>
      </c>
      <c r="O4155" s="2">
        <v>46140</v>
      </c>
      <c r="P4155" s="2">
        <v>46266</v>
      </c>
      <c r="R4155" t="s">
        <v>10754</v>
      </c>
      <c r="S4155" t="str">
        <f>""</f>
        <v/>
      </c>
      <c r="T4155" t="s">
        <v>41</v>
      </c>
      <c r="U4155">
        <v>6950.25</v>
      </c>
      <c r="V4155">
        <v>6873.8</v>
      </c>
      <c r="W4155">
        <v>6873.8</v>
      </c>
      <c r="X4155">
        <v>0</v>
      </c>
      <c r="Y4155">
        <v>0</v>
      </c>
      <c r="Z4155">
        <v>-491</v>
      </c>
      <c r="AA4155">
        <v>686532</v>
      </c>
      <c r="AD4155" t="s">
        <v>5192</v>
      </c>
      <c r="AE4155">
        <v>1134115000</v>
      </c>
      <c r="AF4155" t="s">
        <v>5192</v>
      </c>
      <c r="AG4155" s="1" t="s">
        <v>10752</v>
      </c>
      <c r="AH4155" t="s">
        <v>44</v>
      </c>
    </row>
    <row r="4156" spans="1:34" x14ac:dyDescent="0.3">
      <c r="A4156">
        <v>101</v>
      </c>
      <c r="B4156" t="s">
        <v>34</v>
      </c>
      <c r="C4156">
        <v>2</v>
      </c>
      <c r="D4156" s="1" t="s">
        <v>10755</v>
      </c>
      <c r="E4156" s="1" t="s">
        <v>36</v>
      </c>
      <c r="G4156">
        <v>455800</v>
      </c>
      <c r="H4156" t="s">
        <v>10750</v>
      </c>
      <c r="I4156" t="s">
        <v>2413</v>
      </c>
      <c r="J4156">
        <v>30</v>
      </c>
      <c r="K4156">
        <v>2695</v>
      </c>
      <c r="L4156">
        <v>95000</v>
      </c>
      <c r="M4156" t="s">
        <v>69</v>
      </c>
      <c r="N4156">
        <v>691</v>
      </c>
      <c r="O4156" s="2">
        <v>46239</v>
      </c>
      <c r="P4156" s="2">
        <v>46349</v>
      </c>
      <c r="R4156" t="s">
        <v>10756</v>
      </c>
      <c r="S4156" t="str">
        <f>""</f>
        <v/>
      </c>
      <c r="T4156" t="s">
        <v>41</v>
      </c>
      <c r="U4156">
        <v>2470.17</v>
      </c>
      <c r="V4156">
        <v>2443</v>
      </c>
      <c r="W4156">
        <v>2443</v>
      </c>
      <c r="X4156">
        <v>0</v>
      </c>
      <c r="Y4156">
        <v>0</v>
      </c>
      <c r="Z4156">
        <v>-574</v>
      </c>
      <c r="AA4156">
        <v>696241</v>
      </c>
      <c r="AD4156" t="s">
        <v>5192</v>
      </c>
      <c r="AE4156">
        <v>1134115000</v>
      </c>
      <c r="AF4156" t="s">
        <v>5192</v>
      </c>
      <c r="AG4156" s="1" t="s">
        <v>10752</v>
      </c>
      <c r="AH4156" t="s">
        <v>44</v>
      </c>
    </row>
    <row r="4157" spans="1:34" x14ac:dyDescent="0.3">
      <c r="A4157">
        <v>101</v>
      </c>
      <c r="B4157" t="s">
        <v>34</v>
      </c>
      <c r="C4157">
        <v>2</v>
      </c>
      <c r="D4157" s="1" t="s">
        <v>10757</v>
      </c>
      <c r="E4157" s="1" t="s">
        <v>36</v>
      </c>
      <c r="G4157">
        <v>455800</v>
      </c>
      <c r="H4157" t="s">
        <v>10750</v>
      </c>
      <c r="I4157" t="s">
        <v>2413</v>
      </c>
      <c r="J4157">
        <v>30</v>
      </c>
      <c r="K4157">
        <v>2695</v>
      </c>
      <c r="L4157">
        <v>95000</v>
      </c>
      <c r="M4157" t="s">
        <v>69</v>
      </c>
      <c r="N4157">
        <v>691</v>
      </c>
      <c r="O4157" s="2">
        <v>46253</v>
      </c>
      <c r="P4157" s="2">
        <v>46343</v>
      </c>
      <c r="R4157" t="s">
        <v>10758</v>
      </c>
      <c r="S4157" t="str">
        <f>""</f>
        <v/>
      </c>
      <c r="T4157" t="s">
        <v>41</v>
      </c>
      <c r="U4157">
        <v>3538</v>
      </c>
      <c r="V4157">
        <v>3499.08</v>
      </c>
      <c r="W4157">
        <v>3499.08</v>
      </c>
      <c r="X4157">
        <v>0</v>
      </c>
      <c r="Y4157">
        <v>0</v>
      </c>
      <c r="Z4157">
        <v>-568</v>
      </c>
      <c r="AA4157">
        <v>697015</v>
      </c>
      <c r="AD4157" t="s">
        <v>5192</v>
      </c>
      <c r="AE4157">
        <v>1134115000</v>
      </c>
      <c r="AF4157" t="s">
        <v>5192</v>
      </c>
      <c r="AG4157" s="1" t="s">
        <v>10752</v>
      </c>
      <c r="AH4157" t="s">
        <v>44</v>
      </c>
    </row>
    <row r="4158" spans="1:34" x14ac:dyDescent="0.3">
      <c r="A4158">
        <v>101</v>
      </c>
      <c r="B4158" t="s">
        <v>34</v>
      </c>
      <c r="C4158">
        <v>2</v>
      </c>
      <c r="D4158" s="1" t="s">
        <v>10759</v>
      </c>
      <c r="E4158" s="1" t="s">
        <v>36</v>
      </c>
      <c r="G4158">
        <v>455800</v>
      </c>
      <c r="H4158" t="s">
        <v>10750</v>
      </c>
      <c r="I4158" t="s">
        <v>2413</v>
      </c>
      <c r="J4158">
        <v>30</v>
      </c>
      <c r="K4158">
        <v>2695</v>
      </c>
      <c r="L4158">
        <v>95000</v>
      </c>
      <c r="M4158" t="s">
        <v>69</v>
      </c>
      <c r="N4158">
        <v>691</v>
      </c>
      <c r="O4158" s="2">
        <v>46172</v>
      </c>
      <c r="P4158" s="2">
        <v>46296</v>
      </c>
      <c r="R4158" t="s">
        <v>10760</v>
      </c>
      <c r="S4158" t="str">
        <f>""</f>
        <v/>
      </c>
      <c r="T4158" t="s">
        <v>41</v>
      </c>
      <c r="U4158">
        <v>2741</v>
      </c>
      <c r="V4158">
        <v>2710.85</v>
      </c>
      <c r="W4158">
        <v>2710.85</v>
      </c>
      <c r="X4158">
        <v>0</v>
      </c>
      <c r="Y4158">
        <v>0</v>
      </c>
      <c r="Z4158">
        <v>-521</v>
      </c>
      <c r="AA4158">
        <v>689423</v>
      </c>
      <c r="AD4158" t="s">
        <v>5192</v>
      </c>
      <c r="AE4158">
        <v>1134115000</v>
      </c>
      <c r="AF4158" t="s">
        <v>5192</v>
      </c>
      <c r="AG4158" s="1" t="s">
        <v>10752</v>
      </c>
      <c r="AH4158" t="s">
        <v>44</v>
      </c>
    </row>
    <row r="4159" spans="1:34" x14ac:dyDescent="0.3">
      <c r="A4159">
        <v>101</v>
      </c>
      <c r="B4159" t="s">
        <v>34</v>
      </c>
      <c r="C4159">
        <v>2</v>
      </c>
      <c r="D4159" s="1" t="s">
        <v>10761</v>
      </c>
      <c r="E4159" s="1" t="s">
        <v>36</v>
      </c>
      <c r="G4159">
        <v>455800</v>
      </c>
      <c r="H4159" t="s">
        <v>10750</v>
      </c>
      <c r="I4159" t="s">
        <v>2413</v>
      </c>
      <c r="J4159">
        <v>30</v>
      </c>
      <c r="K4159">
        <v>2695</v>
      </c>
      <c r="L4159">
        <v>95000</v>
      </c>
      <c r="M4159" t="s">
        <v>69</v>
      </c>
      <c r="N4159">
        <v>691</v>
      </c>
      <c r="O4159" s="2">
        <v>46172</v>
      </c>
      <c r="P4159" s="2">
        <v>46296</v>
      </c>
      <c r="R4159" t="s">
        <v>10762</v>
      </c>
      <c r="S4159" t="str">
        <f>""</f>
        <v/>
      </c>
      <c r="T4159" t="s">
        <v>41</v>
      </c>
      <c r="U4159">
        <v>15380.8</v>
      </c>
      <c r="V4159">
        <v>15211.61</v>
      </c>
      <c r="W4159">
        <v>15211.61</v>
      </c>
      <c r="X4159">
        <v>0</v>
      </c>
      <c r="Y4159">
        <v>0</v>
      </c>
      <c r="Z4159">
        <v>-521</v>
      </c>
      <c r="AA4159">
        <v>689134</v>
      </c>
      <c r="AD4159" t="s">
        <v>5192</v>
      </c>
      <c r="AE4159">
        <v>1134115000</v>
      </c>
      <c r="AF4159" t="s">
        <v>5192</v>
      </c>
      <c r="AG4159" s="1" t="s">
        <v>10752</v>
      </c>
      <c r="AH4159" t="s">
        <v>44</v>
      </c>
    </row>
    <row r="4160" spans="1:34" x14ac:dyDescent="0.3">
      <c r="A4160">
        <v>101</v>
      </c>
      <c r="B4160" t="s">
        <v>34</v>
      </c>
      <c r="C4160">
        <v>2</v>
      </c>
      <c r="D4160" s="1" t="s">
        <v>10763</v>
      </c>
      <c r="E4160" s="1" t="s">
        <v>36</v>
      </c>
      <c r="G4160">
        <v>455800</v>
      </c>
      <c r="H4160" t="s">
        <v>10750</v>
      </c>
      <c r="I4160" t="s">
        <v>2413</v>
      </c>
      <c r="J4160">
        <v>30</v>
      </c>
      <c r="K4160">
        <v>2695</v>
      </c>
      <c r="L4160">
        <v>95000</v>
      </c>
      <c r="M4160" t="s">
        <v>69</v>
      </c>
      <c r="N4160">
        <v>691</v>
      </c>
      <c r="O4160" s="2">
        <v>46197</v>
      </c>
      <c r="P4160" s="2">
        <v>46308</v>
      </c>
      <c r="R4160" t="s">
        <v>10764</v>
      </c>
      <c r="S4160" t="str">
        <f>""</f>
        <v/>
      </c>
      <c r="T4160" t="s">
        <v>41</v>
      </c>
      <c r="U4160">
        <v>17929.5</v>
      </c>
      <c r="V4160">
        <v>17732.28</v>
      </c>
      <c r="W4160">
        <v>17732.28</v>
      </c>
      <c r="X4160">
        <v>0</v>
      </c>
      <c r="Y4160">
        <v>0</v>
      </c>
      <c r="Z4160">
        <v>-533</v>
      </c>
      <c r="AA4160">
        <v>692096</v>
      </c>
      <c r="AD4160" t="s">
        <v>5192</v>
      </c>
      <c r="AE4160">
        <v>1134115000</v>
      </c>
      <c r="AF4160" t="s">
        <v>5192</v>
      </c>
      <c r="AG4160" s="1" t="s">
        <v>10752</v>
      </c>
      <c r="AH4160" t="s">
        <v>44</v>
      </c>
    </row>
    <row r="4161" spans="1:34" x14ac:dyDescent="0.3">
      <c r="A4161">
        <v>101</v>
      </c>
      <c r="B4161" t="s">
        <v>34</v>
      </c>
      <c r="C4161">
        <v>2</v>
      </c>
      <c r="D4161" s="1" t="s">
        <v>10765</v>
      </c>
      <c r="E4161" s="1" t="s">
        <v>36</v>
      </c>
      <c r="G4161">
        <v>455800</v>
      </c>
      <c r="H4161" t="s">
        <v>10750</v>
      </c>
      <c r="I4161" t="s">
        <v>2413</v>
      </c>
      <c r="J4161">
        <v>30</v>
      </c>
      <c r="K4161">
        <v>2695</v>
      </c>
      <c r="L4161">
        <v>95000</v>
      </c>
      <c r="M4161" t="s">
        <v>69</v>
      </c>
      <c r="N4161">
        <v>691</v>
      </c>
      <c r="O4161" s="2">
        <v>46226</v>
      </c>
      <c r="P4161" s="2">
        <v>46337</v>
      </c>
      <c r="R4161" t="s">
        <v>10766</v>
      </c>
      <c r="S4161" t="str">
        <f>""</f>
        <v/>
      </c>
      <c r="T4161" t="s">
        <v>41</v>
      </c>
      <c r="U4161">
        <v>2232.64</v>
      </c>
      <c r="V4161">
        <v>2208.08</v>
      </c>
      <c r="W4161">
        <v>2208.08</v>
      </c>
      <c r="X4161">
        <v>0</v>
      </c>
      <c r="Y4161">
        <v>0</v>
      </c>
      <c r="Z4161">
        <v>-562</v>
      </c>
      <c r="AA4161">
        <v>694993</v>
      </c>
      <c r="AD4161" t="s">
        <v>5192</v>
      </c>
      <c r="AE4161">
        <v>1134115000</v>
      </c>
      <c r="AF4161" t="s">
        <v>5192</v>
      </c>
      <c r="AG4161" s="1" t="s">
        <v>10752</v>
      </c>
      <c r="AH4161" t="s">
        <v>44</v>
      </c>
    </row>
    <row r="4162" spans="1:34" x14ac:dyDescent="0.3">
      <c r="A4162">
        <v>101</v>
      </c>
      <c r="B4162" t="s">
        <v>34</v>
      </c>
      <c r="C4162">
        <v>2</v>
      </c>
      <c r="D4162" s="1" t="s">
        <v>10767</v>
      </c>
      <c r="E4162" s="1" t="s">
        <v>36</v>
      </c>
      <c r="G4162">
        <v>455801</v>
      </c>
      <c r="H4162" t="s">
        <v>10768</v>
      </c>
      <c r="I4162" t="s">
        <v>2413</v>
      </c>
      <c r="J4162">
        <v>30</v>
      </c>
      <c r="K4162">
        <v>2695</v>
      </c>
      <c r="L4162">
        <v>95000</v>
      </c>
      <c r="M4162" t="s">
        <v>69</v>
      </c>
      <c r="N4162">
        <v>691</v>
      </c>
      <c r="O4162" s="2">
        <v>46198</v>
      </c>
      <c r="P4162" s="2">
        <v>46316</v>
      </c>
      <c r="R4162" t="s">
        <v>10769</v>
      </c>
      <c r="S4162" t="str">
        <f>""</f>
        <v/>
      </c>
      <c r="T4162" t="s">
        <v>41</v>
      </c>
      <c r="U4162">
        <v>884.5</v>
      </c>
      <c r="V4162">
        <v>874.77</v>
      </c>
      <c r="W4162">
        <v>874.77</v>
      </c>
      <c r="X4162">
        <v>0</v>
      </c>
      <c r="Y4162">
        <v>0</v>
      </c>
      <c r="Z4162">
        <v>-541</v>
      </c>
      <c r="AA4162">
        <v>692562</v>
      </c>
      <c r="AD4162" t="s">
        <v>2278</v>
      </c>
      <c r="AE4162">
        <v>1134115000</v>
      </c>
      <c r="AF4162" t="s">
        <v>2278</v>
      </c>
      <c r="AG4162" s="1" t="s">
        <v>10770</v>
      </c>
      <c r="AH4162" t="s">
        <v>44</v>
      </c>
    </row>
    <row r="4163" spans="1:34" x14ac:dyDescent="0.3">
      <c r="A4163">
        <v>101</v>
      </c>
      <c r="B4163" t="s">
        <v>34</v>
      </c>
      <c r="C4163">
        <v>2</v>
      </c>
      <c r="D4163" s="1" t="s">
        <v>10771</v>
      </c>
      <c r="E4163" s="1" t="s">
        <v>36</v>
      </c>
      <c r="G4163">
        <v>455801</v>
      </c>
      <c r="H4163" t="s">
        <v>10768</v>
      </c>
      <c r="I4163" t="s">
        <v>2413</v>
      </c>
      <c r="J4163">
        <v>30</v>
      </c>
      <c r="K4163">
        <v>2695</v>
      </c>
      <c r="L4163">
        <v>95000</v>
      </c>
      <c r="M4163" t="s">
        <v>69</v>
      </c>
      <c r="N4163">
        <v>691</v>
      </c>
      <c r="O4163" s="2">
        <v>46226</v>
      </c>
      <c r="P4163" s="2">
        <v>46316</v>
      </c>
      <c r="R4163" t="s">
        <v>10772</v>
      </c>
      <c r="S4163" t="str">
        <f>""</f>
        <v/>
      </c>
      <c r="T4163" t="s">
        <v>41</v>
      </c>
      <c r="U4163">
        <v>29024.18</v>
      </c>
      <c r="V4163">
        <v>28704.91</v>
      </c>
      <c r="W4163">
        <v>28704.91</v>
      </c>
      <c r="X4163">
        <v>0</v>
      </c>
      <c r="Y4163">
        <v>0</v>
      </c>
      <c r="Z4163">
        <v>-541</v>
      </c>
      <c r="AA4163">
        <v>694995</v>
      </c>
      <c r="AD4163" t="s">
        <v>2278</v>
      </c>
      <c r="AE4163">
        <v>1134115000</v>
      </c>
      <c r="AF4163" t="s">
        <v>2278</v>
      </c>
      <c r="AG4163" s="1" t="s">
        <v>10770</v>
      </c>
      <c r="AH4163" t="s">
        <v>44</v>
      </c>
    </row>
    <row r="4164" spans="1:34" x14ac:dyDescent="0.3">
      <c r="A4164">
        <v>101</v>
      </c>
      <c r="B4164" t="s">
        <v>34</v>
      </c>
      <c r="C4164">
        <v>2</v>
      </c>
      <c r="D4164" s="1" t="s">
        <v>10773</v>
      </c>
      <c r="E4164" s="1" t="s">
        <v>36</v>
      </c>
      <c r="G4164">
        <v>455801</v>
      </c>
      <c r="H4164" t="s">
        <v>10768</v>
      </c>
      <c r="I4164" t="s">
        <v>2413</v>
      </c>
      <c r="J4164">
        <v>30</v>
      </c>
      <c r="K4164">
        <v>2695</v>
      </c>
      <c r="L4164">
        <v>95000</v>
      </c>
      <c r="M4164" t="s">
        <v>69</v>
      </c>
      <c r="N4164">
        <v>691</v>
      </c>
      <c r="O4164" s="2">
        <v>46198</v>
      </c>
      <c r="P4164" s="2">
        <v>46316</v>
      </c>
      <c r="R4164" t="s">
        <v>10774</v>
      </c>
      <c r="S4164" t="str">
        <f>""</f>
        <v/>
      </c>
      <c r="T4164" t="s">
        <v>41</v>
      </c>
      <c r="U4164">
        <v>16746.599999999999</v>
      </c>
      <c r="V4164">
        <v>16562.39</v>
      </c>
      <c r="W4164">
        <v>16562.39</v>
      </c>
      <c r="X4164">
        <v>0</v>
      </c>
      <c r="Y4164">
        <v>0</v>
      </c>
      <c r="Z4164">
        <v>-541</v>
      </c>
      <c r="AA4164">
        <v>692300</v>
      </c>
      <c r="AD4164" t="s">
        <v>2278</v>
      </c>
      <c r="AE4164">
        <v>1134115000</v>
      </c>
      <c r="AF4164" t="s">
        <v>2278</v>
      </c>
      <c r="AG4164" s="1" t="s">
        <v>10770</v>
      </c>
      <c r="AH4164" t="s">
        <v>44</v>
      </c>
    </row>
    <row r="4165" spans="1:34" x14ac:dyDescent="0.3">
      <c r="A4165">
        <v>101</v>
      </c>
      <c r="B4165" t="s">
        <v>34</v>
      </c>
      <c r="C4165">
        <v>2</v>
      </c>
      <c r="D4165" s="1" t="s">
        <v>10775</v>
      </c>
      <c r="E4165" s="1" t="s">
        <v>36</v>
      </c>
      <c r="G4165">
        <v>455801</v>
      </c>
      <c r="H4165" t="s">
        <v>10768</v>
      </c>
      <c r="I4165" t="s">
        <v>2413</v>
      </c>
      <c r="J4165">
        <v>30</v>
      </c>
      <c r="K4165">
        <v>2695</v>
      </c>
      <c r="L4165">
        <v>95000</v>
      </c>
      <c r="M4165" t="s">
        <v>69</v>
      </c>
      <c r="N4165">
        <v>691</v>
      </c>
      <c r="O4165" s="2">
        <v>46239</v>
      </c>
      <c r="P4165" s="2">
        <v>46329</v>
      </c>
      <c r="R4165" t="s">
        <v>10776</v>
      </c>
      <c r="S4165" t="str">
        <f>""</f>
        <v/>
      </c>
      <c r="T4165" t="s">
        <v>41</v>
      </c>
      <c r="U4165">
        <v>3765.27</v>
      </c>
      <c r="V4165">
        <v>3723.85</v>
      </c>
      <c r="W4165">
        <v>3723.85</v>
      </c>
      <c r="X4165">
        <v>0</v>
      </c>
      <c r="Y4165">
        <v>0</v>
      </c>
      <c r="Z4165">
        <v>-554</v>
      </c>
      <c r="AA4165">
        <v>696243</v>
      </c>
      <c r="AD4165" t="s">
        <v>2278</v>
      </c>
      <c r="AE4165">
        <v>1134115000</v>
      </c>
      <c r="AF4165" t="s">
        <v>2278</v>
      </c>
      <c r="AG4165" s="1" t="s">
        <v>10770</v>
      </c>
      <c r="AH4165" t="s">
        <v>44</v>
      </c>
    </row>
    <row r="4166" spans="1:34" x14ac:dyDescent="0.3">
      <c r="A4166">
        <v>101</v>
      </c>
      <c r="B4166" t="s">
        <v>34</v>
      </c>
      <c r="C4166">
        <v>2</v>
      </c>
      <c r="D4166" s="1" t="s">
        <v>10777</v>
      </c>
      <c r="E4166" s="1" t="s">
        <v>36</v>
      </c>
      <c r="G4166">
        <v>455801</v>
      </c>
      <c r="H4166" t="s">
        <v>10768</v>
      </c>
      <c r="I4166" t="s">
        <v>2413</v>
      </c>
      <c r="J4166">
        <v>30</v>
      </c>
      <c r="K4166">
        <v>2695</v>
      </c>
      <c r="L4166">
        <v>95000</v>
      </c>
      <c r="M4166" t="s">
        <v>69</v>
      </c>
      <c r="N4166">
        <v>691</v>
      </c>
      <c r="O4166" s="2">
        <v>46171</v>
      </c>
      <c r="P4166" s="2">
        <v>46296</v>
      </c>
      <c r="R4166" t="s">
        <v>10778</v>
      </c>
      <c r="S4166" t="str">
        <f>""</f>
        <v/>
      </c>
      <c r="T4166" t="s">
        <v>41</v>
      </c>
      <c r="U4166">
        <v>2741</v>
      </c>
      <c r="V4166">
        <v>2710.85</v>
      </c>
      <c r="W4166">
        <v>2710.85</v>
      </c>
      <c r="X4166">
        <v>0</v>
      </c>
      <c r="Y4166">
        <v>0</v>
      </c>
      <c r="Z4166">
        <v>-521</v>
      </c>
      <c r="AA4166">
        <v>689543</v>
      </c>
      <c r="AD4166" t="s">
        <v>2278</v>
      </c>
      <c r="AE4166">
        <v>1134115000</v>
      </c>
      <c r="AF4166" t="s">
        <v>2278</v>
      </c>
      <c r="AG4166" s="1" t="s">
        <v>10770</v>
      </c>
      <c r="AH4166" t="s">
        <v>44</v>
      </c>
    </row>
    <row r="4167" spans="1:34" x14ac:dyDescent="0.3">
      <c r="A4167">
        <v>101</v>
      </c>
      <c r="B4167" t="s">
        <v>34</v>
      </c>
      <c r="C4167">
        <v>2</v>
      </c>
      <c r="D4167" s="1" t="s">
        <v>10779</v>
      </c>
      <c r="E4167" s="1" t="s">
        <v>36</v>
      </c>
      <c r="G4167">
        <v>455801</v>
      </c>
      <c r="H4167" t="s">
        <v>10768</v>
      </c>
      <c r="I4167" t="s">
        <v>2413</v>
      </c>
      <c r="J4167">
        <v>30</v>
      </c>
      <c r="K4167">
        <v>2695</v>
      </c>
      <c r="L4167">
        <v>95000</v>
      </c>
      <c r="M4167" t="s">
        <v>69</v>
      </c>
      <c r="N4167">
        <v>691</v>
      </c>
      <c r="O4167" s="2">
        <v>46141</v>
      </c>
      <c r="P4167" s="2">
        <v>46266</v>
      </c>
      <c r="R4167" t="s">
        <v>10780</v>
      </c>
      <c r="S4167" t="str">
        <f>""</f>
        <v/>
      </c>
      <c r="T4167" t="s">
        <v>41</v>
      </c>
      <c r="U4167">
        <v>1208.8</v>
      </c>
      <c r="V4167">
        <v>1195.5</v>
      </c>
      <c r="W4167">
        <v>1195.5</v>
      </c>
      <c r="X4167">
        <v>0</v>
      </c>
      <c r="Y4167">
        <v>0</v>
      </c>
      <c r="Z4167">
        <v>-491</v>
      </c>
      <c r="AA4167">
        <v>686811</v>
      </c>
      <c r="AD4167" t="s">
        <v>2278</v>
      </c>
      <c r="AE4167">
        <v>1134115000</v>
      </c>
      <c r="AF4167" t="s">
        <v>2278</v>
      </c>
      <c r="AG4167" s="1" t="s">
        <v>10770</v>
      </c>
      <c r="AH4167" t="s">
        <v>44</v>
      </c>
    </row>
    <row r="4168" spans="1:34" x14ac:dyDescent="0.3">
      <c r="A4168">
        <v>101</v>
      </c>
      <c r="B4168" t="s">
        <v>34</v>
      </c>
      <c r="C4168">
        <v>2</v>
      </c>
      <c r="D4168" s="1" t="s">
        <v>10781</v>
      </c>
      <c r="E4168" s="1" t="s">
        <v>36</v>
      </c>
      <c r="G4168">
        <v>455801</v>
      </c>
      <c r="H4168" t="s">
        <v>10768</v>
      </c>
      <c r="I4168" t="s">
        <v>2413</v>
      </c>
      <c r="J4168">
        <v>30</v>
      </c>
      <c r="K4168">
        <v>2695</v>
      </c>
      <c r="L4168">
        <v>95000</v>
      </c>
      <c r="M4168" t="s">
        <v>69</v>
      </c>
      <c r="N4168">
        <v>691</v>
      </c>
      <c r="O4168" s="2">
        <v>46141</v>
      </c>
      <c r="P4168" s="2">
        <v>46266</v>
      </c>
      <c r="R4168" t="s">
        <v>10782</v>
      </c>
      <c r="S4168" t="str">
        <f>""</f>
        <v/>
      </c>
      <c r="T4168" t="s">
        <v>41</v>
      </c>
      <c r="U4168">
        <v>4324.42</v>
      </c>
      <c r="V4168">
        <v>4276.8500000000004</v>
      </c>
      <c r="W4168">
        <v>4276.8500000000004</v>
      </c>
      <c r="X4168">
        <v>0</v>
      </c>
      <c r="Y4168">
        <v>0</v>
      </c>
      <c r="Z4168">
        <v>-491</v>
      </c>
      <c r="AA4168">
        <v>686955</v>
      </c>
      <c r="AD4168" t="s">
        <v>2278</v>
      </c>
      <c r="AE4168">
        <v>1134115000</v>
      </c>
      <c r="AF4168" t="s">
        <v>2278</v>
      </c>
      <c r="AG4168" s="1" t="s">
        <v>10770</v>
      </c>
      <c r="AH4168" t="s">
        <v>44</v>
      </c>
    </row>
    <row r="4169" spans="1:34" x14ac:dyDescent="0.3">
      <c r="A4169">
        <v>101</v>
      </c>
      <c r="B4169" t="s">
        <v>34</v>
      </c>
      <c r="C4169">
        <v>2</v>
      </c>
      <c r="D4169" s="1" t="s">
        <v>10783</v>
      </c>
      <c r="E4169" s="1" t="s">
        <v>36</v>
      </c>
      <c r="G4169">
        <v>455801</v>
      </c>
      <c r="H4169" t="s">
        <v>10768</v>
      </c>
      <c r="I4169" t="s">
        <v>2413</v>
      </c>
      <c r="J4169">
        <v>30</v>
      </c>
      <c r="K4169">
        <v>2695</v>
      </c>
      <c r="L4169">
        <v>95000</v>
      </c>
      <c r="M4169" t="s">
        <v>69</v>
      </c>
      <c r="N4169">
        <v>691</v>
      </c>
      <c r="O4169" s="2">
        <v>46171</v>
      </c>
      <c r="P4169" s="2">
        <v>46296</v>
      </c>
      <c r="R4169" t="s">
        <v>10784</v>
      </c>
      <c r="S4169" t="str">
        <f>""</f>
        <v/>
      </c>
      <c r="T4169" t="s">
        <v>41</v>
      </c>
      <c r="U4169">
        <v>18895.72</v>
      </c>
      <c r="V4169">
        <v>18687.87</v>
      </c>
      <c r="W4169">
        <v>18687.87</v>
      </c>
      <c r="X4169">
        <v>0</v>
      </c>
      <c r="Y4169">
        <v>0</v>
      </c>
      <c r="Z4169">
        <v>-521</v>
      </c>
      <c r="AA4169">
        <v>689340</v>
      </c>
      <c r="AD4169" t="s">
        <v>2278</v>
      </c>
      <c r="AE4169">
        <v>1134115000</v>
      </c>
      <c r="AF4169" t="s">
        <v>2278</v>
      </c>
      <c r="AG4169" s="1" t="s">
        <v>10770</v>
      </c>
      <c r="AH4169" t="s">
        <v>44</v>
      </c>
    </row>
    <row r="4170" spans="1:34" x14ac:dyDescent="0.3">
      <c r="A4170">
        <v>101</v>
      </c>
      <c r="B4170" t="s">
        <v>34</v>
      </c>
      <c r="C4170">
        <v>2</v>
      </c>
      <c r="D4170" s="1" t="s">
        <v>10785</v>
      </c>
      <c r="E4170" s="1" t="s">
        <v>36</v>
      </c>
      <c r="G4170">
        <v>455801</v>
      </c>
      <c r="H4170" t="s">
        <v>10768</v>
      </c>
      <c r="I4170" t="s">
        <v>2413</v>
      </c>
      <c r="J4170">
        <v>30</v>
      </c>
      <c r="K4170">
        <v>2695</v>
      </c>
      <c r="L4170">
        <v>95000</v>
      </c>
      <c r="M4170" t="s">
        <v>69</v>
      </c>
      <c r="N4170">
        <v>691</v>
      </c>
      <c r="O4170" s="2">
        <v>46141</v>
      </c>
      <c r="P4170" s="2">
        <v>46266</v>
      </c>
      <c r="R4170" t="s">
        <v>10786</v>
      </c>
      <c r="S4170" t="str">
        <f>""</f>
        <v/>
      </c>
      <c r="T4170" t="s">
        <v>41</v>
      </c>
      <c r="U4170">
        <v>19799.89</v>
      </c>
      <c r="V4170">
        <v>19582.09</v>
      </c>
      <c r="W4170">
        <v>19582.09</v>
      </c>
      <c r="X4170">
        <v>0</v>
      </c>
      <c r="Y4170">
        <v>0</v>
      </c>
      <c r="Z4170">
        <v>-491</v>
      </c>
      <c r="AA4170">
        <v>686740</v>
      </c>
      <c r="AD4170" t="s">
        <v>2278</v>
      </c>
      <c r="AE4170">
        <v>1134115000</v>
      </c>
      <c r="AF4170" t="s">
        <v>2278</v>
      </c>
      <c r="AG4170" s="1" t="s">
        <v>10770</v>
      </c>
      <c r="AH4170" t="s">
        <v>44</v>
      </c>
    </row>
    <row r="4171" spans="1:34" x14ac:dyDescent="0.3">
      <c r="A4171">
        <v>101</v>
      </c>
      <c r="B4171" t="s">
        <v>34</v>
      </c>
      <c r="C4171">
        <v>2</v>
      </c>
      <c r="D4171" s="1" t="s">
        <v>10787</v>
      </c>
      <c r="E4171" s="1" t="s">
        <v>36</v>
      </c>
      <c r="G4171">
        <v>455802</v>
      </c>
      <c r="H4171" t="s">
        <v>10788</v>
      </c>
      <c r="I4171" t="s">
        <v>2413</v>
      </c>
      <c r="J4171">
        <v>30</v>
      </c>
      <c r="K4171">
        <v>2695</v>
      </c>
      <c r="L4171">
        <v>95000</v>
      </c>
      <c r="M4171" t="s">
        <v>69</v>
      </c>
      <c r="N4171">
        <v>691</v>
      </c>
      <c r="O4171" s="2">
        <v>46226</v>
      </c>
      <c r="P4171" s="2">
        <v>46337</v>
      </c>
      <c r="R4171" t="s">
        <v>10789</v>
      </c>
      <c r="S4171" t="str">
        <f>""</f>
        <v/>
      </c>
      <c r="T4171" t="s">
        <v>41</v>
      </c>
      <c r="U4171">
        <v>9222.02</v>
      </c>
      <c r="V4171">
        <v>9120.58</v>
      </c>
      <c r="W4171">
        <v>9120.58</v>
      </c>
      <c r="X4171">
        <v>0</v>
      </c>
      <c r="Y4171">
        <v>0</v>
      </c>
      <c r="Z4171">
        <v>-562</v>
      </c>
      <c r="AA4171">
        <v>694987</v>
      </c>
      <c r="AD4171" t="s">
        <v>64</v>
      </c>
      <c r="AE4171">
        <v>1134115000</v>
      </c>
      <c r="AF4171" t="s">
        <v>64</v>
      </c>
      <c r="AG4171" s="1" t="s">
        <v>10790</v>
      </c>
      <c r="AH4171" t="s">
        <v>44</v>
      </c>
    </row>
    <row r="4172" spans="1:34" x14ac:dyDescent="0.3">
      <c r="A4172">
        <v>101</v>
      </c>
      <c r="B4172" t="s">
        <v>34</v>
      </c>
      <c r="C4172">
        <v>2</v>
      </c>
      <c r="D4172" s="1" t="s">
        <v>10791</v>
      </c>
      <c r="E4172" s="1" t="s">
        <v>36</v>
      </c>
      <c r="G4172">
        <v>455802</v>
      </c>
      <c r="H4172" t="s">
        <v>10788</v>
      </c>
      <c r="I4172" t="s">
        <v>2413</v>
      </c>
      <c r="J4172">
        <v>30</v>
      </c>
      <c r="K4172">
        <v>2695</v>
      </c>
      <c r="L4172">
        <v>95000</v>
      </c>
      <c r="M4172" t="s">
        <v>69</v>
      </c>
      <c r="N4172">
        <v>691</v>
      </c>
      <c r="O4172" s="2">
        <v>46199</v>
      </c>
      <c r="P4172" s="2">
        <v>46308</v>
      </c>
      <c r="R4172" t="s">
        <v>10792</v>
      </c>
      <c r="S4172" t="str">
        <f>""</f>
        <v/>
      </c>
      <c r="T4172" t="s">
        <v>41</v>
      </c>
      <c r="U4172">
        <v>1293.3800000000001</v>
      </c>
      <c r="V4172">
        <v>1279.1500000000001</v>
      </c>
      <c r="W4172">
        <v>1279.1500000000001</v>
      </c>
      <c r="X4172">
        <v>0</v>
      </c>
      <c r="Y4172">
        <v>0</v>
      </c>
      <c r="Z4172">
        <v>-533</v>
      </c>
      <c r="AA4172">
        <v>692821</v>
      </c>
      <c r="AD4172" t="s">
        <v>64</v>
      </c>
      <c r="AE4172">
        <v>1134115000</v>
      </c>
      <c r="AF4172" t="s">
        <v>64</v>
      </c>
      <c r="AG4172" s="1" t="s">
        <v>10790</v>
      </c>
      <c r="AH4172" t="s">
        <v>44</v>
      </c>
    </row>
    <row r="4173" spans="1:34" x14ac:dyDescent="0.3">
      <c r="A4173">
        <v>101</v>
      </c>
      <c r="B4173" t="s">
        <v>34</v>
      </c>
      <c r="C4173">
        <v>2</v>
      </c>
      <c r="D4173" s="1" t="s">
        <v>10793</v>
      </c>
      <c r="E4173" s="1" t="s">
        <v>36</v>
      </c>
      <c r="G4173">
        <v>455802</v>
      </c>
      <c r="H4173" t="s">
        <v>10788</v>
      </c>
      <c r="I4173" t="s">
        <v>2413</v>
      </c>
      <c r="J4173">
        <v>30</v>
      </c>
      <c r="K4173">
        <v>2695</v>
      </c>
      <c r="L4173">
        <v>95000</v>
      </c>
      <c r="M4173" t="s">
        <v>69</v>
      </c>
      <c r="N4173">
        <v>691</v>
      </c>
      <c r="O4173" s="2">
        <v>46239</v>
      </c>
      <c r="P4173" s="2">
        <v>46349</v>
      </c>
      <c r="R4173" t="s">
        <v>10794</v>
      </c>
      <c r="S4173" t="str">
        <f>""</f>
        <v/>
      </c>
      <c r="T4173" t="s">
        <v>41</v>
      </c>
      <c r="U4173">
        <v>3765.27</v>
      </c>
      <c r="V4173">
        <v>3723.85</v>
      </c>
      <c r="W4173">
        <v>3723.85</v>
      </c>
      <c r="X4173">
        <v>0</v>
      </c>
      <c r="Y4173">
        <v>0</v>
      </c>
      <c r="Z4173">
        <v>-574</v>
      </c>
      <c r="AA4173">
        <v>696235</v>
      </c>
      <c r="AD4173" t="s">
        <v>64</v>
      </c>
      <c r="AE4173">
        <v>1134115000</v>
      </c>
      <c r="AF4173" t="s">
        <v>64</v>
      </c>
      <c r="AG4173" s="1" t="s">
        <v>10790</v>
      </c>
      <c r="AH4173" t="s">
        <v>44</v>
      </c>
    </row>
    <row r="4174" spans="1:34" x14ac:dyDescent="0.3">
      <c r="A4174">
        <v>101</v>
      </c>
      <c r="B4174" t="s">
        <v>34</v>
      </c>
      <c r="C4174">
        <v>2</v>
      </c>
      <c r="D4174" s="1" t="s">
        <v>10795</v>
      </c>
      <c r="E4174" s="1" t="s">
        <v>36</v>
      </c>
      <c r="G4174">
        <v>455802</v>
      </c>
      <c r="H4174" t="s">
        <v>10788</v>
      </c>
      <c r="I4174" t="s">
        <v>2413</v>
      </c>
      <c r="J4174">
        <v>30</v>
      </c>
      <c r="K4174">
        <v>2695</v>
      </c>
      <c r="L4174">
        <v>95000</v>
      </c>
      <c r="M4174" t="s">
        <v>69</v>
      </c>
      <c r="N4174">
        <v>691</v>
      </c>
      <c r="O4174" s="2">
        <v>46199</v>
      </c>
      <c r="P4174" s="2">
        <v>46308</v>
      </c>
      <c r="R4174" t="s">
        <v>10796</v>
      </c>
      <c r="S4174" t="str">
        <f>""</f>
        <v/>
      </c>
      <c r="T4174" t="s">
        <v>41</v>
      </c>
      <c r="U4174">
        <v>884.5</v>
      </c>
      <c r="V4174">
        <v>874.77</v>
      </c>
      <c r="W4174">
        <v>874.77</v>
      </c>
      <c r="X4174">
        <v>0</v>
      </c>
      <c r="Y4174">
        <v>0</v>
      </c>
      <c r="Z4174">
        <v>-533</v>
      </c>
      <c r="AA4174">
        <v>692554</v>
      </c>
      <c r="AD4174" t="s">
        <v>64</v>
      </c>
      <c r="AE4174">
        <v>1134115000</v>
      </c>
      <c r="AF4174" t="s">
        <v>64</v>
      </c>
      <c r="AG4174" s="1" t="s">
        <v>10790</v>
      </c>
      <c r="AH4174" t="s">
        <v>44</v>
      </c>
    </row>
    <row r="4175" spans="1:34" x14ac:dyDescent="0.3">
      <c r="A4175">
        <v>101</v>
      </c>
      <c r="B4175" t="s">
        <v>34</v>
      </c>
      <c r="C4175">
        <v>2</v>
      </c>
      <c r="D4175" s="1" t="s">
        <v>10797</v>
      </c>
      <c r="E4175" s="1" t="s">
        <v>36</v>
      </c>
      <c r="G4175">
        <v>455802</v>
      </c>
      <c r="H4175" t="s">
        <v>10788</v>
      </c>
      <c r="I4175" t="s">
        <v>2413</v>
      </c>
      <c r="J4175">
        <v>30</v>
      </c>
      <c r="K4175">
        <v>2695</v>
      </c>
      <c r="L4175">
        <v>95000</v>
      </c>
      <c r="M4175" t="s">
        <v>69</v>
      </c>
      <c r="N4175">
        <v>691</v>
      </c>
      <c r="O4175" s="2">
        <v>46140</v>
      </c>
      <c r="P4175" s="2">
        <v>46255</v>
      </c>
      <c r="R4175" t="s">
        <v>10798</v>
      </c>
      <c r="S4175" t="str">
        <f>""</f>
        <v/>
      </c>
      <c r="T4175" t="s">
        <v>41</v>
      </c>
      <c r="U4175">
        <v>11535.21</v>
      </c>
      <c r="V4175">
        <v>11408.32</v>
      </c>
      <c r="W4175">
        <v>11408.32</v>
      </c>
      <c r="X4175">
        <v>0</v>
      </c>
      <c r="Y4175">
        <v>0</v>
      </c>
      <c r="Z4175">
        <v>-480</v>
      </c>
      <c r="AA4175">
        <v>686612</v>
      </c>
      <c r="AD4175" t="s">
        <v>64</v>
      </c>
      <c r="AE4175">
        <v>1134115000</v>
      </c>
      <c r="AF4175" t="s">
        <v>64</v>
      </c>
      <c r="AG4175" s="1" t="s">
        <v>10790</v>
      </c>
      <c r="AH4175" t="s">
        <v>44</v>
      </c>
    </row>
    <row r="4176" spans="1:34" x14ac:dyDescent="0.3">
      <c r="A4176">
        <v>101</v>
      </c>
      <c r="B4176" t="s">
        <v>34</v>
      </c>
      <c r="C4176">
        <v>2</v>
      </c>
      <c r="D4176" s="1" t="s">
        <v>10799</v>
      </c>
      <c r="E4176" s="1" t="s">
        <v>36</v>
      </c>
      <c r="G4176">
        <v>455802</v>
      </c>
      <c r="H4176" t="s">
        <v>10788</v>
      </c>
      <c r="I4176" t="s">
        <v>2413</v>
      </c>
      <c r="J4176">
        <v>30</v>
      </c>
      <c r="K4176">
        <v>2695</v>
      </c>
      <c r="L4176">
        <v>95000</v>
      </c>
      <c r="M4176" t="s">
        <v>69</v>
      </c>
      <c r="N4176">
        <v>691</v>
      </c>
      <c r="O4176" s="2">
        <v>46197</v>
      </c>
      <c r="P4176" s="2">
        <v>46316</v>
      </c>
      <c r="R4176" t="s">
        <v>10800</v>
      </c>
      <c r="S4176" t="str">
        <f>""</f>
        <v/>
      </c>
      <c r="T4176" t="s">
        <v>41</v>
      </c>
      <c r="U4176">
        <v>13356.17</v>
      </c>
      <c r="V4176">
        <v>13209.25</v>
      </c>
      <c r="W4176">
        <v>13209.25</v>
      </c>
      <c r="X4176">
        <v>0</v>
      </c>
      <c r="Y4176">
        <v>0</v>
      </c>
      <c r="Z4176">
        <v>-541</v>
      </c>
      <c r="AA4176">
        <v>692176</v>
      </c>
      <c r="AD4176" t="s">
        <v>64</v>
      </c>
      <c r="AE4176">
        <v>1134115000</v>
      </c>
      <c r="AF4176" t="s">
        <v>64</v>
      </c>
      <c r="AG4176" s="1" t="s">
        <v>10790</v>
      </c>
      <c r="AH4176" t="s">
        <v>44</v>
      </c>
    </row>
    <row r="4177" spans="1:34" x14ac:dyDescent="0.3">
      <c r="A4177">
        <v>101</v>
      </c>
      <c r="B4177" t="s">
        <v>34</v>
      </c>
      <c r="C4177">
        <v>2</v>
      </c>
      <c r="D4177" s="1" t="s">
        <v>10801</v>
      </c>
      <c r="E4177" s="1" t="s">
        <v>36</v>
      </c>
      <c r="G4177">
        <v>455802</v>
      </c>
      <c r="H4177" t="s">
        <v>10788</v>
      </c>
      <c r="I4177" t="s">
        <v>2413</v>
      </c>
      <c r="J4177">
        <v>30</v>
      </c>
      <c r="K4177">
        <v>2695</v>
      </c>
      <c r="L4177">
        <v>95000</v>
      </c>
      <c r="M4177" t="s">
        <v>69</v>
      </c>
      <c r="N4177">
        <v>691</v>
      </c>
      <c r="O4177" s="2">
        <v>46171</v>
      </c>
      <c r="P4177" s="2">
        <v>46296</v>
      </c>
      <c r="R4177" t="s">
        <v>10802</v>
      </c>
      <c r="S4177" t="str">
        <f>""</f>
        <v/>
      </c>
      <c r="T4177" t="s">
        <v>41</v>
      </c>
      <c r="U4177">
        <v>2846.4</v>
      </c>
      <c r="V4177">
        <v>2815.09</v>
      </c>
      <c r="W4177">
        <v>2815.09</v>
      </c>
      <c r="X4177">
        <v>0</v>
      </c>
      <c r="Y4177">
        <v>0</v>
      </c>
      <c r="Z4177">
        <v>-521</v>
      </c>
      <c r="AA4177">
        <v>689214</v>
      </c>
      <c r="AD4177" t="s">
        <v>64</v>
      </c>
      <c r="AE4177">
        <v>1134115000</v>
      </c>
      <c r="AF4177" t="s">
        <v>64</v>
      </c>
      <c r="AG4177" s="1" t="s">
        <v>10790</v>
      </c>
      <c r="AH4177" t="s">
        <v>44</v>
      </c>
    </row>
    <row r="4178" spans="1:34" x14ac:dyDescent="0.3">
      <c r="A4178">
        <v>101</v>
      </c>
      <c r="B4178" t="s">
        <v>34</v>
      </c>
      <c r="C4178">
        <v>2</v>
      </c>
      <c r="D4178" s="1" t="s">
        <v>10803</v>
      </c>
      <c r="E4178" s="1" t="s">
        <v>36</v>
      </c>
      <c r="G4178">
        <v>455802</v>
      </c>
      <c r="H4178" t="s">
        <v>10788</v>
      </c>
      <c r="I4178" t="s">
        <v>2413</v>
      </c>
      <c r="J4178">
        <v>30</v>
      </c>
      <c r="K4178">
        <v>2695</v>
      </c>
      <c r="L4178">
        <v>95000</v>
      </c>
      <c r="M4178" t="s">
        <v>69</v>
      </c>
      <c r="N4178">
        <v>691</v>
      </c>
      <c r="O4178" s="2">
        <v>46170</v>
      </c>
      <c r="P4178" s="2">
        <v>46296</v>
      </c>
      <c r="R4178" t="s">
        <v>10804</v>
      </c>
      <c r="S4178" t="str">
        <f>""</f>
        <v/>
      </c>
      <c r="T4178" t="s">
        <v>41</v>
      </c>
      <c r="U4178">
        <v>12258.81</v>
      </c>
      <c r="V4178">
        <v>12123.96</v>
      </c>
      <c r="W4178">
        <v>12123.96</v>
      </c>
      <c r="X4178">
        <v>0</v>
      </c>
      <c r="Y4178">
        <v>0</v>
      </c>
      <c r="Z4178">
        <v>-521</v>
      </c>
      <c r="AA4178">
        <v>689214</v>
      </c>
      <c r="AD4178" t="s">
        <v>64</v>
      </c>
      <c r="AE4178">
        <v>1134115000</v>
      </c>
      <c r="AF4178" t="s">
        <v>64</v>
      </c>
      <c r="AG4178" s="1" t="s">
        <v>10790</v>
      </c>
      <c r="AH4178" t="s">
        <v>44</v>
      </c>
    </row>
    <row r="4179" spans="1:34" x14ac:dyDescent="0.3">
      <c r="A4179">
        <v>101</v>
      </c>
      <c r="B4179" t="s">
        <v>34</v>
      </c>
      <c r="C4179">
        <v>2</v>
      </c>
      <c r="D4179" s="1" t="s">
        <v>10805</v>
      </c>
      <c r="E4179" s="1" t="s">
        <v>36</v>
      </c>
      <c r="G4179">
        <v>455802</v>
      </c>
      <c r="H4179" t="s">
        <v>10788</v>
      </c>
      <c r="I4179" t="s">
        <v>2413</v>
      </c>
      <c r="J4179">
        <v>30</v>
      </c>
      <c r="K4179">
        <v>2695</v>
      </c>
      <c r="L4179">
        <v>95000</v>
      </c>
      <c r="M4179" t="s">
        <v>69</v>
      </c>
      <c r="N4179">
        <v>691</v>
      </c>
      <c r="O4179" s="2">
        <v>46170</v>
      </c>
      <c r="P4179" s="2">
        <v>46296</v>
      </c>
      <c r="R4179" t="s">
        <v>10806</v>
      </c>
      <c r="S4179" t="str">
        <f>""</f>
        <v/>
      </c>
      <c r="T4179" t="s">
        <v>41</v>
      </c>
      <c r="U4179">
        <v>2741</v>
      </c>
      <c r="V4179">
        <v>2710.85</v>
      </c>
      <c r="W4179">
        <v>2710.85</v>
      </c>
      <c r="X4179">
        <v>0</v>
      </c>
      <c r="Y4179">
        <v>0</v>
      </c>
      <c r="Z4179">
        <v>-521</v>
      </c>
      <c r="AA4179">
        <v>689491</v>
      </c>
      <c r="AD4179" t="s">
        <v>64</v>
      </c>
      <c r="AE4179">
        <v>1134115000</v>
      </c>
      <c r="AF4179" t="s">
        <v>64</v>
      </c>
      <c r="AG4179" s="1" t="s">
        <v>10790</v>
      </c>
      <c r="AH4179" t="s">
        <v>44</v>
      </c>
    </row>
    <row r="4180" spans="1:34" x14ac:dyDescent="0.3">
      <c r="A4180">
        <v>101</v>
      </c>
      <c r="B4180" t="s">
        <v>34</v>
      </c>
      <c r="C4180">
        <v>2</v>
      </c>
      <c r="D4180" s="1" t="s">
        <v>10807</v>
      </c>
      <c r="E4180" s="1" t="s">
        <v>36</v>
      </c>
      <c r="G4180">
        <v>455802</v>
      </c>
      <c r="H4180" t="s">
        <v>10788</v>
      </c>
      <c r="I4180" t="s">
        <v>2413</v>
      </c>
      <c r="J4180">
        <v>30</v>
      </c>
      <c r="K4180">
        <v>2695</v>
      </c>
      <c r="L4180">
        <v>95000</v>
      </c>
      <c r="M4180" t="s">
        <v>69</v>
      </c>
      <c r="N4180">
        <v>691</v>
      </c>
      <c r="O4180" s="2">
        <v>46140</v>
      </c>
      <c r="P4180" s="2">
        <v>46255</v>
      </c>
      <c r="R4180" t="s">
        <v>10808</v>
      </c>
      <c r="S4180" t="str">
        <f>""</f>
        <v/>
      </c>
      <c r="T4180" t="s">
        <v>41</v>
      </c>
      <c r="U4180">
        <v>4324.42</v>
      </c>
      <c r="V4180">
        <v>4276.8500000000004</v>
      </c>
      <c r="W4180">
        <v>4276.8500000000004</v>
      </c>
      <c r="X4180">
        <v>0</v>
      </c>
      <c r="Y4180">
        <v>0</v>
      </c>
      <c r="Z4180">
        <v>-480</v>
      </c>
      <c r="AA4180">
        <v>686906</v>
      </c>
      <c r="AD4180" t="s">
        <v>64</v>
      </c>
      <c r="AE4180">
        <v>1134115000</v>
      </c>
      <c r="AF4180" t="s">
        <v>64</v>
      </c>
      <c r="AG4180" s="1" t="s">
        <v>10790</v>
      </c>
      <c r="AH4180" t="s">
        <v>44</v>
      </c>
    </row>
    <row r="4181" spans="1:34" x14ac:dyDescent="0.3">
      <c r="A4181">
        <v>101</v>
      </c>
      <c r="B4181" t="s">
        <v>34</v>
      </c>
      <c r="C4181">
        <v>2</v>
      </c>
      <c r="D4181" s="1" t="s">
        <v>10809</v>
      </c>
      <c r="E4181" s="1" t="s">
        <v>36</v>
      </c>
      <c r="G4181">
        <v>455802</v>
      </c>
      <c r="H4181" t="s">
        <v>10788</v>
      </c>
      <c r="I4181" t="s">
        <v>2413</v>
      </c>
      <c r="J4181">
        <v>30</v>
      </c>
      <c r="K4181">
        <v>2695</v>
      </c>
      <c r="L4181">
        <v>95000</v>
      </c>
      <c r="M4181" t="s">
        <v>69</v>
      </c>
      <c r="N4181">
        <v>691</v>
      </c>
      <c r="O4181" s="2">
        <v>46253</v>
      </c>
      <c r="P4181" s="2">
        <v>46343</v>
      </c>
      <c r="R4181" t="s">
        <v>10810</v>
      </c>
      <c r="S4181" t="str">
        <f>""</f>
        <v/>
      </c>
      <c r="T4181" t="s">
        <v>41</v>
      </c>
      <c r="U4181">
        <v>2653.5</v>
      </c>
      <c r="V4181">
        <v>2624.31</v>
      </c>
      <c r="W4181">
        <v>2624.31</v>
      </c>
      <c r="X4181">
        <v>0</v>
      </c>
      <c r="Y4181">
        <v>0</v>
      </c>
      <c r="Z4181">
        <v>-568</v>
      </c>
      <c r="AA4181">
        <v>697009</v>
      </c>
      <c r="AD4181" t="s">
        <v>64</v>
      </c>
      <c r="AE4181">
        <v>1134115000</v>
      </c>
      <c r="AF4181" t="s">
        <v>64</v>
      </c>
      <c r="AG4181" s="1" t="s">
        <v>10790</v>
      </c>
      <c r="AH4181" t="s">
        <v>44</v>
      </c>
    </row>
    <row r="4182" spans="1:34" x14ac:dyDescent="0.3">
      <c r="A4182">
        <v>101</v>
      </c>
      <c r="B4182" t="s">
        <v>34</v>
      </c>
      <c r="C4182">
        <v>2</v>
      </c>
      <c r="D4182" s="1" t="s">
        <v>10811</v>
      </c>
      <c r="E4182" s="1" t="s">
        <v>36</v>
      </c>
      <c r="G4182">
        <v>455803</v>
      </c>
      <c r="H4182" t="s">
        <v>10812</v>
      </c>
      <c r="I4182" t="s">
        <v>2413</v>
      </c>
      <c r="J4182">
        <v>30</v>
      </c>
      <c r="K4182">
        <v>2695</v>
      </c>
      <c r="L4182">
        <v>95000</v>
      </c>
      <c r="M4182" t="s">
        <v>69</v>
      </c>
      <c r="N4182">
        <v>691</v>
      </c>
      <c r="O4182" s="2">
        <v>46239</v>
      </c>
      <c r="P4182" s="2">
        <v>46349</v>
      </c>
      <c r="R4182" t="s">
        <v>10813</v>
      </c>
      <c r="S4182" t="str">
        <f>""</f>
        <v/>
      </c>
      <c r="T4182" t="s">
        <v>41</v>
      </c>
      <c r="U4182">
        <v>2470.17</v>
      </c>
      <c r="V4182">
        <v>2443</v>
      </c>
      <c r="W4182">
        <v>2443</v>
      </c>
      <c r="X4182">
        <v>0</v>
      </c>
      <c r="Y4182">
        <v>0</v>
      </c>
      <c r="Z4182">
        <v>-574</v>
      </c>
      <c r="AA4182">
        <v>696233</v>
      </c>
      <c r="AD4182" t="s">
        <v>3228</v>
      </c>
      <c r="AE4182">
        <v>1134115000</v>
      </c>
      <c r="AF4182" t="s">
        <v>3228</v>
      </c>
      <c r="AG4182" s="1" t="s">
        <v>10814</v>
      </c>
      <c r="AH4182" t="s">
        <v>44</v>
      </c>
    </row>
    <row r="4183" spans="1:34" x14ac:dyDescent="0.3">
      <c r="A4183">
        <v>101</v>
      </c>
      <c r="B4183" t="s">
        <v>34</v>
      </c>
      <c r="C4183">
        <v>2</v>
      </c>
      <c r="D4183" s="1" t="s">
        <v>10815</v>
      </c>
      <c r="E4183" s="1" t="s">
        <v>36</v>
      </c>
      <c r="G4183">
        <v>455803</v>
      </c>
      <c r="H4183" t="s">
        <v>10812</v>
      </c>
      <c r="I4183" t="s">
        <v>2413</v>
      </c>
      <c r="J4183">
        <v>30</v>
      </c>
      <c r="K4183">
        <v>2695</v>
      </c>
      <c r="L4183">
        <v>95000</v>
      </c>
      <c r="M4183" t="s">
        <v>69</v>
      </c>
      <c r="N4183">
        <v>691</v>
      </c>
      <c r="O4183" s="2">
        <v>46197</v>
      </c>
      <c r="P4183" s="2">
        <v>46316</v>
      </c>
      <c r="R4183" t="s">
        <v>10816</v>
      </c>
      <c r="S4183" t="str">
        <f>""</f>
        <v/>
      </c>
      <c r="T4183" t="s">
        <v>41</v>
      </c>
      <c r="U4183">
        <v>3025.9</v>
      </c>
      <c r="V4183">
        <v>2992.62</v>
      </c>
      <c r="W4183">
        <v>2992.62</v>
      </c>
      <c r="X4183">
        <v>0</v>
      </c>
      <c r="Y4183">
        <v>0</v>
      </c>
      <c r="Z4183">
        <v>-541</v>
      </c>
      <c r="AA4183">
        <v>692174</v>
      </c>
      <c r="AD4183" t="s">
        <v>3228</v>
      </c>
      <c r="AE4183">
        <v>1134115000</v>
      </c>
      <c r="AF4183" t="s">
        <v>3228</v>
      </c>
      <c r="AG4183" s="1" t="s">
        <v>10814</v>
      </c>
      <c r="AH4183" t="s">
        <v>44</v>
      </c>
    </row>
    <row r="4184" spans="1:34" x14ac:dyDescent="0.3">
      <c r="A4184">
        <v>101</v>
      </c>
      <c r="B4184" t="s">
        <v>34</v>
      </c>
      <c r="C4184">
        <v>2</v>
      </c>
      <c r="D4184" s="1" t="s">
        <v>10817</v>
      </c>
      <c r="E4184" s="1" t="s">
        <v>36</v>
      </c>
      <c r="G4184">
        <v>455803</v>
      </c>
      <c r="H4184" t="s">
        <v>10812</v>
      </c>
      <c r="I4184" t="s">
        <v>2413</v>
      </c>
      <c r="J4184">
        <v>30</v>
      </c>
      <c r="K4184">
        <v>2695</v>
      </c>
      <c r="L4184">
        <v>95000</v>
      </c>
      <c r="M4184" t="s">
        <v>69</v>
      </c>
      <c r="N4184">
        <v>691</v>
      </c>
      <c r="O4184" s="2">
        <v>46170</v>
      </c>
      <c r="P4184" s="2">
        <v>46276</v>
      </c>
      <c r="R4184" t="s">
        <v>10818</v>
      </c>
      <c r="S4184" t="str">
        <f>""</f>
        <v/>
      </c>
      <c r="T4184" t="s">
        <v>41</v>
      </c>
      <c r="U4184">
        <v>2741</v>
      </c>
      <c r="V4184">
        <v>2710.85</v>
      </c>
      <c r="W4184">
        <v>2710.85</v>
      </c>
      <c r="X4184">
        <v>0</v>
      </c>
      <c r="Y4184">
        <v>0</v>
      </c>
      <c r="Z4184">
        <v>-501</v>
      </c>
      <c r="AA4184">
        <v>689489</v>
      </c>
      <c r="AD4184" t="s">
        <v>3228</v>
      </c>
      <c r="AE4184">
        <v>1134115000</v>
      </c>
      <c r="AF4184" t="s">
        <v>3228</v>
      </c>
      <c r="AG4184" s="1" t="s">
        <v>10814</v>
      </c>
      <c r="AH4184" t="s">
        <v>44</v>
      </c>
    </row>
    <row r="4185" spans="1:34" x14ac:dyDescent="0.3">
      <c r="A4185">
        <v>101</v>
      </c>
      <c r="B4185" t="s">
        <v>34</v>
      </c>
      <c r="C4185">
        <v>2</v>
      </c>
      <c r="D4185" s="1" t="s">
        <v>10819</v>
      </c>
      <c r="E4185" s="1" t="s">
        <v>36</v>
      </c>
      <c r="G4185">
        <v>455803</v>
      </c>
      <c r="H4185" t="s">
        <v>10812</v>
      </c>
      <c r="I4185" t="s">
        <v>2413</v>
      </c>
      <c r="J4185">
        <v>30</v>
      </c>
      <c r="K4185">
        <v>2695</v>
      </c>
      <c r="L4185">
        <v>95000</v>
      </c>
      <c r="M4185" t="s">
        <v>69</v>
      </c>
      <c r="N4185">
        <v>691</v>
      </c>
      <c r="O4185" s="2">
        <v>46170</v>
      </c>
      <c r="P4185" s="2">
        <v>46276</v>
      </c>
      <c r="R4185" t="s">
        <v>10820</v>
      </c>
      <c r="S4185" t="str">
        <f>""</f>
        <v/>
      </c>
      <c r="T4185" t="s">
        <v>41</v>
      </c>
      <c r="U4185">
        <v>8777.77</v>
      </c>
      <c r="V4185">
        <v>8681.2099999999991</v>
      </c>
      <c r="W4185">
        <v>8681.2099999999991</v>
      </c>
      <c r="X4185">
        <v>0</v>
      </c>
      <c r="Y4185">
        <v>0</v>
      </c>
      <c r="Z4185">
        <v>-501</v>
      </c>
      <c r="AA4185">
        <v>689212</v>
      </c>
      <c r="AD4185" t="s">
        <v>3228</v>
      </c>
      <c r="AE4185">
        <v>1134115000</v>
      </c>
      <c r="AF4185" t="s">
        <v>3228</v>
      </c>
      <c r="AG4185" s="1" t="s">
        <v>10814</v>
      </c>
      <c r="AH4185" t="s">
        <v>44</v>
      </c>
    </row>
    <row r="4186" spans="1:34" x14ac:dyDescent="0.3">
      <c r="A4186">
        <v>101</v>
      </c>
      <c r="B4186" t="s">
        <v>34</v>
      </c>
      <c r="C4186">
        <v>2</v>
      </c>
      <c r="D4186" s="1" t="s">
        <v>10821</v>
      </c>
      <c r="E4186" s="1" t="s">
        <v>36</v>
      </c>
      <c r="G4186">
        <v>455803</v>
      </c>
      <c r="H4186" t="s">
        <v>10812</v>
      </c>
      <c r="I4186" t="s">
        <v>2413</v>
      </c>
      <c r="J4186">
        <v>30</v>
      </c>
      <c r="K4186">
        <v>2695</v>
      </c>
      <c r="L4186">
        <v>95000</v>
      </c>
      <c r="M4186" t="s">
        <v>69</v>
      </c>
      <c r="N4186">
        <v>691</v>
      </c>
      <c r="O4186" s="2">
        <v>46171</v>
      </c>
      <c r="P4186" s="2">
        <v>46276</v>
      </c>
      <c r="R4186" t="s">
        <v>10822</v>
      </c>
      <c r="S4186" t="str">
        <f>""</f>
        <v/>
      </c>
      <c r="T4186" t="s">
        <v>41</v>
      </c>
      <c r="U4186">
        <v>2846.4</v>
      </c>
      <c r="V4186">
        <v>2815.09</v>
      </c>
      <c r="W4186">
        <v>2815.09</v>
      </c>
      <c r="X4186">
        <v>0</v>
      </c>
      <c r="Y4186">
        <v>0</v>
      </c>
      <c r="Z4186">
        <v>-501</v>
      </c>
      <c r="AA4186">
        <v>689212</v>
      </c>
      <c r="AD4186" t="s">
        <v>3228</v>
      </c>
      <c r="AE4186">
        <v>1134115000</v>
      </c>
      <c r="AF4186" t="s">
        <v>3228</v>
      </c>
      <c r="AG4186" s="1" t="s">
        <v>10814</v>
      </c>
      <c r="AH4186" t="s">
        <v>44</v>
      </c>
    </row>
    <row r="4187" spans="1:34" x14ac:dyDescent="0.3">
      <c r="A4187">
        <v>101</v>
      </c>
      <c r="B4187" t="s">
        <v>34</v>
      </c>
      <c r="C4187">
        <v>2</v>
      </c>
      <c r="D4187" s="1" t="s">
        <v>10823</v>
      </c>
      <c r="E4187" s="1" t="s">
        <v>36</v>
      </c>
      <c r="G4187">
        <v>455803</v>
      </c>
      <c r="H4187" t="s">
        <v>10812</v>
      </c>
      <c r="I4187" t="s">
        <v>2413</v>
      </c>
      <c r="J4187">
        <v>30</v>
      </c>
      <c r="K4187">
        <v>2695</v>
      </c>
      <c r="L4187">
        <v>95000</v>
      </c>
      <c r="M4187" t="s">
        <v>69</v>
      </c>
      <c r="N4187">
        <v>691</v>
      </c>
      <c r="O4187" s="2">
        <v>46140</v>
      </c>
      <c r="P4187" s="2">
        <v>46266</v>
      </c>
      <c r="R4187" t="s">
        <v>10824</v>
      </c>
      <c r="S4187" t="str">
        <f>""</f>
        <v/>
      </c>
      <c r="T4187" t="s">
        <v>41</v>
      </c>
      <c r="U4187">
        <v>10220.32</v>
      </c>
      <c r="V4187">
        <v>10107.9</v>
      </c>
      <c r="W4187">
        <v>10107.9</v>
      </c>
      <c r="X4187">
        <v>0</v>
      </c>
      <c r="Y4187">
        <v>0</v>
      </c>
      <c r="Z4187">
        <v>-491</v>
      </c>
      <c r="AA4187">
        <v>686610</v>
      </c>
      <c r="AD4187" t="s">
        <v>3228</v>
      </c>
      <c r="AE4187">
        <v>1134115000</v>
      </c>
      <c r="AF4187" t="s">
        <v>3228</v>
      </c>
      <c r="AG4187" s="1" t="s">
        <v>10814</v>
      </c>
      <c r="AH4187" t="s">
        <v>44</v>
      </c>
    </row>
    <row r="4188" spans="1:34" x14ac:dyDescent="0.3">
      <c r="A4188">
        <v>101</v>
      </c>
      <c r="B4188" t="s">
        <v>34</v>
      </c>
      <c r="C4188">
        <v>2</v>
      </c>
      <c r="D4188" s="1" t="s">
        <v>10825</v>
      </c>
      <c r="E4188" s="1" t="s">
        <v>36</v>
      </c>
      <c r="G4188">
        <v>455803</v>
      </c>
      <c r="H4188" t="s">
        <v>10812</v>
      </c>
      <c r="I4188" t="s">
        <v>2413</v>
      </c>
      <c r="J4188">
        <v>30</v>
      </c>
      <c r="K4188">
        <v>2695</v>
      </c>
      <c r="L4188">
        <v>95000</v>
      </c>
      <c r="M4188" t="s">
        <v>69</v>
      </c>
      <c r="N4188">
        <v>691</v>
      </c>
      <c r="O4188" s="2">
        <v>46226</v>
      </c>
      <c r="P4188" s="2">
        <v>46349</v>
      </c>
      <c r="R4188" t="s">
        <v>10826</v>
      </c>
      <c r="S4188" t="str">
        <f>""</f>
        <v/>
      </c>
      <c r="T4188" t="s">
        <v>41</v>
      </c>
      <c r="U4188">
        <v>19407.78</v>
      </c>
      <c r="V4188">
        <v>19194.29</v>
      </c>
      <c r="W4188">
        <v>19194.29</v>
      </c>
      <c r="X4188">
        <v>0</v>
      </c>
      <c r="Y4188">
        <v>0</v>
      </c>
      <c r="Z4188">
        <v>-574</v>
      </c>
      <c r="AA4188">
        <v>694985</v>
      </c>
      <c r="AD4188" t="s">
        <v>3228</v>
      </c>
      <c r="AE4188">
        <v>1134115000</v>
      </c>
      <c r="AF4188" t="s">
        <v>3228</v>
      </c>
      <c r="AG4188" s="1" t="s">
        <v>10814</v>
      </c>
      <c r="AH4188" t="s">
        <v>44</v>
      </c>
    </row>
    <row r="4189" spans="1:34" x14ac:dyDescent="0.3">
      <c r="A4189">
        <v>101</v>
      </c>
      <c r="B4189" t="s">
        <v>34</v>
      </c>
      <c r="C4189">
        <v>2</v>
      </c>
      <c r="D4189" s="1" t="s">
        <v>10827</v>
      </c>
      <c r="E4189" s="1" t="s">
        <v>36</v>
      </c>
      <c r="G4189">
        <v>456851</v>
      </c>
      <c r="H4189" t="s">
        <v>10828</v>
      </c>
      <c r="I4189" t="s">
        <v>2413</v>
      </c>
      <c r="J4189">
        <v>30</v>
      </c>
      <c r="K4189">
        <v>2695</v>
      </c>
      <c r="L4189">
        <v>95000</v>
      </c>
      <c r="M4189" t="s">
        <v>69</v>
      </c>
      <c r="N4189">
        <v>691</v>
      </c>
      <c r="O4189" s="2">
        <v>46239</v>
      </c>
      <c r="P4189" s="2">
        <v>46337</v>
      </c>
      <c r="R4189" t="s">
        <v>10829</v>
      </c>
      <c r="S4189" t="str">
        <f>""</f>
        <v/>
      </c>
      <c r="T4189" t="s">
        <v>41</v>
      </c>
      <c r="U4189">
        <v>3765.27</v>
      </c>
      <c r="V4189">
        <v>3723.85</v>
      </c>
      <c r="W4189">
        <v>3723.85</v>
      </c>
      <c r="X4189">
        <v>0</v>
      </c>
      <c r="Y4189">
        <v>0</v>
      </c>
      <c r="Z4189">
        <v>-562</v>
      </c>
      <c r="AA4189">
        <v>696245</v>
      </c>
      <c r="AD4189" t="s">
        <v>4997</v>
      </c>
      <c r="AE4189" t="s">
        <v>2567</v>
      </c>
      <c r="AF4189" t="s">
        <v>4997</v>
      </c>
      <c r="AG4189" s="1" t="s">
        <v>10830</v>
      </c>
      <c r="AH4189" t="s">
        <v>44</v>
      </c>
    </row>
    <row r="4190" spans="1:34" x14ac:dyDescent="0.3">
      <c r="A4190">
        <v>101</v>
      </c>
      <c r="B4190" t="s">
        <v>34</v>
      </c>
      <c r="C4190">
        <v>2</v>
      </c>
      <c r="D4190" s="1" t="s">
        <v>10831</v>
      </c>
      <c r="E4190" s="1" t="s">
        <v>36</v>
      </c>
      <c r="G4190">
        <v>456851</v>
      </c>
      <c r="H4190" t="s">
        <v>10828</v>
      </c>
      <c r="I4190" t="s">
        <v>2413</v>
      </c>
      <c r="J4190">
        <v>30</v>
      </c>
      <c r="K4190">
        <v>2695</v>
      </c>
      <c r="L4190">
        <v>95000</v>
      </c>
      <c r="M4190" t="s">
        <v>69</v>
      </c>
      <c r="N4190">
        <v>691</v>
      </c>
      <c r="O4190" s="2">
        <v>46172</v>
      </c>
      <c r="P4190" s="2">
        <v>46286</v>
      </c>
      <c r="R4190" t="s">
        <v>10832</v>
      </c>
      <c r="S4190" t="str">
        <f>""</f>
        <v/>
      </c>
      <c r="T4190" t="s">
        <v>41</v>
      </c>
      <c r="U4190">
        <v>2741</v>
      </c>
      <c r="V4190">
        <v>2710.85</v>
      </c>
      <c r="W4190">
        <v>2710.85</v>
      </c>
      <c r="X4190">
        <v>0</v>
      </c>
      <c r="Y4190">
        <v>0</v>
      </c>
      <c r="Z4190">
        <v>-511</v>
      </c>
      <c r="AA4190">
        <v>689495</v>
      </c>
      <c r="AD4190" t="s">
        <v>4997</v>
      </c>
      <c r="AE4190" t="s">
        <v>2567</v>
      </c>
      <c r="AF4190" t="s">
        <v>4997</v>
      </c>
      <c r="AG4190" s="1" t="s">
        <v>10830</v>
      </c>
      <c r="AH4190" t="s">
        <v>44</v>
      </c>
    </row>
    <row r="4191" spans="1:34" x14ac:dyDescent="0.3">
      <c r="A4191">
        <v>101</v>
      </c>
      <c r="B4191" t="s">
        <v>34</v>
      </c>
      <c r="C4191">
        <v>2</v>
      </c>
      <c r="D4191" s="1" t="s">
        <v>10833</v>
      </c>
      <c r="E4191" s="1" t="s">
        <v>36</v>
      </c>
      <c r="G4191">
        <v>456851</v>
      </c>
      <c r="H4191" t="s">
        <v>10828</v>
      </c>
      <c r="I4191" t="s">
        <v>2413</v>
      </c>
      <c r="J4191">
        <v>30</v>
      </c>
      <c r="K4191">
        <v>2695</v>
      </c>
      <c r="L4191">
        <v>95000</v>
      </c>
      <c r="M4191" t="s">
        <v>69</v>
      </c>
      <c r="N4191">
        <v>691</v>
      </c>
      <c r="O4191" s="2">
        <v>46141</v>
      </c>
      <c r="P4191" s="2">
        <v>46255</v>
      </c>
      <c r="R4191" t="s">
        <v>10834</v>
      </c>
      <c r="S4191" t="str">
        <f>""</f>
        <v/>
      </c>
      <c r="T4191" t="s">
        <v>41</v>
      </c>
      <c r="U4191">
        <v>12018.11</v>
      </c>
      <c r="V4191">
        <v>11885.91</v>
      </c>
      <c r="W4191">
        <v>11885.91</v>
      </c>
      <c r="X4191">
        <v>0</v>
      </c>
      <c r="Y4191">
        <v>0</v>
      </c>
      <c r="Z4191">
        <v>-480</v>
      </c>
      <c r="AA4191">
        <v>686618</v>
      </c>
      <c r="AD4191" t="s">
        <v>4997</v>
      </c>
      <c r="AE4191" t="s">
        <v>2567</v>
      </c>
      <c r="AF4191" t="s">
        <v>4997</v>
      </c>
      <c r="AG4191" s="1" t="s">
        <v>10830</v>
      </c>
      <c r="AH4191" t="s">
        <v>44</v>
      </c>
    </row>
    <row r="4192" spans="1:34" x14ac:dyDescent="0.3">
      <c r="A4192">
        <v>101</v>
      </c>
      <c r="B4192" t="s">
        <v>34</v>
      </c>
      <c r="C4192">
        <v>2</v>
      </c>
      <c r="D4192" s="1" t="s">
        <v>10835</v>
      </c>
      <c r="E4192" s="1" t="s">
        <v>36</v>
      </c>
      <c r="G4192">
        <v>456851</v>
      </c>
      <c r="H4192" t="s">
        <v>10828</v>
      </c>
      <c r="I4192" t="s">
        <v>2413</v>
      </c>
      <c r="J4192">
        <v>30</v>
      </c>
      <c r="K4192">
        <v>2695</v>
      </c>
      <c r="L4192">
        <v>95000</v>
      </c>
      <c r="M4192" t="s">
        <v>69</v>
      </c>
      <c r="N4192">
        <v>691</v>
      </c>
      <c r="O4192" s="2">
        <v>46199</v>
      </c>
      <c r="P4192" s="2">
        <v>46308</v>
      </c>
      <c r="R4192" t="s">
        <v>10836</v>
      </c>
      <c r="S4192" t="str">
        <f>""</f>
        <v/>
      </c>
      <c r="T4192" t="s">
        <v>41</v>
      </c>
      <c r="U4192">
        <v>862.26</v>
      </c>
      <c r="V4192">
        <v>852.78</v>
      </c>
      <c r="W4192">
        <v>852.78</v>
      </c>
      <c r="X4192">
        <v>0</v>
      </c>
      <c r="Y4192">
        <v>0</v>
      </c>
      <c r="Z4192">
        <v>-533</v>
      </c>
      <c r="AA4192">
        <v>692827</v>
      </c>
      <c r="AD4192" t="s">
        <v>4997</v>
      </c>
      <c r="AE4192" t="s">
        <v>2567</v>
      </c>
      <c r="AF4192" t="s">
        <v>4997</v>
      </c>
      <c r="AG4192" s="1" t="s">
        <v>10830</v>
      </c>
      <c r="AH4192" t="s">
        <v>44</v>
      </c>
    </row>
    <row r="4193" spans="1:34" x14ac:dyDescent="0.3">
      <c r="A4193">
        <v>101</v>
      </c>
      <c r="B4193" t="s">
        <v>34</v>
      </c>
      <c r="C4193">
        <v>2</v>
      </c>
      <c r="D4193" s="1" t="s">
        <v>10837</v>
      </c>
      <c r="E4193" s="1" t="s">
        <v>36</v>
      </c>
      <c r="G4193">
        <v>456851</v>
      </c>
      <c r="H4193" t="s">
        <v>10828</v>
      </c>
      <c r="I4193" t="s">
        <v>2413</v>
      </c>
      <c r="J4193">
        <v>30</v>
      </c>
      <c r="K4193">
        <v>2695</v>
      </c>
      <c r="L4193">
        <v>95000</v>
      </c>
      <c r="M4193" t="s">
        <v>69</v>
      </c>
      <c r="N4193">
        <v>691</v>
      </c>
      <c r="O4193" s="2">
        <v>46141</v>
      </c>
      <c r="P4193" s="2">
        <v>46255</v>
      </c>
      <c r="R4193" t="s">
        <v>10838</v>
      </c>
      <c r="S4193" t="str">
        <f>""</f>
        <v/>
      </c>
      <c r="T4193" t="s">
        <v>41</v>
      </c>
      <c r="U4193">
        <v>731.7</v>
      </c>
      <c r="V4193">
        <v>723.65</v>
      </c>
      <c r="W4193">
        <v>723.65</v>
      </c>
      <c r="X4193">
        <v>0</v>
      </c>
      <c r="Y4193">
        <v>0</v>
      </c>
      <c r="Z4193">
        <v>-480</v>
      </c>
      <c r="AA4193">
        <v>686912</v>
      </c>
      <c r="AD4193" t="s">
        <v>4997</v>
      </c>
      <c r="AE4193" t="s">
        <v>2567</v>
      </c>
      <c r="AF4193" t="s">
        <v>4997</v>
      </c>
      <c r="AG4193" s="1" t="s">
        <v>10830</v>
      </c>
      <c r="AH4193" t="s">
        <v>44</v>
      </c>
    </row>
    <row r="4194" spans="1:34" x14ac:dyDescent="0.3">
      <c r="A4194">
        <v>101</v>
      </c>
      <c r="B4194" t="s">
        <v>34</v>
      </c>
      <c r="C4194">
        <v>2</v>
      </c>
      <c r="D4194" s="1" t="s">
        <v>10839</v>
      </c>
      <c r="E4194" s="1" t="s">
        <v>36</v>
      </c>
      <c r="G4194">
        <v>456851</v>
      </c>
      <c r="H4194" t="s">
        <v>10828</v>
      </c>
      <c r="I4194" t="s">
        <v>2413</v>
      </c>
      <c r="J4194">
        <v>30</v>
      </c>
      <c r="K4194">
        <v>2695</v>
      </c>
      <c r="L4194">
        <v>95000</v>
      </c>
      <c r="M4194" t="s">
        <v>69</v>
      </c>
      <c r="N4194">
        <v>691</v>
      </c>
      <c r="O4194" s="2">
        <v>46198</v>
      </c>
      <c r="P4194" s="2">
        <v>46308</v>
      </c>
      <c r="R4194" t="s">
        <v>10840</v>
      </c>
      <c r="S4194" t="str">
        <f>""</f>
        <v/>
      </c>
      <c r="T4194" t="s">
        <v>41</v>
      </c>
      <c r="U4194">
        <v>884.5</v>
      </c>
      <c r="V4194">
        <v>874.77</v>
      </c>
      <c r="W4194">
        <v>874.77</v>
      </c>
      <c r="X4194">
        <v>0</v>
      </c>
      <c r="Y4194">
        <v>0</v>
      </c>
      <c r="Z4194">
        <v>-533</v>
      </c>
      <c r="AA4194">
        <v>692564</v>
      </c>
      <c r="AD4194" t="s">
        <v>4997</v>
      </c>
      <c r="AE4194" t="s">
        <v>2567</v>
      </c>
      <c r="AF4194" t="s">
        <v>4997</v>
      </c>
      <c r="AG4194" s="1" t="s">
        <v>10830</v>
      </c>
      <c r="AH4194" t="s">
        <v>44</v>
      </c>
    </row>
    <row r="4195" spans="1:34" x14ac:dyDescent="0.3">
      <c r="A4195">
        <v>101</v>
      </c>
      <c r="B4195" t="s">
        <v>34</v>
      </c>
      <c r="C4195">
        <v>2</v>
      </c>
      <c r="D4195" s="1" t="s">
        <v>10841</v>
      </c>
      <c r="E4195" s="1" t="s">
        <v>36</v>
      </c>
      <c r="G4195">
        <v>456851</v>
      </c>
      <c r="H4195" t="s">
        <v>10828</v>
      </c>
      <c r="I4195" t="s">
        <v>2413</v>
      </c>
      <c r="J4195">
        <v>30</v>
      </c>
      <c r="K4195">
        <v>2695</v>
      </c>
      <c r="L4195">
        <v>95000</v>
      </c>
      <c r="M4195" t="s">
        <v>69</v>
      </c>
      <c r="N4195">
        <v>691</v>
      </c>
      <c r="O4195" s="2">
        <v>46226</v>
      </c>
      <c r="P4195" s="2">
        <v>46337</v>
      </c>
      <c r="R4195" t="s">
        <v>10842</v>
      </c>
      <c r="S4195" t="str">
        <f>""</f>
        <v/>
      </c>
      <c r="T4195" t="s">
        <v>41</v>
      </c>
      <c r="U4195">
        <v>15711.43</v>
      </c>
      <c r="V4195">
        <v>15538.6</v>
      </c>
      <c r="W4195">
        <v>15538.6</v>
      </c>
      <c r="X4195">
        <v>0</v>
      </c>
      <c r="Y4195">
        <v>0</v>
      </c>
      <c r="Z4195">
        <v>-562</v>
      </c>
      <c r="AA4195">
        <v>694997</v>
      </c>
      <c r="AD4195" t="s">
        <v>4997</v>
      </c>
      <c r="AE4195" t="s">
        <v>2567</v>
      </c>
      <c r="AF4195" t="s">
        <v>4997</v>
      </c>
      <c r="AG4195" s="1" t="s">
        <v>10830</v>
      </c>
      <c r="AH4195" t="s">
        <v>44</v>
      </c>
    </row>
    <row r="4196" spans="1:34" x14ac:dyDescent="0.3">
      <c r="A4196">
        <v>101</v>
      </c>
      <c r="B4196" t="s">
        <v>34</v>
      </c>
      <c r="C4196">
        <v>2</v>
      </c>
      <c r="D4196" s="1" t="s">
        <v>10843</v>
      </c>
      <c r="E4196" s="1" t="s">
        <v>36</v>
      </c>
      <c r="G4196">
        <v>456851</v>
      </c>
      <c r="H4196" t="s">
        <v>10828</v>
      </c>
      <c r="I4196" t="s">
        <v>2413</v>
      </c>
      <c r="J4196">
        <v>30</v>
      </c>
      <c r="K4196">
        <v>2695</v>
      </c>
      <c r="L4196">
        <v>95000</v>
      </c>
      <c r="M4196" t="s">
        <v>69</v>
      </c>
      <c r="N4196">
        <v>691</v>
      </c>
      <c r="O4196" s="2">
        <v>46172</v>
      </c>
      <c r="P4196" s="2">
        <v>46286</v>
      </c>
      <c r="R4196" t="s">
        <v>10844</v>
      </c>
      <c r="S4196" t="str">
        <f>""</f>
        <v/>
      </c>
      <c r="T4196" t="s">
        <v>41</v>
      </c>
      <c r="U4196">
        <v>36977.08</v>
      </c>
      <c r="V4196">
        <v>36570.33</v>
      </c>
      <c r="W4196">
        <v>36570.33</v>
      </c>
      <c r="X4196">
        <v>0</v>
      </c>
      <c r="Y4196">
        <v>0</v>
      </c>
      <c r="Z4196">
        <v>-511</v>
      </c>
      <c r="AA4196">
        <v>689220</v>
      </c>
      <c r="AD4196" t="s">
        <v>4997</v>
      </c>
      <c r="AE4196" t="s">
        <v>2567</v>
      </c>
      <c r="AF4196" t="s">
        <v>4997</v>
      </c>
      <c r="AG4196" s="1" t="s">
        <v>10830</v>
      </c>
      <c r="AH4196" t="s">
        <v>44</v>
      </c>
    </row>
    <row r="4197" spans="1:34" x14ac:dyDescent="0.3">
      <c r="A4197">
        <v>101</v>
      </c>
      <c r="B4197" t="s">
        <v>34</v>
      </c>
      <c r="C4197">
        <v>2</v>
      </c>
      <c r="D4197" s="1" t="s">
        <v>10845</v>
      </c>
      <c r="E4197" s="1" t="s">
        <v>36</v>
      </c>
      <c r="G4197">
        <v>456851</v>
      </c>
      <c r="H4197" t="s">
        <v>10828</v>
      </c>
      <c r="I4197" t="s">
        <v>2413</v>
      </c>
      <c r="J4197">
        <v>30</v>
      </c>
      <c r="K4197">
        <v>2695</v>
      </c>
      <c r="L4197">
        <v>95000</v>
      </c>
      <c r="M4197" t="s">
        <v>69</v>
      </c>
      <c r="N4197">
        <v>691</v>
      </c>
      <c r="O4197" s="2">
        <v>46198</v>
      </c>
      <c r="P4197" s="2">
        <v>46308</v>
      </c>
      <c r="R4197" t="s">
        <v>10846</v>
      </c>
      <c r="S4197" t="str">
        <f>""</f>
        <v/>
      </c>
      <c r="T4197" t="s">
        <v>41</v>
      </c>
      <c r="U4197">
        <v>11575.97</v>
      </c>
      <c r="V4197">
        <v>11448.63</v>
      </c>
      <c r="W4197">
        <v>11448.63</v>
      </c>
      <c r="X4197">
        <v>0</v>
      </c>
      <c r="Y4197">
        <v>0</v>
      </c>
      <c r="Z4197">
        <v>-533</v>
      </c>
      <c r="AA4197">
        <v>692182</v>
      </c>
      <c r="AD4197" t="s">
        <v>4997</v>
      </c>
      <c r="AE4197" t="s">
        <v>2567</v>
      </c>
      <c r="AF4197" t="s">
        <v>4997</v>
      </c>
      <c r="AG4197" s="1" t="s">
        <v>10830</v>
      </c>
      <c r="AH4197" t="s">
        <v>44</v>
      </c>
    </row>
    <row r="4198" spans="1:34" x14ac:dyDescent="0.3">
      <c r="A4198">
        <v>101</v>
      </c>
      <c r="B4198" t="s">
        <v>34</v>
      </c>
      <c r="C4198">
        <v>2</v>
      </c>
      <c r="D4198" s="1" t="s">
        <v>10847</v>
      </c>
      <c r="E4198" s="1" t="s">
        <v>36</v>
      </c>
      <c r="G4198">
        <v>456851</v>
      </c>
      <c r="H4198" t="s">
        <v>10828</v>
      </c>
      <c r="I4198" t="s">
        <v>2413</v>
      </c>
      <c r="J4198">
        <v>30</v>
      </c>
      <c r="K4198">
        <v>2695</v>
      </c>
      <c r="L4198">
        <v>95000</v>
      </c>
      <c r="M4198" t="s">
        <v>69</v>
      </c>
      <c r="N4198">
        <v>691</v>
      </c>
      <c r="O4198" s="2">
        <v>46253</v>
      </c>
      <c r="P4198" s="2">
        <v>46343</v>
      </c>
      <c r="R4198" t="s">
        <v>10848</v>
      </c>
      <c r="S4198" t="str">
        <f>""</f>
        <v/>
      </c>
      <c r="T4198" t="s">
        <v>41</v>
      </c>
      <c r="U4198">
        <v>2653.5</v>
      </c>
      <c r="V4198">
        <v>2624.31</v>
      </c>
      <c r="W4198">
        <v>2624.31</v>
      </c>
      <c r="X4198">
        <v>0</v>
      </c>
      <c r="Y4198">
        <v>0</v>
      </c>
      <c r="Z4198">
        <v>-568</v>
      </c>
      <c r="AA4198">
        <v>697019</v>
      </c>
      <c r="AD4198" t="s">
        <v>4997</v>
      </c>
      <c r="AE4198" t="s">
        <v>2567</v>
      </c>
      <c r="AF4198" t="s">
        <v>4997</v>
      </c>
      <c r="AG4198" s="1" t="s">
        <v>10830</v>
      </c>
      <c r="AH4198" t="s">
        <v>44</v>
      </c>
    </row>
    <row r="4199" spans="1:34" x14ac:dyDescent="0.3">
      <c r="A4199">
        <v>101</v>
      </c>
      <c r="B4199" t="s">
        <v>34</v>
      </c>
      <c r="C4199">
        <v>2</v>
      </c>
      <c r="D4199" s="1" t="s">
        <v>10849</v>
      </c>
      <c r="E4199" s="1" t="s">
        <v>36</v>
      </c>
      <c r="G4199">
        <v>458924</v>
      </c>
      <c r="H4199" t="s">
        <v>10850</v>
      </c>
      <c r="I4199" t="s">
        <v>2413</v>
      </c>
      <c r="J4199">
        <v>30</v>
      </c>
      <c r="K4199">
        <v>2695</v>
      </c>
      <c r="L4199">
        <v>95000</v>
      </c>
      <c r="M4199" t="s">
        <v>69</v>
      </c>
      <c r="N4199">
        <v>691</v>
      </c>
      <c r="O4199" s="2">
        <v>46140</v>
      </c>
      <c r="P4199" s="2">
        <v>46266</v>
      </c>
      <c r="R4199" t="s">
        <v>10851</v>
      </c>
      <c r="S4199" t="str">
        <f>""</f>
        <v/>
      </c>
      <c r="T4199" t="s">
        <v>41</v>
      </c>
      <c r="U4199">
        <v>273.52999999999997</v>
      </c>
      <c r="V4199">
        <v>270.52</v>
      </c>
      <c r="W4199">
        <v>270.52</v>
      </c>
      <c r="X4199">
        <v>0</v>
      </c>
      <c r="Y4199">
        <v>0</v>
      </c>
      <c r="Z4199">
        <v>-491</v>
      </c>
      <c r="AA4199">
        <v>686771</v>
      </c>
      <c r="AD4199" t="s">
        <v>9926</v>
      </c>
      <c r="AE4199" t="s">
        <v>2533</v>
      </c>
      <c r="AF4199" t="s">
        <v>9926</v>
      </c>
      <c r="AG4199" s="1" t="s">
        <v>10852</v>
      </c>
      <c r="AH4199" t="s">
        <v>44</v>
      </c>
    </row>
    <row r="4200" spans="1:34" x14ac:dyDescent="0.3">
      <c r="A4200">
        <v>101</v>
      </c>
      <c r="B4200" t="s">
        <v>34</v>
      </c>
      <c r="C4200">
        <v>2</v>
      </c>
      <c r="D4200" s="1" t="s">
        <v>10853</v>
      </c>
      <c r="E4200" s="1" t="s">
        <v>36</v>
      </c>
      <c r="G4200">
        <v>458924</v>
      </c>
      <c r="H4200" t="s">
        <v>10850</v>
      </c>
      <c r="I4200" t="s">
        <v>2413</v>
      </c>
      <c r="J4200">
        <v>30</v>
      </c>
      <c r="K4200">
        <v>2695</v>
      </c>
      <c r="L4200">
        <v>95000</v>
      </c>
      <c r="M4200" t="s">
        <v>69</v>
      </c>
      <c r="N4200">
        <v>691</v>
      </c>
      <c r="O4200" s="2">
        <v>46226</v>
      </c>
      <c r="P4200" s="2">
        <v>46349</v>
      </c>
      <c r="R4200" t="s">
        <v>10854</v>
      </c>
      <c r="S4200" t="str">
        <f>""</f>
        <v/>
      </c>
      <c r="T4200" t="s">
        <v>41</v>
      </c>
      <c r="U4200">
        <v>3783.33</v>
      </c>
      <c r="V4200">
        <v>3741.71</v>
      </c>
      <c r="W4200">
        <v>3741.71</v>
      </c>
      <c r="X4200">
        <v>0</v>
      </c>
      <c r="Y4200">
        <v>0</v>
      </c>
      <c r="Z4200">
        <v>-574</v>
      </c>
      <c r="AA4200">
        <v>695009</v>
      </c>
      <c r="AD4200" t="s">
        <v>9926</v>
      </c>
      <c r="AE4200" t="s">
        <v>2533</v>
      </c>
      <c r="AF4200" t="s">
        <v>9926</v>
      </c>
      <c r="AG4200" s="1" t="s">
        <v>10852</v>
      </c>
      <c r="AH4200" t="s">
        <v>44</v>
      </c>
    </row>
    <row r="4201" spans="1:34" x14ac:dyDescent="0.3">
      <c r="A4201">
        <v>101</v>
      </c>
      <c r="B4201" t="s">
        <v>34</v>
      </c>
      <c r="C4201">
        <v>2</v>
      </c>
      <c r="D4201" s="1" t="s">
        <v>10855</v>
      </c>
      <c r="E4201" s="1" t="s">
        <v>36</v>
      </c>
      <c r="G4201">
        <v>458924</v>
      </c>
      <c r="H4201" t="s">
        <v>10850</v>
      </c>
      <c r="I4201" t="s">
        <v>2413</v>
      </c>
      <c r="J4201">
        <v>30</v>
      </c>
      <c r="K4201">
        <v>2695</v>
      </c>
      <c r="L4201">
        <v>95000</v>
      </c>
      <c r="M4201" t="s">
        <v>69</v>
      </c>
      <c r="N4201">
        <v>691</v>
      </c>
      <c r="O4201" s="2">
        <v>46199</v>
      </c>
      <c r="P4201" s="2">
        <v>46308</v>
      </c>
      <c r="R4201" t="s">
        <v>10856</v>
      </c>
      <c r="S4201" t="str">
        <f>""</f>
        <v/>
      </c>
      <c r="T4201" t="s">
        <v>41</v>
      </c>
      <c r="U4201">
        <v>1149.68</v>
      </c>
      <c r="V4201">
        <v>1137.03</v>
      </c>
      <c r="W4201">
        <v>1137.03</v>
      </c>
      <c r="X4201">
        <v>0</v>
      </c>
      <c r="Y4201">
        <v>0</v>
      </c>
      <c r="Z4201">
        <v>-533</v>
      </c>
      <c r="AA4201">
        <v>692829</v>
      </c>
      <c r="AD4201" t="s">
        <v>9926</v>
      </c>
      <c r="AE4201" t="s">
        <v>2533</v>
      </c>
      <c r="AF4201" t="s">
        <v>9926</v>
      </c>
      <c r="AG4201" s="1" t="s">
        <v>10852</v>
      </c>
      <c r="AH4201" t="s">
        <v>44</v>
      </c>
    </row>
    <row r="4202" spans="1:34" x14ac:dyDescent="0.3">
      <c r="A4202">
        <v>101</v>
      </c>
      <c r="B4202" t="s">
        <v>34</v>
      </c>
      <c r="C4202">
        <v>2</v>
      </c>
      <c r="D4202" s="1" t="s">
        <v>10857</v>
      </c>
      <c r="E4202" s="1" t="s">
        <v>36</v>
      </c>
      <c r="G4202">
        <v>458924</v>
      </c>
      <c r="H4202" t="s">
        <v>10850</v>
      </c>
      <c r="I4202" t="s">
        <v>2413</v>
      </c>
      <c r="J4202">
        <v>30</v>
      </c>
      <c r="K4202">
        <v>2695</v>
      </c>
      <c r="L4202">
        <v>95000</v>
      </c>
      <c r="M4202" t="s">
        <v>69</v>
      </c>
      <c r="N4202">
        <v>691</v>
      </c>
      <c r="O4202" s="2">
        <v>46253</v>
      </c>
      <c r="P4202" s="2">
        <v>46343</v>
      </c>
      <c r="R4202" t="s">
        <v>10858</v>
      </c>
      <c r="S4202" t="str">
        <f>""</f>
        <v/>
      </c>
      <c r="T4202" t="s">
        <v>41</v>
      </c>
      <c r="U4202">
        <v>2653.5</v>
      </c>
      <c r="V4202">
        <v>2624.31</v>
      </c>
      <c r="W4202">
        <v>2624.31</v>
      </c>
      <c r="X4202">
        <v>0</v>
      </c>
      <c r="Y4202">
        <v>0</v>
      </c>
      <c r="Z4202">
        <v>-568</v>
      </c>
      <c r="AA4202">
        <v>697029</v>
      </c>
      <c r="AD4202" t="s">
        <v>9926</v>
      </c>
      <c r="AE4202" t="s">
        <v>2533</v>
      </c>
      <c r="AF4202" t="s">
        <v>9926</v>
      </c>
      <c r="AG4202" s="1" t="s">
        <v>10852</v>
      </c>
      <c r="AH4202" t="s">
        <v>44</v>
      </c>
    </row>
    <row r="4203" spans="1:34" x14ac:dyDescent="0.3">
      <c r="A4203">
        <v>101</v>
      </c>
      <c r="B4203" t="s">
        <v>34</v>
      </c>
      <c r="C4203">
        <v>2</v>
      </c>
      <c r="D4203" s="1" t="s">
        <v>10859</v>
      </c>
      <c r="E4203" s="1" t="s">
        <v>36</v>
      </c>
      <c r="G4203">
        <v>458924</v>
      </c>
      <c r="H4203" t="s">
        <v>10850</v>
      </c>
      <c r="I4203" t="s">
        <v>2413</v>
      </c>
      <c r="J4203">
        <v>30</v>
      </c>
      <c r="K4203">
        <v>2695</v>
      </c>
      <c r="L4203">
        <v>95000</v>
      </c>
      <c r="M4203" t="s">
        <v>69</v>
      </c>
      <c r="N4203">
        <v>691</v>
      </c>
      <c r="O4203" s="2">
        <v>46198</v>
      </c>
      <c r="P4203" s="2">
        <v>46308</v>
      </c>
      <c r="R4203" t="s">
        <v>10860</v>
      </c>
      <c r="S4203" t="str">
        <f>""</f>
        <v/>
      </c>
      <c r="T4203" t="s">
        <v>41</v>
      </c>
      <c r="U4203">
        <v>884.5</v>
      </c>
      <c r="V4203">
        <v>874.77</v>
      </c>
      <c r="W4203">
        <v>874.77</v>
      </c>
      <c r="X4203">
        <v>0</v>
      </c>
      <c r="Y4203">
        <v>0</v>
      </c>
      <c r="Z4203">
        <v>-533</v>
      </c>
      <c r="AA4203">
        <v>692576</v>
      </c>
      <c r="AD4203" t="s">
        <v>9926</v>
      </c>
      <c r="AE4203" t="s">
        <v>2533</v>
      </c>
      <c r="AF4203" t="s">
        <v>9926</v>
      </c>
      <c r="AG4203" s="1" t="s">
        <v>10852</v>
      </c>
      <c r="AH4203" t="s">
        <v>44</v>
      </c>
    </row>
    <row r="4204" spans="1:34" x14ac:dyDescent="0.3">
      <c r="A4204">
        <v>101</v>
      </c>
      <c r="B4204" t="s">
        <v>34</v>
      </c>
      <c r="C4204">
        <v>2</v>
      </c>
      <c r="D4204" s="1" t="s">
        <v>10861</v>
      </c>
      <c r="E4204" s="1" t="s">
        <v>36</v>
      </c>
      <c r="G4204">
        <v>458924</v>
      </c>
      <c r="H4204" t="s">
        <v>10850</v>
      </c>
      <c r="I4204" t="s">
        <v>2413</v>
      </c>
      <c r="J4204">
        <v>30</v>
      </c>
      <c r="K4204">
        <v>2695</v>
      </c>
      <c r="L4204">
        <v>95000</v>
      </c>
      <c r="M4204" t="s">
        <v>69</v>
      </c>
      <c r="N4204">
        <v>691</v>
      </c>
      <c r="O4204" s="2">
        <v>46140</v>
      </c>
      <c r="P4204" s="2">
        <v>46266</v>
      </c>
      <c r="R4204" t="s">
        <v>10862</v>
      </c>
      <c r="S4204" t="str">
        <f>""</f>
        <v/>
      </c>
      <c r="T4204" t="s">
        <v>41</v>
      </c>
      <c r="U4204">
        <v>5621.13</v>
      </c>
      <c r="V4204">
        <v>5559.3</v>
      </c>
      <c r="W4204">
        <v>5559.3</v>
      </c>
      <c r="X4204">
        <v>0</v>
      </c>
      <c r="Y4204">
        <v>0</v>
      </c>
      <c r="Z4204">
        <v>-491</v>
      </c>
      <c r="AA4204">
        <v>686538</v>
      </c>
      <c r="AD4204" t="s">
        <v>9926</v>
      </c>
      <c r="AE4204" t="s">
        <v>2533</v>
      </c>
      <c r="AF4204" t="s">
        <v>9926</v>
      </c>
      <c r="AG4204" s="1" t="s">
        <v>10852</v>
      </c>
      <c r="AH4204" t="s">
        <v>44</v>
      </c>
    </row>
    <row r="4205" spans="1:34" x14ac:dyDescent="0.3">
      <c r="A4205">
        <v>101</v>
      </c>
      <c r="B4205" t="s">
        <v>34</v>
      </c>
      <c r="C4205">
        <v>2</v>
      </c>
      <c r="D4205" s="1" t="s">
        <v>10863</v>
      </c>
      <c r="E4205" s="1" t="s">
        <v>36</v>
      </c>
      <c r="G4205">
        <v>458924</v>
      </c>
      <c r="H4205" t="s">
        <v>10850</v>
      </c>
      <c r="I4205" t="s">
        <v>2413</v>
      </c>
      <c r="J4205">
        <v>30</v>
      </c>
      <c r="K4205">
        <v>2695</v>
      </c>
      <c r="L4205">
        <v>95000</v>
      </c>
      <c r="M4205" t="s">
        <v>69</v>
      </c>
      <c r="N4205">
        <v>691</v>
      </c>
      <c r="O4205" s="2">
        <v>46198</v>
      </c>
      <c r="P4205" s="2">
        <v>46308</v>
      </c>
      <c r="R4205" t="s">
        <v>10864</v>
      </c>
      <c r="S4205" t="str">
        <f>""</f>
        <v/>
      </c>
      <c r="T4205" t="s">
        <v>41</v>
      </c>
      <c r="U4205">
        <v>4484.55</v>
      </c>
      <c r="V4205">
        <v>4435.22</v>
      </c>
      <c r="W4205">
        <v>4435.22</v>
      </c>
      <c r="X4205">
        <v>0</v>
      </c>
      <c r="Y4205">
        <v>0</v>
      </c>
      <c r="Z4205">
        <v>-533</v>
      </c>
      <c r="AA4205">
        <v>692102</v>
      </c>
      <c r="AD4205" t="s">
        <v>9926</v>
      </c>
      <c r="AE4205" t="s">
        <v>2533</v>
      </c>
      <c r="AF4205" t="s">
        <v>9926</v>
      </c>
      <c r="AG4205" s="1" t="s">
        <v>10852</v>
      </c>
      <c r="AH4205" t="s">
        <v>44</v>
      </c>
    </row>
    <row r="4206" spans="1:34" x14ac:dyDescent="0.3">
      <c r="A4206">
        <v>101</v>
      </c>
      <c r="B4206" t="s">
        <v>34</v>
      </c>
      <c r="C4206">
        <v>2</v>
      </c>
      <c r="D4206" s="1" t="s">
        <v>10865</v>
      </c>
      <c r="E4206" s="1" t="s">
        <v>36</v>
      </c>
      <c r="G4206">
        <v>458924</v>
      </c>
      <c r="H4206" t="s">
        <v>10850</v>
      </c>
      <c r="I4206" t="s">
        <v>2413</v>
      </c>
      <c r="J4206">
        <v>30</v>
      </c>
      <c r="K4206">
        <v>2695</v>
      </c>
      <c r="L4206">
        <v>95000</v>
      </c>
      <c r="M4206" t="s">
        <v>69</v>
      </c>
      <c r="N4206">
        <v>691</v>
      </c>
      <c r="O4206" s="2">
        <v>46170</v>
      </c>
      <c r="P4206" s="2">
        <v>46276</v>
      </c>
      <c r="R4206" t="s">
        <v>10866</v>
      </c>
      <c r="S4206" t="str">
        <f>""</f>
        <v/>
      </c>
      <c r="T4206" t="s">
        <v>41</v>
      </c>
      <c r="U4206">
        <v>11837.64</v>
      </c>
      <c r="V4206">
        <v>11707.43</v>
      </c>
      <c r="W4206">
        <v>11707.43</v>
      </c>
      <c r="X4206">
        <v>0</v>
      </c>
      <c r="Y4206">
        <v>0</v>
      </c>
      <c r="Z4206">
        <v>-501</v>
      </c>
      <c r="AA4206">
        <v>689140</v>
      </c>
      <c r="AD4206" t="s">
        <v>9926</v>
      </c>
      <c r="AE4206" t="s">
        <v>2533</v>
      </c>
      <c r="AF4206" t="s">
        <v>9926</v>
      </c>
      <c r="AG4206" s="1" t="s">
        <v>10852</v>
      </c>
      <c r="AH4206" t="s">
        <v>44</v>
      </c>
    </row>
    <row r="4207" spans="1:34" x14ac:dyDescent="0.3">
      <c r="A4207">
        <v>101</v>
      </c>
      <c r="B4207" t="s">
        <v>34</v>
      </c>
      <c r="C4207">
        <v>2</v>
      </c>
      <c r="D4207" s="1" t="s">
        <v>10867</v>
      </c>
      <c r="E4207" s="1" t="s">
        <v>36</v>
      </c>
      <c r="G4207">
        <v>458924</v>
      </c>
      <c r="H4207" t="s">
        <v>10850</v>
      </c>
      <c r="I4207" t="s">
        <v>2413</v>
      </c>
      <c r="J4207">
        <v>30</v>
      </c>
      <c r="K4207">
        <v>2695</v>
      </c>
      <c r="L4207">
        <v>95000</v>
      </c>
      <c r="M4207" t="s">
        <v>69</v>
      </c>
      <c r="N4207">
        <v>691</v>
      </c>
      <c r="O4207" s="2">
        <v>46171</v>
      </c>
      <c r="P4207" s="2">
        <v>46276</v>
      </c>
      <c r="R4207" t="s">
        <v>10868</v>
      </c>
      <c r="S4207" t="str">
        <f>""</f>
        <v/>
      </c>
      <c r="T4207" t="s">
        <v>41</v>
      </c>
      <c r="U4207">
        <v>2846.4</v>
      </c>
      <c r="V4207">
        <v>2815.09</v>
      </c>
      <c r="W4207">
        <v>2815.09</v>
      </c>
      <c r="X4207">
        <v>0</v>
      </c>
      <c r="Y4207">
        <v>0</v>
      </c>
      <c r="Z4207">
        <v>-501</v>
      </c>
      <c r="AA4207">
        <v>689140</v>
      </c>
      <c r="AD4207" t="s">
        <v>9926</v>
      </c>
      <c r="AE4207" t="s">
        <v>2533</v>
      </c>
      <c r="AF4207" t="s">
        <v>9926</v>
      </c>
      <c r="AG4207" s="1" t="s">
        <v>10852</v>
      </c>
      <c r="AH4207" t="s">
        <v>44</v>
      </c>
    </row>
    <row r="4208" spans="1:34" x14ac:dyDescent="0.3">
      <c r="A4208">
        <v>101</v>
      </c>
      <c r="B4208" t="s">
        <v>34</v>
      </c>
      <c r="C4208">
        <v>2</v>
      </c>
      <c r="D4208" s="1" t="s">
        <v>10869</v>
      </c>
      <c r="E4208" s="1" t="s">
        <v>36</v>
      </c>
      <c r="G4208">
        <v>458924</v>
      </c>
      <c r="H4208" t="s">
        <v>10850</v>
      </c>
      <c r="I4208" t="s">
        <v>2413</v>
      </c>
      <c r="J4208">
        <v>30</v>
      </c>
      <c r="K4208">
        <v>2695</v>
      </c>
      <c r="L4208">
        <v>95000</v>
      </c>
      <c r="M4208" t="s">
        <v>69</v>
      </c>
      <c r="N4208">
        <v>691</v>
      </c>
      <c r="O4208" s="2">
        <v>46239</v>
      </c>
      <c r="P4208" s="2">
        <v>46349</v>
      </c>
      <c r="R4208" t="s">
        <v>10870</v>
      </c>
      <c r="S4208" t="str">
        <f>""</f>
        <v/>
      </c>
      <c r="T4208" t="s">
        <v>41</v>
      </c>
      <c r="U4208">
        <v>527.52</v>
      </c>
      <c r="V4208">
        <v>521.72</v>
      </c>
      <c r="W4208">
        <v>521.72</v>
      </c>
      <c r="X4208">
        <v>0</v>
      </c>
      <c r="Y4208">
        <v>0</v>
      </c>
      <c r="Z4208">
        <v>-574</v>
      </c>
      <c r="AA4208">
        <v>696253</v>
      </c>
      <c r="AD4208" t="s">
        <v>9926</v>
      </c>
      <c r="AE4208" t="s">
        <v>2533</v>
      </c>
      <c r="AF4208" t="s">
        <v>9926</v>
      </c>
      <c r="AG4208" s="1" t="s">
        <v>10852</v>
      </c>
      <c r="AH4208" t="s">
        <v>44</v>
      </c>
    </row>
    <row r="4209" spans="1:34" x14ac:dyDescent="0.3">
      <c r="A4209">
        <v>101</v>
      </c>
      <c r="B4209" t="s">
        <v>34</v>
      </c>
      <c r="C4209">
        <v>2</v>
      </c>
      <c r="D4209" s="1" t="s">
        <v>10871</v>
      </c>
      <c r="E4209" s="1" t="s">
        <v>36</v>
      </c>
      <c r="G4209">
        <v>458925</v>
      </c>
      <c r="H4209" t="s">
        <v>10872</v>
      </c>
      <c r="I4209" t="s">
        <v>10873</v>
      </c>
      <c r="J4209">
        <v>30</v>
      </c>
      <c r="K4209">
        <v>2695</v>
      </c>
      <c r="L4209">
        <v>95000</v>
      </c>
      <c r="M4209" t="s">
        <v>69</v>
      </c>
      <c r="N4209">
        <v>691</v>
      </c>
      <c r="O4209" s="2">
        <v>46253</v>
      </c>
      <c r="P4209" s="2">
        <v>46343</v>
      </c>
      <c r="R4209" t="s">
        <v>10874</v>
      </c>
      <c r="S4209" t="str">
        <f>""</f>
        <v/>
      </c>
      <c r="T4209" t="s">
        <v>41</v>
      </c>
      <c r="U4209">
        <v>3538</v>
      </c>
      <c r="V4209">
        <v>3499.08</v>
      </c>
      <c r="W4209">
        <v>3499.08</v>
      </c>
      <c r="X4209">
        <v>0</v>
      </c>
      <c r="Y4209">
        <v>0</v>
      </c>
      <c r="Z4209">
        <v>-568</v>
      </c>
      <c r="AA4209">
        <v>697039</v>
      </c>
      <c r="AD4209" t="s">
        <v>64</v>
      </c>
      <c r="AE4209" t="s">
        <v>8099</v>
      </c>
      <c r="AF4209" t="s">
        <v>64</v>
      </c>
      <c r="AG4209" s="1" t="s">
        <v>10875</v>
      </c>
      <c r="AH4209" t="s">
        <v>44</v>
      </c>
    </row>
    <row r="4210" spans="1:34" x14ac:dyDescent="0.3">
      <c r="A4210">
        <v>101</v>
      </c>
      <c r="B4210" t="s">
        <v>34</v>
      </c>
      <c r="C4210">
        <v>2</v>
      </c>
      <c r="D4210" s="1" t="s">
        <v>10876</v>
      </c>
      <c r="E4210" s="1" t="s">
        <v>36</v>
      </c>
      <c r="G4210">
        <v>458925</v>
      </c>
      <c r="H4210" t="s">
        <v>10872</v>
      </c>
      <c r="I4210" t="s">
        <v>10873</v>
      </c>
      <c r="J4210">
        <v>30</v>
      </c>
      <c r="K4210">
        <v>2695</v>
      </c>
      <c r="L4210">
        <v>95000</v>
      </c>
      <c r="M4210" t="s">
        <v>69</v>
      </c>
      <c r="N4210">
        <v>691</v>
      </c>
      <c r="O4210" s="2">
        <v>46199</v>
      </c>
      <c r="P4210" s="2">
        <v>46308</v>
      </c>
      <c r="R4210" t="s">
        <v>10877</v>
      </c>
      <c r="S4210" t="str">
        <f>""</f>
        <v/>
      </c>
      <c r="T4210" t="s">
        <v>41</v>
      </c>
      <c r="U4210">
        <v>3305.31</v>
      </c>
      <c r="V4210">
        <v>3268.95</v>
      </c>
      <c r="W4210">
        <v>3268.95</v>
      </c>
      <c r="X4210">
        <v>0</v>
      </c>
      <c r="Y4210">
        <v>0</v>
      </c>
      <c r="Z4210">
        <v>-533</v>
      </c>
      <c r="AA4210">
        <v>692833</v>
      </c>
      <c r="AD4210" t="s">
        <v>64</v>
      </c>
      <c r="AE4210" t="s">
        <v>8099</v>
      </c>
      <c r="AF4210" t="s">
        <v>64</v>
      </c>
      <c r="AG4210" s="1" t="s">
        <v>10875</v>
      </c>
      <c r="AH4210" t="s">
        <v>44</v>
      </c>
    </row>
    <row r="4211" spans="1:34" x14ac:dyDescent="0.3">
      <c r="A4211">
        <v>101</v>
      </c>
      <c r="B4211" t="s">
        <v>34</v>
      </c>
      <c r="C4211">
        <v>2</v>
      </c>
      <c r="D4211" s="1" t="s">
        <v>10878</v>
      </c>
      <c r="E4211" s="1" t="s">
        <v>36</v>
      </c>
      <c r="G4211">
        <v>458925</v>
      </c>
      <c r="H4211" t="s">
        <v>10872</v>
      </c>
      <c r="I4211" t="s">
        <v>10873</v>
      </c>
      <c r="J4211">
        <v>30</v>
      </c>
      <c r="K4211">
        <v>2695</v>
      </c>
      <c r="L4211">
        <v>95000</v>
      </c>
      <c r="M4211" t="s">
        <v>69</v>
      </c>
      <c r="N4211">
        <v>691</v>
      </c>
      <c r="O4211" s="2">
        <v>46171</v>
      </c>
      <c r="P4211" s="2">
        <v>46296</v>
      </c>
      <c r="R4211" t="s">
        <v>10879</v>
      </c>
      <c r="S4211" t="str">
        <f>""</f>
        <v/>
      </c>
      <c r="T4211" t="s">
        <v>41</v>
      </c>
      <c r="U4211">
        <v>2741</v>
      </c>
      <c r="V4211">
        <v>2710.85</v>
      </c>
      <c r="W4211">
        <v>2710.85</v>
      </c>
      <c r="X4211">
        <v>0</v>
      </c>
      <c r="Y4211">
        <v>0</v>
      </c>
      <c r="Z4211">
        <v>-521</v>
      </c>
      <c r="AA4211">
        <v>689507</v>
      </c>
      <c r="AD4211" t="s">
        <v>64</v>
      </c>
      <c r="AE4211" t="s">
        <v>8099</v>
      </c>
      <c r="AF4211" t="s">
        <v>64</v>
      </c>
      <c r="AG4211" s="1" t="s">
        <v>10875</v>
      </c>
      <c r="AH4211" t="s">
        <v>44</v>
      </c>
    </row>
    <row r="4212" spans="1:34" x14ac:dyDescent="0.3">
      <c r="A4212">
        <v>101</v>
      </c>
      <c r="B4212" t="s">
        <v>34</v>
      </c>
      <c r="C4212">
        <v>2</v>
      </c>
      <c r="D4212" s="1" t="s">
        <v>10880</v>
      </c>
      <c r="E4212" s="1" t="s">
        <v>36</v>
      </c>
      <c r="G4212">
        <v>458925</v>
      </c>
      <c r="H4212" t="s">
        <v>10872</v>
      </c>
      <c r="I4212" t="s">
        <v>10873</v>
      </c>
      <c r="J4212">
        <v>30</v>
      </c>
      <c r="K4212">
        <v>2695</v>
      </c>
      <c r="L4212">
        <v>95000</v>
      </c>
      <c r="M4212" t="s">
        <v>69</v>
      </c>
      <c r="N4212">
        <v>691</v>
      </c>
      <c r="O4212" s="2">
        <v>46197</v>
      </c>
      <c r="P4212" s="2">
        <v>46308</v>
      </c>
      <c r="R4212" t="s">
        <v>10881</v>
      </c>
      <c r="S4212" t="str">
        <f>""</f>
        <v/>
      </c>
      <c r="T4212" t="s">
        <v>41</v>
      </c>
      <c r="U4212">
        <v>23397.599999999999</v>
      </c>
      <c r="V4212">
        <v>23140.23</v>
      </c>
      <c r="W4212">
        <v>23140.23</v>
      </c>
      <c r="X4212">
        <v>0</v>
      </c>
      <c r="Y4212">
        <v>0</v>
      </c>
      <c r="Z4212">
        <v>-533</v>
      </c>
      <c r="AA4212">
        <v>692194</v>
      </c>
      <c r="AD4212" t="s">
        <v>64</v>
      </c>
      <c r="AE4212" t="s">
        <v>8099</v>
      </c>
      <c r="AF4212" t="s">
        <v>64</v>
      </c>
      <c r="AG4212" s="1" t="s">
        <v>10875</v>
      </c>
      <c r="AH4212" t="s">
        <v>44</v>
      </c>
    </row>
    <row r="4213" spans="1:34" x14ac:dyDescent="0.3">
      <c r="A4213">
        <v>101</v>
      </c>
      <c r="B4213" t="s">
        <v>34</v>
      </c>
      <c r="C4213">
        <v>2</v>
      </c>
      <c r="D4213" s="1" t="s">
        <v>10882</v>
      </c>
      <c r="E4213" s="1" t="s">
        <v>36</v>
      </c>
      <c r="G4213">
        <v>458925</v>
      </c>
      <c r="H4213" t="s">
        <v>10872</v>
      </c>
      <c r="I4213" t="s">
        <v>10873</v>
      </c>
      <c r="J4213">
        <v>30</v>
      </c>
      <c r="K4213">
        <v>2695</v>
      </c>
      <c r="L4213">
        <v>95000</v>
      </c>
      <c r="M4213" t="s">
        <v>69</v>
      </c>
      <c r="N4213">
        <v>691</v>
      </c>
      <c r="O4213" s="2">
        <v>46140</v>
      </c>
      <c r="P4213" s="2">
        <v>46255</v>
      </c>
      <c r="R4213" t="s">
        <v>10883</v>
      </c>
      <c r="S4213" t="str">
        <f>""</f>
        <v/>
      </c>
      <c r="T4213" t="s">
        <v>41</v>
      </c>
      <c r="U4213">
        <v>3592.72</v>
      </c>
      <c r="V4213">
        <v>3553.2</v>
      </c>
      <c r="W4213">
        <v>3553.2</v>
      </c>
      <c r="X4213">
        <v>0</v>
      </c>
      <c r="Y4213">
        <v>0</v>
      </c>
      <c r="Z4213">
        <v>-480</v>
      </c>
      <c r="AA4213">
        <v>686922</v>
      </c>
      <c r="AD4213" t="s">
        <v>64</v>
      </c>
      <c r="AE4213" t="s">
        <v>8099</v>
      </c>
      <c r="AF4213" t="s">
        <v>64</v>
      </c>
      <c r="AG4213" s="1" t="s">
        <v>10875</v>
      </c>
      <c r="AH4213" t="s">
        <v>44</v>
      </c>
    </row>
    <row r="4214" spans="1:34" x14ac:dyDescent="0.3">
      <c r="A4214">
        <v>101</v>
      </c>
      <c r="B4214" t="s">
        <v>34</v>
      </c>
      <c r="C4214">
        <v>2</v>
      </c>
      <c r="D4214" s="1" t="s">
        <v>10884</v>
      </c>
      <c r="E4214" s="1" t="s">
        <v>36</v>
      </c>
      <c r="G4214">
        <v>458925</v>
      </c>
      <c r="H4214" t="s">
        <v>10872</v>
      </c>
      <c r="I4214" t="s">
        <v>10873</v>
      </c>
      <c r="J4214">
        <v>30</v>
      </c>
      <c r="K4214">
        <v>2695</v>
      </c>
      <c r="L4214">
        <v>95000</v>
      </c>
      <c r="M4214" t="s">
        <v>69</v>
      </c>
      <c r="N4214">
        <v>691</v>
      </c>
      <c r="O4214" s="2">
        <v>46199</v>
      </c>
      <c r="P4214" s="2">
        <v>46308</v>
      </c>
      <c r="R4214" t="s">
        <v>10885</v>
      </c>
      <c r="S4214" t="str">
        <f>""</f>
        <v/>
      </c>
      <c r="T4214" t="s">
        <v>41</v>
      </c>
      <c r="U4214">
        <v>1326.75</v>
      </c>
      <c r="V4214">
        <v>1312.16</v>
      </c>
      <c r="W4214">
        <v>1312.16</v>
      </c>
      <c r="X4214">
        <v>0</v>
      </c>
      <c r="Y4214">
        <v>0</v>
      </c>
      <c r="Z4214">
        <v>-533</v>
      </c>
      <c r="AA4214">
        <v>692584</v>
      </c>
      <c r="AD4214" t="s">
        <v>64</v>
      </c>
      <c r="AE4214" t="s">
        <v>8099</v>
      </c>
      <c r="AF4214" t="s">
        <v>64</v>
      </c>
      <c r="AG4214" s="1" t="s">
        <v>10875</v>
      </c>
      <c r="AH4214" t="s">
        <v>44</v>
      </c>
    </row>
    <row r="4215" spans="1:34" x14ac:dyDescent="0.3">
      <c r="A4215">
        <v>101</v>
      </c>
      <c r="B4215" t="s">
        <v>34</v>
      </c>
      <c r="C4215">
        <v>2</v>
      </c>
      <c r="D4215" s="1" t="s">
        <v>10886</v>
      </c>
      <c r="E4215" s="1" t="s">
        <v>36</v>
      </c>
      <c r="G4215">
        <v>458925</v>
      </c>
      <c r="H4215" t="s">
        <v>10872</v>
      </c>
      <c r="I4215" t="s">
        <v>10873</v>
      </c>
      <c r="J4215">
        <v>30</v>
      </c>
      <c r="K4215">
        <v>2695</v>
      </c>
      <c r="L4215">
        <v>95000</v>
      </c>
      <c r="M4215" t="s">
        <v>69</v>
      </c>
      <c r="N4215">
        <v>691</v>
      </c>
      <c r="O4215" s="2">
        <v>46140</v>
      </c>
      <c r="P4215" s="2">
        <v>46255</v>
      </c>
      <c r="R4215" t="s">
        <v>10887</v>
      </c>
      <c r="S4215" t="str">
        <f>""</f>
        <v/>
      </c>
      <c r="T4215" t="s">
        <v>41</v>
      </c>
      <c r="U4215">
        <v>1484.77</v>
      </c>
      <c r="V4215">
        <v>1468.44</v>
      </c>
      <c r="W4215">
        <v>1468.44</v>
      </c>
      <c r="X4215">
        <v>0</v>
      </c>
      <c r="Y4215">
        <v>0</v>
      </c>
      <c r="Z4215">
        <v>-480</v>
      </c>
      <c r="AA4215">
        <v>686795</v>
      </c>
      <c r="AD4215" t="s">
        <v>64</v>
      </c>
      <c r="AE4215" t="s">
        <v>8099</v>
      </c>
      <c r="AF4215" t="s">
        <v>64</v>
      </c>
      <c r="AG4215" s="1" t="s">
        <v>10875</v>
      </c>
      <c r="AH4215" t="s">
        <v>44</v>
      </c>
    </row>
    <row r="4216" spans="1:34" x14ac:dyDescent="0.3">
      <c r="A4216">
        <v>101</v>
      </c>
      <c r="B4216" t="s">
        <v>34</v>
      </c>
      <c r="C4216">
        <v>2</v>
      </c>
      <c r="D4216" s="1" t="s">
        <v>10888</v>
      </c>
      <c r="E4216" s="1" t="s">
        <v>36</v>
      </c>
      <c r="G4216">
        <v>458925</v>
      </c>
      <c r="H4216" t="s">
        <v>10872</v>
      </c>
      <c r="I4216" t="s">
        <v>10873</v>
      </c>
      <c r="J4216">
        <v>30</v>
      </c>
      <c r="K4216">
        <v>2695</v>
      </c>
      <c r="L4216">
        <v>95000</v>
      </c>
      <c r="M4216" t="s">
        <v>69</v>
      </c>
      <c r="N4216">
        <v>691</v>
      </c>
      <c r="O4216" s="2">
        <v>46239</v>
      </c>
      <c r="P4216" s="2">
        <v>46337</v>
      </c>
      <c r="R4216" t="s">
        <v>10889</v>
      </c>
      <c r="S4216" t="str">
        <f>""</f>
        <v/>
      </c>
      <c r="T4216" t="s">
        <v>41</v>
      </c>
      <c r="U4216">
        <v>527.52</v>
      </c>
      <c r="V4216">
        <v>521.72</v>
      </c>
      <c r="W4216">
        <v>521.72</v>
      </c>
      <c r="X4216">
        <v>0</v>
      </c>
      <c r="Y4216">
        <v>0</v>
      </c>
      <c r="Z4216">
        <v>-562</v>
      </c>
      <c r="AA4216">
        <v>696263</v>
      </c>
      <c r="AD4216" t="s">
        <v>64</v>
      </c>
      <c r="AE4216" t="s">
        <v>8099</v>
      </c>
      <c r="AF4216" t="s">
        <v>64</v>
      </c>
      <c r="AG4216" s="1" t="s">
        <v>10875</v>
      </c>
      <c r="AH4216" t="s">
        <v>44</v>
      </c>
    </row>
    <row r="4217" spans="1:34" x14ac:dyDescent="0.3">
      <c r="A4217">
        <v>101</v>
      </c>
      <c r="B4217" t="s">
        <v>34</v>
      </c>
      <c r="C4217">
        <v>2</v>
      </c>
      <c r="D4217" s="1" t="s">
        <v>10890</v>
      </c>
      <c r="E4217" s="1" t="s">
        <v>36</v>
      </c>
      <c r="G4217">
        <v>458925</v>
      </c>
      <c r="H4217" t="s">
        <v>10872</v>
      </c>
      <c r="I4217" t="s">
        <v>10873</v>
      </c>
      <c r="J4217">
        <v>30</v>
      </c>
      <c r="K4217">
        <v>2695</v>
      </c>
      <c r="L4217">
        <v>95000</v>
      </c>
      <c r="M4217" t="s">
        <v>69</v>
      </c>
      <c r="N4217">
        <v>691</v>
      </c>
      <c r="O4217" s="2">
        <v>46140</v>
      </c>
      <c r="P4217" s="2">
        <v>46255</v>
      </c>
      <c r="R4217" t="s">
        <v>10891</v>
      </c>
      <c r="S4217" t="str">
        <f>""</f>
        <v/>
      </c>
      <c r="T4217" t="s">
        <v>41</v>
      </c>
      <c r="U4217">
        <v>35801.9</v>
      </c>
      <c r="V4217">
        <v>35408.080000000002</v>
      </c>
      <c r="W4217">
        <v>35408.080000000002</v>
      </c>
      <c r="X4217">
        <v>0</v>
      </c>
      <c r="Y4217">
        <v>0</v>
      </c>
      <c r="Z4217">
        <v>-480</v>
      </c>
      <c r="AA4217">
        <v>686630</v>
      </c>
      <c r="AD4217" t="s">
        <v>64</v>
      </c>
      <c r="AE4217" t="s">
        <v>8099</v>
      </c>
      <c r="AF4217" t="s">
        <v>64</v>
      </c>
      <c r="AG4217" s="1" t="s">
        <v>10875</v>
      </c>
      <c r="AH4217" t="s">
        <v>44</v>
      </c>
    </row>
    <row r="4218" spans="1:34" x14ac:dyDescent="0.3">
      <c r="A4218">
        <v>101</v>
      </c>
      <c r="B4218" t="s">
        <v>34</v>
      </c>
      <c r="C4218">
        <v>2</v>
      </c>
      <c r="D4218" s="1" t="s">
        <v>10892</v>
      </c>
      <c r="E4218" s="1" t="s">
        <v>36</v>
      </c>
      <c r="G4218">
        <v>458925</v>
      </c>
      <c r="H4218" t="s">
        <v>10872</v>
      </c>
      <c r="I4218" t="s">
        <v>10873</v>
      </c>
      <c r="J4218">
        <v>30</v>
      </c>
      <c r="K4218">
        <v>2695</v>
      </c>
      <c r="L4218">
        <v>95000</v>
      </c>
      <c r="M4218" t="s">
        <v>69</v>
      </c>
      <c r="N4218">
        <v>691</v>
      </c>
      <c r="O4218" s="2">
        <v>46171</v>
      </c>
      <c r="P4218" s="2">
        <v>46296</v>
      </c>
      <c r="R4218" t="s">
        <v>10893</v>
      </c>
      <c r="S4218" t="str">
        <f>""</f>
        <v/>
      </c>
      <c r="T4218" t="s">
        <v>41</v>
      </c>
      <c r="U4218">
        <v>23534.01</v>
      </c>
      <c r="V4218">
        <v>23275.14</v>
      </c>
      <c r="W4218">
        <v>23275.14</v>
      </c>
      <c r="X4218">
        <v>0</v>
      </c>
      <c r="Y4218">
        <v>0</v>
      </c>
      <c r="Z4218">
        <v>-521</v>
      </c>
      <c r="AA4218">
        <v>689232</v>
      </c>
      <c r="AD4218" t="s">
        <v>64</v>
      </c>
      <c r="AE4218" t="s">
        <v>8099</v>
      </c>
      <c r="AF4218" t="s">
        <v>64</v>
      </c>
      <c r="AG4218" s="1" t="s">
        <v>10875</v>
      </c>
      <c r="AH4218" t="s">
        <v>44</v>
      </c>
    </row>
    <row r="4219" spans="1:34" x14ac:dyDescent="0.3">
      <c r="A4219">
        <v>101</v>
      </c>
      <c r="B4219" t="s">
        <v>34</v>
      </c>
      <c r="C4219">
        <v>2</v>
      </c>
      <c r="D4219" s="1" t="s">
        <v>10894</v>
      </c>
      <c r="E4219" s="1" t="s">
        <v>36</v>
      </c>
      <c r="G4219">
        <v>458925</v>
      </c>
      <c r="H4219" t="s">
        <v>10872</v>
      </c>
      <c r="I4219" t="s">
        <v>10873</v>
      </c>
      <c r="J4219">
        <v>30</v>
      </c>
      <c r="K4219">
        <v>2695</v>
      </c>
      <c r="L4219">
        <v>95000</v>
      </c>
      <c r="M4219" t="s">
        <v>69</v>
      </c>
      <c r="N4219">
        <v>691</v>
      </c>
      <c r="O4219" s="2">
        <v>46226</v>
      </c>
      <c r="P4219" s="2">
        <v>46337</v>
      </c>
      <c r="R4219" t="s">
        <v>10895</v>
      </c>
      <c r="S4219" t="str">
        <f>""</f>
        <v/>
      </c>
      <c r="T4219" t="s">
        <v>41</v>
      </c>
      <c r="U4219">
        <v>20082.580000000002</v>
      </c>
      <c r="V4219">
        <v>19861.669999999998</v>
      </c>
      <c r="W4219">
        <v>19861.669999999998</v>
      </c>
      <c r="X4219">
        <v>0</v>
      </c>
      <c r="Y4219">
        <v>0</v>
      </c>
      <c r="Z4219">
        <v>-562</v>
      </c>
      <c r="AA4219">
        <v>695019</v>
      </c>
      <c r="AD4219" t="s">
        <v>64</v>
      </c>
      <c r="AE4219" t="s">
        <v>8099</v>
      </c>
      <c r="AF4219" t="s">
        <v>64</v>
      </c>
      <c r="AG4219" s="1" t="s">
        <v>10875</v>
      </c>
      <c r="AH4219" t="s">
        <v>44</v>
      </c>
    </row>
    <row r="4220" spans="1:34" x14ac:dyDescent="0.3">
      <c r="A4220">
        <v>101</v>
      </c>
      <c r="B4220" t="s">
        <v>34</v>
      </c>
      <c r="C4220">
        <v>2</v>
      </c>
      <c r="D4220" s="1" t="s">
        <v>10896</v>
      </c>
      <c r="E4220" s="1" t="s">
        <v>36</v>
      </c>
      <c r="G4220">
        <v>458926</v>
      </c>
      <c r="H4220" t="s">
        <v>10897</v>
      </c>
      <c r="I4220" t="s">
        <v>2413</v>
      </c>
      <c r="J4220">
        <v>30</v>
      </c>
      <c r="K4220">
        <v>2695</v>
      </c>
      <c r="L4220">
        <v>95000</v>
      </c>
      <c r="M4220" t="s">
        <v>69</v>
      </c>
      <c r="N4220">
        <v>691</v>
      </c>
      <c r="O4220" s="2">
        <v>46199</v>
      </c>
      <c r="P4220" s="2">
        <v>46308</v>
      </c>
      <c r="R4220" t="s">
        <v>10898</v>
      </c>
      <c r="S4220" t="str">
        <f>""</f>
        <v/>
      </c>
      <c r="T4220" t="s">
        <v>41</v>
      </c>
      <c r="U4220">
        <v>884.5</v>
      </c>
      <c r="V4220">
        <v>874.77</v>
      </c>
      <c r="W4220">
        <v>874.77</v>
      </c>
      <c r="X4220">
        <v>0</v>
      </c>
      <c r="Y4220">
        <v>0</v>
      </c>
      <c r="Z4220">
        <v>-533</v>
      </c>
      <c r="AA4220">
        <v>692580</v>
      </c>
      <c r="AD4220" t="s">
        <v>64</v>
      </c>
      <c r="AE4220" t="s">
        <v>2567</v>
      </c>
      <c r="AF4220" t="s">
        <v>64</v>
      </c>
      <c r="AG4220" s="1" t="s">
        <v>10899</v>
      </c>
      <c r="AH4220" t="s">
        <v>44</v>
      </c>
    </row>
    <row r="4221" spans="1:34" x14ac:dyDescent="0.3">
      <c r="A4221">
        <v>101</v>
      </c>
      <c r="B4221" t="s">
        <v>34</v>
      </c>
      <c r="C4221">
        <v>2</v>
      </c>
      <c r="D4221" s="1" t="s">
        <v>10900</v>
      </c>
      <c r="E4221" s="1" t="s">
        <v>36</v>
      </c>
      <c r="G4221">
        <v>458926</v>
      </c>
      <c r="H4221" t="s">
        <v>10897</v>
      </c>
      <c r="I4221" t="s">
        <v>2413</v>
      </c>
      <c r="J4221">
        <v>30</v>
      </c>
      <c r="K4221">
        <v>2695</v>
      </c>
      <c r="L4221">
        <v>95000</v>
      </c>
      <c r="M4221" t="s">
        <v>69</v>
      </c>
      <c r="N4221">
        <v>691</v>
      </c>
      <c r="O4221" s="2">
        <v>46239</v>
      </c>
      <c r="P4221" s="2">
        <v>46349</v>
      </c>
      <c r="R4221" t="s">
        <v>10901</v>
      </c>
      <c r="S4221" t="str">
        <f>""</f>
        <v/>
      </c>
      <c r="T4221" t="s">
        <v>41</v>
      </c>
      <c r="U4221">
        <v>2470.17</v>
      </c>
      <c r="V4221">
        <v>2443</v>
      </c>
      <c r="W4221">
        <v>2443</v>
      </c>
      <c r="X4221">
        <v>0</v>
      </c>
      <c r="Y4221">
        <v>0</v>
      </c>
      <c r="Z4221">
        <v>-574</v>
      </c>
      <c r="AA4221">
        <v>696257</v>
      </c>
      <c r="AD4221" t="s">
        <v>64</v>
      </c>
      <c r="AE4221" t="s">
        <v>2567</v>
      </c>
      <c r="AF4221" t="s">
        <v>64</v>
      </c>
      <c r="AG4221" s="1" t="s">
        <v>10899</v>
      </c>
      <c r="AH4221" t="s">
        <v>44</v>
      </c>
    </row>
    <row r="4222" spans="1:34" x14ac:dyDescent="0.3">
      <c r="A4222">
        <v>101</v>
      </c>
      <c r="B4222" t="s">
        <v>34</v>
      </c>
      <c r="C4222">
        <v>2</v>
      </c>
      <c r="D4222" s="1" t="s">
        <v>10902</v>
      </c>
      <c r="E4222" s="1" t="s">
        <v>36</v>
      </c>
      <c r="G4222">
        <v>458926</v>
      </c>
      <c r="H4222" t="s">
        <v>10897</v>
      </c>
      <c r="I4222" t="s">
        <v>2413</v>
      </c>
      <c r="J4222">
        <v>30</v>
      </c>
      <c r="K4222">
        <v>2695</v>
      </c>
      <c r="L4222">
        <v>95000</v>
      </c>
      <c r="M4222" t="s">
        <v>69</v>
      </c>
      <c r="N4222">
        <v>691</v>
      </c>
      <c r="O4222" s="2">
        <v>46140</v>
      </c>
      <c r="P4222" s="2">
        <v>46266</v>
      </c>
      <c r="R4222" t="s">
        <v>10903</v>
      </c>
      <c r="S4222" t="str">
        <f>""</f>
        <v/>
      </c>
      <c r="T4222" t="s">
        <v>41</v>
      </c>
      <c r="U4222">
        <v>11517.54</v>
      </c>
      <c r="V4222">
        <v>11390.85</v>
      </c>
      <c r="W4222">
        <v>11390.85</v>
      </c>
      <c r="X4222">
        <v>0</v>
      </c>
      <c r="Y4222">
        <v>0</v>
      </c>
      <c r="Z4222">
        <v>-491</v>
      </c>
      <c r="AA4222">
        <v>686626</v>
      </c>
      <c r="AD4222" t="s">
        <v>64</v>
      </c>
      <c r="AE4222" t="s">
        <v>2567</v>
      </c>
      <c r="AF4222" t="s">
        <v>64</v>
      </c>
      <c r="AG4222" s="1" t="s">
        <v>10899</v>
      </c>
      <c r="AH4222" t="s">
        <v>44</v>
      </c>
    </row>
    <row r="4223" spans="1:34" x14ac:dyDescent="0.3">
      <c r="A4223">
        <v>101</v>
      </c>
      <c r="B4223" t="s">
        <v>34</v>
      </c>
      <c r="C4223">
        <v>2</v>
      </c>
      <c r="D4223" s="1" t="s">
        <v>10904</v>
      </c>
      <c r="E4223" s="1" t="s">
        <v>36</v>
      </c>
      <c r="G4223">
        <v>458926</v>
      </c>
      <c r="H4223" t="s">
        <v>10897</v>
      </c>
      <c r="I4223" t="s">
        <v>2413</v>
      </c>
      <c r="J4223">
        <v>30</v>
      </c>
      <c r="K4223">
        <v>2695</v>
      </c>
      <c r="L4223">
        <v>95000</v>
      </c>
      <c r="M4223" t="s">
        <v>69</v>
      </c>
      <c r="N4223">
        <v>691</v>
      </c>
      <c r="O4223" s="2">
        <v>46226</v>
      </c>
      <c r="P4223" s="2">
        <v>46349</v>
      </c>
      <c r="R4223" t="s">
        <v>10905</v>
      </c>
      <c r="S4223" t="str">
        <f>""</f>
        <v/>
      </c>
      <c r="T4223" t="s">
        <v>41</v>
      </c>
      <c r="U4223">
        <v>6989.38</v>
      </c>
      <c r="V4223">
        <v>6912.5</v>
      </c>
      <c r="W4223">
        <v>6912.5</v>
      </c>
      <c r="X4223">
        <v>0</v>
      </c>
      <c r="Y4223">
        <v>0</v>
      </c>
      <c r="Z4223">
        <v>-574</v>
      </c>
      <c r="AA4223">
        <v>695013</v>
      </c>
      <c r="AD4223" t="s">
        <v>64</v>
      </c>
      <c r="AE4223" t="s">
        <v>2567</v>
      </c>
      <c r="AF4223" t="s">
        <v>64</v>
      </c>
      <c r="AG4223" s="1" t="s">
        <v>10899</v>
      </c>
      <c r="AH4223" t="s">
        <v>44</v>
      </c>
    </row>
    <row r="4224" spans="1:34" x14ac:dyDescent="0.3">
      <c r="A4224">
        <v>101</v>
      </c>
      <c r="B4224" t="s">
        <v>34</v>
      </c>
      <c r="C4224">
        <v>2</v>
      </c>
      <c r="D4224" s="1" t="s">
        <v>10906</v>
      </c>
      <c r="E4224" s="1" t="s">
        <v>36</v>
      </c>
      <c r="G4224">
        <v>458926</v>
      </c>
      <c r="H4224" t="s">
        <v>10897</v>
      </c>
      <c r="I4224" t="s">
        <v>2413</v>
      </c>
      <c r="J4224">
        <v>30</v>
      </c>
      <c r="K4224">
        <v>2695</v>
      </c>
      <c r="L4224">
        <v>95000</v>
      </c>
      <c r="M4224" t="s">
        <v>69</v>
      </c>
      <c r="N4224">
        <v>691</v>
      </c>
      <c r="O4224" s="2">
        <v>46140</v>
      </c>
      <c r="P4224" s="2">
        <v>46266</v>
      </c>
      <c r="R4224" t="s">
        <v>10907</v>
      </c>
      <c r="S4224" t="str">
        <f>""</f>
        <v/>
      </c>
      <c r="T4224" t="s">
        <v>41</v>
      </c>
      <c r="U4224">
        <v>731.7</v>
      </c>
      <c r="V4224">
        <v>723.65</v>
      </c>
      <c r="W4224">
        <v>723.65</v>
      </c>
      <c r="X4224">
        <v>0</v>
      </c>
      <c r="Y4224">
        <v>0</v>
      </c>
      <c r="Z4224">
        <v>-491</v>
      </c>
      <c r="AA4224">
        <v>686918</v>
      </c>
      <c r="AD4224" t="s">
        <v>64</v>
      </c>
      <c r="AE4224" t="s">
        <v>2567</v>
      </c>
      <c r="AF4224" t="s">
        <v>64</v>
      </c>
      <c r="AG4224" s="1" t="s">
        <v>10899</v>
      </c>
      <c r="AH4224" t="s">
        <v>44</v>
      </c>
    </row>
    <row r="4225" spans="1:34" x14ac:dyDescent="0.3">
      <c r="A4225">
        <v>101</v>
      </c>
      <c r="B4225" t="s">
        <v>34</v>
      </c>
      <c r="C4225">
        <v>2</v>
      </c>
      <c r="D4225" s="1" t="s">
        <v>10908</v>
      </c>
      <c r="E4225" s="1" t="s">
        <v>36</v>
      </c>
      <c r="G4225">
        <v>458926</v>
      </c>
      <c r="H4225" t="s">
        <v>10897</v>
      </c>
      <c r="I4225" t="s">
        <v>2413</v>
      </c>
      <c r="J4225">
        <v>30</v>
      </c>
      <c r="K4225">
        <v>2695</v>
      </c>
      <c r="L4225">
        <v>95000</v>
      </c>
      <c r="M4225" t="s">
        <v>69</v>
      </c>
      <c r="N4225">
        <v>691</v>
      </c>
      <c r="O4225" s="2">
        <v>46197</v>
      </c>
      <c r="P4225" s="2">
        <v>46316</v>
      </c>
      <c r="R4225" t="s">
        <v>10909</v>
      </c>
      <c r="S4225" t="str">
        <f>""</f>
        <v/>
      </c>
      <c r="T4225" t="s">
        <v>41</v>
      </c>
      <c r="U4225">
        <v>17542.97</v>
      </c>
      <c r="V4225">
        <v>17350</v>
      </c>
      <c r="W4225">
        <v>17350</v>
      </c>
      <c r="X4225">
        <v>0</v>
      </c>
      <c r="Y4225">
        <v>0</v>
      </c>
      <c r="Z4225">
        <v>-541</v>
      </c>
      <c r="AA4225">
        <v>692190</v>
      </c>
      <c r="AD4225" t="s">
        <v>64</v>
      </c>
      <c r="AE4225" t="s">
        <v>2567</v>
      </c>
      <c r="AF4225" t="s">
        <v>64</v>
      </c>
      <c r="AG4225" s="1" t="s">
        <v>10899</v>
      </c>
      <c r="AH4225" t="s">
        <v>44</v>
      </c>
    </row>
    <row r="4226" spans="1:34" x14ac:dyDescent="0.3">
      <c r="A4226">
        <v>101</v>
      </c>
      <c r="B4226" t="s">
        <v>34</v>
      </c>
      <c r="C4226">
        <v>2</v>
      </c>
      <c r="D4226" s="1" t="s">
        <v>10910</v>
      </c>
      <c r="E4226" s="1" t="s">
        <v>36</v>
      </c>
      <c r="G4226">
        <v>458926</v>
      </c>
      <c r="H4226" t="s">
        <v>10897</v>
      </c>
      <c r="I4226" t="s">
        <v>2413</v>
      </c>
      <c r="J4226">
        <v>30</v>
      </c>
      <c r="K4226">
        <v>2695</v>
      </c>
      <c r="L4226">
        <v>95000</v>
      </c>
      <c r="M4226" t="s">
        <v>69</v>
      </c>
      <c r="N4226">
        <v>691</v>
      </c>
      <c r="O4226" s="2">
        <v>46171</v>
      </c>
      <c r="P4226" s="2">
        <v>46286</v>
      </c>
      <c r="R4226" t="s">
        <v>10911</v>
      </c>
      <c r="S4226" t="str">
        <f>""</f>
        <v/>
      </c>
      <c r="T4226" t="s">
        <v>41</v>
      </c>
      <c r="U4226">
        <v>2846.4</v>
      </c>
      <c r="V4226">
        <v>2815.09</v>
      </c>
      <c r="W4226">
        <v>2815.09</v>
      </c>
      <c r="X4226">
        <v>0</v>
      </c>
      <c r="Y4226">
        <v>0</v>
      </c>
      <c r="Z4226">
        <v>-511</v>
      </c>
      <c r="AA4226">
        <v>689228</v>
      </c>
      <c r="AD4226" t="s">
        <v>64</v>
      </c>
      <c r="AE4226" t="s">
        <v>2567</v>
      </c>
      <c r="AF4226" t="s">
        <v>64</v>
      </c>
      <c r="AG4226" s="1" t="s">
        <v>10899</v>
      </c>
      <c r="AH4226" t="s">
        <v>44</v>
      </c>
    </row>
    <row r="4227" spans="1:34" x14ac:dyDescent="0.3">
      <c r="A4227">
        <v>101</v>
      </c>
      <c r="B4227" t="s">
        <v>34</v>
      </c>
      <c r="C4227">
        <v>2</v>
      </c>
      <c r="D4227" s="1" t="s">
        <v>10912</v>
      </c>
      <c r="E4227" s="1" t="s">
        <v>36</v>
      </c>
      <c r="G4227">
        <v>458926</v>
      </c>
      <c r="H4227" t="s">
        <v>10897</v>
      </c>
      <c r="I4227" t="s">
        <v>2413</v>
      </c>
      <c r="J4227">
        <v>30</v>
      </c>
      <c r="K4227">
        <v>2695</v>
      </c>
      <c r="L4227">
        <v>95000</v>
      </c>
      <c r="M4227" t="s">
        <v>69</v>
      </c>
      <c r="N4227">
        <v>691</v>
      </c>
      <c r="O4227" s="2">
        <v>46170</v>
      </c>
      <c r="P4227" s="2">
        <v>46286</v>
      </c>
      <c r="R4227" t="s">
        <v>10913</v>
      </c>
      <c r="S4227" t="str">
        <f>""</f>
        <v/>
      </c>
      <c r="T4227" t="s">
        <v>41</v>
      </c>
      <c r="U4227">
        <v>19355.32</v>
      </c>
      <c r="V4227">
        <v>19142.41</v>
      </c>
      <c r="W4227">
        <v>19142.41</v>
      </c>
      <c r="X4227">
        <v>0</v>
      </c>
      <c r="Y4227">
        <v>0</v>
      </c>
      <c r="Z4227">
        <v>-511</v>
      </c>
      <c r="AA4227">
        <v>689228</v>
      </c>
      <c r="AD4227" t="s">
        <v>64</v>
      </c>
      <c r="AE4227" t="s">
        <v>2567</v>
      </c>
      <c r="AF4227" t="s">
        <v>64</v>
      </c>
      <c r="AG4227" s="1" t="s">
        <v>10899</v>
      </c>
      <c r="AH4227" t="s">
        <v>44</v>
      </c>
    </row>
    <row r="4228" spans="1:34" x14ac:dyDescent="0.3">
      <c r="A4228">
        <v>101</v>
      </c>
      <c r="B4228" t="s">
        <v>34</v>
      </c>
      <c r="C4228">
        <v>2</v>
      </c>
      <c r="D4228" s="1" t="s">
        <v>10914</v>
      </c>
      <c r="E4228" s="1" t="s">
        <v>36</v>
      </c>
      <c r="G4228">
        <v>458926</v>
      </c>
      <c r="H4228" t="s">
        <v>10897</v>
      </c>
      <c r="I4228" t="s">
        <v>2413</v>
      </c>
      <c r="J4228">
        <v>30</v>
      </c>
      <c r="K4228">
        <v>2695</v>
      </c>
      <c r="L4228">
        <v>95000</v>
      </c>
      <c r="M4228" t="s">
        <v>69</v>
      </c>
      <c r="N4228">
        <v>691</v>
      </c>
      <c r="O4228" s="2">
        <v>46170</v>
      </c>
      <c r="P4228" s="2">
        <v>46286</v>
      </c>
      <c r="R4228" t="s">
        <v>10915</v>
      </c>
      <c r="S4228" t="str">
        <f>""</f>
        <v/>
      </c>
      <c r="T4228" t="s">
        <v>41</v>
      </c>
      <c r="U4228">
        <v>2741</v>
      </c>
      <c r="V4228">
        <v>2710.85</v>
      </c>
      <c r="W4228">
        <v>2710.85</v>
      </c>
      <c r="X4228">
        <v>0</v>
      </c>
      <c r="Y4228">
        <v>0</v>
      </c>
      <c r="Z4228">
        <v>-511</v>
      </c>
      <c r="AA4228">
        <v>689503</v>
      </c>
      <c r="AD4228" t="s">
        <v>64</v>
      </c>
      <c r="AE4228" t="s">
        <v>2567</v>
      </c>
      <c r="AF4228" t="s">
        <v>64</v>
      </c>
      <c r="AG4228" s="1" t="s">
        <v>10899</v>
      </c>
      <c r="AH4228" t="s">
        <v>44</v>
      </c>
    </row>
    <row r="4229" spans="1:34" x14ac:dyDescent="0.3">
      <c r="A4229">
        <v>101</v>
      </c>
      <c r="B4229" t="s">
        <v>34</v>
      </c>
      <c r="C4229">
        <v>2</v>
      </c>
      <c r="D4229" s="1" t="s">
        <v>10916</v>
      </c>
      <c r="E4229" s="1" t="s">
        <v>36</v>
      </c>
      <c r="G4229">
        <v>458926</v>
      </c>
      <c r="H4229" t="s">
        <v>10897</v>
      </c>
      <c r="I4229" t="s">
        <v>2413</v>
      </c>
      <c r="J4229">
        <v>30</v>
      </c>
      <c r="K4229">
        <v>2695</v>
      </c>
      <c r="L4229">
        <v>95000</v>
      </c>
      <c r="M4229" t="s">
        <v>69</v>
      </c>
      <c r="N4229">
        <v>691</v>
      </c>
      <c r="O4229" s="2">
        <v>46253</v>
      </c>
      <c r="P4229" s="2">
        <v>46343</v>
      </c>
      <c r="R4229" t="s">
        <v>10917</v>
      </c>
      <c r="S4229" t="str">
        <f>""</f>
        <v/>
      </c>
      <c r="T4229" t="s">
        <v>41</v>
      </c>
      <c r="U4229">
        <v>2653.5</v>
      </c>
      <c r="V4229">
        <v>2624.31</v>
      </c>
      <c r="W4229">
        <v>2624.31</v>
      </c>
      <c r="X4229">
        <v>0</v>
      </c>
      <c r="Y4229">
        <v>0</v>
      </c>
      <c r="Z4229">
        <v>-568</v>
      </c>
      <c r="AA4229">
        <v>697033</v>
      </c>
      <c r="AD4229" t="s">
        <v>64</v>
      </c>
      <c r="AE4229" t="s">
        <v>2567</v>
      </c>
      <c r="AF4229" t="s">
        <v>64</v>
      </c>
      <c r="AG4229" s="1" t="s">
        <v>10899</v>
      </c>
      <c r="AH4229" t="s">
        <v>44</v>
      </c>
    </row>
    <row r="4230" spans="1:34" x14ac:dyDescent="0.3">
      <c r="A4230">
        <v>101</v>
      </c>
      <c r="B4230" t="s">
        <v>34</v>
      </c>
      <c r="C4230">
        <v>2</v>
      </c>
      <c r="D4230" s="1" t="s">
        <v>10918</v>
      </c>
      <c r="E4230" s="1" t="s">
        <v>36</v>
      </c>
      <c r="G4230">
        <v>458927</v>
      </c>
      <c r="H4230" t="s">
        <v>10919</v>
      </c>
      <c r="I4230" t="s">
        <v>2413</v>
      </c>
      <c r="J4230">
        <v>30</v>
      </c>
      <c r="K4230">
        <v>2695</v>
      </c>
      <c r="L4230">
        <v>95000</v>
      </c>
      <c r="M4230" t="s">
        <v>69</v>
      </c>
      <c r="N4230">
        <v>691</v>
      </c>
      <c r="O4230" s="2">
        <v>46226</v>
      </c>
      <c r="P4230" s="2">
        <v>46337</v>
      </c>
      <c r="R4230" t="s">
        <v>10920</v>
      </c>
      <c r="S4230" t="str">
        <f>""</f>
        <v/>
      </c>
      <c r="T4230" t="s">
        <v>41</v>
      </c>
      <c r="U4230">
        <v>21572.05</v>
      </c>
      <c r="V4230">
        <v>21334.76</v>
      </c>
      <c r="W4230">
        <v>21334.76</v>
      </c>
      <c r="X4230">
        <v>0</v>
      </c>
      <c r="Y4230">
        <v>0</v>
      </c>
      <c r="Z4230">
        <v>-562</v>
      </c>
      <c r="AA4230">
        <v>695029</v>
      </c>
      <c r="AD4230" t="s">
        <v>2176</v>
      </c>
      <c r="AE4230" t="s">
        <v>2567</v>
      </c>
      <c r="AF4230" t="s">
        <v>2176</v>
      </c>
      <c r="AG4230" s="1" t="s">
        <v>10921</v>
      </c>
      <c r="AH4230" t="s">
        <v>44</v>
      </c>
    </row>
    <row r="4231" spans="1:34" x14ac:dyDescent="0.3">
      <c r="A4231">
        <v>101</v>
      </c>
      <c r="B4231" t="s">
        <v>34</v>
      </c>
      <c r="C4231">
        <v>2</v>
      </c>
      <c r="D4231" s="1" t="s">
        <v>10922</v>
      </c>
      <c r="E4231" s="1" t="s">
        <v>36</v>
      </c>
      <c r="G4231">
        <v>458927</v>
      </c>
      <c r="H4231" t="s">
        <v>10919</v>
      </c>
      <c r="I4231" t="s">
        <v>2413</v>
      </c>
      <c r="J4231">
        <v>30</v>
      </c>
      <c r="K4231">
        <v>2695</v>
      </c>
      <c r="L4231">
        <v>95000</v>
      </c>
      <c r="M4231" t="s">
        <v>69</v>
      </c>
      <c r="N4231">
        <v>691</v>
      </c>
      <c r="O4231" s="2">
        <v>46181</v>
      </c>
      <c r="P4231" s="2">
        <v>46296</v>
      </c>
      <c r="R4231" t="s">
        <v>10923</v>
      </c>
      <c r="S4231" t="str">
        <f>""</f>
        <v/>
      </c>
      <c r="T4231" t="s">
        <v>41</v>
      </c>
      <c r="U4231">
        <v>17067.63</v>
      </c>
      <c r="V4231">
        <v>16879.89</v>
      </c>
      <c r="W4231">
        <v>16879.89</v>
      </c>
      <c r="X4231">
        <v>0</v>
      </c>
      <c r="Y4231">
        <v>0</v>
      </c>
      <c r="Z4231">
        <v>-521</v>
      </c>
      <c r="AA4231">
        <v>689238</v>
      </c>
      <c r="AD4231" t="s">
        <v>2176</v>
      </c>
      <c r="AE4231" t="s">
        <v>2567</v>
      </c>
      <c r="AF4231" t="s">
        <v>2176</v>
      </c>
      <c r="AG4231" s="1" t="s">
        <v>10921</v>
      </c>
      <c r="AH4231" t="s">
        <v>44</v>
      </c>
    </row>
    <row r="4232" spans="1:34" x14ac:dyDescent="0.3">
      <c r="A4232">
        <v>101</v>
      </c>
      <c r="B4232" t="s">
        <v>34</v>
      </c>
      <c r="C4232">
        <v>2</v>
      </c>
      <c r="D4232" s="1" t="s">
        <v>10924</v>
      </c>
      <c r="E4232" s="1" t="s">
        <v>36</v>
      </c>
      <c r="G4232">
        <v>458927</v>
      </c>
      <c r="H4232" t="s">
        <v>10919</v>
      </c>
      <c r="I4232" t="s">
        <v>2413</v>
      </c>
      <c r="J4232">
        <v>30</v>
      </c>
      <c r="K4232">
        <v>2695</v>
      </c>
      <c r="L4232">
        <v>95000</v>
      </c>
      <c r="M4232" t="s">
        <v>69</v>
      </c>
      <c r="N4232">
        <v>691</v>
      </c>
      <c r="O4232" s="2">
        <v>46141</v>
      </c>
      <c r="P4232" s="2">
        <v>46266</v>
      </c>
      <c r="R4232" t="s">
        <v>10925</v>
      </c>
      <c r="S4232" t="str">
        <f>""</f>
        <v/>
      </c>
      <c r="T4232" t="s">
        <v>41</v>
      </c>
      <c r="U4232">
        <v>2887.34</v>
      </c>
      <c r="V4232">
        <v>2855.58</v>
      </c>
      <c r="W4232">
        <v>2855.58</v>
      </c>
      <c r="X4232">
        <v>0</v>
      </c>
      <c r="Y4232">
        <v>0</v>
      </c>
      <c r="Z4232">
        <v>-491</v>
      </c>
      <c r="AA4232">
        <v>686924</v>
      </c>
      <c r="AD4232" t="s">
        <v>2176</v>
      </c>
      <c r="AE4232" t="s">
        <v>2567</v>
      </c>
      <c r="AF4232" t="s">
        <v>2176</v>
      </c>
      <c r="AG4232" s="1" t="s">
        <v>10921</v>
      </c>
      <c r="AH4232" t="s">
        <v>44</v>
      </c>
    </row>
    <row r="4233" spans="1:34" x14ac:dyDescent="0.3">
      <c r="A4233">
        <v>101</v>
      </c>
      <c r="B4233" t="s">
        <v>34</v>
      </c>
      <c r="C4233">
        <v>2</v>
      </c>
      <c r="D4233" s="1" t="s">
        <v>10926</v>
      </c>
      <c r="E4233" s="1" t="s">
        <v>36</v>
      </c>
      <c r="G4233">
        <v>458927</v>
      </c>
      <c r="H4233" t="s">
        <v>10919</v>
      </c>
      <c r="I4233" t="s">
        <v>2413</v>
      </c>
      <c r="J4233">
        <v>30</v>
      </c>
      <c r="K4233">
        <v>2695</v>
      </c>
      <c r="L4233">
        <v>95000</v>
      </c>
      <c r="M4233" t="s">
        <v>69</v>
      </c>
      <c r="N4233">
        <v>691</v>
      </c>
      <c r="O4233" s="2">
        <v>46198</v>
      </c>
      <c r="P4233" s="2">
        <v>46316</v>
      </c>
      <c r="R4233" t="s">
        <v>10927</v>
      </c>
      <c r="S4233" t="str">
        <f>""</f>
        <v/>
      </c>
      <c r="T4233" t="s">
        <v>41</v>
      </c>
      <c r="U4233">
        <v>2211.25</v>
      </c>
      <c r="V4233">
        <v>2186.9299999999998</v>
      </c>
      <c r="W4233">
        <v>2186.9299999999998</v>
      </c>
      <c r="X4233">
        <v>0</v>
      </c>
      <c r="Y4233">
        <v>0</v>
      </c>
      <c r="Z4233">
        <v>-541</v>
      </c>
      <c r="AA4233">
        <v>692594</v>
      </c>
      <c r="AD4233" t="s">
        <v>2176</v>
      </c>
      <c r="AE4233" t="s">
        <v>2567</v>
      </c>
      <c r="AF4233" t="s">
        <v>2176</v>
      </c>
      <c r="AG4233" s="1" t="s">
        <v>10921</v>
      </c>
      <c r="AH4233" t="s">
        <v>44</v>
      </c>
    </row>
    <row r="4234" spans="1:34" x14ac:dyDescent="0.3">
      <c r="A4234">
        <v>101</v>
      </c>
      <c r="B4234" t="s">
        <v>34</v>
      </c>
      <c r="C4234">
        <v>2</v>
      </c>
      <c r="D4234" s="1" t="s">
        <v>10928</v>
      </c>
      <c r="E4234" s="1" t="s">
        <v>36</v>
      </c>
      <c r="G4234">
        <v>458927</v>
      </c>
      <c r="H4234" t="s">
        <v>10919</v>
      </c>
      <c r="I4234" t="s">
        <v>2413</v>
      </c>
      <c r="J4234">
        <v>30</v>
      </c>
      <c r="K4234">
        <v>2695</v>
      </c>
      <c r="L4234">
        <v>95000</v>
      </c>
      <c r="M4234" t="s">
        <v>69</v>
      </c>
      <c r="N4234">
        <v>691</v>
      </c>
      <c r="O4234" s="2">
        <v>46141</v>
      </c>
      <c r="P4234" s="2">
        <v>46266</v>
      </c>
      <c r="R4234" t="s">
        <v>10929</v>
      </c>
      <c r="S4234" t="str">
        <f>""</f>
        <v/>
      </c>
      <c r="T4234" t="s">
        <v>41</v>
      </c>
      <c r="U4234">
        <v>7027.71</v>
      </c>
      <c r="V4234">
        <v>6950.41</v>
      </c>
      <c r="W4234">
        <v>6950.41</v>
      </c>
      <c r="X4234">
        <v>0</v>
      </c>
      <c r="Y4234">
        <v>0</v>
      </c>
      <c r="Z4234">
        <v>-491</v>
      </c>
      <c r="AA4234">
        <v>686636</v>
      </c>
      <c r="AD4234" t="s">
        <v>2176</v>
      </c>
      <c r="AE4234" t="s">
        <v>2567</v>
      </c>
      <c r="AF4234" t="s">
        <v>2176</v>
      </c>
      <c r="AG4234" s="1" t="s">
        <v>10921</v>
      </c>
      <c r="AH4234" t="s">
        <v>44</v>
      </c>
    </row>
    <row r="4235" spans="1:34" x14ac:dyDescent="0.3">
      <c r="A4235">
        <v>101</v>
      </c>
      <c r="B4235" t="s">
        <v>34</v>
      </c>
      <c r="C4235">
        <v>2</v>
      </c>
      <c r="D4235" s="1" t="s">
        <v>10930</v>
      </c>
      <c r="E4235" s="1" t="s">
        <v>36</v>
      </c>
      <c r="G4235">
        <v>458927</v>
      </c>
      <c r="H4235" t="s">
        <v>10919</v>
      </c>
      <c r="I4235" t="s">
        <v>2413</v>
      </c>
      <c r="J4235">
        <v>30</v>
      </c>
      <c r="K4235">
        <v>2695</v>
      </c>
      <c r="L4235">
        <v>95000</v>
      </c>
      <c r="M4235" t="s">
        <v>69</v>
      </c>
      <c r="N4235">
        <v>691</v>
      </c>
      <c r="O4235" s="2">
        <v>46198</v>
      </c>
      <c r="P4235" s="2">
        <v>46316</v>
      </c>
      <c r="R4235" t="s">
        <v>10931</v>
      </c>
      <c r="S4235" t="str">
        <f>""</f>
        <v/>
      </c>
      <c r="T4235" t="s">
        <v>41</v>
      </c>
      <c r="U4235">
        <v>19758.189999999999</v>
      </c>
      <c r="V4235">
        <v>19540.849999999999</v>
      </c>
      <c r="W4235">
        <v>19540.849999999999</v>
      </c>
      <c r="X4235">
        <v>0</v>
      </c>
      <c r="Y4235">
        <v>0</v>
      </c>
      <c r="Z4235">
        <v>-541</v>
      </c>
      <c r="AA4235">
        <v>692200</v>
      </c>
      <c r="AD4235" t="s">
        <v>2176</v>
      </c>
      <c r="AE4235" t="s">
        <v>2567</v>
      </c>
      <c r="AF4235" t="s">
        <v>2176</v>
      </c>
      <c r="AG4235" s="1" t="s">
        <v>10921</v>
      </c>
      <c r="AH4235" t="s">
        <v>44</v>
      </c>
    </row>
    <row r="4236" spans="1:34" x14ac:dyDescent="0.3">
      <c r="A4236">
        <v>101</v>
      </c>
      <c r="B4236" t="s">
        <v>34</v>
      </c>
      <c r="C4236">
        <v>2</v>
      </c>
      <c r="D4236" s="1" t="s">
        <v>10932</v>
      </c>
      <c r="E4236" s="1" t="s">
        <v>36</v>
      </c>
      <c r="G4236">
        <v>458927</v>
      </c>
      <c r="H4236" t="s">
        <v>10919</v>
      </c>
      <c r="I4236" t="s">
        <v>2413</v>
      </c>
      <c r="J4236">
        <v>30</v>
      </c>
      <c r="K4236">
        <v>2695</v>
      </c>
      <c r="L4236">
        <v>95000</v>
      </c>
      <c r="M4236" t="s">
        <v>69</v>
      </c>
      <c r="N4236">
        <v>691</v>
      </c>
      <c r="O4236" s="2">
        <v>46182</v>
      </c>
      <c r="P4236" s="2">
        <v>46296</v>
      </c>
      <c r="R4236" t="s">
        <v>10933</v>
      </c>
      <c r="S4236" t="str">
        <f>""</f>
        <v/>
      </c>
      <c r="T4236" t="s">
        <v>41</v>
      </c>
      <c r="U4236">
        <v>2155.64</v>
      </c>
      <c r="V4236">
        <v>2131.9299999999998</v>
      </c>
      <c r="W4236">
        <v>2131.9299999999998</v>
      </c>
      <c r="X4236">
        <v>0</v>
      </c>
      <c r="Y4236">
        <v>0</v>
      </c>
      <c r="Z4236">
        <v>-521</v>
      </c>
      <c r="AA4236">
        <v>689513</v>
      </c>
      <c r="AD4236" t="s">
        <v>2176</v>
      </c>
      <c r="AE4236" t="s">
        <v>2567</v>
      </c>
      <c r="AF4236" t="s">
        <v>2176</v>
      </c>
      <c r="AG4236" s="1" t="s">
        <v>10921</v>
      </c>
      <c r="AH4236" t="s">
        <v>44</v>
      </c>
    </row>
    <row r="4237" spans="1:34" x14ac:dyDescent="0.3">
      <c r="A4237">
        <v>101</v>
      </c>
      <c r="B4237" t="s">
        <v>34</v>
      </c>
      <c r="C4237">
        <v>2</v>
      </c>
      <c r="D4237" s="1" t="s">
        <v>10934</v>
      </c>
      <c r="E4237" s="1" t="s">
        <v>36</v>
      </c>
      <c r="G4237">
        <v>458927</v>
      </c>
      <c r="H4237" t="s">
        <v>10919</v>
      </c>
      <c r="I4237" t="s">
        <v>2413</v>
      </c>
      <c r="J4237">
        <v>30</v>
      </c>
      <c r="K4237">
        <v>2695</v>
      </c>
      <c r="L4237">
        <v>95000</v>
      </c>
      <c r="M4237" t="s">
        <v>69</v>
      </c>
      <c r="N4237">
        <v>691</v>
      </c>
      <c r="O4237" s="2">
        <v>46239</v>
      </c>
      <c r="P4237" s="2">
        <v>46337</v>
      </c>
      <c r="R4237" t="s">
        <v>10935</v>
      </c>
      <c r="S4237" t="str">
        <f>""</f>
        <v/>
      </c>
      <c r="T4237" t="s">
        <v>41</v>
      </c>
      <c r="U4237">
        <v>3237.75</v>
      </c>
      <c r="V4237">
        <v>3202.13</v>
      </c>
      <c r="W4237">
        <v>3202.13</v>
      </c>
      <c r="X4237">
        <v>0</v>
      </c>
      <c r="Y4237">
        <v>0</v>
      </c>
      <c r="Z4237">
        <v>-562</v>
      </c>
      <c r="AA4237">
        <v>696273</v>
      </c>
      <c r="AD4237" t="s">
        <v>2176</v>
      </c>
      <c r="AE4237" t="s">
        <v>2567</v>
      </c>
      <c r="AF4237" t="s">
        <v>2176</v>
      </c>
      <c r="AG4237" s="1" t="s">
        <v>10921</v>
      </c>
      <c r="AH4237" t="s">
        <v>44</v>
      </c>
    </row>
    <row r="4238" spans="1:34" x14ac:dyDescent="0.3">
      <c r="A4238">
        <v>101</v>
      </c>
      <c r="B4238" t="s">
        <v>34</v>
      </c>
      <c r="C4238">
        <v>2</v>
      </c>
      <c r="D4238" s="1" t="s">
        <v>10936</v>
      </c>
      <c r="E4238" s="1" t="s">
        <v>36</v>
      </c>
      <c r="G4238">
        <v>458928</v>
      </c>
      <c r="H4238" t="s">
        <v>10937</v>
      </c>
      <c r="I4238" t="s">
        <v>2413</v>
      </c>
      <c r="J4238">
        <v>30</v>
      </c>
      <c r="K4238">
        <v>2695</v>
      </c>
      <c r="L4238">
        <v>95000</v>
      </c>
      <c r="M4238" t="s">
        <v>69</v>
      </c>
      <c r="N4238">
        <v>691</v>
      </c>
      <c r="O4238" s="2">
        <v>46185</v>
      </c>
      <c r="P4238" s="2">
        <v>46296</v>
      </c>
      <c r="R4238" t="s">
        <v>10938</v>
      </c>
      <c r="S4238" t="str">
        <f>""</f>
        <v/>
      </c>
      <c r="T4238" t="s">
        <v>41</v>
      </c>
      <c r="U4238">
        <v>2134.8000000000002</v>
      </c>
      <c r="V4238">
        <v>2111.3200000000002</v>
      </c>
      <c r="W4238">
        <v>2111.3200000000002</v>
      </c>
      <c r="X4238">
        <v>0</v>
      </c>
      <c r="Y4238">
        <v>0</v>
      </c>
      <c r="Z4238">
        <v>-521</v>
      </c>
      <c r="AA4238">
        <v>689354</v>
      </c>
      <c r="AD4238" t="s">
        <v>8748</v>
      </c>
      <c r="AE4238" t="s">
        <v>2567</v>
      </c>
      <c r="AF4238" t="s">
        <v>8748</v>
      </c>
      <c r="AG4238" s="1" t="s">
        <v>10939</v>
      </c>
      <c r="AH4238" t="s">
        <v>44</v>
      </c>
    </row>
    <row r="4239" spans="1:34" x14ac:dyDescent="0.3">
      <c r="A4239">
        <v>101</v>
      </c>
      <c r="B4239" t="s">
        <v>34</v>
      </c>
      <c r="C4239">
        <v>2</v>
      </c>
      <c r="D4239" s="1" t="s">
        <v>10940</v>
      </c>
      <c r="E4239" s="1" t="s">
        <v>36</v>
      </c>
      <c r="G4239">
        <v>458928</v>
      </c>
      <c r="H4239" t="s">
        <v>10937</v>
      </c>
      <c r="I4239" t="s">
        <v>2413</v>
      </c>
      <c r="J4239">
        <v>30</v>
      </c>
      <c r="K4239">
        <v>2695</v>
      </c>
      <c r="L4239">
        <v>95000</v>
      </c>
      <c r="M4239" t="s">
        <v>69</v>
      </c>
      <c r="N4239">
        <v>691</v>
      </c>
      <c r="O4239" s="2">
        <v>46141</v>
      </c>
      <c r="P4239" s="2">
        <v>46266</v>
      </c>
      <c r="R4239" t="s">
        <v>10941</v>
      </c>
      <c r="S4239" t="str">
        <f>""</f>
        <v/>
      </c>
      <c r="T4239" t="s">
        <v>41</v>
      </c>
      <c r="U4239">
        <v>1611.72</v>
      </c>
      <c r="V4239">
        <v>1593.99</v>
      </c>
      <c r="W4239">
        <v>1593.99</v>
      </c>
      <c r="X4239">
        <v>0</v>
      </c>
      <c r="Y4239">
        <v>0</v>
      </c>
      <c r="Z4239">
        <v>-491</v>
      </c>
      <c r="AA4239">
        <v>686819</v>
      </c>
      <c r="AD4239" t="s">
        <v>8748</v>
      </c>
      <c r="AE4239" t="s">
        <v>2567</v>
      </c>
      <c r="AF4239" t="s">
        <v>8748</v>
      </c>
      <c r="AG4239" s="1" t="s">
        <v>10939</v>
      </c>
      <c r="AH4239" t="s">
        <v>44</v>
      </c>
    </row>
    <row r="4240" spans="1:34" x14ac:dyDescent="0.3">
      <c r="A4240">
        <v>101</v>
      </c>
      <c r="B4240" t="s">
        <v>34</v>
      </c>
      <c r="C4240">
        <v>2</v>
      </c>
      <c r="D4240" s="1" t="s">
        <v>10942</v>
      </c>
      <c r="E4240" s="1" t="s">
        <v>36</v>
      </c>
      <c r="G4240">
        <v>458928</v>
      </c>
      <c r="H4240" t="s">
        <v>10937</v>
      </c>
      <c r="I4240" t="s">
        <v>2413</v>
      </c>
      <c r="J4240">
        <v>30</v>
      </c>
      <c r="K4240">
        <v>2695</v>
      </c>
      <c r="L4240">
        <v>95000</v>
      </c>
      <c r="M4240" t="s">
        <v>69</v>
      </c>
      <c r="N4240">
        <v>691</v>
      </c>
      <c r="O4240" s="2">
        <v>46198</v>
      </c>
      <c r="P4240" s="2">
        <v>46308</v>
      </c>
      <c r="R4240" t="s">
        <v>10943</v>
      </c>
      <c r="S4240" t="str">
        <f>""</f>
        <v/>
      </c>
      <c r="T4240" t="s">
        <v>41</v>
      </c>
      <c r="U4240">
        <v>884.5</v>
      </c>
      <c r="V4240">
        <v>874.77</v>
      </c>
      <c r="W4240">
        <v>874.77</v>
      </c>
      <c r="X4240">
        <v>0</v>
      </c>
      <c r="Y4240">
        <v>0</v>
      </c>
      <c r="Z4240">
        <v>-533</v>
      </c>
      <c r="AA4240">
        <v>692604</v>
      </c>
      <c r="AD4240" t="s">
        <v>8748</v>
      </c>
      <c r="AE4240" t="s">
        <v>2567</v>
      </c>
      <c r="AF4240" t="s">
        <v>8748</v>
      </c>
      <c r="AG4240" s="1" t="s">
        <v>10939</v>
      </c>
      <c r="AH4240" t="s">
        <v>44</v>
      </c>
    </row>
    <row r="4241" spans="1:34" x14ac:dyDescent="0.3">
      <c r="A4241">
        <v>101</v>
      </c>
      <c r="B4241" t="s">
        <v>34</v>
      </c>
      <c r="C4241">
        <v>2</v>
      </c>
      <c r="D4241" s="1" t="s">
        <v>10944</v>
      </c>
      <c r="E4241" s="1" t="s">
        <v>36</v>
      </c>
      <c r="G4241">
        <v>458928</v>
      </c>
      <c r="H4241" t="s">
        <v>10937</v>
      </c>
      <c r="I4241" t="s">
        <v>2413</v>
      </c>
      <c r="J4241">
        <v>30</v>
      </c>
      <c r="K4241">
        <v>2695</v>
      </c>
      <c r="L4241">
        <v>95000</v>
      </c>
      <c r="M4241" t="s">
        <v>69</v>
      </c>
      <c r="N4241">
        <v>691</v>
      </c>
      <c r="O4241" s="2">
        <v>46141</v>
      </c>
      <c r="P4241" s="2">
        <v>46266</v>
      </c>
      <c r="R4241" t="s">
        <v>10945</v>
      </c>
      <c r="S4241" t="str">
        <f>""</f>
        <v/>
      </c>
      <c r="T4241" t="s">
        <v>41</v>
      </c>
      <c r="U4241">
        <v>8031.94</v>
      </c>
      <c r="V4241">
        <v>7943.59</v>
      </c>
      <c r="W4241">
        <v>7943.59</v>
      </c>
      <c r="X4241">
        <v>0</v>
      </c>
      <c r="Y4241">
        <v>0</v>
      </c>
      <c r="Z4241">
        <v>-491</v>
      </c>
      <c r="AA4241">
        <v>686754</v>
      </c>
      <c r="AD4241" t="s">
        <v>8748</v>
      </c>
      <c r="AE4241" t="s">
        <v>2567</v>
      </c>
      <c r="AF4241" t="s">
        <v>8748</v>
      </c>
      <c r="AG4241" s="1" t="s">
        <v>10939</v>
      </c>
      <c r="AH4241" t="s">
        <v>44</v>
      </c>
    </row>
    <row r="4242" spans="1:34" x14ac:dyDescent="0.3">
      <c r="A4242">
        <v>101</v>
      </c>
      <c r="B4242" t="s">
        <v>34</v>
      </c>
      <c r="C4242">
        <v>2</v>
      </c>
      <c r="D4242" s="1" t="s">
        <v>10946</v>
      </c>
      <c r="E4242" s="1" t="s">
        <v>36</v>
      </c>
      <c r="G4242">
        <v>458928</v>
      </c>
      <c r="H4242" t="s">
        <v>10937</v>
      </c>
      <c r="I4242" t="s">
        <v>2413</v>
      </c>
      <c r="J4242">
        <v>30</v>
      </c>
      <c r="K4242">
        <v>2695</v>
      </c>
      <c r="L4242">
        <v>95000</v>
      </c>
      <c r="M4242" t="s">
        <v>69</v>
      </c>
      <c r="N4242">
        <v>691</v>
      </c>
      <c r="O4242" s="2">
        <v>46198</v>
      </c>
      <c r="P4242" s="2">
        <v>46308</v>
      </c>
      <c r="R4242" t="s">
        <v>10947</v>
      </c>
      <c r="S4242" t="str">
        <f>""</f>
        <v/>
      </c>
      <c r="T4242" t="s">
        <v>41</v>
      </c>
      <c r="U4242">
        <v>12579.41</v>
      </c>
      <c r="V4242">
        <v>12441.04</v>
      </c>
      <c r="W4242">
        <v>12441.04</v>
      </c>
      <c r="X4242">
        <v>0</v>
      </c>
      <c r="Y4242">
        <v>0</v>
      </c>
      <c r="Z4242">
        <v>-533</v>
      </c>
      <c r="AA4242">
        <v>692314</v>
      </c>
      <c r="AD4242" t="s">
        <v>8748</v>
      </c>
      <c r="AE4242" t="s">
        <v>2567</v>
      </c>
      <c r="AF4242" t="s">
        <v>8748</v>
      </c>
      <c r="AG4242" s="1" t="s">
        <v>10939</v>
      </c>
      <c r="AH4242" t="s">
        <v>44</v>
      </c>
    </row>
    <row r="4243" spans="1:34" x14ac:dyDescent="0.3">
      <c r="A4243">
        <v>101</v>
      </c>
      <c r="B4243" t="s">
        <v>34</v>
      </c>
      <c r="C4243">
        <v>2</v>
      </c>
      <c r="D4243" s="1" t="s">
        <v>10948</v>
      </c>
      <c r="E4243" s="1" t="s">
        <v>36</v>
      </c>
      <c r="G4243">
        <v>458928</v>
      </c>
      <c r="H4243" t="s">
        <v>10937</v>
      </c>
      <c r="I4243" t="s">
        <v>2413</v>
      </c>
      <c r="J4243">
        <v>30</v>
      </c>
      <c r="K4243">
        <v>2695</v>
      </c>
      <c r="L4243">
        <v>95000</v>
      </c>
      <c r="M4243" t="s">
        <v>69</v>
      </c>
      <c r="N4243">
        <v>691</v>
      </c>
      <c r="O4243" s="2">
        <v>46170</v>
      </c>
      <c r="P4243" s="2">
        <v>46296</v>
      </c>
      <c r="R4243" t="s">
        <v>10949</v>
      </c>
      <c r="S4243" t="str">
        <f>""</f>
        <v/>
      </c>
      <c r="T4243" t="s">
        <v>41</v>
      </c>
      <c r="U4243">
        <v>18934.060000000001</v>
      </c>
      <c r="V4243">
        <v>18725.79</v>
      </c>
      <c r="W4243">
        <v>18725.79</v>
      </c>
      <c r="X4243">
        <v>0</v>
      </c>
      <c r="Y4243">
        <v>0</v>
      </c>
      <c r="Z4243">
        <v>-521</v>
      </c>
      <c r="AA4243">
        <v>689354</v>
      </c>
      <c r="AD4243" t="s">
        <v>8748</v>
      </c>
      <c r="AE4243" t="s">
        <v>2567</v>
      </c>
      <c r="AF4243" t="s">
        <v>8748</v>
      </c>
      <c r="AG4243" s="1" t="s">
        <v>10939</v>
      </c>
      <c r="AH4243" t="s">
        <v>44</v>
      </c>
    </row>
    <row r="4244" spans="1:34" x14ac:dyDescent="0.3">
      <c r="A4244">
        <v>101</v>
      </c>
      <c r="B4244" t="s">
        <v>34</v>
      </c>
      <c r="C4244">
        <v>2</v>
      </c>
      <c r="D4244" s="1" t="s">
        <v>10950</v>
      </c>
      <c r="E4244" s="1" t="s">
        <v>36</v>
      </c>
      <c r="G4244">
        <v>458928</v>
      </c>
      <c r="H4244" t="s">
        <v>10937</v>
      </c>
      <c r="I4244" t="s">
        <v>2413</v>
      </c>
      <c r="J4244">
        <v>30</v>
      </c>
      <c r="K4244">
        <v>2695</v>
      </c>
      <c r="L4244">
        <v>95000</v>
      </c>
      <c r="M4244" t="s">
        <v>69</v>
      </c>
      <c r="N4244">
        <v>691</v>
      </c>
      <c r="O4244" s="2">
        <v>46141</v>
      </c>
      <c r="P4244" s="2">
        <v>46266</v>
      </c>
      <c r="R4244" t="s">
        <v>10951</v>
      </c>
      <c r="S4244" t="str">
        <f>""</f>
        <v/>
      </c>
      <c r="T4244" t="s">
        <v>41</v>
      </c>
      <c r="U4244">
        <v>4324.42</v>
      </c>
      <c r="V4244">
        <v>4276.8500000000004</v>
      </c>
      <c r="W4244">
        <v>4276.8500000000004</v>
      </c>
      <c r="X4244">
        <v>0</v>
      </c>
      <c r="Y4244">
        <v>0</v>
      </c>
      <c r="Z4244">
        <v>-491</v>
      </c>
      <c r="AA4244">
        <v>686965</v>
      </c>
      <c r="AD4244" t="s">
        <v>8748</v>
      </c>
      <c r="AE4244" t="s">
        <v>2567</v>
      </c>
      <c r="AF4244" t="s">
        <v>8748</v>
      </c>
      <c r="AG4244" s="1" t="s">
        <v>10939</v>
      </c>
      <c r="AH4244" t="s">
        <v>44</v>
      </c>
    </row>
    <row r="4245" spans="1:34" x14ac:dyDescent="0.3">
      <c r="A4245">
        <v>101</v>
      </c>
      <c r="B4245" t="s">
        <v>34</v>
      </c>
      <c r="C4245">
        <v>2</v>
      </c>
      <c r="D4245" s="1" t="s">
        <v>10952</v>
      </c>
      <c r="E4245" s="1" t="s">
        <v>36</v>
      </c>
      <c r="G4245">
        <v>458928</v>
      </c>
      <c r="H4245" t="s">
        <v>10937</v>
      </c>
      <c r="I4245" t="s">
        <v>2413</v>
      </c>
      <c r="J4245">
        <v>30</v>
      </c>
      <c r="K4245">
        <v>2695</v>
      </c>
      <c r="L4245">
        <v>95000</v>
      </c>
      <c r="M4245" t="s">
        <v>69</v>
      </c>
      <c r="N4245">
        <v>691</v>
      </c>
      <c r="O4245" s="2">
        <v>46253</v>
      </c>
      <c r="P4245" s="2">
        <v>46343</v>
      </c>
      <c r="R4245" t="s">
        <v>10953</v>
      </c>
      <c r="S4245" t="str">
        <f>""</f>
        <v/>
      </c>
      <c r="T4245" t="s">
        <v>41</v>
      </c>
      <c r="U4245">
        <v>2653.5</v>
      </c>
      <c r="V4245">
        <v>2624.31</v>
      </c>
      <c r="W4245">
        <v>2624.31</v>
      </c>
      <c r="X4245">
        <v>0</v>
      </c>
      <c r="Y4245">
        <v>0</v>
      </c>
      <c r="Z4245">
        <v>-568</v>
      </c>
      <c r="AA4245">
        <v>697059</v>
      </c>
      <c r="AD4245" t="s">
        <v>8748</v>
      </c>
      <c r="AE4245" t="s">
        <v>2567</v>
      </c>
      <c r="AF4245" t="s">
        <v>8748</v>
      </c>
      <c r="AG4245" s="1" t="s">
        <v>10939</v>
      </c>
      <c r="AH4245" t="s">
        <v>44</v>
      </c>
    </row>
    <row r="4246" spans="1:34" x14ac:dyDescent="0.3">
      <c r="A4246">
        <v>101</v>
      </c>
      <c r="B4246" t="s">
        <v>34</v>
      </c>
      <c r="C4246">
        <v>2</v>
      </c>
      <c r="D4246" s="1" t="s">
        <v>10954</v>
      </c>
      <c r="E4246" s="1" t="s">
        <v>36</v>
      </c>
      <c r="G4246">
        <v>458929</v>
      </c>
      <c r="H4246" t="s">
        <v>10955</v>
      </c>
      <c r="I4246" t="s">
        <v>2413</v>
      </c>
      <c r="J4246">
        <v>30</v>
      </c>
      <c r="K4246">
        <v>2695</v>
      </c>
      <c r="L4246">
        <v>95000</v>
      </c>
      <c r="M4246" t="s">
        <v>69</v>
      </c>
      <c r="N4246">
        <v>691</v>
      </c>
      <c r="O4246" s="2">
        <v>46239</v>
      </c>
      <c r="P4246" s="2">
        <v>46337</v>
      </c>
      <c r="R4246" t="s">
        <v>10956</v>
      </c>
      <c r="S4246" t="str">
        <f>""</f>
        <v/>
      </c>
      <c r="T4246" t="s">
        <v>41</v>
      </c>
      <c r="U4246">
        <v>3765.27</v>
      </c>
      <c r="V4246">
        <v>3723.85</v>
      </c>
      <c r="W4246">
        <v>3723.85</v>
      </c>
      <c r="X4246">
        <v>0</v>
      </c>
      <c r="Y4246">
        <v>0</v>
      </c>
      <c r="Z4246">
        <v>-562</v>
      </c>
      <c r="AA4246">
        <v>696259</v>
      </c>
      <c r="AD4246" t="s">
        <v>64</v>
      </c>
      <c r="AE4246" t="s">
        <v>2567</v>
      </c>
      <c r="AF4246" t="s">
        <v>64</v>
      </c>
      <c r="AG4246" s="1" t="s">
        <v>10957</v>
      </c>
      <c r="AH4246" t="s">
        <v>44</v>
      </c>
    </row>
    <row r="4247" spans="1:34" x14ac:dyDescent="0.3">
      <c r="A4247">
        <v>101</v>
      </c>
      <c r="B4247" t="s">
        <v>34</v>
      </c>
      <c r="C4247">
        <v>2</v>
      </c>
      <c r="D4247" s="1" t="s">
        <v>10958</v>
      </c>
      <c r="E4247" s="1" t="s">
        <v>36</v>
      </c>
      <c r="G4247">
        <v>458929</v>
      </c>
      <c r="H4247" t="s">
        <v>10955</v>
      </c>
      <c r="I4247" t="s">
        <v>2413</v>
      </c>
      <c r="J4247">
        <v>30</v>
      </c>
      <c r="K4247">
        <v>2695</v>
      </c>
      <c r="L4247">
        <v>95000</v>
      </c>
      <c r="M4247" t="s">
        <v>69</v>
      </c>
      <c r="N4247">
        <v>691</v>
      </c>
      <c r="O4247" s="2">
        <v>46199</v>
      </c>
      <c r="P4247" s="2">
        <v>46308</v>
      </c>
      <c r="R4247" t="s">
        <v>10959</v>
      </c>
      <c r="S4247" t="str">
        <f>""</f>
        <v/>
      </c>
      <c r="T4247" t="s">
        <v>41</v>
      </c>
      <c r="U4247">
        <v>2874.18</v>
      </c>
      <c r="V4247">
        <v>2842.56</v>
      </c>
      <c r="W4247">
        <v>2842.56</v>
      </c>
      <c r="X4247">
        <v>0</v>
      </c>
      <c r="Y4247">
        <v>0</v>
      </c>
      <c r="Z4247">
        <v>-533</v>
      </c>
      <c r="AA4247">
        <v>692831</v>
      </c>
      <c r="AD4247" t="s">
        <v>64</v>
      </c>
      <c r="AE4247" t="s">
        <v>2567</v>
      </c>
      <c r="AF4247" t="s">
        <v>64</v>
      </c>
      <c r="AG4247" s="1" t="s">
        <v>10957</v>
      </c>
      <c r="AH4247" t="s">
        <v>44</v>
      </c>
    </row>
    <row r="4248" spans="1:34" x14ac:dyDescent="0.3">
      <c r="A4248">
        <v>101</v>
      </c>
      <c r="B4248" t="s">
        <v>34</v>
      </c>
      <c r="C4248">
        <v>2</v>
      </c>
      <c r="D4248" s="1" t="s">
        <v>10960</v>
      </c>
      <c r="E4248" s="1" t="s">
        <v>36</v>
      </c>
      <c r="G4248">
        <v>458929</v>
      </c>
      <c r="H4248" t="s">
        <v>10955</v>
      </c>
      <c r="I4248" t="s">
        <v>2413</v>
      </c>
      <c r="J4248">
        <v>30</v>
      </c>
      <c r="K4248">
        <v>2695</v>
      </c>
      <c r="L4248">
        <v>95000</v>
      </c>
      <c r="M4248" t="s">
        <v>69</v>
      </c>
      <c r="N4248">
        <v>691</v>
      </c>
      <c r="O4248" s="2">
        <v>46140</v>
      </c>
      <c r="P4248" s="2">
        <v>46255</v>
      </c>
      <c r="R4248" t="s">
        <v>10961</v>
      </c>
      <c r="S4248" t="str">
        <f>""</f>
        <v/>
      </c>
      <c r="T4248" t="s">
        <v>41</v>
      </c>
      <c r="U4248">
        <v>4324.42</v>
      </c>
      <c r="V4248">
        <v>4276.8500000000004</v>
      </c>
      <c r="W4248">
        <v>4276.8500000000004</v>
      </c>
      <c r="X4248">
        <v>0</v>
      </c>
      <c r="Y4248">
        <v>0</v>
      </c>
      <c r="Z4248">
        <v>-480</v>
      </c>
      <c r="AA4248">
        <v>686920</v>
      </c>
      <c r="AD4248" t="s">
        <v>64</v>
      </c>
      <c r="AE4248" t="s">
        <v>2567</v>
      </c>
      <c r="AF4248" t="s">
        <v>64</v>
      </c>
      <c r="AG4248" s="1" t="s">
        <v>10957</v>
      </c>
      <c r="AH4248" t="s">
        <v>44</v>
      </c>
    </row>
    <row r="4249" spans="1:34" x14ac:dyDescent="0.3">
      <c r="A4249">
        <v>101</v>
      </c>
      <c r="B4249" t="s">
        <v>34</v>
      </c>
      <c r="C4249">
        <v>2</v>
      </c>
      <c r="D4249" s="1" t="s">
        <v>10962</v>
      </c>
      <c r="E4249" s="1" t="s">
        <v>36</v>
      </c>
      <c r="G4249">
        <v>458929</v>
      </c>
      <c r="H4249" t="s">
        <v>10955</v>
      </c>
      <c r="I4249" t="s">
        <v>2413</v>
      </c>
      <c r="J4249">
        <v>30</v>
      </c>
      <c r="K4249">
        <v>2695</v>
      </c>
      <c r="L4249">
        <v>95000</v>
      </c>
      <c r="M4249" t="s">
        <v>69</v>
      </c>
      <c r="N4249">
        <v>691</v>
      </c>
      <c r="O4249" s="2">
        <v>46199</v>
      </c>
      <c r="P4249" s="2">
        <v>46308</v>
      </c>
      <c r="R4249" t="s">
        <v>10963</v>
      </c>
      <c r="S4249" t="str">
        <f>""</f>
        <v/>
      </c>
      <c r="T4249" t="s">
        <v>41</v>
      </c>
      <c r="U4249">
        <v>884.5</v>
      </c>
      <c r="V4249">
        <v>874.77</v>
      </c>
      <c r="W4249">
        <v>874.77</v>
      </c>
      <c r="X4249">
        <v>0</v>
      </c>
      <c r="Y4249">
        <v>0</v>
      </c>
      <c r="Z4249">
        <v>-533</v>
      </c>
      <c r="AA4249">
        <v>692582</v>
      </c>
      <c r="AD4249" t="s">
        <v>64</v>
      </c>
      <c r="AE4249" t="s">
        <v>2567</v>
      </c>
      <c r="AF4249" t="s">
        <v>64</v>
      </c>
      <c r="AG4249" s="1" t="s">
        <v>10957</v>
      </c>
      <c r="AH4249" t="s">
        <v>44</v>
      </c>
    </row>
    <row r="4250" spans="1:34" x14ac:dyDescent="0.3">
      <c r="A4250">
        <v>101</v>
      </c>
      <c r="B4250" t="s">
        <v>34</v>
      </c>
      <c r="C4250">
        <v>2</v>
      </c>
      <c r="D4250" s="1" t="s">
        <v>10964</v>
      </c>
      <c r="E4250" s="1" t="s">
        <v>36</v>
      </c>
      <c r="G4250">
        <v>458929</v>
      </c>
      <c r="H4250" t="s">
        <v>10955</v>
      </c>
      <c r="I4250" t="s">
        <v>2413</v>
      </c>
      <c r="J4250">
        <v>30</v>
      </c>
      <c r="K4250">
        <v>2695</v>
      </c>
      <c r="L4250">
        <v>95000</v>
      </c>
      <c r="M4250" t="s">
        <v>69</v>
      </c>
      <c r="N4250">
        <v>691</v>
      </c>
      <c r="O4250" s="2">
        <v>46170</v>
      </c>
      <c r="P4250" s="2">
        <v>46276</v>
      </c>
      <c r="R4250" t="s">
        <v>10965</v>
      </c>
      <c r="S4250" t="str">
        <f>""</f>
        <v/>
      </c>
      <c r="T4250" t="s">
        <v>41</v>
      </c>
      <c r="U4250">
        <v>11871.07</v>
      </c>
      <c r="V4250">
        <v>11740.49</v>
      </c>
      <c r="W4250">
        <v>11740.49</v>
      </c>
      <c r="X4250">
        <v>0</v>
      </c>
      <c r="Y4250">
        <v>0</v>
      </c>
      <c r="Z4250">
        <v>-501</v>
      </c>
      <c r="AA4250">
        <v>689230</v>
      </c>
      <c r="AD4250" t="s">
        <v>64</v>
      </c>
      <c r="AE4250" t="s">
        <v>2567</v>
      </c>
      <c r="AF4250" t="s">
        <v>64</v>
      </c>
      <c r="AG4250" s="1" t="s">
        <v>10957</v>
      </c>
      <c r="AH4250" t="s">
        <v>44</v>
      </c>
    </row>
    <row r="4251" spans="1:34" x14ac:dyDescent="0.3">
      <c r="A4251">
        <v>101</v>
      </c>
      <c r="B4251" t="s">
        <v>34</v>
      </c>
      <c r="C4251">
        <v>2</v>
      </c>
      <c r="D4251" s="1" t="s">
        <v>10966</v>
      </c>
      <c r="E4251" s="1" t="s">
        <v>36</v>
      </c>
      <c r="G4251">
        <v>458929</v>
      </c>
      <c r="H4251" t="s">
        <v>10955</v>
      </c>
      <c r="I4251" t="s">
        <v>2413</v>
      </c>
      <c r="J4251">
        <v>30</v>
      </c>
      <c r="K4251">
        <v>2695</v>
      </c>
      <c r="L4251">
        <v>95000</v>
      </c>
      <c r="M4251" t="s">
        <v>69</v>
      </c>
      <c r="N4251">
        <v>691</v>
      </c>
      <c r="O4251" s="2">
        <v>46197</v>
      </c>
      <c r="P4251" s="2">
        <v>46316</v>
      </c>
      <c r="R4251" t="s">
        <v>10967</v>
      </c>
      <c r="S4251" t="str">
        <f>""</f>
        <v/>
      </c>
      <c r="T4251" t="s">
        <v>41</v>
      </c>
      <c r="U4251">
        <v>11217.58</v>
      </c>
      <c r="V4251">
        <v>11094.19</v>
      </c>
      <c r="W4251">
        <v>11094.19</v>
      </c>
      <c r="X4251">
        <v>0</v>
      </c>
      <c r="Y4251">
        <v>0</v>
      </c>
      <c r="Z4251">
        <v>-541</v>
      </c>
      <c r="AA4251">
        <v>692192</v>
      </c>
      <c r="AD4251" t="s">
        <v>64</v>
      </c>
      <c r="AE4251" t="s">
        <v>2567</v>
      </c>
      <c r="AF4251" t="s">
        <v>64</v>
      </c>
      <c r="AG4251" s="1" t="s">
        <v>10957</v>
      </c>
      <c r="AH4251" t="s">
        <v>44</v>
      </c>
    </row>
    <row r="4252" spans="1:34" x14ac:dyDescent="0.3">
      <c r="A4252">
        <v>101</v>
      </c>
      <c r="B4252" t="s">
        <v>34</v>
      </c>
      <c r="C4252">
        <v>2</v>
      </c>
      <c r="D4252" s="1" t="s">
        <v>10968</v>
      </c>
      <c r="E4252" s="1" t="s">
        <v>36</v>
      </c>
      <c r="G4252">
        <v>458929</v>
      </c>
      <c r="H4252" t="s">
        <v>10955</v>
      </c>
      <c r="I4252" t="s">
        <v>2413</v>
      </c>
      <c r="J4252">
        <v>30</v>
      </c>
      <c r="K4252">
        <v>2695</v>
      </c>
      <c r="L4252">
        <v>95000</v>
      </c>
      <c r="M4252" t="s">
        <v>69</v>
      </c>
      <c r="N4252">
        <v>691</v>
      </c>
      <c r="O4252" s="2">
        <v>46140</v>
      </c>
      <c r="P4252" s="2">
        <v>46255</v>
      </c>
      <c r="R4252" t="s">
        <v>10969</v>
      </c>
      <c r="S4252" t="str">
        <f>""</f>
        <v/>
      </c>
      <c r="T4252" t="s">
        <v>41</v>
      </c>
      <c r="U4252">
        <v>21806.67</v>
      </c>
      <c r="V4252">
        <v>21566.799999999999</v>
      </c>
      <c r="W4252">
        <v>21566.799999999999</v>
      </c>
      <c r="X4252">
        <v>0</v>
      </c>
      <c r="Y4252">
        <v>0</v>
      </c>
      <c r="Z4252">
        <v>-480</v>
      </c>
      <c r="AA4252">
        <v>686628</v>
      </c>
      <c r="AD4252" t="s">
        <v>64</v>
      </c>
      <c r="AE4252" t="s">
        <v>2567</v>
      </c>
      <c r="AF4252" t="s">
        <v>64</v>
      </c>
      <c r="AG4252" s="1" t="s">
        <v>10957</v>
      </c>
      <c r="AH4252" t="s">
        <v>44</v>
      </c>
    </row>
    <row r="4253" spans="1:34" x14ac:dyDescent="0.3">
      <c r="A4253">
        <v>101</v>
      </c>
      <c r="B4253" t="s">
        <v>34</v>
      </c>
      <c r="C4253">
        <v>2</v>
      </c>
      <c r="D4253" s="1" t="s">
        <v>10970</v>
      </c>
      <c r="E4253" s="1" t="s">
        <v>36</v>
      </c>
      <c r="G4253">
        <v>458929</v>
      </c>
      <c r="H4253" t="s">
        <v>10955</v>
      </c>
      <c r="I4253" t="s">
        <v>2413</v>
      </c>
      <c r="J4253">
        <v>30</v>
      </c>
      <c r="K4253">
        <v>2695</v>
      </c>
      <c r="L4253">
        <v>95000</v>
      </c>
      <c r="M4253" t="s">
        <v>69</v>
      </c>
      <c r="N4253">
        <v>691</v>
      </c>
      <c r="O4253" s="2">
        <v>46253</v>
      </c>
      <c r="P4253" s="2">
        <v>46343</v>
      </c>
      <c r="R4253" t="s">
        <v>10971</v>
      </c>
      <c r="S4253" t="str">
        <f>""</f>
        <v/>
      </c>
      <c r="T4253" t="s">
        <v>41</v>
      </c>
      <c r="U4253">
        <v>3538</v>
      </c>
      <c r="V4253">
        <v>3499.08</v>
      </c>
      <c r="W4253">
        <v>3499.08</v>
      </c>
      <c r="X4253">
        <v>0</v>
      </c>
      <c r="Y4253">
        <v>0</v>
      </c>
      <c r="Z4253">
        <v>-568</v>
      </c>
      <c r="AA4253">
        <v>697035</v>
      </c>
      <c r="AD4253" t="s">
        <v>64</v>
      </c>
      <c r="AE4253" t="s">
        <v>2567</v>
      </c>
      <c r="AF4253" t="s">
        <v>64</v>
      </c>
      <c r="AG4253" s="1" t="s">
        <v>10957</v>
      </c>
      <c r="AH4253" t="s">
        <v>44</v>
      </c>
    </row>
    <row r="4254" spans="1:34" x14ac:dyDescent="0.3">
      <c r="A4254">
        <v>101</v>
      </c>
      <c r="B4254" t="s">
        <v>34</v>
      </c>
      <c r="C4254">
        <v>2</v>
      </c>
      <c r="D4254" s="1" t="s">
        <v>10972</v>
      </c>
      <c r="E4254" s="1" t="s">
        <v>36</v>
      </c>
      <c r="G4254">
        <v>458929</v>
      </c>
      <c r="H4254" t="s">
        <v>10955</v>
      </c>
      <c r="I4254" t="s">
        <v>2413</v>
      </c>
      <c r="J4254">
        <v>30</v>
      </c>
      <c r="K4254">
        <v>2695</v>
      </c>
      <c r="L4254">
        <v>95000</v>
      </c>
      <c r="M4254" t="s">
        <v>69</v>
      </c>
      <c r="N4254">
        <v>691</v>
      </c>
      <c r="O4254" s="2">
        <v>46170</v>
      </c>
      <c r="P4254" s="2">
        <v>46276</v>
      </c>
      <c r="R4254" t="s">
        <v>10973</v>
      </c>
      <c r="S4254" t="str">
        <f>""</f>
        <v/>
      </c>
      <c r="T4254" t="s">
        <v>41</v>
      </c>
      <c r="U4254">
        <v>2741</v>
      </c>
      <c r="V4254">
        <v>2710.85</v>
      </c>
      <c r="W4254">
        <v>2710.85</v>
      </c>
      <c r="X4254">
        <v>0</v>
      </c>
      <c r="Y4254">
        <v>0</v>
      </c>
      <c r="Z4254">
        <v>-501</v>
      </c>
      <c r="AA4254">
        <v>689505</v>
      </c>
      <c r="AD4254" t="s">
        <v>64</v>
      </c>
      <c r="AE4254" t="s">
        <v>2567</v>
      </c>
      <c r="AF4254" t="s">
        <v>64</v>
      </c>
      <c r="AG4254" s="1" t="s">
        <v>10957</v>
      </c>
      <c r="AH4254" t="s">
        <v>44</v>
      </c>
    </row>
    <row r="4255" spans="1:34" x14ac:dyDescent="0.3">
      <c r="A4255">
        <v>101</v>
      </c>
      <c r="B4255" t="s">
        <v>34</v>
      </c>
      <c r="C4255">
        <v>2</v>
      </c>
      <c r="D4255" s="1" t="s">
        <v>10974</v>
      </c>
      <c r="E4255" s="1" t="s">
        <v>36</v>
      </c>
      <c r="G4255">
        <v>458929</v>
      </c>
      <c r="H4255" t="s">
        <v>10955</v>
      </c>
      <c r="I4255" t="s">
        <v>2413</v>
      </c>
      <c r="J4255">
        <v>30</v>
      </c>
      <c r="K4255">
        <v>2695</v>
      </c>
      <c r="L4255">
        <v>95000</v>
      </c>
      <c r="M4255" t="s">
        <v>69</v>
      </c>
      <c r="N4255">
        <v>691</v>
      </c>
      <c r="O4255" s="2">
        <v>46171</v>
      </c>
      <c r="P4255" s="2">
        <v>46276</v>
      </c>
      <c r="R4255" t="s">
        <v>10975</v>
      </c>
      <c r="S4255" t="str">
        <f>""</f>
        <v/>
      </c>
      <c r="T4255" t="s">
        <v>41</v>
      </c>
      <c r="U4255">
        <v>2846.4</v>
      </c>
      <c r="V4255">
        <v>2815.09</v>
      </c>
      <c r="W4255">
        <v>2815.09</v>
      </c>
      <c r="X4255">
        <v>0</v>
      </c>
      <c r="Y4255">
        <v>0</v>
      </c>
      <c r="Z4255">
        <v>-501</v>
      </c>
      <c r="AA4255">
        <v>689230</v>
      </c>
      <c r="AD4255" t="s">
        <v>64</v>
      </c>
      <c r="AE4255" t="s">
        <v>2567</v>
      </c>
      <c r="AF4255" t="s">
        <v>64</v>
      </c>
      <c r="AG4255" s="1" t="s">
        <v>10957</v>
      </c>
      <c r="AH4255" t="s">
        <v>44</v>
      </c>
    </row>
    <row r="4256" spans="1:34" x14ac:dyDescent="0.3">
      <c r="A4256">
        <v>101</v>
      </c>
      <c r="B4256" t="s">
        <v>34</v>
      </c>
      <c r="C4256">
        <v>2</v>
      </c>
      <c r="D4256" s="1" t="s">
        <v>10976</v>
      </c>
      <c r="E4256" s="1" t="s">
        <v>36</v>
      </c>
      <c r="G4256">
        <v>458929</v>
      </c>
      <c r="H4256" t="s">
        <v>10955</v>
      </c>
      <c r="I4256" t="s">
        <v>2413</v>
      </c>
      <c r="J4256">
        <v>30</v>
      </c>
      <c r="K4256">
        <v>2695</v>
      </c>
      <c r="L4256">
        <v>95000</v>
      </c>
      <c r="M4256" t="s">
        <v>69</v>
      </c>
      <c r="N4256">
        <v>691</v>
      </c>
      <c r="O4256" s="2">
        <v>46226</v>
      </c>
      <c r="P4256" s="2">
        <v>46337</v>
      </c>
      <c r="R4256" t="s">
        <v>10977</v>
      </c>
      <c r="S4256" t="str">
        <f>""</f>
        <v/>
      </c>
      <c r="T4256" t="s">
        <v>41</v>
      </c>
      <c r="U4256">
        <v>10434.85</v>
      </c>
      <c r="V4256">
        <v>10320.07</v>
      </c>
      <c r="W4256">
        <v>10320.07</v>
      </c>
      <c r="X4256">
        <v>0</v>
      </c>
      <c r="Y4256">
        <v>0</v>
      </c>
      <c r="Z4256">
        <v>-562</v>
      </c>
      <c r="AA4256">
        <v>695015</v>
      </c>
      <c r="AD4256" t="s">
        <v>64</v>
      </c>
      <c r="AE4256" t="s">
        <v>2567</v>
      </c>
      <c r="AF4256" t="s">
        <v>64</v>
      </c>
      <c r="AG4256" s="1" t="s">
        <v>10957</v>
      </c>
      <c r="AH4256" t="s">
        <v>44</v>
      </c>
    </row>
    <row r="4257" spans="1:34" x14ac:dyDescent="0.3">
      <c r="A4257">
        <v>101</v>
      </c>
      <c r="B4257" t="s">
        <v>34</v>
      </c>
      <c r="C4257">
        <v>2</v>
      </c>
      <c r="D4257" s="1" t="s">
        <v>10978</v>
      </c>
      <c r="E4257" s="1" t="s">
        <v>36</v>
      </c>
      <c r="G4257">
        <v>458930</v>
      </c>
      <c r="H4257" t="s">
        <v>10979</v>
      </c>
      <c r="I4257" t="s">
        <v>2413</v>
      </c>
      <c r="J4257">
        <v>30</v>
      </c>
      <c r="K4257">
        <v>2695</v>
      </c>
      <c r="L4257">
        <v>95000</v>
      </c>
      <c r="M4257" t="s">
        <v>69</v>
      </c>
      <c r="N4257">
        <v>691</v>
      </c>
      <c r="O4257" s="2">
        <v>46197</v>
      </c>
      <c r="P4257" s="2">
        <v>46316</v>
      </c>
      <c r="R4257" t="s">
        <v>10980</v>
      </c>
      <c r="S4257" t="str">
        <f>""</f>
        <v/>
      </c>
      <c r="T4257" t="s">
        <v>41</v>
      </c>
      <c r="U4257">
        <v>13979.02</v>
      </c>
      <c r="V4257">
        <v>13825.25</v>
      </c>
      <c r="W4257">
        <v>13825.25</v>
      </c>
      <c r="X4257">
        <v>0</v>
      </c>
      <c r="Y4257">
        <v>0</v>
      </c>
      <c r="Z4257">
        <v>-541</v>
      </c>
      <c r="AA4257">
        <v>692196</v>
      </c>
      <c r="AD4257" t="s">
        <v>64</v>
      </c>
      <c r="AE4257" t="s">
        <v>2567</v>
      </c>
      <c r="AF4257" t="s">
        <v>64</v>
      </c>
      <c r="AG4257" s="1" t="s">
        <v>10981</v>
      </c>
      <c r="AH4257" t="s">
        <v>44</v>
      </c>
    </row>
    <row r="4258" spans="1:34" x14ac:dyDescent="0.3">
      <c r="A4258">
        <v>101</v>
      </c>
      <c r="B4258" t="s">
        <v>34</v>
      </c>
      <c r="C4258">
        <v>2</v>
      </c>
      <c r="D4258" s="1" t="s">
        <v>10982</v>
      </c>
      <c r="E4258" s="1" t="s">
        <v>36</v>
      </c>
      <c r="G4258">
        <v>458930</v>
      </c>
      <c r="H4258" t="s">
        <v>10979</v>
      </c>
      <c r="I4258" t="s">
        <v>2413</v>
      </c>
      <c r="J4258">
        <v>30</v>
      </c>
      <c r="K4258">
        <v>2695</v>
      </c>
      <c r="L4258">
        <v>95000</v>
      </c>
      <c r="M4258" t="s">
        <v>69</v>
      </c>
      <c r="N4258">
        <v>691</v>
      </c>
      <c r="O4258" s="2">
        <v>46253</v>
      </c>
      <c r="P4258" s="2">
        <v>46343</v>
      </c>
      <c r="R4258" t="s">
        <v>10983</v>
      </c>
      <c r="S4258" t="str">
        <f>""</f>
        <v/>
      </c>
      <c r="T4258" t="s">
        <v>41</v>
      </c>
      <c r="U4258">
        <v>3538</v>
      </c>
      <c r="V4258">
        <v>3499.08</v>
      </c>
      <c r="W4258">
        <v>3499.08</v>
      </c>
      <c r="X4258">
        <v>0</v>
      </c>
      <c r="Y4258">
        <v>0</v>
      </c>
      <c r="Z4258">
        <v>-568</v>
      </c>
      <c r="AA4258">
        <v>697041</v>
      </c>
      <c r="AD4258" t="s">
        <v>64</v>
      </c>
      <c r="AE4258" t="s">
        <v>2567</v>
      </c>
      <c r="AF4258" t="s">
        <v>64</v>
      </c>
      <c r="AG4258" s="1" t="s">
        <v>10981</v>
      </c>
      <c r="AH4258" t="s">
        <v>44</v>
      </c>
    </row>
    <row r="4259" spans="1:34" x14ac:dyDescent="0.3">
      <c r="A4259">
        <v>101</v>
      </c>
      <c r="B4259" t="s">
        <v>34</v>
      </c>
      <c r="C4259">
        <v>2</v>
      </c>
      <c r="D4259" s="1" t="s">
        <v>10984</v>
      </c>
      <c r="E4259" s="1" t="s">
        <v>36</v>
      </c>
      <c r="G4259">
        <v>458930</v>
      </c>
      <c r="H4259" t="s">
        <v>10979</v>
      </c>
      <c r="I4259" t="s">
        <v>2413</v>
      </c>
      <c r="J4259">
        <v>30</v>
      </c>
      <c r="K4259">
        <v>2695</v>
      </c>
      <c r="L4259">
        <v>95000</v>
      </c>
      <c r="M4259" t="s">
        <v>69</v>
      </c>
      <c r="N4259">
        <v>691</v>
      </c>
      <c r="O4259" s="2">
        <v>46171</v>
      </c>
      <c r="P4259" s="2">
        <v>46296</v>
      </c>
      <c r="R4259" t="s">
        <v>10985</v>
      </c>
      <c r="S4259" t="str">
        <f>""</f>
        <v/>
      </c>
      <c r="T4259" t="s">
        <v>41</v>
      </c>
      <c r="U4259">
        <v>585.36</v>
      </c>
      <c r="V4259">
        <v>578.91999999999996</v>
      </c>
      <c r="W4259">
        <v>578.91999999999996</v>
      </c>
      <c r="X4259">
        <v>0</v>
      </c>
      <c r="Y4259">
        <v>0</v>
      </c>
      <c r="Z4259">
        <v>-521</v>
      </c>
      <c r="AA4259">
        <v>689509</v>
      </c>
      <c r="AD4259" t="s">
        <v>64</v>
      </c>
      <c r="AE4259" t="s">
        <v>2567</v>
      </c>
      <c r="AF4259" t="s">
        <v>64</v>
      </c>
      <c r="AG4259" s="1" t="s">
        <v>10981</v>
      </c>
      <c r="AH4259" t="s">
        <v>44</v>
      </c>
    </row>
    <row r="4260" spans="1:34" x14ac:dyDescent="0.3">
      <c r="A4260">
        <v>101</v>
      </c>
      <c r="B4260" t="s">
        <v>34</v>
      </c>
      <c r="C4260">
        <v>2</v>
      </c>
      <c r="D4260" s="1" t="s">
        <v>10986</v>
      </c>
      <c r="E4260" s="1" t="s">
        <v>36</v>
      </c>
      <c r="G4260">
        <v>458930</v>
      </c>
      <c r="H4260" t="s">
        <v>10979</v>
      </c>
      <c r="I4260" t="s">
        <v>2413</v>
      </c>
      <c r="J4260">
        <v>30</v>
      </c>
      <c r="K4260">
        <v>2695</v>
      </c>
      <c r="L4260">
        <v>95000</v>
      </c>
      <c r="M4260" t="s">
        <v>69</v>
      </c>
      <c r="N4260">
        <v>691</v>
      </c>
      <c r="O4260" s="2">
        <v>46226</v>
      </c>
      <c r="P4260" s="2">
        <v>46316</v>
      </c>
      <c r="R4260" t="s">
        <v>10987</v>
      </c>
      <c r="S4260" t="str">
        <f>""</f>
        <v/>
      </c>
      <c r="T4260" t="s">
        <v>41</v>
      </c>
      <c r="U4260">
        <v>3103.3</v>
      </c>
      <c r="V4260">
        <v>3069.16</v>
      </c>
      <c r="W4260">
        <v>3069.16</v>
      </c>
      <c r="X4260">
        <v>0</v>
      </c>
      <c r="Y4260">
        <v>0</v>
      </c>
      <c r="Z4260">
        <v>-541</v>
      </c>
      <c r="AA4260">
        <v>695021</v>
      </c>
      <c r="AD4260" t="s">
        <v>64</v>
      </c>
      <c r="AE4260" t="s">
        <v>2567</v>
      </c>
      <c r="AF4260" t="s">
        <v>64</v>
      </c>
      <c r="AG4260" s="1" t="s">
        <v>10981</v>
      </c>
      <c r="AH4260" t="s">
        <v>44</v>
      </c>
    </row>
    <row r="4261" spans="1:34" x14ac:dyDescent="0.3">
      <c r="A4261">
        <v>101</v>
      </c>
      <c r="B4261" t="s">
        <v>34</v>
      </c>
      <c r="C4261">
        <v>2</v>
      </c>
      <c r="D4261" s="1" t="s">
        <v>10988</v>
      </c>
      <c r="E4261" s="1" t="s">
        <v>36</v>
      </c>
      <c r="G4261">
        <v>458930</v>
      </c>
      <c r="H4261" t="s">
        <v>10979</v>
      </c>
      <c r="I4261" t="s">
        <v>2413</v>
      </c>
      <c r="J4261">
        <v>30</v>
      </c>
      <c r="K4261">
        <v>2695</v>
      </c>
      <c r="L4261">
        <v>95000</v>
      </c>
      <c r="M4261" t="s">
        <v>69</v>
      </c>
      <c r="N4261">
        <v>691</v>
      </c>
      <c r="O4261" s="2">
        <v>46140</v>
      </c>
      <c r="P4261" s="2">
        <v>46266</v>
      </c>
      <c r="R4261" t="s">
        <v>10989</v>
      </c>
      <c r="S4261" t="str">
        <f>""</f>
        <v/>
      </c>
      <c r="T4261" t="s">
        <v>41</v>
      </c>
      <c r="U4261">
        <v>6386.01</v>
      </c>
      <c r="V4261">
        <v>6315.76</v>
      </c>
      <c r="W4261">
        <v>6315.76</v>
      </c>
      <c r="X4261">
        <v>0</v>
      </c>
      <c r="Y4261">
        <v>0</v>
      </c>
      <c r="Z4261">
        <v>-491</v>
      </c>
      <c r="AA4261">
        <v>686632</v>
      </c>
      <c r="AD4261" t="s">
        <v>64</v>
      </c>
      <c r="AE4261" t="s">
        <v>2567</v>
      </c>
      <c r="AF4261" t="s">
        <v>64</v>
      </c>
      <c r="AG4261" s="1" t="s">
        <v>10981</v>
      </c>
      <c r="AH4261" t="s">
        <v>44</v>
      </c>
    </row>
    <row r="4262" spans="1:34" x14ac:dyDescent="0.3">
      <c r="A4262">
        <v>101</v>
      </c>
      <c r="B4262" t="s">
        <v>34</v>
      </c>
      <c r="C4262">
        <v>2</v>
      </c>
      <c r="D4262" s="1" t="s">
        <v>10990</v>
      </c>
      <c r="E4262" s="1" t="s">
        <v>36</v>
      </c>
      <c r="G4262">
        <v>458930</v>
      </c>
      <c r="H4262" t="s">
        <v>10979</v>
      </c>
      <c r="I4262" t="s">
        <v>2413</v>
      </c>
      <c r="J4262">
        <v>30</v>
      </c>
      <c r="K4262">
        <v>2695</v>
      </c>
      <c r="L4262">
        <v>95000</v>
      </c>
      <c r="M4262" t="s">
        <v>69</v>
      </c>
      <c r="N4262">
        <v>691</v>
      </c>
      <c r="O4262" s="2">
        <v>46199</v>
      </c>
      <c r="P4262" s="2">
        <v>46308</v>
      </c>
      <c r="R4262" t="s">
        <v>10991</v>
      </c>
      <c r="S4262" t="str">
        <f>""</f>
        <v/>
      </c>
      <c r="T4262" t="s">
        <v>41</v>
      </c>
      <c r="U4262">
        <v>1769</v>
      </c>
      <c r="V4262">
        <v>1749.54</v>
      </c>
      <c r="W4262">
        <v>1749.54</v>
      </c>
      <c r="X4262">
        <v>0</v>
      </c>
      <c r="Y4262">
        <v>0</v>
      </c>
      <c r="Z4262">
        <v>-533</v>
      </c>
      <c r="AA4262">
        <v>692586</v>
      </c>
      <c r="AD4262" t="s">
        <v>64</v>
      </c>
      <c r="AE4262" t="s">
        <v>2567</v>
      </c>
      <c r="AF4262" t="s">
        <v>64</v>
      </c>
      <c r="AG4262" s="1" t="s">
        <v>10981</v>
      </c>
      <c r="AH4262" t="s">
        <v>44</v>
      </c>
    </row>
    <row r="4263" spans="1:34" x14ac:dyDescent="0.3">
      <c r="A4263">
        <v>101</v>
      </c>
      <c r="B4263" t="s">
        <v>34</v>
      </c>
      <c r="C4263">
        <v>2</v>
      </c>
      <c r="D4263" s="1" t="s">
        <v>10992</v>
      </c>
      <c r="E4263" s="1" t="s">
        <v>36</v>
      </c>
      <c r="G4263">
        <v>458930</v>
      </c>
      <c r="H4263" t="s">
        <v>10979</v>
      </c>
      <c r="I4263" t="s">
        <v>2413</v>
      </c>
      <c r="J4263">
        <v>30</v>
      </c>
      <c r="K4263">
        <v>2695</v>
      </c>
      <c r="L4263">
        <v>95000</v>
      </c>
      <c r="M4263" t="s">
        <v>69</v>
      </c>
      <c r="N4263">
        <v>691</v>
      </c>
      <c r="O4263" s="2">
        <v>46171</v>
      </c>
      <c r="P4263" s="2">
        <v>46296</v>
      </c>
      <c r="R4263" t="s">
        <v>10993</v>
      </c>
      <c r="S4263" t="str">
        <f>""</f>
        <v/>
      </c>
      <c r="T4263" t="s">
        <v>41</v>
      </c>
      <c r="U4263">
        <v>16086.13</v>
      </c>
      <c r="V4263">
        <v>15909.18</v>
      </c>
      <c r="W4263">
        <v>15909.18</v>
      </c>
      <c r="X4263">
        <v>0</v>
      </c>
      <c r="Y4263">
        <v>0</v>
      </c>
      <c r="Z4263">
        <v>-521</v>
      </c>
      <c r="AA4263">
        <v>689234</v>
      </c>
      <c r="AD4263" t="s">
        <v>64</v>
      </c>
      <c r="AE4263" t="s">
        <v>2567</v>
      </c>
      <c r="AF4263" t="s">
        <v>64</v>
      </c>
      <c r="AG4263" s="1" t="s">
        <v>10981</v>
      </c>
      <c r="AH4263" t="s">
        <v>44</v>
      </c>
    </row>
    <row r="4264" spans="1:34" x14ac:dyDescent="0.3">
      <c r="A4264">
        <v>101</v>
      </c>
      <c r="B4264" t="s">
        <v>34</v>
      </c>
      <c r="C4264">
        <v>2</v>
      </c>
      <c r="D4264" s="1" t="s">
        <v>10994</v>
      </c>
      <c r="E4264" s="1" t="s">
        <v>36</v>
      </c>
      <c r="G4264">
        <v>458930</v>
      </c>
      <c r="H4264" t="s">
        <v>10979</v>
      </c>
      <c r="I4264" t="s">
        <v>2413</v>
      </c>
      <c r="J4264">
        <v>30</v>
      </c>
      <c r="K4264">
        <v>2695</v>
      </c>
      <c r="L4264">
        <v>95000</v>
      </c>
      <c r="M4264" t="s">
        <v>69</v>
      </c>
      <c r="N4264">
        <v>691</v>
      </c>
      <c r="O4264" s="2">
        <v>46239</v>
      </c>
      <c r="P4264" s="2">
        <v>46329</v>
      </c>
      <c r="R4264" t="s">
        <v>10995</v>
      </c>
      <c r="S4264" t="str">
        <f>""</f>
        <v/>
      </c>
      <c r="T4264" t="s">
        <v>41</v>
      </c>
      <c r="U4264">
        <v>527.52</v>
      </c>
      <c r="V4264">
        <v>521.72</v>
      </c>
      <c r="W4264">
        <v>521.72</v>
      </c>
      <c r="X4264">
        <v>0</v>
      </c>
      <c r="Y4264">
        <v>0</v>
      </c>
      <c r="Z4264">
        <v>-554</v>
      </c>
      <c r="AA4264">
        <v>696265</v>
      </c>
      <c r="AD4264" t="s">
        <v>64</v>
      </c>
      <c r="AE4264" t="s">
        <v>2567</v>
      </c>
      <c r="AF4264" t="s">
        <v>64</v>
      </c>
      <c r="AG4264" s="1" t="s">
        <v>10981</v>
      </c>
      <c r="AH4264" t="s">
        <v>44</v>
      </c>
    </row>
    <row r="4265" spans="1:34" x14ac:dyDescent="0.3">
      <c r="A4265">
        <v>101</v>
      </c>
      <c r="B4265" t="s">
        <v>34</v>
      </c>
      <c r="C4265">
        <v>2</v>
      </c>
      <c r="D4265" s="1" t="s">
        <v>10996</v>
      </c>
      <c r="E4265" s="1" t="s">
        <v>36</v>
      </c>
      <c r="G4265">
        <v>458931</v>
      </c>
      <c r="H4265" t="s">
        <v>10997</v>
      </c>
      <c r="I4265" t="s">
        <v>2413</v>
      </c>
      <c r="J4265">
        <v>30</v>
      </c>
      <c r="K4265">
        <v>2695</v>
      </c>
      <c r="L4265">
        <v>95000</v>
      </c>
      <c r="M4265" t="s">
        <v>69</v>
      </c>
      <c r="N4265">
        <v>691</v>
      </c>
      <c r="O4265" s="2">
        <v>46226</v>
      </c>
      <c r="P4265" s="2">
        <v>46316</v>
      </c>
      <c r="R4265" t="s">
        <v>10998</v>
      </c>
      <c r="S4265" t="str">
        <f>""</f>
        <v/>
      </c>
      <c r="T4265" t="s">
        <v>41</v>
      </c>
      <c r="U4265">
        <v>11022.74</v>
      </c>
      <c r="V4265">
        <v>10901.49</v>
      </c>
      <c r="W4265">
        <v>10901.49</v>
      </c>
      <c r="X4265">
        <v>0</v>
      </c>
      <c r="Y4265">
        <v>0</v>
      </c>
      <c r="Z4265">
        <v>-541</v>
      </c>
      <c r="AA4265">
        <v>695039</v>
      </c>
      <c r="AD4265" t="s">
        <v>64</v>
      </c>
      <c r="AE4265" t="s">
        <v>2567</v>
      </c>
      <c r="AF4265" t="s">
        <v>64</v>
      </c>
      <c r="AG4265" s="1" t="s">
        <v>10999</v>
      </c>
      <c r="AH4265" t="s">
        <v>44</v>
      </c>
    </row>
    <row r="4266" spans="1:34" x14ac:dyDescent="0.3">
      <c r="A4266">
        <v>101</v>
      </c>
      <c r="B4266" t="s">
        <v>34</v>
      </c>
      <c r="C4266">
        <v>2</v>
      </c>
      <c r="D4266" s="1" t="s">
        <v>11000</v>
      </c>
      <c r="E4266" s="1" t="s">
        <v>36</v>
      </c>
      <c r="G4266">
        <v>458931</v>
      </c>
      <c r="H4266" t="s">
        <v>10997</v>
      </c>
      <c r="I4266" t="s">
        <v>2413</v>
      </c>
      <c r="J4266">
        <v>30</v>
      </c>
      <c r="K4266">
        <v>2695</v>
      </c>
      <c r="L4266">
        <v>95000</v>
      </c>
      <c r="M4266" t="s">
        <v>69</v>
      </c>
      <c r="N4266">
        <v>691</v>
      </c>
      <c r="O4266" s="2">
        <v>46199</v>
      </c>
      <c r="P4266" s="2">
        <v>46316</v>
      </c>
      <c r="R4266" t="s">
        <v>11001</v>
      </c>
      <c r="S4266" t="str">
        <f>""</f>
        <v/>
      </c>
      <c r="T4266" t="s">
        <v>41</v>
      </c>
      <c r="U4266">
        <v>4026.49</v>
      </c>
      <c r="V4266">
        <v>3982.2</v>
      </c>
      <c r="W4266">
        <v>3982.2</v>
      </c>
      <c r="X4266">
        <v>0</v>
      </c>
      <c r="Y4266">
        <v>0</v>
      </c>
      <c r="Z4266">
        <v>-541</v>
      </c>
      <c r="AA4266">
        <v>692841</v>
      </c>
      <c r="AD4266" t="s">
        <v>64</v>
      </c>
      <c r="AE4266" t="s">
        <v>2567</v>
      </c>
      <c r="AF4266" t="s">
        <v>64</v>
      </c>
      <c r="AG4266" s="1" t="s">
        <v>10999</v>
      </c>
      <c r="AH4266" t="s">
        <v>44</v>
      </c>
    </row>
    <row r="4267" spans="1:34" x14ac:dyDescent="0.3">
      <c r="A4267">
        <v>101</v>
      </c>
      <c r="B4267" t="s">
        <v>34</v>
      </c>
      <c r="C4267">
        <v>2</v>
      </c>
      <c r="D4267" s="1" t="s">
        <v>11002</v>
      </c>
      <c r="E4267" s="1" t="s">
        <v>36</v>
      </c>
      <c r="G4267">
        <v>458931</v>
      </c>
      <c r="H4267" t="s">
        <v>10997</v>
      </c>
      <c r="I4267" t="s">
        <v>2413</v>
      </c>
      <c r="J4267">
        <v>30</v>
      </c>
      <c r="K4267">
        <v>2695</v>
      </c>
      <c r="L4267">
        <v>95000</v>
      </c>
      <c r="M4267" t="s">
        <v>69</v>
      </c>
      <c r="N4267">
        <v>691</v>
      </c>
      <c r="O4267" s="2">
        <v>46141</v>
      </c>
      <c r="P4267" s="2">
        <v>46255</v>
      </c>
      <c r="R4267" t="s">
        <v>11003</v>
      </c>
      <c r="S4267" t="str">
        <f>""</f>
        <v/>
      </c>
      <c r="T4267" t="s">
        <v>41</v>
      </c>
      <c r="U4267">
        <v>17702.939999999999</v>
      </c>
      <c r="V4267">
        <v>17508.21</v>
      </c>
      <c r="W4267">
        <v>17508.21</v>
      </c>
      <c r="X4267">
        <v>0</v>
      </c>
      <c r="Y4267">
        <v>0</v>
      </c>
      <c r="Z4267">
        <v>-480</v>
      </c>
      <c r="AA4267">
        <v>686643</v>
      </c>
      <c r="AD4267" t="s">
        <v>64</v>
      </c>
      <c r="AE4267" t="s">
        <v>2567</v>
      </c>
      <c r="AF4267" t="s">
        <v>64</v>
      </c>
      <c r="AG4267" s="1" t="s">
        <v>10999</v>
      </c>
      <c r="AH4267" t="s">
        <v>44</v>
      </c>
    </row>
    <row r="4268" spans="1:34" x14ac:dyDescent="0.3">
      <c r="A4268">
        <v>101</v>
      </c>
      <c r="B4268" t="s">
        <v>34</v>
      </c>
      <c r="C4268">
        <v>2</v>
      </c>
      <c r="D4268" s="1" t="s">
        <v>11004</v>
      </c>
      <c r="E4268" s="1" t="s">
        <v>36</v>
      </c>
      <c r="G4268">
        <v>458931</v>
      </c>
      <c r="H4268" t="s">
        <v>10997</v>
      </c>
      <c r="I4268" t="s">
        <v>2413</v>
      </c>
      <c r="J4268">
        <v>30</v>
      </c>
      <c r="K4268">
        <v>2695</v>
      </c>
      <c r="L4268">
        <v>95000</v>
      </c>
      <c r="M4268" t="s">
        <v>69</v>
      </c>
      <c r="N4268">
        <v>691</v>
      </c>
      <c r="O4268" s="2">
        <v>46197</v>
      </c>
      <c r="P4268" s="2">
        <v>46316</v>
      </c>
      <c r="R4268" t="s">
        <v>11005</v>
      </c>
      <c r="S4268" t="str">
        <f>""</f>
        <v/>
      </c>
      <c r="T4268" t="s">
        <v>41</v>
      </c>
      <c r="U4268">
        <v>3682.55</v>
      </c>
      <c r="V4268">
        <v>3642.04</v>
      </c>
      <c r="W4268">
        <v>3642.04</v>
      </c>
      <c r="X4268">
        <v>0</v>
      </c>
      <c r="Y4268">
        <v>0</v>
      </c>
      <c r="Z4268">
        <v>-541</v>
      </c>
      <c r="AA4268">
        <v>692206</v>
      </c>
      <c r="AD4268" t="s">
        <v>64</v>
      </c>
      <c r="AE4268" t="s">
        <v>2567</v>
      </c>
      <c r="AF4268" t="s">
        <v>64</v>
      </c>
      <c r="AG4268" s="1" t="s">
        <v>10999</v>
      </c>
      <c r="AH4268" t="s">
        <v>44</v>
      </c>
    </row>
    <row r="4269" spans="1:34" x14ac:dyDescent="0.3">
      <c r="A4269">
        <v>101</v>
      </c>
      <c r="B4269" t="s">
        <v>34</v>
      </c>
      <c r="C4269">
        <v>2</v>
      </c>
      <c r="D4269" s="1" t="s">
        <v>11006</v>
      </c>
      <c r="E4269" s="1" t="s">
        <v>36</v>
      </c>
      <c r="G4269">
        <v>458931</v>
      </c>
      <c r="H4269" t="s">
        <v>10997</v>
      </c>
      <c r="I4269" t="s">
        <v>2413</v>
      </c>
      <c r="J4269">
        <v>30</v>
      </c>
      <c r="K4269">
        <v>2695</v>
      </c>
      <c r="L4269">
        <v>95000</v>
      </c>
      <c r="M4269" t="s">
        <v>69</v>
      </c>
      <c r="N4269">
        <v>691</v>
      </c>
      <c r="O4269" s="2">
        <v>46170</v>
      </c>
      <c r="P4269" s="2">
        <v>46286</v>
      </c>
      <c r="R4269" t="s">
        <v>11007</v>
      </c>
      <c r="S4269" t="str">
        <f>""</f>
        <v/>
      </c>
      <c r="T4269" t="s">
        <v>41</v>
      </c>
      <c r="U4269">
        <v>34364.660000000003</v>
      </c>
      <c r="V4269">
        <v>33986.65</v>
      </c>
      <c r="W4269">
        <v>33986.65</v>
      </c>
      <c r="X4269">
        <v>0</v>
      </c>
      <c r="Y4269">
        <v>0</v>
      </c>
      <c r="Z4269">
        <v>-511</v>
      </c>
      <c r="AA4269">
        <v>689244</v>
      </c>
      <c r="AD4269" t="s">
        <v>64</v>
      </c>
      <c r="AE4269" t="s">
        <v>2567</v>
      </c>
      <c r="AF4269" t="s">
        <v>64</v>
      </c>
      <c r="AG4269" s="1" t="s">
        <v>10999</v>
      </c>
      <c r="AH4269" t="s">
        <v>44</v>
      </c>
    </row>
    <row r="4270" spans="1:34" x14ac:dyDescent="0.3">
      <c r="A4270">
        <v>101</v>
      </c>
      <c r="B4270" t="s">
        <v>34</v>
      </c>
      <c r="C4270">
        <v>2</v>
      </c>
      <c r="D4270" s="1" t="s">
        <v>11008</v>
      </c>
      <c r="E4270" s="1" t="s">
        <v>36</v>
      </c>
      <c r="G4270">
        <v>458931</v>
      </c>
      <c r="H4270" t="s">
        <v>10997</v>
      </c>
      <c r="I4270" t="s">
        <v>2413</v>
      </c>
      <c r="J4270">
        <v>30</v>
      </c>
      <c r="K4270">
        <v>2695</v>
      </c>
      <c r="L4270">
        <v>95000</v>
      </c>
      <c r="M4270" t="s">
        <v>69</v>
      </c>
      <c r="N4270">
        <v>691</v>
      </c>
      <c r="O4270" s="2">
        <v>46199</v>
      </c>
      <c r="P4270" s="2">
        <v>46316</v>
      </c>
      <c r="R4270" t="s">
        <v>11009</v>
      </c>
      <c r="S4270" t="str">
        <f>""</f>
        <v/>
      </c>
      <c r="T4270" t="s">
        <v>41</v>
      </c>
      <c r="U4270">
        <v>1326.75</v>
      </c>
      <c r="V4270">
        <v>1312.16</v>
      </c>
      <c r="W4270">
        <v>1312.16</v>
      </c>
      <c r="X4270">
        <v>0</v>
      </c>
      <c r="Y4270">
        <v>0</v>
      </c>
      <c r="Z4270">
        <v>-541</v>
      </c>
      <c r="AA4270">
        <v>692602</v>
      </c>
      <c r="AD4270" t="s">
        <v>64</v>
      </c>
      <c r="AE4270" t="s">
        <v>2567</v>
      </c>
      <c r="AF4270" t="s">
        <v>64</v>
      </c>
      <c r="AG4270" s="1" t="s">
        <v>10999</v>
      </c>
      <c r="AH4270" t="s">
        <v>44</v>
      </c>
    </row>
    <row r="4271" spans="1:34" x14ac:dyDescent="0.3">
      <c r="A4271">
        <v>101</v>
      </c>
      <c r="B4271" t="s">
        <v>34</v>
      </c>
      <c r="C4271">
        <v>2</v>
      </c>
      <c r="D4271" s="1" t="s">
        <v>11010</v>
      </c>
      <c r="E4271" s="1" t="s">
        <v>36</v>
      </c>
      <c r="G4271">
        <v>458931</v>
      </c>
      <c r="H4271" t="s">
        <v>10997</v>
      </c>
      <c r="I4271" t="s">
        <v>2413</v>
      </c>
      <c r="J4271">
        <v>30</v>
      </c>
      <c r="K4271">
        <v>2695</v>
      </c>
      <c r="L4271">
        <v>95000</v>
      </c>
      <c r="M4271" t="s">
        <v>69</v>
      </c>
      <c r="N4271">
        <v>691</v>
      </c>
      <c r="O4271" s="2">
        <v>46141</v>
      </c>
      <c r="P4271" s="2">
        <v>46255</v>
      </c>
      <c r="R4271" t="s">
        <v>11011</v>
      </c>
      <c r="S4271" t="str">
        <f>""</f>
        <v/>
      </c>
      <c r="T4271" t="s">
        <v>41</v>
      </c>
      <c r="U4271">
        <v>3592.72</v>
      </c>
      <c r="V4271">
        <v>3553.2</v>
      </c>
      <c r="W4271">
        <v>3553.2</v>
      </c>
      <c r="X4271">
        <v>0</v>
      </c>
      <c r="Y4271">
        <v>0</v>
      </c>
      <c r="Z4271">
        <v>-480</v>
      </c>
      <c r="AA4271">
        <v>686928</v>
      </c>
      <c r="AD4271" t="s">
        <v>64</v>
      </c>
      <c r="AE4271" t="s">
        <v>2567</v>
      </c>
      <c r="AF4271" t="s">
        <v>64</v>
      </c>
      <c r="AG4271" s="1" t="s">
        <v>10999</v>
      </c>
      <c r="AH4271" t="s">
        <v>44</v>
      </c>
    </row>
    <row r="4272" spans="1:34" x14ac:dyDescent="0.3">
      <c r="A4272">
        <v>101</v>
      </c>
      <c r="B4272" t="s">
        <v>34</v>
      </c>
      <c r="C4272">
        <v>2</v>
      </c>
      <c r="D4272" s="1" t="s">
        <v>11012</v>
      </c>
      <c r="E4272" s="1" t="s">
        <v>36</v>
      </c>
      <c r="G4272">
        <v>458931</v>
      </c>
      <c r="H4272" t="s">
        <v>10997</v>
      </c>
      <c r="I4272" t="s">
        <v>2413</v>
      </c>
      <c r="J4272">
        <v>30</v>
      </c>
      <c r="K4272">
        <v>2695</v>
      </c>
      <c r="L4272">
        <v>95000</v>
      </c>
      <c r="M4272" t="s">
        <v>69</v>
      </c>
      <c r="N4272">
        <v>691</v>
      </c>
      <c r="O4272" s="2">
        <v>46239</v>
      </c>
      <c r="P4272" s="2">
        <v>46329</v>
      </c>
      <c r="R4272" t="s">
        <v>11013</v>
      </c>
      <c r="S4272" t="str">
        <f>""</f>
        <v/>
      </c>
      <c r="T4272" t="s">
        <v>41</v>
      </c>
      <c r="U4272">
        <v>3765.27</v>
      </c>
      <c r="V4272">
        <v>3723.85</v>
      </c>
      <c r="W4272">
        <v>3723.85</v>
      </c>
      <c r="X4272">
        <v>0</v>
      </c>
      <c r="Y4272">
        <v>0</v>
      </c>
      <c r="Z4272">
        <v>-554</v>
      </c>
      <c r="AA4272">
        <v>696279</v>
      </c>
      <c r="AD4272" t="s">
        <v>64</v>
      </c>
      <c r="AE4272" t="s">
        <v>2567</v>
      </c>
      <c r="AF4272" t="s">
        <v>64</v>
      </c>
      <c r="AG4272" s="1" t="s">
        <v>10999</v>
      </c>
      <c r="AH4272" t="s">
        <v>44</v>
      </c>
    </row>
    <row r="4273" spans="1:34" x14ac:dyDescent="0.3">
      <c r="A4273">
        <v>101</v>
      </c>
      <c r="B4273" t="s">
        <v>34</v>
      </c>
      <c r="C4273">
        <v>2</v>
      </c>
      <c r="D4273" s="1" t="s">
        <v>11014</v>
      </c>
      <c r="E4273" s="1" t="s">
        <v>36</v>
      </c>
      <c r="G4273">
        <v>458931</v>
      </c>
      <c r="H4273" t="s">
        <v>10997</v>
      </c>
      <c r="I4273" t="s">
        <v>2413</v>
      </c>
      <c r="J4273">
        <v>30</v>
      </c>
      <c r="K4273">
        <v>2695</v>
      </c>
      <c r="L4273">
        <v>95000</v>
      </c>
      <c r="M4273" t="s">
        <v>69</v>
      </c>
      <c r="N4273">
        <v>691</v>
      </c>
      <c r="O4273" s="2">
        <v>46170</v>
      </c>
      <c r="P4273" s="2">
        <v>46286</v>
      </c>
      <c r="R4273" t="s">
        <v>11015</v>
      </c>
      <c r="S4273" t="str">
        <f>""</f>
        <v/>
      </c>
      <c r="T4273" t="s">
        <v>41</v>
      </c>
      <c r="U4273">
        <v>2741</v>
      </c>
      <c r="V4273">
        <v>2710.85</v>
      </c>
      <c r="W4273">
        <v>2710.85</v>
      </c>
      <c r="X4273">
        <v>0</v>
      </c>
      <c r="Y4273">
        <v>0</v>
      </c>
      <c r="Z4273">
        <v>-511</v>
      </c>
      <c r="AA4273">
        <v>689519</v>
      </c>
      <c r="AD4273" t="s">
        <v>64</v>
      </c>
      <c r="AE4273" t="s">
        <v>2567</v>
      </c>
      <c r="AF4273" t="s">
        <v>64</v>
      </c>
      <c r="AG4273" s="1" t="s">
        <v>10999</v>
      </c>
      <c r="AH4273" t="s">
        <v>44</v>
      </c>
    </row>
    <row r="4274" spans="1:34" x14ac:dyDescent="0.3">
      <c r="A4274">
        <v>101</v>
      </c>
      <c r="B4274" t="s">
        <v>34</v>
      </c>
      <c r="C4274">
        <v>2</v>
      </c>
      <c r="D4274" s="1" t="s">
        <v>11016</v>
      </c>
      <c r="E4274" s="1" t="s">
        <v>36</v>
      </c>
      <c r="G4274">
        <v>458931</v>
      </c>
      <c r="H4274" t="s">
        <v>10997</v>
      </c>
      <c r="I4274" t="s">
        <v>2413</v>
      </c>
      <c r="J4274">
        <v>30</v>
      </c>
      <c r="K4274">
        <v>2695</v>
      </c>
      <c r="L4274">
        <v>95000</v>
      </c>
      <c r="M4274" t="s">
        <v>69</v>
      </c>
      <c r="N4274">
        <v>691</v>
      </c>
      <c r="O4274" s="2">
        <v>46253</v>
      </c>
      <c r="P4274" s="2">
        <v>46343</v>
      </c>
      <c r="R4274" t="s">
        <v>11017</v>
      </c>
      <c r="S4274" t="str">
        <f>""</f>
        <v/>
      </c>
      <c r="T4274" t="s">
        <v>41</v>
      </c>
      <c r="U4274">
        <v>3538</v>
      </c>
      <c r="V4274">
        <v>3499.08</v>
      </c>
      <c r="W4274">
        <v>3499.08</v>
      </c>
      <c r="X4274">
        <v>0</v>
      </c>
      <c r="Y4274">
        <v>0</v>
      </c>
      <c r="Z4274">
        <v>-568</v>
      </c>
      <c r="AA4274">
        <v>697057</v>
      </c>
      <c r="AD4274" t="s">
        <v>64</v>
      </c>
      <c r="AE4274" t="s">
        <v>2567</v>
      </c>
      <c r="AF4274" t="s">
        <v>64</v>
      </c>
      <c r="AG4274" s="1" t="s">
        <v>10999</v>
      </c>
      <c r="AH4274" t="s">
        <v>44</v>
      </c>
    </row>
    <row r="4275" spans="1:34" x14ac:dyDescent="0.3">
      <c r="A4275">
        <v>101</v>
      </c>
      <c r="B4275" t="s">
        <v>34</v>
      </c>
      <c r="C4275">
        <v>2</v>
      </c>
      <c r="D4275" s="1" t="s">
        <v>11018</v>
      </c>
      <c r="E4275" s="1" t="s">
        <v>36</v>
      </c>
      <c r="G4275">
        <v>458933</v>
      </c>
      <c r="H4275" t="s">
        <v>11019</v>
      </c>
      <c r="I4275" t="s">
        <v>2413</v>
      </c>
      <c r="J4275">
        <v>30</v>
      </c>
      <c r="K4275">
        <v>2695</v>
      </c>
      <c r="L4275">
        <v>95000</v>
      </c>
      <c r="M4275" t="s">
        <v>69</v>
      </c>
      <c r="N4275">
        <v>691</v>
      </c>
      <c r="O4275" s="2">
        <v>46197</v>
      </c>
      <c r="P4275" s="2">
        <v>46308</v>
      </c>
      <c r="R4275" t="s">
        <v>11020</v>
      </c>
      <c r="S4275" t="str">
        <f>""</f>
        <v/>
      </c>
      <c r="T4275" t="s">
        <v>41</v>
      </c>
      <c r="U4275">
        <v>17046.580000000002</v>
      </c>
      <c r="V4275">
        <v>16859.07</v>
      </c>
      <c r="W4275">
        <v>16859.07</v>
      </c>
      <c r="X4275">
        <v>0</v>
      </c>
      <c r="Y4275">
        <v>0</v>
      </c>
      <c r="Z4275">
        <v>-533</v>
      </c>
      <c r="AA4275">
        <v>692198</v>
      </c>
      <c r="AD4275" t="s">
        <v>3301</v>
      </c>
      <c r="AE4275" t="s">
        <v>2567</v>
      </c>
      <c r="AF4275" t="s">
        <v>3301</v>
      </c>
      <c r="AG4275" s="1" t="s">
        <v>11021</v>
      </c>
      <c r="AH4275" t="s">
        <v>44</v>
      </c>
    </row>
    <row r="4276" spans="1:34" x14ac:dyDescent="0.3">
      <c r="A4276">
        <v>101</v>
      </c>
      <c r="B4276" t="s">
        <v>34</v>
      </c>
      <c r="C4276">
        <v>2</v>
      </c>
      <c r="D4276" s="1" t="s">
        <v>11022</v>
      </c>
      <c r="E4276" s="1" t="s">
        <v>36</v>
      </c>
      <c r="G4276">
        <v>458933</v>
      </c>
      <c r="H4276" t="s">
        <v>11019</v>
      </c>
      <c r="I4276" t="s">
        <v>2413</v>
      </c>
      <c r="J4276">
        <v>30</v>
      </c>
      <c r="K4276">
        <v>2695</v>
      </c>
      <c r="L4276">
        <v>95000</v>
      </c>
      <c r="M4276" t="s">
        <v>69</v>
      </c>
      <c r="N4276">
        <v>691</v>
      </c>
      <c r="O4276" s="2">
        <v>46239</v>
      </c>
      <c r="P4276" s="2">
        <v>46349</v>
      </c>
      <c r="R4276" t="s">
        <v>11023</v>
      </c>
      <c r="S4276" t="str">
        <f>""</f>
        <v/>
      </c>
      <c r="T4276" t="s">
        <v>41</v>
      </c>
      <c r="U4276">
        <v>1942.65</v>
      </c>
      <c r="V4276">
        <v>1921.28</v>
      </c>
      <c r="W4276">
        <v>1921.28</v>
      </c>
      <c r="X4276">
        <v>0</v>
      </c>
      <c r="Y4276">
        <v>0</v>
      </c>
      <c r="Z4276">
        <v>-574</v>
      </c>
      <c r="AA4276">
        <v>696267</v>
      </c>
      <c r="AD4276" t="s">
        <v>3301</v>
      </c>
      <c r="AE4276" t="s">
        <v>2567</v>
      </c>
      <c r="AF4276" t="s">
        <v>3301</v>
      </c>
      <c r="AG4276" s="1" t="s">
        <v>11021</v>
      </c>
      <c r="AH4276" t="s">
        <v>44</v>
      </c>
    </row>
    <row r="4277" spans="1:34" x14ac:dyDescent="0.3">
      <c r="A4277">
        <v>101</v>
      </c>
      <c r="B4277" t="s">
        <v>34</v>
      </c>
      <c r="C4277">
        <v>2</v>
      </c>
      <c r="D4277" s="1" t="s">
        <v>11024</v>
      </c>
      <c r="E4277" s="1" t="s">
        <v>36</v>
      </c>
      <c r="G4277">
        <v>458933</v>
      </c>
      <c r="H4277" t="s">
        <v>11019</v>
      </c>
      <c r="I4277" t="s">
        <v>2413</v>
      </c>
      <c r="J4277">
        <v>30</v>
      </c>
      <c r="K4277">
        <v>2695</v>
      </c>
      <c r="L4277">
        <v>95000</v>
      </c>
      <c r="M4277" t="s">
        <v>69</v>
      </c>
      <c r="N4277">
        <v>691</v>
      </c>
      <c r="O4277" s="2">
        <v>46140</v>
      </c>
      <c r="P4277" s="2">
        <v>46255</v>
      </c>
      <c r="R4277" t="s">
        <v>11025</v>
      </c>
      <c r="S4277" t="str">
        <f>""</f>
        <v/>
      </c>
      <c r="T4277" t="s">
        <v>41</v>
      </c>
      <c r="U4277">
        <v>8400.69</v>
      </c>
      <c r="V4277">
        <v>8308.2800000000007</v>
      </c>
      <c r="W4277">
        <v>8308.2800000000007</v>
      </c>
      <c r="X4277">
        <v>0</v>
      </c>
      <c r="Y4277">
        <v>0</v>
      </c>
      <c r="Z4277">
        <v>-480</v>
      </c>
      <c r="AA4277">
        <v>686634</v>
      </c>
      <c r="AD4277" t="s">
        <v>3301</v>
      </c>
      <c r="AE4277" t="s">
        <v>2567</v>
      </c>
      <c r="AF4277" t="s">
        <v>3301</v>
      </c>
      <c r="AG4277" s="1" t="s">
        <v>11021</v>
      </c>
      <c r="AH4277" t="s">
        <v>44</v>
      </c>
    </row>
    <row r="4278" spans="1:34" x14ac:dyDescent="0.3">
      <c r="A4278">
        <v>101</v>
      </c>
      <c r="B4278" t="s">
        <v>34</v>
      </c>
      <c r="C4278">
        <v>2</v>
      </c>
      <c r="D4278" s="1" t="s">
        <v>11026</v>
      </c>
      <c r="E4278" s="1" t="s">
        <v>36</v>
      </c>
      <c r="G4278">
        <v>458933</v>
      </c>
      <c r="H4278" t="s">
        <v>11019</v>
      </c>
      <c r="I4278" t="s">
        <v>2413</v>
      </c>
      <c r="J4278">
        <v>30</v>
      </c>
      <c r="K4278">
        <v>2695</v>
      </c>
      <c r="L4278">
        <v>95000</v>
      </c>
      <c r="M4278" t="s">
        <v>69</v>
      </c>
      <c r="N4278">
        <v>691</v>
      </c>
      <c r="O4278" s="2">
        <v>46253</v>
      </c>
      <c r="P4278" s="2">
        <v>46343</v>
      </c>
      <c r="R4278" t="s">
        <v>11027</v>
      </c>
      <c r="S4278" t="str">
        <f>""</f>
        <v/>
      </c>
      <c r="T4278" t="s">
        <v>41</v>
      </c>
      <c r="U4278">
        <v>1769</v>
      </c>
      <c r="V4278">
        <v>1749.54</v>
      </c>
      <c r="W4278">
        <v>1749.54</v>
      </c>
      <c r="X4278">
        <v>0</v>
      </c>
      <c r="Y4278">
        <v>0</v>
      </c>
      <c r="Z4278">
        <v>-568</v>
      </c>
      <c r="AA4278">
        <v>697043</v>
      </c>
      <c r="AD4278" t="s">
        <v>3301</v>
      </c>
      <c r="AE4278" t="s">
        <v>2567</v>
      </c>
      <c r="AF4278" t="s">
        <v>3301</v>
      </c>
      <c r="AG4278" s="1" t="s">
        <v>11021</v>
      </c>
      <c r="AH4278" t="s">
        <v>44</v>
      </c>
    </row>
    <row r="4279" spans="1:34" x14ac:dyDescent="0.3">
      <c r="A4279">
        <v>101</v>
      </c>
      <c r="B4279" t="s">
        <v>34</v>
      </c>
      <c r="C4279">
        <v>2</v>
      </c>
      <c r="D4279" s="1" t="s">
        <v>11028</v>
      </c>
      <c r="E4279" s="1" t="s">
        <v>36</v>
      </c>
      <c r="G4279">
        <v>458933</v>
      </c>
      <c r="H4279" t="s">
        <v>11019</v>
      </c>
      <c r="I4279" t="s">
        <v>2413</v>
      </c>
      <c r="J4279">
        <v>30</v>
      </c>
      <c r="K4279">
        <v>2695</v>
      </c>
      <c r="L4279">
        <v>95000</v>
      </c>
      <c r="M4279" t="s">
        <v>69</v>
      </c>
      <c r="N4279">
        <v>691</v>
      </c>
      <c r="O4279" s="2">
        <v>46171</v>
      </c>
      <c r="P4279" s="2">
        <v>46296</v>
      </c>
      <c r="R4279" t="s">
        <v>11029</v>
      </c>
      <c r="S4279" t="str">
        <f>""</f>
        <v/>
      </c>
      <c r="T4279" t="s">
        <v>41</v>
      </c>
      <c r="U4279">
        <v>16059.43</v>
      </c>
      <c r="V4279">
        <v>15882.78</v>
      </c>
      <c r="W4279">
        <v>15882.78</v>
      </c>
      <c r="X4279">
        <v>0</v>
      </c>
      <c r="Y4279">
        <v>0</v>
      </c>
      <c r="Z4279">
        <v>-521</v>
      </c>
      <c r="AA4279">
        <v>689236</v>
      </c>
      <c r="AD4279" t="s">
        <v>3301</v>
      </c>
      <c r="AE4279" t="s">
        <v>2567</v>
      </c>
      <c r="AF4279" t="s">
        <v>3301</v>
      </c>
      <c r="AG4279" s="1" t="s">
        <v>11021</v>
      </c>
      <c r="AH4279" t="s">
        <v>44</v>
      </c>
    </row>
    <row r="4280" spans="1:34" x14ac:dyDescent="0.3">
      <c r="A4280">
        <v>101</v>
      </c>
      <c r="B4280" t="s">
        <v>34</v>
      </c>
      <c r="C4280">
        <v>2</v>
      </c>
      <c r="D4280" s="1" t="s">
        <v>11030</v>
      </c>
      <c r="E4280" s="1" t="s">
        <v>36</v>
      </c>
      <c r="G4280">
        <v>458933</v>
      </c>
      <c r="H4280" t="s">
        <v>11019</v>
      </c>
      <c r="I4280" t="s">
        <v>2413</v>
      </c>
      <c r="J4280">
        <v>30</v>
      </c>
      <c r="K4280">
        <v>2695</v>
      </c>
      <c r="L4280">
        <v>95000</v>
      </c>
      <c r="M4280" t="s">
        <v>69</v>
      </c>
      <c r="N4280">
        <v>691</v>
      </c>
      <c r="O4280" s="2">
        <v>46199</v>
      </c>
      <c r="P4280" s="2">
        <v>46308</v>
      </c>
      <c r="R4280" t="s">
        <v>11031</v>
      </c>
      <c r="S4280" t="str">
        <f>""</f>
        <v/>
      </c>
      <c r="T4280" t="s">
        <v>41</v>
      </c>
      <c r="U4280">
        <v>1769</v>
      </c>
      <c r="V4280">
        <v>1749.54</v>
      </c>
      <c r="W4280">
        <v>1749.54</v>
      </c>
      <c r="X4280">
        <v>0</v>
      </c>
      <c r="Y4280">
        <v>0</v>
      </c>
      <c r="Z4280">
        <v>-533</v>
      </c>
      <c r="AA4280">
        <v>692588</v>
      </c>
      <c r="AD4280" t="s">
        <v>3301</v>
      </c>
      <c r="AE4280" t="s">
        <v>2567</v>
      </c>
      <c r="AF4280" t="s">
        <v>3301</v>
      </c>
      <c r="AG4280" s="1" t="s">
        <v>11021</v>
      </c>
      <c r="AH4280" t="s">
        <v>44</v>
      </c>
    </row>
    <row r="4281" spans="1:34" x14ac:dyDescent="0.3">
      <c r="A4281">
        <v>101</v>
      </c>
      <c r="B4281" t="s">
        <v>34</v>
      </c>
      <c r="C4281">
        <v>2</v>
      </c>
      <c r="D4281" s="1" t="s">
        <v>11032</v>
      </c>
      <c r="E4281" s="1" t="s">
        <v>36</v>
      </c>
      <c r="G4281">
        <v>458933</v>
      </c>
      <c r="H4281" t="s">
        <v>11019</v>
      </c>
      <c r="I4281" t="s">
        <v>2413</v>
      </c>
      <c r="J4281">
        <v>30</v>
      </c>
      <c r="K4281">
        <v>2695</v>
      </c>
      <c r="L4281">
        <v>95000</v>
      </c>
      <c r="M4281" t="s">
        <v>69</v>
      </c>
      <c r="N4281">
        <v>691</v>
      </c>
      <c r="O4281" s="2">
        <v>46171</v>
      </c>
      <c r="P4281" s="2">
        <v>46296</v>
      </c>
      <c r="R4281" t="s">
        <v>11033</v>
      </c>
      <c r="S4281" t="str">
        <f>""</f>
        <v/>
      </c>
      <c r="T4281" t="s">
        <v>41</v>
      </c>
      <c r="U4281">
        <v>585.36</v>
      </c>
      <c r="V4281">
        <v>578.91999999999996</v>
      </c>
      <c r="W4281">
        <v>578.91999999999996</v>
      </c>
      <c r="X4281">
        <v>0</v>
      </c>
      <c r="Y4281">
        <v>0</v>
      </c>
      <c r="Z4281">
        <v>-521</v>
      </c>
      <c r="AA4281">
        <v>689511</v>
      </c>
      <c r="AD4281" t="s">
        <v>3301</v>
      </c>
      <c r="AE4281" t="s">
        <v>2567</v>
      </c>
      <c r="AF4281" t="s">
        <v>3301</v>
      </c>
      <c r="AG4281" s="1" t="s">
        <v>11021</v>
      </c>
      <c r="AH4281" t="s">
        <v>44</v>
      </c>
    </row>
    <row r="4282" spans="1:34" x14ac:dyDescent="0.3">
      <c r="A4282">
        <v>101</v>
      </c>
      <c r="B4282" t="s">
        <v>34</v>
      </c>
      <c r="C4282">
        <v>2</v>
      </c>
      <c r="D4282" s="1" t="s">
        <v>11034</v>
      </c>
      <c r="E4282" s="1" t="s">
        <v>36</v>
      </c>
      <c r="G4282">
        <v>458933</v>
      </c>
      <c r="H4282" t="s">
        <v>11019</v>
      </c>
      <c r="I4282" t="s">
        <v>2413</v>
      </c>
      <c r="J4282">
        <v>30</v>
      </c>
      <c r="K4282">
        <v>2695</v>
      </c>
      <c r="L4282">
        <v>95000</v>
      </c>
      <c r="M4282" t="s">
        <v>69</v>
      </c>
      <c r="N4282">
        <v>691</v>
      </c>
      <c r="O4282" s="2">
        <v>46199</v>
      </c>
      <c r="P4282" s="2">
        <v>46308</v>
      </c>
      <c r="R4282" t="s">
        <v>11035</v>
      </c>
      <c r="S4282" t="str">
        <f>""</f>
        <v/>
      </c>
      <c r="T4282" t="s">
        <v>41</v>
      </c>
      <c r="U4282">
        <v>1149.68</v>
      </c>
      <c r="V4282">
        <v>1137.03</v>
      </c>
      <c r="W4282">
        <v>1137.03</v>
      </c>
      <c r="X4282">
        <v>0</v>
      </c>
      <c r="Y4282">
        <v>0</v>
      </c>
      <c r="Z4282">
        <v>-533</v>
      </c>
      <c r="AA4282">
        <v>692835</v>
      </c>
      <c r="AD4282" t="s">
        <v>3301</v>
      </c>
      <c r="AE4282" t="s">
        <v>2567</v>
      </c>
      <c r="AF4282" t="s">
        <v>3301</v>
      </c>
      <c r="AG4282" s="1" t="s">
        <v>11021</v>
      </c>
      <c r="AH4282" t="s">
        <v>44</v>
      </c>
    </row>
    <row r="4283" spans="1:34" x14ac:dyDescent="0.3">
      <c r="A4283">
        <v>101</v>
      </c>
      <c r="B4283" t="s">
        <v>34</v>
      </c>
      <c r="C4283">
        <v>2</v>
      </c>
      <c r="D4283" s="1" t="s">
        <v>11036</v>
      </c>
      <c r="E4283" s="1" t="s">
        <v>36</v>
      </c>
      <c r="G4283">
        <v>458933</v>
      </c>
      <c r="H4283" t="s">
        <v>11019</v>
      </c>
      <c r="I4283" t="s">
        <v>2413</v>
      </c>
      <c r="J4283">
        <v>30</v>
      </c>
      <c r="K4283">
        <v>2695</v>
      </c>
      <c r="L4283">
        <v>95000</v>
      </c>
      <c r="M4283" t="s">
        <v>69</v>
      </c>
      <c r="N4283">
        <v>691</v>
      </c>
      <c r="O4283" s="2">
        <v>46226</v>
      </c>
      <c r="P4283" s="2">
        <v>46337</v>
      </c>
      <c r="R4283" t="s">
        <v>11037</v>
      </c>
      <c r="S4283" t="str">
        <f>""</f>
        <v/>
      </c>
      <c r="T4283" t="s">
        <v>41</v>
      </c>
      <c r="U4283">
        <v>7016.18</v>
      </c>
      <c r="V4283">
        <v>6939</v>
      </c>
      <c r="W4283">
        <v>6939</v>
      </c>
      <c r="X4283">
        <v>0</v>
      </c>
      <c r="Y4283">
        <v>0</v>
      </c>
      <c r="Z4283">
        <v>-562</v>
      </c>
      <c r="AA4283">
        <v>695023</v>
      </c>
      <c r="AD4283" t="s">
        <v>3301</v>
      </c>
      <c r="AE4283" t="s">
        <v>2567</v>
      </c>
      <c r="AF4283" t="s">
        <v>3301</v>
      </c>
      <c r="AG4283" s="1" t="s">
        <v>11021</v>
      </c>
      <c r="AH4283" t="s">
        <v>44</v>
      </c>
    </row>
    <row r="4284" spans="1:34" x14ac:dyDescent="0.3">
      <c r="A4284">
        <v>101</v>
      </c>
      <c r="B4284" t="s">
        <v>34</v>
      </c>
      <c r="C4284">
        <v>2</v>
      </c>
      <c r="D4284" s="1" t="s">
        <v>11038</v>
      </c>
      <c r="E4284" s="1" t="s">
        <v>36</v>
      </c>
      <c r="G4284">
        <v>458934</v>
      </c>
      <c r="H4284" t="s">
        <v>11039</v>
      </c>
      <c r="I4284" t="s">
        <v>2413</v>
      </c>
      <c r="J4284">
        <v>30</v>
      </c>
      <c r="K4284">
        <v>2695</v>
      </c>
      <c r="L4284">
        <v>95000</v>
      </c>
      <c r="M4284" t="s">
        <v>69</v>
      </c>
      <c r="N4284">
        <v>691</v>
      </c>
      <c r="O4284" s="2">
        <v>46253</v>
      </c>
      <c r="P4284" s="2">
        <v>46343</v>
      </c>
      <c r="R4284" t="s">
        <v>11040</v>
      </c>
      <c r="S4284" t="str">
        <f>""</f>
        <v/>
      </c>
      <c r="T4284" t="s">
        <v>41</v>
      </c>
      <c r="U4284">
        <v>2653.5</v>
      </c>
      <c r="V4284">
        <v>2624.31</v>
      </c>
      <c r="W4284">
        <v>2624.31</v>
      </c>
      <c r="X4284">
        <v>0</v>
      </c>
      <c r="Y4284">
        <v>0</v>
      </c>
      <c r="Z4284">
        <v>-568</v>
      </c>
      <c r="AA4284">
        <v>697047</v>
      </c>
      <c r="AD4284" t="s">
        <v>64</v>
      </c>
      <c r="AE4284" t="s">
        <v>2567</v>
      </c>
      <c r="AF4284" t="s">
        <v>64</v>
      </c>
      <c r="AG4284" s="1" t="s">
        <v>11041</v>
      </c>
      <c r="AH4284" t="s">
        <v>44</v>
      </c>
    </row>
    <row r="4285" spans="1:34" x14ac:dyDescent="0.3">
      <c r="A4285">
        <v>101</v>
      </c>
      <c r="B4285" t="s">
        <v>34</v>
      </c>
      <c r="C4285">
        <v>2</v>
      </c>
      <c r="D4285" s="1" t="s">
        <v>11042</v>
      </c>
      <c r="E4285" s="1" t="s">
        <v>36</v>
      </c>
      <c r="G4285">
        <v>458934</v>
      </c>
      <c r="H4285" t="s">
        <v>11039</v>
      </c>
      <c r="I4285" t="s">
        <v>2413</v>
      </c>
      <c r="J4285">
        <v>30</v>
      </c>
      <c r="K4285">
        <v>2695</v>
      </c>
      <c r="L4285">
        <v>95000</v>
      </c>
      <c r="M4285" t="s">
        <v>69</v>
      </c>
      <c r="N4285">
        <v>691</v>
      </c>
      <c r="O4285" s="2">
        <v>46140</v>
      </c>
      <c r="P4285" s="2">
        <v>46276</v>
      </c>
      <c r="R4285" t="s">
        <v>11043</v>
      </c>
      <c r="S4285" t="str">
        <f>""</f>
        <v/>
      </c>
      <c r="T4285" t="s">
        <v>41</v>
      </c>
      <c r="U4285">
        <v>15242.55</v>
      </c>
      <c r="V4285">
        <v>15074.88</v>
      </c>
      <c r="W4285">
        <v>15074.88</v>
      </c>
      <c r="X4285">
        <v>0</v>
      </c>
      <c r="Y4285">
        <v>0</v>
      </c>
      <c r="Z4285">
        <v>-501</v>
      </c>
      <c r="AA4285">
        <v>686748</v>
      </c>
      <c r="AD4285" t="s">
        <v>64</v>
      </c>
      <c r="AE4285" t="s">
        <v>2567</v>
      </c>
      <c r="AF4285" t="s">
        <v>64</v>
      </c>
      <c r="AG4285" s="1" t="s">
        <v>11041</v>
      </c>
      <c r="AH4285" t="s">
        <v>44</v>
      </c>
    </row>
    <row r="4286" spans="1:34" x14ac:dyDescent="0.3">
      <c r="A4286">
        <v>101</v>
      </c>
      <c r="B4286" t="s">
        <v>34</v>
      </c>
      <c r="C4286">
        <v>2</v>
      </c>
      <c r="D4286" s="1" t="s">
        <v>11044</v>
      </c>
      <c r="E4286" s="1" t="s">
        <v>36</v>
      </c>
      <c r="G4286">
        <v>458934</v>
      </c>
      <c r="H4286" t="s">
        <v>11039</v>
      </c>
      <c r="I4286" t="s">
        <v>2413</v>
      </c>
      <c r="J4286">
        <v>30</v>
      </c>
      <c r="K4286">
        <v>2695</v>
      </c>
      <c r="L4286">
        <v>95000</v>
      </c>
      <c r="M4286" t="s">
        <v>69</v>
      </c>
      <c r="N4286">
        <v>691</v>
      </c>
      <c r="O4286" s="2">
        <v>46197</v>
      </c>
      <c r="P4286" s="2">
        <v>46308</v>
      </c>
      <c r="R4286" t="s">
        <v>11045</v>
      </c>
      <c r="S4286" t="str">
        <f>""</f>
        <v/>
      </c>
      <c r="T4286" t="s">
        <v>41</v>
      </c>
      <c r="U4286">
        <v>2765.12</v>
      </c>
      <c r="V4286">
        <v>2734.7</v>
      </c>
      <c r="W4286">
        <v>2734.7</v>
      </c>
      <c r="X4286">
        <v>0</v>
      </c>
      <c r="Y4286">
        <v>0</v>
      </c>
      <c r="Z4286">
        <v>-533</v>
      </c>
      <c r="AA4286">
        <v>692308</v>
      </c>
      <c r="AD4286" t="s">
        <v>64</v>
      </c>
      <c r="AE4286" t="s">
        <v>2567</v>
      </c>
      <c r="AF4286" t="s">
        <v>64</v>
      </c>
      <c r="AG4286" s="1" t="s">
        <v>11041</v>
      </c>
      <c r="AH4286" t="s">
        <v>44</v>
      </c>
    </row>
    <row r="4287" spans="1:34" x14ac:dyDescent="0.3">
      <c r="A4287">
        <v>101</v>
      </c>
      <c r="B4287" t="s">
        <v>34</v>
      </c>
      <c r="C4287">
        <v>2</v>
      </c>
      <c r="D4287" s="1" t="s">
        <v>11046</v>
      </c>
      <c r="E4287" s="1" t="s">
        <v>36</v>
      </c>
      <c r="G4287">
        <v>458934</v>
      </c>
      <c r="H4287" t="s">
        <v>11039</v>
      </c>
      <c r="I4287" t="s">
        <v>2413</v>
      </c>
      <c r="J4287">
        <v>30</v>
      </c>
      <c r="K4287">
        <v>2695</v>
      </c>
      <c r="L4287">
        <v>95000</v>
      </c>
      <c r="M4287" t="s">
        <v>69</v>
      </c>
      <c r="N4287">
        <v>691</v>
      </c>
      <c r="O4287" s="2">
        <v>46171</v>
      </c>
      <c r="P4287" s="2">
        <v>46276</v>
      </c>
      <c r="R4287" t="s">
        <v>11047</v>
      </c>
      <c r="S4287" t="str">
        <f>""</f>
        <v/>
      </c>
      <c r="T4287" t="s">
        <v>41</v>
      </c>
      <c r="U4287">
        <v>2846.4</v>
      </c>
      <c r="V4287">
        <v>2815.09</v>
      </c>
      <c r="W4287">
        <v>2815.09</v>
      </c>
      <c r="X4287">
        <v>0</v>
      </c>
      <c r="Y4287">
        <v>0</v>
      </c>
      <c r="Z4287">
        <v>-501</v>
      </c>
      <c r="AA4287">
        <v>689348</v>
      </c>
      <c r="AD4287" t="s">
        <v>64</v>
      </c>
      <c r="AE4287" t="s">
        <v>2567</v>
      </c>
      <c r="AF4287" t="s">
        <v>64</v>
      </c>
      <c r="AG4287" s="1" t="s">
        <v>11041</v>
      </c>
      <c r="AH4287" t="s">
        <v>44</v>
      </c>
    </row>
    <row r="4288" spans="1:34" x14ac:dyDescent="0.3">
      <c r="A4288">
        <v>101</v>
      </c>
      <c r="B4288" t="s">
        <v>34</v>
      </c>
      <c r="C4288">
        <v>2</v>
      </c>
      <c r="D4288" s="1" t="s">
        <v>11048</v>
      </c>
      <c r="E4288" s="1" t="s">
        <v>36</v>
      </c>
      <c r="G4288">
        <v>458934</v>
      </c>
      <c r="H4288" t="s">
        <v>11039</v>
      </c>
      <c r="I4288" t="s">
        <v>2413</v>
      </c>
      <c r="J4288">
        <v>30</v>
      </c>
      <c r="K4288">
        <v>2695</v>
      </c>
      <c r="L4288">
        <v>95000</v>
      </c>
      <c r="M4288" t="s">
        <v>69</v>
      </c>
      <c r="N4288">
        <v>691</v>
      </c>
      <c r="O4288" s="2">
        <v>46199</v>
      </c>
      <c r="P4288" s="2">
        <v>46308</v>
      </c>
      <c r="R4288" t="s">
        <v>11049</v>
      </c>
      <c r="S4288" t="str">
        <f>""</f>
        <v/>
      </c>
      <c r="T4288" t="s">
        <v>41</v>
      </c>
      <c r="U4288">
        <v>884.5</v>
      </c>
      <c r="V4288">
        <v>874.77</v>
      </c>
      <c r="W4288">
        <v>874.77</v>
      </c>
      <c r="X4288">
        <v>0</v>
      </c>
      <c r="Y4288">
        <v>0</v>
      </c>
      <c r="Z4288">
        <v>-533</v>
      </c>
      <c r="AA4288">
        <v>692592</v>
      </c>
      <c r="AD4288" t="s">
        <v>64</v>
      </c>
      <c r="AE4288" t="s">
        <v>2567</v>
      </c>
      <c r="AF4288" t="s">
        <v>64</v>
      </c>
      <c r="AG4288" s="1" t="s">
        <v>11041</v>
      </c>
      <c r="AH4288" t="s">
        <v>44</v>
      </c>
    </row>
    <row r="4289" spans="1:34" x14ac:dyDescent="0.3">
      <c r="A4289">
        <v>101</v>
      </c>
      <c r="B4289" t="s">
        <v>34</v>
      </c>
      <c r="C4289">
        <v>2</v>
      </c>
      <c r="D4289" s="1" t="s">
        <v>11050</v>
      </c>
      <c r="E4289" s="1" t="s">
        <v>36</v>
      </c>
      <c r="G4289">
        <v>458934</v>
      </c>
      <c r="H4289" t="s">
        <v>11039</v>
      </c>
      <c r="I4289" t="s">
        <v>2413</v>
      </c>
      <c r="J4289">
        <v>30</v>
      </c>
      <c r="K4289">
        <v>2695</v>
      </c>
      <c r="L4289">
        <v>95000</v>
      </c>
      <c r="M4289" t="s">
        <v>69</v>
      </c>
      <c r="N4289">
        <v>691</v>
      </c>
      <c r="O4289" s="2">
        <v>46170</v>
      </c>
      <c r="P4289" s="2">
        <v>46276</v>
      </c>
      <c r="R4289" t="s">
        <v>11051</v>
      </c>
      <c r="S4289" t="str">
        <f>""</f>
        <v/>
      </c>
      <c r="T4289" t="s">
        <v>41</v>
      </c>
      <c r="U4289">
        <v>2741</v>
      </c>
      <c r="V4289">
        <v>2710.85</v>
      </c>
      <c r="W4289">
        <v>2710.85</v>
      </c>
      <c r="X4289">
        <v>0</v>
      </c>
      <c r="Y4289">
        <v>0</v>
      </c>
      <c r="Z4289">
        <v>-501</v>
      </c>
      <c r="AA4289">
        <v>689547</v>
      </c>
      <c r="AD4289" t="s">
        <v>64</v>
      </c>
      <c r="AE4289" t="s">
        <v>2567</v>
      </c>
      <c r="AF4289" t="s">
        <v>64</v>
      </c>
      <c r="AG4289" s="1" t="s">
        <v>11041</v>
      </c>
      <c r="AH4289" t="s">
        <v>44</v>
      </c>
    </row>
    <row r="4290" spans="1:34" x14ac:dyDescent="0.3">
      <c r="A4290">
        <v>101</v>
      </c>
      <c r="B4290" t="s">
        <v>34</v>
      </c>
      <c r="C4290">
        <v>2</v>
      </c>
      <c r="D4290" s="1" t="s">
        <v>11052</v>
      </c>
      <c r="E4290" s="1" t="s">
        <v>36</v>
      </c>
      <c r="G4290">
        <v>458934</v>
      </c>
      <c r="H4290" t="s">
        <v>11039</v>
      </c>
      <c r="I4290" t="s">
        <v>2413</v>
      </c>
      <c r="J4290">
        <v>30</v>
      </c>
      <c r="K4290">
        <v>2695</v>
      </c>
      <c r="L4290">
        <v>95000</v>
      </c>
      <c r="M4290" t="s">
        <v>69</v>
      </c>
      <c r="N4290">
        <v>691</v>
      </c>
      <c r="O4290" s="2">
        <v>46226</v>
      </c>
      <c r="P4290" s="2">
        <v>46349</v>
      </c>
      <c r="R4290" t="s">
        <v>11053</v>
      </c>
      <c r="S4290" t="str">
        <f>""</f>
        <v/>
      </c>
      <c r="T4290" t="s">
        <v>41</v>
      </c>
      <c r="U4290">
        <v>8854.94</v>
      </c>
      <c r="V4290">
        <v>8757.5400000000009</v>
      </c>
      <c r="W4290">
        <v>8757.5400000000009</v>
      </c>
      <c r="X4290">
        <v>0</v>
      </c>
      <c r="Y4290">
        <v>0</v>
      </c>
      <c r="Z4290">
        <v>-574</v>
      </c>
      <c r="AA4290">
        <v>695027</v>
      </c>
      <c r="AD4290" t="s">
        <v>64</v>
      </c>
      <c r="AE4290" t="s">
        <v>2567</v>
      </c>
      <c r="AF4290" t="s">
        <v>64</v>
      </c>
      <c r="AG4290" s="1" t="s">
        <v>11041</v>
      </c>
      <c r="AH4290" t="s">
        <v>44</v>
      </c>
    </row>
    <row r="4291" spans="1:34" x14ac:dyDescent="0.3">
      <c r="A4291">
        <v>101</v>
      </c>
      <c r="B4291" t="s">
        <v>34</v>
      </c>
      <c r="C4291">
        <v>2</v>
      </c>
      <c r="D4291" s="1" t="s">
        <v>11054</v>
      </c>
      <c r="E4291" s="1" t="s">
        <v>36</v>
      </c>
      <c r="G4291">
        <v>458934</v>
      </c>
      <c r="H4291" t="s">
        <v>11039</v>
      </c>
      <c r="I4291" t="s">
        <v>2413</v>
      </c>
      <c r="J4291">
        <v>30</v>
      </c>
      <c r="K4291">
        <v>2695</v>
      </c>
      <c r="L4291">
        <v>95000</v>
      </c>
      <c r="M4291" t="s">
        <v>69</v>
      </c>
      <c r="N4291">
        <v>691</v>
      </c>
      <c r="O4291" s="2">
        <v>46170</v>
      </c>
      <c r="P4291" s="2">
        <v>46276</v>
      </c>
      <c r="R4291" t="s">
        <v>11055</v>
      </c>
      <c r="S4291" t="str">
        <f>""</f>
        <v/>
      </c>
      <c r="T4291" t="s">
        <v>41</v>
      </c>
      <c r="U4291">
        <v>7897.22</v>
      </c>
      <c r="V4291">
        <v>7810.35</v>
      </c>
      <c r="W4291">
        <v>7810.35</v>
      </c>
      <c r="X4291">
        <v>0</v>
      </c>
      <c r="Y4291">
        <v>0</v>
      </c>
      <c r="Z4291">
        <v>-501</v>
      </c>
      <c r="AA4291">
        <v>689348</v>
      </c>
      <c r="AD4291" t="s">
        <v>64</v>
      </c>
      <c r="AE4291" t="s">
        <v>2567</v>
      </c>
      <c r="AF4291" t="s">
        <v>64</v>
      </c>
      <c r="AG4291" s="1" t="s">
        <v>11041</v>
      </c>
      <c r="AH4291" t="s">
        <v>44</v>
      </c>
    </row>
    <row r="4292" spans="1:34" x14ac:dyDescent="0.3">
      <c r="A4292">
        <v>101</v>
      </c>
      <c r="B4292" t="s">
        <v>34</v>
      </c>
      <c r="C4292">
        <v>2</v>
      </c>
      <c r="D4292" s="1" t="s">
        <v>11056</v>
      </c>
      <c r="E4292" s="1" t="s">
        <v>36</v>
      </c>
      <c r="G4292">
        <v>458934</v>
      </c>
      <c r="H4292" t="s">
        <v>11039</v>
      </c>
      <c r="I4292" t="s">
        <v>2413</v>
      </c>
      <c r="J4292">
        <v>30</v>
      </c>
      <c r="K4292">
        <v>2695</v>
      </c>
      <c r="L4292">
        <v>95000</v>
      </c>
      <c r="M4292" t="s">
        <v>69</v>
      </c>
      <c r="N4292">
        <v>691</v>
      </c>
      <c r="O4292" s="2">
        <v>46140</v>
      </c>
      <c r="P4292" s="2">
        <v>46276</v>
      </c>
      <c r="R4292" t="s">
        <v>11057</v>
      </c>
      <c r="S4292" t="str">
        <f>""</f>
        <v/>
      </c>
      <c r="T4292" t="s">
        <v>41</v>
      </c>
      <c r="U4292">
        <v>4324.42</v>
      </c>
      <c r="V4292">
        <v>4276.8500000000004</v>
      </c>
      <c r="W4292">
        <v>4276.8500000000004</v>
      </c>
      <c r="X4292">
        <v>0</v>
      </c>
      <c r="Y4292">
        <v>0</v>
      </c>
      <c r="Z4292">
        <v>-501</v>
      </c>
      <c r="AA4292">
        <v>686963</v>
      </c>
      <c r="AD4292" t="s">
        <v>64</v>
      </c>
      <c r="AE4292" t="s">
        <v>2567</v>
      </c>
      <c r="AF4292" t="s">
        <v>64</v>
      </c>
      <c r="AG4292" s="1" t="s">
        <v>11041</v>
      </c>
      <c r="AH4292" t="s">
        <v>44</v>
      </c>
    </row>
    <row r="4293" spans="1:34" x14ac:dyDescent="0.3">
      <c r="A4293">
        <v>101</v>
      </c>
      <c r="B4293" t="s">
        <v>34</v>
      </c>
      <c r="C4293">
        <v>2</v>
      </c>
      <c r="D4293" s="1" t="s">
        <v>11058</v>
      </c>
      <c r="E4293" s="1" t="s">
        <v>36</v>
      </c>
      <c r="G4293">
        <v>458934</v>
      </c>
      <c r="H4293" t="s">
        <v>11039</v>
      </c>
      <c r="I4293" t="s">
        <v>2413</v>
      </c>
      <c r="J4293">
        <v>30</v>
      </c>
      <c r="K4293">
        <v>2695</v>
      </c>
      <c r="L4293">
        <v>95000</v>
      </c>
      <c r="M4293" t="s">
        <v>69</v>
      </c>
      <c r="N4293">
        <v>691</v>
      </c>
      <c r="O4293" s="2">
        <v>46140</v>
      </c>
      <c r="P4293" s="2">
        <v>46276</v>
      </c>
      <c r="R4293" t="s">
        <v>11059</v>
      </c>
      <c r="S4293" t="str">
        <f>""</f>
        <v/>
      </c>
      <c r="T4293" t="s">
        <v>41</v>
      </c>
      <c r="U4293">
        <v>134.31</v>
      </c>
      <c r="V4293">
        <v>132.83000000000001</v>
      </c>
      <c r="W4293">
        <v>132.83000000000001</v>
      </c>
      <c r="X4293">
        <v>0</v>
      </c>
      <c r="Y4293">
        <v>0</v>
      </c>
      <c r="Z4293">
        <v>-501</v>
      </c>
      <c r="AA4293">
        <v>686817</v>
      </c>
      <c r="AD4293" t="s">
        <v>64</v>
      </c>
      <c r="AE4293" t="s">
        <v>2567</v>
      </c>
      <c r="AF4293" t="s">
        <v>64</v>
      </c>
      <c r="AG4293" s="1" t="s">
        <v>11041</v>
      </c>
      <c r="AH4293" t="s">
        <v>44</v>
      </c>
    </row>
    <row r="4294" spans="1:34" x14ac:dyDescent="0.3">
      <c r="A4294">
        <v>101</v>
      </c>
      <c r="B4294" t="s">
        <v>34</v>
      </c>
      <c r="C4294">
        <v>2</v>
      </c>
      <c r="D4294" s="1" t="s">
        <v>11060</v>
      </c>
      <c r="E4294" s="1" t="s">
        <v>36</v>
      </c>
      <c r="G4294">
        <v>458934</v>
      </c>
      <c r="H4294" t="s">
        <v>11039</v>
      </c>
      <c r="I4294" t="s">
        <v>2413</v>
      </c>
      <c r="J4294">
        <v>30</v>
      </c>
      <c r="K4294">
        <v>2695</v>
      </c>
      <c r="L4294">
        <v>95000</v>
      </c>
      <c r="M4294" t="s">
        <v>69</v>
      </c>
      <c r="N4294">
        <v>691</v>
      </c>
      <c r="O4294" s="2">
        <v>46239</v>
      </c>
      <c r="P4294" s="2">
        <v>46349</v>
      </c>
      <c r="R4294" t="s">
        <v>11061</v>
      </c>
      <c r="S4294" t="str">
        <f>""</f>
        <v/>
      </c>
      <c r="T4294" t="s">
        <v>41</v>
      </c>
      <c r="U4294">
        <v>3765.27</v>
      </c>
      <c r="V4294">
        <v>3723.85</v>
      </c>
      <c r="W4294">
        <v>3723.85</v>
      </c>
      <c r="X4294">
        <v>0</v>
      </c>
      <c r="Y4294">
        <v>0</v>
      </c>
      <c r="Z4294">
        <v>-574</v>
      </c>
      <c r="AA4294">
        <v>696271</v>
      </c>
      <c r="AD4294" t="s">
        <v>64</v>
      </c>
      <c r="AE4294" t="s">
        <v>2567</v>
      </c>
      <c r="AF4294" t="s">
        <v>64</v>
      </c>
      <c r="AG4294" s="1" t="s">
        <v>11041</v>
      </c>
      <c r="AH4294" t="s">
        <v>44</v>
      </c>
    </row>
    <row r="4295" spans="1:34" x14ac:dyDescent="0.3">
      <c r="A4295">
        <v>101</v>
      </c>
      <c r="B4295" t="s">
        <v>34</v>
      </c>
      <c r="C4295">
        <v>2</v>
      </c>
      <c r="D4295" s="1" t="s">
        <v>11062</v>
      </c>
      <c r="E4295" s="1" t="s">
        <v>36</v>
      </c>
      <c r="G4295">
        <v>458935</v>
      </c>
      <c r="H4295" t="s">
        <v>11063</v>
      </c>
      <c r="I4295" t="s">
        <v>2413</v>
      </c>
      <c r="J4295">
        <v>30</v>
      </c>
      <c r="K4295">
        <v>2695</v>
      </c>
      <c r="L4295">
        <v>95000</v>
      </c>
      <c r="M4295" t="s">
        <v>69</v>
      </c>
      <c r="N4295">
        <v>691</v>
      </c>
      <c r="O4295" s="2">
        <v>46198</v>
      </c>
      <c r="P4295" s="2">
        <v>46308</v>
      </c>
      <c r="R4295" t="s">
        <v>11064</v>
      </c>
      <c r="S4295" t="str">
        <f>""</f>
        <v/>
      </c>
      <c r="T4295" t="s">
        <v>41</v>
      </c>
      <c r="U4295">
        <v>15145.38</v>
      </c>
      <c r="V4295">
        <v>14978.78</v>
      </c>
      <c r="W4295">
        <v>14978.78</v>
      </c>
      <c r="X4295">
        <v>0</v>
      </c>
      <c r="Y4295">
        <v>0</v>
      </c>
      <c r="Z4295">
        <v>-533</v>
      </c>
      <c r="AA4295">
        <v>692316</v>
      </c>
      <c r="AD4295" t="s">
        <v>3337</v>
      </c>
      <c r="AE4295" t="s">
        <v>2567</v>
      </c>
      <c r="AF4295" t="s">
        <v>3337</v>
      </c>
      <c r="AG4295" s="1" t="s">
        <v>11065</v>
      </c>
      <c r="AH4295" t="s">
        <v>44</v>
      </c>
    </row>
    <row r="4296" spans="1:34" x14ac:dyDescent="0.3">
      <c r="A4296">
        <v>101</v>
      </c>
      <c r="B4296" t="s">
        <v>34</v>
      </c>
      <c r="C4296">
        <v>2</v>
      </c>
      <c r="D4296" s="1" t="s">
        <v>11066</v>
      </c>
      <c r="E4296" s="1" t="s">
        <v>36</v>
      </c>
      <c r="G4296">
        <v>458935</v>
      </c>
      <c r="H4296" t="s">
        <v>11063</v>
      </c>
      <c r="I4296" t="s">
        <v>2413</v>
      </c>
      <c r="J4296">
        <v>30</v>
      </c>
      <c r="K4296">
        <v>2695</v>
      </c>
      <c r="L4296">
        <v>95000</v>
      </c>
      <c r="M4296" t="s">
        <v>69</v>
      </c>
      <c r="N4296">
        <v>691</v>
      </c>
      <c r="O4296" s="2">
        <v>46235</v>
      </c>
      <c r="P4296" s="2">
        <v>46325</v>
      </c>
      <c r="R4296" t="s">
        <v>11067</v>
      </c>
      <c r="S4296" t="str">
        <f>""</f>
        <v/>
      </c>
      <c r="T4296" t="s">
        <v>41</v>
      </c>
      <c r="U4296">
        <v>13871.49</v>
      </c>
      <c r="V4296">
        <v>13718.9</v>
      </c>
      <c r="W4296">
        <v>13718.9</v>
      </c>
      <c r="X4296">
        <v>0</v>
      </c>
      <c r="Y4296">
        <v>0</v>
      </c>
      <c r="Z4296">
        <v>-550</v>
      </c>
      <c r="AA4296">
        <v>695043</v>
      </c>
      <c r="AD4296" t="s">
        <v>3337</v>
      </c>
      <c r="AE4296" t="s">
        <v>2567</v>
      </c>
      <c r="AF4296" t="s">
        <v>3337</v>
      </c>
      <c r="AG4296" s="1" t="s">
        <v>11065</v>
      </c>
      <c r="AH4296" t="s">
        <v>44</v>
      </c>
    </row>
    <row r="4297" spans="1:34" x14ac:dyDescent="0.3">
      <c r="A4297">
        <v>101</v>
      </c>
      <c r="B4297" t="s">
        <v>34</v>
      </c>
      <c r="C4297">
        <v>2</v>
      </c>
      <c r="D4297" s="1" t="s">
        <v>11068</v>
      </c>
      <c r="E4297" s="1" t="s">
        <v>36</v>
      </c>
      <c r="G4297">
        <v>458935</v>
      </c>
      <c r="H4297" t="s">
        <v>11063</v>
      </c>
      <c r="I4297" t="s">
        <v>2413</v>
      </c>
      <c r="J4297">
        <v>30</v>
      </c>
      <c r="K4297">
        <v>2695</v>
      </c>
      <c r="L4297">
        <v>95000</v>
      </c>
      <c r="M4297" t="s">
        <v>69</v>
      </c>
      <c r="N4297">
        <v>691</v>
      </c>
      <c r="O4297" s="2">
        <v>46198</v>
      </c>
      <c r="P4297" s="2">
        <v>46308</v>
      </c>
      <c r="R4297" t="s">
        <v>11069</v>
      </c>
      <c r="S4297" t="str">
        <f>""</f>
        <v/>
      </c>
      <c r="T4297" t="s">
        <v>41</v>
      </c>
      <c r="U4297">
        <v>1326.75</v>
      </c>
      <c r="V4297">
        <v>1312.16</v>
      </c>
      <c r="W4297">
        <v>1312.16</v>
      </c>
      <c r="X4297">
        <v>0</v>
      </c>
      <c r="Y4297">
        <v>0</v>
      </c>
      <c r="Z4297">
        <v>-533</v>
      </c>
      <c r="AA4297">
        <v>692608</v>
      </c>
      <c r="AD4297" t="s">
        <v>3337</v>
      </c>
      <c r="AE4297" t="s">
        <v>2567</v>
      </c>
      <c r="AF4297" t="s">
        <v>3337</v>
      </c>
      <c r="AG4297" s="1" t="s">
        <v>11065</v>
      </c>
      <c r="AH4297" t="s">
        <v>44</v>
      </c>
    </row>
    <row r="4298" spans="1:34" x14ac:dyDescent="0.3">
      <c r="A4298">
        <v>101</v>
      </c>
      <c r="B4298" t="s">
        <v>34</v>
      </c>
      <c r="C4298">
        <v>2</v>
      </c>
      <c r="D4298" s="1" t="s">
        <v>11070</v>
      </c>
      <c r="E4298" s="1" t="s">
        <v>36</v>
      </c>
      <c r="G4298">
        <v>458935</v>
      </c>
      <c r="H4298" t="s">
        <v>11063</v>
      </c>
      <c r="I4298" t="s">
        <v>2413</v>
      </c>
      <c r="J4298">
        <v>30</v>
      </c>
      <c r="K4298">
        <v>2695</v>
      </c>
      <c r="L4298">
        <v>95000</v>
      </c>
      <c r="M4298" t="s">
        <v>69</v>
      </c>
      <c r="N4298">
        <v>691</v>
      </c>
      <c r="O4298" s="2">
        <v>46170</v>
      </c>
      <c r="P4298" s="2">
        <v>46286</v>
      </c>
      <c r="R4298" t="s">
        <v>11071</v>
      </c>
      <c r="S4298" t="str">
        <f>""</f>
        <v/>
      </c>
      <c r="T4298" t="s">
        <v>41</v>
      </c>
      <c r="U4298">
        <v>10727.46</v>
      </c>
      <c r="V4298">
        <v>10609.46</v>
      </c>
      <c r="W4298">
        <v>10609.46</v>
      </c>
      <c r="X4298">
        <v>0</v>
      </c>
      <c r="Y4298">
        <v>0</v>
      </c>
      <c r="Z4298">
        <v>-511</v>
      </c>
      <c r="AA4298">
        <v>689356</v>
      </c>
      <c r="AD4298" t="s">
        <v>3337</v>
      </c>
      <c r="AE4298" t="s">
        <v>2567</v>
      </c>
      <c r="AF4298" t="s">
        <v>3337</v>
      </c>
      <c r="AG4298" s="1" t="s">
        <v>11065</v>
      </c>
      <c r="AH4298" t="s">
        <v>44</v>
      </c>
    </row>
    <row r="4299" spans="1:34" x14ac:dyDescent="0.3">
      <c r="A4299">
        <v>101</v>
      </c>
      <c r="B4299" t="s">
        <v>34</v>
      </c>
      <c r="C4299">
        <v>2</v>
      </c>
      <c r="D4299" s="1" t="s">
        <v>11072</v>
      </c>
      <c r="E4299" s="1" t="s">
        <v>36</v>
      </c>
      <c r="G4299">
        <v>458935</v>
      </c>
      <c r="H4299" t="s">
        <v>11063</v>
      </c>
      <c r="I4299" t="s">
        <v>2413</v>
      </c>
      <c r="J4299">
        <v>30</v>
      </c>
      <c r="K4299">
        <v>2695</v>
      </c>
      <c r="L4299">
        <v>95000</v>
      </c>
      <c r="M4299" t="s">
        <v>69</v>
      </c>
      <c r="N4299">
        <v>691</v>
      </c>
      <c r="O4299" s="2">
        <v>46185</v>
      </c>
      <c r="P4299" s="2">
        <v>46286</v>
      </c>
      <c r="R4299" t="s">
        <v>11073</v>
      </c>
      <c r="S4299" t="str">
        <f>""</f>
        <v/>
      </c>
      <c r="T4299" t="s">
        <v>41</v>
      </c>
      <c r="U4299">
        <v>2134.8000000000002</v>
      </c>
      <c r="V4299">
        <v>2111.3200000000002</v>
      </c>
      <c r="W4299">
        <v>2111.3200000000002</v>
      </c>
      <c r="X4299">
        <v>0</v>
      </c>
      <c r="Y4299">
        <v>0</v>
      </c>
      <c r="Z4299">
        <v>-511</v>
      </c>
      <c r="AA4299">
        <v>689356</v>
      </c>
      <c r="AD4299" t="s">
        <v>3337</v>
      </c>
      <c r="AE4299" t="s">
        <v>2567</v>
      </c>
      <c r="AF4299" t="s">
        <v>3337</v>
      </c>
      <c r="AG4299" s="1" t="s">
        <v>11065</v>
      </c>
      <c r="AH4299" t="s">
        <v>44</v>
      </c>
    </row>
    <row r="4300" spans="1:34" x14ac:dyDescent="0.3">
      <c r="A4300">
        <v>101</v>
      </c>
      <c r="B4300" t="s">
        <v>34</v>
      </c>
      <c r="C4300">
        <v>2</v>
      </c>
      <c r="D4300" s="1" t="s">
        <v>11074</v>
      </c>
      <c r="E4300" s="1" t="s">
        <v>36</v>
      </c>
      <c r="G4300">
        <v>458935</v>
      </c>
      <c r="H4300" t="s">
        <v>11063</v>
      </c>
      <c r="I4300" t="s">
        <v>2413</v>
      </c>
      <c r="J4300">
        <v>30</v>
      </c>
      <c r="K4300">
        <v>2695</v>
      </c>
      <c r="L4300">
        <v>95000</v>
      </c>
      <c r="M4300" t="s">
        <v>69</v>
      </c>
      <c r="N4300">
        <v>691</v>
      </c>
      <c r="O4300" s="2">
        <v>46141</v>
      </c>
      <c r="P4300" s="2">
        <v>46255</v>
      </c>
      <c r="R4300" t="s">
        <v>11075</v>
      </c>
      <c r="S4300" t="str">
        <f>""</f>
        <v/>
      </c>
      <c r="T4300" t="s">
        <v>41</v>
      </c>
      <c r="U4300">
        <v>4324.42</v>
      </c>
      <c r="V4300">
        <v>4276.8500000000004</v>
      </c>
      <c r="W4300">
        <v>4276.8500000000004</v>
      </c>
      <c r="X4300">
        <v>0</v>
      </c>
      <c r="Y4300">
        <v>0</v>
      </c>
      <c r="Z4300">
        <v>-480</v>
      </c>
      <c r="AA4300">
        <v>686967</v>
      </c>
      <c r="AD4300" t="s">
        <v>3337</v>
      </c>
      <c r="AE4300" t="s">
        <v>2567</v>
      </c>
      <c r="AF4300" t="s">
        <v>3337</v>
      </c>
      <c r="AG4300" s="1" t="s">
        <v>11065</v>
      </c>
      <c r="AH4300" t="s">
        <v>44</v>
      </c>
    </row>
    <row r="4301" spans="1:34" x14ac:dyDescent="0.3">
      <c r="A4301">
        <v>101</v>
      </c>
      <c r="B4301" t="s">
        <v>34</v>
      </c>
      <c r="C4301">
        <v>2</v>
      </c>
      <c r="D4301" s="1" t="s">
        <v>11076</v>
      </c>
      <c r="E4301" s="1" t="s">
        <v>36</v>
      </c>
      <c r="G4301">
        <v>458935</v>
      </c>
      <c r="H4301" t="s">
        <v>11063</v>
      </c>
      <c r="I4301" t="s">
        <v>2413</v>
      </c>
      <c r="J4301">
        <v>30</v>
      </c>
      <c r="K4301">
        <v>2695</v>
      </c>
      <c r="L4301">
        <v>95000</v>
      </c>
      <c r="M4301" t="s">
        <v>69</v>
      </c>
      <c r="N4301">
        <v>691</v>
      </c>
      <c r="O4301" s="2">
        <v>46141</v>
      </c>
      <c r="P4301" s="2">
        <v>46255</v>
      </c>
      <c r="R4301" t="s">
        <v>11077</v>
      </c>
      <c r="S4301" t="str">
        <f>""</f>
        <v/>
      </c>
      <c r="T4301" t="s">
        <v>41</v>
      </c>
      <c r="U4301">
        <v>1348.01</v>
      </c>
      <c r="V4301">
        <v>1333.18</v>
      </c>
      <c r="W4301">
        <v>1333.18</v>
      </c>
      <c r="X4301">
        <v>0</v>
      </c>
      <c r="Y4301">
        <v>0</v>
      </c>
      <c r="Z4301">
        <v>-480</v>
      </c>
      <c r="AA4301">
        <v>686821</v>
      </c>
      <c r="AD4301" t="s">
        <v>3337</v>
      </c>
      <c r="AE4301" t="s">
        <v>2567</v>
      </c>
      <c r="AF4301" t="s">
        <v>3337</v>
      </c>
      <c r="AG4301" s="1" t="s">
        <v>11065</v>
      </c>
      <c r="AH4301" t="s">
        <v>44</v>
      </c>
    </row>
    <row r="4302" spans="1:34" x14ac:dyDescent="0.3">
      <c r="A4302">
        <v>101</v>
      </c>
      <c r="B4302" t="s">
        <v>34</v>
      </c>
      <c r="C4302">
        <v>2</v>
      </c>
      <c r="D4302" s="1" t="s">
        <v>11078</v>
      </c>
      <c r="E4302" s="1" t="s">
        <v>36</v>
      </c>
      <c r="G4302">
        <v>458935</v>
      </c>
      <c r="H4302" t="s">
        <v>11063</v>
      </c>
      <c r="I4302" t="s">
        <v>2413</v>
      </c>
      <c r="J4302">
        <v>30</v>
      </c>
      <c r="K4302">
        <v>2695</v>
      </c>
      <c r="L4302">
        <v>95000</v>
      </c>
      <c r="M4302" t="s">
        <v>69</v>
      </c>
      <c r="N4302">
        <v>691</v>
      </c>
      <c r="O4302" s="2">
        <v>46141</v>
      </c>
      <c r="P4302" s="2">
        <v>46255</v>
      </c>
      <c r="R4302" t="s">
        <v>11079</v>
      </c>
      <c r="S4302" t="str">
        <f>""</f>
        <v/>
      </c>
      <c r="T4302" t="s">
        <v>41</v>
      </c>
      <c r="U4302">
        <v>19180.27</v>
      </c>
      <c r="V4302">
        <v>18969.29</v>
      </c>
      <c r="W4302">
        <v>18969.29</v>
      </c>
      <c r="X4302">
        <v>0</v>
      </c>
      <c r="Y4302">
        <v>0</v>
      </c>
      <c r="Z4302">
        <v>-480</v>
      </c>
      <c r="AA4302">
        <v>686756</v>
      </c>
      <c r="AD4302" t="s">
        <v>3337</v>
      </c>
      <c r="AE4302" t="s">
        <v>2567</v>
      </c>
      <c r="AF4302" t="s">
        <v>3337</v>
      </c>
      <c r="AG4302" s="1" t="s">
        <v>11065</v>
      </c>
      <c r="AH4302" t="s">
        <v>44</v>
      </c>
    </row>
    <row r="4303" spans="1:34" x14ac:dyDescent="0.3">
      <c r="A4303">
        <v>101</v>
      </c>
      <c r="B4303" t="s">
        <v>34</v>
      </c>
      <c r="C4303">
        <v>2</v>
      </c>
      <c r="D4303" s="1" t="s">
        <v>11080</v>
      </c>
      <c r="E4303" s="1" t="s">
        <v>36</v>
      </c>
      <c r="G4303">
        <v>458935</v>
      </c>
      <c r="H4303" t="s">
        <v>11063</v>
      </c>
      <c r="I4303" t="s">
        <v>2413</v>
      </c>
      <c r="J4303">
        <v>30</v>
      </c>
      <c r="K4303">
        <v>2695</v>
      </c>
      <c r="L4303">
        <v>95000</v>
      </c>
      <c r="M4303" t="s">
        <v>69</v>
      </c>
      <c r="N4303">
        <v>691</v>
      </c>
      <c r="O4303" s="2">
        <v>46253</v>
      </c>
      <c r="P4303" s="2">
        <v>46343</v>
      </c>
      <c r="R4303" t="s">
        <v>11081</v>
      </c>
      <c r="S4303" t="str">
        <f>""</f>
        <v/>
      </c>
      <c r="T4303" t="s">
        <v>41</v>
      </c>
      <c r="U4303">
        <v>3538</v>
      </c>
      <c r="V4303">
        <v>3499.08</v>
      </c>
      <c r="W4303">
        <v>3499.08</v>
      </c>
      <c r="X4303">
        <v>0</v>
      </c>
      <c r="Y4303">
        <v>0</v>
      </c>
      <c r="Z4303">
        <v>-568</v>
      </c>
      <c r="AA4303">
        <v>697063</v>
      </c>
      <c r="AD4303" t="s">
        <v>3337</v>
      </c>
      <c r="AE4303" t="s">
        <v>2567</v>
      </c>
      <c r="AF4303" t="s">
        <v>3337</v>
      </c>
      <c r="AG4303" s="1" t="s">
        <v>11065</v>
      </c>
      <c r="AH4303" t="s">
        <v>44</v>
      </c>
    </row>
    <row r="4304" spans="1:34" x14ac:dyDescent="0.3">
      <c r="A4304">
        <v>101</v>
      </c>
      <c r="B4304" t="s">
        <v>34</v>
      </c>
      <c r="C4304">
        <v>2</v>
      </c>
      <c r="D4304" s="1" t="s">
        <v>11082</v>
      </c>
      <c r="E4304" s="1" t="s">
        <v>36</v>
      </c>
      <c r="G4304">
        <v>458936</v>
      </c>
      <c r="H4304" t="s">
        <v>11083</v>
      </c>
      <c r="I4304" t="s">
        <v>2413</v>
      </c>
      <c r="J4304">
        <v>30</v>
      </c>
      <c r="K4304">
        <v>2695</v>
      </c>
      <c r="L4304">
        <v>95000</v>
      </c>
      <c r="M4304" t="s">
        <v>69</v>
      </c>
      <c r="N4304">
        <v>691</v>
      </c>
      <c r="O4304" s="2">
        <v>46226</v>
      </c>
      <c r="P4304" s="2">
        <v>46316</v>
      </c>
      <c r="R4304" t="s">
        <v>11084</v>
      </c>
      <c r="S4304" t="str">
        <f>""</f>
        <v/>
      </c>
      <c r="T4304" t="s">
        <v>41</v>
      </c>
      <c r="U4304">
        <v>24091.8</v>
      </c>
      <c r="V4304">
        <v>23826.79</v>
      </c>
      <c r="W4304">
        <v>23826.79</v>
      </c>
      <c r="X4304">
        <v>0</v>
      </c>
      <c r="Y4304">
        <v>0</v>
      </c>
      <c r="Z4304">
        <v>-541</v>
      </c>
      <c r="AA4304">
        <v>695047</v>
      </c>
      <c r="AD4304" t="s">
        <v>2859</v>
      </c>
      <c r="AE4304" t="s">
        <v>2567</v>
      </c>
      <c r="AF4304" t="s">
        <v>2859</v>
      </c>
      <c r="AG4304" s="1" t="s">
        <v>11085</v>
      </c>
      <c r="AH4304" t="s">
        <v>44</v>
      </c>
    </row>
    <row r="4305" spans="1:34" x14ac:dyDescent="0.3">
      <c r="A4305">
        <v>101</v>
      </c>
      <c r="B4305" t="s">
        <v>34</v>
      </c>
      <c r="C4305">
        <v>2</v>
      </c>
      <c r="D4305" s="1" t="s">
        <v>11086</v>
      </c>
      <c r="E4305" s="1" t="s">
        <v>36</v>
      </c>
      <c r="G4305">
        <v>458936</v>
      </c>
      <c r="H4305" t="s">
        <v>11083</v>
      </c>
      <c r="I4305" t="s">
        <v>2413</v>
      </c>
      <c r="J4305">
        <v>30</v>
      </c>
      <c r="K4305">
        <v>2695</v>
      </c>
      <c r="L4305">
        <v>95000</v>
      </c>
      <c r="M4305" t="s">
        <v>69</v>
      </c>
      <c r="N4305">
        <v>691</v>
      </c>
      <c r="O4305" s="2">
        <v>46198</v>
      </c>
      <c r="P4305" s="2">
        <v>46329</v>
      </c>
      <c r="R4305" t="s">
        <v>11087</v>
      </c>
      <c r="S4305" t="str">
        <f>""</f>
        <v/>
      </c>
      <c r="T4305" t="s">
        <v>41</v>
      </c>
      <c r="U4305">
        <v>41126.5</v>
      </c>
      <c r="V4305">
        <v>40674.11</v>
      </c>
      <c r="W4305">
        <v>40674.11</v>
      </c>
      <c r="X4305">
        <v>0</v>
      </c>
      <c r="Y4305">
        <v>0</v>
      </c>
      <c r="Z4305">
        <v>-554</v>
      </c>
      <c r="AA4305">
        <v>692212</v>
      </c>
      <c r="AD4305" t="s">
        <v>2859</v>
      </c>
      <c r="AE4305" t="s">
        <v>2567</v>
      </c>
      <c r="AF4305" t="s">
        <v>2859</v>
      </c>
      <c r="AG4305" s="1" t="s">
        <v>11085</v>
      </c>
      <c r="AH4305" t="s">
        <v>44</v>
      </c>
    </row>
    <row r="4306" spans="1:34" x14ac:dyDescent="0.3">
      <c r="A4306">
        <v>101</v>
      </c>
      <c r="B4306" t="s">
        <v>34</v>
      </c>
      <c r="C4306">
        <v>2</v>
      </c>
      <c r="D4306" s="1" t="s">
        <v>11088</v>
      </c>
      <c r="E4306" s="1" t="s">
        <v>36</v>
      </c>
      <c r="G4306">
        <v>458936</v>
      </c>
      <c r="H4306" t="s">
        <v>11083</v>
      </c>
      <c r="I4306" t="s">
        <v>2413</v>
      </c>
      <c r="J4306">
        <v>30</v>
      </c>
      <c r="K4306">
        <v>2695</v>
      </c>
      <c r="L4306">
        <v>95000</v>
      </c>
      <c r="M4306" t="s">
        <v>69</v>
      </c>
      <c r="N4306">
        <v>691</v>
      </c>
      <c r="O4306" s="2">
        <v>46141</v>
      </c>
      <c r="P4306" s="2">
        <v>46266</v>
      </c>
      <c r="R4306" t="s">
        <v>11089</v>
      </c>
      <c r="S4306" t="str">
        <f>""</f>
        <v/>
      </c>
      <c r="T4306" t="s">
        <v>41</v>
      </c>
      <c r="U4306">
        <v>12958.41</v>
      </c>
      <c r="V4306">
        <v>12815.87</v>
      </c>
      <c r="W4306">
        <v>12815.87</v>
      </c>
      <c r="X4306">
        <v>0</v>
      </c>
      <c r="Y4306">
        <v>0</v>
      </c>
      <c r="Z4306">
        <v>-491</v>
      </c>
      <c r="AA4306">
        <v>686649</v>
      </c>
      <c r="AD4306" t="s">
        <v>2859</v>
      </c>
      <c r="AE4306" t="s">
        <v>2567</v>
      </c>
      <c r="AF4306" t="s">
        <v>2859</v>
      </c>
      <c r="AG4306" s="1" t="s">
        <v>11085</v>
      </c>
      <c r="AH4306" t="s">
        <v>44</v>
      </c>
    </row>
    <row r="4307" spans="1:34" x14ac:dyDescent="0.3">
      <c r="A4307">
        <v>101</v>
      </c>
      <c r="B4307" t="s">
        <v>34</v>
      </c>
      <c r="C4307">
        <v>2</v>
      </c>
      <c r="D4307" s="1" t="s">
        <v>11090</v>
      </c>
      <c r="E4307" s="1" t="s">
        <v>36</v>
      </c>
      <c r="G4307">
        <v>458936</v>
      </c>
      <c r="H4307" t="s">
        <v>11083</v>
      </c>
      <c r="I4307" t="s">
        <v>2413</v>
      </c>
      <c r="J4307">
        <v>30</v>
      </c>
      <c r="K4307">
        <v>2695</v>
      </c>
      <c r="L4307">
        <v>95000</v>
      </c>
      <c r="M4307" t="s">
        <v>69</v>
      </c>
      <c r="N4307">
        <v>691</v>
      </c>
      <c r="O4307" s="2">
        <v>46172</v>
      </c>
      <c r="P4307" s="2">
        <v>46296</v>
      </c>
      <c r="R4307" t="s">
        <v>11091</v>
      </c>
      <c r="S4307" t="str">
        <f>""</f>
        <v/>
      </c>
      <c r="T4307" t="s">
        <v>41</v>
      </c>
      <c r="U4307">
        <v>29934.05</v>
      </c>
      <c r="V4307">
        <v>29604.78</v>
      </c>
      <c r="W4307">
        <v>29604.78</v>
      </c>
      <c r="X4307">
        <v>0</v>
      </c>
      <c r="Y4307">
        <v>0</v>
      </c>
      <c r="Z4307">
        <v>-521</v>
      </c>
      <c r="AA4307">
        <v>689250</v>
      </c>
      <c r="AD4307" t="s">
        <v>2859</v>
      </c>
      <c r="AE4307" t="s">
        <v>2567</v>
      </c>
      <c r="AF4307" t="s">
        <v>2859</v>
      </c>
      <c r="AG4307" s="1" t="s">
        <v>11085</v>
      </c>
      <c r="AH4307" t="s">
        <v>44</v>
      </c>
    </row>
    <row r="4308" spans="1:34" x14ac:dyDescent="0.3">
      <c r="A4308">
        <v>101</v>
      </c>
      <c r="B4308" t="s">
        <v>34</v>
      </c>
      <c r="C4308">
        <v>2</v>
      </c>
      <c r="D4308" s="1" t="s">
        <v>11092</v>
      </c>
      <c r="E4308" s="1" t="s">
        <v>36</v>
      </c>
      <c r="G4308">
        <v>458936</v>
      </c>
      <c r="H4308" t="s">
        <v>11083</v>
      </c>
      <c r="I4308" t="s">
        <v>2413</v>
      </c>
      <c r="J4308">
        <v>30</v>
      </c>
      <c r="K4308">
        <v>2695</v>
      </c>
      <c r="L4308">
        <v>95000</v>
      </c>
      <c r="M4308" t="s">
        <v>69</v>
      </c>
      <c r="N4308">
        <v>691</v>
      </c>
      <c r="O4308" s="2">
        <v>46141</v>
      </c>
      <c r="P4308" s="2">
        <v>46266</v>
      </c>
      <c r="R4308" t="s">
        <v>11093</v>
      </c>
      <c r="S4308" t="str">
        <f>""</f>
        <v/>
      </c>
      <c r="T4308" t="s">
        <v>41</v>
      </c>
      <c r="U4308">
        <v>731.7</v>
      </c>
      <c r="V4308">
        <v>723.65</v>
      </c>
      <c r="W4308">
        <v>723.65</v>
      </c>
      <c r="X4308">
        <v>0</v>
      </c>
      <c r="Y4308">
        <v>0</v>
      </c>
      <c r="Z4308">
        <v>-491</v>
      </c>
      <c r="AA4308">
        <v>686930</v>
      </c>
      <c r="AD4308" t="s">
        <v>2859</v>
      </c>
      <c r="AE4308" t="s">
        <v>2567</v>
      </c>
      <c r="AF4308" t="s">
        <v>2859</v>
      </c>
      <c r="AG4308" s="1" t="s">
        <v>11085</v>
      </c>
      <c r="AH4308" t="s">
        <v>44</v>
      </c>
    </row>
    <row r="4309" spans="1:34" x14ac:dyDescent="0.3">
      <c r="A4309">
        <v>101</v>
      </c>
      <c r="B4309" t="s">
        <v>34</v>
      </c>
      <c r="C4309">
        <v>2</v>
      </c>
      <c r="D4309" s="1" t="s">
        <v>11094</v>
      </c>
      <c r="E4309" s="1" t="s">
        <v>36</v>
      </c>
      <c r="G4309">
        <v>458936</v>
      </c>
      <c r="H4309" t="s">
        <v>11083</v>
      </c>
      <c r="I4309" t="s">
        <v>2413</v>
      </c>
      <c r="J4309">
        <v>30</v>
      </c>
      <c r="K4309">
        <v>2695</v>
      </c>
      <c r="L4309">
        <v>95000</v>
      </c>
      <c r="M4309" t="s">
        <v>69</v>
      </c>
      <c r="N4309">
        <v>691</v>
      </c>
      <c r="O4309" s="2">
        <v>46172</v>
      </c>
      <c r="P4309" s="2">
        <v>46296</v>
      </c>
      <c r="R4309" t="s">
        <v>11095</v>
      </c>
      <c r="S4309" t="str">
        <f>""</f>
        <v/>
      </c>
      <c r="T4309" t="s">
        <v>41</v>
      </c>
      <c r="U4309">
        <v>2741</v>
      </c>
      <c r="V4309">
        <v>2710.85</v>
      </c>
      <c r="W4309">
        <v>2710.85</v>
      </c>
      <c r="X4309">
        <v>0</v>
      </c>
      <c r="Y4309">
        <v>0</v>
      </c>
      <c r="Z4309">
        <v>-521</v>
      </c>
      <c r="AA4309">
        <v>689525</v>
      </c>
      <c r="AD4309" t="s">
        <v>2859</v>
      </c>
      <c r="AE4309" t="s">
        <v>2567</v>
      </c>
      <c r="AF4309" t="s">
        <v>2859</v>
      </c>
      <c r="AG4309" s="1" t="s">
        <v>11085</v>
      </c>
      <c r="AH4309" t="s">
        <v>44</v>
      </c>
    </row>
    <row r="4310" spans="1:34" x14ac:dyDescent="0.3">
      <c r="A4310">
        <v>101</v>
      </c>
      <c r="B4310" t="s">
        <v>34</v>
      </c>
      <c r="C4310">
        <v>2</v>
      </c>
      <c r="D4310" s="1" t="s">
        <v>11096</v>
      </c>
      <c r="E4310" s="1" t="s">
        <v>36</v>
      </c>
      <c r="G4310">
        <v>458936</v>
      </c>
      <c r="H4310" t="s">
        <v>11083</v>
      </c>
      <c r="I4310" t="s">
        <v>2413</v>
      </c>
      <c r="J4310">
        <v>30</v>
      </c>
      <c r="K4310">
        <v>2695</v>
      </c>
      <c r="L4310">
        <v>95000</v>
      </c>
      <c r="M4310" t="s">
        <v>69</v>
      </c>
      <c r="N4310">
        <v>691</v>
      </c>
      <c r="O4310" s="2">
        <v>46253</v>
      </c>
      <c r="P4310" s="2">
        <v>46343</v>
      </c>
      <c r="R4310" t="s">
        <v>11097</v>
      </c>
      <c r="S4310" t="str">
        <f>""</f>
        <v/>
      </c>
      <c r="T4310" t="s">
        <v>41</v>
      </c>
      <c r="U4310">
        <v>2653.5</v>
      </c>
      <c r="V4310">
        <v>2624.31</v>
      </c>
      <c r="W4310">
        <v>2624.31</v>
      </c>
      <c r="X4310">
        <v>0</v>
      </c>
      <c r="Y4310">
        <v>0</v>
      </c>
      <c r="Z4310">
        <v>-568</v>
      </c>
      <c r="AA4310">
        <v>697067</v>
      </c>
      <c r="AD4310" t="s">
        <v>2859</v>
      </c>
      <c r="AE4310" t="s">
        <v>2567</v>
      </c>
      <c r="AF4310" t="s">
        <v>2859</v>
      </c>
      <c r="AG4310" s="1" t="s">
        <v>11085</v>
      </c>
      <c r="AH4310" t="s">
        <v>44</v>
      </c>
    </row>
    <row r="4311" spans="1:34" x14ac:dyDescent="0.3">
      <c r="A4311">
        <v>101</v>
      </c>
      <c r="B4311" t="s">
        <v>34</v>
      </c>
      <c r="C4311">
        <v>2</v>
      </c>
      <c r="D4311" s="1" t="s">
        <v>11098</v>
      </c>
      <c r="E4311" s="1" t="s">
        <v>36</v>
      </c>
      <c r="G4311">
        <v>458936</v>
      </c>
      <c r="H4311" t="s">
        <v>11083</v>
      </c>
      <c r="I4311" t="s">
        <v>2413</v>
      </c>
      <c r="J4311">
        <v>30</v>
      </c>
      <c r="K4311">
        <v>2695</v>
      </c>
      <c r="L4311">
        <v>95000</v>
      </c>
      <c r="M4311" t="s">
        <v>69</v>
      </c>
      <c r="N4311">
        <v>691</v>
      </c>
      <c r="O4311" s="2">
        <v>46198</v>
      </c>
      <c r="P4311" s="2">
        <v>46329</v>
      </c>
      <c r="R4311" t="s">
        <v>11099</v>
      </c>
      <c r="S4311" t="str">
        <f>""</f>
        <v/>
      </c>
      <c r="T4311" t="s">
        <v>41</v>
      </c>
      <c r="U4311">
        <v>884.5</v>
      </c>
      <c r="V4311">
        <v>874.77</v>
      </c>
      <c r="W4311">
        <v>874.77</v>
      </c>
      <c r="X4311">
        <v>0</v>
      </c>
      <c r="Y4311">
        <v>0</v>
      </c>
      <c r="Z4311">
        <v>-554</v>
      </c>
      <c r="AA4311">
        <v>692612</v>
      </c>
      <c r="AD4311" t="s">
        <v>2859</v>
      </c>
      <c r="AE4311" t="s">
        <v>2567</v>
      </c>
      <c r="AF4311" t="s">
        <v>2859</v>
      </c>
      <c r="AG4311" s="1" t="s">
        <v>11085</v>
      </c>
      <c r="AH4311" t="s">
        <v>44</v>
      </c>
    </row>
    <row r="4312" spans="1:34" x14ac:dyDescent="0.3">
      <c r="A4312">
        <v>101</v>
      </c>
      <c r="B4312" t="s">
        <v>34</v>
      </c>
      <c r="C4312">
        <v>2</v>
      </c>
      <c r="D4312" s="1" t="s">
        <v>11100</v>
      </c>
      <c r="E4312" s="1" t="s">
        <v>36</v>
      </c>
      <c r="G4312">
        <v>458936</v>
      </c>
      <c r="H4312" t="s">
        <v>11083</v>
      </c>
      <c r="I4312" t="s">
        <v>2413</v>
      </c>
      <c r="J4312">
        <v>30</v>
      </c>
      <c r="K4312">
        <v>2695</v>
      </c>
      <c r="L4312">
        <v>95000</v>
      </c>
      <c r="M4312" t="s">
        <v>69</v>
      </c>
      <c r="N4312">
        <v>691</v>
      </c>
      <c r="O4312" s="2">
        <v>46239</v>
      </c>
      <c r="P4312" s="2">
        <v>46329</v>
      </c>
      <c r="R4312" t="s">
        <v>11101</v>
      </c>
      <c r="S4312" t="str">
        <f>""</f>
        <v/>
      </c>
      <c r="T4312" t="s">
        <v>41</v>
      </c>
      <c r="U4312">
        <v>3765.27</v>
      </c>
      <c r="V4312">
        <v>3723.85</v>
      </c>
      <c r="W4312">
        <v>3723.85</v>
      </c>
      <c r="X4312">
        <v>0</v>
      </c>
      <c r="Y4312">
        <v>0</v>
      </c>
      <c r="Z4312">
        <v>-554</v>
      </c>
      <c r="AA4312">
        <v>696285</v>
      </c>
      <c r="AD4312" t="s">
        <v>2859</v>
      </c>
      <c r="AE4312" t="s">
        <v>2567</v>
      </c>
      <c r="AF4312" t="s">
        <v>2859</v>
      </c>
      <c r="AG4312" s="1" t="s">
        <v>11085</v>
      </c>
      <c r="AH4312" t="s">
        <v>44</v>
      </c>
    </row>
    <row r="4313" spans="1:34" x14ac:dyDescent="0.3">
      <c r="A4313">
        <v>101</v>
      </c>
      <c r="B4313" t="s">
        <v>34</v>
      </c>
      <c r="C4313">
        <v>2</v>
      </c>
      <c r="D4313" s="1" t="s">
        <v>11102</v>
      </c>
      <c r="E4313" s="1" t="s">
        <v>36</v>
      </c>
      <c r="G4313">
        <v>458937</v>
      </c>
      <c r="H4313" t="s">
        <v>11103</v>
      </c>
      <c r="I4313" t="s">
        <v>2413</v>
      </c>
      <c r="J4313">
        <v>30</v>
      </c>
      <c r="K4313">
        <v>2695</v>
      </c>
      <c r="L4313">
        <v>95000</v>
      </c>
      <c r="M4313" t="s">
        <v>69</v>
      </c>
      <c r="N4313">
        <v>691</v>
      </c>
      <c r="O4313" s="2">
        <v>46111</v>
      </c>
      <c r="P4313" s="2">
        <v>46266</v>
      </c>
      <c r="R4313">
        <v>2603304705</v>
      </c>
      <c r="S4313" t="str">
        <f>""</f>
        <v/>
      </c>
      <c r="T4313" t="s">
        <v>41</v>
      </c>
      <c r="U4313">
        <v>5145.8599999999997</v>
      </c>
      <c r="V4313">
        <v>5089.26</v>
      </c>
      <c r="W4313">
        <v>5089.26</v>
      </c>
      <c r="X4313">
        <v>0</v>
      </c>
      <c r="Y4313">
        <v>0</v>
      </c>
      <c r="Z4313">
        <v>-491</v>
      </c>
      <c r="AA4313">
        <v>683554</v>
      </c>
      <c r="AD4313" t="s">
        <v>3337</v>
      </c>
      <c r="AE4313" t="s">
        <v>2567</v>
      </c>
      <c r="AF4313" t="s">
        <v>3337</v>
      </c>
      <c r="AG4313" s="1" t="s">
        <v>11104</v>
      </c>
      <c r="AH4313" t="s">
        <v>44</v>
      </c>
    </row>
    <row r="4314" spans="1:34" x14ac:dyDescent="0.3">
      <c r="A4314">
        <v>101</v>
      </c>
      <c r="B4314" t="s">
        <v>34</v>
      </c>
      <c r="C4314">
        <v>2</v>
      </c>
      <c r="D4314" s="1" t="s">
        <v>11105</v>
      </c>
      <c r="E4314" s="1" t="s">
        <v>36</v>
      </c>
      <c r="G4314">
        <v>458937</v>
      </c>
      <c r="H4314" t="s">
        <v>11103</v>
      </c>
      <c r="I4314" t="s">
        <v>2413</v>
      </c>
      <c r="J4314">
        <v>30</v>
      </c>
      <c r="K4314">
        <v>2695</v>
      </c>
      <c r="L4314">
        <v>95000</v>
      </c>
      <c r="M4314" t="s">
        <v>69</v>
      </c>
      <c r="N4314">
        <v>691</v>
      </c>
      <c r="O4314" s="2">
        <v>46253</v>
      </c>
      <c r="P4314" s="2">
        <v>46343</v>
      </c>
      <c r="R4314" t="s">
        <v>11106</v>
      </c>
      <c r="S4314" t="str">
        <f>""</f>
        <v/>
      </c>
      <c r="T4314" t="s">
        <v>41</v>
      </c>
      <c r="U4314">
        <v>3538</v>
      </c>
      <c r="V4314">
        <v>3499.08</v>
      </c>
      <c r="W4314">
        <v>3499.08</v>
      </c>
      <c r="X4314">
        <v>0</v>
      </c>
      <c r="Y4314">
        <v>0</v>
      </c>
      <c r="Z4314">
        <v>-568</v>
      </c>
      <c r="AA4314">
        <v>697027</v>
      </c>
      <c r="AD4314" t="s">
        <v>3337</v>
      </c>
      <c r="AE4314" t="s">
        <v>2567</v>
      </c>
      <c r="AF4314" t="s">
        <v>3337</v>
      </c>
      <c r="AG4314" s="1" t="s">
        <v>11104</v>
      </c>
      <c r="AH4314" t="s">
        <v>44</v>
      </c>
    </row>
    <row r="4315" spans="1:34" x14ac:dyDescent="0.3">
      <c r="A4315">
        <v>101</v>
      </c>
      <c r="B4315" t="s">
        <v>34</v>
      </c>
      <c r="C4315">
        <v>2</v>
      </c>
      <c r="D4315" s="1" t="s">
        <v>11107</v>
      </c>
      <c r="E4315" s="1" t="s">
        <v>36</v>
      </c>
      <c r="G4315">
        <v>458937</v>
      </c>
      <c r="H4315" t="s">
        <v>11103</v>
      </c>
      <c r="I4315" t="s">
        <v>2413</v>
      </c>
      <c r="J4315">
        <v>30</v>
      </c>
      <c r="K4315">
        <v>2695</v>
      </c>
      <c r="L4315">
        <v>95000</v>
      </c>
      <c r="M4315" t="s">
        <v>69</v>
      </c>
      <c r="N4315">
        <v>691</v>
      </c>
      <c r="O4315" s="2">
        <v>46198</v>
      </c>
      <c r="P4315" s="2">
        <v>46316</v>
      </c>
      <c r="R4315" t="s">
        <v>11108</v>
      </c>
      <c r="S4315" t="str">
        <f>""</f>
        <v/>
      </c>
      <c r="T4315" t="s">
        <v>41</v>
      </c>
      <c r="U4315">
        <v>1769</v>
      </c>
      <c r="V4315">
        <v>1749.54</v>
      </c>
      <c r="W4315">
        <v>1749.54</v>
      </c>
      <c r="X4315">
        <v>0</v>
      </c>
      <c r="Y4315">
        <v>0</v>
      </c>
      <c r="Z4315">
        <v>-541</v>
      </c>
      <c r="AA4315">
        <v>692574</v>
      </c>
      <c r="AD4315" t="s">
        <v>3337</v>
      </c>
      <c r="AE4315" t="s">
        <v>2567</v>
      </c>
      <c r="AF4315" t="s">
        <v>3337</v>
      </c>
      <c r="AG4315" s="1" t="s">
        <v>11104</v>
      </c>
      <c r="AH4315" t="s">
        <v>44</v>
      </c>
    </row>
    <row r="4316" spans="1:34" x14ac:dyDescent="0.3">
      <c r="A4316">
        <v>101</v>
      </c>
      <c r="B4316" t="s">
        <v>34</v>
      </c>
      <c r="C4316">
        <v>2</v>
      </c>
      <c r="D4316" s="1" t="s">
        <v>11109</v>
      </c>
      <c r="E4316" s="1" t="s">
        <v>36</v>
      </c>
      <c r="G4316">
        <v>458937</v>
      </c>
      <c r="H4316" t="s">
        <v>11103</v>
      </c>
      <c r="I4316" t="s">
        <v>2413</v>
      </c>
      <c r="J4316">
        <v>30</v>
      </c>
      <c r="K4316">
        <v>2695</v>
      </c>
      <c r="L4316">
        <v>95000</v>
      </c>
      <c r="M4316" t="s">
        <v>69</v>
      </c>
      <c r="N4316">
        <v>691</v>
      </c>
      <c r="O4316" s="2">
        <v>46239</v>
      </c>
      <c r="P4316" s="2">
        <v>46349</v>
      </c>
      <c r="R4316" t="s">
        <v>11110</v>
      </c>
      <c r="S4316" t="str">
        <f>""</f>
        <v/>
      </c>
      <c r="T4316" t="s">
        <v>41</v>
      </c>
      <c r="U4316">
        <v>2470.17</v>
      </c>
      <c r="V4316">
        <v>2443</v>
      </c>
      <c r="W4316">
        <v>2443</v>
      </c>
      <c r="X4316">
        <v>0</v>
      </c>
      <c r="Y4316">
        <v>0</v>
      </c>
      <c r="Z4316">
        <v>-574</v>
      </c>
      <c r="AA4316">
        <v>696251</v>
      </c>
      <c r="AD4316" t="s">
        <v>3337</v>
      </c>
      <c r="AE4316" t="s">
        <v>2567</v>
      </c>
      <c r="AF4316" t="s">
        <v>3337</v>
      </c>
      <c r="AG4316" s="1" t="s">
        <v>11104</v>
      </c>
      <c r="AH4316" t="s">
        <v>44</v>
      </c>
    </row>
    <row r="4317" spans="1:34" x14ac:dyDescent="0.3">
      <c r="A4317">
        <v>101</v>
      </c>
      <c r="B4317" t="s">
        <v>34</v>
      </c>
      <c r="C4317">
        <v>2</v>
      </c>
      <c r="D4317" s="1" t="s">
        <v>11111</v>
      </c>
      <c r="E4317" s="1" t="s">
        <v>36</v>
      </c>
      <c r="G4317">
        <v>458937</v>
      </c>
      <c r="H4317" t="s">
        <v>11103</v>
      </c>
      <c r="I4317" t="s">
        <v>2413</v>
      </c>
      <c r="J4317">
        <v>30</v>
      </c>
      <c r="K4317">
        <v>2695</v>
      </c>
      <c r="L4317">
        <v>95000</v>
      </c>
      <c r="M4317" t="s">
        <v>69</v>
      </c>
      <c r="N4317">
        <v>691</v>
      </c>
      <c r="O4317" s="2">
        <v>46198</v>
      </c>
      <c r="P4317" s="2">
        <v>46316</v>
      </c>
      <c r="R4317" t="s">
        <v>11112</v>
      </c>
      <c r="S4317" t="str">
        <f>""</f>
        <v/>
      </c>
      <c r="T4317" t="s">
        <v>41</v>
      </c>
      <c r="U4317">
        <v>12667</v>
      </c>
      <c r="V4317">
        <v>12527.66</v>
      </c>
      <c r="W4317">
        <v>12527.66</v>
      </c>
      <c r="X4317">
        <v>0</v>
      </c>
      <c r="Y4317">
        <v>0</v>
      </c>
      <c r="Z4317">
        <v>-541</v>
      </c>
      <c r="AA4317">
        <v>692186</v>
      </c>
      <c r="AD4317" t="s">
        <v>3337</v>
      </c>
      <c r="AE4317" t="s">
        <v>2567</v>
      </c>
      <c r="AF4317" t="s">
        <v>3337</v>
      </c>
      <c r="AG4317" s="1" t="s">
        <v>11104</v>
      </c>
      <c r="AH4317" t="s">
        <v>44</v>
      </c>
    </row>
    <row r="4318" spans="1:34" x14ac:dyDescent="0.3">
      <c r="A4318">
        <v>101</v>
      </c>
      <c r="B4318" t="s">
        <v>34</v>
      </c>
      <c r="C4318">
        <v>2</v>
      </c>
      <c r="D4318" s="1" t="s">
        <v>11113</v>
      </c>
      <c r="E4318" s="1" t="s">
        <v>36</v>
      </c>
      <c r="G4318">
        <v>458937</v>
      </c>
      <c r="H4318" t="s">
        <v>11103</v>
      </c>
      <c r="I4318" t="s">
        <v>2413</v>
      </c>
      <c r="J4318">
        <v>30</v>
      </c>
      <c r="K4318">
        <v>2695</v>
      </c>
      <c r="L4318">
        <v>95000</v>
      </c>
      <c r="M4318" t="s">
        <v>69</v>
      </c>
      <c r="N4318">
        <v>691</v>
      </c>
      <c r="O4318" s="2">
        <v>46170</v>
      </c>
      <c r="P4318" s="2">
        <v>46296</v>
      </c>
      <c r="R4318" t="s">
        <v>11114</v>
      </c>
      <c r="S4318" t="str">
        <f>""</f>
        <v/>
      </c>
      <c r="T4318" t="s">
        <v>41</v>
      </c>
      <c r="U4318">
        <v>2741</v>
      </c>
      <c r="V4318">
        <v>2710.85</v>
      </c>
      <c r="W4318">
        <v>2710.85</v>
      </c>
      <c r="X4318">
        <v>0</v>
      </c>
      <c r="Y4318">
        <v>0</v>
      </c>
      <c r="Z4318">
        <v>-521</v>
      </c>
      <c r="AA4318">
        <v>689499</v>
      </c>
      <c r="AD4318" t="s">
        <v>3337</v>
      </c>
      <c r="AE4318" t="s">
        <v>2567</v>
      </c>
      <c r="AF4318" t="s">
        <v>3337</v>
      </c>
      <c r="AG4318" s="1" t="s">
        <v>11104</v>
      </c>
      <c r="AH4318" t="s">
        <v>44</v>
      </c>
    </row>
    <row r="4319" spans="1:34" x14ac:dyDescent="0.3">
      <c r="A4319">
        <v>101</v>
      </c>
      <c r="B4319" t="s">
        <v>34</v>
      </c>
      <c r="C4319">
        <v>2</v>
      </c>
      <c r="D4319" s="1" t="s">
        <v>11115</v>
      </c>
      <c r="E4319" s="1" t="s">
        <v>36</v>
      </c>
      <c r="G4319">
        <v>458937</v>
      </c>
      <c r="H4319" t="s">
        <v>11103</v>
      </c>
      <c r="I4319" t="s">
        <v>2413</v>
      </c>
      <c r="J4319">
        <v>30</v>
      </c>
      <c r="K4319">
        <v>2695</v>
      </c>
      <c r="L4319">
        <v>95000</v>
      </c>
      <c r="M4319" t="s">
        <v>69</v>
      </c>
      <c r="N4319">
        <v>691</v>
      </c>
      <c r="O4319" s="2">
        <v>46185</v>
      </c>
      <c r="P4319" s="2">
        <v>46296</v>
      </c>
      <c r="R4319" t="s">
        <v>11116</v>
      </c>
      <c r="S4319" t="str">
        <f>""</f>
        <v/>
      </c>
      <c r="T4319" t="s">
        <v>41</v>
      </c>
      <c r="U4319">
        <v>2846.4</v>
      </c>
      <c r="V4319">
        <v>2815.09</v>
      </c>
      <c r="W4319">
        <v>2815.09</v>
      </c>
      <c r="X4319">
        <v>0</v>
      </c>
      <c r="Y4319">
        <v>0</v>
      </c>
      <c r="Z4319">
        <v>-521</v>
      </c>
      <c r="AA4319">
        <v>689224</v>
      </c>
      <c r="AD4319" t="s">
        <v>3337</v>
      </c>
      <c r="AE4319" t="s">
        <v>2567</v>
      </c>
      <c r="AF4319" t="s">
        <v>3337</v>
      </c>
      <c r="AG4319" s="1" t="s">
        <v>11104</v>
      </c>
      <c r="AH4319" t="s">
        <v>44</v>
      </c>
    </row>
    <row r="4320" spans="1:34" x14ac:dyDescent="0.3">
      <c r="A4320">
        <v>101</v>
      </c>
      <c r="B4320" t="s">
        <v>34</v>
      </c>
      <c r="C4320">
        <v>2</v>
      </c>
      <c r="D4320" s="1" t="s">
        <v>11117</v>
      </c>
      <c r="E4320" s="1" t="s">
        <v>36</v>
      </c>
      <c r="G4320">
        <v>458937</v>
      </c>
      <c r="H4320" t="s">
        <v>11103</v>
      </c>
      <c r="I4320" t="s">
        <v>2413</v>
      </c>
      <c r="J4320">
        <v>30</v>
      </c>
      <c r="K4320">
        <v>2695</v>
      </c>
      <c r="L4320">
        <v>95000</v>
      </c>
      <c r="M4320" t="s">
        <v>69</v>
      </c>
      <c r="N4320">
        <v>691</v>
      </c>
      <c r="O4320" s="2">
        <v>46170</v>
      </c>
      <c r="P4320" s="2">
        <v>46296</v>
      </c>
      <c r="R4320" t="s">
        <v>11118</v>
      </c>
      <c r="S4320" t="str">
        <f>""</f>
        <v/>
      </c>
      <c r="T4320" t="s">
        <v>41</v>
      </c>
      <c r="U4320">
        <v>13900.36</v>
      </c>
      <c r="V4320">
        <v>13747.46</v>
      </c>
      <c r="W4320">
        <v>13747.46</v>
      </c>
      <c r="X4320">
        <v>0</v>
      </c>
      <c r="Y4320">
        <v>0</v>
      </c>
      <c r="Z4320">
        <v>-521</v>
      </c>
      <c r="AA4320">
        <v>689224</v>
      </c>
      <c r="AD4320" t="s">
        <v>3337</v>
      </c>
      <c r="AE4320" t="s">
        <v>2567</v>
      </c>
      <c r="AF4320" t="s">
        <v>3337</v>
      </c>
      <c r="AG4320" s="1" t="s">
        <v>11104</v>
      </c>
      <c r="AH4320" t="s">
        <v>44</v>
      </c>
    </row>
    <row r="4321" spans="1:34" x14ac:dyDescent="0.3">
      <c r="A4321">
        <v>101</v>
      </c>
      <c r="B4321" t="s">
        <v>34</v>
      </c>
      <c r="C4321">
        <v>2</v>
      </c>
      <c r="D4321" s="1" t="s">
        <v>11119</v>
      </c>
      <c r="E4321" s="1" t="s">
        <v>36</v>
      </c>
      <c r="G4321">
        <v>458937</v>
      </c>
      <c r="H4321" t="s">
        <v>11103</v>
      </c>
      <c r="I4321" t="s">
        <v>2413</v>
      </c>
      <c r="J4321">
        <v>30</v>
      </c>
      <c r="K4321">
        <v>2695</v>
      </c>
      <c r="L4321">
        <v>95000</v>
      </c>
      <c r="M4321" t="s">
        <v>69</v>
      </c>
      <c r="N4321">
        <v>691</v>
      </c>
      <c r="O4321" s="2">
        <v>46140</v>
      </c>
      <c r="P4321" s="2">
        <v>46266</v>
      </c>
      <c r="R4321" t="s">
        <v>11120</v>
      </c>
      <c r="S4321" t="str">
        <f>""</f>
        <v/>
      </c>
      <c r="T4321" t="s">
        <v>41</v>
      </c>
      <c r="U4321">
        <v>15429.39</v>
      </c>
      <c r="V4321">
        <v>15259.67</v>
      </c>
      <c r="W4321">
        <v>15259.67</v>
      </c>
      <c r="X4321">
        <v>0</v>
      </c>
      <c r="Y4321">
        <v>0</v>
      </c>
      <c r="Z4321">
        <v>-491</v>
      </c>
      <c r="AA4321">
        <v>686622</v>
      </c>
      <c r="AD4321" t="s">
        <v>3337</v>
      </c>
      <c r="AE4321" t="s">
        <v>2567</v>
      </c>
      <c r="AF4321" t="s">
        <v>3337</v>
      </c>
      <c r="AG4321" s="1" t="s">
        <v>11104</v>
      </c>
      <c r="AH4321" t="s">
        <v>44</v>
      </c>
    </row>
    <row r="4322" spans="1:34" x14ac:dyDescent="0.3">
      <c r="A4322">
        <v>101</v>
      </c>
      <c r="B4322" t="s">
        <v>34</v>
      </c>
      <c r="C4322">
        <v>2</v>
      </c>
      <c r="D4322" s="1" t="s">
        <v>11121</v>
      </c>
      <c r="E4322" s="1" t="s">
        <v>36</v>
      </c>
      <c r="G4322">
        <v>458937</v>
      </c>
      <c r="H4322" t="s">
        <v>11103</v>
      </c>
      <c r="I4322" t="s">
        <v>2413</v>
      </c>
      <c r="J4322">
        <v>30</v>
      </c>
      <c r="K4322">
        <v>2695</v>
      </c>
      <c r="L4322">
        <v>95000</v>
      </c>
      <c r="M4322" t="s">
        <v>69</v>
      </c>
      <c r="N4322">
        <v>691</v>
      </c>
      <c r="O4322" s="2">
        <v>46140</v>
      </c>
      <c r="P4322" s="2">
        <v>46266</v>
      </c>
      <c r="R4322" t="s">
        <v>11122</v>
      </c>
      <c r="S4322" t="str">
        <f>""</f>
        <v/>
      </c>
      <c r="T4322" t="s">
        <v>41</v>
      </c>
      <c r="U4322">
        <v>731.7</v>
      </c>
      <c r="V4322">
        <v>723.65</v>
      </c>
      <c r="W4322">
        <v>723.65</v>
      </c>
      <c r="X4322">
        <v>0</v>
      </c>
      <c r="Y4322">
        <v>0</v>
      </c>
      <c r="Z4322">
        <v>-491</v>
      </c>
      <c r="AA4322">
        <v>686914</v>
      </c>
      <c r="AD4322" t="s">
        <v>3337</v>
      </c>
      <c r="AE4322" t="s">
        <v>2567</v>
      </c>
      <c r="AF4322" t="s">
        <v>3337</v>
      </c>
      <c r="AG4322" s="1" t="s">
        <v>11104</v>
      </c>
      <c r="AH4322" t="s">
        <v>44</v>
      </c>
    </row>
    <row r="4323" spans="1:34" x14ac:dyDescent="0.3">
      <c r="A4323">
        <v>101</v>
      </c>
      <c r="B4323" t="s">
        <v>34</v>
      </c>
      <c r="C4323">
        <v>2</v>
      </c>
      <c r="D4323" s="1" t="s">
        <v>11123</v>
      </c>
      <c r="E4323" s="1" t="s">
        <v>36</v>
      </c>
      <c r="G4323">
        <v>458937</v>
      </c>
      <c r="H4323" t="s">
        <v>11103</v>
      </c>
      <c r="I4323" t="s">
        <v>2413</v>
      </c>
      <c r="J4323">
        <v>30</v>
      </c>
      <c r="K4323">
        <v>2695</v>
      </c>
      <c r="L4323">
        <v>95000</v>
      </c>
      <c r="M4323" t="s">
        <v>69</v>
      </c>
      <c r="N4323">
        <v>691</v>
      </c>
      <c r="O4323" s="2">
        <v>46226</v>
      </c>
      <c r="P4323" s="2">
        <v>46337</v>
      </c>
      <c r="R4323" t="s">
        <v>11124</v>
      </c>
      <c r="S4323" t="str">
        <f>""</f>
        <v/>
      </c>
      <c r="T4323" t="s">
        <v>41</v>
      </c>
      <c r="U4323">
        <v>4387.8999999999996</v>
      </c>
      <c r="V4323">
        <v>4339.63</v>
      </c>
      <c r="W4323">
        <v>4339.63</v>
      </c>
      <c r="X4323">
        <v>0</v>
      </c>
      <c r="Y4323">
        <v>0</v>
      </c>
      <c r="Z4323">
        <v>-562</v>
      </c>
      <c r="AA4323">
        <v>695007</v>
      </c>
      <c r="AD4323" t="s">
        <v>3337</v>
      </c>
      <c r="AE4323" t="s">
        <v>2567</v>
      </c>
      <c r="AF4323" t="s">
        <v>3337</v>
      </c>
      <c r="AG4323" s="1" t="s">
        <v>11104</v>
      </c>
      <c r="AH4323" t="s">
        <v>44</v>
      </c>
    </row>
    <row r="4324" spans="1:34" x14ac:dyDescent="0.3">
      <c r="A4324">
        <v>101</v>
      </c>
      <c r="B4324" t="s">
        <v>34</v>
      </c>
      <c r="C4324">
        <v>2</v>
      </c>
      <c r="D4324" s="1" t="s">
        <v>11125</v>
      </c>
      <c r="E4324" s="1" t="s">
        <v>36</v>
      </c>
      <c r="G4324">
        <v>458938</v>
      </c>
      <c r="H4324" t="s">
        <v>11126</v>
      </c>
      <c r="I4324" t="s">
        <v>2413</v>
      </c>
      <c r="J4324">
        <v>30</v>
      </c>
      <c r="K4324">
        <v>2695</v>
      </c>
      <c r="L4324">
        <v>95000</v>
      </c>
      <c r="M4324" t="s">
        <v>69</v>
      </c>
      <c r="N4324">
        <v>691</v>
      </c>
      <c r="O4324" s="2">
        <v>46239</v>
      </c>
      <c r="P4324" s="2">
        <v>46349</v>
      </c>
      <c r="R4324" t="s">
        <v>11127</v>
      </c>
      <c r="S4324" t="str">
        <f>""</f>
        <v/>
      </c>
      <c r="T4324" t="s">
        <v>41</v>
      </c>
      <c r="U4324">
        <v>3765.27</v>
      </c>
      <c r="V4324">
        <v>3723.85</v>
      </c>
      <c r="W4324">
        <v>3723.85</v>
      </c>
      <c r="X4324">
        <v>0</v>
      </c>
      <c r="Y4324">
        <v>0</v>
      </c>
      <c r="Z4324">
        <v>-574</v>
      </c>
      <c r="AA4324">
        <v>696277</v>
      </c>
      <c r="AD4324" t="s">
        <v>9991</v>
      </c>
      <c r="AE4324" t="s">
        <v>2567</v>
      </c>
      <c r="AF4324" t="s">
        <v>9991</v>
      </c>
      <c r="AG4324" s="1" t="s">
        <v>11128</v>
      </c>
      <c r="AH4324" t="s">
        <v>44</v>
      </c>
    </row>
    <row r="4325" spans="1:34" x14ac:dyDescent="0.3">
      <c r="A4325">
        <v>101</v>
      </c>
      <c r="B4325" t="s">
        <v>34</v>
      </c>
      <c r="C4325">
        <v>2</v>
      </c>
      <c r="D4325" s="1" t="s">
        <v>11129</v>
      </c>
      <c r="E4325" s="1" t="s">
        <v>36</v>
      </c>
      <c r="G4325">
        <v>458938</v>
      </c>
      <c r="H4325" t="s">
        <v>11126</v>
      </c>
      <c r="I4325" t="s">
        <v>2413</v>
      </c>
      <c r="J4325">
        <v>30</v>
      </c>
      <c r="K4325">
        <v>2695</v>
      </c>
      <c r="L4325">
        <v>95000</v>
      </c>
      <c r="M4325" t="s">
        <v>69</v>
      </c>
      <c r="N4325">
        <v>691</v>
      </c>
      <c r="O4325" s="2">
        <v>46198</v>
      </c>
      <c r="P4325" s="2">
        <v>46308</v>
      </c>
      <c r="R4325" t="s">
        <v>11130</v>
      </c>
      <c r="S4325" t="str">
        <f>""</f>
        <v/>
      </c>
      <c r="T4325" t="s">
        <v>41</v>
      </c>
      <c r="U4325">
        <v>7279.82</v>
      </c>
      <c r="V4325">
        <v>7199.74</v>
      </c>
      <c r="W4325">
        <v>7199.74</v>
      </c>
      <c r="X4325">
        <v>0</v>
      </c>
      <c r="Y4325">
        <v>0</v>
      </c>
      <c r="Z4325">
        <v>-533</v>
      </c>
      <c r="AA4325">
        <v>692204</v>
      </c>
      <c r="AD4325" t="s">
        <v>9991</v>
      </c>
      <c r="AE4325" t="s">
        <v>2567</v>
      </c>
      <c r="AF4325" t="s">
        <v>9991</v>
      </c>
      <c r="AG4325" s="1" t="s">
        <v>11128</v>
      </c>
      <c r="AH4325" t="s">
        <v>44</v>
      </c>
    </row>
    <row r="4326" spans="1:34" x14ac:dyDescent="0.3">
      <c r="A4326">
        <v>101</v>
      </c>
      <c r="B4326" t="s">
        <v>34</v>
      </c>
      <c r="C4326">
        <v>2</v>
      </c>
      <c r="D4326" s="1" t="s">
        <v>11131</v>
      </c>
      <c r="E4326" s="1" t="s">
        <v>36</v>
      </c>
      <c r="G4326">
        <v>458938</v>
      </c>
      <c r="H4326" t="s">
        <v>11126</v>
      </c>
      <c r="I4326" t="s">
        <v>2413</v>
      </c>
      <c r="J4326">
        <v>30</v>
      </c>
      <c r="K4326">
        <v>2695</v>
      </c>
      <c r="L4326">
        <v>95000</v>
      </c>
      <c r="M4326" t="s">
        <v>69</v>
      </c>
      <c r="N4326">
        <v>691</v>
      </c>
      <c r="O4326" s="2">
        <v>46141</v>
      </c>
      <c r="P4326" s="2">
        <v>46255</v>
      </c>
      <c r="R4326" t="s">
        <v>11132</v>
      </c>
      <c r="S4326" t="str">
        <f>""</f>
        <v/>
      </c>
      <c r="T4326" t="s">
        <v>41</v>
      </c>
      <c r="U4326">
        <v>20874.25</v>
      </c>
      <c r="V4326">
        <v>20644.63</v>
      </c>
      <c r="W4326">
        <v>20644.63</v>
      </c>
      <c r="X4326">
        <v>0</v>
      </c>
      <c r="Y4326">
        <v>0</v>
      </c>
      <c r="Z4326">
        <v>-480</v>
      </c>
      <c r="AA4326">
        <v>686641</v>
      </c>
      <c r="AD4326" t="s">
        <v>9991</v>
      </c>
      <c r="AE4326" t="s">
        <v>2567</v>
      </c>
      <c r="AF4326" t="s">
        <v>9991</v>
      </c>
      <c r="AG4326" s="1" t="s">
        <v>11128</v>
      </c>
      <c r="AH4326" t="s">
        <v>44</v>
      </c>
    </row>
    <row r="4327" spans="1:34" x14ac:dyDescent="0.3">
      <c r="A4327">
        <v>101</v>
      </c>
      <c r="B4327" t="s">
        <v>34</v>
      </c>
      <c r="C4327">
        <v>2</v>
      </c>
      <c r="D4327" s="1" t="s">
        <v>11133</v>
      </c>
      <c r="E4327" s="1" t="s">
        <v>36</v>
      </c>
      <c r="G4327">
        <v>458938</v>
      </c>
      <c r="H4327" t="s">
        <v>11126</v>
      </c>
      <c r="I4327" t="s">
        <v>2413</v>
      </c>
      <c r="J4327">
        <v>30</v>
      </c>
      <c r="K4327">
        <v>2695</v>
      </c>
      <c r="L4327">
        <v>95000</v>
      </c>
      <c r="M4327" t="s">
        <v>69</v>
      </c>
      <c r="N4327">
        <v>691</v>
      </c>
      <c r="O4327" s="2">
        <v>46198</v>
      </c>
      <c r="P4327" s="2">
        <v>46308</v>
      </c>
      <c r="R4327" t="s">
        <v>11134</v>
      </c>
      <c r="S4327" t="str">
        <f>""</f>
        <v/>
      </c>
      <c r="T4327" t="s">
        <v>41</v>
      </c>
      <c r="U4327">
        <v>442.25</v>
      </c>
      <c r="V4327">
        <v>437.39</v>
      </c>
      <c r="W4327">
        <v>437.39</v>
      </c>
      <c r="X4327">
        <v>0</v>
      </c>
      <c r="Y4327">
        <v>0</v>
      </c>
      <c r="Z4327">
        <v>-533</v>
      </c>
      <c r="AA4327">
        <v>692596</v>
      </c>
      <c r="AD4327" t="s">
        <v>9991</v>
      </c>
      <c r="AE4327" t="s">
        <v>2567</v>
      </c>
      <c r="AF4327" t="s">
        <v>9991</v>
      </c>
      <c r="AG4327" s="1" t="s">
        <v>11128</v>
      </c>
      <c r="AH4327" t="s">
        <v>44</v>
      </c>
    </row>
    <row r="4328" spans="1:34" x14ac:dyDescent="0.3">
      <c r="A4328">
        <v>101</v>
      </c>
      <c r="B4328" t="s">
        <v>34</v>
      </c>
      <c r="C4328">
        <v>2</v>
      </c>
      <c r="D4328" s="1" t="s">
        <v>11135</v>
      </c>
      <c r="E4328" s="1" t="s">
        <v>36</v>
      </c>
      <c r="G4328">
        <v>458938</v>
      </c>
      <c r="H4328" t="s">
        <v>11126</v>
      </c>
      <c r="I4328" t="s">
        <v>2413</v>
      </c>
      <c r="J4328">
        <v>30</v>
      </c>
      <c r="K4328">
        <v>2695</v>
      </c>
      <c r="L4328">
        <v>95000</v>
      </c>
      <c r="M4328" t="s">
        <v>69</v>
      </c>
      <c r="N4328">
        <v>691</v>
      </c>
      <c r="O4328" s="2">
        <v>46170</v>
      </c>
      <c r="P4328" s="2">
        <v>46286</v>
      </c>
      <c r="R4328" t="s">
        <v>11136</v>
      </c>
      <c r="S4328" t="str">
        <f>""</f>
        <v/>
      </c>
      <c r="T4328" t="s">
        <v>41</v>
      </c>
      <c r="U4328">
        <v>27711.05</v>
      </c>
      <c r="V4328">
        <v>27406.23</v>
      </c>
      <c r="W4328">
        <v>27406.23</v>
      </c>
      <c r="X4328">
        <v>0</v>
      </c>
      <c r="Y4328">
        <v>0</v>
      </c>
      <c r="Z4328">
        <v>-511</v>
      </c>
      <c r="AA4328">
        <v>689242</v>
      </c>
      <c r="AD4328" t="s">
        <v>9991</v>
      </c>
      <c r="AE4328" t="s">
        <v>2567</v>
      </c>
      <c r="AF4328" t="s">
        <v>9991</v>
      </c>
      <c r="AG4328" s="1" t="s">
        <v>11128</v>
      </c>
      <c r="AH4328" t="s">
        <v>44</v>
      </c>
    </row>
    <row r="4329" spans="1:34" x14ac:dyDescent="0.3">
      <c r="A4329">
        <v>101</v>
      </c>
      <c r="B4329" t="s">
        <v>34</v>
      </c>
      <c r="C4329">
        <v>2</v>
      </c>
      <c r="D4329" s="1" t="s">
        <v>11137</v>
      </c>
      <c r="E4329" s="1" t="s">
        <v>36</v>
      </c>
      <c r="G4329">
        <v>458938</v>
      </c>
      <c r="H4329" t="s">
        <v>11126</v>
      </c>
      <c r="I4329" t="s">
        <v>2413</v>
      </c>
      <c r="J4329">
        <v>30</v>
      </c>
      <c r="K4329">
        <v>2695</v>
      </c>
      <c r="L4329">
        <v>95000</v>
      </c>
      <c r="M4329" t="s">
        <v>69</v>
      </c>
      <c r="N4329">
        <v>691</v>
      </c>
      <c r="O4329" s="2">
        <v>46199</v>
      </c>
      <c r="P4329" s="2">
        <v>46308</v>
      </c>
      <c r="R4329" t="s">
        <v>11138</v>
      </c>
      <c r="S4329" t="str">
        <f>""</f>
        <v/>
      </c>
      <c r="T4329" t="s">
        <v>41</v>
      </c>
      <c r="U4329">
        <v>1437.09</v>
      </c>
      <c r="V4329">
        <v>1421.28</v>
      </c>
      <c r="W4329">
        <v>1421.28</v>
      </c>
      <c r="X4329">
        <v>0</v>
      </c>
      <c r="Y4329">
        <v>0</v>
      </c>
      <c r="Z4329">
        <v>-533</v>
      </c>
      <c r="AA4329">
        <v>692839</v>
      </c>
      <c r="AD4329" t="s">
        <v>9991</v>
      </c>
      <c r="AE4329" t="s">
        <v>2567</v>
      </c>
      <c r="AF4329" t="s">
        <v>9991</v>
      </c>
      <c r="AG4329" s="1" t="s">
        <v>11128</v>
      </c>
      <c r="AH4329" t="s">
        <v>44</v>
      </c>
    </row>
    <row r="4330" spans="1:34" x14ac:dyDescent="0.3">
      <c r="A4330">
        <v>101</v>
      </c>
      <c r="B4330" t="s">
        <v>34</v>
      </c>
      <c r="C4330">
        <v>2</v>
      </c>
      <c r="D4330" s="1" t="s">
        <v>11139</v>
      </c>
      <c r="E4330" s="1" t="s">
        <v>36</v>
      </c>
      <c r="G4330">
        <v>458938</v>
      </c>
      <c r="H4330" t="s">
        <v>11126</v>
      </c>
      <c r="I4330" t="s">
        <v>2413</v>
      </c>
      <c r="J4330">
        <v>30</v>
      </c>
      <c r="K4330">
        <v>2695</v>
      </c>
      <c r="L4330">
        <v>95000</v>
      </c>
      <c r="M4330" t="s">
        <v>69</v>
      </c>
      <c r="N4330">
        <v>691</v>
      </c>
      <c r="O4330" s="2">
        <v>46171</v>
      </c>
      <c r="P4330" s="2">
        <v>46286</v>
      </c>
      <c r="R4330" t="s">
        <v>11140</v>
      </c>
      <c r="S4330" t="str">
        <f>""</f>
        <v/>
      </c>
      <c r="T4330" t="s">
        <v>41</v>
      </c>
      <c r="U4330">
        <v>2134.8000000000002</v>
      </c>
      <c r="V4330">
        <v>2111.3200000000002</v>
      </c>
      <c r="W4330">
        <v>2111.3200000000002</v>
      </c>
      <c r="X4330">
        <v>0</v>
      </c>
      <c r="Y4330">
        <v>0</v>
      </c>
      <c r="Z4330">
        <v>-511</v>
      </c>
      <c r="AA4330">
        <v>689242</v>
      </c>
      <c r="AD4330" t="s">
        <v>9991</v>
      </c>
      <c r="AE4330" t="s">
        <v>2567</v>
      </c>
      <c r="AF4330" t="s">
        <v>9991</v>
      </c>
      <c r="AG4330" s="1" t="s">
        <v>11128</v>
      </c>
      <c r="AH4330" t="s">
        <v>44</v>
      </c>
    </row>
    <row r="4331" spans="1:34" x14ac:dyDescent="0.3">
      <c r="A4331">
        <v>101</v>
      </c>
      <c r="B4331" t="s">
        <v>34</v>
      </c>
      <c r="C4331">
        <v>2</v>
      </c>
      <c r="D4331" s="1" t="s">
        <v>11141</v>
      </c>
      <c r="E4331" s="1" t="s">
        <v>36</v>
      </c>
      <c r="G4331">
        <v>458938</v>
      </c>
      <c r="H4331" t="s">
        <v>11126</v>
      </c>
      <c r="I4331" t="s">
        <v>2413</v>
      </c>
      <c r="J4331">
        <v>30</v>
      </c>
      <c r="K4331">
        <v>2695</v>
      </c>
      <c r="L4331">
        <v>95000</v>
      </c>
      <c r="M4331" t="s">
        <v>69</v>
      </c>
      <c r="N4331">
        <v>691</v>
      </c>
      <c r="O4331" s="2">
        <v>46226</v>
      </c>
      <c r="P4331" s="2">
        <v>46349</v>
      </c>
      <c r="R4331" t="s">
        <v>11142</v>
      </c>
      <c r="S4331" t="str">
        <f>""</f>
        <v/>
      </c>
      <c r="T4331" t="s">
        <v>41</v>
      </c>
      <c r="U4331">
        <v>6460.88</v>
      </c>
      <c r="V4331">
        <v>6389.81</v>
      </c>
      <c r="W4331">
        <v>6389.81</v>
      </c>
      <c r="X4331">
        <v>0</v>
      </c>
      <c r="Y4331">
        <v>0</v>
      </c>
      <c r="Z4331">
        <v>-574</v>
      </c>
      <c r="AA4331">
        <v>695033</v>
      </c>
      <c r="AD4331" t="s">
        <v>9991</v>
      </c>
      <c r="AE4331" t="s">
        <v>2567</v>
      </c>
      <c r="AF4331" t="s">
        <v>9991</v>
      </c>
      <c r="AG4331" s="1" t="s">
        <v>11128</v>
      </c>
      <c r="AH4331" t="s">
        <v>44</v>
      </c>
    </row>
    <row r="4332" spans="1:34" x14ac:dyDescent="0.3">
      <c r="A4332">
        <v>101</v>
      </c>
      <c r="B4332" t="s">
        <v>34</v>
      </c>
      <c r="C4332">
        <v>2</v>
      </c>
      <c r="D4332" s="1" t="s">
        <v>11143</v>
      </c>
      <c r="E4332" s="1" t="s">
        <v>36</v>
      </c>
      <c r="G4332">
        <v>458938</v>
      </c>
      <c r="H4332" t="s">
        <v>11126</v>
      </c>
      <c r="I4332" t="s">
        <v>2413</v>
      </c>
      <c r="J4332">
        <v>30</v>
      </c>
      <c r="K4332">
        <v>2695</v>
      </c>
      <c r="L4332">
        <v>95000</v>
      </c>
      <c r="M4332" t="s">
        <v>69</v>
      </c>
      <c r="N4332">
        <v>691</v>
      </c>
      <c r="O4332" s="2">
        <v>46170</v>
      </c>
      <c r="P4332" s="2">
        <v>46286</v>
      </c>
      <c r="R4332" t="s">
        <v>11144</v>
      </c>
      <c r="S4332" t="str">
        <f>""</f>
        <v/>
      </c>
      <c r="T4332" t="s">
        <v>41</v>
      </c>
      <c r="U4332">
        <v>2741</v>
      </c>
      <c r="V4332">
        <v>2710.85</v>
      </c>
      <c r="W4332">
        <v>2710.85</v>
      </c>
      <c r="X4332">
        <v>0</v>
      </c>
      <c r="Y4332">
        <v>0</v>
      </c>
      <c r="Z4332">
        <v>-511</v>
      </c>
      <c r="AA4332">
        <v>689517</v>
      </c>
      <c r="AD4332" t="s">
        <v>9991</v>
      </c>
      <c r="AE4332" t="s">
        <v>2567</v>
      </c>
      <c r="AF4332" t="s">
        <v>9991</v>
      </c>
      <c r="AG4332" s="1" t="s">
        <v>11128</v>
      </c>
      <c r="AH4332" t="s">
        <v>44</v>
      </c>
    </row>
    <row r="4333" spans="1:34" x14ac:dyDescent="0.3">
      <c r="A4333">
        <v>101</v>
      </c>
      <c r="B4333" t="s">
        <v>34</v>
      </c>
      <c r="C4333">
        <v>2</v>
      </c>
      <c r="D4333" s="1" t="s">
        <v>11145</v>
      </c>
      <c r="E4333" s="1" t="s">
        <v>36</v>
      </c>
      <c r="G4333">
        <v>458938</v>
      </c>
      <c r="H4333" t="s">
        <v>11126</v>
      </c>
      <c r="I4333" t="s">
        <v>2413</v>
      </c>
      <c r="J4333">
        <v>30</v>
      </c>
      <c r="K4333">
        <v>2695</v>
      </c>
      <c r="L4333">
        <v>95000</v>
      </c>
      <c r="M4333" t="s">
        <v>69</v>
      </c>
      <c r="N4333">
        <v>691</v>
      </c>
      <c r="O4333" s="2">
        <v>46253</v>
      </c>
      <c r="P4333" s="2">
        <v>46343</v>
      </c>
      <c r="R4333" t="s">
        <v>11146</v>
      </c>
      <c r="S4333" t="str">
        <f>""</f>
        <v/>
      </c>
      <c r="T4333" t="s">
        <v>41</v>
      </c>
      <c r="U4333">
        <v>2653.5</v>
      </c>
      <c r="V4333">
        <v>2624.31</v>
      </c>
      <c r="W4333">
        <v>2624.31</v>
      </c>
      <c r="X4333">
        <v>0</v>
      </c>
      <c r="Y4333">
        <v>0</v>
      </c>
      <c r="Z4333">
        <v>-568</v>
      </c>
      <c r="AA4333">
        <v>697051</v>
      </c>
      <c r="AD4333" t="s">
        <v>9991</v>
      </c>
      <c r="AE4333" t="s">
        <v>2567</v>
      </c>
      <c r="AF4333" t="s">
        <v>9991</v>
      </c>
      <c r="AG4333" s="1" t="s">
        <v>11128</v>
      </c>
      <c r="AH4333" t="s">
        <v>44</v>
      </c>
    </row>
    <row r="4334" spans="1:34" x14ac:dyDescent="0.3">
      <c r="A4334">
        <v>101</v>
      </c>
      <c r="B4334" t="s">
        <v>34</v>
      </c>
      <c r="C4334">
        <v>2</v>
      </c>
      <c r="D4334" s="1" t="s">
        <v>11147</v>
      </c>
      <c r="E4334" s="1" t="s">
        <v>36</v>
      </c>
      <c r="G4334">
        <v>460828</v>
      </c>
      <c r="H4334" t="s">
        <v>11148</v>
      </c>
      <c r="I4334" t="s">
        <v>2413</v>
      </c>
      <c r="J4334">
        <v>30</v>
      </c>
      <c r="K4334">
        <v>2695</v>
      </c>
      <c r="L4334">
        <v>95000</v>
      </c>
      <c r="M4334" t="s">
        <v>69</v>
      </c>
      <c r="N4334">
        <v>691</v>
      </c>
      <c r="O4334" s="2">
        <v>46199</v>
      </c>
      <c r="P4334" s="2">
        <v>46308</v>
      </c>
      <c r="R4334" t="s">
        <v>11149</v>
      </c>
      <c r="S4334" t="str">
        <f>""</f>
        <v/>
      </c>
      <c r="T4334" t="s">
        <v>41</v>
      </c>
      <c r="U4334">
        <v>884.5</v>
      </c>
      <c r="V4334">
        <v>874.77</v>
      </c>
      <c r="W4334">
        <v>874.77</v>
      </c>
      <c r="X4334">
        <v>0</v>
      </c>
      <c r="Y4334">
        <v>0</v>
      </c>
      <c r="Z4334">
        <v>-533</v>
      </c>
      <c r="AA4334">
        <v>692568</v>
      </c>
      <c r="AD4334" t="s">
        <v>64</v>
      </c>
      <c r="AE4334">
        <v>11341150000</v>
      </c>
      <c r="AF4334" t="s">
        <v>64</v>
      </c>
      <c r="AG4334" s="1" t="s">
        <v>11150</v>
      </c>
      <c r="AH4334" t="s">
        <v>44</v>
      </c>
    </row>
    <row r="4335" spans="1:34" x14ac:dyDescent="0.3">
      <c r="A4335">
        <v>101</v>
      </c>
      <c r="B4335" t="s">
        <v>34</v>
      </c>
      <c r="C4335">
        <v>2</v>
      </c>
      <c r="D4335" s="1" t="s">
        <v>11151</v>
      </c>
      <c r="E4335" s="1" t="s">
        <v>36</v>
      </c>
      <c r="G4335">
        <v>460828</v>
      </c>
      <c r="H4335" t="s">
        <v>11148</v>
      </c>
      <c r="I4335" t="s">
        <v>2413</v>
      </c>
      <c r="J4335">
        <v>30</v>
      </c>
      <c r="K4335">
        <v>2695</v>
      </c>
      <c r="L4335">
        <v>95000</v>
      </c>
      <c r="M4335" t="s">
        <v>69</v>
      </c>
      <c r="N4335">
        <v>691</v>
      </c>
      <c r="O4335" s="2">
        <v>46226</v>
      </c>
      <c r="P4335" s="2">
        <v>46349</v>
      </c>
      <c r="R4335" t="s">
        <v>11152</v>
      </c>
      <c r="S4335" t="str">
        <f>""</f>
        <v/>
      </c>
      <c r="T4335" t="s">
        <v>41</v>
      </c>
      <c r="U4335">
        <v>8725.14</v>
      </c>
      <c r="V4335">
        <v>8629.16</v>
      </c>
      <c r="W4335">
        <v>8629.16</v>
      </c>
      <c r="X4335">
        <v>0</v>
      </c>
      <c r="Y4335">
        <v>0</v>
      </c>
      <c r="Z4335">
        <v>-574</v>
      </c>
      <c r="AA4335">
        <v>695001</v>
      </c>
      <c r="AD4335" t="s">
        <v>64</v>
      </c>
      <c r="AE4335">
        <v>11341150000</v>
      </c>
      <c r="AF4335" t="s">
        <v>64</v>
      </c>
      <c r="AG4335" s="1" t="s">
        <v>11150</v>
      </c>
      <c r="AH4335" t="s">
        <v>44</v>
      </c>
    </row>
    <row r="4336" spans="1:34" x14ac:dyDescent="0.3">
      <c r="A4336">
        <v>101</v>
      </c>
      <c r="B4336" t="s">
        <v>34</v>
      </c>
      <c r="C4336">
        <v>2</v>
      </c>
      <c r="D4336" s="1" t="s">
        <v>11153</v>
      </c>
      <c r="E4336" s="1" t="s">
        <v>36</v>
      </c>
      <c r="G4336">
        <v>460828</v>
      </c>
      <c r="H4336" t="s">
        <v>11148</v>
      </c>
      <c r="I4336" t="s">
        <v>2413</v>
      </c>
      <c r="J4336">
        <v>30</v>
      </c>
      <c r="K4336">
        <v>2695</v>
      </c>
      <c r="L4336">
        <v>95000</v>
      </c>
      <c r="M4336" t="s">
        <v>69</v>
      </c>
      <c r="N4336">
        <v>691</v>
      </c>
      <c r="O4336" s="2">
        <v>46140</v>
      </c>
      <c r="P4336" s="2">
        <v>46266</v>
      </c>
      <c r="R4336" t="s">
        <v>11154</v>
      </c>
      <c r="S4336" t="str">
        <f>""</f>
        <v/>
      </c>
      <c r="T4336" t="s">
        <v>41</v>
      </c>
      <c r="U4336">
        <v>136.76</v>
      </c>
      <c r="V4336">
        <v>135.26</v>
      </c>
      <c r="W4336">
        <v>135.26</v>
      </c>
      <c r="X4336">
        <v>0</v>
      </c>
      <c r="Y4336">
        <v>0</v>
      </c>
      <c r="Z4336">
        <v>-491</v>
      </c>
      <c r="AA4336">
        <v>686769</v>
      </c>
      <c r="AD4336" t="s">
        <v>64</v>
      </c>
      <c r="AE4336">
        <v>11341150000</v>
      </c>
      <c r="AF4336" t="s">
        <v>64</v>
      </c>
      <c r="AG4336" s="1" t="s">
        <v>11150</v>
      </c>
      <c r="AH4336" t="s">
        <v>44</v>
      </c>
    </row>
    <row r="4337" spans="1:34" x14ac:dyDescent="0.3">
      <c r="A4337">
        <v>101</v>
      </c>
      <c r="B4337" t="s">
        <v>34</v>
      </c>
      <c r="C4337">
        <v>2</v>
      </c>
      <c r="D4337" s="1" t="s">
        <v>11155</v>
      </c>
      <c r="E4337" s="1" t="s">
        <v>36</v>
      </c>
      <c r="G4337">
        <v>460828</v>
      </c>
      <c r="H4337" t="s">
        <v>11148</v>
      </c>
      <c r="I4337" t="s">
        <v>2413</v>
      </c>
      <c r="J4337">
        <v>30</v>
      </c>
      <c r="K4337">
        <v>2695</v>
      </c>
      <c r="L4337">
        <v>95000</v>
      </c>
      <c r="M4337" t="s">
        <v>69</v>
      </c>
      <c r="N4337">
        <v>691</v>
      </c>
      <c r="O4337" s="2">
        <v>46253</v>
      </c>
      <c r="P4337" s="2">
        <v>46343</v>
      </c>
      <c r="R4337" t="s">
        <v>11156</v>
      </c>
      <c r="S4337" t="str">
        <f>""</f>
        <v/>
      </c>
      <c r="T4337" t="s">
        <v>41</v>
      </c>
      <c r="U4337">
        <v>2653.5</v>
      </c>
      <c r="V4337">
        <v>2624.31</v>
      </c>
      <c r="W4337">
        <v>2624.31</v>
      </c>
      <c r="X4337">
        <v>0</v>
      </c>
      <c r="Y4337">
        <v>0</v>
      </c>
      <c r="Z4337">
        <v>-568</v>
      </c>
      <c r="AA4337">
        <v>697023</v>
      </c>
      <c r="AD4337" t="s">
        <v>64</v>
      </c>
      <c r="AE4337">
        <v>11341150000</v>
      </c>
      <c r="AF4337" t="s">
        <v>64</v>
      </c>
      <c r="AG4337" s="1" t="s">
        <v>11150</v>
      </c>
      <c r="AH4337" t="s">
        <v>44</v>
      </c>
    </row>
    <row r="4338" spans="1:34" x14ac:dyDescent="0.3">
      <c r="A4338">
        <v>101</v>
      </c>
      <c r="B4338" t="s">
        <v>34</v>
      </c>
      <c r="C4338">
        <v>2</v>
      </c>
      <c r="D4338" s="1" t="s">
        <v>11157</v>
      </c>
      <c r="E4338" s="1" t="s">
        <v>36</v>
      </c>
      <c r="G4338">
        <v>460828</v>
      </c>
      <c r="H4338" t="s">
        <v>11148</v>
      </c>
      <c r="I4338" t="s">
        <v>2413</v>
      </c>
      <c r="J4338">
        <v>30</v>
      </c>
      <c r="K4338">
        <v>2695</v>
      </c>
      <c r="L4338">
        <v>95000</v>
      </c>
      <c r="M4338" t="s">
        <v>69</v>
      </c>
      <c r="N4338">
        <v>691</v>
      </c>
      <c r="O4338" s="2">
        <v>46171</v>
      </c>
      <c r="P4338" s="2">
        <v>46286</v>
      </c>
      <c r="R4338" t="s">
        <v>11158</v>
      </c>
      <c r="S4338" t="str">
        <f>""</f>
        <v/>
      </c>
      <c r="T4338" t="s">
        <v>41</v>
      </c>
      <c r="U4338">
        <v>2134.8000000000002</v>
      </c>
      <c r="V4338">
        <v>2111.3200000000002</v>
      </c>
      <c r="W4338">
        <v>2111.3200000000002</v>
      </c>
      <c r="X4338">
        <v>0</v>
      </c>
      <c r="Y4338">
        <v>0</v>
      </c>
      <c r="Z4338">
        <v>-511</v>
      </c>
      <c r="AA4338">
        <v>689136</v>
      </c>
      <c r="AD4338" t="s">
        <v>64</v>
      </c>
      <c r="AE4338">
        <v>11341150000</v>
      </c>
      <c r="AF4338" t="s">
        <v>64</v>
      </c>
      <c r="AG4338" s="1" t="s">
        <v>11150</v>
      </c>
      <c r="AH4338" t="s">
        <v>44</v>
      </c>
    </row>
    <row r="4339" spans="1:34" x14ac:dyDescent="0.3">
      <c r="A4339">
        <v>101</v>
      </c>
      <c r="B4339" t="s">
        <v>34</v>
      </c>
      <c r="C4339">
        <v>2</v>
      </c>
      <c r="D4339" s="1" t="s">
        <v>11159</v>
      </c>
      <c r="E4339" s="1" t="s">
        <v>36</v>
      </c>
      <c r="G4339">
        <v>460828</v>
      </c>
      <c r="H4339" t="s">
        <v>11148</v>
      </c>
      <c r="I4339" t="s">
        <v>2413</v>
      </c>
      <c r="J4339">
        <v>30</v>
      </c>
      <c r="K4339">
        <v>2695</v>
      </c>
      <c r="L4339">
        <v>95000</v>
      </c>
      <c r="M4339" t="s">
        <v>69</v>
      </c>
      <c r="N4339">
        <v>691</v>
      </c>
      <c r="O4339" s="2">
        <v>46197</v>
      </c>
      <c r="P4339" s="2">
        <v>46308</v>
      </c>
      <c r="R4339" t="s">
        <v>11160</v>
      </c>
      <c r="S4339" t="str">
        <f>""</f>
        <v/>
      </c>
      <c r="T4339" t="s">
        <v>41</v>
      </c>
      <c r="U4339">
        <v>11852.95</v>
      </c>
      <c r="V4339">
        <v>11722.57</v>
      </c>
      <c r="W4339">
        <v>11722.57</v>
      </c>
      <c r="X4339">
        <v>0</v>
      </c>
      <c r="Y4339">
        <v>0</v>
      </c>
      <c r="Z4339">
        <v>-533</v>
      </c>
      <c r="AA4339">
        <v>692098</v>
      </c>
      <c r="AD4339" t="s">
        <v>64</v>
      </c>
      <c r="AE4339">
        <v>11341150000</v>
      </c>
      <c r="AF4339" t="s">
        <v>64</v>
      </c>
      <c r="AG4339" s="1" t="s">
        <v>11150</v>
      </c>
      <c r="AH4339" t="s">
        <v>44</v>
      </c>
    </row>
    <row r="4340" spans="1:34" x14ac:dyDescent="0.3">
      <c r="A4340">
        <v>101</v>
      </c>
      <c r="B4340" t="s">
        <v>34</v>
      </c>
      <c r="C4340">
        <v>2</v>
      </c>
      <c r="D4340" s="1" t="s">
        <v>11161</v>
      </c>
      <c r="E4340" s="1" t="s">
        <v>36</v>
      </c>
      <c r="G4340">
        <v>460828</v>
      </c>
      <c r="H4340" t="s">
        <v>11148</v>
      </c>
      <c r="I4340" t="s">
        <v>2413</v>
      </c>
      <c r="J4340">
        <v>30</v>
      </c>
      <c r="K4340">
        <v>2695</v>
      </c>
      <c r="L4340">
        <v>95000</v>
      </c>
      <c r="M4340" t="s">
        <v>69</v>
      </c>
      <c r="N4340">
        <v>691</v>
      </c>
      <c r="O4340" s="2">
        <v>46170</v>
      </c>
      <c r="P4340" s="2">
        <v>46286</v>
      </c>
      <c r="R4340" t="s">
        <v>11162</v>
      </c>
      <c r="S4340" t="str">
        <f>""</f>
        <v/>
      </c>
      <c r="T4340" t="s">
        <v>41</v>
      </c>
      <c r="U4340">
        <v>2741</v>
      </c>
      <c r="V4340">
        <v>2710.85</v>
      </c>
      <c r="W4340">
        <v>2710.85</v>
      </c>
      <c r="X4340">
        <v>0</v>
      </c>
      <c r="Y4340">
        <v>0</v>
      </c>
      <c r="Z4340">
        <v>-511</v>
      </c>
      <c r="AA4340">
        <v>689425</v>
      </c>
      <c r="AD4340" t="s">
        <v>64</v>
      </c>
      <c r="AE4340">
        <v>11341150000</v>
      </c>
      <c r="AF4340" t="s">
        <v>64</v>
      </c>
      <c r="AG4340" s="1" t="s">
        <v>11150</v>
      </c>
      <c r="AH4340" t="s">
        <v>44</v>
      </c>
    </row>
    <row r="4341" spans="1:34" x14ac:dyDescent="0.3">
      <c r="A4341">
        <v>101</v>
      </c>
      <c r="B4341" t="s">
        <v>34</v>
      </c>
      <c r="C4341">
        <v>2</v>
      </c>
      <c r="D4341" s="1" t="s">
        <v>11163</v>
      </c>
      <c r="E4341" s="1" t="s">
        <v>36</v>
      </c>
      <c r="G4341">
        <v>460828</v>
      </c>
      <c r="H4341" t="s">
        <v>11148</v>
      </c>
      <c r="I4341" t="s">
        <v>2413</v>
      </c>
      <c r="J4341">
        <v>30</v>
      </c>
      <c r="K4341">
        <v>2695</v>
      </c>
      <c r="L4341">
        <v>95000</v>
      </c>
      <c r="M4341" t="s">
        <v>69</v>
      </c>
      <c r="N4341">
        <v>691</v>
      </c>
      <c r="O4341" s="2">
        <v>46170</v>
      </c>
      <c r="P4341" s="2">
        <v>46286</v>
      </c>
      <c r="R4341" t="s">
        <v>11164</v>
      </c>
      <c r="S4341" t="str">
        <f>""</f>
        <v/>
      </c>
      <c r="T4341" t="s">
        <v>41</v>
      </c>
      <c r="U4341">
        <v>20751.14</v>
      </c>
      <c r="V4341">
        <v>20522.88</v>
      </c>
      <c r="W4341">
        <v>20522.88</v>
      </c>
      <c r="X4341">
        <v>0</v>
      </c>
      <c r="Y4341">
        <v>0</v>
      </c>
      <c r="Z4341">
        <v>-511</v>
      </c>
      <c r="AA4341">
        <v>689136</v>
      </c>
      <c r="AD4341" t="s">
        <v>64</v>
      </c>
      <c r="AE4341">
        <v>11341150000</v>
      </c>
      <c r="AF4341" t="s">
        <v>64</v>
      </c>
      <c r="AG4341" s="1" t="s">
        <v>11150</v>
      </c>
      <c r="AH4341" t="s">
        <v>44</v>
      </c>
    </row>
    <row r="4342" spans="1:34" x14ac:dyDescent="0.3">
      <c r="A4342">
        <v>101</v>
      </c>
      <c r="B4342" t="s">
        <v>34</v>
      </c>
      <c r="C4342">
        <v>2</v>
      </c>
      <c r="D4342" s="1" t="s">
        <v>11165</v>
      </c>
      <c r="E4342" s="1" t="s">
        <v>36</v>
      </c>
      <c r="G4342">
        <v>460828</v>
      </c>
      <c r="H4342" t="s">
        <v>11148</v>
      </c>
      <c r="I4342" t="s">
        <v>2413</v>
      </c>
      <c r="J4342">
        <v>30</v>
      </c>
      <c r="K4342">
        <v>2695</v>
      </c>
      <c r="L4342">
        <v>95000</v>
      </c>
      <c r="M4342" t="s">
        <v>69</v>
      </c>
      <c r="N4342">
        <v>691</v>
      </c>
      <c r="O4342" s="2">
        <v>46140</v>
      </c>
      <c r="P4342" s="2">
        <v>46266</v>
      </c>
      <c r="R4342" t="s">
        <v>11166</v>
      </c>
      <c r="S4342" t="str">
        <f>""</f>
        <v/>
      </c>
      <c r="T4342" t="s">
        <v>41</v>
      </c>
      <c r="U4342">
        <v>731.7</v>
      </c>
      <c r="V4342">
        <v>723.65</v>
      </c>
      <c r="W4342">
        <v>723.65</v>
      </c>
      <c r="X4342">
        <v>0</v>
      </c>
      <c r="Y4342">
        <v>0</v>
      </c>
      <c r="Z4342">
        <v>-491</v>
      </c>
      <c r="AA4342">
        <v>686858</v>
      </c>
      <c r="AD4342" t="s">
        <v>64</v>
      </c>
      <c r="AE4342">
        <v>11341150000</v>
      </c>
      <c r="AF4342" t="s">
        <v>64</v>
      </c>
      <c r="AG4342" s="1" t="s">
        <v>11150</v>
      </c>
      <c r="AH4342" t="s">
        <v>44</v>
      </c>
    </row>
    <row r="4343" spans="1:34" x14ac:dyDescent="0.3">
      <c r="A4343">
        <v>101</v>
      </c>
      <c r="B4343" t="s">
        <v>34</v>
      </c>
      <c r="C4343">
        <v>2</v>
      </c>
      <c r="D4343" s="1" t="s">
        <v>11167</v>
      </c>
      <c r="E4343" s="1" t="s">
        <v>36</v>
      </c>
      <c r="G4343">
        <v>460828</v>
      </c>
      <c r="H4343" t="s">
        <v>11148</v>
      </c>
      <c r="I4343" t="s">
        <v>2413</v>
      </c>
      <c r="J4343">
        <v>30</v>
      </c>
      <c r="K4343">
        <v>2695</v>
      </c>
      <c r="L4343">
        <v>95000</v>
      </c>
      <c r="M4343" t="s">
        <v>69</v>
      </c>
      <c r="N4343">
        <v>691</v>
      </c>
      <c r="O4343" s="2">
        <v>46140</v>
      </c>
      <c r="P4343" s="2">
        <v>46266</v>
      </c>
      <c r="R4343" t="s">
        <v>11168</v>
      </c>
      <c r="S4343" t="str">
        <f>""</f>
        <v/>
      </c>
      <c r="T4343" t="s">
        <v>41</v>
      </c>
      <c r="U4343">
        <v>18531.16</v>
      </c>
      <c r="V4343">
        <v>18327.32</v>
      </c>
      <c r="W4343">
        <v>18327.32</v>
      </c>
      <c r="X4343">
        <v>0</v>
      </c>
      <c r="Y4343">
        <v>0</v>
      </c>
      <c r="Z4343">
        <v>-491</v>
      </c>
      <c r="AA4343">
        <v>686534</v>
      </c>
      <c r="AD4343" t="s">
        <v>64</v>
      </c>
      <c r="AE4343">
        <v>11341150000</v>
      </c>
      <c r="AF4343" t="s">
        <v>64</v>
      </c>
      <c r="AG4343" s="1" t="s">
        <v>11150</v>
      </c>
      <c r="AH4343" t="s">
        <v>44</v>
      </c>
    </row>
    <row r="4344" spans="1:34" x14ac:dyDescent="0.3">
      <c r="A4344">
        <v>101</v>
      </c>
      <c r="B4344" t="s">
        <v>34</v>
      </c>
      <c r="C4344">
        <v>2</v>
      </c>
      <c r="D4344" s="1" t="s">
        <v>11169</v>
      </c>
      <c r="E4344" s="1" t="s">
        <v>36</v>
      </c>
      <c r="G4344">
        <v>460828</v>
      </c>
      <c r="H4344" t="s">
        <v>11148</v>
      </c>
      <c r="I4344" t="s">
        <v>2413</v>
      </c>
      <c r="J4344">
        <v>30</v>
      </c>
      <c r="K4344">
        <v>2695</v>
      </c>
      <c r="L4344">
        <v>95000</v>
      </c>
      <c r="M4344" t="s">
        <v>69</v>
      </c>
      <c r="N4344">
        <v>691</v>
      </c>
      <c r="O4344" s="2">
        <v>46239</v>
      </c>
      <c r="P4344" s="2">
        <v>46349</v>
      </c>
      <c r="R4344" t="s">
        <v>11170</v>
      </c>
      <c r="S4344" t="str">
        <f>""</f>
        <v/>
      </c>
      <c r="T4344" t="s">
        <v>41</v>
      </c>
      <c r="U4344">
        <v>2470.17</v>
      </c>
      <c r="V4344">
        <v>2443</v>
      </c>
      <c r="W4344">
        <v>2443</v>
      </c>
      <c r="X4344">
        <v>0</v>
      </c>
      <c r="Y4344">
        <v>0</v>
      </c>
      <c r="Z4344">
        <v>-574</v>
      </c>
      <c r="AA4344">
        <v>696247</v>
      </c>
      <c r="AD4344" t="s">
        <v>64</v>
      </c>
      <c r="AE4344">
        <v>11341150000</v>
      </c>
      <c r="AF4344" t="s">
        <v>64</v>
      </c>
      <c r="AG4344" s="1" t="s">
        <v>11150</v>
      </c>
      <c r="AH4344" t="s">
        <v>44</v>
      </c>
    </row>
    <row r="4345" spans="1:34" x14ac:dyDescent="0.3">
      <c r="A4345">
        <v>101</v>
      </c>
      <c r="B4345" t="s">
        <v>34</v>
      </c>
      <c r="C4345">
        <v>2</v>
      </c>
      <c r="D4345" s="1" t="s">
        <v>11171</v>
      </c>
      <c r="E4345" s="1" t="s">
        <v>36</v>
      </c>
      <c r="G4345">
        <v>460829</v>
      </c>
      <c r="H4345" t="s">
        <v>11172</v>
      </c>
      <c r="I4345" t="s">
        <v>2413</v>
      </c>
      <c r="J4345">
        <v>30</v>
      </c>
      <c r="K4345">
        <v>2695</v>
      </c>
      <c r="L4345">
        <v>95000</v>
      </c>
      <c r="M4345" t="s">
        <v>69</v>
      </c>
      <c r="N4345">
        <v>691</v>
      </c>
      <c r="O4345" s="2">
        <v>46253</v>
      </c>
      <c r="P4345" s="2">
        <v>46343</v>
      </c>
      <c r="R4345" t="s">
        <v>11173</v>
      </c>
      <c r="S4345" t="str">
        <f>""</f>
        <v/>
      </c>
      <c r="T4345" t="s">
        <v>41</v>
      </c>
      <c r="U4345">
        <v>3538</v>
      </c>
      <c r="V4345">
        <v>3499.08</v>
      </c>
      <c r="W4345">
        <v>3499.08</v>
      </c>
      <c r="X4345">
        <v>0</v>
      </c>
      <c r="Y4345">
        <v>0</v>
      </c>
      <c r="Z4345">
        <v>-568</v>
      </c>
      <c r="AA4345">
        <v>697045</v>
      </c>
      <c r="AD4345" t="s">
        <v>64</v>
      </c>
      <c r="AE4345">
        <v>1134115000</v>
      </c>
      <c r="AF4345" t="s">
        <v>64</v>
      </c>
      <c r="AG4345" s="1" t="s">
        <v>11174</v>
      </c>
      <c r="AH4345" t="s">
        <v>44</v>
      </c>
    </row>
    <row r="4346" spans="1:34" x14ac:dyDescent="0.3">
      <c r="A4346">
        <v>101</v>
      </c>
      <c r="B4346" t="s">
        <v>34</v>
      </c>
      <c r="C4346">
        <v>2</v>
      </c>
      <c r="D4346" s="1" t="s">
        <v>11175</v>
      </c>
      <c r="E4346" s="1" t="s">
        <v>36</v>
      </c>
      <c r="G4346">
        <v>460829</v>
      </c>
      <c r="H4346" t="s">
        <v>11172</v>
      </c>
      <c r="I4346" t="s">
        <v>2413</v>
      </c>
      <c r="J4346">
        <v>30</v>
      </c>
      <c r="K4346">
        <v>2695</v>
      </c>
      <c r="L4346">
        <v>95000</v>
      </c>
      <c r="M4346" t="s">
        <v>69</v>
      </c>
      <c r="N4346">
        <v>691</v>
      </c>
      <c r="O4346" s="2">
        <v>46199</v>
      </c>
      <c r="P4346" s="2">
        <v>46308</v>
      </c>
      <c r="R4346" t="s">
        <v>11176</v>
      </c>
      <c r="S4346" t="str">
        <f>""</f>
        <v/>
      </c>
      <c r="T4346" t="s">
        <v>41</v>
      </c>
      <c r="U4346">
        <v>1769</v>
      </c>
      <c r="V4346">
        <v>1749.54</v>
      </c>
      <c r="W4346">
        <v>1749.54</v>
      </c>
      <c r="X4346">
        <v>0</v>
      </c>
      <c r="Y4346">
        <v>0</v>
      </c>
      <c r="Z4346">
        <v>-533</v>
      </c>
      <c r="AA4346">
        <v>692590</v>
      </c>
      <c r="AD4346" t="s">
        <v>64</v>
      </c>
      <c r="AE4346">
        <v>1134115000</v>
      </c>
      <c r="AF4346" t="s">
        <v>64</v>
      </c>
      <c r="AG4346" s="1" t="s">
        <v>11174</v>
      </c>
      <c r="AH4346" t="s">
        <v>44</v>
      </c>
    </row>
    <row r="4347" spans="1:34" x14ac:dyDescent="0.3">
      <c r="A4347">
        <v>101</v>
      </c>
      <c r="B4347" t="s">
        <v>34</v>
      </c>
      <c r="C4347">
        <v>2</v>
      </c>
      <c r="D4347" s="1" t="s">
        <v>11177</v>
      </c>
      <c r="E4347" s="1" t="s">
        <v>36</v>
      </c>
      <c r="G4347">
        <v>460829</v>
      </c>
      <c r="H4347" t="s">
        <v>11172</v>
      </c>
      <c r="I4347" t="s">
        <v>2413</v>
      </c>
      <c r="J4347">
        <v>30</v>
      </c>
      <c r="K4347">
        <v>2695</v>
      </c>
      <c r="L4347">
        <v>95000</v>
      </c>
      <c r="M4347" t="s">
        <v>69</v>
      </c>
      <c r="N4347">
        <v>691</v>
      </c>
      <c r="O4347" s="2">
        <v>46140</v>
      </c>
      <c r="P4347" s="2">
        <v>46255</v>
      </c>
      <c r="R4347" t="s">
        <v>11178</v>
      </c>
      <c r="S4347" t="str">
        <f>""</f>
        <v/>
      </c>
      <c r="T4347" t="s">
        <v>41</v>
      </c>
      <c r="U4347">
        <v>1213.7</v>
      </c>
      <c r="V4347">
        <v>1200.3499999999999</v>
      </c>
      <c r="W4347">
        <v>1200.3499999999999</v>
      </c>
      <c r="X4347">
        <v>0</v>
      </c>
      <c r="Y4347">
        <v>0</v>
      </c>
      <c r="Z4347">
        <v>-480</v>
      </c>
      <c r="AA4347">
        <v>686815</v>
      </c>
      <c r="AD4347" t="s">
        <v>64</v>
      </c>
      <c r="AE4347">
        <v>1134115000</v>
      </c>
      <c r="AF4347" t="s">
        <v>64</v>
      </c>
      <c r="AG4347" s="1" t="s">
        <v>11174</v>
      </c>
      <c r="AH4347" t="s">
        <v>44</v>
      </c>
    </row>
    <row r="4348" spans="1:34" x14ac:dyDescent="0.3">
      <c r="A4348">
        <v>101</v>
      </c>
      <c r="B4348" t="s">
        <v>34</v>
      </c>
      <c r="C4348">
        <v>2</v>
      </c>
      <c r="D4348" s="1" t="s">
        <v>11179</v>
      </c>
      <c r="E4348" s="1" t="s">
        <v>36</v>
      </c>
      <c r="G4348">
        <v>460829</v>
      </c>
      <c r="H4348" t="s">
        <v>11172</v>
      </c>
      <c r="I4348" t="s">
        <v>2413</v>
      </c>
      <c r="J4348">
        <v>30</v>
      </c>
      <c r="K4348">
        <v>2695</v>
      </c>
      <c r="L4348">
        <v>95000</v>
      </c>
      <c r="M4348" t="s">
        <v>69</v>
      </c>
      <c r="N4348">
        <v>691</v>
      </c>
      <c r="O4348" s="2">
        <v>46197</v>
      </c>
      <c r="P4348" s="2">
        <v>46308</v>
      </c>
      <c r="R4348" t="s">
        <v>11180</v>
      </c>
      <c r="S4348" t="str">
        <f>""</f>
        <v/>
      </c>
      <c r="T4348" t="s">
        <v>41</v>
      </c>
      <c r="U4348">
        <v>10730.97</v>
      </c>
      <c r="V4348">
        <v>10612.93</v>
      </c>
      <c r="W4348">
        <v>10612.93</v>
      </c>
      <c r="X4348">
        <v>0</v>
      </c>
      <c r="Y4348">
        <v>0</v>
      </c>
      <c r="Z4348">
        <v>-533</v>
      </c>
      <c r="AA4348">
        <v>692306</v>
      </c>
      <c r="AD4348" t="s">
        <v>64</v>
      </c>
      <c r="AE4348">
        <v>1134115000</v>
      </c>
      <c r="AF4348" t="s">
        <v>64</v>
      </c>
      <c r="AG4348" s="1" t="s">
        <v>11174</v>
      </c>
      <c r="AH4348" t="s">
        <v>44</v>
      </c>
    </row>
    <row r="4349" spans="1:34" x14ac:dyDescent="0.3">
      <c r="A4349">
        <v>101</v>
      </c>
      <c r="B4349" t="s">
        <v>34</v>
      </c>
      <c r="C4349">
        <v>2</v>
      </c>
      <c r="D4349" s="1" t="s">
        <v>11181</v>
      </c>
      <c r="E4349" s="1" t="s">
        <v>36</v>
      </c>
      <c r="G4349">
        <v>460829</v>
      </c>
      <c r="H4349" t="s">
        <v>11172</v>
      </c>
      <c r="I4349" t="s">
        <v>2413</v>
      </c>
      <c r="J4349">
        <v>30</v>
      </c>
      <c r="K4349">
        <v>2695</v>
      </c>
      <c r="L4349">
        <v>95000</v>
      </c>
      <c r="M4349" t="s">
        <v>69</v>
      </c>
      <c r="N4349">
        <v>691</v>
      </c>
      <c r="O4349" s="2">
        <v>46170</v>
      </c>
      <c r="P4349" s="2">
        <v>46286</v>
      </c>
      <c r="R4349" t="s">
        <v>11182</v>
      </c>
      <c r="S4349" t="str">
        <f>""</f>
        <v/>
      </c>
      <c r="T4349" t="s">
        <v>41</v>
      </c>
      <c r="U4349">
        <v>18343</v>
      </c>
      <c r="V4349">
        <v>18141.23</v>
      </c>
      <c r="W4349">
        <v>18141.23</v>
      </c>
      <c r="X4349">
        <v>0</v>
      </c>
      <c r="Y4349">
        <v>0</v>
      </c>
      <c r="Z4349">
        <v>-511</v>
      </c>
      <c r="AA4349">
        <v>689346</v>
      </c>
      <c r="AD4349" t="s">
        <v>64</v>
      </c>
      <c r="AE4349">
        <v>1134115000</v>
      </c>
      <c r="AF4349" t="s">
        <v>64</v>
      </c>
      <c r="AG4349" s="1" t="s">
        <v>11174</v>
      </c>
      <c r="AH4349" t="s">
        <v>44</v>
      </c>
    </row>
    <row r="4350" spans="1:34" x14ac:dyDescent="0.3">
      <c r="A4350">
        <v>101</v>
      </c>
      <c r="B4350" t="s">
        <v>34</v>
      </c>
      <c r="C4350">
        <v>2</v>
      </c>
      <c r="D4350" s="1" t="s">
        <v>11183</v>
      </c>
      <c r="E4350" s="1" t="s">
        <v>36</v>
      </c>
      <c r="G4350">
        <v>460829</v>
      </c>
      <c r="H4350" t="s">
        <v>11172</v>
      </c>
      <c r="I4350" t="s">
        <v>2413</v>
      </c>
      <c r="J4350">
        <v>30</v>
      </c>
      <c r="K4350">
        <v>2695</v>
      </c>
      <c r="L4350">
        <v>95000</v>
      </c>
      <c r="M4350" t="s">
        <v>69</v>
      </c>
      <c r="N4350">
        <v>691</v>
      </c>
      <c r="O4350" s="2">
        <v>46199</v>
      </c>
      <c r="P4350" s="2">
        <v>46308</v>
      </c>
      <c r="R4350" t="s">
        <v>11184</v>
      </c>
      <c r="S4350" t="str">
        <f>""</f>
        <v/>
      </c>
      <c r="T4350" t="s">
        <v>41</v>
      </c>
      <c r="U4350">
        <v>2592.0300000000002</v>
      </c>
      <c r="V4350">
        <v>2563.52</v>
      </c>
      <c r="W4350">
        <v>2563.52</v>
      </c>
      <c r="X4350">
        <v>0</v>
      </c>
      <c r="Y4350">
        <v>0</v>
      </c>
      <c r="Z4350">
        <v>-533</v>
      </c>
      <c r="AA4350">
        <v>692837</v>
      </c>
      <c r="AD4350" t="s">
        <v>64</v>
      </c>
      <c r="AE4350">
        <v>1134115000</v>
      </c>
      <c r="AF4350" t="s">
        <v>64</v>
      </c>
      <c r="AG4350" s="1" t="s">
        <v>11174</v>
      </c>
      <c r="AH4350" t="s">
        <v>44</v>
      </c>
    </row>
    <row r="4351" spans="1:34" x14ac:dyDescent="0.3">
      <c r="A4351">
        <v>101</v>
      </c>
      <c r="B4351" t="s">
        <v>34</v>
      </c>
      <c r="C4351">
        <v>2</v>
      </c>
      <c r="D4351" s="1" t="s">
        <v>11185</v>
      </c>
      <c r="E4351" s="1" t="s">
        <v>36</v>
      </c>
      <c r="G4351">
        <v>460829</v>
      </c>
      <c r="H4351" t="s">
        <v>11172</v>
      </c>
      <c r="I4351" t="s">
        <v>2413</v>
      </c>
      <c r="J4351">
        <v>30</v>
      </c>
      <c r="K4351">
        <v>2695</v>
      </c>
      <c r="L4351">
        <v>95000</v>
      </c>
      <c r="M4351" t="s">
        <v>69</v>
      </c>
      <c r="N4351">
        <v>691</v>
      </c>
      <c r="O4351" s="2">
        <v>46140</v>
      </c>
      <c r="P4351" s="2">
        <v>46255</v>
      </c>
      <c r="R4351" t="s">
        <v>11186</v>
      </c>
      <c r="S4351" t="str">
        <f>""</f>
        <v/>
      </c>
      <c r="T4351" t="s">
        <v>41</v>
      </c>
      <c r="U4351">
        <v>23132.5</v>
      </c>
      <c r="V4351">
        <v>22878.04</v>
      </c>
      <c r="W4351">
        <v>22878.04</v>
      </c>
      <c r="X4351">
        <v>0</v>
      </c>
      <c r="Y4351">
        <v>0</v>
      </c>
      <c r="Z4351">
        <v>-480</v>
      </c>
      <c r="AA4351">
        <v>686746</v>
      </c>
      <c r="AD4351" t="s">
        <v>64</v>
      </c>
      <c r="AE4351">
        <v>1134115000</v>
      </c>
      <c r="AF4351" t="s">
        <v>64</v>
      </c>
      <c r="AG4351" s="1" t="s">
        <v>11174</v>
      </c>
      <c r="AH4351" t="s">
        <v>44</v>
      </c>
    </row>
    <row r="4352" spans="1:34" x14ac:dyDescent="0.3">
      <c r="A4352">
        <v>101</v>
      </c>
      <c r="B4352" t="s">
        <v>34</v>
      </c>
      <c r="C4352">
        <v>2</v>
      </c>
      <c r="D4352" s="1" t="s">
        <v>11187</v>
      </c>
      <c r="E4352" s="1" t="s">
        <v>36</v>
      </c>
      <c r="G4352">
        <v>460829</v>
      </c>
      <c r="H4352" t="s">
        <v>11172</v>
      </c>
      <c r="I4352" t="s">
        <v>2413</v>
      </c>
      <c r="J4352">
        <v>30</v>
      </c>
      <c r="K4352">
        <v>2695</v>
      </c>
      <c r="L4352">
        <v>95000</v>
      </c>
      <c r="M4352" t="s">
        <v>69</v>
      </c>
      <c r="N4352">
        <v>691</v>
      </c>
      <c r="O4352" s="2">
        <v>46239</v>
      </c>
      <c r="P4352" s="2">
        <v>46337</v>
      </c>
      <c r="R4352" t="s">
        <v>11188</v>
      </c>
      <c r="S4352" t="str">
        <f>""</f>
        <v/>
      </c>
      <c r="T4352" t="s">
        <v>41</v>
      </c>
      <c r="U4352">
        <v>3765.27</v>
      </c>
      <c r="V4352">
        <v>3723.85</v>
      </c>
      <c r="W4352">
        <v>3723.85</v>
      </c>
      <c r="X4352">
        <v>0</v>
      </c>
      <c r="Y4352">
        <v>0</v>
      </c>
      <c r="Z4352">
        <v>-562</v>
      </c>
      <c r="AA4352">
        <v>696269</v>
      </c>
      <c r="AD4352" t="s">
        <v>64</v>
      </c>
      <c r="AE4352">
        <v>1134115000</v>
      </c>
      <c r="AF4352" t="s">
        <v>64</v>
      </c>
      <c r="AG4352" s="1" t="s">
        <v>11174</v>
      </c>
      <c r="AH4352" t="s">
        <v>44</v>
      </c>
    </row>
    <row r="4353" spans="1:34" x14ac:dyDescent="0.3">
      <c r="A4353">
        <v>101</v>
      </c>
      <c r="B4353" t="s">
        <v>34</v>
      </c>
      <c r="C4353">
        <v>2</v>
      </c>
      <c r="D4353" s="1" t="s">
        <v>11189</v>
      </c>
      <c r="E4353" s="1" t="s">
        <v>36</v>
      </c>
      <c r="G4353">
        <v>460829</v>
      </c>
      <c r="H4353" t="s">
        <v>11172</v>
      </c>
      <c r="I4353" t="s">
        <v>2413</v>
      </c>
      <c r="J4353">
        <v>30</v>
      </c>
      <c r="K4353">
        <v>2695</v>
      </c>
      <c r="L4353">
        <v>95000</v>
      </c>
      <c r="M4353" t="s">
        <v>69</v>
      </c>
      <c r="N4353">
        <v>691</v>
      </c>
      <c r="O4353" s="2">
        <v>46171</v>
      </c>
      <c r="P4353" s="2">
        <v>46286</v>
      </c>
      <c r="R4353" t="s">
        <v>11190</v>
      </c>
      <c r="S4353" t="str">
        <f>""</f>
        <v/>
      </c>
      <c r="T4353" t="s">
        <v>41</v>
      </c>
      <c r="U4353">
        <v>2846.4</v>
      </c>
      <c r="V4353">
        <v>2815.09</v>
      </c>
      <c r="W4353">
        <v>2815.09</v>
      </c>
      <c r="X4353">
        <v>0</v>
      </c>
      <c r="Y4353">
        <v>0</v>
      </c>
      <c r="Z4353">
        <v>-511</v>
      </c>
      <c r="AA4353">
        <v>689346</v>
      </c>
      <c r="AD4353" t="s">
        <v>64</v>
      </c>
      <c r="AE4353">
        <v>1134115000</v>
      </c>
      <c r="AF4353" t="s">
        <v>64</v>
      </c>
      <c r="AG4353" s="1" t="s">
        <v>11174</v>
      </c>
      <c r="AH4353" t="s">
        <v>44</v>
      </c>
    </row>
    <row r="4354" spans="1:34" x14ac:dyDescent="0.3">
      <c r="A4354">
        <v>101</v>
      </c>
      <c r="B4354" t="s">
        <v>34</v>
      </c>
      <c r="C4354">
        <v>2</v>
      </c>
      <c r="D4354" s="1" t="s">
        <v>11191</v>
      </c>
      <c r="E4354" s="1" t="s">
        <v>36</v>
      </c>
      <c r="G4354">
        <v>460829</v>
      </c>
      <c r="H4354" t="s">
        <v>11172</v>
      </c>
      <c r="I4354" t="s">
        <v>2413</v>
      </c>
      <c r="J4354">
        <v>30</v>
      </c>
      <c r="K4354">
        <v>2695</v>
      </c>
      <c r="L4354">
        <v>95000</v>
      </c>
      <c r="M4354" t="s">
        <v>69</v>
      </c>
      <c r="N4354">
        <v>691</v>
      </c>
      <c r="O4354" s="2">
        <v>46140</v>
      </c>
      <c r="P4354" s="2">
        <v>46255</v>
      </c>
      <c r="R4354" t="s">
        <v>11192</v>
      </c>
      <c r="S4354" t="str">
        <f>""</f>
        <v/>
      </c>
      <c r="T4354" t="s">
        <v>41</v>
      </c>
      <c r="U4354">
        <v>4324.42</v>
      </c>
      <c r="V4354">
        <v>4276.8500000000004</v>
      </c>
      <c r="W4354">
        <v>4276.8500000000004</v>
      </c>
      <c r="X4354">
        <v>0</v>
      </c>
      <c r="Y4354">
        <v>0</v>
      </c>
      <c r="Z4354">
        <v>-480</v>
      </c>
      <c r="AA4354">
        <v>686961</v>
      </c>
      <c r="AD4354" t="s">
        <v>64</v>
      </c>
      <c r="AE4354">
        <v>1134115000</v>
      </c>
      <c r="AF4354" t="s">
        <v>64</v>
      </c>
      <c r="AG4354" s="1" t="s">
        <v>11174</v>
      </c>
      <c r="AH4354" t="s">
        <v>44</v>
      </c>
    </row>
    <row r="4355" spans="1:34" x14ac:dyDescent="0.3">
      <c r="A4355">
        <v>101</v>
      </c>
      <c r="B4355" t="s">
        <v>34</v>
      </c>
      <c r="C4355">
        <v>2</v>
      </c>
      <c r="D4355" s="1" t="s">
        <v>11193</v>
      </c>
      <c r="E4355" s="1" t="s">
        <v>36</v>
      </c>
      <c r="G4355">
        <v>460829</v>
      </c>
      <c r="H4355" t="s">
        <v>11172</v>
      </c>
      <c r="I4355" t="s">
        <v>2413</v>
      </c>
      <c r="J4355">
        <v>30</v>
      </c>
      <c r="K4355">
        <v>2695</v>
      </c>
      <c r="L4355">
        <v>95000</v>
      </c>
      <c r="M4355" t="s">
        <v>69</v>
      </c>
      <c r="N4355">
        <v>691</v>
      </c>
      <c r="O4355" s="2">
        <v>46226</v>
      </c>
      <c r="P4355" s="2">
        <v>46337</v>
      </c>
      <c r="R4355" t="s">
        <v>11194</v>
      </c>
      <c r="S4355" t="str">
        <f>""</f>
        <v/>
      </c>
      <c r="T4355" t="s">
        <v>41</v>
      </c>
      <c r="U4355">
        <v>18279.330000000002</v>
      </c>
      <c r="V4355">
        <v>18078.259999999998</v>
      </c>
      <c r="W4355">
        <v>18078.259999999998</v>
      </c>
      <c r="X4355">
        <v>0</v>
      </c>
      <c r="Y4355">
        <v>0</v>
      </c>
      <c r="Z4355">
        <v>-562</v>
      </c>
      <c r="AA4355">
        <v>695025</v>
      </c>
      <c r="AD4355" t="s">
        <v>64</v>
      </c>
      <c r="AE4355">
        <v>1134115000</v>
      </c>
      <c r="AF4355" t="s">
        <v>64</v>
      </c>
      <c r="AG4355" s="1" t="s">
        <v>11174</v>
      </c>
      <c r="AH4355" t="s">
        <v>44</v>
      </c>
    </row>
    <row r="4356" spans="1:34" x14ac:dyDescent="0.3">
      <c r="A4356">
        <v>101</v>
      </c>
      <c r="B4356" t="s">
        <v>34</v>
      </c>
      <c r="C4356">
        <v>2</v>
      </c>
      <c r="D4356" s="1" t="s">
        <v>11195</v>
      </c>
      <c r="E4356" s="1" t="s">
        <v>36</v>
      </c>
      <c r="G4356">
        <v>461051</v>
      </c>
      <c r="H4356" t="s">
        <v>11196</v>
      </c>
      <c r="I4356" t="s">
        <v>2413</v>
      </c>
      <c r="J4356">
        <v>30</v>
      </c>
      <c r="K4356">
        <v>2695</v>
      </c>
      <c r="L4356">
        <v>95000</v>
      </c>
      <c r="M4356" t="s">
        <v>69</v>
      </c>
      <c r="N4356">
        <v>691</v>
      </c>
      <c r="O4356" s="2">
        <v>46197</v>
      </c>
      <c r="P4356" s="2">
        <v>46296</v>
      </c>
      <c r="R4356" t="s">
        <v>11197</v>
      </c>
      <c r="S4356" t="str">
        <f>""</f>
        <v/>
      </c>
      <c r="T4356" t="s">
        <v>41</v>
      </c>
      <c r="U4356">
        <v>6883.71</v>
      </c>
      <c r="V4356">
        <v>6807.99</v>
      </c>
      <c r="W4356">
        <v>6807.99</v>
      </c>
      <c r="X4356">
        <v>0</v>
      </c>
      <c r="Y4356">
        <v>0</v>
      </c>
      <c r="Z4356">
        <v>-521</v>
      </c>
      <c r="AA4356">
        <v>692100</v>
      </c>
      <c r="AD4356" t="s">
        <v>50</v>
      </c>
      <c r="AE4356" t="s">
        <v>2567</v>
      </c>
      <c r="AF4356" t="s">
        <v>50</v>
      </c>
      <c r="AG4356" s="1" t="s">
        <v>11198</v>
      </c>
      <c r="AH4356" t="s">
        <v>44</v>
      </c>
    </row>
    <row r="4357" spans="1:34" x14ac:dyDescent="0.3">
      <c r="A4357">
        <v>101</v>
      </c>
      <c r="B4357" t="s">
        <v>34</v>
      </c>
      <c r="C4357">
        <v>2</v>
      </c>
      <c r="D4357" s="1" t="s">
        <v>11199</v>
      </c>
      <c r="E4357" s="1" t="s">
        <v>36</v>
      </c>
      <c r="G4357">
        <v>461051</v>
      </c>
      <c r="H4357" t="s">
        <v>11196</v>
      </c>
      <c r="I4357" t="s">
        <v>2413</v>
      </c>
      <c r="J4357">
        <v>30</v>
      </c>
      <c r="K4357">
        <v>2695</v>
      </c>
      <c r="L4357">
        <v>95000</v>
      </c>
      <c r="M4357" t="s">
        <v>69</v>
      </c>
      <c r="N4357">
        <v>691</v>
      </c>
      <c r="O4357" s="2">
        <v>46239</v>
      </c>
      <c r="P4357" s="2">
        <v>46329</v>
      </c>
      <c r="R4357" t="s">
        <v>11200</v>
      </c>
      <c r="S4357" t="str">
        <f>""</f>
        <v/>
      </c>
      <c r="T4357" t="s">
        <v>41</v>
      </c>
      <c r="U4357">
        <v>2470.17</v>
      </c>
      <c r="V4357">
        <v>2443</v>
      </c>
      <c r="W4357">
        <v>2443</v>
      </c>
      <c r="X4357">
        <v>0</v>
      </c>
      <c r="Y4357">
        <v>0</v>
      </c>
      <c r="Z4357">
        <v>-554</v>
      </c>
      <c r="AA4357">
        <v>696249</v>
      </c>
      <c r="AD4357" t="s">
        <v>50</v>
      </c>
      <c r="AE4357" t="s">
        <v>2567</v>
      </c>
      <c r="AF4357" t="s">
        <v>50</v>
      </c>
      <c r="AG4357" s="1" t="s">
        <v>11198</v>
      </c>
      <c r="AH4357" t="s">
        <v>44</v>
      </c>
    </row>
    <row r="4358" spans="1:34" x14ac:dyDescent="0.3">
      <c r="A4358">
        <v>101</v>
      </c>
      <c r="B4358" t="s">
        <v>34</v>
      </c>
      <c r="C4358">
        <v>2</v>
      </c>
      <c r="D4358" s="1" t="s">
        <v>11201</v>
      </c>
      <c r="E4358" s="1" t="s">
        <v>36</v>
      </c>
      <c r="G4358">
        <v>461051</v>
      </c>
      <c r="H4358" t="s">
        <v>11196</v>
      </c>
      <c r="I4358" t="s">
        <v>2413</v>
      </c>
      <c r="J4358">
        <v>30</v>
      </c>
      <c r="K4358">
        <v>2695</v>
      </c>
      <c r="L4358">
        <v>95000</v>
      </c>
      <c r="M4358" t="s">
        <v>69</v>
      </c>
      <c r="N4358">
        <v>691</v>
      </c>
      <c r="O4358" s="2">
        <v>46170</v>
      </c>
      <c r="P4358" s="2">
        <v>46276</v>
      </c>
      <c r="R4358" t="s">
        <v>11202</v>
      </c>
      <c r="S4358" t="str">
        <f>""</f>
        <v/>
      </c>
      <c r="T4358" t="s">
        <v>41</v>
      </c>
      <c r="U4358">
        <v>8800.5499999999993</v>
      </c>
      <c r="V4358">
        <v>8703.74</v>
      </c>
      <c r="W4358">
        <v>8703.74</v>
      </c>
      <c r="X4358">
        <v>0</v>
      </c>
      <c r="Y4358">
        <v>0</v>
      </c>
      <c r="Z4358">
        <v>-501</v>
      </c>
      <c r="AA4358">
        <v>689138</v>
      </c>
      <c r="AD4358" t="s">
        <v>50</v>
      </c>
      <c r="AE4358" t="s">
        <v>2567</v>
      </c>
      <c r="AF4358" t="s">
        <v>50</v>
      </c>
      <c r="AG4358" s="1" t="s">
        <v>11198</v>
      </c>
      <c r="AH4358" t="s">
        <v>44</v>
      </c>
    </row>
    <row r="4359" spans="1:34" x14ac:dyDescent="0.3">
      <c r="A4359">
        <v>101</v>
      </c>
      <c r="B4359" t="s">
        <v>34</v>
      </c>
      <c r="C4359">
        <v>2</v>
      </c>
      <c r="D4359" s="1" t="s">
        <v>11203</v>
      </c>
      <c r="E4359" s="1" t="s">
        <v>36</v>
      </c>
      <c r="G4359">
        <v>461051</v>
      </c>
      <c r="H4359" t="s">
        <v>11196</v>
      </c>
      <c r="I4359" t="s">
        <v>2413</v>
      </c>
      <c r="J4359">
        <v>30</v>
      </c>
      <c r="K4359">
        <v>2695</v>
      </c>
      <c r="L4359">
        <v>95000</v>
      </c>
      <c r="M4359" t="s">
        <v>69</v>
      </c>
      <c r="N4359">
        <v>691</v>
      </c>
      <c r="O4359" s="2">
        <v>46226</v>
      </c>
      <c r="P4359" s="2">
        <v>46316</v>
      </c>
      <c r="R4359" t="s">
        <v>11204</v>
      </c>
      <c r="S4359" t="str">
        <f>""</f>
        <v/>
      </c>
      <c r="T4359" t="s">
        <v>41</v>
      </c>
      <c r="U4359">
        <v>5477.27</v>
      </c>
      <c r="V4359">
        <v>5417.02</v>
      </c>
      <c r="W4359">
        <v>5417.02</v>
      </c>
      <c r="X4359">
        <v>0</v>
      </c>
      <c r="Y4359">
        <v>0</v>
      </c>
      <c r="Z4359">
        <v>-541</v>
      </c>
      <c r="AA4359">
        <v>695003</v>
      </c>
      <c r="AD4359" t="s">
        <v>50</v>
      </c>
      <c r="AE4359" t="s">
        <v>2567</v>
      </c>
      <c r="AF4359" t="s">
        <v>50</v>
      </c>
      <c r="AG4359" s="1" t="s">
        <v>11198</v>
      </c>
      <c r="AH4359" t="s">
        <v>44</v>
      </c>
    </row>
    <row r="4360" spans="1:34" x14ac:dyDescent="0.3">
      <c r="A4360">
        <v>101</v>
      </c>
      <c r="B4360" t="s">
        <v>34</v>
      </c>
      <c r="C4360">
        <v>2</v>
      </c>
      <c r="D4360" s="1" t="s">
        <v>11205</v>
      </c>
      <c r="E4360" s="1" t="s">
        <v>36</v>
      </c>
      <c r="G4360">
        <v>461051</v>
      </c>
      <c r="H4360" t="s">
        <v>11196</v>
      </c>
      <c r="I4360" t="s">
        <v>2413</v>
      </c>
      <c r="J4360">
        <v>30</v>
      </c>
      <c r="K4360">
        <v>2695</v>
      </c>
      <c r="L4360">
        <v>95000</v>
      </c>
      <c r="M4360" t="s">
        <v>69</v>
      </c>
      <c r="N4360">
        <v>691</v>
      </c>
      <c r="O4360" s="2">
        <v>46171</v>
      </c>
      <c r="P4360" s="2">
        <v>46276</v>
      </c>
      <c r="R4360" t="s">
        <v>11206</v>
      </c>
      <c r="S4360" t="str">
        <f>""</f>
        <v/>
      </c>
      <c r="T4360" t="s">
        <v>41</v>
      </c>
      <c r="U4360">
        <v>2846.4</v>
      </c>
      <c r="V4360">
        <v>2815.09</v>
      </c>
      <c r="W4360">
        <v>2815.09</v>
      </c>
      <c r="X4360">
        <v>0</v>
      </c>
      <c r="Y4360">
        <v>0</v>
      </c>
      <c r="Z4360">
        <v>-501</v>
      </c>
      <c r="AA4360">
        <v>689138</v>
      </c>
      <c r="AD4360" t="s">
        <v>50</v>
      </c>
      <c r="AE4360" t="s">
        <v>2567</v>
      </c>
      <c r="AF4360" t="s">
        <v>50</v>
      </c>
      <c r="AG4360" s="1" t="s">
        <v>11198</v>
      </c>
      <c r="AH4360" t="s">
        <v>44</v>
      </c>
    </row>
    <row r="4361" spans="1:34" x14ac:dyDescent="0.3">
      <c r="A4361">
        <v>101</v>
      </c>
      <c r="B4361" t="s">
        <v>34</v>
      </c>
      <c r="C4361">
        <v>2</v>
      </c>
      <c r="D4361" s="1" t="s">
        <v>11207</v>
      </c>
      <c r="E4361" s="1" t="s">
        <v>36</v>
      </c>
      <c r="G4361">
        <v>461051</v>
      </c>
      <c r="H4361" t="s">
        <v>11196</v>
      </c>
      <c r="I4361" t="s">
        <v>2413</v>
      </c>
      <c r="J4361">
        <v>30</v>
      </c>
      <c r="K4361">
        <v>2695</v>
      </c>
      <c r="L4361">
        <v>95000</v>
      </c>
      <c r="M4361" t="s">
        <v>69</v>
      </c>
      <c r="N4361">
        <v>691</v>
      </c>
      <c r="O4361" s="2">
        <v>46199</v>
      </c>
      <c r="P4361" s="2">
        <v>46296</v>
      </c>
      <c r="R4361" t="s">
        <v>11208</v>
      </c>
      <c r="S4361" t="str">
        <f>""</f>
        <v/>
      </c>
      <c r="T4361" t="s">
        <v>41</v>
      </c>
      <c r="U4361">
        <v>884.5</v>
      </c>
      <c r="V4361">
        <v>874.77</v>
      </c>
      <c r="W4361">
        <v>874.77</v>
      </c>
      <c r="X4361">
        <v>0</v>
      </c>
      <c r="Y4361">
        <v>0</v>
      </c>
      <c r="Z4361">
        <v>-521</v>
      </c>
      <c r="AA4361">
        <v>692570</v>
      </c>
      <c r="AD4361" t="s">
        <v>50</v>
      </c>
      <c r="AE4361" t="s">
        <v>2567</v>
      </c>
      <c r="AF4361" t="s">
        <v>50</v>
      </c>
      <c r="AG4361" s="1" t="s">
        <v>11198</v>
      </c>
      <c r="AH4361" t="s">
        <v>44</v>
      </c>
    </row>
    <row r="4362" spans="1:34" x14ac:dyDescent="0.3">
      <c r="A4362">
        <v>101</v>
      </c>
      <c r="B4362" t="s">
        <v>34</v>
      </c>
      <c r="C4362">
        <v>2</v>
      </c>
      <c r="D4362" s="1" t="s">
        <v>11209</v>
      </c>
      <c r="E4362" s="1" t="s">
        <v>36</v>
      </c>
      <c r="G4362">
        <v>461051</v>
      </c>
      <c r="H4362" t="s">
        <v>11196</v>
      </c>
      <c r="I4362" t="s">
        <v>2413</v>
      </c>
      <c r="J4362">
        <v>30</v>
      </c>
      <c r="K4362">
        <v>2695</v>
      </c>
      <c r="L4362">
        <v>95000</v>
      </c>
      <c r="M4362" t="s">
        <v>69</v>
      </c>
      <c r="N4362">
        <v>691</v>
      </c>
      <c r="O4362" s="2">
        <v>46140</v>
      </c>
      <c r="P4362" s="2">
        <v>46266</v>
      </c>
      <c r="R4362" t="s">
        <v>11210</v>
      </c>
      <c r="S4362" t="str">
        <f>""</f>
        <v/>
      </c>
      <c r="T4362" t="s">
        <v>41</v>
      </c>
      <c r="U4362">
        <v>6030.68</v>
      </c>
      <c r="V4362">
        <v>5964.34</v>
      </c>
      <c r="W4362">
        <v>5964.34</v>
      </c>
      <c r="X4362">
        <v>0</v>
      </c>
      <c r="Y4362">
        <v>0</v>
      </c>
      <c r="Z4362">
        <v>-491</v>
      </c>
      <c r="AA4362">
        <v>686536</v>
      </c>
      <c r="AD4362" t="s">
        <v>50</v>
      </c>
      <c r="AE4362" t="s">
        <v>2567</v>
      </c>
      <c r="AF4362" t="s">
        <v>50</v>
      </c>
      <c r="AG4362" s="1" t="s">
        <v>11198</v>
      </c>
      <c r="AH4362" t="s">
        <v>44</v>
      </c>
    </row>
    <row r="4363" spans="1:34" x14ac:dyDescent="0.3">
      <c r="A4363">
        <v>101</v>
      </c>
      <c r="B4363" t="s">
        <v>34</v>
      </c>
      <c r="C4363">
        <v>2</v>
      </c>
      <c r="D4363" s="1" t="s">
        <v>11211</v>
      </c>
      <c r="E4363" s="1" t="s">
        <v>36</v>
      </c>
      <c r="G4363">
        <v>461051</v>
      </c>
      <c r="H4363" t="s">
        <v>11196</v>
      </c>
      <c r="I4363" t="s">
        <v>2413</v>
      </c>
      <c r="J4363">
        <v>30</v>
      </c>
      <c r="K4363">
        <v>2695</v>
      </c>
      <c r="L4363">
        <v>95000</v>
      </c>
      <c r="M4363" t="s">
        <v>69</v>
      </c>
      <c r="N4363">
        <v>691</v>
      </c>
      <c r="O4363" s="2">
        <v>46140</v>
      </c>
      <c r="P4363" s="2">
        <v>46266</v>
      </c>
      <c r="R4363" t="s">
        <v>11212</v>
      </c>
      <c r="S4363" t="str">
        <f>""</f>
        <v/>
      </c>
      <c r="T4363" t="s">
        <v>41</v>
      </c>
      <c r="U4363">
        <v>3592.72</v>
      </c>
      <c r="V4363">
        <v>3553.2</v>
      </c>
      <c r="W4363">
        <v>3553.2</v>
      </c>
      <c r="X4363">
        <v>0</v>
      </c>
      <c r="Y4363">
        <v>0</v>
      </c>
      <c r="Z4363">
        <v>-491</v>
      </c>
      <c r="AA4363">
        <v>686860</v>
      </c>
      <c r="AD4363" t="s">
        <v>50</v>
      </c>
      <c r="AE4363" t="s">
        <v>2567</v>
      </c>
      <c r="AF4363" t="s">
        <v>50</v>
      </c>
      <c r="AG4363" s="1" t="s">
        <v>11198</v>
      </c>
      <c r="AH4363" t="s">
        <v>44</v>
      </c>
    </row>
    <row r="4364" spans="1:34" x14ac:dyDescent="0.3">
      <c r="A4364">
        <v>101</v>
      </c>
      <c r="B4364" t="s">
        <v>34</v>
      </c>
      <c r="C4364">
        <v>2</v>
      </c>
      <c r="D4364" s="1" t="s">
        <v>11213</v>
      </c>
      <c r="E4364" s="1" t="s">
        <v>36</v>
      </c>
      <c r="G4364">
        <v>461051</v>
      </c>
      <c r="H4364" t="s">
        <v>11196</v>
      </c>
      <c r="I4364" t="s">
        <v>2413</v>
      </c>
      <c r="J4364">
        <v>30</v>
      </c>
      <c r="K4364">
        <v>2695</v>
      </c>
      <c r="L4364">
        <v>95000</v>
      </c>
      <c r="M4364" t="s">
        <v>69</v>
      </c>
      <c r="N4364">
        <v>691</v>
      </c>
      <c r="O4364" s="2">
        <v>46170</v>
      </c>
      <c r="P4364" s="2">
        <v>46276</v>
      </c>
      <c r="R4364" t="s">
        <v>11214</v>
      </c>
      <c r="S4364" t="str">
        <f>""</f>
        <v/>
      </c>
      <c r="T4364" t="s">
        <v>41</v>
      </c>
      <c r="U4364">
        <v>2741</v>
      </c>
      <c r="V4364">
        <v>2710.85</v>
      </c>
      <c r="W4364">
        <v>2710.85</v>
      </c>
      <c r="X4364">
        <v>0</v>
      </c>
      <c r="Y4364">
        <v>0</v>
      </c>
      <c r="Z4364">
        <v>-501</v>
      </c>
      <c r="AA4364">
        <v>689427</v>
      </c>
      <c r="AD4364" t="s">
        <v>50</v>
      </c>
      <c r="AE4364" t="s">
        <v>2567</v>
      </c>
      <c r="AF4364" t="s">
        <v>50</v>
      </c>
      <c r="AG4364" s="1" t="s">
        <v>11198</v>
      </c>
      <c r="AH4364" t="s">
        <v>44</v>
      </c>
    </row>
    <row r="4365" spans="1:34" x14ac:dyDescent="0.3">
      <c r="A4365">
        <v>101</v>
      </c>
      <c r="B4365" t="s">
        <v>34</v>
      </c>
      <c r="C4365">
        <v>2</v>
      </c>
      <c r="D4365" s="1" t="s">
        <v>11215</v>
      </c>
      <c r="E4365" s="1" t="s">
        <v>36</v>
      </c>
      <c r="G4365">
        <v>461051</v>
      </c>
      <c r="H4365" t="s">
        <v>11196</v>
      </c>
      <c r="I4365" t="s">
        <v>2413</v>
      </c>
      <c r="J4365">
        <v>30</v>
      </c>
      <c r="K4365">
        <v>2695</v>
      </c>
      <c r="L4365">
        <v>95000</v>
      </c>
      <c r="M4365" t="s">
        <v>69</v>
      </c>
      <c r="N4365">
        <v>691</v>
      </c>
      <c r="O4365" s="2">
        <v>46253</v>
      </c>
      <c r="P4365" s="2">
        <v>46343</v>
      </c>
      <c r="R4365" t="s">
        <v>11216</v>
      </c>
      <c r="S4365" t="str">
        <f>""</f>
        <v/>
      </c>
      <c r="T4365" t="s">
        <v>41</v>
      </c>
      <c r="U4365">
        <v>2653.5</v>
      </c>
      <c r="V4365">
        <v>2624.31</v>
      </c>
      <c r="W4365">
        <v>2624.31</v>
      </c>
      <c r="X4365">
        <v>0</v>
      </c>
      <c r="Y4365">
        <v>0</v>
      </c>
      <c r="Z4365">
        <v>-568</v>
      </c>
      <c r="AA4365">
        <v>697025</v>
      </c>
      <c r="AD4365" t="s">
        <v>50</v>
      </c>
      <c r="AE4365" t="s">
        <v>2567</v>
      </c>
      <c r="AF4365" t="s">
        <v>50</v>
      </c>
      <c r="AG4365" s="1" t="s">
        <v>11198</v>
      </c>
      <c r="AH4365" t="s">
        <v>44</v>
      </c>
    </row>
    <row r="4366" spans="1:34" x14ac:dyDescent="0.3">
      <c r="A4366">
        <v>101</v>
      </c>
      <c r="B4366" t="s">
        <v>34</v>
      </c>
      <c r="C4366">
        <v>2</v>
      </c>
      <c r="D4366" s="1" t="s">
        <v>11217</v>
      </c>
      <c r="E4366" s="1" t="s">
        <v>36</v>
      </c>
      <c r="G4366">
        <v>461157</v>
      </c>
      <c r="H4366" t="s">
        <v>11218</v>
      </c>
      <c r="I4366" t="s">
        <v>11219</v>
      </c>
      <c r="J4366">
        <v>30</v>
      </c>
      <c r="K4366">
        <v>2695</v>
      </c>
      <c r="L4366">
        <v>95000</v>
      </c>
      <c r="M4366" t="s">
        <v>69</v>
      </c>
      <c r="N4366">
        <v>691</v>
      </c>
      <c r="O4366" s="2">
        <v>46226</v>
      </c>
      <c r="P4366" s="2">
        <v>46349</v>
      </c>
      <c r="R4366" t="s">
        <v>11220</v>
      </c>
      <c r="S4366" t="str">
        <f>""</f>
        <v/>
      </c>
      <c r="T4366" t="s">
        <v>41</v>
      </c>
      <c r="U4366">
        <v>10198.39</v>
      </c>
      <c r="V4366">
        <v>10086.209999999999</v>
      </c>
      <c r="W4366">
        <v>10086.209999999999</v>
      </c>
      <c r="X4366">
        <v>0</v>
      </c>
      <c r="Y4366">
        <v>0</v>
      </c>
      <c r="Z4366">
        <v>-574</v>
      </c>
      <c r="AA4366">
        <v>695031</v>
      </c>
      <c r="AD4366" t="s">
        <v>64</v>
      </c>
      <c r="AE4366" t="s">
        <v>2567</v>
      </c>
      <c r="AF4366" t="s">
        <v>64</v>
      </c>
      <c r="AG4366" s="1" t="s">
        <v>11221</v>
      </c>
      <c r="AH4366" t="s">
        <v>44</v>
      </c>
    </row>
    <row r="4367" spans="1:34" x14ac:dyDescent="0.3">
      <c r="A4367">
        <v>101</v>
      </c>
      <c r="B4367" t="s">
        <v>34</v>
      </c>
      <c r="C4367">
        <v>2</v>
      </c>
      <c r="D4367" s="1" t="s">
        <v>11222</v>
      </c>
      <c r="E4367" s="1" t="s">
        <v>36</v>
      </c>
      <c r="G4367">
        <v>461157</v>
      </c>
      <c r="H4367" t="s">
        <v>11218</v>
      </c>
      <c r="I4367" t="s">
        <v>11219</v>
      </c>
      <c r="J4367">
        <v>30</v>
      </c>
      <c r="K4367">
        <v>2695</v>
      </c>
      <c r="L4367">
        <v>95000</v>
      </c>
      <c r="M4367" t="s">
        <v>69</v>
      </c>
      <c r="N4367">
        <v>691</v>
      </c>
      <c r="O4367" s="2">
        <v>46197</v>
      </c>
      <c r="P4367" s="2">
        <v>46316</v>
      </c>
      <c r="R4367" t="s">
        <v>11223</v>
      </c>
      <c r="S4367" t="str">
        <f>""</f>
        <v/>
      </c>
      <c r="T4367" t="s">
        <v>41</v>
      </c>
      <c r="U4367">
        <v>3192.24</v>
      </c>
      <c r="V4367">
        <v>3157.13</v>
      </c>
      <c r="W4367">
        <v>3157.13</v>
      </c>
      <c r="X4367">
        <v>0</v>
      </c>
      <c r="Y4367">
        <v>0</v>
      </c>
      <c r="Z4367">
        <v>-541</v>
      </c>
      <c r="AA4367">
        <v>692202</v>
      </c>
      <c r="AD4367" t="s">
        <v>64</v>
      </c>
      <c r="AE4367" t="s">
        <v>2567</v>
      </c>
      <c r="AF4367" t="s">
        <v>64</v>
      </c>
      <c r="AG4367" s="1" t="s">
        <v>11221</v>
      </c>
      <c r="AH4367" t="s">
        <v>44</v>
      </c>
    </row>
    <row r="4368" spans="1:34" x14ac:dyDescent="0.3">
      <c r="A4368">
        <v>101</v>
      </c>
      <c r="B4368" t="s">
        <v>34</v>
      </c>
      <c r="C4368">
        <v>2</v>
      </c>
      <c r="D4368" s="1" t="s">
        <v>11224</v>
      </c>
      <c r="E4368" s="1" t="s">
        <v>36</v>
      </c>
      <c r="G4368">
        <v>461157</v>
      </c>
      <c r="H4368" t="s">
        <v>11218</v>
      </c>
      <c r="I4368" t="s">
        <v>11219</v>
      </c>
      <c r="J4368">
        <v>30</v>
      </c>
      <c r="K4368">
        <v>2695</v>
      </c>
      <c r="L4368">
        <v>95000</v>
      </c>
      <c r="M4368" t="s">
        <v>69</v>
      </c>
      <c r="N4368">
        <v>691</v>
      </c>
      <c r="O4368" s="2">
        <v>46170</v>
      </c>
      <c r="P4368" s="2">
        <v>46286</v>
      </c>
      <c r="R4368" t="s">
        <v>11225</v>
      </c>
      <c r="S4368" t="str">
        <f>""</f>
        <v/>
      </c>
      <c r="T4368" t="s">
        <v>41</v>
      </c>
      <c r="U4368">
        <v>14160.53</v>
      </c>
      <c r="V4368">
        <v>14004.76</v>
      </c>
      <c r="W4368">
        <v>14004.76</v>
      </c>
      <c r="X4368">
        <v>0</v>
      </c>
      <c r="Y4368">
        <v>0</v>
      </c>
      <c r="Z4368">
        <v>-511</v>
      </c>
      <c r="AA4368">
        <v>689240</v>
      </c>
      <c r="AD4368" t="s">
        <v>64</v>
      </c>
      <c r="AE4368" t="s">
        <v>2567</v>
      </c>
      <c r="AF4368" t="s">
        <v>64</v>
      </c>
      <c r="AG4368" s="1" t="s">
        <v>11221</v>
      </c>
      <c r="AH4368" t="s">
        <v>44</v>
      </c>
    </row>
    <row r="4369" spans="1:34" x14ac:dyDescent="0.3">
      <c r="A4369">
        <v>101</v>
      </c>
      <c r="B4369" t="s">
        <v>34</v>
      </c>
      <c r="C4369">
        <v>2</v>
      </c>
      <c r="D4369" s="1" t="s">
        <v>11226</v>
      </c>
      <c r="E4369" s="1" t="s">
        <v>36</v>
      </c>
      <c r="G4369">
        <v>461157</v>
      </c>
      <c r="H4369" t="s">
        <v>11218</v>
      </c>
      <c r="I4369" t="s">
        <v>11219</v>
      </c>
      <c r="J4369">
        <v>30</v>
      </c>
      <c r="K4369">
        <v>2695</v>
      </c>
      <c r="L4369">
        <v>95000</v>
      </c>
      <c r="M4369" t="s">
        <v>69</v>
      </c>
      <c r="N4369">
        <v>691</v>
      </c>
      <c r="O4369" s="2">
        <v>46253</v>
      </c>
      <c r="P4369" s="2">
        <v>46343</v>
      </c>
      <c r="R4369" t="s">
        <v>11227</v>
      </c>
      <c r="S4369" t="str">
        <f>""</f>
        <v/>
      </c>
      <c r="T4369" t="s">
        <v>41</v>
      </c>
      <c r="U4369">
        <v>2653.5</v>
      </c>
      <c r="V4369">
        <v>2624.31</v>
      </c>
      <c r="W4369">
        <v>2624.31</v>
      </c>
      <c r="X4369">
        <v>0</v>
      </c>
      <c r="Y4369">
        <v>0</v>
      </c>
      <c r="Z4369">
        <v>-568</v>
      </c>
      <c r="AA4369">
        <v>697049</v>
      </c>
      <c r="AD4369" t="s">
        <v>64</v>
      </c>
      <c r="AE4369" t="s">
        <v>2567</v>
      </c>
      <c r="AF4369" t="s">
        <v>64</v>
      </c>
      <c r="AG4369" s="1" t="s">
        <v>11221</v>
      </c>
      <c r="AH4369" t="s">
        <v>44</v>
      </c>
    </row>
    <row r="4370" spans="1:34" x14ac:dyDescent="0.3">
      <c r="A4370">
        <v>101</v>
      </c>
      <c r="B4370" t="s">
        <v>34</v>
      </c>
      <c r="C4370">
        <v>2</v>
      </c>
      <c r="D4370" s="1" t="s">
        <v>11228</v>
      </c>
      <c r="E4370" s="1" t="s">
        <v>36</v>
      </c>
      <c r="G4370">
        <v>461157</v>
      </c>
      <c r="H4370" t="s">
        <v>11218</v>
      </c>
      <c r="I4370" t="s">
        <v>11219</v>
      </c>
      <c r="J4370">
        <v>30</v>
      </c>
      <c r="K4370">
        <v>2695</v>
      </c>
      <c r="L4370">
        <v>95000</v>
      </c>
      <c r="M4370" t="s">
        <v>69</v>
      </c>
      <c r="N4370">
        <v>691</v>
      </c>
      <c r="O4370" s="2">
        <v>46170</v>
      </c>
      <c r="P4370" s="2">
        <v>46286</v>
      </c>
      <c r="R4370" t="s">
        <v>11229</v>
      </c>
      <c r="S4370" t="str">
        <f>""</f>
        <v/>
      </c>
      <c r="T4370" t="s">
        <v>41</v>
      </c>
      <c r="U4370">
        <v>2741</v>
      </c>
      <c r="V4370">
        <v>2710.85</v>
      </c>
      <c r="W4370">
        <v>2710.85</v>
      </c>
      <c r="X4370">
        <v>0</v>
      </c>
      <c r="Y4370">
        <v>0</v>
      </c>
      <c r="Z4370">
        <v>-511</v>
      </c>
      <c r="AA4370">
        <v>689515</v>
      </c>
      <c r="AD4370" t="s">
        <v>64</v>
      </c>
      <c r="AE4370" t="s">
        <v>2567</v>
      </c>
      <c r="AF4370" t="s">
        <v>64</v>
      </c>
      <c r="AG4370" s="1" t="s">
        <v>11221</v>
      </c>
      <c r="AH4370" t="s">
        <v>44</v>
      </c>
    </row>
    <row r="4371" spans="1:34" x14ac:dyDescent="0.3">
      <c r="A4371">
        <v>101</v>
      </c>
      <c r="B4371" t="s">
        <v>34</v>
      </c>
      <c r="C4371">
        <v>2</v>
      </c>
      <c r="D4371" s="1" t="s">
        <v>11230</v>
      </c>
      <c r="E4371" s="1" t="s">
        <v>36</v>
      </c>
      <c r="G4371">
        <v>461157</v>
      </c>
      <c r="H4371" t="s">
        <v>11218</v>
      </c>
      <c r="I4371" t="s">
        <v>11219</v>
      </c>
      <c r="J4371">
        <v>30</v>
      </c>
      <c r="K4371">
        <v>2695</v>
      </c>
      <c r="L4371">
        <v>95000</v>
      </c>
      <c r="M4371" t="s">
        <v>69</v>
      </c>
      <c r="N4371">
        <v>691</v>
      </c>
      <c r="O4371" s="2">
        <v>46140</v>
      </c>
      <c r="P4371" s="2">
        <v>46255</v>
      </c>
      <c r="R4371" t="s">
        <v>11231</v>
      </c>
      <c r="S4371" t="str">
        <f>""</f>
        <v/>
      </c>
      <c r="T4371" t="s">
        <v>41</v>
      </c>
      <c r="U4371">
        <v>4324.42</v>
      </c>
      <c r="V4371">
        <v>4276.8500000000004</v>
      </c>
      <c r="W4371">
        <v>4276.8500000000004</v>
      </c>
      <c r="X4371">
        <v>0</v>
      </c>
      <c r="Y4371">
        <v>0</v>
      </c>
      <c r="Z4371">
        <v>-480</v>
      </c>
      <c r="AA4371">
        <v>686926</v>
      </c>
      <c r="AD4371" t="s">
        <v>64</v>
      </c>
      <c r="AE4371" t="s">
        <v>2567</v>
      </c>
      <c r="AF4371" t="s">
        <v>64</v>
      </c>
      <c r="AG4371" s="1" t="s">
        <v>11221</v>
      </c>
      <c r="AH4371" t="s">
        <v>44</v>
      </c>
    </row>
    <row r="4372" spans="1:34" x14ac:dyDescent="0.3">
      <c r="A4372">
        <v>101</v>
      </c>
      <c r="B4372" t="s">
        <v>34</v>
      </c>
      <c r="C4372">
        <v>2</v>
      </c>
      <c r="D4372" s="1" t="s">
        <v>11232</v>
      </c>
      <c r="E4372" s="1" t="s">
        <v>36</v>
      </c>
      <c r="G4372">
        <v>461157</v>
      </c>
      <c r="H4372" t="s">
        <v>11218</v>
      </c>
      <c r="I4372" t="s">
        <v>11219</v>
      </c>
      <c r="J4372">
        <v>30</v>
      </c>
      <c r="K4372">
        <v>2695</v>
      </c>
      <c r="L4372">
        <v>95000</v>
      </c>
      <c r="M4372" t="s">
        <v>69</v>
      </c>
      <c r="N4372">
        <v>691</v>
      </c>
      <c r="O4372" s="2">
        <v>46140</v>
      </c>
      <c r="P4372" s="2">
        <v>46255</v>
      </c>
      <c r="R4372" t="s">
        <v>11233</v>
      </c>
      <c r="S4372" t="str">
        <f>""</f>
        <v/>
      </c>
      <c r="T4372" t="s">
        <v>41</v>
      </c>
      <c r="U4372">
        <v>18730.41</v>
      </c>
      <c r="V4372">
        <v>18524.38</v>
      </c>
      <c r="W4372">
        <v>18524.38</v>
      </c>
      <c r="X4372">
        <v>0</v>
      </c>
      <c r="Y4372">
        <v>0</v>
      </c>
      <c r="Z4372">
        <v>-480</v>
      </c>
      <c r="AA4372">
        <v>686638</v>
      </c>
      <c r="AD4372" t="s">
        <v>64</v>
      </c>
      <c r="AE4372" t="s">
        <v>2567</v>
      </c>
      <c r="AF4372" t="s">
        <v>64</v>
      </c>
      <c r="AG4372" s="1" t="s">
        <v>11221</v>
      </c>
      <c r="AH4372" t="s">
        <v>44</v>
      </c>
    </row>
    <row r="4373" spans="1:34" x14ac:dyDescent="0.3">
      <c r="A4373">
        <v>101</v>
      </c>
      <c r="B4373" t="s">
        <v>34</v>
      </c>
      <c r="C4373">
        <v>2</v>
      </c>
      <c r="D4373" s="1" t="s">
        <v>11234</v>
      </c>
      <c r="E4373" s="1" t="s">
        <v>36</v>
      </c>
      <c r="G4373">
        <v>461157</v>
      </c>
      <c r="H4373" t="s">
        <v>11218</v>
      </c>
      <c r="I4373" t="s">
        <v>11219</v>
      </c>
      <c r="J4373">
        <v>30</v>
      </c>
      <c r="K4373">
        <v>2695</v>
      </c>
      <c r="L4373">
        <v>95000</v>
      </c>
      <c r="M4373" t="s">
        <v>69</v>
      </c>
      <c r="N4373">
        <v>691</v>
      </c>
      <c r="O4373" s="2">
        <v>46239</v>
      </c>
      <c r="P4373" s="2">
        <v>46349</v>
      </c>
      <c r="R4373" t="s">
        <v>11235</v>
      </c>
      <c r="S4373" t="str">
        <f>""</f>
        <v/>
      </c>
      <c r="T4373" t="s">
        <v>41</v>
      </c>
      <c r="U4373">
        <v>3765.27</v>
      </c>
      <c r="V4373">
        <v>3723.85</v>
      </c>
      <c r="W4373">
        <v>3723.85</v>
      </c>
      <c r="X4373">
        <v>0</v>
      </c>
      <c r="Y4373">
        <v>0</v>
      </c>
      <c r="Z4373">
        <v>-574</v>
      </c>
      <c r="AA4373">
        <v>696275</v>
      </c>
      <c r="AD4373" t="s">
        <v>64</v>
      </c>
      <c r="AE4373" t="s">
        <v>2567</v>
      </c>
      <c r="AF4373" t="s">
        <v>64</v>
      </c>
      <c r="AG4373" s="1" t="s">
        <v>11221</v>
      </c>
      <c r="AH4373" t="s">
        <v>44</v>
      </c>
    </row>
    <row r="4374" spans="1:34" x14ac:dyDescent="0.3">
      <c r="A4374">
        <v>101</v>
      </c>
      <c r="B4374" t="s">
        <v>34</v>
      </c>
      <c r="C4374">
        <v>2</v>
      </c>
      <c r="D4374" s="1" t="s">
        <v>11236</v>
      </c>
      <c r="E4374" s="1" t="s">
        <v>36</v>
      </c>
      <c r="G4374">
        <v>461158</v>
      </c>
      <c r="H4374" t="s">
        <v>11237</v>
      </c>
      <c r="I4374" t="s">
        <v>11219</v>
      </c>
      <c r="J4374">
        <v>30</v>
      </c>
      <c r="K4374">
        <v>2695</v>
      </c>
      <c r="L4374">
        <v>95000</v>
      </c>
      <c r="M4374" t="s">
        <v>69</v>
      </c>
      <c r="N4374">
        <v>691</v>
      </c>
      <c r="O4374" s="2">
        <v>46197</v>
      </c>
      <c r="P4374" s="2">
        <v>46316</v>
      </c>
      <c r="R4374" t="s">
        <v>11238</v>
      </c>
      <c r="S4374" t="str">
        <f>""</f>
        <v/>
      </c>
      <c r="T4374" t="s">
        <v>41</v>
      </c>
      <c r="U4374">
        <v>7513</v>
      </c>
      <c r="V4374">
        <v>7430.36</v>
      </c>
      <c r="W4374">
        <v>7430.36</v>
      </c>
      <c r="X4374">
        <v>0</v>
      </c>
      <c r="Y4374">
        <v>0</v>
      </c>
      <c r="Z4374">
        <v>-541</v>
      </c>
      <c r="AA4374">
        <v>692304</v>
      </c>
      <c r="AD4374" t="s">
        <v>50</v>
      </c>
      <c r="AE4374" t="s">
        <v>2567</v>
      </c>
      <c r="AF4374" t="s">
        <v>50</v>
      </c>
      <c r="AG4374" s="1" t="s">
        <v>11239</v>
      </c>
      <c r="AH4374" t="s">
        <v>44</v>
      </c>
    </row>
    <row r="4375" spans="1:34" x14ac:dyDescent="0.3">
      <c r="A4375">
        <v>101</v>
      </c>
      <c r="B4375" t="s">
        <v>34</v>
      </c>
      <c r="C4375">
        <v>2</v>
      </c>
      <c r="D4375" s="1" t="s">
        <v>11240</v>
      </c>
      <c r="E4375" s="1" t="s">
        <v>36</v>
      </c>
      <c r="G4375">
        <v>461158</v>
      </c>
      <c r="H4375" t="s">
        <v>11237</v>
      </c>
      <c r="I4375" t="s">
        <v>11219</v>
      </c>
      <c r="J4375">
        <v>30</v>
      </c>
      <c r="K4375">
        <v>2695</v>
      </c>
      <c r="L4375">
        <v>95000</v>
      </c>
      <c r="M4375" t="s">
        <v>69</v>
      </c>
      <c r="N4375">
        <v>691</v>
      </c>
      <c r="O4375" s="2">
        <v>46253</v>
      </c>
      <c r="P4375" s="2">
        <v>46343</v>
      </c>
      <c r="R4375" t="s">
        <v>11241</v>
      </c>
      <c r="S4375" t="str">
        <f>""</f>
        <v/>
      </c>
      <c r="T4375" t="s">
        <v>41</v>
      </c>
      <c r="U4375">
        <v>2653.5</v>
      </c>
      <c r="V4375">
        <v>2624.31</v>
      </c>
      <c r="W4375">
        <v>2624.31</v>
      </c>
      <c r="X4375">
        <v>0</v>
      </c>
      <c r="Y4375">
        <v>0</v>
      </c>
      <c r="Z4375">
        <v>-568</v>
      </c>
      <c r="AA4375">
        <v>697037</v>
      </c>
      <c r="AD4375" t="s">
        <v>50</v>
      </c>
      <c r="AE4375" t="s">
        <v>2567</v>
      </c>
      <c r="AF4375" t="s">
        <v>50</v>
      </c>
      <c r="AG4375" s="1" t="s">
        <v>11239</v>
      </c>
      <c r="AH4375" t="s">
        <v>44</v>
      </c>
    </row>
    <row r="4376" spans="1:34" x14ac:dyDescent="0.3">
      <c r="A4376">
        <v>101</v>
      </c>
      <c r="B4376" t="s">
        <v>34</v>
      </c>
      <c r="C4376">
        <v>2</v>
      </c>
      <c r="D4376" s="1" t="s">
        <v>11242</v>
      </c>
      <c r="E4376" s="1" t="s">
        <v>36</v>
      </c>
      <c r="G4376">
        <v>461158</v>
      </c>
      <c r="H4376" t="s">
        <v>11237</v>
      </c>
      <c r="I4376" t="s">
        <v>11219</v>
      </c>
      <c r="J4376">
        <v>30</v>
      </c>
      <c r="K4376">
        <v>2695</v>
      </c>
      <c r="L4376">
        <v>95000</v>
      </c>
      <c r="M4376" t="s">
        <v>69</v>
      </c>
      <c r="N4376">
        <v>691</v>
      </c>
      <c r="O4376" s="2">
        <v>46171</v>
      </c>
      <c r="P4376" s="2">
        <v>46276</v>
      </c>
      <c r="R4376" t="s">
        <v>11243</v>
      </c>
      <c r="S4376" t="str">
        <f>""</f>
        <v/>
      </c>
      <c r="T4376" t="s">
        <v>41</v>
      </c>
      <c r="U4376">
        <v>2846.4</v>
      </c>
      <c r="V4376">
        <v>2815.09</v>
      </c>
      <c r="W4376">
        <v>2815.09</v>
      </c>
      <c r="X4376">
        <v>0</v>
      </c>
      <c r="Y4376">
        <v>0</v>
      </c>
      <c r="Z4376">
        <v>-501</v>
      </c>
      <c r="AA4376">
        <v>689344</v>
      </c>
      <c r="AD4376" t="s">
        <v>50</v>
      </c>
      <c r="AE4376" t="s">
        <v>2567</v>
      </c>
      <c r="AF4376" t="s">
        <v>50</v>
      </c>
      <c r="AG4376" s="1" t="s">
        <v>11239</v>
      </c>
      <c r="AH4376" t="s">
        <v>44</v>
      </c>
    </row>
    <row r="4377" spans="1:34" x14ac:dyDescent="0.3">
      <c r="A4377">
        <v>101</v>
      </c>
      <c r="B4377" t="s">
        <v>34</v>
      </c>
      <c r="C4377">
        <v>2</v>
      </c>
      <c r="D4377" s="1" t="s">
        <v>11244</v>
      </c>
      <c r="E4377" s="1" t="s">
        <v>36</v>
      </c>
      <c r="G4377">
        <v>461158</v>
      </c>
      <c r="H4377" t="s">
        <v>11237</v>
      </c>
      <c r="I4377" t="s">
        <v>11219</v>
      </c>
      <c r="J4377">
        <v>30</v>
      </c>
      <c r="K4377">
        <v>2695</v>
      </c>
      <c r="L4377">
        <v>95000</v>
      </c>
      <c r="M4377" t="s">
        <v>69</v>
      </c>
      <c r="N4377">
        <v>691</v>
      </c>
      <c r="O4377" s="2">
        <v>46239</v>
      </c>
      <c r="P4377" s="2">
        <v>46329</v>
      </c>
      <c r="R4377" t="s">
        <v>11245</v>
      </c>
      <c r="S4377" t="str">
        <f>""</f>
        <v/>
      </c>
      <c r="T4377" t="s">
        <v>41</v>
      </c>
      <c r="U4377">
        <v>3765.27</v>
      </c>
      <c r="V4377">
        <v>3723.85</v>
      </c>
      <c r="W4377">
        <v>3723.85</v>
      </c>
      <c r="X4377">
        <v>0</v>
      </c>
      <c r="Y4377">
        <v>0</v>
      </c>
      <c r="Z4377">
        <v>-554</v>
      </c>
      <c r="AA4377">
        <v>696261</v>
      </c>
      <c r="AD4377" t="s">
        <v>50</v>
      </c>
      <c r="AE4377" t="s">
        <v>2567</v>
      </c>
      <c r="AF4377" t="s">
        <v>50</v>
      </c>
      <c r="AG4377" s="1" t="s">
        <v>11239</v>
      </c>
      <c r="AH4377" t="s">
        <v>44</v>
      </c>
    </row>
    <row r="4378" spans="1:34" x14ac:dyDescent="0.3">
      <c r="A4378">
        <v>101</v>
      </c>
      <c r="B4378" t="s">
        <v>34</v>
      </c>
      <c r="C4378">
        <v>2</v>
      </c>
      <c r="D4378" s="1" t="s">
        <v>11246</v>
      </c>
      <c r="E4378" s="1" t="s">
        <v>36</v>
      </c>
      <c r="G4378">
        <v>461158</v>
      </c>
      <c r="H4378" t="s">
        <v>11237</v>
      </c>
      <c r="I4378" t="s">
        <v>11219</v>
      </c>
      <c r="J4378">
        <v>30</v>
      </c>
      <c r="K4378">
        <v>2695</v>
      </c>
      <c r="L4378">
        <v>95000</v>
      </c>
      <c r="M4378" t="s">
        <v>69</v>
      </c>
      <c r="N4378">
        <v>691</v>
      </c>
      <c r="O4378" s="2">
        <v>46170</v>
      </c>
      <c r="P4378" s="2">
        <v>46276</v>
      </c>
      <c r="R4378" t="s">
        <v>11247</v>
      </c>
      <c r="S4378" t="str">
        <f>""</f>
        <v/>
      </c>
      <c r="T4378" t="s">
        <v>41</v>
      </c>
      <c r="U4378">
        <v>2741</v>
      </c>
      <c r="V4378">
        <v>2710.85</v>
      </c>
      <c r="W4378">
        <v>2710.85</v>
      </c>
      <c r="X4378">
        <v>0</v>
      </c>
      <c r="Y4378">
        <v>0</v>
      </c>
      <c r="Z4378">
        <v>-501</v>
      </c>
      <c r="AA4378">
        <v>689545</v>
      </c>
      <c r="AD4378" t="s">
        <v>50</v>
      </c>
      <c r="AE4378" t="s">
        <v>2567</v>
      </c>
      <c r="AF4378" t="s">
        <v>50</v>
      </c>
      <c r="AG4378" s="1" t="s">
        <v>11239</v>
      </c>
      <c r="AH4378" t="s">
        <v>44</v>
      </c>
    </row>
    <row r="4379" spans="1:34" x14ac:dyDescent="0.3">
      <c r="A4379">
        <v>101</v>
      </c>
      <c r="B4379" t="s">
        <v>34</v>
      </c>
      <c r="C4379">
        <v>2</v>
      </c>
      <c r="D4379" s="1" t="s">
        <v>11248</v>
      </c>
      <c r="E4379" s="1" t="s">
        <v>36</v>
      </c>
      <c r="G4379">
        <v>461158</v>
      </c>
      <c r="H4379" t="s">
        <v>11237</v>
      </c>
      <c r="I4379" t="s">
        <v>11219</v>
      </c>
      <c r="J4379">
        <v>30</v>
      </c>
      <c r="K4379">
        <v>2695</v>
      </c>
      <c r="L4379">
        <v>95000</v>
      </c>
      <c r="M4379" t="s">
        <v>69</v>
      </c>
      <c r="N4379">
        <v>691</v>
      </c>
      <c r="O4379" s="2">
        <v>46140</v>
      </c>
      <c r="P4379" s="2">
        <v>46266</v>
      </c>
      <c r="R4379" t="s">
        <v>11249</v>
      </c>
      <c r="S4379" t="str">
        <f>""</f>
        <v/>
      </c>
      <c r="T4379" t="s">
        <v>41</v>
      </c>
      <c r="U4379">
        <v>731.7</v>
      </c>
      <c r="V4379">
        <v>723.65</v>
      </c>
      <c r="W4379">
        <v>723.65</v>
      </c>
      <c r="X4379">
        <v>0</v>
      </c>
      <c r="Y4379">
        <v>0</v>
      </c>
      <c r="Z4379">
        <v>-491</v>
      </c>
      <c r="AA4379">
        <v>686959</v>
      </c>
      <c r="AD4379" t="s">
        <v>50</v>
      </c>
      <c r="AE4379" t="s">
        <v>2567</v>
      </c>
      <c r="AF4379" t="s">
        <v>50</v>
      </c>
      <c r="AG4379" s="1" t="s">
        <v>11239</v>
      </c>
      <c r="AH4379" t="s">
        <v>44</v>
      </c>
    </row>
    <row r="4380" spans="1:34" x14ac:dyDescent="0.3">
      <c r="A4380">
        <v>101</v>
      </c>
      <c r="B4380" t="s">
        <v>34</v>
      </c>
      <c r="C4380">
        <v>2</v>
      </c>
      <c r="D4380" s="1" t="s">
        <v>11250</v>
      </c>
      <c r="E4380" s="1" t="s">
        <v>36</v>
      </c>
      <c r="G4380">
        <v>461158</v>
      </c>
      <c r="H4380" t="s">
        <v>11237</v>
      </c>
      <c r="I4380" t="s">
        <v>11219</v>
      </c>
      <c r="J4380">
        <v>30</v>
      </c>
      <c r="K4380">
        <v>2695</v>
      </c>
      <c r="L4380">
        <v>95000</v>
      </c>
      <c r="M4380" t="s">
        <v>69</v>
      </c>
      <c r="N4380">
        <v>691</v>
      </c>
      <c r="O4380" s="2">
        <v>46170</v>
      </c>
      <c r="P4380" s="2">
        <v>46276</v>
      </c>
      <c r="R4380" t="s">
        <v>11251</v>
      </c>
      <c r="S4380" t="str">
        <f>""</f>
        <v/>
      </c>
      <c r="T4380" t="s">
        <v>41</v>
      </c>
      <c r="U4380">
        <v>11710.41</v>
      </c>
      <c r="V4380">
        <v>11581.6</v>
      </c>
      <c r="W4380">
        <v>11581.6</v>
      </c>
      <c r="X4380">
        <v>0</v>
      </c>
      <c r="Y4380">
        <v>0</v>
      </c>
      <c r="Z4380">
        <v>-501</v>
      </c>
      <c r="AA4380">
        <v>689344</v>
      </c>
      <c r="AD4380" t="s">
        <v>50</v>
      </c>
      <c r="AE4380" t="s">
        <v>2567</v>
      </c>
      <c r="AF4380" t="s">
        <v>50</v>
      </c>
      <c r="AG4380" s="1" t="s">
        <v>11239</v>
      </c>
      <c r="AH4380" t="s">
        <v>44</v>
      </c>
    </row>
    <row r="4381" spans="1:34" x14ac:dyDescent="0.3">
      <c r="A4381">
        <v>101</v>
      </c>
      <c r="B4381" t="s">
        <v>34</v>
      </c>
      <c r="C4381">
        <v>2</v>
      </c>
      <c r="D4381" s="1" t="s">
        <v>11252</v>
      </c>
      <c r="E4381" s="1" t="s">
        <v>36</v>
      </c>
      <c r="G4381">
        <v>461158</v>
      </c>
      <c r="H4381" t="s">
        <v>11237</v>
      </c>
      <c r="I4381" t="s">
        <v>11219</v>
      </c>
      <c r="J4381">
        <v>30</v>
      </c>
      <c r="K4381">
        <v>2695</v>
      </c>
      <c r="L4381">
        <v>95000</v>
      </c>
      <c r="M4381" t="s">
        <v>69</v>
      </c>
      <c r="N4381">
        <v>691</v>
      </c>
      <c r="O4381" s="2">
        <v>46140</v>
      </c>
      <c r="P4381" s="2">
        <v>46266</v>
      </c>
      <c r="R4381" t="s">
        <v>11253</v>
      </c>
      <c r="S4381" t="str">
        <f>""</f>
        <v/>
      </c>
      <c r="T4381" t="s">
        <v>41</v>
      </c>
      <c r="U4381">
        <v>6805.2</v>
      </c>
      <c r="V4381">
        <v>6730.34</v>
      </c>
      <c r="W4381">
        <v>6730.34</v>
      </c>
      <c r="X4381">
        <v>0</v>
      </c>
      <c r="Y4381">
        <v>0</v>
      </c>
      <c r="Z4381">
        <v>-491</v>
      </c>
      <c r="AA4381">
        <v>686744</v>
      </c>
      <c r="AD4381" t="s">
        <v>50</v>
      </c>
      <c r="AE4381" t="s">
        <v>2567</v>
      </c>
      <c r="AF4381" t="s">
        <v>50</v>
      </c>
      <c r="AG4381" s="1" t="s">
        <v>11239</v>
      </c>
      <c r="AH4381" t="s">
        <v>44</v>
      </c>
    </row>
    <row r="4382" spans="1:34" x14ac:dyDescent="0.3">
      <c r="A4382">
        <v>101</v>
      </c>
      <c r="B4382" t="s">
        <v>34</v>
      </c>
      <c r="C4382">
        <v>2</v>
      </c>
      <c r="D4382" s="1" t="s">
        <v>11254</v>
      </c>
      <c r="E4382" s="1" t="s">
        <v>36</v>
      </c>
      <c r="G4382">
        <v>461158</v>
      </c>
      <c r="H4382" t="s">
        <v>11237</v>
      </c>
      <c r="I4382" t="s">
        <v>11219</v>
      </c>
      <c r="J4382">
        <v>30</v>
      </c>
      <c r="K4382">
        <v>2695</v>
      </c>
      <c r="L4382">
        <v>95000</v>
      </c>
      <c r="M4382" t="s">
        <v>69</v>
      </c>
      <c r="N4382">
        <v>691</v>
      </c>
      <c r="O4382" s="2">
        <v>46226</v>
      </c>
      <c r="P4382" s="2">
        <v>46337</v>
      </c>
      <c r="R4382" t="s">
        <v>11255</v>
      </c>
      <c r="S4382" t="str">
        <f>""</f>
        <v/>
      </c>
      <c r="T4382" t="s">
        <v>41</v>
      </c>
      <c r="U4382">
        <v>5939.99</v>
      </c>
      <c r="V4382">
        <v>5874.65</v>
      </c>
      <c r="W4382">
        <v>5874.65</v>
      </c>
      <c r="X4382">
        <v>0</v>
      </c>
      <c r="Y4382">
        <v>0</v>
      </c>
      <c r="Z4382">
        <v>-562</v>
      </c>
      <c r="AA4382">
        <v>695017</v>
      </c>
      <c r="AD4382" t="s">
        <v>50</v>
      </c>
      <c r="AE4382" t="s">
        <v>2567</v>
      </c>
      <c r="AF4382" t="s">
        <v>50</v>
      </c>
      <c r="AG4382" s="1" t="s">
        <v>11239</v>
      </c>
      <c r="AH4382" t="s">
        <v>44</v>
      </c>
    </row>
    <row r="4383" spans="1:34" x14ac:dyDescent="0.3">
      <c r="A4383">
        <v>101</v>
      </c>
      <c r="B4383" t="s">
        <v>34</v>
      </c>
      <c r="C4383">
        <v>2</v>
      </c>
      <c r="D4383" s="1" t="s">
        <v>11256</v>
      </c>
      <c r="E4383" s="1" t="s">
        <v>36</v>
      </c>
      <c r="G4383">
        <v>461159</v>
      </c>
      <c r="H4383" t="s">
        <v>11257</v>
      </c>
      <c r="I4383" t="s">
        <v>11219</v>
      </c>
      <c r="J4383">
        <v>30</v>
      </c>
      <c r="K4383">
        <v>2695</v>
      </c>
      <c r="L4383">
        <v>95000</v>
      </c>
      <c r="M4383" t="s">
        <v>69</v>
      </c>
      <c r="N4383">
        <v>691</v>
      </c>
      <c r="O4383" s="2">
        <v>46253</v>
      </c>
      <c r="P4383" s="2">
        <v>46343</v>
      </c>
      <c r="R4383" t="s">
        <v>11258</v>
      </c>
      <c r="S4383" t="str">
        <f>""</f>
        <v/>
      </c>
      <c r="T4383" t="s">
        <v>41</v>
      </c>
      <c r="U4383">
        <v>2653.5</v>
      </c>
      <c r="V4383">
        <v>2624.31</v>
      </c>
      <c r="W4383">
        <v>2624.31</v>
      </c>
      <c r="X4383">
        <v>0</v>
      </c>
      <c r="Y4383">
        <v>0</v>
      </c>
      <c r="Z4383">
        <v>-568</v>
      </c>
      <c r="AA4383">
        <v>697031</v>
      </c>
      <c r="AD4383" t="s">
        <v>3224</v>
      </c>
      <c r="AE4383" t="s">
        <v>2567</v>
      </c>
      <c r="AF4383" t="s">
        <v>3224</v>
      </c>
      <c r="AG4383" s="1" t="s">
        <v>11259</v>
      </c>
      <c r="AH4383" t="s">
        <v>44</v>
      </c>
    </row>
    <row r="4384" spans="1:34" x14ac:dyDescent="0.3">
      <c r="A4384">
        <v>101</v>
      </c>
      <c r="B4384" t="s">
        <v>34</v>
      </c>
      <c r="C4384">
        <v>2</v>
      </c>
      <c r="D4384" s="1" t="s">
        <v>11260</v>
      </c>
      <c r="E4384" s="1" t="s">
        <v>36</v>
      </c>
      <c r="G4384">
        <v>461159</v>
      </c>
      <c r="H4384" t="s">
        <v>11257</v>
      </c>
      <c r="I4384" t="s">
        <v>11219</v>
      </c>
      <c r="J4384">
        <v>30</v>
      </c>
      <c r="K4384">
        <v>2695</v>
      </c>
      <c r="L4384">
        <v>95000</v>
      </c>
      <c r="M4384" t="s">
        <v>69</v>
      </c>
      <c r="N4384">
        <v>691</v>
      </c>
      <c r="O4384" s="2">
        <v>46239</v>
      </c>
      <c r="P4384" s="2">
        <v>46349</v>
      </c>
      <c r="R4384" t="s">
        <v>11261</v>
      </c>
      <c r="S4384" t="str">
        <f>""</f>
        <v/>
      </c>
      <c r="T4384" t="s">
        <v>41</v>
      </c>
      <c r="U4384">
        <v>527.52</v>
      </c>
      <c r="V4384">
        <v>521.72</v>
      </c>
      <c r="W4384">
        <v>521.72</v>
      </c>
      <c r="X4384">
        <v>0</v>
      </c>
      <c r="Y4384">
        <v>0</v>
      </c>
      <c r="Z4384">
        <v>-574</v>
      </c>
      <c r="AA4384">
        <v>696255</v>
      </c>
      <c r="AD4384" t="s">
        <v>3224</v>
      </c>
      <c r="AE4384" t="s">
        <v>2567</v>
      </c>
      <c r="AF4384" t="s">
        <v>3224</v>
      </c>
      <c r="AG4384" s="1" t="s">
        <v>11259</v>
      </c>
      <c r="AH4384" t="s">
        <v>44</v>
      </c>
    </row>
    <row r="4385" spans="1:34" x14ac:dyDescent="0.3">
      <c r="A4385">
        <v>101</v>
      </c>
      <c r="B4385" t="s">
        <v>34</v>
      </c>
      <c r="C4385">
        <v>2</v>
      </c>
      <c r="D4385" s="1" t="s">
        <v>11262</v>
      </c>
      <c r="E4385" s="1" t="s">
        <v>36</v>
      </c>
      <c r="G4385">
        <v>461159</v>
      </c>
      <c r="H4385" t="s">
        <v>11257</v>
      </c>
      <c r="I4385" t="s">
        <v>11219</v>
      </c>
      <c r="J4385">
        <v>30</v>
      </c>
      <c r="K4385">
        <v>2695</v>
      </c>
      <c r="L4385">
        <v>95000</v>
      </c>
      <c r="M4385" t="s">
        <v>69</v>
      </c>
      <c r="N4385">
        <v>691</v>
      </c>
      <c r="O4385" s="2">
        <v>46170</v>
      </c>
      <c r="P4385" s="2">
        <v>46296</v>
      </c>
      <c r="R4385" t="s">
        <v>11263</v>
      </c>
      <c r="S4385" t="str">
        <f>""</f>
        <v/>
      </c>
      <c r="T4385" t="s">
        <v>41</v>
      </c>
      <c r="U4385">
        <v>2741</v>
      </c>
      <c r="V4385">
        <v>2710.85</v>
      </c>
      <c r="W4385">
        <v>2710.85</v>
      </c>
      <c r="X4385">
        <v>0</v>
      </c>
      <c r="Y4385">
        <v>0</v>
      </c>
      <c r="Z4385">
        <v>-521</v>
      </c>
      <c r="AA4385">
        <v>689501</v>
      </c>
      <c r="AD4385" t="s">
        <v>3224</v>
      </c>
      <c r="AE4385" t="s">
        <v>2567</v>
      </c>
      <c r="AF4385" t="s">
        <v>3224</v>
      </c>
      <c r="AG4385" s="1" t="s">
        <v>11259</v>
      </c>
      <c r="AH4385" t="s">
        <v>44</v>
      </c>
    </row>
    <row r="4386" spans="1:34" x14ac:dyDescent="0.3">
      <c r="A4386">
        <v>101</v>
      </c>
      <c r="B4386" t="s">
        <v>34</v>
      </c>
      <c r="C4386">
        <v>2</v>
      </c>
      <c r="D4386" s="1" t="s">
        <v>11264</v>
      </c>
      <c r="E4386" s="1" t="s">
        <v>36</v>
      </c>
      <c r="G4386">
        <v>461159</v>
      </c>
      <c r="H4386" t="s">
        <v>11257</v>
      </c>
      <c r="I4386" t="s">
        <v>11219</v>
      </c>
      <c r="J4386">
        <v>30</v>
      </c>
      <c r="K4386">
        <v>2695</v>
      </c>
      <c r="L4386">
        <v>95000</v>
      </c>
      <c r="M4386" t="s">
        <v>69</v>
      </c>
      <c r="N4386">
        <v>691</v>
      </c>
      <c r="O4386" s="2">
        <v>46226</v>
      </c>
      <c r="P4386" s="2">
        <v>46349</v>
      </c>
      <c r="R4386" t="s">
        <v>11265</v>
      </c>
      <c r="S4386" t="str">
        <f>""</f>
        <v/>
      </c>
      <c r="T4386" t="s">
        <v>41</v>
      </c>
      <c r="U4386">
        <v>4488.08</v>
      </c>
      <c r="V4386">
        <v>4438.71</v>
      </c>
      <c r="W4386">
        <v>4438.71</v>
      </c>
      <c r="X4386">
        <v>0</v>
      </c>
      <c r="Y4386">
        <v>0</v>
      </c>
      <c r="Z4386">
        <v>-574</v>
      </c>
      <c r="AA4386">
        <v>695011</v>
      </c>
      <c r="AD4386" t="s">
        <v>3224</v>
      </c>
      <c r="AE4386" t="s">
        <v>2567</v>
      </c>
      <c r="AF4386" t="s">
        <v>3224</v>
      </c>
      <c r="AG4386" s="1" t="s">
        <v>11259</v>
      </c>
      <c r="AH4386" t="s">
        <v>44</v>
      </c>
    </row>
    <row r="4387" spans="1:34" x14ac:dyDescent="0.3">
      <c r="A4387">
        <v>101</v>
      </c>
      <c r="B4387" t="s">
        <v>34</v>
      </c>
      <c r="C4387">
        <v>2</v>
      </c>
      <c r="D4387" s="1" t="s">
        <v>11266</v>
      </c>
      <c r="E4387" s="1" t="s">
        <v>36</v>
      </c>
      <c r="G4387">
        <v>461159</v>
      </c>
      <c r="H4387" t="s">
        <v>11257</v>
      </c>
      <c r="I4387" t="s">
        <v>11219</v>
      </c>
      <c r="J4387">
        <v>30</v>
      </c>
      <c r="K4387">
        <v>2695</v>
      </c>
      <c r="L4387">
        <v>95000</v>
      </c>
      <c r="M4387" t="s">
        <v>69</v>
      </c>
      <c r="N4387">
        <v>691</v>
      </c>
      <c r="O4387" s="2">
        <v>46170</v>
      </c>
      <c r="P4387" s="2">
        <v>46296</v>
      </c>
      <c r="R4387" t="s">
        <v>11267</v>
      </c>
      <c r="S4387" t="str">
        <f>""</f>
        <v/>
      </c>
      <c r="T4387" t="s">
        <v>41</v>
      </c>
      <c r="U4387">
        <v>13587.17</v>
      </c>
      <c r="V4387">
        <v>13437.71</v>
      </c>
      <c r="W4387">
        <v>13437.71</v>
      </c>
      <c r="X4387">
        <v>0</v>
      </c>
      <c r="Y4387">
        <v>0</v>
      </c>
      <c r="Z4387">
        <v>-521</v>
      </c>
      <c r="AA4387">
        <v>689226</v>
      </c>
      <c r="AD4387" t="s">
        <v>3224</v>
      </c>
      <c r="AE4387" t="s">
        <v>2567</v>
      </c>
      <c r="AF4387" t="s">
        <v>3224</v>
      </c>
      <c r="AG4387" s="1" t="s">
        <v>11259</v>
      </c>
      <c r="AH4387" t="s">
        <v>44</v>
      </c>
    </row>
    <row r="4388" spans="1:34" x14ac:dyDescent="0.3">
      <c r="A4388">
        <v>101</v>
      </c>
      <c r="B4388" t="s">
        <v>34</v>
      </c>
      <c r="C4388">
        <v>2</v>
      </c>
      <c r="D4388" s="1" t="s">
        <v>11268</v>
      </c>
      <c r="E4388" s="1" t="s">
        <v>36</v>
      </c>
      <c r="G4388">
        <v>461159</v>
      </c>
      <c r="H4388" t="s">
        <v>11257</v>
      </c>
      <c r="I4388" t="s">
        <v>11219</v>
      </c>
      <c r="J4388">
        <v>30</v>
      </c>
      <c r="K4388">
        <v>2695</v>
      </c>
      <c r="L4388">
        <v>95000</v>
      </c>
      <c r="M4388" t="s">
        <v>69</v>
      </c>
      <c r="N4388">
        <v>691</v>
      </c>
      <c r="O4388" s="2">
        <v>46140</v>
      </c>
      <c r="P4388" s="2">
        <v>46255</v>
      </c>
      <c r="R4388" t="s">
        <v>11269</v>
      </c>
      <c r="S4388" t="str">
        <f>""</f>
        <v/>
      </c>
      <c r="T4388" t="s">
        <v>41</v>
      </c>
      <c r="U4388">
        <v>5533.01</v>
      </c>
      <c r="V4388">
        <v>5472.15</v>
      </c>
      <c r="W4388">
        <v>5472.15</v>
      </c>
      <c r="X4388">
        <v>0</v>
      </c>
      <c r="Y4388">
        <v>0</v>
      </c>
      <c r="Z4388">
        <v>-480</v>
      </c>
      <c r="AA4388">
        <v>686624</v>
      </c>
      <c r="AD4388" t="s">
        <v>3224</v>
      </c>
      <c r="AE4388" t="s">
        <v>2567</v>
      </c>
      <c r="AF4388" t="s">
        <v>3224</v>
      </c>
      <c r="AG4388" s="1" t="s">
        <v>11259</v>
      </c>
      <c r="AH4388" t="s">
        <v>44</v>
      </c>
    </row>
    <row r="4389" spans="1:34" x14ac:dyDescent="0.3">
      <c r="A4389">
        <v>101</v>
      </c>
      <c r="B4389" t="s">
        <v>34</v>
      </c>
      <c r="C4389">
        <v>2</v>
      </c>
      <c r="D4389" s="1" t="s">
        <v>11270</v>
      </c>
      <c r="E4389" s="1" t="s">
        <v>36</v>
      </c>
      <c r="G4389">
        <v>461159</v>
      </c>
      <c r="H4389" t="s">
        <v>11257</v>
      </c>
      <c r="I4389" t="s">
        <v>11219</v>
      </c>
      <c r="J4389">
        <v>30</v>
      </c>
      <c r="K4389">
        <v>2695</v>
      </c>
      <c r="L4389">
        <v>95000</v>
      </c>
      <c r="M4389" t="s">
        <v>69</v>
      </c>
      <c r="N4389">
        <v>691</v>
      </c>
      <c r="O4389" s="2">
        <v>46140</v>
      </c>
      <c r="P4389" s="2">
        <v>46255</v>
      </c>
      <c r="R4389" t="s">
        <v>11271</v>
      </c>
      <c r="S4389" t="str">
        <f>""</f>
        <v/>
      </c>
      <c r="T4389" t="s">
        <v>41</v>
      </c>
      <c r="U4389">
        <v>1081.8399999999999</v>
      </c>
      <c r="V4389">
        <v>1069.94</v>
      </c>
      <c r="W4389">
        <v>1069.94</v>
      </c>
      <c r="X4389">
        <v>0</v>
      </c>
      <c r="Y4389">
        <v>0</v>
      </c>
      <c r="Z4389">
        <v>-480</v>
      </c>
      <c r="AA4389">
        <v>686793</v>
      </c>
      <c r="AD4389" t="s">
        <v>3224</v>
      </c>
      <c r="AE4389" t="s">
        <v>2567</v>
      </c>
      <c r="AF4389" t="s">
        <v>3224</v>
      </c>
      <c r="AG4389" s="1" t="s">
        <v>11259</v>
      </c>
      <c r="AH4389" t="s">
        <v>44</v>
      </c>
    </row>
    <row r="4390" spans="1:34" x14ac:dyDescent="0.3">
      <c r="A4390">
        <v>101</v>
      </c>
      <c r="B4390" t="s">
        <v>34</v>
      </c>
      <c r="C4390">
        <v>2</v>
      </c>
      <c r="D4390" s="1" t="s">
        <v>11272</v>
      </c>
      <c r="E4390" s="1" t="s">
        <v>36</v>
      </c>
      <c r="G4390">
        <v>461159</v>
      </c>
      <c r="H4390" t="s">
        <v>11257</v>
      </c>
      <c r="I4390" t="s">
        <v>11219</v>
      </c>
      <c r="J4390">
        <v>30</v>
      </c>
      <c r="K4390">
        <v>2695</v>
      </c>
      <c r="L4390">
        <v>95000</v>
      </c>
      <c r="M4390" t="s">
        <v>69</v>
      </c>
      <c r="N4390">
        <v>691</v>
      </c>
      <c r="O4390" s="2">
        <v>46140</v>
      </c>
      <c r="P4390" s="2">
        <v>46255</v>
      </c>
      <c r="R4390" t="s">
        <v>11273</v>
      </c>
      <c r="S4390" t="str">
        <f>""</f>
        <v/>
      </c>
      <c r="T4390" t="s">
        <v>41</v>
      </c>
      <c r="U4390">
        <v>3592.72</v>
      </c>
      <c r="V4390">
        <v>3553.2</v>
      </c>
      <c r="W4390">
        <v>3553.2</v>
      </c>
      <c r="X4390">
        <v>0</v>
      </c>
      <c r="Y4390">
        <v>0</v>
      </c>
      <c r="Z4390">
        <v>-480</v>
      </c>
      <c r="AA4390">
        <v>686916</v>
      </c>
      <c r="AD4390" t="s">
        <v>3224</v>
      </c>
      <c r="AE4390" t="s">
        <v>2567</v>
      </c>
      <c r="AF4390" t="s">
        <v>3224</v>
      </c>
      <c r="AG4390" s="1" t="s">
        <v>11259</v>
      </c>
      <c r="AH4390" t="s">
        <v>44</v>
      </c>
    </row>
    <row r="4391" spans="1:34" x14ac:dyDescent="0.3">
      <c r="A4391">
        <v>101</v>
      </c>
      <c r="B4391" t="s">
        <v>34</v>
      </c>
      <c r="C4391">
        <v>2</v>
      </c>
      <c r="D4391" s="1" t="s">
        <v>11274</v>
      </c>
      <c r="E4391" s="1" t="s">
        <v>36</v>
      </c>
      <c r="G4391">
        <v>461159</v>
      </c>
      <c r="H4391" t="s">
        <v>11257</v>
      </c>
      <c r="I4391" t="s">
        <v>11219</v>
      </c>
      <c r="J4391">
        <v>30</v>
      </c>
      <c r="K4391">
        <v>2695</v>
      </c>
      <c r="L4391">
        <v>95000</v>
      </c>
      <c r="M4391" t="s">
        <v>69</v>
      </c>
      <c r="N4391">
        <v>691</v>
      </c>
      <c r="O4391" s="2">
        <v>46198</v>
      </c>
      <c r="P4391" s="2">
        <v>46308</v>
      </c>
      <c r="R4391" t="s">
        <v>11275</v>
      </c>
      <c r="S4391" t="str">
        <f>""</f>
        <v/>
      </c>
      <c r="T4391" t="s">
        <v>41</v>
      </c>
      <c r="U4391">
        <v>13173.52</v>
      </c>
      <c r="V4391">
        <v>13028.61</v>
      </c>
      <c r="W4391">
        <v>13028.61</v>
      </c>
      <c r="X4391">
        <v>0</v>
      </c>
      <c r="Y4391">
        <v>0</v>
      </c>
      <c r="Z4391">
        <v>-533</v>
      </c>
      <c r="AA4391">
        <v>692188</v>
      </c>
      <c r="AD4391" t="s">
        <v>3224</v>
      </c>
      <c r="AE4391" t="s">
        <v>2567</v>
      </c>
      <c r="AF4391" t="s">
        <v>3224</v>
      </c>
      <c r="AG4391" s="1" t="s">
        <v>11259</v>
      </c>
      <c r="AH4391" t="s">
        <v>44</v>
      </c>
    </row>
    <row r="4392" spans="1:34" x14ac:dyDescent="0.3">
      <c r="A4392">
        <v>101</v>
      </c>
      <c r="B4392" t="s">
        <v>34</v>
      </c>
      <c r="C4392">
        <v>2</v>
      </c>
      <c r="D4392" s="1" t="s">
        <v>11276</v>
      </c>
      <c r="E4392" s="1" t="s">
        <v>36</v>
      </c>
      <c r="G4392">
        <v>461159</v>
      </c>
      <c r="H4392" t="s">
        <v>11257</v>
      </c>
      <c r="I4392" t="s">
        <v>11219</v>
      </c>
      <c r="J4392">
        <v>30</v>
      </c>
      <c r="K4392">
        <v>2695</v>
      </c>
      <c r="L4392">
        <v>95000</v>
      </c>
      <c r="M4392" t="s">
        <v>69</v>
      </c>
      <c r="N4392">
        <v>691</v>
      </c>
      <c r="O4392" s="2">
        <v>46198</v>
      </c>
      <c r="P4392" s="2">
        <v>46308</v>
      </c>
      <c r="R4392" t="s">
        <v>11277</v>
      </c>
      <c r="S4392" t="str">
        <f>""</f>
        <v/>
      </c>
      <c r="T4392" t="s">
        <v>41</v>
      </c>
      <c r="U4392">
        <v>884.5</v>
      </c>
      <c r="V4392">
        <v>874.77</v>
      </c>
      <c r="W4392">
        <v>874.77</v>
      </c>
      <c r="X4392">
        <v>0</v>
      </c>
      <c r="Y4392">
        <v>0</v>
      </c>
      <c r="Z4392">
        <v>-533</v>
      </c>
      <c r="AA4392">
        <v>692578</v>
      </c>
      <c r="AD4392" t="s">
        <v>3224</v>
      </c>
      <c r="AE4392" t="s">
        <v>2567</v>
      </c>
      <c r="AF4392" t="s">
        <v>3224</v>
      </c>
      <c r="AG4392" s="1" t="s">
        <v>11259</v>
      </c>
      <c r="AH4392" t="s">
        <v>44</v>
      </c>
    </row>
    <row r="4393" spans="1:34" x14ac:dyDescent="0.3">
      <c r="A4393">
        <v>101</v>
      </c>
      <c r="B4393" t="s">
        <v>34</v>
      </c>
      <c r="C4393">
        <v>2</v>
      </c>
      <c r="D4393" s="1" t="s">
        <v>11278</v>
      </c>
      <c r="E4393" s="1" t="s">
        <v>36</v>
      </c>
      <c r="G4393">
        <v>461159</v>
      </c>
      <c r="H4393" t="s">
        <v>11257</v>
      </c>
      <c r="I4393" t="s">
        <v>11219</v>
      </c>
      <c r="J4393">
        <v>30</v>
      </c>
      <c r="K4393">
        <v>2695</v>
      </c>
      <c r="L4393">
        <v>95000</v>
      </c>
      <c r="M4393" t="s">
        <v>69</v>
      </c>
      <c r="N4393">
        <v>691</v>
      </c>
      <c r="O4393" s="2">
        <v>46185</v>
      </c>
      <c r="P4393" s="2">
        <v>46296</v>
      </c>
      <c r="R4393" t="s">
        <v>11279</v>
      </c>
      <c r="S4393" t="str">
        <f>""</f>
        <v/>
      </c>
      <c r="T4393" t="s">
        <v>41</v>
      </c>
      <c r="U4393">
        <v>2846.4</v>
      </c>
      <c r="V4393">
        <v>2815.09</v>
      </c>
      <c r="W4393">
        <v>2815.09</v>
      </c>
      <c r="X4393">
        <v>0</v>
      </c>
      <c r="Y4393">
        <v>0</v>
      </c>
      <c r="Z4393">
        <v>-521</v>
      </c>
      <c r="AA4393">
        <v>689226</v>
      </c>
      <c r="AD4393" t="s">
        <v>3224</v>
      </c>
      <c r="AE4393" t="s">
        <v>2567</v>
      </c>
      <c r="AF4393" t="s">
        <v>3224</v>
      </c>
      <c r="AG4393" s="1" t="s">
        <v>11259</v>
      </c>
      <c r="AH4393" t="s">
        <v>44</v>
      </c>
    </row>
    <row r="4394" spans="1:34" x14ac:dyDescent="0.3">
      <c r="A4394">
        <v>101</v>
      </c>
      <c r="B4394" t="s">
        <v>34</v>
      </c>
      <c r="C4394">
        <v>2</v>
      </c>
      <c r="D4394" s="1" t="s">
        <v>11280</v>
      </c>
      <c r="E4394" s="1" t="s">
        <v>36</v>
      </c>
      <c r="G4394">
        <v>461496</v>
      </c>
      <c r="H4394" t="s">
        <v>11281</v>
      </c>
      <c r="I4394" t="s">
        <v>2413</v>
      </c>
      <c r="J4394">
        <v>30</v>
      </c>
      <c r="K4394">
        <v>2695</v>
      </c>
      <c r="L4394">
        <v>95000</v>
      </c>
      <c r="M4394" t="s">
        <v>69</v>
      </c>
      <c r="N4394">
        <v>691</v>
      </c>
      <c r="O4394" s="2">
        <v>46171</v>
      </c>
      <c r="P4394" s="2">
        <v>46276</v>
      </c>
      <c r="R4394" t="s">
        <v>11282</v>
      </c>
      <c r="S4394" t="str">
        <f>""</f>
        <v/>
      </c>
      <c r="T4394" t="s">
        <v>41</v>
      </c>
      <c r="U4394">
        <v>2846.4</v>
      </c>
      <c r="V4394">
        <v>2815.09</v>
      </c>
      <c r="W4394">
        <v>2815.09</v>
      </c>
      <c r="X4394">
        <v>0</v>
      </c>
      <c r="Y4394">
        <v>0</v>
      </c>
      <c r="Z4394">
        <v>-501</v>
      </c>
      <c r="AA4394">
        <v>689222</v>
      </c>
      <c r="AD4394" t="s">
        <v>64</v>
      </c>
      <c r="AF4394" t="s">
        <v>64</v>
      </c>
      <c r="AG4394" s="1" t="s">
        <v>11283</v>
      </c>
      <c r="AH4394" t="s">
        <v>44</v>
      </c>
    </row>
    <row r="4395" spans="1:34" x14ac:dyDescent="0.3">
      <c r="A4395">
        <v>101</v>
      </c>
      <c r="B4395" t="s">
        <v>34</v>
      </c>
      <c r="C4395">
        <v>2</v>
      </c>
      <c r="D4395" s="1" t="s">
        <v>11284</v>
      </c>
      <c r="E4395" s="1" t="s">
        <v>36</v>
      </c>
      <c r="G4395">
        <v>461496</v>
      </c>
      <c r="H4395" t="s">
        <v>11281</v>
      </c>
      <c r="I4395" t="s">
        <v>2413</v>
      </c>
      <c r="J4395">
        <v>30</v>
      </c>
      <c r="K4395">
        <v>2695</v>
      </c>
      <c r="L4395">
        <v>95000</v>
      </c>
      <c r="M4395" t="s">
        <v>69</v>
      </c>
      <c r="N4395">
        <v>691</v>
      </c>
      <c r="O4395" s="2">
        <v>46197</v>
      </c>
      <c r="P4395" s="2">
        <v>46316</v>
      </c>
      <c r="R4395" t="s">
        <v>11285</v>
      </c>
      <c r="S4395" t="str">
        <f>""</f>
        <v/>
      </c>
      <c r="T4395" t="s">
        <v>41</v>
      </c>
      <c r="U4395">
        <v>6624.17</v>
      </c>
      <c r="V4395">
        <v>6551.3</v>
      </c>
      <c r="W4395">
        <v>6551.3</v>
      </c>
      <c r="X4395">
        <v>0</v>
      </c>
      <c r="Y4395">
        <v>0</v>
      </c>
      <c r="Z4395">
        <v>-541</v>
      </c>
      <c r="AA4395">
        <v>692184</v>
      </c>
      <c r="AD4395" t="s">
        <v>64</v>
      </c>
      <c r="AF4395" t="s">
        <v>64</v>
      </c>
      <c r="AG4395" s="1" t="s">
        <v>11283</v>
      </c>
      <c r="AH4395" t="s">
        <v>44</v>
      </c>
    </row>
    <row r="4396" spans="1:34" x14ac:dyDescent="0.3">
      <c r="A4396">
        <v>101</v>
      </c>
      <c r="B4396" t="s">
        <v>34</v>
      </c>
      <c r="C4396">
        <v>2</v>
      </c>
      <c r="D4396" s="1" t="s">
        <v>11286</v>
      </c>
      <c r="E4396" s="1" t="s">
        <v>36</v>
      </c>
      <c r="G4396">
        <v>461496</v>
      </c>
      <c r="H4396" t="s">
        <v>11281</v>
      </c>
      <c r="I4396" t="s">
        <v>2413</v>
      </c>
      <c r="J4396">
        <v>30</v>
      </c>
      <c r="K4396">
        <v>2695</v>
      </c>
      <c r="L4396">
        <v>95000</v>
      </c>
      <c r="M4396" t="s">
        <v>69</v>
      </c>
      <c r="N4396">
        <v>691</v>
      </c>
      <c r="O4396" s="2">
        <v>46170</v>
      </c>
      <c r="P4396" s="2">
        <v>46276</v>
      </c>
      <c r="R4396" t="s">
        <v>11287</v>
      </c>
      <c r="S4396" t="str">
        <f>""</f>
        <v/>
      </c>
      <c r="T4396" t="s">
        <v>41</v>
      </c>
      <c r="U4396">
        <v>585.36</v>
      </c>
      <c r="V4396">
        <v>578.91999999999996</v>
      </c>
      <c r="W4396">
        <v>578.91999999999996</v>
      </c>
      <c r="X4396">
        <v>0</v>
      </c>
      <c r="Y4396">
        <v>0</v>
      </c>
      <c r="Z4396">
        <v>-501</v>
      </c>
      <c r="AA4396">
        <v>689497</v>
      </c>
      <c r="AD4396" t="s">
        <v>64</v>
      </c>
      <c r="AF4396" t="s">
        <v>64</v>
      </c>
      <c r="AG4396" s="1" t="s">
        <v>11283</v>
      </c>
      <c r="AH4396" t="s">
        <v>44</v>
      </c>
    </row>
    <row r="4397" spans="1:34" x14ac:dyDescent="0.3">
      <c r="A4397">
        <v>101</v>
      </c>
      <c r="B4397" t="s">
        <v>34</v>
      </c>
      <c r="C4397">
        <v>2</v>
      </c>
      <c r="D4397" s="1" t="s">
        <v>11288</v>
      </c>
      <c r="E4397" s="1" t="s">
        <v>36</v>
      </c>
      <c r="G4397">
        <v>461496</v>
      </c>
      <c r="H4397" t="s">
        <v>11281</v>
      </c>
      <c r="I4397" t="s">
        <v>2413</v>
      </c>
      <c r="J4397">
        <v>30</v>
      </c>
      <c r="K4397">
        <v>2695</v>
      </c>
      <c r="L4397">
        <v>95000</v>
      </c>
      <c r="M4397" t="s">
        <v>69</v>
      </c>
      <c r="N4397">
        <v>691</v>
      </c>
      <c r="O4397" s="2">
        <v>46199</v>
      </c>
      <c r="P4397" s="2">
        <v>46316</v>
      </c>
      <c r="R4397" t="s">
        <v>11289</v>
      </c>
      <c r="S4397" t="str">
        <f>""</f>
        <v/>
      </c>
      <c r="T4397" t="s">
        <v>41</v>
      </c>
      <c r="U4397">
        <v>884.5</v>
      </c>
      <c r="V4397">
        <v>874.77</v>
      </c>
      <c r="W4397">
        <v>874.77</v>
      </c>
      <c r="X4397">
        <v>0</v>
      </c>
      <c r="Y4397">
        <v>0</v>
      </c>
      <c r="Z4397">
        <v>-541</v>
      </c>
      <c r="AA4397">
        <v>692572</v>
      </c>
      <c r="AD4397" t="s">
        <v>64</v>
      </c>
      <c r="AF4397" t="s">
        <v>64</v>
      </c>
      <c r="AG4397" s="1" t="s">
        <v>11283</v>
      </c>
      <c r="AH4397" t="s">
        <v>44</v>
      </c>
    </row>
    <row r="4398" spans="1:34" x14ac:dyDescent="0.3">
      <c r="A4398">
        <v>101</v>
      </c>
      <c r="B4398" t="s">
        <v>34</v>
      </c>
      <c r="C4398">
        <v>2</v>
      </c>
      <c r="D4398" s="1" t="s">
        <v>11290</v>
      </c>
      <c r="E4398" s="1" t="s">
        <v>36</v>
      </c>
      <c r="G4398">
        <v>461496</v>
      </c>
      <c r="H4398" t="s">
        <v>11281</v>
      </c>
      <c r="I4398" t="s">
        <v>2413</v>
      </c>
      <c r="J4398">
        <v>30</v>
      </c>
      <c r="K4398">
        <v>2695</v>
      </c>
      <c r="L4398">
        <v>95000</v>
      </c>
      <c r="M4398" t="s">
        <v>69</v>
      </c>
      <c r="N4398">
        <v>691</v>
      </c>
      <c r="O4398" s="2">
        <v>46170</v>
      </c>
      <c r="P4398" s="2">
        <v>46276</v>
      </c>
      <c r="R4398" t="s">
        <v>11291</v>
      </c>
      <c r="S4398" t="str">
        <f>""</f>
        <v/>
      </c>
      <c r="T4398" t="s">
        <v>41</v>
      </c>
      <c r="U4398">
        <v>9722.57</v>
      </c>
      <c r="V4398">
        <v>9615.6200000000008</v>
      </c>
      <c r="W4398">
        <v>9615.6200000000008</v>
      </c>
      <c r="X4398">
        <v>0</v>
      </c>
      <c r="Y4398">
        <v>0</v>
      </c>
      <c r="Z4398">
        <v>-501</v>
      </c>
      <c r="AA4398">
        <v>689222</v>
      </c>
      <c r="AD4398" t="s">
        <v>64</v>
      </c>
      <c r="AF4398" t="s">
        <v>64</v>
      </c>
      <c r="AG4398" s="1" t="s">
        <v>11283</v>
      </c>
      <c r="AH4398" t="s">
        <v>44</v>
      </c>
    </row>
    <row r="4399" spans="1:34" x14ac:dyDescent="0.3">
      <c r="A4399">
        <v>101</v>
      </c>
      <c r="B4399" t="s">
        <v>34</v>
      </c>
      <c r="C4399">
        <v>2</v>
      </c>
      <c r="D4399" s="1" t="s">
        <v>11292</v>
      </c>
      <c r="E4399" s="1" t="s">
        <v>36</v>
      </c>
      <c r="G4399">
        <v>461496</v>
      </c>
      <c r="H4399" t="s">
        <v>11281</v>
      </c>
      <c r="I4399" t="s">
        <v>2413</v>
      </c>
      <c r="J4399">
        <v>30</v>
      </c>
      <c r="K4399">
        <v>2695</v>
      </c>
      <c r="L4399">
        <v>95000</v>
      </c>
      <c r="M4399" t="s">
        <v>69</v>
      </c>
      <c r="N4399">
        <v>691</v>
      </c>
      <c r="O4399" s="2">
        <v>46140</v>
      </c>
      <c r="P4399" s="2">
        <v>46255</v>
      </c>
      <c r="R4399" t="s">
        <v>11293</v>
      </c>
      <c r="S4399" t="str">
        <f>""</f>
        <v/>
      </c>
      <c r="T4399" t="s">
        <v>41</v>
      </c>
      <c r="U4399">
        <v>5195.5200000000004</v>
      </c>
      <c r="V4399">
        <v>5138.37</v>
      </c>
      <c r="W4399">
        <v>5138.37</v>
      </c>
      <c r="X4399">
        <v>0</v>
      </c>
      <c r="Y4399">
        <v>0</v>
      </c>
      <c r="Z4399">
        <v>-480</v>
      </c>
      <c r="AA4399">
        <v>686620</v>
      </c>
      <c r="AD4399" t="s">
        <v>64</v>
      </c>
      <c r="AF4399" t="s">
        <v>64</v>
      </c>
      <c r="AG4399" s="1" t="s">
        <v>11283</v>
      </c>
      <c r="AH4399" t="s">
        <v>44</v>
      </c>
    </row>
    <row r="4400" spans="1:34" x14ac:dyDescent="0.3">
      <c r="A4400">
        <v>101</v>
      </c>
      <c r="B4400" t="s">
        <v>34</v>
      </c>
      <c r="C4400">
        <v>2</v>
      </c>
      <c r="D4400" s="1" t="s">
        <v>11294</v>
      </c>
      <c r="E4400" s="1" t="s">
        <v>36</v>
      </c>
      <c r="G4400">
        <v>461496</v>
      </c>
      <c r="H4400" t="s">
        <v>11281</v>
      </c>
      <c r="I4400" t="s">
        <v>2413</v>
      </c>
      <c r="J4400">
        <v>30</v>
      </c>
      <c r="K4400">
        <v>2695</v>
      </c>
      <c r="L4400">
        <v>95000</v>
      </c>
      <c r="M4400" t="s">
        <v>69</v>
      </c>
      <c r="N4400">
        <v>691</v>
      </c>
      <c r="O4400" s="2">
        <v>46226</v>
      </c>
      <c r="P4400" s="2">
        <v>46337</v>
      </c>
      <c r="R4400" t="s">
        <v>11295</v>
      </c>
      <c r="S4400" t="str">
        <f>""</f>
        <v/>
      </c>
      <c r="T4400" t="s">
        <v>41</v>
      </c>
      <c r="U4400">
        <v>5989.58</v>
      </c>
      <c r="V4400">
        <v>5923.69</v>
      </c>
      <c r="W4400">
        <v>5923.69</v>
      </c>
      <c r="X4400">
        <v>0</v>
      </c>
      <c r="Y4400">
        <v>0</v>
      </c>
      <c r="Z4400">
        <v>-562</v>
      </c>
      <c r="AA4400">
        <v>695005</v>
      </c>
      <c r="AD4400" t="s">
        <v>64</v>
      </c>
      <c r="AF4400" t="s">
        <v>64</v>
      </c>
      <c r="AG4400" s="1" t="s">
        <v>11283</v>
      </c>
      <c r="AH4400" t="s">
        <v>44</v>
      </c>
    </row>
    <row r="4401" spans="1:34" x14ac:dyDescent="0.3">
      <c r="A4401">
        <v>101</v>
      </c>
      <c r="B4401" t="s">
        <v>34</v>
      </c>
      <c r="C4401">
        <v>2</v>
      </c>
      <c r="D4401" s="1" t="s">
        <v>11296</v>
      </c>
      <c r="E4401" s="1" t="s">
        <v>36</v>
      </c>
      <c r="G4401">
        <v>461499</v>
      </c>
      <c r="H4401" t="s">
        <v>11297</v>
      </c>
      <c r="I4401" t="s">
        <v>2413</v>
      </c>
      <c r="J4401">
        <v>30</v>
      </c>
      <c r="K4401">
        <v>2695</v>
      </c>
      <c r="L4401">
        <v>95000</v>
      </c>
      <c r="M4401" t="s">
        <v>69</v>
      </c>
      <c r="N4401">
        <v>691</v>
      </c>
      <c r="O4401" s="2">
        <v>46170</v>
      </c>
      <c r="P4401" s="2">
        <v>46286</v>
      </c>
      <c r="R4401" t="s">
        <v>11298</v>
      </c>
      <c r="S4401" t="str">
        <f>""</f>
        <v/>
      </c>
      <c r="T4401" t="s">
        <v>41</v>
      </c>
      <c r="U4401">
        <v>9260.35</v>
      </c>
      <c r="V4401">
        <v>9158.49</v>
      </c>
      <c r="W4401">
        <v>9158.49</v>
      </c>
      <c r="X4401">
        <v>0</v>
      </c>
      <c r="Y4401">
        <v>0</v>
      </c>
      <c r="Z4401">
        <v>-511</v>
      </c>
      <c r="AA4401">
        <v>689350</v>
      </c>
      <c r="AD4401" t="s">
        <v>4736</v>
      </c>
      <c r="AF4401" t="s">
        <v>4736</v>
      </c>
      <c r="AG4401" s="1" t="s">
        <v>11299</v>
      </c>
      <c r="AH4401" t="s">
        <v>44</v>
      </c>
    </row>
    <row r="4402" spans="1:34" x14ac:dyDescent="0.3">
      <c r="A4402">
        <v>101</v>
      </c>
      <c r="B4402" t="s">
        <v>34</v>
      </c>
      <c r="C4402">
        <v>2</v>
      </c>
      <c r="D4402" s="1" t="s">
        <v>11300</v>
      </c>
      <c r="E4402" s="1" t="s">
        <v>36</v>
      </c>
      <c r="G4402">
        <v>461499</v>
      </c>
      <c r="H4402" t="s">
        <v>11297</v>
      </c>
      <c r="I4402" t="s">
        <v>2413</v>
      </c>
      <c r="J4402">
        <v>30</v>
      </c>
      <c r="K4402">
        <v>2695</v>
      </c>
      <c r="L4402">
        <v>95000</v>
      </c>
      <c r="M4402" t="s">
        <v>69</v>
      </c>
      <c r="N4402">
        <v>691</v>
      </c>
      <c r="O4402" s="2">
        <v>46226</v>
      </c>
      <c r="P4402" s="2">
        <v>46337</v>
      </c>
      <c r="R4402" t="s">
        <v>11301</v>
      </c>
      <c r="S4402" t="str">
        <f>""</f>
        <v/>
      </c>
      <c r="T4402" t="s">
        <v>41</v>
      </c>
      <c r="U4402">
        <v>9624.1200000000008</v>
      </c>
      <c r="V4402">
        <v>9518.25</v>
      </c>
      <c r="W4402">
        <v>9518.25</v>
      </c>
      <c r="X4402">
        <v>0</v>
      </c>
      <c r="Y4402">
        <v>0</v>
      </c>
      <c r="Z4402">
        <v>-562</v>
      </c>
      <c r="AA4402">
        <v>695035</v>
      </c>
      <c r="AD4402" t="s">
        <v>4736</v>
      </c>
      <c r="AF4402" t="s">
        <v>4736</v>
      </c>
      <c r="AG4402" s="1" t="s">
        <v>11299</v>
      </c>
      <c r="AH4402" t="s">
        <v>44</v>
      </c>
    </row>
    <row r="4403" spans="1:34" x14ac:dyDescent="0.3">
      <c r="A4403">
        <v>101</v>
      </c>
      <c r="B4403" t="s">
        <v>34</v>
      </c>
      <c r="C4403">
        <v>2</v>
      </c>
      <c r="D4403" s="1" t="s">
        <v>11302</v>
      </c>
      <c r="E4403" s="1" t="s">
        <v>36</v>
      </c>
      <c r="G4403">
        <v>461499</v>
      </c>
      <c r="H4403" t="s">
        <v>11297</v>
      </c>
      <c r="I4403" t="s">
        <v>2413</v>
      </c>
      <c r="J4403">
        <v>30</v>
      </c>
      <c r="K4403">
        <v>2695</v>
      </c>
      <c r="L4403">
        <v>95000</v>
      </c>
      <c r="M4403" t="s">
        <v>69</v>
      </c>
      <c r="N4403">
        <v>691</v>
      </c>
      <c r="O4403" s="2">
        <v>46198</v>
      </c>
      <c r="P4403" s="2">
        <v>46308</v>
      </c>
      <c r="R4403" t="s">
        <v>11303</v>
      </c>
      <c r="S4403" t="str">
        <f>""</f>
        <v/>
      </c>
      <c r="T4403" t="s">
        <v>41</v>
      </c>
      <c r="U4403">
        <v>13427.49</v>
      </c>
      <c r="V4403">
        <v>13279.79</v>
      </c>
      <c r="W4403">
        <v>13279.79</v>
      </c>
      <c r="X4403">
        <v>0</v>
      </c>
      <c r="Y4403">
        <v>0</v>
      </c>
      <c r="Z4403">
        <v>-533</v>
      </c>
      <c r="AA4403">
        <v>692310</v>
      </c>
      <c r="AD4403" t="s">
        <v>4736</v>
      </c>
      <c r="AF4403" t="s">
        <v>4736</v>
      </c>
      <c r="AG4403" s="1" t="s">
        <v>11299</v>
      </c>
      <c r="AH4403" t="s">
        <v>44</v>
      </c>
    </row>
    <row r="4404" spans="1:34" x14ac:dyDescent="0.3">
      <c r="A4404">
        <v>101</v>
      </c>
      <c r="B4404" t="s">
        <v>34</v>
      </c>
      <c r="C4404">
        <v>2</v>
      </c>
      <c r="D4404" s="1" t="s">
        <v>11304</v>
      </c>
      <c r="E4404" s="1" t="s">
        <v>36</v>
      </c>
      <c r="G4404">
        <v>461499</v>
      </c>
      <c r="H4404" t="s">
        <v>11297</v>
      </c>
      <c r="I4404" t="s">
        <v>2413</v>
      </c>
      <c r="J4404">
        <v>30</v>
      </c>
      <c r="K4404">
        <v>2695</v>
      </c>
      <c r="L4404">
        <v>95000</v>
      </c>
      <c r="M4404" t="s">
        <v>69</v>
      </c>
      <c r="N4404">
        <v>691</v>
      </c>
      <c r="O4404" s="2">
        <v>46198</v>
      </c>
      <c r="P4404" s="2">
        <v>46308</v>
      </c>
      <c r="R4404" t="s">
        <v>11305</v>
      </c>
      <c r="S4404" t="str">
        <f>""</f>
        <v/>
      </c>
      <c r="T4404" t="s">
        <v>41</v>
      </c>
      <c r="U4404">
        <v>884.5</v>
      </c>
      <c r="V4404">
        <v>874.77</v>
      </c>
      <c r="W4404">
        <v>874.77</v>
      </c>
      <c r="X4404">
        <v>0</v>
      </c>
      <c r="Y4404">
        <v>0</v>
      </c>
      <c r="Z4404">
        <v>-533</v>
      </c>
      <c r="AA4404">
        <v>692598</v>
      </c>
      <c r="AD4404" t="s">
        <v>4736</v>
      </c>
      <c r="AF4404" t="s">
        <v>4736</v>
      </c>
      <c r="AG4404" s="1" t="s">
        <v>11299</v>
      </c>
      <c r="AH4404" t="s">
        <v>44</v>
      </c>
    </row>
    <row r="4405" spans="1:34" x14ac:dyDescent="0.3">
      <c r="A4405">
        <v>101</v>
      </c>
      <c r="B4405" t="s">
        <v>34</v>
      </c>
      <c r="C4405">
        <v>2</v>
      </c>
      <c r="D4405" s="1" t="s">
        <v>11306</v>
      </c>
      <c r="E4405" s="1" t="s">
        <v>36</v>
      </c>
      <c r="G4405">
        <v>461499</v>
      </c>
      <c r="H4405" t="s">
        <v>11297</v>
      </c>
      <c r="I4405" t="s">
        <v>2413</v>
      </c>
      <c r="J4405">
        <v>30</v>
      </c>
      <c r="K4405">
        <v>2695</v>
      </c>
      <c r="L4405">
        <v>95000</v>
      </c>
      <c r="M4405" t="s">
        <v>69</v>
      </c>
      <c r="N4405">
        <v>691</v>
      </c>
      <c r="O4405" s="2">
        <v>46185</v>
      </c>
      <c r="P4405" s="2">
        <v>46296</v>
      </c>
      <c r="R4405" t="s">
        <v>11307</v>
      </c>
      <c r="S4405" t="str">
        <f>""</f>
        <v/>
      </c>
      <c r="T4405" t="s">
        <v>41</v>
      </c>
      <c r="U4405">
        <v>2134.8000000000002</v>
      </c>
      <c r="V4405">
        <v>2111.3200000000002</v>
      </c>
      <c r="W4405">
        <v>2111.3200000000002</v>
      </c>
      <c r="X4405">
        <v>0</v>
      </c>
      <c r="Y4405">
        <v>0</v>
      </c>
      <c r="Z4405">
        <v>-521</v>
      </c>
      <c r="AA4405">
        <v>689350</v>
      </c>
      <c r="AD4405" t="s">
        <v>4736</v>
      </c>
      <c r="AF4405" t="s">
        <v>4736</v>
      </c>
      <c r="AG4405" s="1" t="s">
        <v>11299</v>
      </c>
      <c r="AH4405" t="s">
        <v>44</v>
      </c>
    </row>
    <row r="4406" spans="1:34" x14ac:dyDescent="0.3">
      <c r="A4406">
        <v>101</v>
      </c>
      <c r="B4406" t="s">
        <v>34</v>
      </c>
      <c r="C4406">
        <v>2</v>
      </c>
      <c r="D4406" s="1" t="s">
        <v>11308</v>
      </c>
      <c r="E4406" s="1" t="s">
        <v>36</v>
      </c>
      <c r="G4406">
        <v>461499</v>
      </c>
      <c r="H4406" t="s">
        <v>11297</v>
      </c>
      <c r="I4406" t="s">
        <v>2413</v>
      </c>
      <c r="J4406">
        <v>30</v>
      </c>
      <c r="K4406">
        <v>2695</v>
      </c>
      <c r="L4406">
        <v>95000</v>
      </c>
      <c r="M4406" t="s">
        <v>69</v>
      </c>
      <c r="N4406">
        <v>691</v>
      </c>
      <c r="O4406" s="2">
        <v>46253</v>
      </c>
      <c r="P4406" s="2">
        <v>46343</v>
      </c>
      <c r="R4406" t="s">
        <v>11309</v>
      </c>
      <c r="S4406" t="str">
        <f>""</f>
        <v/>
      </c>
      <c r="T4406" t="s">
        <v>41</v>
      </c>
      <c r="U4406">
        <v>2653.5</v>
      </c>
      <c r="V4406">
        <v>2624.31</v>
      </c>
      <c r="W4406">
        <v>2624.31</v>
      </c>
      <c r="X4406">
        <v>0</v>
      </c>
      <c r="Y4406">
        <v>0</v>
      </c>
      <c r="Z4406">
        <v>-568</v>
      </c>
      <c r="AA4406">
        <v>697053</v>
      </c>
      <c r="AD4406" t="s">
        <v>4736</v>
      </c>
      <c r="AF4406" t="s">
        <v>4736</v>
      </c>
      <c r="AG4406" s="1" t="s">
        <v>11299</v>
      </c>
      <c r="AH4406" t="s">
        <v>44</v>
      </c>
    </row>
    <row r="4407" spans="1:34" x14ac:dyDescent="0.3">
      <c r="A4407">
        <v>101</v>
      </c>
      <c r="B4407" t="s">
        <v>34</v>
      </c>
      <c r="C4407">
        <v>2</v>
      </c>
      <c r="D4407" s="1" t="s">
        <v>11310</v>
      </c>
      <c r="E4407" s="1" t="s">
        <v>36</v>
      </c>
      <c r="G4407">
        <v>461500</v>
      </c>
      <c r="H4407" t="s">
        <v>11311</v>
      </c>
      <c r="I4407" t="s">
        <v>2413</v>
      </c>
      <c r="J4407">
        <v>30</v>
      </c>
      <c r="K4407">
        <v>2695</v>
      </c>
      <c r="L4407">
        <v>95000</v>
      </c>
      <c r="M4407" t="s">
        <v>69</v>
      </c>
      <c r="N4407">
        <v>691</v>
      </c>
      <c r="O4407" s="2">
        <v>46197</v>
      </c>
      <c r="P4407" s="2">
        <v>46316</v>
      </c>
      <c r="R4407" t="s">
        <v>11312</v>
      </c>
      <c r="S4407" t="str">
        <f>""</f>
        <v/>
      </c>
      <c r="T4407" t="s">
        <v>41</v>
      </c>
      <c r="U4407">
        <v>8151.56</v>
      </c>
      <c r="V4407">
        <v>8061.89</v>
      </c>
      <c r="W4407">
        <v>8061.89</v>
      </c>
      <c r="X4407">
        <v>0</v>
      </c>
      <c r="Y4407">
        <v>0</v>
      </c>
      <c r="Z4407">
        <v>-541</v>
      </c>
      <c r="AA4407">
        <v>692312</v>
      </c>
      <c r="AD4407" t="s">
        <v>3327</v>
      </c>
      <c r="AF4407" t="s">
        <v>3327</v>
      </c>
      <c r="AG4407" s="1" t="s">
        <v>11313</v>
      </c>
      <c r="AH4407" t="s">
        <v>44</v>
      </c>
    </row>
    <row r="4408" spans="1:34" x14ac:dyDescent="0.3">
      <c r="A4408">
        <v>101</v>
      </c>
      <c r="B4408" t="s">
        <v>34</v>
      </c>
      <c r="C4408">
        <v>2</v>
      </c>
      <c r="D4408" s="1" t="s">
        <v>11314</v>
      </c>
      <c r="E4408" s="1" t="s">
        <v>36</v>
      </c>
      <c r="G4408">
        <v>461500</v>
      </c>
      <c r="H4408" t="s">
        <v>11311</v>
      </c>
      <c r="I4408" t="s">
        <v>2413</v>
      </c>
      <c r="J4408">
        <v>30</v>
      </c>
      <c r="K4408">
        <v>2695</v>
      </c>
      <c r="L4408">
        <v>95000</v>
      </c>
      <c r="M4408" t="s">
        <v>69</v>
      </c>
      <c r="N4408">
        <v>691</v>
      </c>
      <c r="O4408" s="2">
        <v>46253</v>
      </c>
      <c r="P4408" s="2">
        <v>46343</v>
      </c>
      <c r="R4408" t="s">
        <v>11315</v>
      </c>
      <c r="S4408" t="str">
        <f>""</f>
        <v/>
      </c>
      <c r="T4408" t="s">
        <v>41</v>
      </c>
      <c r="U4408">
        <v>1769</v>
      </c>
      <c r="V4408">
        <v>1749.54</v>
      </c>
      <c r="W4408">
        <v>1749.54</v>
      </c>
      <c r="X4408">
        <v>0</v>
      </c>
      <c r="Y4408">
        <v>0</v>
      </c>
      <c r="Z4408">
        <v>-568</v>
      </c>
      <c r="AA4408">
        <v>697055</v>
      </c>
      <c r="AD4408" t="s">
        <v>3327</v>
      </c>
      <c r="AF4408" t="s">
        <v>3327</v>
      </c>
      <c r="AG4408" s="1" t="s">
        <v>11313</v>
      </c>
      <c r="AH4408" t="s">
        <v>44</v>
      </c>
    </row>
    <row r="4409" spans="1:34" x14ac:dyDescent="0.3">
      <c r="A4409">
        <v>101</v>
      </c>
      <c r="B4409" t="s">
        <v>34</v>
      </c>
      <c r="C4409">
        <v>2</v>
      </c>
      <c r="D4409" s="1" t="s">
        <v>11316</v>
      </c>
      <c r="E4409" s="1" t="s">
        <v>36</v>
      </c>
      <c r="G4409">
        <v>461500</v>
      </c>
      <c r="H4409" t="s">
        <v>11311</v>
      </c>
      <c r="I4409" t="s">
        <v>2413</v>
      </c>
      <c r="J4409">
        <v>30</v>
      </c>
      <c r="K4409">
        <v>2695</v>
      </c>
      <c r="L4409">
        <v>95000</v>
      </c>
      <c r="M4409" t="s">
        <v>69</v>
      </c>
      <c r="N4409">
        <v>691</v>
      </c>
      <c r="O4409" s="2">
        <v>46226</v>
      </c>
      <c r="P4409" s="2">
        <v>46349</v>
      </c>
      <c r="R4409" t="s">
        <v>11317</v>
      </c>
      <c r="S4409" t="str">
        <f>""</f>
        <v/>
      </c>
      <c r="T4409" t="s">
        <v>41</v>
      </c>
      <c r="U4409">
        <v>5267.92</v>
      </c>
      <c r="V4409">
        <v>5209.97</v>
      </c>
      <c r="W4409">
        <v>5209.97</v>
      </c>
      <c r="X4409">
        <v>0</v>
      </c>
      <c r="Y4409">
        <v>0</v>
      </c>
      <c r="Z4409">
        <v>-574</v>
      </c>
      <c r="AA4409">
        <v>695037</v>
      </c>
      <c r="AD4409" t="s">
        <v>3327</v>
      </c>
      <c r="AF4409" t="s">
        <v>3327</v>
      </c>
      <c r="AG4409" s="1" t="s">
        <v>11313</v>
      </c>
      <c r="AH4409" t="s">
        <v>44</v>
      </c>
    </row>
    <row r="4410" spans="1:34" x14ac:dyDescent="0.3">
      <c r="A4410">
        <v>101</v>
      </c>
      <c r="B4410" t="s">
        <v>34</v>
      </c>
      <c r="C4410">
        <v>2</v>
      </c>
      <c r="D4410" s="1" t="s">
        <v>11318</v>
      </c>
      <c r="E4410" s="1" t="s">
        <v>36</v>
      </c>
      <c r="G4410">
        <v>461500</v>
      </c>
      <c r="H4410" t="s">
        <v>11311</v>
      </c>
      <c r="I4410" t="s">
        <v>2413</v>
      </c>
      <c r="J4410">
        <v>30</v>
      </c>
      <c r="K4410">
        <v>2695</v>
      </c>
      <c r="L4410">
        <v>95000</v>
      </c>
      <c r="M4410" t="s">
        <v>69</v>
      </c>
      <c r="N4410">
        <v>691</v>
      </c>
      <c r="O4410" s="2">
        <v>46171</v>
      </c>
      <c r="P4410" s="2">
        <v>46276</v>
      </c>
      <c r="R4410" t="s">
        <v>11319</v>
      </c>
      <c r="S4410" t="str">
        <f>""</f>
        <v/>
      </c>
      <c r="T4410" t="s">
        <v>41</v>
      </c>
      <c r="U4410">
        <v>2134.8000000000002</v>
      </c>
      <c r="V4410">
        <v>2111.3200000000002</v>
      </c>
      <c r="W4410">
        <v>2111.3200000000002</v>
      </c>
      <c r="X4410">
        <v>0</v>
      </c>
      <c r="Y4410">
        <v>0</v>
      </c>
      <c r="Z4410">
        <v>-501</v>
      </c>
      <c r="AA4410">
        <v>689352</v>
      </c>
      <c r="AD4410" t="s">
        <v>3327</v>
      </c>
      <c r="AF4410" t="s">
        <v>3327</v>
      </c>
      <c r="AG4410" s="1" t="s">
        <v>11313</v>
      </c>
      <c r="AH4410" t="s">
        <v>44</v>
      </c>
    </row>
    <row r="4411" spans="1:34" x14ac:dyDescent="0.3">
      <c r="A4411">
        <v>101</v>
      </c>
      <c r="B4411" t="s">
        <v>34</v>
      </c>
      <c r="C4411">
        <v>2</v>
      </c>
      <c r="D4411" s="1" t="s">
        <v>11320</v>
      </c>
      <c r="E4411" s="1" t="s">
        <v>36</v>
      </c>
      <c r="G4411">
        <v>461500</v>
      </c>
      <c r="H4411" t="s">
        <v>11311</v>
      </c>
      <c r="I4411" t="s">
        <v>2413</v>
      </c>
      <c r="J4411">
        <v>30</v>
      </c>
      <c r="K4411">
        <v>2695</v>
      </c>
      <c r="L4411">
        <v>95000</v>
      </c>
      <c r="M4411" t="s">
        <v>69</v>
      </c>
      <c r="N4411">
        <v>691</v>
      </c>
      <c r="O4411" s="2">
        <v>46170</v>
      </c>
      <c r="P4411" s="2">
        <v>46276</v>
      </c>
      <c r="R4411" t="s">
        <v>11321</v>
      </c>
      <c r="S4411" t="str">
        <f>""</f>
        <v/>
      </c>
      <c r="T4411" t="s">
        <v>41</v>
      </c>
      <c r="U4411">
        <v>16964.849999999999</v>
      </c>
      <c r="V4411">
        <v>16778.240000000002</v>
      </c>
      <c r="W4411">
        <v>16778.240000000002</v>
      </c>
      <c r="X4411">
        <v>0</v>
      </c>
      <c r="Y4411">
        <v>0</v>
      </c>
      <c r="Z4411">
        <v>-501</v>
      </c>
      <c r="AA4411">
        <v>689352</v>
      </c>
      <c r="AD4411" t="s">
        <v>3327</v>
      </c>
      <c r="AF4411" t="s">
        <v>3327</v>
      </c>
      <c r="AG4411" s="1" t="s">
        <v>11313</v>
      </c>
      <c r="AH4411" t="s">
        <v>44</v>
      </c>
    </row>
    <row r="4412" spans="1:34" x14ac:dyDescent="0.3">
      <c r="A4412">
        <v>101</v>
      </c>
      <c r="B4412" t="s">
        <v>34</v>
      </c>
      <c r="C4412">
        <v>2</v>
      </c>
      <c r="D4412" s="1" t="s">
        <v>11322</v>
      </c>
      <c r="E4412" s="1" t="s">
        <v>36</v>
      </c>
      <c r="G4412">
        <v>461501</v>
      </c>
      <c r="H4412" t="s">
        <v>11323</v>
      </c>
      <c r="I4412" t="s">
        <v>2413</v>
      </c>
      <c r="J4412">
        <v>30</v>
      </c>
      <c r="K4412">
        <v>2695</v>
      </c>
      <c r="L4412">
        <v>95000</v>
      </c>
      <c r="M4412" t="s">
        <v>69</v>
      </c>
      <c r="N4412">
        <v>691</v>
      </c>
      <c r="O4412" s="2">
        <v>46198</v>
      </c>
      <c r="P4412" s="2">
        <v>46316</v>
      </c>
      <c r="R4412" t="s">
        <v>11324</v>
      </c>
      <c r="S4412" t="str">
        <f>""</f>
        <v/>
      </c>
      <c r="T4412" t="s">
        <v>41</v>
      </c>
      <c r="U4412">
        <v>1326.75</v>
      </c>
      <c r="V4412">
        <v>1312.16</v>
      </c>
      <c r="W4412">
        <v>1312.16</v>
      </c>
      <c r="X4412">
        <v>0</v>
      </c>
      <c r="Y4412">
        <v>0</v>
      </c>
      <c r="Z4412">
        <v>-541</v>
      </c>
      <c r="AA4412">
        <v>692606</v>
      </c>
      <c r="AD4412" t="s">
        <v>2278</v>
      </c>
      <c r="AF4412" t="s">
        <v>2278</v>
      </c>
      <c r="AG4412" s="1" t="s">
        <v>11325</v>
      </c>
      <c r="AH4412" t="s">
        <v>44</v>
      </c>
    </row>
    <row r="4413" spans="1:34" x14ac:dyDescent="0.3">
      <c r="A4413">
        <v>101</v>
      </c>
      <c r="B4413" t="s">
        <v>34</v>
      </c>
      <c r="C4413">
        <v>2</v>
      </c>
      <c r="D4413" s="1" t="s">
        <v>11326</v>
      </c>
      <c r="E4413" s="1" t="s">
        <v>36</v>
      </c>
      <c r="G4413">
        <v>461501</v>
      </c>
      <c r="H4413" t="s">
        <v>11323</v>
      </c>
      <c r="I4413" t="s">
        <v>2413</v>
      </c>
      <c r="J4413">
        <v>30</v>
      </c>
      <c r="K4413">
        <v>2695</v>
      </c>
      <c r="L4413">
        <v>95000</v>
      </c>
      <c r="M4413" t="s">
        <v>69</v>
      </c>
      <c r="N4413">
        <v>691</v>
      </c>
      <c r="O4413" s="2">
        <v>46239</v>
      </c>
      <c r="P4413" s="2">
        <v>46337</v>
      </c>
      <c r="R4413" t="s">
        <v>11327</v>
      </c>
      <c r="S4413" t="str">
        <f>""</f>
        <v/>
      </c>
      <c r="T4413" t="s">
        <v>41</v>
      </c>
      <c r="U4413">
        <v>3765.27</v>
      </c>
      <c r="V4413">
        <v>3723.85</v>
      </c>
      <c r="W4413">
        <v>3723.85</v>
      </c>
      <c r="X4413">
        <v>0</v>
      </c>
      <c r="Y4413">
        <v>0</v>
      </c>
      <c r="Z4413">
        <v>-562</v>
      </c>
      <c r="AA4413">
        <v>696281</v>
      </c>
      <c r="AD4413" t="s">
        <v>2278</v>
      </c>
      <c r="AF4413" t="s">
        <v>2278</v>
      </c>
      <c r="AG4413" s="1" t="s">
        <v>11325</v>
      </c>
      <c r="AH4413" t="s">
        <v>44</v>
      </c>
    </row>
    <row r="4414" spans="1:34" x14ac:dyDescent="0.3">
      <c r="A4414">
        <v>101</v>
      </c>
      <c r="B4414" t="s">
        <v>34</v>
      </c>
      <c r="C4414">
        <v>2</v>
      </c>
      <c r="D4414" s="1" t="s">
        <v>11328</v>
      </c>
      <c r="E4414" s="1" t="s">
        <v>36</v>
      </c>
      <c r="G4414">
        <v>461501</v>
      </c>
      <c r="H4414" t="s">
        <v>11323</v>
      </c>
      <c r="I4414" t="s">
        <v>2413</v>
      </c>
      <c r="J4414">
        <v>30</v>
      </c>
      <c r="K4414">
        <v>2695</v>
      </c>
      <c r="L4414">
        <v>95000</v>
      </c>
      <c r="M4414" t="s">
        <v>69</v>
      </c>
      <c r="N4414">
        <v>691</v>
      </c>
      <c r="O4414" s="2">
        <v>46226</v>
      </c>
      <c r="P4414" s="2">
        <v>46337</v>
      </c>
      <c r="R4414" t="s">
        <v>11329</v>
      </c>
      <c r="S4414" t="str">
        <f>""</f>
        <v/>
      </c>
      <c r="T4414" t="s">
        <v>41</v>
      </c>
      <c r="U4414">
        <v>9097.24</v>
      </c>
      <c r="V4414">
        <v>8997.17</v>
      </c>
      <c r="W4414">
        <v>8997.17</v>
      </c>
      <c r="X4414">
        <v>0</v>
      </c>
      <c r="Y4414">
        <v>0</v>
      </c>
      <c r="Z4414">
        <v>-562</v>
      </c>
      <c r="AA4414">
        <v>695041</v>
      </c>
      <c r="AD4414" t="s">
        <v>2278</v>
      </c>
      <c r="AF4414" t="s">
        <v>2278</v>
      </c>
      <c r="AG4414" s="1" t="s">
        <v>11325</v>
      </c>
      <c r="AH4414" t="s">
        <v>44</v>
      </c>
    </row>
    <row r="4415" spans="1:34" x14ac:dyDescent="0.3">
      <c r="A4415">
        <v>101</v>
      </c>
      <c r="B4415" t="s">
        <v>34</v>
      </c>
      <c r="C4415">
        <v>2</v>
      </c>
      <c r="D4415" s="1" t="s">
        <v>11330</v>
      </c>
      <c r="E4415" s="1" t="s">
        <v>36</v>
      </c>
      <c r="G4415">
        <v>461501</v>
      </c>
      <c r="H4415" t="s">
        <v>11323</v>
      </c>
      <c r="I4415" t="s">
        <v>2413</v>
      </c>
      <c r="J4415">
        <v>30</v>
      </c>
      <c r="K4415">
        <v>2695</v>
      </c>
      <c r="L4415">
        <v>95000</v>
      </c>
      <c r="M4415" t="s">
        <v>69</v>
      </c>
      <c r="N4415">
        <v>691</v>
      </c>
      <c r="O4415" s="2">
        <v>46141</v>
      </c>
      <c r="P4415" s="2">
        <v>46255</v>
      </c>
      <c r="R4415" t="s">
        <v>11331</v>
      </c>
      <c r="S4415" t="str">
        <f>""</f>
        <v/>
      </c>
      <c r="T4415" t="s">
        <v>41</v>
      </c>
      <c r="U4415">
        <v>19061.2</v>
      </c>
      <c r="V4415">
        <v>18851.53</v>
      </c>
      <c r="W4415">
        <v>18851.53</v>
      </c>
      <c r="X4415">
        <v>0</v>
      </c>
      <c r="Y4415">
        <v>0</v>
      </c>
      <c r="Z4415">
        <v>-480</v>
      </c>
      <c r="AA4415">
        <v>686645</v>
      </c>
      <c r="AD4415" t="s">
        <v>2278</v>
      </c>
      <c r="AF4415" t="s">
        <v>2278</v>
      </c>
      <c r="AG4415" s="1" t="s">
        <v>11325</v>
      </c>
      <c r="AH4415" t="s">
        <v>44</v>
      </c>
    </row>
    <row r="4416" spans="1:34" x14ac:dyDescent="0.3">
      <c r="A4416">
        <v>101</v>
      </c>
      <c r="B4416" t="s">
        <v>34</v>
      </c>
      <c r="C4416">
        <v>2</v>
      </c>
      <c r="D4416" s="1" t="s">
        <v>11332</v>
      </c>
      <c r="E4416" s="1" t="s">
        <v>36</v>
      </c>
      <c r="G4416">
        <v>461501</v>
      </c>
      <c r="H4416" t="s">
        <v>11323</v>
      </c>
      <c r="I4416" t="s">
        <v>2413</v>
      </c>
      <c r="J4416">
        <v>30</v>
      </c>
      <c r="K4416">
        <v>2695</v>
      </c>
      <c r="L4416">
        <v>95000</v>
      </c>
      <c r="M4416" t="s">
        <v>69</v>
      </c>
      <c r="N4416">
        <v>691</v>
      </c>
      <c r="O4416" s="2">
        <v>46198</v>
      </c>
      <c r="P4416" s="2">
        <v>46316</v>
      </c>
      <c r="R4416" t="s">
        <v>11333</v>
      </c>
      <c r="S4416" t="str">
        <f>""</f>
        <v/>
      </c>
      <c r="T4416" t="s">
        <v>41</v>
      </c>
      <c r="U4416">
        <v>7533.72</v>
      </c>
      <c r="V4416">
        <v>7450.85</v>
      </c>
      <c r="W4416">
        <v>7450.85</v>
      </c>
      <c r="X4416">
        <v>0</v>
      </c>
      <c r="Y4416">
        <v>0</v>
      </c>
      <c r="Z4416">
        <v>-541</v>
      </c>
      <c r="AA4416">
        <v>692208</v>
      </c>
      <c r="AD4416" t="s">
        <v>2278</v>
      </c>
      <c r="AF4416" t="s">
        <v>2278</v>
      </c>
      <c r="AG4416" s="1" t="s">
        <v>11325</v>
      </c>
      <c r="AH4416" t="s">
        <v>44</v>
      </c>
    </row>
    <row r="4417" spans="1:34" x14ac:dyDescent="0.3">
      <c r="A4417">
        <v>101</v>
      </c>
      <c r="B4417" t="s">
        <v>34</v>
      </c>
      <c r="C4417">
        <v>2</v>
      </c>
      <c r="D4417" s="1" t="s">
        <v>11334</v>
      </c>
      <c r="E4417" s="1" t="s">
        <v>36</v>
      </c>
      <c r="G4417">
        <v>461501</v>
      </c>
      <c r="H4417" t="s">
        <v>11323</v>
      </c>
      <c r="I4417" t="s">
        <v>2413</v>
      </c>
      <c r="J4417">
        <v>30</v>
      </c>
      <c r="K4417">
        <v>2695</v>
      </c>
      <c r="L4417">
        <v>95000</v>
      </c>
      <c r="M4417" t="s">
        <v>69</v>
      </c>
      <c r="N4417">
        <v>691</v>
      </c>
      <c r="O4417" s="2">
        <v>46171</v>
      </c>
      <c r="P4417" s="2">
        <v>46286</v>
      </c>
      <c r="R4417" t="s">
        <v>11335</v>
      </c>
      <c r="S4417" t="str">
        <f>""</f>
        <v/>
      </c>
      <c r="T4417" t="s">
        <v>41</v>
      </c>
      <c r="U4417">
        <v>24464.79</v>
      </c>
      <c r="V4417">
        <v>24195.68</v>
      </c>
      <c r="W4417">
        <v>24195.68</v>
      </c>
      <c r="X4417">
        <v>0</v>
      </c>
      <c r="Y4417">
        <v>0</v>
      </c>
      <c r="Z4417">
        <v>-511</v>
      </c>
      <c r="AA4417">
        <v>689246</v>
      </c>
      <c r="AD4417" t="s">
        <v>2278</v>
      </c>
      <c r="AF4417" t="s">
        <v>2278</v>
      </c>
      <c r="AG4417" s="1" t="s">
        <v>11325</v>
      </c>
      <c r="AH4417" t="s">
        <v>44</v>
      </c>
    </row>
    <row r="4418" spans="1:34" x14ac:dyDescent="0.3">
      <c r="A4418">
        <v>101</v>
      </c>
      <c r="B4418" t="s">
        <v>34</v>
      </c>
      <c r="C4418">
        <v>2</v>
      </c>
      <c r="D4418" s="1" t="s">
        <v>11336</v>
      </c>
      <c r="E4418" s="1" t="s">
        <v>36</v>
      </c>
      <c r="G4418">
        <v>461501</v>
      </c>
      <c r="H4418" t="s">
        <v>11323</v>
      </c>
      <c r="I4418" t="s">
        <v>2413</v>
      </c>
      <c r="J4418">
        <v>30</v>
      </c>
      <c r="K4418">
        <v>2695</v>
      </c>
      <c r="L4418">
        <v>95000</v>
      </c>
      <c r="M4418" t="s">
        <v>69</v>
      </c>
      <c r="N4418">
        <v>691</v>
      </c>
      <c r="O4418" s="2">
        <v>46171</v>
      </c>
      <c r="P4418" s="2">
        <v>46286</v>
      </c>
      <c r="R4418" t="s">
        <v>11337</v>
      </c>
      <c r="S4418" t="str">
        <f>""</f>
        <v/>
      </c>
      <c r="T4418" t="s">
        <v>41</v>
      </c>
      <c r="U4418">
        <v>2741</v>
      </c>
      <c r="V4418">
        <v>2710.85</v>
      </c>
      <c r="W4418">
        <v>2710.85</v>
      </c>
      <c r="X4418">
        <v>0</v>
      </c>
      <c r="Y4418">
        <v>0</v>
      </c>
      <c r="Z4418">
        <v>-511</v>
      </c>
      <c r="AA4418">
        <v>689521</v>
      </c>
      <c r="AD4418" t="s">
        <v>2278</v>
      </c>
      <c r="AF4418" t="s">
        <v>2278</v>
      </c>
      <c r="AG4418" s="1" t="s">
        <v>11325</v>
      </c>
      <c r="AH4418" t="s">
        <v>44</v>
      </c>
    </row>
    <row r="4419" spans="1:34" x14ac:dyDescent="0.3">
      <c r="A4419">
        <v>101</v>
      </c>
      <c r="B4419" t="s">
        <v>34</v>
      </c>
      <c r="C4419">
        <v>2</v>
      </c>
      <c r="D4419" s="1" t="s">
        <v>11338</v>
      </c>
      <c r="E4419" s="1" t="s">
        <v>36</v>
      </c>
      <c r="G4419">
        <v>461501</v>
      </c>
      <c r="H4419" t="s">
        <v>11323</v>
      </c>
      <c r="I4419" t="s">
        <v>2413</v>
      </c>
      <c r="J4419">
        <v>30</v>
      </c>
      <c r="K4419">
        <v>2695</v>
      </c>
      <c r="L4419">
        <v>95000</v>
      </c>
      <c r="M4419" t="s">
        <v>69</v>
      </c>
      <c r="N4419">
        <v>691</v>
      </c>
      <c r="O4419" s="2">
        <v>46203</v>
      </c>
      <c r="P4419" s="2">
        <v>46316</v>
      </c>
      <c r="R4419" t="s">
        <v>11339</v>
      </c>
      <c r="S4419" t="str">
        <f>""</f>
        <v/>
      </c>
      <c r="T4419" t="s">
        <v>41</v>
      </c>
      <c r="U4419">
        <v>3880.15</v>
      </c>
      <c r="V4419">
        <v>3837.47</v>
      </c>
      <c r="W4419">
        <v>3837.47</v>
      </c>
      <c r="X4419">
        <v>0</v>
      </c>
      <c r="Y4419">
        <v>0</v>
      </c>
      <c r="Z4419">
        <v>-541</v>
      </c>
      <c r="AA4419">
        <v>692843</v>
      </c>
      <c r="AD4419" t="s">
        <v>2278</v>
      </c>
      <c r="AF4419" t="s">
        <v>2278</v>
      </c>
      <c r="AG4419" s="1" t="s">
        <v>11325</v>
      </c>
      <c r="AH4419" t="s">
        <v>44</v>
      </c>
    </row>
    <row r="4420" spans="1:34" x14ac:dyDescent="0.3">
      <c r="A4420">
        <v>101</v>
      </c>
      <c r="B4420" t="s">
        <v>34</v>
      </c>
      <c r="C4420">
        <v>2</v>
      </c>
      <c r="D4420" s="1" t="s">
        <v>11340</v>
      </c>
      <c r="E4420" s="1" t="s">
        <v>36</v>
      </c>
      <c r="G4420">
        <v>461502</v>
      </c>
      <c r="H4420" t="s">
        <v>11341</v>
      </c>
      <c r="I4420" t="s">
        <v>2413</v>
      </c>
      <c r="J4420">
        <v>30</v>
      </c>
      <c r="K4420">
        <v>2695</v>
      </c>
      <c r="L4420">
        <v>95000</v>
      </c>
      <c r="M4420" t="s">
        <v>69</v>
      </c>
      <c r="N4420">
        <v>691</v>
      </c>
      <c r="O4420" s="2">
        <v>46226</v>
      </c>
      <c r="P4420" s="2">
        <v>46337</v>
      </c>
      <c r="R4420" t="s">
        <v>11342</v>
      </c>
      <c r="S4420" t="str">
        <f>""</f>
        <v/>
      </c>
      <c r="T4420" t="s">
        <v>41</v>
      </c>
      <c r="U4420">
        <v>8270.86</v>
      </c>
      <c r="V4420">
        <v>8179.88</v>
      </c>
      <c r="W4420">
        <v>8179.88</v>
      </c>
      <c r="X4420">
        <v>0</v>
      </c>
      <c r="Y4420">
        <v>0</v>
      </c>
      <c r="Z4420">
        <v>-562</v>
      </c>
      <c r="AA4420">
        <v>695045</v>
      </c>
      <c r="AD4420" t="s">
        <v>57</v>
      </c>
      <c r="AF4420" t="s">
        <v>57</v>
      </c>
      <c r="AG4420" s="1" t="s">
        <v>11343</v>
      </c>
      <c r="AH4420" t="s">
        <v>44</v>
      </c>
    </row>
    <row r="4421" spans="1:34" x14ac:dyDescent="0.3">
      <c r="A4421">
        <v>101</v>
      </c>
      <c r="B4421" t="s">
        <v>34</v>
      </c>
      <c r="C4421">
        <v>2</v>
      </c>
      <c r="D4421" s="1" t="s">
        <v>11344</v>
      </c>
      <c r="E4421" s="1" t="s">
        <v>36</v>
      </c>
      <c r="G4421">
        <v>461502</v>
      </c>
      <c r="H4421" t="s">
        <v>11341</v>
      </c>
      <c r="I4421" t="s">
        <v>2413</v>
      </c>
      <c r="J4421">
        <v>30</v>
      </c>
      <c r="K4421">
        <v>2695</v>
      </c>
      <c r="L4421">
        <v>95000</v>
      </c>
      <c r="M4421" t="s">
        <v>69</v>
      </c>
      <c r="N4421">
        <v>691</v>
      </c>
      <c r="O4421" s="2">
        <v>46185</v>
      </c>
      <c r="P4421" s="2">
        <v>46296</v>
      </c>
      <c r="R4421" t="s">
        <v>11345</v>
      </c>
      <c r="S4421" t="str">
        <f>""</f>
        <v/>
      </c>
      <c r="T4421" t="s">
        <v>41</v>
      </c>
      <c r="U4421">
        <v>2134.8000000000002</v>
      </c>
      <c r="V4421">
        <v>2111.3200000000002</v>
      </c>
      <c r="W4421">
        <v>2111.3200000000002</v>
      </c>
      <c r="X4421">
        <v>0</v>
      </c>
      <c r="Y4421">
        <v>0</v>
      </c>
      <c r="Z4421">
        <v>-521</v>
      </c>
      <c r="AA4421">
        <v>689248</v>
      </c>
      <c r="AD4421" t="s">
        <v>57</v>
      </c>
      <c r="AF4421" t="s">
        <v>57</v>
      </c>
      <c r="AG4421" s="1" t="s">
        <v>11343</v>
      </c>
      <c r="AH4421" t="s">
        <v>44</v>
      </c>
    </row>
    <row r="4422" spans="1:34" x14ac:dyDescent="0.3">
      <c r="A4422">
        <v>101</v>
      </c>
      <c r="B4422" t="s">
        <v>34</v>
      </c>
      <c r="C4422">
        <v>2</v>
      </c>
      <c r="D4422" s="1" t="s">
        <v>11346</v>
      </c>
      <c r="E4422" s="1" t="s">
        <v>36</v>
      </c>
      <c r="G4422">
        <v>461502</v>
      </c>
      <c r="H4422" t="s">
        <v>11341</v>
      </c>
      <c r="I4422" t="s">
        <v>2413</v>
      </c>
      <c r="J4422">
        <v>30</v>
      </c>
      <c r="K4422">
        <v>2695</v>
      </c>
      <c r="L4422">
        <v>95000</v>
      </c>
      <c r="M4422" t="s">
        <v>69</v>
      </c>
      <c r="N4422">
        <v>691</v>
      </c>
      <c r="O4422" s="2">
        <v>46141</v>
      </c>
      <c r="P4422" s="2">
        <v>46266</v>
      </c>
      <c r="R4422" t="s">
        <v>11347</v>
      </c>
      <c r="S4422" t="str">
        <f>""</f>
        <v/>
      </c>
      <c r="T4422" t="s">
        <v>41</v>
      </c>
      <c r="U4422">
        <v>16381.18</v>
      </c>
      <c r="V4422">
        <v>16200.99</v>
      </c>
      <c r="W4422">
        <v>16200.99</v>
      </c>
      <c r="X4422">
        <v>0</v>
      </c>
      <c r="Y4422">
        <v>0</v>
      </c>
      <c r="Z4422">
        <v>-491</v>
      </c>
      <c r="AA4422">
        <v>686647</v>
      </c>
      <c r="AD4422" t="s">
        <v>57</v>
      </c>
      <c r="AF4422" t="s">
        <v>57</v>
      </c>
      <c r="AG4422" s="1" t="s">
        <v>11343</v>
      </c>
      <c r="AH4422" t="s">
        <v>44</v>
      </c>
    </row>
    <row r="4423" spans="1:34" x14ac:dyDescent="0.3">
      <c r="A4423">
        <v>101</v>
      </c>
      <c r="B4423" t="s">
        <v>34</v>
      </c>
      <c r="C4423">
        <v>2</v>
      </c>
      <c r="D4423" s="1" t="s">
        <v>11348</v>
      </c>
      <c r="E4423" s="1" t="s">
        <v>36</v>
      </c>
      <c r="G4423">
        <v>461502</v>
      </c>
      <c r="H4423" t="s">
        <v>11341</v>
      </c>
      <c r="I4423" t="s">
        <v>2413</v>
      </c>
      <c r="J4423">
        <v>30</v>
      </c>
      <c r="K4423">
        <v>2695</v>
      </c>
      <c r="L4423">
        <v>95000</v>
      </c>
      <c r="M4423" t="s">
        <v>69</v>
      </c>
      <c r="N4423">
        <v>691</v>
      </c>
      <c r="O4423" s="2">
        <v>46198</v>
      </c>
      <c r="P4423" s="2">
        <v>46308</v>
      </c>
      <c r="R4423" t="s">
        <v>11349</v>
      </c>
      <c r="S4423" t="str">
        <f>""</f>
        <v/>
      </c>
      <c r="T4423" t="s">
        <v>41</v>
      </c>
      <c r="U4423">
        <v>17605.8</v>
      </c>
      <c r="V4423">
        <v>17412.14</v>
      </c>
      <c r="W4423">
        <v>17412.14</v>
      </c>
      <c r="X4423">
        <v>0</v>
      </c>
      <c r="Y4423">
        <v>0</v>
      </c>
      <c r="Z4423">
        <v>-533</v>
      </c>
      <c r="AA4423">
        <v>692210</v>
      </c>
      <c r="AD4423" t="s">
        <v>57</v>
      </c>
      <c r="AF4423" t="s">
        <v>57</v>
      </c>
      <c r="AG4423" s="1" t="s">
        <v>11343</v>
      </c>
      <c r="AH4423" t="s">
        <v>44</v>
      </c>
    </row>
    <row r="4424" spans="1:34" x14ac:dyDescent="0.3">
      <c r="A4424">
        <v>101</v>
      </c>
      <c r="B4424" t="s">
        <v>34</v>
      </c>
      <c r="C4424">
        <v>2</v>
      </c>
      <c r="D4424" s="1" t="s">
        <v>11350</v>
      </c>
      <c r="E4424" s="1" t="s">
        <v>36</v>
      </c>
      <c r="G4424">
        <v>461502</v>
      </c>
      <c r="H4424" t="s">
        <v>11341</v>
      </c>
      <c r="I4424" t="s">
        <v>2413</v>
      </c>
      <c r="J4424">
        <v>30</v>
      </c>
      <c r="K4424">
        <v>2695</v>
      </c>
      <c r="L4424">
        <v>95000</v>
      </c>
      <c r="M4424" t="s">
        <v>69</v>
      </c>
      <c r="N4424">
        <v>691</v>
      </c>
      <c r="O4424" s="2">
        <v>46170</v>
      </c>
      <c r="P4424" s="2">
        <v>46296</v>
      </c>
      <c r="R4424" t="s">
        <v>11351</v>
      </c>
      <c r="S4424" t="str">
        <f>""</f>
        <v/>
      </c>
      <c r="T4424" t="s">
        <v>41</v>
      </c>
      <c r="U4424">
        <v>14577.42</v>
      </c>
      <c r="V4424">
        <v>14417.07</v>
      </c>
      <c r="W4424">
        <v>14417.07</v>
      </c>
      <c r="X4424">
        <v>0</v>
      </c>
      <c r="Y4424">
        <v>0</v>
      </c>
      <c r="Z4424">
        <v>-521</v>
      </c>
      <c r="AA4424">
        <v>689248</v>
      </c>
      <c r="AD4424" t="s">
        <v>57</v>
      </c>
      <c r="AF4424" t="s">
        <v>57</v>
      </c>
      <c r="AG4424" s="1" t="s">
        <v>11343</v>
      </c>
      <c r="AH4424" t="s">
        <v>44</v>
      </c>
    </row>
    <row r="4425" spans="1:34" x14ac:dyDescent="0.3">
      <c r="A4425">
        <v>101</v>
      </c>
      <c r="B4425" t="s">
        <v>34</v>
      </c>
      <c r="C4425">
        <v>2</v>
      </c>
      <c r="D4425" s="1" t="s">
        <v>11352</v>
      </c>
      <c r="E4425" s="1" t="s">
        <v>36</v>
      </c>
      <c r="G4425">
        <v>461502</v>
      </c>
      <c r="H4425" t="s">
        <v>11341</v>
      </c>
      <c r="I4425" t="s">
        <v>2413</v>
      </c>
      <c r="J4425">
        <v>30</v>
      </c>
      <c r="K4425">
        <v>2695</v>
      </c>
      <c r="L4425">
        <v>95000</v>
      </c>
      <c r="M4425" t="s">
        <v>69</v>
      </c>
      <c r="N4425">
        <v>691</v>
      </c>
      <c r="O4425" s="2">
        <v>46198</v>
      </c>
      <c r="P4425" s="2">
        <v>46308</v>
      </c>
      <c r="R4425" t="s">
        <v>11353</v>
      </c>
      <c r="S4425" t="str">
        <f>""</f>
        <v/>
      </c>
      <c r="T4425" t="s">
        <v>41</v>
      </c>
      <c r="U4425">
        <v>1769</v>
      </c>
      <c r="V4425">
        <v>1749.54</v>
      </c>
      <c r="W4425">
        <v>1749.54</v>
      </c>
      <c r="X4425">
        <v>0</v>
      </c>
      <c r="Y4425">
        <v>0</v>
      </c>
      <c r="Z4425">
        <v>-533</v>
      </c>
      <c r="AA4425">
        <v>692610</v>
      </c>
      <c r="AD4425" t="s">
        <v>57</v>
      </c>
      <c r="AF4425" t="s">
        <v>57</v>
      </c>
      <c r="AG4425" s="1" t="s">
        <v>11343</v>
      </c>
      <c r="AH4425" t="s">
        <v>44</v>
      </c>
    </row>
    <row r="4426" spans="1:34" x14ac:dyDescent="0.3">
      <c r="A4426">
        <v>101</v>
      </c>
      <c r="B4426" t="s">
        <v>34</v>
      </c>
      <c r="C4426">
        <v>2</v>
      </c>
      <c r="D4426" s="1" t="s">
        <v>11354</v>
      </c>
      <c r="E4426" s="1" t="s">
        <v>36</v>
      </c>
      <c r="G4426">
        <v>461502</v>
      </c>
      <c r="H4426" t="s">
        <v>11341</v>
      </c>
      <c r="I4426" t="s">
        <v>2413</v>
      </c>
      <c r="J4426">
        <v>30</v>
      </c>
      <c r="K4426">
        <v>2695</v>
      </c>
      <c r="L4426">
        <v>95000</v>
      </c>
      <c r="M4426" t="s">
        <v>69</v>
      </c>
      <c r="N4426">
        <v>691</v>
      </c>
      <c r="O4426" s="2">
        <v>46170</v>
      </c>
      <c r="P4426" s="2">
        <v>46296</v>
      </c>
      <c r="R4426" t="s">
        <v>11355</v>
      </c>
      <c r="S4426" t="str">
        <f>""</f>
        <v/>
      </c>
      <c r="T4426" t="s">
        <v>41</v>
      </c>
      <c r="U4426">
        <v>585.36</v>
      </c>
      <c r="V4426">
        <v>578.91999999999996</v>
      </c>
      <c r="W4426">
        <v>578.91999999999996</v>
      </c>
      <c r="X4426">
        <v>0</v>
      </c>
      <c r="Y4426">
        <v>0</v>
      </c>
      <c r="Z4426">
        <v>-521</v>
      </c>
      <c r="AA4426">
        <v>689523</v>
      </c>
      <c r="AD4426" t="s">
        <v>57</v>
      </c>
      <c r="AF4426" t="s">
        <v>57</v>
      </c>
      <c r="AG4426" s="1" t="s">
        <v>11343</v>
      </c>
      <c r="AH4426" t="s">
        <v>44</v>
      </c>
    </row>
    <row r="4427" spans="1:34" x14ac:dyDescent="0.3">
      <c r="A4427">
        <v>101</v>
      </c>
      <c r="B4427" t="s">
        <v>34</v>
      </c>
      <c r="C4427">
        <v>2</v>
      </c>
      <c r="D4427" s="1" t="s">
        <v>11356</v>
      </c>
      <c r="E4427" s="1" t="s">
        <v>36</v>
      </c>
      <c r="G4427">
        <v>461502</v>
      </c>
      <c r="H4427" t="s">
        <v>11341</v>
      </c>
      <c r="I4427" t="s">
        <v>2413</v>
      </c>
      <c r="J4427">
        <v>30</v>
      </c>
      <c r="K4427">
        <v>2695</v>
      </c>
      <c r="L4427">
        <v>95000</v>
      </c>
      <c r="M4427" t="s">
        <v>69</v>
      </c>
      <c r="N4427">
        <v>691</v>
      </c>
      <c r="O4427" s="2">
        <v>46239</v>
      </c>
      <c r="P4427" s="2">
        <v>46337</v>
      </c>
      <c r="R4427" t="s">
        <v>11357</v>
      </c>
      <c r="S4427" t="str">
        <f>""</f>
        <v/>
      </c>
      <c r="T4427" t="s">
        <v>41</v>
      </c>
      <c r="U4427">
        <v>527.52</v>
      </c>
      <c r="V4427">
        <v>521.72</v>
      </c>
      <c r="W4427">
        <v>521.72</v>
      </c>
      <c r="X4427">
        <v>0</v>
      </c>
      <c r="Y4427">
        <v>0</v>
      </c>
      <c r="Z4427">
        <v>-562</v>
      </c>
      <c r="AA4427">
        <v>696283</v>
      </c>
      <c r="AD4427" t="s">
        <v>57</v>
      </c>
      <c r="AF4427" t="s">
        <v>57</v>
      </c>
      <c r="AG4427" s="1" t="s">
        <v>11343</v>
      </c>
      <c r="AH4427" t="s">
        <v>44</v>
      </c>
    </row>
    <row r="4428" spans="1:34" x14ac:dyDescent="0.3">
      <c r="A4428">
        <v>101</v>
      </c>
      <c r="B4428" t="s">
        <v>34</v>
      </c>
      <c r="C4428">
        <v>2</v>
      </c>
      <c r="D4428" s="1" t="s">
        <v>11358</v>
      </c>
      <c r="E4428" s="1" t="s">
        <v>36</v>
      </c>
      <c r="G4428">
        <v>461502</v>
      </c>
      <c r="H4428" t="s">
        <v>11341</v>
      </c>
      <c r="I4428" t="s">
        <v>2413</v>
      </c>
      <c r="J4428">
        <v>30</v>
      </c>
      <c r="K4428">
        <v>2695</v>
      </c>
      <c r="L4428">
        <v>95000</v>
      </c>
      <c r="M4428" t="s">
        <v>69</v>
      </c>
      <c r="N4428">
        <v>691</v>
      </c>
      <c r="O4428" s="2">
        <v>46253</v>
      </c>
      <c r="P4428" s="2">
        <v>46343</v>
      </c>
      <c r="R4428" t="s">
        <v>11359</v>
      </c>
      <c r="S4428" t="str">
        <f>""</f>
        <v/>
      </c>
      <c r="T4428" t="s">
        <v>41</v>
      </c>
      <c r="U4428">
        <v>5307</v>
      </c>
      <c r="V4428">
        <v>5248.62</v>
      </c>
      <c r="W4428">
        <v>5248.62</v>
      </c>
      <c r="X4428">
        <v>0</v>
      </c>
      <c r="Y4428">
        <v>0</v>
      </c>
      <c r="Z4428">
        <v>-568</v>
      </c>
      <c r="AA4428">
        <v>697065</v>
      </c>
      <c r="AD4428" t="s">
        <v>57</v>
      </c>
      <c r="AF4428" t="s">
        <v>57</v>
      </c>
      <c r="AG4428" s="1" t="s">
        <v>11343</v>
      </c>
      <c r="AH4428" t="s">
        <v>44</v>
      </c>
    </row>
    <row r="4429" spans="1:34" x14ac:dyDescent="0.3">
      <c r="A4429">
        <v>101</v>
      </c>
      <c r="B4429" t="s">
        <v>34</v>
      </c>
      <c r="C4429">
        <v>2</v>
      </c>
      <c r="D4429" s="1" t="s">
        <v>11360</v>
      </c>
      <c r="E4429" s="1" t="s">
        <v>36</v>
      </c>
      <c r="G4429">
        <v>463961</v>
      </c>
      <c r="H4429" t="s">
        <v>11361</v>
      </c>
      <c r="I4429" t="s">
        <v>2413</v>
      </c>
      <c r="J4429">
        <v>30</v>
      </c>
      <c r="K4429">
        <v>2695</v>
      </c>
      <c r="L4429">
        <v>95000</v>
      </c>
      <c r="M4429" t="s">
        <v>69</v>
      </c>
      <c r="N4429">
        <v>691</v>
      </c>
      <c r="O4429" s="2">
        <v>46198</v>
      </c>
      <c r="P4429" s="2">
        <v>46308</v>
      </c>
      <c r="R4429" t="s">
        <v>11362</v>
      </c>
      <c r="S4429" t="str">
        <f>""</f>
        <v/>
      </c>
      <c r="T4429" t="s">
        <v>41</v>
      </c>
      <c r="U4429">
        <v>884.5</v>
      </c>
      <c r="V4429">
        <v>874.77</v>
      </c>
      <c r="W4429">
        <v>874.77</v>
      </c>
      <c r="X4429">
        <v>0</v>
      </c>
      <c r="Y4429">
        <v>0</v>
      </c>
      <c r="Z4429">
        <v>-533</v>
      </c>
      <c r="AA4429">
        <v>692566</v>
      </c>
      <c r="AD4429" t="s">
        <v>4973</v>
      </c>
      <c r="AE4429" t="s">
        <v>5287</v>
      </c>
      <c r="AF4429" t="s">
        <v>4973</v>
      </c>
      <c r="AG4429" s="1" t="s">
        <v>11363</v>
      </c>
      <c r="AH4429" t="s">
        <v>44</v>
      </c>
    </row>
    <row r="4430" spans="1:34" x14ac:dyDescent="0.3">
      <c r="A4430">
        <v>101</v>
      </c>
      <c r="B4430" t="s">
        <v>34</v>
      </c>
      <c r="C4430">
        <v>2</v>
      </c>
      <c r="D4430" s="1" t="s">
        <v>11364</v>
      </c>
      <c r="E4430" s="1" t="s">
        <v>36</v>
      </c>
      <c r="G4430">
        <v>463961</v>
      </c>
      <c r="H4430" t="s">
        <v>11361</v>
      </c>
      <c r="I4430" t="s">
        <v>2413</v>
      </c>
      <c r="J4430">
        <v>30</v>
      </c>
      <c r="K4430">
        <v>2695</v>
      </c>
      <c r="L4430">
        <v>95000</v>
      </c>
      <c r="M4430" t="s">
        <v>69</v>
      </c>
      <c r="N4430">
        <v>691</v>
      </c>
      <c r="O4430" s="2">
        <v>46253</v>
      </c>
      <c r="P4430" s="2">
        <v>46343</v>
      </c>
      <c r="R4430" t="s">
        <v>11365</v>
      </c>
      <c r="S4430" t="str">
        <f>""</f>
        <v/>
      </c>
      <c r="T4430" t="s">
        <v>41</v>
      </c>
      <c r="U4430">
        <v>3538</v>
      </c>
      <c r="V4430">
        <v>3499.08</v>
      </c>
      <c r="W4430">
        <v>3499.08</v>
      </c>
      <c r="X4430">
        <v>0</v>
      </c>
      <c r="Y4430">
        <v>0</v>
      </c>
      <c r="Z4430">
        <v>-568</v>
      </c>
      <c r="AA4430">
        <v>697021</v>
      </c>
      <c r="AD4430" t="s">
        <v>4973</v>
      </c>
      <c r="AE4430" t="s">
        <v>5287</v>
      </c>
      <c r="AF4430" t="s">
        <v>4973</v>
      </c>
      <c r="AG4430" s="1" t="s">
        <v>11363</v>
      </c>
      <c r="AH4430" t="s">
        <v>44</v>
      </c>
    </row>
    <row r="4431" spans="1:34" x14ac:dyDescent="0.3">
      <c r="A4431">
        <v>101</v>
      </c>
      <c r="B4431" t="s">
        <v>34</v>
      </c>
      <c r="C4431">
        <v>2</v>
      </c>
      <c r="D4431" s="1" t="s">
        <v>11366</v>
      </c>
      <c r="E4431" s="1" t="s">
        <v>36</v>
      </c>
      <c r="G4431">
        <v>463961</v>
      </c>
      <c r="H4431" t="s">
        <v>11361</v>
      </c>
      <c r="I4431" t="s">
        <v>2413</v>
      </c>
      <c r="J4431">
        <v>30</v>
      </c>
      <c r="K4431">
        <v>2695</v>
      </c>
      <c r="L4431">
        <v>95000</v>
      </c>
      <c r="M4431" t="s">
        <v>69</v>
      </c>
      <c r="N4431">
        <v>691</v>
      </c>
      <c r="O4431" s="2">
        <v>46198</v>
      </c>
      <c r="P4431" s="2">
        <v>46308</v>
      </c>
      <c r="R4431" t="s">
        <v>11367</v>
      </c>
      <c r="S4431" t="str">
        <f>""</f>
        <v/>
      </c>
      <c r="T4431" t="s">
        <v>41</v>
      </c>
      <c r="U4431">
        <v>11336.15</v>
      </c>
      <c r="V4431">
        <v>11211.45</v>
      </c>
      <c r="W4431">
        <v>11211.45</v>
      </c>
      <c r="X4431">
        <v>0</v>
      </c>
      <c r="Y4431">
        <v>0</v>
      </c>
      <c r="Z4431">
        <v>-533</v>
      </c>
      <c r="AA4431">
        <v>692302</v>
      </c>
      <c r="AD4431" t="s">
        <v>4973</v>
      </c>
      <c r="AE4431" t="s">
        <v>5287</v>
      </c>
      <c r="AF4431" t="s">
        <v>4973</v>
      </c>
      <c r="AG4431" s="1" t="s">
        <v>11363</v>
      </c>
      <c r="AH4431" t="s">
        <v>44</v>
      </c>
    </row>
    <row r="4432" spans="1:34" x14ac:dyDescent="0.3">
      <c r="A4432">
        <v>101</v>
      </c>
      <c r="B4432" t="s">
        <v>34</v>
      </c>
      <c r="C4432">
        <v>2</v>
      </c>
      <c r="D4432" s="1" t="s">
        <v>11368</v>
      </c>
      <c r="E4432" s="1" t="s">
        <v>36</v>
      </c>
      <c r="G4432">
        <v>463961</v>
      </c>
      <c r="H4432" t="s">
        <v>11361</v>
      </c>
      <c r="I4432" t="s">
        <v>2413</v>
      </c>
      <c r="J4432">
        <v>30</v>
      </c>
      <c r="K4432">
        <v>2695</v>
      </c>
      <c r="L4432">
        <v>95000</v>
      </c>
      <c r="M4432" t="s">
        <v>69</v>
      </c>
      <c r="N4432">
        <v>691</v>
      </c>
      <c r="O4432" s="2">
        <v>46140</v>
      </c>
      <c r="P4432" s="2">
        <v>46266</v>
      </c>
      <c r="R4432" t="s">
        <v>11369</v>
      </c>
      <c r="S4432" t="str">
        <f>""</f>
        <v/>
      </c>
      <c r="T4432" t="s">
        <v>41</v>
      </c>
      <c r="U4432">
        <v>1081.8399999999999</v>
      </c>
      <c r="V4432">
        <v>1069.94</v>
      </c>
      <c r="W4432">
        <v>1069.94</v>
      </c>
      <c r="X4432">
        <v>0</v>
      </c>
      <c r="Y4432">
        <v>0</v>
      </c>
      <c r="Z4432">
        <v>-491</v>
      </c>
      <c r="AA4432">
        <v>686813</v>
      </c>
      <c r="AD4432" t="s">
        <v>4973</v>
      </c>
      <c r="AE4432" t="s">
        <v>5287</v>
      </c>
      <c r="AF4432" t="s">
        <v>4973</v>
      </c>
      <c r="AG4432" s="1" t="s">
        <v>11363</v>
      </c>
      <c r="AH4432" t="s">
        <v>44</v>
      </c>
    </row>
    <row r="4433" spans="1:34" x14ac:dyDescent="0.3">
      <c r="A4433">
        <v>101</v>
      </c>
      <c r="B4433" t="s">
        <v>34</v>
      </c>
      <c r="C4433">
        <v>2</v>
      </c>
      <c r="D4433" s="1" t="s">
        <v>11370</v>
      </c>
      <c r="E4433" s="1" t="s">
        <v>36</v>
      </c>
      <c r="G4433">
        <v>463961</v>
      </c>
      <c r="H4433" t="s">
        <v>11361</v>
      </c>
      <c r="I4433" t="s">
        <v>2413</v>
      </c>
      <c r="J4433">
        <v>30</v>
      </c>
      <c r="K4433">
        <v>2695</v>
      </c>
      <c r="L4433">
        <v>95000</v>
      </c>
      <c r="M4433" t="s">
        <v>69</v>
      </c>
      <c r="N4433">
        <v>691</v>
      </c>
      <c r="O4433" s="2">
        <v>46185</v>
      </c>
      <c r="P4433" s="2">
        <v>46296</v>
      </c>
      <c r="R4433" t="s">
        <v>11371</v>
      </c>
      <c r="S4433" t="str">
        <f>""</f>
        <v/>
      </c>
      <c r="T4433" t="s">
        <v>41</v>
      </c>
      <c r="U4433">
        <v>2134.8000000000002</v>
      </c>
      <c r="V4433">
        <v>2111.3200000000002</v>
      </c>
      <c r="W4433">
        <v>2111.3200000000002</v>
      </c>
      <c r="X4433">
        <v>0</v>
      </c>
      <c r="Y4433">
        <v>0</v>
      </c>
      <c r="Z4433">
        <v>-521</v>
      </c>
      <c r="AA4433">
        <v>689342</v>
      </c>
      <c r="AD4433" t="s">
        <v>4973</v>
      </c>
      <c r="AE4433" t="s">
        <v>5287</v>
      </c>
      <c r="AF4433" t="s">
        <v>4973</v>
      </c>
      <c r="AG4433" s="1" t="s">
        <v>11363</v>
      </c>
      <c r="AH4433" t="s">
        <v>44</v>
      </c>
    </row>
    <row r="4434" spans="1:34" x14ac:dyDescent="0.3">
      <c r="A4434">
        <v>101</v>
      </c>
      <c r="B4434" t="s">
        <v>34</v>
      </c>
      <c r="C4434">
        <v>2</v>
      </c>
      <c r="D4434" s="1" t="s">
        <v>11372</v>
      </c>
      <c r="E4434" s="1" t="s">
        <v>36</v>
      </c>
      <c r="G4434">
        <v>463961</v>
      </c>
      <c r="H4434" t="s">
        <v>11361</v>
      </c>
      <c r="I4434" t="s">
        <v>2413</v>
      </c>
      <c r="J4434">
        <v>30</v>
      </c>
      <c r="K4434">
        <v>2695</v>
      </c>
      <c r="L4434">
        <v>95000</v>
      </c>
      <c r="M4434" t="s">
        <v>69</v>
      </c>
      <c r="N4434">
        <v>691</v>
      </c>
      <c r="O4434" s="2">
        <v>46140</v>
      </c>
      <c r="P4434" s="2">
        <v>46266</v>
      </c>
      <c r="R4434" t="s">
        <v>11373</v>
      </c>
      <c r="S4434" t="str">
        <f>""</f>
        <v/>
      </c>
      <c r="T4434" t="s">
        <v>41</v>
      </c>
      <c r="U4434">
        <v>14091</v>
      </c>
      <c r="V4434">
        <v>13936</v>
      </c>
      <c r="W4434">
        <v>13936</v>
      </c>
      <c r="X4434">
        <v>0</v>
      </c>
      <c r="Y4434">
        <v>0</v>
      </c>
      <c r="Z4434">
        <v>-491</v>
      </c>
      <c r="AA4434">
        <v>686742</v>
      </c>
      <c r="AD4434" t="s">
        <v>4973</v>
      </c>
      <c r="AE4434" t="s">
        <v>5287</v>
      </c>
      <c r="AF4434" t="s">
        <v>4973</v>
      </c>
      <c r="AG4434" s="1" t="s">
        <v>11363</v>
      </c>
      <c r="AH4434" t="s">
        <v>44</v>
      </c>
    </row>
    <row r="4435" spans="1:34" x14ac:dyDescent="0.3">
      <c r="A4435">
        <v>101</v>
      </c>
      <c r="B4435" t="s">
        <v>34</v>
      </c>
      <c r="C4435">
        <v>2</v>
      </c>
      <c r="D4435" s="1" t="s">
        <v>11374</v>
      </c>
      <c r="E4435" s="1" t="s">
        <v>36</v>
      </c>
      <c r="G4435">
        <v>463961</v>
      </c>
      <c r="H4435" t="s">
        <v>11361</v>
      </c>
      <c r="I4435" t="s">
        <v>2413</v>
      </c>
      <c r="J4435">
        <v>30</v>
      </c>
      <c r="K4435">
        <v>2695</v>
      </c>
      <c r="L4435">
        <v>95000</v>
      </c>
      <c r="M4435" t="s">
        <v>69</v>
      </c>
      <c r="N4435">
        <v>691</v>
      </c>
      <c r="O4435" s="2">
        <v>46170</v>
      </c>
      <c r="P4435" s="2">
        <v>46296</v>
      </c>
      <c r="R4435" t="s">
        <v>11375</v>
      </c>
      <c r="S4435" t="str">
        <f>""</f>
        <v/>
      </c>
      <c r="T4435" t="s">
        <v>41</v>
      </c>
      <c r="U4435">
        <v>10575.02</v>
      </c>
      <c r="V4435">
        <v>10458.69</v>
      </c>
      <c r="W4435">
        <v>10458.69</v>
      </c>
      <c r="X4435">
        <v>0</v>
      </c>
      <c r="Y4435">
        <v>0</v>
      </c>
      <c r="Z4435">
        <v>-521</v>
      </c>
      <c r="AA4435">
        <v>689342</v>
      </c>
      <c r="AD4435" t="s">
        <v>4973</v>
      </c>
      <c r="AE4435" t="s">
        <v>5287</v>
      </c>
      <c r="AF4435" t="s">
        <v>4973</v>
      </c>
      <c r="AG4435" s="1" t="s">
        <v>11363</v>
      </c>
      <c r="AH4435" t="s">
        <v>44</v>
      </c>
    </row>
    <row r="4436" spans="1:34" x14ac:dyDescent="0.3">
      <c r="A4436">
        <v>101</v>
      </c>
      <c r="B4436" t="s">
        <v>34</v>
      </c>
      <c r="C4436">
        <v>2</v>
      </c>
      <c r="D4436" s="1" t="s">
        <v>11376</v>
      </c>
      <c r="E4436" s="1" t="s">
        <v>36</v>
      </c>
      <c r="G4436">
        <v>463961</v>
      </c>
      <c r="H4436" t="s">
        <v>11361</v>
      </c>
      <c r="I4436" t="s">
        <v>2413</v>
      </c>
      <c r="J4436">
        <v>30</v>
      </c>
      <c r="K4436">
        <v>2695</v>
      </c>
      <c r="L4436">
        <v>95000</v>
      </c>
      <c r="M4436" t="s">
        <v>69</v>
      </c>
      <c r="N4436">
        <v>691</v>
      </c>
      <c r="O4436" s="2">
        <v>46140</v>
      </c>
      <c r="P4436" s="2">
        <v>46266</v>
      </c>
      <c r="R4436" t="s">
        <v>11377</v>
      </c>
      <c r="S4436" t="str">
        <f>""</f>
        <v/>
      </c>
      <c r="T4436" t="s">
        <v>41</v>
      </c>
      <c r="U4436">
        <v>4324.42</v>
      </c>
      <c r="V4436">
        <v>4276.8500000000004</v>
      </c>
      <c r="W4436">
        <v>4276.8500000000004</v>
      </c>
      <c r="X4436">
        <v>0</v>
      </c>
      <c r="Y4436">
        <v>0</v>
      </c>
      <c r="Z4436">
        <v>-491</v>
      </c>
      <c r="AA4436">
        <v>686957</v>
      </c>
      <c r="AD4436" t="s">
        <v>4973</v>
      </c>
      <c r="AE4436" t="s">
        <v>5287</v>
      </c>
      <c r="AF4436" t="s">
        <v>4973</v>
      </c>
      <c r="AG4436" s="1" t="s">
        <v>11363</v>
      </c>
      <c r="AH4436" t="s">
        <v>44</v>
      </c>
    </row>
    <row r="4437" spans="1:34" x14ac:dyDescent="0.3">
      <c r="A4437">
        <v>101</v>
      </c>
      <c r="B4437" t="s">
        <v>34</v>
      </c>
      <c r="C4437">
        <v>2</v>
      </c>
      <c r="D4437" s="1" t="s">
        <v>11378</v>
      </c>
      <c r="E4437" s="1" t="s">
        <v>36</v>
      </c>
      <c r="G4437">
        <v>463961</v>
      </c>
      <c r="H4437" t="s">
        <v>11361</v>
      </c>
      <c r="I4437" t="s">
        <v>2413</v>
      </c>
      <c r="J4437">
        <v>30</v>
      </c>
      <c r="K4437">
        <v>2695</v>
      </c>
      <c r="L4437">
        <v>95000</v>
      </c>
      <c r="M4437" t="s">
        <v>69</v>
      </c>
      <c r="N4437">
        <v>691</v>
      </c>
      <c r="O4437" s="2">
        <v>46226</v>
      </c>
      <c r="P4437" s="2">
        <v>46329</v>
      </c>
      <c r="R4437" t="s">
        <v>11379</v>
      </c>
      <c r="S4437" t="str">
        <f>""</f>
        <v/>
      </c>
      <c r="T4437" t="s">
        <v>41</v>
      </c>
      <c r="U4437">
        <v>3689.04</v>
      </c>
      <c r="V4437">
        <v>3648.46</v>
      </c>
      <c r="W4437">
        <v>3648.46</v>
      </c>
      <c r="X4437">
        <v>0</v>
      </c>
      <c r="Y4437">
        <v>0</v>
      </c>
      <c r="Z4437">
        <v>-554</v>
      </c>
      <c r="AA4437">
        <v>694999</v>
      </c>
      <c r="AD4437" t="s">
        <v>4973</v>
      </c>
      <c r="AE4437" t="s">
        <v>5287</v>
      </c>
      <c r="AF4437" t="s">
        <v>4973</v>
      </c>
      <c r="AG4437" s="1" t="s">
        <v>11363</v>
      </c>
      <c r="AH4437" t="s">
        <v>44</v>
      </c>
    </row>
    <row r="4438" spans="1:34" x14ac:dyDescent="0.3">
      <c r="A4438">
        <v>101</v>
      </c>
      <c r="B4438" t="s">
        <v>34</v>
      </c>
      <c r="C4438">
        <v>2</v>
      </c>
      <c r="D4438" s="1" t="s">
        <v>11380</v>
      </c>
      <c r="E4438" s="1" t="s">
        <v>36</v>
      </c>
      <c r="G4438">
        <v>467848</v>
      </c>
      <c r="H4438" t="s">
        <v>11381</v>
      </c>
      <c r="I4438" t="s">
        <v>2413</v>
      </c>
      <c r="J4438">
        <v>30</v>
      </c>
      <c r="K4438">
        <v>2695</v>
      </c>
      <c r="L4438">
        <v>95000</v>
      </c>
      <c r="M4438" t="s">
        <v>69</v>
      </c>
      <c r="N4438">
        <v>691</v>
      </c>
      <c r="O4438" s="2">
        <v>46170</v>
      </c>
      <c r="P4438" s="2">
        <v>46286</v>
      </c>
      <c r="R4438" t="s">
        <v>11382</v>
      </c>
      <c r="S4438" t="str">
        <f>""</f>
        <v/>
      </c>
      <c r="T4438" t="s">
        <v>41</v>
      </c>
      <c r="U4438">
        <v>7305.14</v>
      </c>
      <c r="V4438">
        <v>7224.78</v>
      </c>
      <c r="W4438">
        <v>7224.78</v>
      </c>
      <c r="X4438">
        <v>0</v>
      </c>
      <c r="Y4438">
        <v>0</v>
      </c>
      <c r="Z4438">
        <v>-511</v>
      </c>
      <c r="AA4438">
        <v>689144</v>
      </c>
      <c r="AD4438" t="s">
        <v>11383</v>
      </c>
      <c r="AE4438" t="s">
        <v>11384</v>
      </c>
      <c r="AF4438" t="s">
        <v>11383</v>
      </c>
      <c r="AG4438" s="1" t="s">
        <v>11385</v>
      </c>
      <c r="AH4438" t="s">
        <v>44</v>
      </c>
    </row>
    <row r="4439" spans="1:34" x14ac:dyDescent="0.3">
      <c r="A4439">
        <v>101</v>
      </c>
      <c r="B4439" t="s">
        <v>34</v>
      </c>
      <c r="C4439">
        <v>2</v>
      </c>
      <c r="D4439" s="1" t="s">
        <v>11386</v>
      </c>
      <c r="E4439" s="1" t="s">
        <v>36</v>
      </c>
      <c r="G4439">
        <v>467848</v>
      </c>
      <c r="H4439" t="s">
        <v>11381</v>
      </c>
      <c r="I4439" t="s">
        <v>2413</v>
      </c>
      <c r="J4439">
        <v>30</v>
      </c>
      <c r="K4439">
        <v>2695</v>
      </c>
      <c r="L4439">
        <v>95000</v>
      </c>
      <c r="M4439" t="s">
        <v>69</v>
      </c>
      <c r="N4439">
        <v>691</v>
      </c>
      <c r="O4439" s="2">
        <v>46226</v>
      </c>
      <c r="P4439" s="2">
        <v>46349</v>
      </c>
      <c r="R4439" t="s">
        <v>11387</v>
      </c>
      <c r="S4439" t="str">
        <f>""</f>
        <v/>
      </c>
      <c r="T4439" t="s">
        <v>41</v>
      </c>
      <c r="U4439">
        <v>2501.9699999999998</v>
      </c>
      <c r="V4439">
        <v>2474.4499999999998</v>
      </c>
      <c r="W4439">
        <v>2474.4499999999998</v>
      </c>
      <c r="X4439">
        <v>0</v>
      </c>
      <c r="Y4439">
        <v>0</v>
      </c>
      <c r="Z4439">
        <v>-574</v>
      </c>
      <c r="AA4439">
        <v>695055</v>
      </c>
      <c r="AD4439" t="s">
        <v>11383</v>
      </c>
      <c r="AE4439" t="s">
        <v>11384</v>
      </c>
      <c r="AF4439" t="s">
        <v>11383</v>
      </c>
      <c r="AG4439" s="1" t="s">
        <v>11385</v>
      </c>
      <c r="AH4439" t="s">
        <v>44</v>
      </c>
    </row>
    <row r="4440" spans="1:34" x14ac:dyDescent="0.3">
      <c r="A4440">
        <v>101</v>
      </c>
      <c r="B4440" t="s">
        <v>34</v>
      </c>
      <c r="C4440">
        <v>2</v>
      </c>
      <c r="D4440" s="1" t="s">
        <v>11388</v>
      </c>
      <c r="E4440" s="1" t="s">
        <v>36</v>
      </c>
      <c r="G4440">
        <v>467848</v>
      </c>
      <c r="H4440" t="s">
        <v>11381</v>
      </c>
      <c r="I4440" t="s">
        <v>2413</v>
      </c>
      <c r="J4440">
        <v>30</v>
      </c>
      <c r="K4440">
        <v>2695</v>
      </c>
      <c r="L4440">
        <v>95000</v>
      </c>
      <c r="M4440" t="s">
        <v>69</v>
      </c>
      <c r="N4440">
        <v>691</v>
      </c>
      <c r="O4440" s="2">
        <v>46141</v>
      </c>
      <c r="P4440" s="2">
        <v>46266</v>
      </c>
      <c r="R4440" t="s">
        <v>11389</v>
      </c>
      <c r="S4440" t="str">
        <f>""</f>
        <v/>
      </c>
      <c r="T4440" t="s">
        <v>41</v>
      </c>
      <c r="U4440">
        <v>3039.47</v>
      </c>
      <c r="V4440">
        <v>3006.04</v>
      </c>
      <c r="W4440">
        <v>3006.04</v>
      </c>
      <c r="X4440">
        <v>0</v>
      </c>
      <c r="Y4440">
        <v>0</v>
      </c>
      <c r="Z4440">
        <v>-491</v>
      </c>
      <c r="AA4440">
        <v>686542</v>
      </c>
      <c r="AD4440" t="s">
        <v>11383</v>
      </c>
      <c r="AE4440" t="s">
        <v>11384</v>
      </c>
      <c r="AF4440" t="s">
        <v>11383</v>
      </c>
      <c r="AG4440" s="1" t="s">
        <v>11385</v>
      </c>
      <c r="AH4440" t="s">
        <v>44</v>
      </c>
    </row>
    <row r="4441" spans="1:34" x14ac:dyDescent="0.3">
      <c r="A4441">
        <v>101</v>
      </c>
      <c r="B4441" t="s">
        <v>34</v>
      </c>
      <c r="C4441">
        <v>2</v>
      </c>
      <c r="D4441" s="1" t="s">
        <v>11390</v>
      </c>
      <c r="E4441" s="1" t="s">
        <v>36</v>
      </c>
      <c r="G4441">
        <v>467848</v>
      </c>
      <c r="H4441" t="s">
        <v>11381</v>
      </c>
      <c r="I4441" t="s">
        <v>2413</v>
      </c>
      <c r="J4441">
        <v>30</v>
      </c>
      <c r="K4441">
        <v>2695</v>
      </c>
      <c r="L4441">
        <v>95000</v>
      </c>
      <c r="M4441" t="s">
        <v>69</v>
      </c>
      <c r="N4441">
        <v>691</v>
      </c>
      <c r="O4441" s="2">
        <v>46197</v>
      </c>
      <c r="P4441" s="2">
        <v>46316</v>
      </c>
      <c r="R4441" t="s">
        <v>11391</v>
      </c>
      <c r="S4441" t="str">
        <f>""</f>
        <v/>
      </c>
      <c r="T4441" t="s">
        <v>41</v>
      </c>
      <c r="U4441">
        <v>7125.26</v>
      </c>
      <c r="V4441">
        <v>7046.88</v>
      </c>
      <c r="W4441">
        <v>7046.88</v>
      </c>
      <c r="X4441">
        <v>0</v>
      </c>
      <c r="Y4441">
        <v>0</v>
      </c>
      <c r="Z4441">
        <v>-541</v>
      </c>
      <c r="AA4441">
        <v>692106</v>
      </c>
      <c r="AD4441" t="s">
        <v>11383</v>
      </c>
      <c r="AE4441" t="s">
        <v>11384</v>
      </c>
      <c r="AF4441" t="s">
        <v>11383</v>
      </c>
      <c r="AG4441" s="1" t="s">
        <v>11385</v>
      </c>
      <c r="AH4441" t="s">
        <v>44</v>
      </c>
    </row>
    <row r="4442" spans="1:34" x14ac:dyDescent="0.3">
      <c r="A4442">
        <v>101</v>
      </c>
      <c r="B4442" t="s">
        <v>34</v>
      </c>
      <c r="C4442">
        <v>2</v>
      </c>
      <c r="D4442" s="1" t="s">
        <v>11392</v>
      </c>
      <c r="E4442" s="1" t="s">
        <v>36</v>
      </c>
      <c r="G4442">
        <v>467848</v>
      </c>
      <c r="H4442" t="s">
        <v>11381</v>
      </c>
      <c r="I4442" t="s">
        <v>2413</v>
      </c>
      <c r="J4442">
        <v>30</v>
      </c>
      <c r="K4442">
        <v>2695</v>
      </c>
      <c r="L4442">
        <v>95000</v>
      </c>
      <c r="M4442" t="s">
        <v>69</v>
      </c>
      <c r="N4442">
        <v>691</v>
      </c>
      <c r="O4442" s="2">
        <v>46141</v>
      </c>
      <c r="P4442" s="2">
        <v>46266</v>
      </c>
      <c r="R4442" t="s">
        <v>11393</v>
      </c>
      <c r="S4442" t="str">
        <f>""</f>
        <v/>
      </c>
      <c r="T4442" t="s">
        <v>41</v>
      </c>
      <c r="U4442">
        <v>731.7</v>
      </c>
      <c r="V4442">
        <v>723.65</v>
      </c>
      <c r="W4442">
        <v>723.65</v>
      </c>
      <c r="X4442">
        <v>0</v>
      </c>
      <c r="Y4442">
        <v>0</v>
      </c>
      <c r="Z4442">
        <v>-491</v>
      </c>
      <c r="AA4442">
        <v>686862</v>
      </c>
      <c r="AD4442" t="s">
        <v>11383</v>
      </c>
      <c r="AE4442" t="s">
        <v>11384</v>
      </c>
      <c r="AF4442" t="s">
        <v>11383</v>
      </c>
      <c r="AG4442" s="1" t="s">
        <v>11385</v>
      </c>
      <c r="AH4442" t="s">
        <v>44</v>
      </c>
    </row>
    <row r="4443" spans="1:34" x14ac:dyDescent="0.3">
      <c r="A4443">
        <v>101</v>
      </c>
      <c r="B4443" t="s">
        <v>34</v>
      </c>
      <c r="C4443">
        <v>2</v>
      </c>
      <c r="D4443" s="1" t="s">
        <v>11394</v>
      </c>
      <c r="E4443" s="1" t="s">
        <v>36</v>
      </c>
      <c r="G4443">
        <v>467848</v>
      </c>
      <c r="H4443" t="s">
        <v>11381</v>
      </c>
      <c r="I4443" t="s">
        <v>2413</v>
      </c>
      <c r="J4443">
        <v>30</v>
      </c>
      <c r="K4443">
        <v>2695</v>
      </c>
      <c r="L4443">
        <v>95000</v>
      </c>
      <c r="M4443" t="s">
        <v>69</v>
      </c>
      <c r="N4443">
        <v>691</v>
      </c>
      <c r="O4443" s="2">
        <v>46185</v>
      </c>
      <c r="P4443" s="2">
        <v>46286</v>
      </c>
      <c r="R4443" t="s">
        <v>11395</v>
      </c>
      <c r="S4443" t="str">
        <f>""</f>
        <v/>
      </c>
      <c r="T4443" t="s">
        <v>41</v>
      </c>
      <c r="U4443">
        <v>2134.8000000000002</v>
      </c>
      <c r="V4443">
        <v>2111.3200000000002</v>
      </c>
      <c r="W4443">
        <v>2111.3200000000002</v>
      </c>
      <c r="X4443">
        <v>0</v>
      </c>
      <c r="Y4443">
        <v>0</v>
      </c>
      <c r="Z4443">
        <v>-511</v>
      </c>
      <c r="AA4443">
        <v>689144</v>
      </c>
      <c r="AD4443" t="s">
        <v>11383</v>
      </c>
      <c r="AE4443" t="s">
        <v>11384</v>
      </c>
      <c r="AF4443" t="s">
        <v>11383</v>
      </c>
      <c r="AG4443" s="1" t="s">
        <v>11385</v>
      </c>
      <c r="AH4443" t="s">
        <v>44</v>
      </c>
    </row>
    <row r="4444" spans="1:34" x14ac:dyDescent="0.3">
      <c r="A4444">
        <v>101</v>
      </c>
      <c r="B4444" t="s">
        <v>34</v>
      </c>
      <c r="C4444">
        <v>2</v>
      </c>
      <c r="D4444" s="1" t="s">
        <v>11396</v>
      </c>
      <c r="E4444" s="1" t="s">
        <v>36</v>
      </c>
      <c r="G4444">
        <v>467848</v>
      </c>
      <c r="H4444" t="s">
        <v>11381</v>
      </c>
      <c r="I4444" t="s">
        <v>2413</v>
      </c>
      <c r="J4444">
        <v>30</v>
      </c>
      <c r="K4444">
        <v>2695</v>
      </c>
      <c r="L4444">
        <v>95000</v>
      </c>
      <c r="M4444" t="s">
        <v>69</v>
      </c>
      <c r="N4444">
        <v>691</v>
      </c>
      <c r="O4444" s="2">
        <v>46170</v>
      </c>
      <c r="P4444" s="2">
        <v>46286</v>
      </c>
      <c r="R4444" t="s">
        <v>11397</v>
      </c>
      <c r="S4444" t="str">
        <f>""</f>
        <v/>
      </c>
      <c r="T4444" t="s">
        <v>41</v>
      </c>
      <c r="U4444">
        <v>585.36</v>
      </c>
      <c r="V4444">
        <v>578.91999999999996</v>
      </c>
      <c r="W4444">
        <v>578.91999999999996</v>
      </c>
      <c r="X4444">
        <v>0</v>
      </c>
      <c r="Y4444">
        <v>0</v>
      </c>
      <c r="Z4444">
        <v>-511</v>
      </c>
      <c r="AA4444">
        <v>689431</v>
      </c>
      <c r="AD4444" t="s">
        <v>11383</v>
      </c>
      <c r="AE4444" t="s">
        <v>11384</v>
      </c>
      <c r="AF4444" t="s">
        <v>11383</v>
      </c>
      <c r="AG4444" s="1" t="s">
        <v>11385</v>
      </c>
      <c r="AH4444" t="s">
        <v>44</v>
      </c>
    </row>
    <row r="4445" spans="1:34" x14ac:dyDescent="0.3">
      <c r="A4445">
        <v>101</v>
      </c>
      <c r="B4445" t="s">
        <v>34</v>
      </c>
      <c r="C4445">
        <v>2</v>
      </c>
      <c r="D4445" s="1" t="s">
        <v>11398</v>
      </c>
      <c r="E4445" s="1" t="s">
        <v>36</v>
      </c>
      <c r="G4445">
        <v>467848</v>
      </c>
      <c r="H4445" t="s">
        <v>11381</v>
      </c>
      <c r="I4445" t="s">
        <v>2413</v>
      </c>
      <c r="J4445">
        <v>30</v>
      </c>
      <c r="K4445">
        <v>2695</v>
      </c>
      <c r="L4445">
        <v>95000</v>
      </c>
      <c r="M4445" t="s">
        <v>69</v>
      </c>
      <c r="N4445">
        <v>691</v>
      </c>
      <c r="O4445" s="2">
        <v>46199</v>
      </c>
      <c r="P4445" s="2">
        <v>46308</v>
      </c>
      <c r="R4445" t="s">
        <v>11399</v>
      </c>
      <c r="S4445" t="str">
        <f>""</f>
        <v/>
      </c>
      <c r="T4445" t="s">
        <v>41</v>
      </c>
      <c r="U4445">
        <v>1326.75</v>
      </c>
      <c r="V4445">
        <v>1312.16</v>
      </c>
      <c r="W4445">
        <v>1312.16</v>
      </c>
      <c r="X4445">
        <v>0</v>
      </c>
      <c r="Y4445">
        <v>0</v>
      </c>
      <c r="Z4445">
        <v>-533</v>
      </c>
      <c r="AA4445">
        <v>692618</v>
      </c>
      <c r="AD4445" t="s">
        <v>11383</v>
      </c>
      <c r="AE4445" t="s">
        <v>11384</v>
      </c>
      <c r="AF4445" t="s">
        <v>11383</v>
      </c>
      <c r="AG4445" s="1" t="s">
        <v>11385</v>
      </c>
      <c r="AH4445" t="s">
        <v>44</v>
      </c>
    </row>
    <row r="4446" spans="1:34" x14ac:dyDescent="0.3">
      <c r="A4446">
        <v>101</v>
      </c>
      <c r="B4446" t="s">
        <v>34</v>
      </c>
      <c r="C4446">
        <v>2</v>
      </c>
      <c r="D4446" s="1" t="s">
        <v>11400</v>
      </c>
      <c r="E4446" s="1" t="s">
        <v>36</v>
      </c>
      <c r="G4446">
        <v>467848</v>
      </c>
      <c r="H4446" t="s">
        <v>11381</v>
      </c>
      <c r="I4446" t="s">
        <v>2413</v>
      </c>
      <c r="J4446">
        <v>30</v>
      </c>
      <c r="K4446">
        <v>2695</v>
      </c>
      <c r="L4446">
        <v>95000</v>
      </c>
      <c r="M4446" t="s">
        <v>69</v>
      </c>
      <c r="N4446">
        <v>691</v>
      </c>
      <c r="O4446" s="2">
        <v>46239</v>
      </c>
      <c r="P4446" s="2">
        <v>46349</v>
      </c>
      <c r="R4446" t="s">
        <v>11401</v>
      </c>
      <c r="S4446" t="str">
        <f>""</f>
        <v/>
      </c>
      <c r="T4446" t="s">
        <v>41</v>
      </c>
      <c r="U4446">
        <v>3765.27</v>
      </c>
      <c r="V4446">
        <v>3723.85</v>
      </c>
      <c r="W4446">
        <v>3723.85</v>
      </c>
      <c r="X4446">
        <v>0</v>
      </c>
      <c r="Y4446">
        <v>0</v>
      </c>
      <c r="Z4446">
        <v>-574</v>
      </c>
      <c r="AA4446">
        <v>696291</v>
      </c>
      <c r="AD4446" t="s">
        <v>11383</v>
      </c>
      <c r="AE4446" t="s">
        <v>11384</v>
      </c>
      <c r="AF4446" t="s">
        <v>11383</v>
      </c>
      <c r="AG4446" s="1" t="s">
        <v>11385</v>
      </c>
      <c r="AH4446" t="s">
        <v>44</v>
      </c>
    </row>
    <row r="4447" spans="1:34" x14ac:dyDescent="0.3">
      <c r="A4447">
        <v>101</v>
      </c>
      <c r="B4447" t="s">
        <v>34</v>
      </c>
      <c r="C4447">
        <v>2</v>
      </c>
      <c r="D4447" s="1" t="s">
        <v>11402</v>
      </c>
      <c r="E4447" s="1" t="s">
        <v>36</v>
      </c>
      <c r="G4447">
        <v>468189</v>
      </c>
      <c r="H4447" t="s">
        <v>11403</v>
      </c>
      <c r="I4447" t="s">
        <v>2413</v>
      </c>
      <c r="J4447">
        <v>30</v>
      </c>
      <c r="K4447">
        <v>2695</v>
      </c>
      <c r="L4447">
        <v>95000</v>
      </c>
      <c r="M4447" t="s">
        <v>69</v>
      </c>
      <c r="N4447">
        <v>691</v>
      </c>
      <c r="O4447" s="2">
        <v>46226</v>
      </c>
      <c r="P4447" s="2">
        <v>46349</v>
      </c>
      <c r="R4447" t="s">
        <v>11404</v>
      </c>
      <c r="S4447" t="str">
        <f>""</f>
        <v/>
      </c>
      <c r="T4447" t="s">
        <v>41</v>
      </c>
      <c r="U4447">
        <v>19258.169999999998</v>
      </c>
      <c r="V4447">
        <v>19046.330000000002</v>
      </c>
      <c r="W4447">
        <v>19046.330000000002</v>
      </c>
      <c r="X4447">
        <v>0</v>
      </c>
      <c r="Y4447">
        <v>0</v>
      </c>
      <c r="Z4447">
        <v>-574</v>
      </c>
      <c r="AA4447">
        <v>695051</v>
      </c>
      <c r="AD4447" t="s">
        <v>3275</v>
      </c>
      <c r="AF4447" t="s">
        <v>3275</v>
      </c>
      <c r="AG4447" s="1" t="s">
        <v>11405</v>
      </c>
      <c r="AH4447" t="s">
        <v>44</v>
      </c>
    </row>
    <row r="4448" spans="1:34" x14ac:dyDescent="0.3">
      <c r="A4448">
        <v>101</v>
      </c>
      <c r="B4448" t="s">
        <v>34</v>
      </c>
      <c r="C4448">
        <v>2</v>
      </c>
      <c r="D4448" s="1" t="s">
        <v>11406</v>
      </c>
      <c r="E4448" s="1" t="s">
        <v>36</v>
      </c>
      <c r="G4448">
        <v>468189</v>
      </c>
      <c r="H4448" t="s">
        <v>11403</v>
      </c>
      <c r="I4448" t="s">
        <v>2413</v>
      </c>
      <c r="J4448">
        <v>30</v>
      </c>
      <c r="K4448">
        <v>2695</v>
      </c>
      <c r="L4448">
        <v>95000</v>
      </c>
      <c r="M4448" t="s">
        <v>69</v>
      </c>
      <c r="N4448">
        <v>691</v>
      </c>
      <c r="O4448" s="2">
        <v>46141</v>
      </c>
      <c r="P4448" s="2">
        <v>46266</v>
      </c>
      <c r="R4448" t="s">
        <v>11407</v>
      </c>
      <c r="S4448" t="str">
        <f>""</f>
        <v/>
      </c>
      <c r="T4448" t="s">
        <v>41</v>
      </c>
      <c r="U4448">
        <v>5935.54</v>
      </c>
      <c r="V4448">
        <v>5870.25</v>
      </c>
      <c r="W4448">
        <v>5870.25</v>
      </c>
      <c r="X4448">
        <v>0</v>
      </c>
      <c r="Y4448">
        <v>0</v>
      </c>
      <c r="Z4448">
        <v>-491</v>
      </c>
      <c r="AA4448">
        <v>686759</v>
      </c>
      <c r="AD4448" t="s">
        <v>3275</v>
      </c>
      <c r="AF4448" t="s">
        <v>3275</v>
      </c>
      <c r="AG4448" s="1" t="s">
        <v>11405</v>
      </c>
      <c r="AH4448" t="s">
        <v>44</v>
      </c>
    </row>
    <row r="4449" spans="1:34" x14ac:dyDescent="0.3">
      <c r="A4449">
        <v>101</v>
      </c>
      <c r="B4449" t="s">
        <v>34</v>
      </c>
      <c r="C4449">
        <v>2</v>
      </c>
      <c r="D4449" s="1" t="s">
        <v>11408</v>
      </c>
      <c r="E4449" s="1" t="s">
        <v>36</v>
      </c>
      <c r="G4449">
        <v>468189</v>
      </c>
      <c r="H4449" t="s">
        <v>11403</v>
      </c>
      <c r="I4449" t="s">
        <v>2413</v>
      </c>
      <c r="J4449">
        <v>30</v>
      </c>
      <c r="K4449">
        <v>2695</v>
      </c>
      <c r="L4449">
        <v>95000</v>
      </c>
      <c r="M4449" t="s">
        <v>69</v>
      </c>
      <c r="N4449">
        <v>691</v>
      </c>
      <c r="O4449" s="2">
        <v>46181</v>
      </c>
      <c r="P4449" s="2">
        <v>46286</v>
      </c>
      <c r="R4449" t="s">
        <v>11409</v>
      </c>
      <c r="S4449" t="str">
        <f>""</f>
        <v/>
      </c>
      <c r="T4449" t="s">
        <v>41</v>
      </c>
      <c r="U4449">
        <v>24152.66</v>
      </c>
      <c r="V4449">
        <v>23886.98</v>
      </c>
      <c r="W4449">
        <v>23886.98</v>
      </c>
      <c r="X4449">
        <v>0</v>
      </c>
      <c r="Y4449">
        <v>0</v>
      </c>
      <c r="Z4449">
        <v>-511</v>
      </c>
      <c r="AA4449">
        <v>689358</v>
      </c>
      <c r="AD4449" t="s">
        <v>3275</v>
      </c>
      <c r="AF4449" t="s">
        <v>3275</v>
      </c>
      <c r="AG4449" s="1" t="s">
        <v>11405</v>
      </c>
      <c r="AH4449" t="s">
        <v>44</v>
      </c>
    </row>
    <row r="4450" spans="1:34" x14ac:dyDescent="0.3">
      <c r="A4450">
        <v>101</v>
      </c>
      <c r="B4450" t="s">
        <v>34</v>
      </c>
      <c r="C4450">
        <v>2</v>
      </c>
      <c r="D4450" s="1" t="s">
        <v>11410</v>
      </c>
      <c r="E4450" s="1" t="s">
        <v>36</v>
      </c>
      <c r="G4450">
        <v>468189</v>
      </c>
      <c r="H4450" t="s">
        <v>11403</v>
      </c>
      <c r="I4450" t="s">
        <v>2413</v>
      </c>
      <c r="J4450">
        <v>30</v>
      </c>
      <c r="K4450">
        <v>2695</v>
      </c>
      <c r="L4450">
        <v>95000</v>
      </c>
      <c r="M4450" t="s">
        <v>69</v>
      </c>
      <c r="N4450">
        <v>691</v>
      </c>
      <c r="O4450" s="2">
        <v>46253</v>
      </c>
      <c r="P4450" s="2">
        <v>46343</v>
      </c>
      <c r="R4450" t="s">
        <v>11411</v>
      </c>
      <c r="S4450" t="str">
        <f>""</f>
        <v/>
      </c>
      <c r="T4450" t="s">
        <v>41</v>
      </c>
      <c r="U4450">
        <v>2653.5</v>
      </c>
      <c r="V4450">
        <v>2624.31</v>
      </c>
      <c r="W4450">
        <v>2624.31</v>
      </c>
      <c r="X4450">
        <v>0</v>
      </c>
      <c r="Y4450">
        <v>0</v>
      </c>
      <c r="Z4450">
        <v>-568</v>
      </c>
      <c r="AA4450">
        <v>697069</v>
      </c>
      <c r="AD4450" t="s">
        <v>3275</v>
      </c>
      <c r="AF4450" t="s">
        <v>3275</v>
      </c>
      <c r="AG4450" s="1" t="s">
        <v>11405</v>
      </c>
      <c r="AH4450" t="s">
        <v>44</v>
      </c>
    </row>
    <row r="4451" spans="1:34" x14ac:dyDescent="0.3">
      <c r="A4451">
        <v>101</v>
      </c>
      <c r="B4451" t="s">
        <v>34</v>
      </c>
      <c r="C4451">
        <v>2</v>
      </c>
      <c r="D4451" s="1" t="s">
        <v>11412</v>
      </c>
      <c r="E4451" s="1" t="s">
        <v>36</v>
      </c>
      <c r="G4451">
        <v>468189</v>
      </c>
      <c r="H4451" t="s">
        <v>11403</v>
      </c>
      <c r="I4451" t="s">
        <v>2413</v>
      </c>
      <c r="J4451">
        <v>30</v>
      </c>
      <c r="K4451">
        <v>2695</v>
      </c>
      <c r="L4451">
        <v>95000</v>
      </c>
      <c r="M4451" t="s">
        <v>69</v>
      </c>
      <c r="N4451">
        <v>691</v>
      </c>
      <c r="O4451" s="2">
        <v>46203</v>
      </c>
      <c r="P4451" s="2">
        <v>46316</v>
      </c>
      <c r="R4451" t="s">
        <v>11413</v>
      </c>
      <c r="S4451" t="str">
        <f>""</f>
        <v/>
      </c>
      <c r="T4451" t="s">
        <v>41</v>
      </c>
      <c r="U4451">
        <v>4813.92</v>
      </c>
      <c r="V4451">
        <v>4760.97</v>
      </c>
      <c r="W4451">
        <v>4760.97</v>
      </c>
      <c r="X4451">
        <v>0</v>
      </c>
      <c r="Y4451">
        <v>0</v>
      </c>
      <c r="Z4451">
        <v>-541</v>
      </c>
      <c r="AA4451">
        <v>692318</v>
      </c>
      <c r="AD4451" t="s">
        <v>3275</v>
      </c>
      <c r="AF4451" t="s">
        <v>3275</v>
      </c>
      <c r="AG4451" s="1" t="s">
        <v>11405</v>
      </c>
      <c r="AH4451" t="s">
        <v>44</v>
      </c>
    </row>
    <row r="4452" spans="1:34" x14ac:dyDescent="0.3">
      <c r="A4452">
        <v>101</v>
      </c>
      <c r="B4452" t="s">
        <v>34</v>
      </c>
      <c r="C4452">
        <v>2</v>
      </c>
      <c r="D4452" s="1" t="s">
        <v>11414</v>
      </c>
      <c r="E4452" s="1" t="s">
        <v>36</v>
      </c>
      <c r="G4452">
        <v>468189</v>
      </c>
      <c r="H4452" t="s">
        <v>11403</v>
      </c>
      <c r="I4452" t="s">
        <v>2413</v>
      </c>
      <c r="J4452">
        <v>30</v>
      </c>
      <c r="K4452">
        <v>2695</v>
      </c>
      <c r="L4452">
        <v>95000</v>
      </c>
      <c r="M4452" t="s">
        <v>69</v>
      </c>
      <c r="N4452">
        <v>691</v>
      </c>
      <c r="O4452" s="2">
        <v>46203</v>
      </c>
      <c r="P4452" s="2">
        <v>46316</v>
      </c>
      <c r="R4452" t="s">
        <v>11415</v>
      </c>
      <c r="S4452" t="str">
        <f>""</f>
        <v/>
      </c>
      <c r="T4452" t="s">
        <v>41</v>
      </c>
      <c r="U4452">
        <v>1326.75</v>
      </c>
      <c r="V4452">
        <v>1312.16</v>
      </c>
      <c r="W4452">
        <v>1312.16</v>
      </c>
      <c r="X4452">
        <v>0</v>
      </c>
      <c r="Y4452">
        <v>0</v>
      </c>
      <c r="Z4452">
        <v>-541</v>
      </c>
      <c r="AA4452">
        <v>692614</v>
      </c>
      <c r="AD4452" t="s">
        <v>3275</v>
      </c>
      <c r="AF4452" t="s">
        <v>3275</v>
      </c>
      <c r="AG4452" s="1" t="s">
        <v>11405</v>
      </c>
      <c r="AH4452" t="s">
        <v>44</v>
      </c>
    </row>
    <row r="4453" spans="1:34" x14ac:dyDescent="0.3">
      <c r="A4453">
        <v>101</v>
      </c>
      <c r="B4453" t="s">
        <v>34</v>
      </c>
      <c r="C4453">
        <v>2</v>
      </c>
      <c r="D4453" s="1" t="s">
        <v>11416</v>
      </c>
      <c r="E4453" s="1" t="s">
        <v>36</v>
      </c>
      <c r="G4453">
        <v>468208</v>
      </c>
      <c r="H4453" t="s">
        <v>11417</v>
      </c>
      <c r="I4453" t="s">
        <v>2413</v>
      </c>
      <c r="J4453">
        <v>30</v>
      </c>
      <c r="K4453">
        <v>2695</v>
      </c>
      <c r="L4453">
        <v>95000</v>
      </c>
      <c r="M4453" t="s">
        <v>69</v>
      </c>
      <c r="N4453">
        <v>691</v>
      </c>
      <c r="O4453" s="2">
        <v>46141</v>
      </c>
      <c r="P4453" s="2">
        <v>46266</v>
      </c>
      <c r="R4453" t="s">
        <v>11418</v>
      </c>
      <c r="S4453" t="str">
        <f>""</f>
        <v/>
      </c>
      <c r="T4453" t="s">
        <v>41</v>
      </c>
      <c r="U4453">
        <v>12930.65</v>
      </c>
      <c r="V4453">
        <v>12788.41</v>
      </c>
      <c r="W4453">
        <v>12788.41</v>
      </c>
      <c r="X4453">
        <v>0</v>
      </c>
      <c r="Y4453">
        <v>0</v>
      </c>
      <c r="Z4453">
        <v>-491</v>
      </c>
      <c r="AA4453">
        <v>686540</v>
      </c>
      <c r="AD4453" t="s">
        <v>2824</v>
      </c>
      <c r="AE4453" t="s">
        <v>2567</v>
      </c>
      <c r="AF4453" t="s">
        <v>2824</v>
      </c>
      <c r="AG4453" s="1" t="s">
        <v>11419</v>
      </c>
      <c r="AH4453" t="s">
        <v>44</v>
      </c>
    </row>
    <row r="4454" spans="1:34" x14ac:dyDescent="0.3">
      <c r="A4454">
        <v>101</v>
      </c>
      <c r="B4454" t="s">
        <v>34</v>
      </c>
      <c r="C4454">
        <v>2</v>
      </c>
      <c r="D4454" s="1" t="s">
        <v>11420</v>
      </c>
      <c r="E4454" s="1" t="s">
        <v>36</v>
      </c>
      <c r="G4454">
        <v>468208</v>
      </c>
      <c r="H4454" t="s">
        <v>11417</v>
      </c>
      <c r="I4454" t="s">
        <v>2413</v>
      </c>
      <c r="J4454">
        <v>30</v>
      </c>
      <c r="K4454">
        <v>2695</v>
      </c>
      <c r="L4454">
        <v>95000</v>
      </c>
      <c r="M4454" t="s">
        <v>69</v>
      </c>
      <c r="N4454">
        <v>691</v>
      </c>
      <c r="O4454" s="2">
        <v>46185</v>
      </c>
      <c r="P4454" s="2">
        <v>46296</v>
      </c>
      <c r="R4454" t="s">
        <v>11421</v>
      </c>
      <c r="S4454" t="str">
        <f>""</f>
        <v/>
      </c>
      <c r="T4454" t="s">
        <v>41</v>
      </c>
      <c r="U4454">
        <v>2134.8000000000002</v>
      </c>
      <c r="V4454">
        <v>2111.3200000000002</v>
      </c>
      <c r="W4454">
        <v>2111.3200000000002</v>
      </c>
      <c r="X4454">
        <v>0</v>
      </c>
      <c r="Y4454">
        <v>0</v>
      </c>
      <c r="Z4454">
        <v>-521</v>
      </c>
      <c r="AA4454">
        <v>689142</v>
      </c>
      <c r="AD4454" t="s">
        <v>2824</v>
      </c>
      <c r="AE4454" t="s">
        <v>2567</v>
      </c>
      <c r="AF4454" t="s">
        <v>2824</v>
      </c>
      <c r="AG4454" s="1" t="s">
        <v>11419</v>
      </c>
      <c r="AH4454" t="s">
        <v>44</v>
      </c>
    </row>
    <row r="4455" spans="1:34" x14ac:dyDescent="0.3">
      <c r="A4455">
        <v>101</v>
      </c>
      <c r="B4455" t="s">
        <v>34</v>
      </c>
      <c r="C4455">
        <v>2</v>
      </c>
      <c r="D4455" s="1" t="s">
        <v>11422</v>
      </c>
      <c r="E4455" s="1" t="s">
        <v>36</v>
      </c>
      <c r="G4455">
        <v>468208</v>
      </c>
      <c r="H4455" t="s">
        <v>11417</v>
      </c>
      <c r="I4455" t="s">
        <v>2413</v>
      </c>
      <c r="J4455">
        <v>30</v>
      </c>
      <c r="K4455">
        <v>2695</v>
      </c>
      <c r="L4455">
        <v>95000</v>
      </c>
      <c r="M4455" t="s">
        <v>69</v>
      </c>
      <c r="N4455">
        <v>691</v>
      </c>
      <c r="O4455" s="2">
        <v>46253</v>
      </c>
      <c r="P4455" s="2">
        <v>46343</v>
      </c>
      <c r="R4455" t="s">
        <v>11423</v>
      </c>
      <c r="S4455" t="str">
        <f>""</f>
        <v/>
      </c>
      <c r="T4455" t="s">
        <v>41</v>
      </c>
      <c r="U4455">
        <v>4422.5</v>
      </c>
      <c r="V4455">
        <v>4373.8500000000004</v>
      </c>
      <c r="W4455">
        <v>4373.8500000000004</v>
      </c>
      <c r="X4455">
        <v>0</v>
      </c>
      <c r="Y4455">
        <v>0</v>
      </c>
      <c r="Z4455">
        <v>-568</v>
      </c>
      <c r="AA4455">
        <v>697071</v>
      </c>
      <c r="AD4455" t="s">
        <v>2824</v>
      </c>
      <c r="AE4455" t="s">
        <v>2567</v>
      </c>
      <c r="AF4455" t="s">
        <v>2824</v>
      </c>
      <c r="AG4455" s="1" t="s">
        <v>11419</v>
      </c>
      <c r="AH4455" t="s">
        <v>44</v>
      </c>
    </row>
    <row r="4456" spans="1:34" x14ac:dyDescent="0.3">
      <c r="A4456">
        <v>101</v>
      </c>
      <c r="B4456" t="s">
        <v>34</v>
      </c>
      <c r="C4456">
        <v>2</v>
      </c>
      <c r="D4456" s="1" t="s">
        <v>11424</v>
      </c>
      <c r="E4456" s="1" t="s">
        <v>36</v>
      </c>
      <c r="G4456">
        <v>468208</v>
      </c>
      <c r="H4456" t="s">
        <v>11417</v>
      </c>
      <c r="I4456" t="s">
        <v>2413</v>
      </c>
      <c r="J4456">
        <v>30</v>
      </c>
      <c r="K4456">
        <v>2695</v>
      </c>
      <c r="L4456">
        <v>95000</v>
      </c>
      <c r="M4456" t="s">
        <v>69</v>
      </c>
      <c r="N4456">
        <v>691</v>
      </c>
      <c r="O4456" s="2">
        <v>46226</v>
      </c>
      <c r="P4456" s="2">
        <v>46337</v>
      </c>
      <c r="R4456" t="s">
        <v>11425</v>
      </c>
      <c r="S4456" t="str">
        <f>""</f>
        <v/>
      </c>
      <c r="T4456" t="s">
        <v>41</v>
      </c>
      <c r="U4456">
        <v>15479.43</v>
      </c>
      <c r="V4456">
        <v>15309.16</v>
      </c>
      <c r="W4456">
        <v>15309.16</v>
      </c>
      <c r="X4456">
        <v>0</v>
      </c>
      <c r="Y4456">
        <v>0</v>
      </c>
      <c r="Z4456">
        <v>-562</v>
      </c>
      <c r="AA4456">
        <v>695053</v>
      </c>
      <c r="AD4456" t="s">
        <v>2824</v>
      </c>
      <c r="AE4456" t="s">
        <v>2567</v>
      </c>
      <c r="AF4456" t="s">
        <v>2824</v>
      </c>
      <c r="AG4456" s="1" t="s">
        <v>11419</v>
      </c>
      <c r="AH4456" t="s">
        <v>44</v>
      </c>
    </row>
    <row r="4457" spans="1:34" x14ac:dyDescent="0.3">
      <c r="A4457">
        <v>101</v>
      </c>
      <c r="B4457" t="s">
        <v>34</v>
      </c>
      <c r="C4457">
        <v>2</v>
      </c>
      <c r="D4457" s="1" t="s">
        <v>11426</v>
      </c>
      <c r="E4457" s="1" t="s">
        <v>36</v>
      </c>
      <c r="G4457">
        <v>468208</v>
      </c>
      <c r="H4457" t="s">
        <v>11417</v>
      </c>
      <c r="I4457" t="s">
        <v>2413</v>
      </c>
      <c r="J4457">
        <v>30</v>
      </c>
      <c r="K4457">
        <v>2695</v>
      </c>
      <c r="L4457">
        <v>95000</v>
      </c>
      <c r="M4457" t="s">
        <v>69</v>
      </c>
      <c r="N4457">
        <v>691</v>
      </c>
      <c r="O4457" s="2">
        <v>46170</v>
      </c>
      <c r="P4457" s="2">
        <v>46296</v>
      </c>
      <c r="R4457" t="s">
        <v>11427</v>
      </c>
      <c r="S4457" t="str">
        <f>""</f>
        <v/>
      </c>
      <c r="T4457" t="s">
        <v>41</v>
      </c>
      <c r="U4457">
        <v>2741</v>
      </c>
      <c r="V4457">
        <v>2710.85</v>
      </c>
      <c r="W4457">
        <v>2710.85</v>
      </c>
      <c r="X4457">
        <v>0</v>
      </c>
      <c r="Y4457">
        <v>0</v>
      </c>
      <c r="Z4457">
        <v>-521</v>
      </c>
      <c r="AA4457">
        <v>689429</v>
      </c>
      <c r="AD4457" t="s">
        <v>2824</v>
      </c>
      <c r="AE4457" t="s">
        <v>2567</v>
      </c>
      <c r="AF4457" t="s">
        <v>2824</v>
      </c>
      <c r="AG4457" s="1" t="s">
        <v>11419</v>
      </c>
      <c r="AH4457" t="s">
        <v>44</v>
      </c>
    </row>
    <row r="4458" spans="1:34" x14ac:dyDescent="0.3">
      <c r="A4458">
        <v>101</v>
      </c>
      <c r="B4458" t="s">
        <v>34</v>
      </c>
      <c r="C4458">
        <v>2</v>
      </c>
      <c r="D4458" s="1" t="s">
        <v>11428</v>
      </c>
      <c r="E4458" s="1" t="s">
        <v>36</v>
      </c>
      <c r="G4458">
        <v>468208</v>
      </c>
      <c r="H4458" t="s">
        <v>11417</v>
      </c>
      <c r="I4458" t="s">
        <v>2413</v>
      </c>
      <c r="J4458">
        <v>30</v>
      </c>
      <c r="K4458">
        <v>2695</v>
      </c>
      <c r="L4458">
        <v>95000</v>
      </c>
      <c r="M4458" t="s">
        <v>69</v>
      </c>
      <c r="N4458">
        <v>691</v>
      </c>
      <c r="O4458" s="2">
        <v>46199</v>
      </c>
      <c r="P4458" s="2">
        <v>46337</v>
      </c>
      <c r="R4458" t="s">
        <v>11429</v>
      </c>
      <c r="S4458" t="str">
        <f>""</f>
        <v/>
      </c>
      <c r="T4458" t="s">
        <v>41</v>
      </c>
      <c r="U4458">
        <v>12640.26</v>
      </c>
      <c r="V4458">
        <v>12501.22</v>
      </c>
      <c r="W4458">
        <v>12501.22</v>
      </c>
      <c r="X4458">
        <v>0</v>
      </c>
      <c r="Y4458">
        <v>0</v>
      </c>
      <c r="Z4458">
        <v>-562</v>
      </c>
      <c r="AA4458">
        <v>692104</v>
      </c>
      <c r="AD4458" t="s">
        <v>2824</v>
      </c>
      <c r="AE4458" t="s">
        <v>2567</v>
      </c>
      <c r="AF4458" t="s">
        <v>2824</v>
      </c>
      <c r="AG4458" s="1" t="s">
        <v>11419</v>
      </c>
      <c r="AH4458" t="s">
        <v>44</v>
      </c>
    </row>
    <row r="4459" spans="1:34" x14ac:dyDescent="0.3">
      <c r="A4459">
        <v>101</v>
      </c>
      <c r="B4459" t="s">
        <v>34</v>
      </c>
      <c r="C4459">
        <v>2</v>
      </c>
      <c r="D4459" s="1" t="s">
        <v>11430</v>
      </c>
      <c r="E4459" s="1" t="s">
        <v>36</v>
      </c>
      <c r="G4459">
        <v>468208</v>
      </c>
      <c r="H4459" t="s">
        <v>11417</v>
      </c>
      <c r="I4459" t="s">
        <v>2413</v>
      </c>
      <c r="J4459">
        <v>30</v>
      </c>
      <c r="K4459">
        <v>2695</v>
      </c>
      <c r="L4459">
        <v>95000</v>
      </c>
      <c r="M4459" t="s">
        <v>69</v>
      </c>
      <c r="N4459">
        <v>691</v>
      </c>
      <c r="O4459" s="2">
        <v>46170</v>
      </c>
      <c r="P4459" s="2">
        <v>46296</v>
      </c>
      <c r="R4459" t="s">
        <v>11431</v>
      </c>
      <c r="S4459" t="str">
        <f>""</f>
        <v/>
      </c>
      <c r="T4459" t="s">
        <v>41</v>
      </c>
      <c r="U4459">
        <v>11842.12</v>
      </c>
      <c r="V4459">
        <v>11711.86</v>
      </c>
      <c r="W4459">
        <v>11711.86</v>
      </c>
      <c r="X4459">
        <v>0</v>
      </c>
      <c r="Y4459">
        <v>0</v>
      </c>
      <c r="Z4459">
        <v>-521</v>
      </c>
      <c r="AA4459">
        <v>689142</v>
      </c>
      <c r="AD4459" t="s">
        <v>2824</v>
      </c>
      <c r="AE4459" t="s">
        <v>2567</v>
      </c>
      <c r="AF4459" t="s">
        <v>2824</v>
      </c>
      <c r="AG4459" s="1" t="s">
        <v>11419</v>
      </c>
      <c r="AH4459" t="s">
        <v>44</v>
      </c>
    </row>
    <row r="4460" spans="1:34" x14ac:dyDescent="0.3">
      <c r="A4460">
        <v>101</v>
      </c>
      <c r="B4460" t="s">
        <v>34</v>
      </c>
      <c r="C4460">
        <v>2</v>
      </c>
      <c r="D4460" s="1" t="s">
        <v>11432</v>
      </c>
      <c r="E4460" s="1" t="s">
        <v>36</v>
      </c>
      <c r="G4460">
        <v>468208</v>
      </c>
      <c r="H4460" t="s">
        <v>11417</v>
      </c>
      <c r="I4460" t="s">
        <v>2413</v>
      </c>
      <c r="J4460">
        <v>30</v>
      </c>
      <c r="K4460">
        <v>2695</v>
      </c>
      <c r="L4460">
        <v>95000</v>
      </c>
      <c r="M4460" t="s">
        <v>69</v>
      </c>
      <c r="N4460">
        <v>691</v>
      </c>
      <c r="O4460" s="2">
        <v>46199</v>
      </c>
      <c r="P4460" s="2">
        <v>46337</v>
      </c>
      <c r="R4460" t="s">
        <v>11433</v>
      </c>
      <c r="S4460" t="str">
        <f>""</f>
        <v/>
      </c>
      <c r="T4460" t="s">
        <v>41</v>
      </c>
      <c r="U4460">
        <v>1326.75</v>
      </c>
      <c r="V4460">
        <v>1312.16</v>
      </c>
      <c r="W4460">
        <v>1312.16</v>
      </c>
      <c r="X4460">
        <v>0</v>
      </c>
      <c r="Y4460">
        <v>0</v>
      </c>
      <c r="Z4460">
        <v>-562</v>
      </c>
      <c r="AA4460">
        <v>692616</v>
      </c>
      <c r="AD4460" t="s">
        <v>2824</v>
      </c>
      <c r="AE4460" t="s">
        <v>2567</v>
      </c>
      <c r="AF4460" t="s">
        <v>2824</v>
      </c>
      <c r="AG4460" s="1" t="s">
        <v>11419</v>
      </c>
      <c r="AH4460" t="s">
        <v>44</v>
      </c>
    </row>
    <row r="4461" spans="1:34" x14ac:dyDescent="0.3">
      <c r="A4461">
        <v>101</v>
      </c>
      <c r="B4461" t="s">
        <v>34</v>
      </c>
      <c r="C4461">
        <v>2</v>
      </c>
      <c r="D4461" s="1" t="s">
        <v>11434</v>
      </c>
      <c r="E4461" s="1" t="s">
        <v>36</v>
      </c>
      <c r="G4461">
        <v>468208</v>
      </c>
      <c r="H4461" t="s">
        <v>11417</v>
      </c>
      <c r="I4461" t="s">
        <v>2413</v>
      </c>
      <c r="J4461">
        <v>30</v>
      </c>
      <c r="K4461">
        <v>2695</v>
      </c>
      <c r="L4461">
        <v>95000</v>
      </c>
      <c r="M4461" t="s">
        <v>69</v>
      </c>
      <c r="N4461">
        <v>691</v>
      </c>
      <c r="O4461" s="2">
        <v>46199</v>
      </c>
      <c r="P4461" s="2">
        <v>46337</v>
      </c>
      <c r="R4461" t="s">
        <v>11435</v>
      </c>
      <c r="S4461" t="str">
        <f>""</f>
        <v/>
      </c>
      <c r="T4461" t="s">
        <v>41</v>
      </c>
      <c r="U4461">
        <v>1303.9000000000001</v>
      </c>
      <c r="V4461">
        <v>1289.56</v>
      </c>
      <c r="W4461">
        <v>1289.56</v>
      </c>
      <c r="X4461">
        <v>0</v>
      </c>
      <c r="Y4461">
        <v>0</v>
      </c>
      <c r="Z4461">
        <v>-562</v>
      </c>
      <c r="AA4461">
        <v>692845</v>
      </c>
      <c r="AD4461" t="s">
        <v>2824</v>
      </c>
      <c r="AE4461" t="s">
        <v>2567</v>
      </c>
      <c r="AF4461" t="s">
        <v>2824</v>
      </c>
      <c r="AG4461" s="1" t="s">
        <v>11419</v>
      </c>
      <c r="AH4461" t="s">
        <v>44</v>
      </c>
    </row>
    <row r="4462" spans="1:34" x14ac:dyDescent="0.3">
      <c r="A4462">
        <v>101</v>
      </c>
      <c r="B4462" t="s">
        <v>34</v>
      </c>
      <c r="C4462">
        <v>2</v>
      </c>
      <c r="D4462" s="1" t="s">
        <v>11436</v>
      </c>
      <c r="E4462" s="1" t="s">
        <v>36</v>
      </c>
      <c r="G4462">
        <v>468208</v>
      </c>
      <c r="H4462" t="s">
        <v>11417</v>
      </c>
      <c r="I4462" t="s">
        <v>2413</v>
      </c>
      <c r="J4462">
        <v>30</v>
      </c>
      <c r="K4462">
        <v>2695</v>
      </c>
      <c r="L4462">
        <v>95000</v>
      </c>
      <c r="M4462" t="s">
        <v>69</v>
      </c>
      <c r="N4462">
        <v>691</v>
      </c>
      <c r="O4462" s="2">
        <v>46239</v>
      </c>
      <c r="P4462" s="2">
        <v>46337</v>
      </c>
      <c r="R4462" t="s">
        <v>11437</v>
      </c>
      <c r="S4462" t="str">
        <f>""</f>
        <v/>
      </c>
      <c r="T4462" t="s">
        <v>41</v>
      </c>
      <c r="U4462">
        <v>527.52</v>
      </c>
      <c r="V4462">
        <v>521.72</v>
      </c>
      <c r="W4462">
        <v>521.72</v>
      </c>
      <c r="X4462">
        <v>0</v>
      </c>
      <c r="Y4462">
        <v>0</v>
      </c>
      <c r="Z4462">
        <v>-562</v>
      </c>
      <c r="AA4462">
        <v>696289</v>
      </c>
      <c r="AD4462" t="s">
        <v>2824</v>
      </c>
      <c r="AE4462" t="s">
        <v>2567</v>
      </c>
      <c r="AF4462" t="s">
        <v>2824</v>
      </c>
      <c r="AG4462" s="1" t="s">
        <v>11419</v>
      </c>
      <c r="AH4462" t="s">
        <v>44</v>
      </c>
    </row>
    <row r="4463" spans="1:34" x14ac:dyDescent="0.3">
      <c r="A4463">
        <v>101</v>
      </c>
      <c r="B4463" t="s">
        <v>34</v>
      </c>
      <c r="C4463">
        <v>2</v>
      </c>
      <c r="D4463" s="1" t="s">
        <v>11438</v>
      </c>
      <c r="E4463" s="1" t="s">
        <v>36</v>
      </c>
      <c r="G4463">
        <v>469499</v>
      </c>
      <c r="H4463" t="s">
        <v>11439</v>
      </c>
      <c r="I4463" t="s">
        <v>2413</v>
      </c>
      <c r="J4463">
        <v>30</v>
      </c>
      <c r="K4463">
        <v>2695</v>
      </c>
      <c r="L4463">
        <v>95000</v>
      </c>
      <c r="M4463" t="s">
        <v>69</v>
      </c>
      <c r="N4463">
        <v>691</v>
      </c>
      <c r="O4463" s="2">
        <v>46226</v>
      </c>
      <c r="P4463" s="2">
        <v>46349</v>
      </c>
      <c r="R4463" t="s">
        <v>11440</v>
      </c>
      <c r="S4463" t="str">
        <f>""</f>
        <v/>
      </c>
      <c r="T4463" t="s">
        <v>41</v>
      </c>
      <c r="U4463">
        <v>10345.370000000001</v>
      </c>
      <c r="V4463">
        <v>10231.57</v>
      </c>
      <c r="W4463">
        <v>10231.57</v>
      </c>
      <c r="X4463">
        <v>0</v>
      </c>
      <c r="Y4463">
        <v>0</v>
      </c>
      <c r="Z4463">
        <v>-574</v>
      </c>
      <c r="AA4463">
        <v>695049</v>
      </c>
      <c r="AD4463" t="s">
        <v>3275</v>
      </c>
      <c r="AF4463" t="s">
        <v>3275</v>
      </c>
      <c r="AG4463" s="1" t="s">
        <v>11441</v>
      </c>
      <c r="AH4463" t="s">
        <v>44</v>
      </c>
    </row>
    <row r="4464" spans="1:34" x14ac:dyDescent="0.3">
      <c r="A4464">
        <v>101</v>
      </c>
      <c r="B4464" t="s">
        <v>34</v>
      </c>
      <c r="C4464">
        <v>2</v>
      </c>
      <c r="D4464" s="1" t="s">
        <v>11442</v>
      </c>
      <c r="E4464" s="1" t="s">
        <v>36</v>
      </c>
      <c r="G4464">
        <v>469499</v>
      </c>
      <c r="H4464" t="s">
        <v>11439</v>
      </c>
      <c r="I4464" t="s">
        <v>2413</v>
      </c>
      <c r="J4464">
        <v>30</v>
      </c>
      <c r="K4464">
        <v>2695</v>
      </c>
      <c r="L4464">
        <v>95000</v>
      </c>
      <c r="M4464" t="s">
        <v>69</v>
      </c>
      <c r="N4464">
        <v>691</v>
      </c>
      <c r="O4464" s="2">
        <v>46141</v>
      </c>
      <c r="P4464" s="2">
        <v>46255</v>
      </c>
      <c r="R4464" t="s">
        <v>11443</v>
      </c>
      <c r="S4464" t="str">
        <f>""</f>
        <v/>
      </c>
      <c r="T4464" t="s">
        <v>41</v>
      </c>
      <c r="U4464">
        <v>3626.8</v>
      </c>
      <c r="V4464">
        <v>3586.91</v>
      </c>
      <c r="W4464">
        <v>3586.91</v>
      </c>
      <c r="X4464">
        <v>0</v>
      </c>
      <c r="Y4464">
        <v>0</v>
      </c>
      <c r="Z4464">
        <v>-480</v>
      </c>
      <c r="AA4464">
        <v>686651</v>
      </c>
      <c r="AD4464" t="s">
        <v>3275</v>
      </c>
      <c r="AF4464" t="s">
        <v>3275</v>
      </c>
      <c r="AG4464" s="1" t="s">
        <v>11441</v>
      </c>
      <c r="AH4464" t="s">
        <v>44</v>
      </c>
    </row>
    <row r="4465" spans="1:34" x14ac:dyDescent="0.3">
      <c r="A4465">
        <v>101</v>
      </c>
      <c r="B4465" t="s">
        <v>34</v>
      </c>
      <c r="C4465">
        <v>2</v>
      </c>
      <c r="D4465" s="1" t="s">
        <v>11444</v>
      </c>
      <c r="E4465" s="1" t="s">
        <v>36</v>
      </c>
      <c r="G4465">
        <v>469499</v>
      </c>
      <c r="H4465" t="s">
        <v>11439</v>
      </c>
      <c r="I4465" t="s">
        <v>2413</v>
      </c>
      <c r="J4465">
        <v>30</v>
      </c>
      <c r="K4465">
        <v>2695</v>
      </c>
      <c r="L4465">
        <v>95000</v>
      </c>
      <c r="M4465" t="s">
        <v>69</v>
      </c>
      <c r="N4465">
        <v>691</v>
      </c>
      <c r="O4465" s="2">
        <v>46181</v>
      </c>
      <c r="P4465" s="2">
        <v>46296</v>
      </c>
      <c r="R4465" t="s">
        <v>11445</v>
      </c>
      <c r="S4465" t="str">
        <f>""</f>
        <v/>
      </c>
      <c r="T4465" t="s">
        <v>41</v>
      </c>
      <c r="U4465">
        <v>9128.74</v>
      </c>
      <c r="V4465">
        <v>9028.32</v>
      </c>
      <c r="W4465">
        <v>9028.32</v>
      </c>
      <c r="X4465">
        <v>0</v>
      </c>
      <c r="Y4465">
        <v>0</v>
      </c>
      <c r="Z4465">
        <v>-521</v>
      </c>
      <c r="AA4465">
        <v>689252</v>
      </c>
      <c r="AD4465" t="s">
        <v>3275</v>
      </c>
      <c r="AF4465" t="s">
        <v>3275</v>
      </c>
      <c r="AG4465" s="1" t="s">
        <v>11441</v>
      </c>
      <c r="AH4465" t="s">
        <v>44</v>
      </c>
    </row>
    <row r="4466" spans="1:34" x14ac:dyDescent="0.3">
      <c r="A4466">
        <v>101</v>
      </c>
      <c r="B4466" t="s">
        <v>34</v>
      </c>
      <c r="C4466">
        <v>2</v>
      </c>
      <c r="D4466" s="1" t="s">
        <v>11446</v>
      </c>
      <c r="E4466" s="1" t="s">
        <v>36</v>
      </c>
      <c r="G4466">
        <v>469499</v>
      </c>
      <c r="H4466" t="s">
        <v>11439</v>
      </c>
      <c r="I4466" t="s">
        <v>2413</v>
      </c>
      <c r="J4466">
        <v>30</v>
      </c>
      <c r="K4466">
        <v>2695</v>
      </c>
      <c r="L4466">
        <v>95000</v>
      </c>
      <c r="M4466" t="s">
        <v>69</v>
      </c>
      <c r="N4466">
        <v>691</v>
      </c>
      <c r="O4466" s="2">
        <v>46239</v>
      </c>
      <c r="P4466" s="2">
        <v>46349</v>
      </c>
      <c r="R4466" t="s">
        <v>11447</v>
      </c>
      <c r="S4466" t="str">
        <f>""</f>
        <v/>
      </c>
      <c r="T4466" t="s">
        <v>41</v>
      </c>
      <c r="U4466">
        <v>3765.27</v>
      </c>
      <c r="V4466">
        <v>3723.85</v>
      </c>
      <c r="W4466">
        <v>3723.85</v>
      </c>
      <c r="X4466">
        <v>0</v>
      </c>
      <c r="Y4466">
        <v>0</v>
      </c>
      <c r="Z4466">
        <v>-574</v>
      </c>
      <c r="AA4466">
        <v>696287</v>
      </c>
      <c r="AD4466" t="s">
        <v>3275</v>
      </c>
      <c r="AF4466" t="s">
        <v>3275</v>
      </c>
      <c r="AG4466" s="1" t="s">
        <v>11441</v>
      </c>
      <c r="AH4466" t="s">
        <v>44</v>
      </c>
    </row>
    <row r="4467" spans="1:34" x14ac:dyDescent="0.3">
      <c r="A4467">
        <v>101</v>
      </c>
      <c r="B4467" t="s">
        <v>34</v>
      </c>
      <c r="C4467">
        <v>2</v>
      </c>
      <c r="D4467" s="1" t="s">
        <v>11448</v>
      </c>
      <c r="E4467" s="1" t="s">
        <v>36</v>
      </c>
      <c r="G4467">
        <v>469499</v>
      </c>
      <c r="H4467" t="s">
        <v>11439</v>
      </c>
      <c r="I4467" t="s">
        <v>2413</v>
      </c>
      <c r="J4467">
        <v>30</v>
      </c>
      <c r="K4467">
        <v>2695</v>
      </c>
      <c r="L4467">
        <v>95000</v>
      </c>
      <c r="M4467" t="s">
        <v>69</v>
      </c>
      <c r="N4467">
        <v>691</v>
      </c>
      <c r="O4467" s="2">
        <v>46182</v>
      </c>
      <c r="P4467" s="2">
        <v>46296</v>
      </c>
      <c r="R4467" t="s">
        <v>11449</v>
      </c>
      <c r="S4467" t="str">
        <f>""</f>
        <v/>
      </c>
      <c r="T4467" t="s">
        <v>41</v>
      </c>
      <c r="U4467">
        <v>2741</v>
      </c>
      <c r="V4467">
        <v>2710.85</v>
      </c>
      <c r="W4467">
        <v>2710.85</v>
      </c>
      <c r="X4467">
        <v>0</v>
      </c>
      <c r="Y4467">
        <v>0</v>
      </c>
      <c r="Z4467">
        <v>-521</v>
      </c>
      <c r="AA4467">
        <v>689527</v>
      </c>
      <c r="AD4467" t="s">
        <v>3275</v>
      </c>
      <c r="AF4467" t="s">
        <v>3275</v>
      </c>
      <c r="AG4467" s="1" t="s">
        <v>11441</v>
      </c>
      <c r="AH4467" t="s">
        <v>44</v>
      </c>
    </row>
    <row r="4468" spans="1:34" x14ac:dyDescent="0.3">
      <c r="A4468">
        <v>101</v>
      </c>
      <c r="B4468" t="s">
        <v>34</v>
      </c>
      <c r="C4468">
        <v>2</v>
      </c>
      <c r="D4468" s="1" t="s">
        <v>11450</v>
      </c>
      <c r="E4468" s="1" t="s">
        <v>36</v>
      </c>
      <c r="G4468">
        <v>469499</v>
      </c>
      <c r="H4468" t="s">
        <v>11439</v>
      </c>
      <c r="I4468" t="s">
        <v>2413</v>
      </c>
      <c r="J4468">
        <v>30</v>
      </c>
      <c r="K4468">
        <v>2695</v>
      </c>
      <c r="L4468">
        <v>95000</v>
      </c>
      <c r="M4468" t="s">
        <v>69</v>
      </c>
      <c r="N4468">
        <v>691</v>
      </c>
      <c r="O4468" s="2">
        <v>46203</v>
      </c>
      <c r="P4468" s="2">
        <v>46329</v>
      </c>
      <c r="R4468" t="s">
        <v>11451</v>
      </c>
      <c r="S4468" t="str">
        <f>""</f>
        <v/>
      </c>
      <c r="T4468" t="s">
        <v>41</v>
      </c>
      <c r="U4468">
        <v>17438.91</v>
      </c>
      <c r="V4468">
        <v>17247.080000000002</v>
      </c>
      <c r="W4468">
        <v>17247.080000000002</v>
      </c>
      <c r="X4468">
        <v>0</v>
      </c>
      <c r="Y4468">
        <v>0</v>
      </c>
      <c r="Z4468">
        <v>-554</v>
      </c>
      <c r="AA4468">
        <v>692214</v>
      </c>
      <c r="AD4468" t="s">
        <v>3275</v>
      </c>
      <c r="AF4468" t="s">
        <v>3275</v>
      </c>
      <c r="AG4468" s="1" t="s">
        <v>11441</v>
      </c>
      <c r="AH4468" t="s">
        <v>44</v>
      </c>
    </row>
    <row r="4469" spans="1:34" x14ac:dyDescent="0.3">
      <c r="A4469">
        <v>101</v>
      </c>
      <c r="B4469" t="s">
        <v>34</v>
      </c>
      <c r="C4469">
        <v>2</v>
      </c>
      <c r="D4469" s="1" t="s">
        <v>11452</v>
      </c>
      <c r="E4469" s="1" t="s">
        <v>36</v>
      </c>
      <c r="G4469">
        <v>469814</v>
      </c>
      <c r="H4469" t="s">
        <v>11453</v>
      </c>
      <c r="I4469" t="s">
        <v>2413</v>
      </c>
      <c r="J4469">
        <v>30</v>
      </c>
      <c r="K4469">
        <v>2695</v>
      </c>
      <c r="L4469">
        <v>95000</v>
      </c>
      <c r="M4469" t="s">
        <v>69</v>
      </c>
      <c r="N4469">
        <v>691</v>
      </c>
      <c r="O4469" s="2">
        <v>46141</v>
      </c>
      <c r="P4469" s="2">
        <v>46255</v>
      </c>
      <c r="R4469" t="s">
        <v>11454</v>
      </c>
      <c r="S4469" t="str">
        <f>""</f>
        <v/>
      </c>
      <c r="T4469" t="s">
        <v>41</v>
      </c>
      <c r="U4469">
        <v>3055.35</v>
      </c>
      <c r="V4469">
        <v>3021.74</v>
      </c>
      <c r="W4469">
        <v>3021.74</v>
      </c>
      <c r="X4469">
        <v>0</v>
      </c>
      <c r="Y4469">
        <v>0</v>
      </c>
      <c r="Z4469">
        <v>-480</v>
      </c>
      <c r="AA4469">
        <v>686655</v>
      </c>
      <c r="AD4469" t="s">
        <v>3349</v>
      </c>
      <c r="AE4469">
        <v>1134115000</v>
      </c>
      <c r="AF4469" t="s">
        <v>3349</v>
      </c>
      <c r="AG4469" s="1" t="s">
        <v>11455</v>
      </c>
      <c r="AH4469" t="s">
        <v>44</v>
      </c>
    </row>
    <row r="4470" spans="1:34" x14ac:dyDescent="0.3">
      <c r="A4470">
        <v>101</v>
      </c>
      <c r="B4470" t="s">
        <v>34</v>
      </c>
      <c r="C4470">
        <v>2</v>
      </c>
      <c r="D4470" s="1" t="s">
        <v>11456</v>
      </c>
      <c r="E4470" s="1" t="s">
        <v>36</v>
      </c>
      <c r="G4470">
        <v>469814</v>
      </c>
      <c r="H4470" t="s">
        <v>11453</v>
      </c>
      <c r="I4470" t="s">
        <v>2413</v>
      </c>
      <c r="J4470">
        <v>30</v>
      </c>
      <c r="K4470">
        <v>2695</v>
      </c>
      <c r="L4470">
        <v>95000</v>
      </c>
      <c r="M4470" t="s">
        <v>69</v>
      </c>
      <c r="N4470">
        <v>691</v>
      </c>
      <c r="O4470" s="2">
        <v>46239</v>
      </c>
      <c r="P4470" s="2">
        <v>46349</v>
      </c>
      <c r="R4470" t="s">
        <v>11457</v>
      </c>
      <c r="S4470" t="str">
        <f>""</f>
        <v/>
      </c>
      <c r="T4470" t="s">
        <v>41</v>
      </c>
      <c r="U4470">
        <v>3765.27</v>
      </c>
      <c r="V4470">
        <v>3723.85</v>
      </c>
      <c r="W4470">
        <v>3723.85</v>
      </c>
      <c r="X4470">
        <v>0</v>
      </c>
      <c r="Y4470">
        <v>0</v>
      </c>
      <c r="Z4470">
        <v>-574</v>
      </c>
      <c r="AA4470">
        <v>696295</v>
      </c>
      <c r="AD4470" t="s">
        <v>3349</v>
      </c>
      <c r="AE4470">
        <v>1134115000</v>
      </c>
      <c r="AF4470" t="s">
        <v>3349</v>
      </c>
      <c r="AG4470" s="1" t="s">
        <v>11455</v>
      </c>
      <c r="AH4470" t="s">
        <v>44</v>
      </c>
    </row>
    <row r="4471" spans="1:34" x14ac:dyDescent="0.3">
      <c r="A4471">
        <v>101</v>
      </c>
      <c r="B4471" t="s">
        <v>34</v>
      </c>
      <c r="C4471">
        <v>2</v>
      </c>
      <c r="D4471" s="1" t="s">
        <v>11458</v>
      </c>
      <c r="E4471" s="1" t="s">
        <v>36</v>
      </c>
      <c r="G4471">
        <v>469814</v>
      </c>
      <c r="H4471" t="s">
        <v>11453</v>
      </c>
      <c r="I4471" t="s">
        <v>2413</v>
      </c>
      <c r="J4471">
        <v>30</v>
      </c>
      <c r="K4471">
        <v>2695</v>
      </c>
      <c r="L4471">
        <v>95000</v>
      </c>
      <c r="M4471" t="s">
        <v>69</v>
      </c>
      <c r="N4471">
        <v>691</v>
      </c>
      <c r="O4471" s="2">
        <v>46141</v>
      </c>
      <c r="P4471" s="2">
        <v>46255</v>
      </c>
      <c r="R4471" t="s">
        <v>11459</v>
      </c>
      <c r="S4471" t="str">
        <f>""</f>
        <v/>
      </c>
      <c r="T4471" t="s">
        <v>41</v>
      </c>
      <c r="U4471">
        <v>731.7</v>
      </c>
      <c r="V4471">
        <v>723.65</v>
      </c>
      <c r="W4471">
        <v>723.65</v>
      </c>
      <c r="X4471">
        <v>0</v>
      </c>
      <c r="Y4471">
        <v>0</v>
      </c>
      <c r="Z4471">
        <v>-480</v>
      </c>
      <c r="AA4471">
        <v>686934</v>
      </c>
      <c r="AD4471" t="s">
        <v>3349</v>
      </c>
      <c r="AE4471">
        <v>1134115000</v>
      </c>
      <c r="AF4471" t="s">
        <v>3349</v>
      </c>
      <c r="AG4471" s="1" t="s">
        <v>11455</v>
      </c>
      <c r="AH4471" t="s">
        <v>44</v>
      </c>
    </row>
    <row r="4472" spans="1:34" x14ac:dyDescent="0.3">
      <c r="A4472">
        <v>101</v>
      </c>
      <c r="B4472" t="s">
        <v>34</v>
      </c>
      <c r="C4472">
        <v>2</v>
      </c>
      <c r="D4472" s="1" t="s">
        <v>11460</v>
      </c>
      <c r="E4472" s="1" t="s">
        <v>36</v>
      </c>
      <c r="G4472">
        <v>469814</v>
      </c>
      <c r="H4472" t="s">
        <v>11453</v>
      </c>
      <c r="I4472" t="s">
        <v>2413</v>
      </c>
      <c r="J4472">
        <v>30</v>
      </c>
      <c r="K4472">
        <v>2695</v>
      </c>
      <c r="L4472">
        <v>95000</v>
      </c>
      <c r="M4472" t="s">
        <v>69</v>
      </c>
      <c r="N4472">
        <v>691</v>
      </c>
      <c r="O4472" s="2">
        <v>46199</v>
      </c>
      <c r="P4472" s="2">
        <v>46308</v>
      </c>
      <c r="R4472" t="s">
        <v>11461</v>
      </c>
      <c r="S4472" t="str">
        <f>""</f>
        <v/>
      </c>
      <c r="T4472" t="s">
        <v>41</v>
      </c>
      <c r="U4472">
        <v>7848.36</v>
      </c>
      <c r="V4472">
        <v>7762.03</v>
      </c>
      <c r="W4472">
        <v>7762.03</v>
      </c>
      <c r="X4472">
        <v>0</v>
      </c>
      <c r="Y4472">
        <v>0</v>
      </c>
      <c r="Z4472">
        <v>-533</v>
      </c>
      <c r="AA4472">
        <v>692218</v>
      </c>
      <c r="AD4472" t="s">
        <v>3349</v>
      </c>
      <c r="AE4472">
        <v>1134115000</v>
      </c>
      <c r="AF4472" t="s">
        <v>3349</v>
      </c>
      <c r="AG4472" s="1" t="s">
        <v>11455</v>
      </c>
      <c r="AH4472" t="s">
        <v>44</v>
      </c>
    </row>
    <row r="4473" spans="1:34" x14ac:dyDescent="0.3">
      <c r="A4473">
        <v>101</v>
      </c>
      <c r="B4473" t="s">
        <v>34</v>
      </c>
      <c r="C4473">
        <v>2</v>
      </c>
      <c r="D4473" s="1" t="s">
        <v>11462</v>
      </c>
      <c r="E4473" s="1" t="s">
        <v>36</v>
      </c>
      <c r="G4473">
        <v>469814</v>
      </c>
      <c r="H4473" t="s">
        <v>11453</v>
      </c>
      <c r="I4473" t="s">
        <v>2413</v>
      </c>
      <c r="J4473">
        <v>30</v>
      </c>
      <c r="K4473">
        <v>2695</v>
      </c>
      <c r="L4473">
        <v>95000</v>
      </c>
      <c r="M4473" t="s">
        <v>69</v>
      </c>
      <c r="N4473">
        <v>691</v>
      </c>
      <c r="O4473" s="2">
        <v>46170</v>
      </c>
      <c r="P4473" s="2">
        <v>46286</v>
      </c>
      <c r="R4473" t="s">
        <v>11463</v>
      </c>
      <c r="S4473" t="str">
        <f>""</f>
        <v/>
      </c>
      <c r="T4473" t="s">
        <v>41</v>
      </c>
      <c r="U4473">
        <v>3990.03</v>
      </c>
      <c r="V4473">
        <v>3946.14</v>
      </c>
      <c r="W4473">
        <v>3946.14</v>
      </c>
      <c r="X4473">
        <v>0</v>
      </c>
      <c r="Y4473">
        <v>0</v>
      </c>
      <c r="Z4473">
        <v>-511</v>
      </c>
      <c r="AA4473">
        <v>689256</v>
      </c>
      <c r="AD4473" t="s">
        <v>3349</v>
      </c>
      <c r="AE4473">
        <v>1134115000</v>
      </c>
      <c r="AF4473" t="s">
        <v>3349</v>
      </c>
      <c r="AG4473" s="1" t="s">
        <v>11455</v>
      </c>
      <c r="AH4473" t="s">
        <v>44</v>
      </c>
    </row>
    <row r="4474" spans="1:34" x14ac:dyDescent="0.3">
      <c r="A4474">
        <v>101</v>
      </c>
      <c r="B4474" t="s">
        <v>34</v>
      </c>
      <c r="C4474">
        <v>2</v>
      </c>
      <c r="D4474" s="1" t="s">
        <v>11464</v>
      </c>
      <c r="E4474" s="1" t="s">
        <v>36</v>
      </c>
      <c r="G4474">
        <v>469814</v>
      </c>
      <c r="H4474" t="s">
        <v>11453</v>
      </c>
      <c r="I4474" t="s">
        <v>2413</v>
      </c>
      <c r="J4474">
        <v>30</v>
      </c>
      <c r="K4474">
        <v>2695</v>
      </c>
      <c r="L4474">
        <v>95000</v>
      </c>
      <c r="M4474" t="s">
        <v>69</v>
      </c>
      <c r="N4474">
        <v>691</v>
      </c>
      <c r="O4474" s="2">
        <v>46171</v>
      </c>
      <c r="P4474" s="2">
        <v>46286</v>
      </c>
      <c r="R4474" t="s">
        <v>11465</v>
      </c>
      <c r="S4474" t="str">
        <f>""</f>
        <v/>
      </c>
      <c r="T4474" t="s">
        <v>41</v>
      </c>
      <c r="U4474">
        <v>2134.8000000000002</v>
      </c>
      <c r="V4474">
        <v>2111.3200000000002</v>
      </c>
      <c r="W4474">
        <v>2111.3200000000002</v>
      </c>
      <c r="X4474">
        <v>0</v>
      </c>
      <c r="Y4474">
        <v>0</v>
      </c>
      <c r="Z4474">
        <v>-511</v>
      </c>
      <c r="AA4474">
        <v>689256</v>
      </c>
      <c r="AD4474" t="s">
        <v>3349</v>
      </c>
      <c r="AE4474">
        <v>1134115000</v>
      </c>
      <c r="AF4474" t="s">
        <v>3349</v>
      </c>
      <c r="AG4474" s="1" t="s">
        <v>11455</v>
      </c>
      <c r="AH4474" t="s">
        <v>44</v>
      </c>
    </row>
    <row r="4475" spans="1:34" x14ac:dyDescent="0.3">
      <c r="A4475">
        <v>101</v>
      </c>
      <c r="B4475" t="s">
        <v>34</v>
      </c>
      <c r="C4475">
        <v>2</v>
      </c>
      <c r="D4475" s="1" t="s">
        <v>11466</v>
      </c>
      <c r="E4475" s="1" t="s">
        <v>36</v>
      </c>
      <c r="G4475">
        <v>469814</v>
      </c>
      <c r="H4475" t="s">
        <v>11453</v>
      </c>
      <c r="I4475" t="s">
        <v>2413</v>
      </c>
      <c r="J4475">
        <v>30</v>
      </c>
      <c r="K4475">
        <v>2695</v>
      </c>
      <c r="L4475">
        <v>95000</v>
      </c>
      <c r="M4475" t="s">
        <v>69</v>
      </c>
      <c r="N4475">
        <v>691</v>
      </c>
      <c r="O4475" s="2">
        <v>46199</v>
      </c>
      <c r="P4475" s="2">
        <v>46308</v>
      </c>
      <c r="R4475" t="s">
        <v>11467</v>
      </c>
      <c r="S4475" t="str">
        <f>""</f>
        <v/>
      </c>
      <c r="T4475" t="s">
        <v>41</v>
      </c>
      <c r="U4475">
        <v>862.26</v>
      </c>
      <c r="V4475">
        <v>852.78</v>
      </c>
      <c r="W4475">
        <v>852.78</v>
      </c>
      <c r="X4475">
        <v>0</v>
      </c>
      <c r="Y4475">
        <v>0</v>
      </c>
      <c r="Z4475">
        <v>-533</v>
      </c>
      <c r="AA4475">
        <v>692855</v>
      </c>
      <c r="AD4475" t="s">
        <v>3349</v>
      </c>
      <c r="AE4475">
        <v>1134115000</v>
      </c>
      <c r="AF4475" t="s">
        <v>3349</v>
      </c>
      <c r="AG4475" s="1" t="s">
        <v>11455</v>
      </c>
      <c r="AH4475" t="s">
        <v>44</v>
      </c>
    </row>
    <row r="4476" spans="1:34" x14ac:dyDescent="0.3">
      <c r="A4476">
        <v>101</v>
      </c>
      <c r="B4476" t="s">
        <v>34</v>
      </c>
      <c r="C4476">
        <v>2</v>
      </c>
      <c r="D4476" s="1" t="s">
        <v>11468</v>
      </c>
      <c r="E4476" s="1" t="s">
        <v>36</v>
      </c>
      <c r="G4476">
        <v>469814</v>
      </c>
      <c r="H4476" t="s">
        <v>11453</v>
      </c>
      <c r="I4476" t="s">
        <v>2413</v>
      </c>
      <c r="J4476">
        <v>30</v>
      </c>
      <c r="K4476">
        <v>2695</v>
      </c>
      <c r="L4476">
        <v>95000</v>
      </c>
      <c r="M4476" t="s">
        <v>69</v>
      </c>
      <c r="N4476">
        <v>691</v>
      </c>
      <c r="O4476" s="2">
        <v>46226</v>
      </c>
      <c r="P4476" s="2">
        <v>46349</v>
      </c>
      <c r="R4476" t="s">
        <v>11469</v>
      </c>
      <c r="S4476" t="str">
        <f>""</f>
        <v/>
      </c>
      <c r="T4476" t="s">
        <v>41</v>
      </c>
      <c r="U4476">
        <v>5862.54</v>
      </c>
      <c r="V4476">
        <v>5798.05</v>
      </c>
      <c r="W4476">
        <v>5798.05</v>
      </c>
      <c r="X4476">
        <v>0</v>
      </c>
      <c r="Y4476">
        <v>0</v>
      </c>
      <c r="Z4476">
        <v>-574</v>
      </c>
      <c r="AA4476">
        <v>695063</v>
      </c>
      <c r="AD4476" t="s">
        <v>3349</v>
      </c>
      <c r="AE4476">
        <v>1134115000</v>
      </c>
      <c r="AF4476" t="s">
        <v>3349</v>
      </c>
      <c r="AG4476" s="1" t="s">
        <v>11455</v>
      </c>
      <c r="AH4476" t="s">
        <v>44</v>
      </c>
    </row>
    <row r="4477" spans="1:34" x14ac:dyDescent="0.3">
      <c r="A4477">
        <v>101</v>
      </c>
      <c r="B4477" t="s">
        <v>34</v>
      </c>
      <c r="C4477">
        <v>2</v>
      </c>
      <c r="D4477" s="1" t="s">
        <v>11470</v>
      </c>
      <c r="E4477" s="1" t="s">
        <v>36</v>
      </c>
      <c r="G4477">
        <v>469908</v>
      </c>
      <c r="H4477" t="s">
        <v>11471</v>
      </c>
      <c r="I4477" t="s">
        <v>2413</v>
      </c>
      <c r="J4477">
        <v>30</v>
      </c>
      <c r="K4477">
        <v>2695</v>
      </c>
      <c r="L4477">
        <v>95000</v>
      </c>
      <c r="M4477" t="s">
        <v>69</v>
      </c>
      <c r="N4477">
        <v>691</v>
      </c>
      <c r="O4477" s="2">
        <v>46199</v>
      </c>
      <c r="P4477" s="2">
        <v>46289</v>
      </c>
      <c r="R4477" t="s">
        <v>11472</v>
      </c>
      <c r="S4477" t="str">
        <f>""</f>
        <v/>
      </c>
      <c r="T4477" t="s">
        <v>41</v>
      </c>
      <c r="U4477">
        <v>1965.06</v>
      </c>
      <c r="V4477">
        <v>1943.44</v>
      </c>
      <c r="W4477">
        <v>1943.44</v>
      </c>
      <c r="X4477">
        <v>0</v>
      </c>
      <c r="Y4477">
        <v>0</v>
      </c>
      <c r="Z4477">
        <v>-514</v>
      </c>
      <c r="AA4477">
        <v>692216</v>
      </c>
      <c r="AD4477" t="s">
        <v>3228</v>
      </c>
      <c r="AE4477" t="s">
        <v>9597</v>
      </c>
      <c r="AF4477" t="s">
        <v>3228</v>
      </c>
      <c r="AG4477" s="1" t="s">
        <v>11473</v>
      </c>
      <c r="AH4477" t="s">
        <v>44</v>
      </c>
    </row>
    <row r="4478" spans="1:34" x14ac:dyDescent="0.3">
      <c r="A4478">
        <v>101</v>
      </c>
      <c r="B4478" t="s">
        <v>34</v>
      </c>
      <c r="C4478">
        <v>2</v>
      </c>
      <c r="D4478" s="1" t="s">
        <v>11474</v>
      </c>
      <c r="E4478" s="1" t="s">
        <v>36</v>
      </c>
      <c r="G4478">
        <v>469908</v>
      </c>
      <c r="H4478" t="s">
        <v>11471</v>
      </c>
      <c r="I4478" t="s">
        <v>2413</v>
      </c>
      <c r="J4478">
        <v>30</v>
      </c>
      <c r="K4478">
        <v>2695</v>
      </c>
      <c r="L4478">
        <v>95000</v>
      </c>
      <c r="M4478" t="s">
        <v>69</v>
      </c>
      <c r="N4478">
        <v>691</v>
      </c>
      <c r="O4478" s="2">
        <v>46226</v>
      </c>
      <c r="P4478" s="2">
        <v>46349</v>
      </c>
      <c r="R4478" t="s">
        <v>11475</v>
      </c>
      <c r="S4478" t="str">
        <f>""</f>
        <v/>
      </c>
      <c r="T4478" t="s">
        <v>41</v>
      </c>
      <c r="U4478">
        <v>9992.09</v>
      </c>
      <c r="V4478">
        <v>9882.18</v>
      </c>
      <c r="W4478">
        <v>9882.18</v>
      </c>
      <c r="X4478">
        <v>0</v>
      </c>
      <c r="Y4478">
        <v>0</v>
      </c>
      <c r="Z4478">
        <v>-574</v>
      </c>
      <c r="AA4478">
        <v>695061</v>
      </c>
      <c r="AD4478" t="s">
        <v>3228</v>
      </c>
      <c r="AE4478" t="s">
        <v>9597</v>
      </c>
      <c r="AF4478" t="s">
        <v>3228</v>
      </c>
      <c r="AG4478" s="1" t="s">
        <v>11473</v>
      </c>
      <c r="AH4478" t="s">
        <v>44</v>
      </c>
    </row>
    <row r="4479" spans="1:34" x14ac:dyDescent="0.3">
      <c r="A4479">
        <v>101</v>
      </c>
      <c r="B4479" t="s">
        <v>34</v>
      </c>
      <c r="C4479">
        <v>2</v>
      </c>
      <c r="D4479" s="1" t="s">
        <v>11476</v>
      </c>
      <c r="E4479" s="1" t="s">
        <v>36</v>
      </c>
      <c r="G4479">
        <v>469908</v>
      </c>
      <c r="H4479" t="s">
        <v>11471</v>
      </c>
      <c r="I4479" t="s">
        <v>2413</v>
      </c>
      <c r="J4479">
        <v>30</v>
      </c>
      <c r="K4479">
        <v>2695</v>
      </c>
      <c r="L4479">
        <v>95000</v>
      </c>
      <c r="M4479" t="s">
        <v>69</v>
      </c>
      <c r="N4479">
        <v>691</v>
      </c>
      <c r="O4479" s="2">
        <v>46171</v>
      </c>
      <c r="P4479" s="2">
        <v>46286</v>
      </c>
      <c r="R4479" t="s">
        <v>11477</v>
      </c>
      <c r="S4479" t="str">
        <f>""</f>
        <v/>
      </c>
      <c r="T4479" t="s">
        <v>41</v>
      </c>
      <c r="U4479">
        <v>2134.8000000000002</v>
      </c>
      <c r="V4479">
        <v>2111.3200000000002</v>
      </c>
      <c r="W4479">
        <v>2111.3200000000002</v>
      </c>
      <c r="X4479">
        <v>0</v>
      </c>
      <c r="Y4479">
        <v>0</v>
      </c>
      <c r="Z4479">
        <v>-511</v>
      </c>
      <c r="AA4479">
        <v>689254</v>
      </c>
      <c r="AD4479" t="s">
        <v>3228</v>
      </c>
      <c r="AE4479" t="s">
        <v>9597</v>
      </c>
      <c r="AF4479" t="s">
        <v>3228</v>
      </c>
      <c r="AG4479" s="1" t="s">
        <v>11473</v>
      </c>
      <c r="AH4479" t="s">
        <v>44</v>
      </c>
    </row>
    <row r="4480" spans="1:34" x14ac:dyDescent="0.3">
      <c r="A4480">
        <v>101</v>
      </c>
      <c r="B4480" t="s">
        <v>34</v>
      </c>
      <c r="C4480">
        <v>2</v>
      </c>
      <c r="D4480" s="1" t="s">
        <v>11478</v>
      </c>
      <c r="E4480" s="1" t="s">
        <v>36</v>
      </c>
      <c r="G4480">
        <v>469908</v>
      </c>
      <c r="H4480" t="s">
        <v>11471</v>
      </c>
      <c r="I4480" t="s">
        <v>2413</v>
      </c>
      <c r="J4480">
        <v>30</v>
      </c>
      <c r="K4480">
        <v>2695</v>
      </c>
      <c r="L4480">
        <v>95000</v>
      </c>
      <c r="M4480" t="s">
        <v>69</v>
      </c>
      <c r="N4480">
        <v>691</v>
      </c>
      <c r="O4480" s="2">
        <v>46170</v>
      </c>
      <c r="P4480" s="2">
        <v>46286</v>
      </c>
      <c r="R4480" t="s">
        <v>11479</v>
      </c>
      <c r="S4480" t="str">
        <f>""</f>
        <v/>
      </c>
      <c r="T4480" t="s">
        <v>41</v>
      </c>
      <c r="U4480">
        <v>8109.95</v>
      </c>
      <c r="V4480">
        <v>8020.74</v>
      </c>
      <c r="W4480">
        <v>8020.74</v>
      </c>
      <c r="X4480">
        <v>0</v>
      </c>
      <c r="Y4480">
        <v>0</v>
      </c>
      <c r="Z4480">
        <v>-511</v>
      </c>
      <c r="AA4480">
        <v>689254</v>
      </c>
      <c r="AD4480" t="s">
        <v>3228</v>
      </c>
      <c r="AE4480" t="s">
        <v>9597</v>
      </c>
      <c r="AF4480" t="s">
        <v>3228</v>
      </c>
      <c r="AG4480" s="1" t="s">
        <v>11473</v>
      </c>
      <c r="AH4480" t="s">
        <v>44</v>
      </c>
    </row>
    <row r="4481" spans="1:34" x14ac:dyDescent="0.3">
      <c r="A4481">
        <v>101</v>
      </c>
      <c r="B4481" t="s">
        <v>34</v>
      </c>
      <c r="C4481">
        <v>2</v>
      </c>
      <c r="D4481" s="1" t="s">
        <v>11480</v>
      </c>
      <c r="E4481" s="1" t="s">
        <v>36</v>
      </c>
      <c r="G4481">
        <v>469908</v>
      </c>
      <c r="H4481" t="s">
        <v>11471</v>
      </c>
      <c r="I4481" t="s">
        <v>2413</v>
      </c>
      <c r="J4481">
        <v>30</v>
      </c>
      <c r="K4481">
        <v>2695</v>
      </c>
      <c r="L4481">
        <v>95000</v>
      </c>
      <c r="M4481" t="s">
        <v>69</v>
      </c>
      <c r="N4481">
        <v>691</v>
      </c>
      <c r="O4481" s="2">
        <v>46141</v>
      </c>
      <c r="P4481" s="2">
        <v>46255</v>
      </c>
      <c r="R4481" t="s">
        <v>11481</v>
      </c>
      <c r="S4481" t="str">
        <f>""</f>
        <v/>
      </c>
      <c r="T4481" t="s">
        <v>41</v>
      </c>
      <c r="U4481">
        <v>7616.76</v>
      </c>
      <c r="V4481">
        <v>7532.98</v>
      </c>
      <c r="W4481">
        <v>7532.98</v>
      </c>
      <c r="X4481">
        <v>0</v>
      </c>
      <c r="Y4481">
        <v>0</v>
      </c>
      <c r="Z4481">
        <v>-480</v>
      </c>
      <c r="AA4481">
        <v>686653</v>
      </c>
      <c r="AD4481" t="s">
        <v>3228</v>
      </c>
      <c r="AE4481" t="s">
        <v>9597</v>
      </c>
      <c r="AF4481" t="s">
        <v>3228</v>
      </c>
      <c r="AG4481" s="1" t="s">
        <v>11473</v>
      </c>
      <c r="AH4481" t="s">
        <v>44</v>
      </c>
    </row>
    <row r="4482" spans="1:34" x14ac:dyDescent="0.3">
      <c r="A4482">
        <v>101</v>
      </c>
      <c r="B4482" t="s">
        <v>34</v>
      </c>
      <c r="C4482">
        <v>2</v>
      </c>
      <c r="D4482" s="1" t="s">
        <v>11482</v>
      </c>
      <c r="E4482" s="1" t="s">
        <v>36</v>
      </c>
      <c r="G4482">
        <v>469908</v>
      </c>
      <c r="H4482" t="s">
        <v>11471</v>
      </c>
      <c r="I4482" t="s">
        <v>2413</v>
      </c>
      <c r="J4482">
        <v>30</v>
      </c>
      <c r="K4482">
        <v>2695</v>
      </c>
      <c r="L4482">
        <v>95000</v>
      </c>
      <c r="M4482" t="s">
        <v>69</v>
      </c>
      <c r="N4482">
        <v>691</v>
      </c>
      <c r="O4482" s="2">
        <v>46141</v>
      </c>
      <c r="P4482" s="2">
        <v>46255</v>
      </c>
      <c r="R4482" t="s">
        <v>11483</v>
      </c>
      <c r="S4482" t="str">
        <f>""</f>
        <v/>
      </c>
      <c r="T4482" t="s">
        <v>41</v>
      </c>
      <c r="U4482">
        <v>3592.72</v>
      </c>
      <c r="V4482">
        <v>3553.2</v>
      </c>
      <c r="W4482">
        <v>3553.2</v>
      </c>
      <c r="X4482">
        <v>0</v>
      </c>
      <c r="Y4482">
        <v>0</v>
      </c>
      <c r="Z4482">
        <v>-480</v>
      </c>
      <c r="AA4482">
        <v>686932</v>
      </c>
      <c r="AD4482" t="s">
        <v>3228</v>
      </c>
      <c r="AE4482" t="s">
        <v>9597</v>
      </c>
      <c r="AF4482" t="s">
        <v>3228</v>
      </c>
      <c r="AG4482" s="1" t="s">
        <v>11473</v>
      </c>
      <c r="AH4482" t="s">
        <v>44</v>
      </c>
    </row>
    <row r="4483" spans="1:34" x14ac:dyDescent="0.3">
      <c r="A4483">
        <v>101</v>
      </c>
      <c r="B4483" t="s">
        <v>34</v>
      </c>
      <c r="C4483">
        <v>2</v>
      </c>
      <c r="D4483" s="1" t="s">
        <v>11484</v>
      </c>
      <c r="E4483" s="1" t="s">
        <v>36</v>
      </c>
      <c r="G4483">
        <v>469908</v>
      </c>
      <c r="H4483" t="s">
        <v>11471</v>
      </c>
      <c r="I4483" t="s">
        <v>2413</v>
      </c>
      <c r="J4483">
        <v>30</v>
      </c>
      <c r="K4483">
        <v>2695</v>
      </c>
      <c r="L4483">
        <v>95000</v>
      </c>
      <c r="M4483" t="s">
        <v>69</v>
      </c>
      <c r="N4483">
        <v>691</v>
      </c>
      <c r="O4483" s="2">
        <v>46239</v>
      </c>
      <c r="P4483" s="2">
        <v>46349</v>
      </c>
      <c r="R4483" t="s">
        <v>11485</v>
      </c>
      <c r="S4483" t="str">
        <f>""</f>
        <v/>
      </c>
      <c r="T4483" t="s">
        <v>41</v>
      </c>
      <c r="U4483">
        <v>3237.75</v>
      </c>
      <c r="V4483">
        <v>3202.13</v>
      </c>
      <c r="W4483">
        <v>3202.13</v>
      </c>
      <c r="X4483">
        <v>0</v>
      </c>
      <c r="Y4483">
        <v>0</v>
      </c>
      <c r="Z4483">
        <v>-574</v>
      </c>
      <c r="AA4483">
        <v>696293</v>
      </c>
      <c r="AD4483" t="s">
        <v>3228</v>
      </c>
      <c r="AE4483" t="s">
        <v>9597</v>
      </c>
      <c r="AF4483" t="s">
        <v>3228</v>
      </c>
      <c r="AG4483" s="1" t="s">
        <v>11473</v>
      </c>
      <c r="AH4483" t="s">
        <v>44</v>
      </c>
    </row>
    <row r="4484" spans="1:34" x14ac:dyDescent="0.3">
      <c r="A4484">
        <v>101</v>
      </c>
      <c r="B4484" t="s">
        <v>34</v>
      </c>
      <c r="C4484">
        <v>2</v>
      </c>
      <c r="D4484" s="1" t="s">
        <v>11486</v>
      </c>
      <c r="E4484" s="1" t="s">
        <v>36</v>
      </c>
      <c r="G4484">
        <v>469998</v>
      </c>
      <c r="H4484" t="s">
        <v>11487</v>
      </c>
      <c r="I4484" t="s">
        <v>2413</v>
      </c>
      <c r="J4484">
        <v>30</v>
      </c>
      <c r="K4484">
        <v>2695</v>
      </c>
      <c r="L4484">
        <v>95000</v>
      </c>
      <c r="M4484" t="s">
        <v>69</v>
      </c>
      <c r="N4484">
        <v>691</v>
      </c>
      <c r="O4484" s="2">
        <v>46141</v>
      </c>
      <c r="P4484" s="2">
        <v>46266</v>
      </c>
      <c r="R4484" t="s">
        <v>11488</v>
      </c>
      <c r="S4484" t="str">
        <f>""</f>
        <v/>
      </c>
      <c r="T4484" t="s">
        <v>41</v>
      </c>
      <c r="U4484">
        <v>4241.54</v>
      </c>
      <c r="V4484">
        <v>4194.88</v>
      </c>
      <c r="W4484">
        <v>4194.88</v>
      </c>
      <c r="X4484">
        <v>0</v>
      </c>
      <c r="Y4484">
        <v>0</v>
      </c>
      <c r="Z4484">
        <v>-491</v>
      </c>
      <c r="AA4484">
        <v>686763</v>
      </c>
      <c r="AD4484" t="s">
        <v>8656</v>
      </c>
      <c r="AE4484" t="s">
        <v>9713</v>
      </c>
      <c r="AF4484" t="s">
        <v>8656</v>
      </c>
      <c r="AG4484" s="1" t="s">
        <v>11489</v>
      </c>
      <c r="AH4484" t="s">
        <v>44</v>
      </c>
    </row>
    <row r="4485" spans="1:34" x14ac:dyDescent="0.3">
      <c r="A4485">
        <v>101</v>
      </c>
      <c r="B4485" t="s">
        <v>34</v>
      </c>
      <c r="C4485">
        <v>2</v>
      </c>
      <c r="D4485" s="1" t="s">
        <v>11490</v>
      </c>
      <c r="E4485" s="1" t="s">
        <v>36</v>
      </c>
      <c r="G4485">
        <v>469998</v>
      </c>
      <c r="H4485" t="s">
        <v>11487</v>
      </c>
      <c r="I4485" t="s">
        <v>2413</v>
      </c>
      <c r="J4485">
        <v>30</v>
      </c>
      <c r="K4485">
        <v>2695</v>
      </c>
      <c r="L4485">
        <v>95000</v>
      </c>
      <c r="M4485" t="s">
        <v>69</v>
      </c>
      <c r="N4485">
        <v>691</v>
      </c>
      <c r="O4485" s="2">
        <v>46185</v>
      </c>
      <c r="P4485" s="2">
        <v>46296</v>
      </c>
      <c r="R4485" t="s">
        <v>11491</v>
      </c>
      <c r="S4485" t="str">
        <f>""</f>
        <v/>
      </c>
      <c r="T4485" t="s">
        <v>41</v>
      </c>
      <c r="U4485">
        <v>2134.8000000000002</v>
      </c>
      <c r="V4485">
        <v>2111.3200000000002</v>
      </c>
      <c r="W4485">
        <v>2111.3200000000002</v>
      </c>
      <c r="X4485">
        <v>0</v>
      </c>
      <c r="Y4485">
        <v>0</v>
      </c>
      <c r="Z4485">
        <v>-521</v>
      </c>
      <c r="AA4485">
        <v>689362</v>
      </c>
      <c r="AD4485" t="s">
        <v>8656</v>
      </c>
      <c r="AE4485" t="s">
        <v>9713</v>
      </c>
      <c r="AF4485" t="s">
        <v>8656</v>
      </c>
      <c r="AG4485" s="1" t="s">
        <v>11489</v>
      </c>
      <c r="AH4485" t="s">
        <v>44</v>
      </c>
    </row>
    <row r="4486" spans="1:34" x14ac:dyDescent="0.3">
      <c r="A4486">
        <v>101</v>
      </c>
      <c r="B4486" t="s">
        <v>34</v>
      </c>
      <c r="C4486">
        <v>2</v>
      </c>
      <c r="D4486" s="1" t="s">
        <v>11492</v>
      </c>
      <c r="E4486" s="1" t="s">
        <v>36</v>
      </c>
      <c r="G4486">
        <v>469998</v>
      </c>
      <c r="H4486" t="s">
        <v>11487</v>
      </c>
      <c r="I4486" t="s">
        <v>2413</v>
      </c>
      <c r="J4486">
        <v>30</v>
      </c>
      <c r="K4486">
        <v>2695</v>
      </c>
      <c r="L4486">
        <v>95000</v>
      </c>
      <c r="M4486" t="s">
        <v>69</v>
      </c>
      <c r="N4486">
        <v>691</v>
      </c>
      <c r="O4486" s="2">
        <v>46170</v>
      </c>
      <c r="P4486" s="2">
        <v>46296</v>
      </c>
      <c r="R4486" t="s">
        <v>11493</v>
      </c>
      <c r="S4486" t="str">
        <f>""</f>
        <v/>
      </c>
      <c r="T4486" t="s">
        <v>41</v>
      </c>
      <c r="U4486">
        <v>4690.79</v>
      </c>
      <c r="V4486">
        <v>4639.1899999999996</v>
      </c>
      <c r="W4486">
        <v>4639.1899999999996</v>
      </c>
      <c r="X4486">
        <v>0</v>
      </c>
      <c r="Y4486">
        <v>0</v>
      </c>
      <c r="Z4486">
        <v>-521</v>
      </c>
      <c r="AA4486">
        <v>689362</v>
      </c>
      <c r="AD4486" t="s">
        <v>8656</v>
      </c>
      <c r="AE4486" t="s">
        <v>9713</v>
      </c>
      <c r="AF4486" t="s">
        <v>8656</v>
      </c>
      <c r="AG4486" s="1" t="s">
        <v>11489</v>
      </c>
      <c r="AH4486" t="s">
        <v>44</v>
      </c>
    </row>
    <row r="4487" spans="1:34" x14ac:dyDescent="0.3">
      <c r="A4487">
        <v>101</v>
      </c>
      <c r="B4487" t="s">
        <v>34</v>
      </c>
      <c r="C4487">
        <v>2</v>
      </c>
      <c r="D4487" s="1" t="s">
        <v>11494</v>
      </c>
      <c r="E4487" s="1" t="s">
        <v>36</v>
      </c>
      <c r="G4487">
        <v>469998</v>
      </c>
      <c r="H4487" t="s">
        <v>11487</v>
      </c>
      <c r="I4487" t="s">
        <v>2413</v>
      </c>
      <c r="J4487">
        <v>30</v>
      </c>
      <c r="K4487">
        <v>2695</v>
      </c>
      <c r="L4487">
        <v>95000</v>
      </c>
      <c r="M4487" t="s">
        <v>69</v>
      </c>
      <c r="N4487">
        <v>691</v>
      </c>
      <c r="O4487" s="2">
        <v>46199</v>
      </c>
      <c r="P4487" s="2">
        <v>46329</v>
      </c>
      <c r="R4487" t="s">
        <v>11495</v>
      </c>
      <c r="S4487" t="str">
        <f>""</f>
        <v/>
      </c>
      <c r="T4487" t="s">
        <v>41</v>
      </c>
      <c r="U4487">
        <v>10225.36</v>
      </c>
      <c r="V4487">
        <v>10112.879999999999</v>
      </c>
      <c r="W4487">
        <v>10112.879999999999</v>
      </c>
      <c r="X4487">
        <v>0</v>
      </c>
      <c r="Y4487">
        <v>0</v>
      </c>
      <c r="Z4487">
        <v>-554</v>
      </c>
      <c r="AA4487">
        <v>692322</v>
      </c>
      <c r="AD4487" t="s">
        <v>8656</v>
      </c>
      <c r="AE4487" t="s">
        <v>9713</v>
      </c>
      <c r="AF4487" t="s">
        <v>8656</v>
      </c>
      <c r="AG4487" s="1" t="s">
        <v>11489</v>
      </c>
      <c r="AH4487" t="s">
        <v>44</v>
      </c>
    </row>
    <row r="4488" spans="1:34" x14ac:dyDescent="0.3">
      <c r="A4488">
        <v>101</v>
      </c>
      <c r="B4488" t="s">
        <v>34</v>
      </c>
      <c r="C4488">
        <v>2</v>
      </c>
      <c r="D4488" s="1" t="s">
        <v>11496</v>
      </c>
      <c r="E4488" s="1" t="s">
        <v>36</v>
      </c>
      <c r="G4488">
        <v>469998</v>
      </c>
      <c r="H4488" t="s">
        <v>11487</v>
      </c>
      <c r="I4488" t="s">
        <v>2413</v>
      </c>
      <c r="J4488">
        <v>30</v>
      </c>
      <c r="K4488">
        <v>2695</v>
      </c>
      <c r="L4488">
        <v>95000</v>
      </c>
      <c r="M4488" t="s">
        <v>69</v>
      </c>
      <c r="N4488">
        <v>691</v>
      </c>
      <c r="O4488" s="2">
        <v>46141</v>
      </c>
      <c r="P4488" s="2">
        <v>46266</v>
      </c>
      <c r="R4488" t="s">
        <v>11497</v>
      </c>
      <c r="S4488" t="str">
        <f>""</f>
        <v/>
      </c>
      <c r="T4488" t="s">
        <v>41</v>
      </c>
      <c r="U4488">
        <v>4324.42</v>
      </c>
      <c r="V4488">
        <v>4276.8500000000004</v>
      </c>
      <c r="W4488">
        <v>4276.8500000000004</v>
      </c>
      <c r="X4488">
        <v>0</v>
      </c>
      <c r="Y4488">
        <v>0</v>
      </c>
      <c r="Z4488">
        <v>-491</v>
      </c>
      <c r="AA4488">
        <v>686971</v>
      </c>
      <c r="AD4488" t="s">
        <v>8656</v>
      </c>
      <c r="AE4488" t="s">
        <v>9713</v>
      </c>
      <c r="AF4488" t="s">
        <v>8656</v>
      </c>
      <c r="AG4488" s="1" t="s">
        <v>11489</v>
      </c>
      <c r="AH4488" t="s">
        <v>44</v>
      </c>
    </row>
    <row r="4489" spans="1:34" x14ac:dyDescent="0.3">
      <c r="A4489">
        <v>101</v>
      </c>
      <c r="B4489" t="s">
        <v>34</v>
      </c>
      <c r="C4489">
        <v>2</v>
      </c>
      <c r="D4489" s="1" t="s">
        <v>11498</v>
      </c>
      <c r="E4489" s="1" t="s">
        <v>36</v>
      </c>
      <c r="G4489">
        <v>469998</v>
      </c>
      <c r="H4489" t="s">
        <v>11487</v>
      </c>
      <c r="I4489" t="s">
        <v>2413</v>
      </c>
      <c r="J4489">
        <v>30</v>
      </c>
      <c r="K4489">
        <v>2695</v>
      </c>
      <c r="L4489">
        <v>95000</v>
      </c>
      <c r="M4489" t="s">
        <v>69</v>
      </c>
      <c r="N4489">
        <v>691</v>
      </c>
      <c r="O4489" s="2">
        <v>46226</v>
      </c>
      <c r="P4489" s="2">
        <v>46349</v>
      </c>
      <c r="R4489" t="s">
        <v>11499</v>
      </c>
      <c r="S4489" t="str">
        <f>""</f>
        <v/>
      </c>
      <c r="T4489" t="s">
        <v>41</v>
      </c>
      <c r="U4489">
        <v>11046.61</v>
      </c>
      <c r="V4489">
        <v>10925.1</v>
      </c>
      <c r="W4489">
        <v>10925.1</v>
      </c>
      <c r="X4489">
        <v>0</v>
      </c>
      <c r="Y4489">
        <v>0</v>
      </c>
      <c r="Z4489">
        <v>-574</v>
      </c>
      <c r="AA4489">
        <v>695059</v>
      </c>
      <c r="AD4489" t="s">
        <v>8656</v>
      </c>
      <c r="AE4489" t="s">
        <v>9713</v>
      </c>
      <c r="AF4489" t="s">
        <v>8656</v>
      </c>
      <c r="AG4489" s="1" t="s">
        <v>11489</v>
      </c>
      <c r="AH4489" t="s">
        <v>44</v>
      </c>
    </row>
    <row r="4490" spans="1:34" x14ac:dyDescent="0.3">
      <c r="A4490">
        <v>101</v>
      </c>
      <c r="B4490" t="s">
        <v>34</v>
      </c>
      <c r="C4490">
        <v>2</v>
      </c>
      <c r="D4490" s="1" t="s">
        <v>11500</v>
      </c>
      <c r="E4490" s="1" t="s">
        <v>36</v>
      </c>
      <c r="G4490">
        <v>470077</v>
      </c>
      <c r="H4490" t="s">
        <v>11501</v>
      </c>
      <c r="I4490" t="s">
        <v>2413</v>
      </c>
      <c r="J4490">
        <v>30</v>
      </c>
      <c r="K4490">
        <v>2695</v>
      </c>
      <c r="L4490">
        <v>95000</v>
      </c>
      <c r="M4490" t="s">
        <v>69</v>
      </c>
      <c r="N4490">
        <v>691</v>
      </c>
      <c r="O4490" s="2">
        <v>46141</v>
      </c>
      <c r="P4490" s="2">
        <v>46266</v>
      </c>
      <c r="R4490" t="s">
        <v>11502</v>
      </c>
      <c r="S4490" t="str">
        <f>""</f>
        <v/>
      </c>
      <c r="T4490" t="s">
        <v>41</v>
      </c>
      <c r="U4490">
        <v>4324.42</v>
      </c>
      <c r="V4490">
        <v>4276.8500000000004</v>
      </c>
      <c r="W4490">
        <v>4276.8500000000004</v>
      </c>
      <c r="X4490">
        <v>0</v>
      </c>
      <c r="Y4490">
        <v>0</v>
      </c>
      <c r="Z4490">
        <v>-491</v>
      </c>
      <c r="AA4490">
        <v>686969</v>
      </c>
      <c r="AD4490" t="s">
        <v>3301</v>
      </c>
      <c r="AE4490" t="s">
        <v>5778</v>
      </c>
      <c r="AF4490" t="s">
        <v>3301</v>
      </c>
      <c r="AG4490" s="1" t="s">
        <v>11503</v>
      </c>
      <c r="AH4490" t="s">
        <v>44</v>
      </c>
    </row>
    <row r="4491" spans="1:34" x14ac:dyDescent="0.3">
      <c r="A4491">
        <v>101</v>
      </c>
      <c r="B4491" t="s">
        <v>34</v>
      </c>
      <c r="C4491">
        <v>2</v>
      </c>
      <c r="D4491" s="1" t="s">
        <v>11504</v>
      </c>
      <c r="E4491" s="1" t="s">
        <v>36</v>
      </c>
      <c r="G4491">
        <v>470077</v>
      </c>
      <c r="H4491" t="s">
        <v>11501</v>
      </c>
      <c r="I4491" t="s">
        <v>2413</v>
      </c>
      <c r="J4491">
        <v>30</v>
      </c>
      <c r="K4491">
        <v>2695</v>
      </c>
      <c r="L4491">
        <v>95000</v>
      </c>
      <c r="M4491" t="s">
        <v>69</v>
      </c>
      <c r="N4491">
        <v>691</v>
      </c>
      <c r="O4491" s="2">
        <v>46226</v>
      </c>
      <c r="P4491" s="2">
        <v>46337</v>
      </c>
      <c r="R4491" t="s">
        <v>11505</v>
      </c>
      <c r="S4491" t="str">
        <f>""</f>
        <v/>
      </c>
      <c r="T4491" t="s">
        <v>41</v>
      </c>
      <c r="U4491">
        <v>6837.76</v>
      </c>
      <c r="V4491">
        <v>6762.54</v>
      </c>
      <c r="W4491">
        <v>6762.54</v>
      </c>
      <c r="X4491">
        <v>0</v>
      </c>
      <c r="Y4491">
        <v>0</v>
      </c>
      <c r="Z4491">
        <v>-562</v>
      </c>
      <c r="AA4491">
        <v>695057</v>
      </c>
      <c r="AD4491" t="s">
        <v>3301</v>
      </c>
      <c r="AE4491" t="s">
        <v>5778</v>
      </c>
      <c r="AF4491" t="s">
        <v>3301</v>
      </c>
      <c r="AG4491" s="1" t="s">
        <v>11503</v>
      </c>
      <c r="AH4491" t="s">
        <v>44</v>
      </c>
    </row>
    <row r="4492" spans="1:34" x14ac:dyDescent="0.3">
      <c r="A4492">
        <v>101</v>
      </c>
      <c r="B4492" t="s">
        <v>34</v>
      </c>
      <c r="C4492">
        <v>2</v>
      </c>
      <c r="D4492" s="1" t="s">
        <v>11506</v>
      </c>
      <c r="E4492" s="1" t="s">
        <v>36</v>
      </c>
      <c r="G4492">
        <v>470077</v>
      </c>
      <c r="H4492" t="s">
        <v>11501</v>
      </c>
      <c r="I4492" t="s">
        <v>2413</v>
      </c>
      <c r="J4492">
        <v>30</v>
      </c>
      <c r="K4492">
        <v>2695</v>
      </c>
      <c r="L4492">
        <v>95000</v>
      </c>
      <c r="M4492" t="s">
        <v>69</v>
      </c>
      <c r="N4492">
        <v>691</v>
      </c>
      <c r="O4492" s="2">
        <v>46170</v>
      </c>
      <c r="P4492" s="2">
        <v>46296</v>
      </c>
      <c r="R4492" t="s">
        <v>11507</v>
      </c>
      <c r="S4492" t="str">
        <f>""</f>
        <v/>
      </c>
      <c r="T4492" t="s">
        <v>41</v>
      </c>
      <c r="U4492">
        <v>14590.86</v>
      </c>
      <c r="V4492">
        <v>14430.36</v>
      </c>
      <c r="W4492">
        <v>14430.36</v>
      </c>
      <c r="X4492">
        <v>0</v>
      </c>
      <c r="Y4492">
        <v>0</v>
      </c>
      <c r="Z4492">
        <v>-521</v>
      </c>
      <c r="AA4492">
        <v>689360</v>
      </c>
      <c r="AD4492" t="s">
        <v>3301</v>
      </c>
      <c r="AE4492" t="s">
        <v>5778</v>
      </c>
      <c r="AF4492" t="s">
        <v>3301</v>
      </c>
      <c r="AG4492" s="1" t="s">
        <v>11503</v>
      </c>
      <c r="AH4492" t="s">
        <v>44</v>
      </c>
    </row>
    <row r="4493" spans="1:34" x14ac:dyDescent="0.3">
      <c r="A4493">
        <v>101</v>
      </c>
      <c r="B4493" t="s">
        <v>34</v>
      </c>
      <c r="C4493">
        <v>2</v>
      </c>
      <c r="D4493" s="1" t="s">
        <v>11508</v>
      </c>
      <c r="E4493" s="1" t="s">
        <v>36</v>
      </c>
      <c r="G4493">
        <v>470077</v>
      </c>
      <c r="H4493" t="s">
        <v>11501</v>
      </c>
      <c r="I4493" t="s">
        <v>2413</v>
      </c>
      <c r="J4493">
        <v>30</v>
      </c>
      <c r="K4493">
        <v>2695</v>
      </c>
      <c r="L4493">
        <v>95000</v>
      </c>
      <c r="M4493" t="s">
        <v>69</v>
      </c>
      <c r="N4493">
        <v>691</v>
      </c>
      <c r="O4493" s="2">
        <v>46141</v>
      </c>
      <c r="P4493" s="2">
        <v>46266</v>
      </c>
      <c r="R4493" t="s">
        <v>11509</v>
      </c>
      <c r="S4493" t="str">
        <f>""</f>
        <v/>
      </c>
      <c r="T4493" t="s">
        <v>41</v>
      </c>
      <c r="U4493">
        <v>9538.75</v>
      </c>
      <c r="V4493">
        <v>9433.82</v>
      </c>
      <c r="W4493">
        <v>9433.82</v>
      </c>
      <c r="X4493">
        <v>0</v>
      </c>
      <c r="Y4493">
        <v>0</v>
      </c>
      <c r="Z4493">
        <v>-491</v>
      </c>
      <c r="AA4493">
        <v>686761</v>
      </c>
      <c r="AD4493" t="s">
        <v>3301</v>
      </c>
      <c r="AE4493" t="s">
        <v>5778</v>
      </c>
      <c r="AF4493" t="s">
        <v>3301</v>
      </c>
      <c r="AG4493" s="1" t="s">
        <v>11503</v>
      </c>
      <c r="AH4493" t="s">
        <v>44</v>
      </c>
    </row>
    <row r="4494" spans="1:34" x14ac:dyDescent="0.3">
      <c r="A4494">
        <v>101</v>
      </c>
      <c r="B4494" t="s">
        <v>34</v>
      </c>
      <c r="C4494">
        <v>2</v>
      </c>
      <c r="D4494" s="1" t="s">
        <v>11510</v>
      </c>
      <c r="E4494" s="1" t="s">
        <v>36</v>
      </c>
      <c r="G4494">
        <v>470077</v>
      </c>
      <c r="H4494" t="s">
        <v>11501</v>
      </c>
      <c r="I4494" t="s">
        <v>2413</v>
      </c>
      <c r="J4494">
        <v>30</v>
      </c>
      <c r="K4494">
        <v>2695</v>
      </c>
      <c r="L4494">
        <v>95000</v>
      </c>
      <c r="M4494" t="s">
        <v>69</v>
      </c>
      <c r="N4494">
        <v>691</v>
      </c>
      <c r="O4494" s="2">
        <v>46197</v>
      </c>
      <c r="P4494" s="2">
        <v>46316</v>
      </c>
      <c r="R4494" t="s">
        <v>11511</v>
      </c>
      <c r="S4494" t="str">
        <f>""</f>
        <v/>
      </c>
      <c r="T4494" t="s">
        <v>41</v>
      </c>
      <c r="U4494">
        <v>11651.74</v>
      </c>
      <c r="V4494">
        <v>11523.57</v>
      </c>
      <c r="W4494">
        <v>11523.57</v>
      </c>
      <c r="X4494">
        <v>0</v>
      </c>
      <c r="Y4494">
        <v>0</v>
      </c>
      <c r="Z4494">
        <v>-541</v>
      </c>
      <c r="AA4494">
        <v>692320</v>
      </c>
      <c r="AD4494" t="s">
        <v>3301</v>
      </c>
      <c r="AE4494" t="s">
        <v>5778</v>
      </c>
      <c r="AF4494" t="s">
        <v>3301</v>
      </c>
      <c r="AG4494" s="1" t="s">
        <v>11503</v>
      </c>
      <c r="AH4494" t="s">
        <v>44</v>
      </c>
    </row>
    <row r="4495" spans="1:34" x14ac:dyDescent="0.3">
      <c r="A4495">
        <v>101</v>
      </c>
      <c r="B4495" t="s">
        <v>34</v>
      </c>
      <c r="C4495">
        <v>2</v>
      </c>
      <c r="D4495" s="1" t="s">
        <v>11512</v>
      </c>
      <c r="E4495" s="1" t="s">
        <v>36</v>
      </c>
      <c r="G4495">
        <v>470078</v>
      </c>
      <c r="H4495" t="s">
        <v>11513</v>
      </c>
      <c r="I4495" t="s">
        <v>2413</v>
      </c>
      <c r="J4495">
        <v>30</v>
      </c>
      <c r="K4495">
        <v>2695</v>
      </c>
      <c r="L4495">
        <v>95000</v>
      </c>
      <c r="M4495" t="s">
        <v>69</v>
      </c>
      <c r="N4495">
        <v>691</v>
      </c>
      <c r="O4495" s="2">
        <v>46141</v>
      </c>
      <c r="P4495" s="2">
        <v>46255</v>
      </c>
      <c r="R4495" t="s">
        <v>11514</v>
      </c>
      <c r="S4495" t="str">
        <f>""</f>
        <v/>
      </c>
      <c r="T4495" t="s">
        <v>41</v>
      </c>
      <c r="U4495">
        <v>12321.84</v>
      </c>
      <c r="V4495">
        <v>12186.3</v>
      </c>
      <c r="W4495">
        <v>12186.3</v>
      </c>
      <c r="X4495">
        <v>0</v>
      </c>
      <c r="Y4495">
        <v>0</v>
      </c>
      <c r="Z4495">
        <v>-480</v>
      </c>
      <c r="AA4495">
        <v>686765</v>
      </c>
      <c r="AD4495" t="s">
        <v>4984</v>
      </c>
      <c r="AE4495" t="s">
        <v>5778</v>
      </c>
      <c r="AF4495" t="s">
        <v>4984</v>
      </c>
      <c r="AG4495" s="1" t="s">
        <v>11515</v>
      </c>
      <c r="AH4495" t="s">
        <v>44</v>
      </c>
    </row>
    <row r="4496" spans="1:34" x14ac:dyDescent="0.3">
      <c r="A4496">
        <v>101</v>
      </c>
      <c r="B4496" t="s">
        <v>34</v>
      </c>
      <c r="C4496">
        <v>2</v>
      </c>
      <c r="D4496" s="1" t="s">
        <v>11516</v>
      </c>
      <c r="E4496" s="1" t="s">
        <v>36</v>
      </c>
      <c r="G4496">
        <v>470078</v>
      </c>
      <c r="H4496" t="s">
        <v>11513</v>
      </c>
      <c r="I4496" t="s">
        <v>2413</v>
      </c>
      <c r="J4496">
        <v>30</v>
      </c>
      <c r="K4496">
        <v>2695</v>
      </c>
      <c r="L4496">
        <v>95000</v>
      </c>
      <c r="M4496" t="s">
        <v>69</v>
      </c>
      <c r="N4496">
        <v>691</v>
      </c>
      <c r="O4496" s="2">
        <v>46172</v>
      </c>
      <c r="P4496" s="2">
        <v>46276</v>
      </c>
      <c r="R4496" t="s">
        <v>11517</v>
      </c>
      <c r="S4496" t="str">
        <f>""</f>
        <v/>
      </c>
      <c r="T4496" t="s">
        <v>41</v>
      </c>
      <c r="U4496">
        <v>9378.83</v>
      </c>
      <c r="V4496">
        <v>9275.66</v>
      </c>
      <c r="W4496">
        <v>9275.66</v>
      </c>
      <c r="X4496">
        <v>0</v>
      </c>
      <c r="Y4496">
        <v>0</v>
      </c>
      <c r="Z4496">
        <v>-501</v>
      </c>
      <c r="AA4496">
        <v>689364</v>
      </c>
      <c r="AD4496" t="s">
        <v>4984</v>
      </c>
      <c r="AE4496" t="s">
        <v>5778</v>
      </c>
      <c r="AF4496" t="s">
        <v>4984</v>
      </c>
      <c r="AG4496" s="1" t="s">
        <v>11515</v>
      </c>
      <c r="AH4496" t="s">
        <v>44</v>
      </c>
    </row>
    <row r="4497" spans="1:34" x14ac:dyDescent="0.3">
      <c r="A4497">
        <v>101</v>
      </c>
      <c r="B4497" t="s">
        <v>34</v>
      </c>
      <c r="C4497">
        <v>2</v>
      </c>
      <c r="D4497" s="1" t="s">
        <v>11518</v>
      </c>
      <c r="E4497" s="1" t="s">
        <v>36</v>
      </c>
      <c r="G4497">
        <v>470078</v>
      </c>
      <c r="H4497" t="s">
        <v>11513</v>
      </c>
      <c r="I4497" t="s">
        <v>2413</v>
      </c>
      <c r="J4497">
        <v>30</v>
      </c>
      <c r="K4497">
        <v>2695</v>
      </c>
      <c r="L4497">
        <v>95000</v>
      </c>
      <c r="M4497" t="s">
        <v>69</v>
      </c>
      <c r="N4497">
        <v>691</v>
      </c>
      <c r="O4497" s="2">
        <v>46199</v>
      </c>
      <c r="P4497" s="2">
        <v>46308</v>
      </c>
      <c r="R4497" t="s">
        <v>11519</v>
      </c>
      <c r="S4497" t="str">
        <f>""</f>
        <v/>
      </c>
      <c r="T4497" t="s">
        <v>41</v>
      </c>
      <c r="U4497">
        <v>826.7</v>
      </c>
      <c r="V4497">
        <v>817.61</v>
      </c>
      <c r="W4497">
        <v>817.61</v>
      </c>
      <c r="X4497">
        <v>0</v>
      </c>
      <c r="Y4497">
        <v>0</v>
      </c>
      <c r="Z4497">
        <v>-533</v>
      </c>
      <c r="AA4497">
        <v>692324</v>
      </c>
      <c r="AD4497" t="s">
        <v>4984</v>
      </c>
      <c r="AE4497" t="s">
        <v>5778</v>
      </c>
      <c r="AF4497" t="s">
        <v>4984</v>
      </c>
      <c r="AG4497" s="1" t="s">
        <v>11515</v>
      </c>
      <c r="AH4497" t="s">
        <v>44</v>
      </c>
    </row>
    <row r="4498" spans="1:34" x14ac:dyDescent="0.3">
      <c r="A4498">
        <v>101</v>
      </c>
      <c r="B4498" t="s">
        <v>34</v>
      </c>
      <c r="C4498">
        <v>2</v>
      </c>
      <c r="D4498" s="1" t="s">
        <v>11520</v>
      </c>
      <c r="E4498" s="1" t="s">
        <v>36</v>
      </c>
      <c r="G4498">
        <v>470078</v>
      </c>
      <c r="H4498" t="s">
        <v>11513</v>
      </c>
      <c r="I4498" t="s">
        <v>2413</v>
      </c>
      <c r="J4498">
        <v>30</v>
      </c>
      <c r="K4498">
        <v>2695</v>
      </c>
      <c r="L4498">
        <v>95000</v>
      </c>
      <c r="M4498" t="s">
        <v>69</v>
      </c>
      <c r="N4498">
        <v>691</v>
      </c>
      <c r="O4498" s="2">
        <v>46226</v>
      </c>
      <c r="P4498" s="2">
        <v>46337</v>
      </c>
      <c r="R4498" t="s">
        <v>11521</v>
      </c>
      <c r="S4498" t="str">
        <f>""</f>
        <v/>
      </c>
      <c r="T4498" t="s">
        <v>41</v>
      </c>
      <c r="U4498">
        <v>3951.51</v>
      </c>
      <c r="V4498">
        <v>3908.04</v>
      </c>
      <c r="W4498">
        <v>3908.04</v>
      </c>
      <c r="X4498">
        <v>0</v>
      </c>
      <c r="Y4498">
        <v>0</v>
      </c>
      <c r="Z4498">
        <v>-562</v>
      </c>
      <c r="AA4498">
        <v>695065</v>
      </c>
      <c r="AD4498" t="s">
        <v>4984</v>
      </c>
      <c r="AE4498" t="s">
        <v>5778</v>
      </c>
      <c r="AF4498" t="s">
        <v>4984</v>
      </c>
      <c r="AG4498" s="1" t="s">
        <v>11515</v>
      </c>
      <c r="AH4498" t="s">
        <v>44</v>
      </c>
    </row>
    <row r="4499" spans="1:34" x14ac:dyDescent="0.3">
      <c r="A4499">
        <v>101</v>
      </c>
      <c r="B4499" t="s">
        <v>34</v>
      </c>
      <c r="C4499">
        <v>2</v>
      </c>
      <c r="D4499" s="1" t="s">
        <v>11522</v>
      </c>
      <c r="E4499" s="1" t="s">
        <v>36</v>
      </c>
      <c r="G4499">
        <v>470349</v>
      </c>
      <c r="H4499" t="s">
        <v>11523</v>
      </c>
      <c r="I4499" t="s">
        <v>2413</v>
      </c>
      <c r="J4499">
        <v>30</v>
      </c>
      <c r="K4499">
        <v>2695</v>
      </c>
      <c r="L4499">
        <v>95000</v>
      </c>
      <c r="M4499" t="s">
        <v>69</v>
      </c>
      <c r="N4499">
        <v>691</v>
      </c>
      <c r="O4499" s="2">
        <v>46199</v>
      </c>
      <c r="P4499" s="2">
        <v>46337</v>
      </c>
      <c r="R4499" t="s">
        <v>11524</v>
      </c>
      <c r="S4499" t="str">
        <f>""</f>
        <v/>
      </c>
      <c r="T4499" t="s">
        <v>41</v>
      </c>
      <c r="U4499">
        <v>5163.3999999999996</v>
      </c>
      <c r="V4499">
        <v>5106.6000000000004</v>
      </c>
      <c r="W4499">
        <v>5106.6000000000004</v>
      </c>
      <c r="X4499">
        <v>0</v>
      </c>
      <c r="Y4499">
        <v>0</v>
      </c>
      <c r="Z4499">
        <v>-562</v>
      </c>
      <c r="AA4499">
        <v>692326</v>
      </c>
      <c r="AD4499" t="s">
        <v>3224</v>
      </c>
      <c r="AE4499" t="s">
        <v>5287</v>
      </c>
      <c r="AF4499" t="s">
        <v>3224</v>
      </c>
      <c r="AG4499" s="1" t="s">
        <v>11525</v>
      </c>
      <c r="AH4499" t="s">
        <v>44</v>
      </c>
    </row>
    <row r="4500" spans="1:34" x14ac:dyDescent="0.3">
      <c r="A4500">
        <v>101</v>
      </c>
      <c r="B4500" t="s">
        <v>34</v>
      </c>
      <c r="C4500">
        <v>2</v>
      </c>
      <c r="D4500" s="1" t="s">
        <v>11526</v>
      </c>
      <c r="E4500" s="1" t="s">
        <v>36</v>
      </c>
      <c r="G4500">
        <v>470349</v>
      </c>
      <c r="H4500" t="s">
        <v>11523</v>
      </c>
      <c r="I4500" t="s">
        <v>2413</v>
      </c>
      <c r="J4500">
        <v>30</v>
      </c>
      <c r="K4500">
        <v>2695</v>
      </c>
      <c r="L4500">
        <v>95000</v>
      </c>
      <c r="M4500" t="s">
        <v>69</v>
      </c>
      <c r="N4500">
        <v>691</v>
      </c>
      <c r="O4500" s="2">
        <v>46226</v>
      </c>
      <c r="P4500" s="2">
        <v>46316</v>
      </c>
      <c r="R4500" t="s">
        <v>11527</v>
      </c>
      <c r="S4500" t="str">
        <f>""</f>
        <v/>
      </c>
      <c r="T4500" t="s">
        <v>41</v>
      </c>
      <c r="U4500">
        <v>2621.33</v>
      </c>
      <c r="V4500">
        <v>2592.5</v>
      </c>
      <c r="W4500">
        <v>2592.5</v>
      </c>
      <c r="X4500">
        <v>0</v>
      </c>
      <c r="Y4500">
        <v>0</v>
      </c>
      <c r="Z4500">
        <v>-541</v>
      </c>
      <c r="AA4500">
        <v>695067</v>
      </c>
      <c r="AD4500" t="s">
        <v>3224</v>
      </c>
      <c r="AE4500" t="s">
        <v>5287</v>
      </c>
      <c r="AF4500" t="s">
        <v>3224</v>
      </c>
      <c r="AG4500" s="1" t="s">
        <v>11525</v>
      </c>
      <c r="AH4500" t="s">
        <v>44</v>
      </c>
    </row>
    <row r="4501" spans="1:34" x14ac:dyDescent="0.3">
      <c r="A4501">
        <v>101</v>
      </c>
      <c r="B4501" t="s">
        <v>34</v>
      </c>
      <c r="C4501">
        <v>2</v>
      </c>
      <c r="D4501" s="1" t="s">
        <v>11528</v>
      </c>
      <c r="E4501" s="1" t="s">
        <v>36</v>
      </c>
      <c r="G4501">
        <v>470349</v>
      </c>
      <c r="H4501" t="s">
        <v>11523</v>
      </c>
      <c r="I4501" t="s">
        <v>2413</v>
      </c>
      <c r="J4501">
        <v>30</v>
      </c>
      <c r="K4501">
        <v>2695</v>
      </c>
      <c r="L4501">
        <v>95000</v>
      </c>
      <c r="M4501" t="s">
        <v>69</v>
      </c>
      <c r="N4501">
        <v>691</v>
      </c>
      <c r="O4501" s="2">
        <v>46185</v>
      </c>
      <c r="P4501" s="2">
        <v>46296</v>
      </c>
      <c r="R4501" t="s">
        <v>11529</v>
      </c>
      <c r="S4501" t="str">
        <f>""</f>
        <v/>
      </c>
      <c r="T4501" t="s">
        <v>41</v>
      </c>
      <c r="U4501">
        <v>2134.8000000000002</v>
      </c>
      <c r="V4501">
        <v>2111.3200000000002</v>
      </c>
      <c r="W4501">
        <v>2111.3200000000002</v>
      </c>
      <c r="X4501">
        <v>0</v>
      </c>
      <c r="Y4501">
        <v>0</v>
      </c>
      <c r="Z4501">
        <v>-521</v>
      </c>
      <c r="AA4501">
        <v>689366</v>
      </c>
      <c r="AD4501" t="s">
        <v>3224</v>
      </c>
      <c r="AE4501" t="s">
        <v>5287</v>
      </c>
      <c r="AF4501" t="s">
        <v>3224</v>
      </c>
      <c r="AG4501" s="1" t="s">
        <v>11525</v>
      </c>
      <c r="AH4501" t="s">
        <v>44</v>
      </c>
    </row>
    <row r="4502" spans="1:34" x14ac:dyDescent="0.3">
      <c r="A4502">
        <v>101</v>
      </c>
      <c r="B4502" t="s">
        <v>34</v>
      </c>
      <c r="C4502">
        <v>2</v>
      </c>
      <c r="D4502" s="1" t="s">
        <v>11530</v>
      </c>
      <c r="E4502" s="1" t="s">
        <v>36</v>
      </c>
      <c r="G4502">
        <v>470349</v>
      </c>
      <c r="H4502" t="s">
        <v>11523</v>
      </c>
      <c r="I4502" t="s">
        <v>2413</v>
      </c>
      <c r="J4502">
        <v>30</v>
      </c>
      <c r="K4502">
        <v>2695</v>
      </c>
      <c r="L4502">
        <v>95000</v>
      </c>
      <c r="M4502" t="s">
        <v>69</v>
      </c>
      <c r="N4502">
        <v>691</v>
      </c>
      <c r="O4502" s="2">
        <v>46170</v>
      </c>
      <c r="P4502" s="2">
        <v>46296</v>
      </c>
      <c r="R4502" t="s">
        <v>11531</v>
      </c>
      <c r="S4502" t="str">
        <f>""</f>
        <v/>
      </c>
      <c r="T4502" t="s">
        <v>41</v>
      </c>
      <c r="U4502">
        <v>10869.05</v>
      </c>
      <c r="V4502">
        <v>10749.49</v>
      </c>
      <c r="W4502">
        <v>10749.49</v>
      </c>
      <c r="X4502">
        <v>0</v>
      </c>
      <c r="Y4502">
        <v>0</v>
      </c>
      <c r="Z4502">
        <v>-521</v>
      </c>
      <c r="AA4502">
        <v>689366</v>
      </c>
      <c r="AD4502" t="s">
        <v>3224</v>
      </c>
      <c r="AE4502" t="s">
        <v>5287</v>
      </c>
      <c r="AF4502" t="s">
        <v>3224</v>
      </c>
      <c r="AG4502" s="1" t="s">
        <v>11525</v>
      </c>
      <c r="AH4502" t="s">
        <v>44</v>
      </c>
    </row>
    <row r="4503" spans="1:34" x14ac:dyDescent="0.3">
      <c r="A4503">
        <v>101</v>
      </c>
      <c r="B4503" t="s">
        <v>34</v>
      </c>
      <c r="C4503">
        <v>2</v>
      </c>
      <c r="D4503" s="1" t="s">
        <v>11532</v>
      </c>
      <c r="E4503" s="1" t="s">
        <v>36</v>
      </c>
      <c r="G4503">
        <v>470754</v>
      </c>
      <c r="H4503" t="s">
        <v>11533</v>
      </c>
      <c r="I4503" t="s">
        <v>2413</v>
      </c>
      <c r="J4503">
        <v>30</v>
      </c>
      <c r="K4503">
        <v>2695</v>
      </c>
      <c r="L4503">
        <v>95080</v>
      </c>
      <c r="M4503" t="s">
        <v>83</v>
      </c>
      <c r="N4503">
        <v>691</v>
      </c>
      <c r="O4503" s="2">
        <v>46170</v>
      </c>
      <c r="P4503" s="2">
        <v>46260</v>
      </c>
      <c r="R4503" t="s">
        <v>11534</v>
      </c>
      <c r="S4503" t="str">
        <f>""</f>
        <v/>
      </c>
      <c r="T4503" t="s">
        <v>41</v>
      </c>
      <c r="U4503">
        <v>2416.8000000000002</v>
      </c>
      <c r="V4503">
        <v>2390.2199999999998</v>
      </c>
      <c r="W4503">
        <v>2390.2199999999998</v>
      </c>
      <c r="X4503">
        <v>0</v>
      </c>
      <c r="Y4503">
        <v>0</v>
      </c>
      <c r="Z4503">
        <v>-485</v>
      </c>
      <c r="AA4503">
        <v>689601</v>
      </c>
      <c r="AD4503" t="s">
        <v>3349</v>
      </c>
      <c r="AE4503" t="s">
        <v>5778</v>
      </c>
      <c r="AF4503" t="s">
        <v>3349</v>
      </c>
      <c r="AG4503" s="1" t="s">
        <v>11535</v>
      </c>
      <c r="AH4503" t="s">
        <v>44</v>
      </c>
    </row>
    <row r="4504" spans="1:34" x14ac:dyDescent="0.3">
      <c r="A4504">
        <v>101</v>
      </c>
      <c r="B4504" t="s">
        <v>34</v>
      </c>
      <c r="C4504">
        <v>2</v>
      </c>
      <c r="D4504" s="1" t="s">
        <v>11536</v>
      </c>
      <c r="E4504" s="1" t="s">
        <v>36</v>
      </c>
      <c r="G4504">
        <v>470755</v>
      </c>
      <c r="H4504" t="s">
        <v>11537</v>
      </c>
      <c r="I4504" t="s">
        <v>2413</v>
      </c>
      <c r="J4504">
        <v>30</v>
      </c>
      <c r="K4504">
        <v>2695</v>
      </c>
      <c r="L4504">
        <v>95080</v>
      </c>
      <c r="M4504" t="s">
        <v>83</v>
      </c>
      <c r="N4504">
        <v>691</v>
      </c>
      <c r="O4504" s="2">
        <v>46171</v>
      </c>
      <c r="P4504" s="2">
        <v>46280</v>
      </c>
      <c r="R4504" t="s">
        <v>11538</v>
      </c>
      <c r="S4504" t="str">
        <f>""</f>
        <v/>
      </c>
      <c r="T4504" t="s">
        <v>41</v>
      </c>
      <c r="U4504">
        <v>2134.8000000000002</v>
      </c>
      <c r="V4504">
        <v>2111.3200000000002</v>
      </c>
      <c r="W4504">
        <v>2111.3200000000002</v>
      </c>
      <c r="X4504">
        <v>0</v>
      </c>
      <c r="Y4504">
        <v>0</v>
      </c>
      <c r="Z4504">
        <v>-505</v>
      </c>
      <c r="AA4504">
        <v>689599</v>
      </c>
      <c r="AD4504" t="s">
        <v>64</v>
      </c>
      <c r="AE4504" t="s">
        <v>5778</v>
      </c>
      <c r="AF4504" t="s">
        <v>64</v>
      </c>
      <c r="AG4504" s="1" t="s">
        <v>11539</v>
      </c>
      <c r="AH4504" t="s">
        <v>44</v>
      </c>
    </row>
    <row r="4505" spans="1:34" x14ac:dyDescent="0.3">
      <c r="A4505">
        <v>104</v>
      </c>
      <c r="B4505" t="s">
        <v>34</v>
      </c>
      <c r="C4505">
        <v>4</v>
      </c>
      <c r="D4505" s="1" t="s">
        <v>11540</v>
      </c>
      <c r="E4505" s="1" t="s">
        <v>122</v>
      </c>
      <c r="G4505">
        <v>466411</v>
      </c>
      <c r="H4505" t="s">
        <v>11541</v>
      </c>
      <c r="I4505" t="s">
        <v>11542</v>
      </c>
      <c r="J4505">
        <v>15</v>
      </c>
      <c r="K4505">
        <v>466294</v>
      </c>
      <c r="L4505">
        <v>50033</v>
      </c>
      <c r="M4505" t="s">
        <v>39</v>
      </c>
      <c r="N4505">
        <v>696</v>
      </c>
      <c r="O4505" s="2">
        <v>46233</v>
      </c>
      <c r="P4505" s="2">
        <v>46279</v>
      </c>
      <c r="R4505" t="s">
        <v>11543</v>
      </c>
      <c r="S4505" t="str">
        <f>"0000050411764"</f>
        <v>0000050411764</v>
      </c>
      <c r="T4505" t="s">
        <v>41</v>
      </c>
      <c r="U4505">
        <v>7477.89</v>
      </c>
      <c r="V4505">
        <v>7477.89</v>
      </c>
      <c r="W4505">
        <v>7477.89</v>
      </c>
      <c r="X4505">
        <v>0</v>
      </c>
      <c r="Y4505">
        <v>0</v>
      </c>
      <c r="Z4505">
        <v>-504</v>
      </c>
      <c r="AA4505" t="s">
        <v>11544</v>
      </c>
      <c r="AD4505" t="s">
        <v>11545</v>
      </c>
      <c r="AE4505" t="s">
        <v>11546</v>
      </c>
      <c r="AF4505" t="s">
        <v>11545</v>
      </c>
      <c r="AG4505">
        <v>16163057000575</v>
      </c>
      <c r="AH4505" t="s">
        <v>87</v>
      </c>
    </row>
    <row r="4506" spans="1:34" x14ac:dyDescent="0.3">
      <c r="A4506">
        <v>104</v>
      </c>
      <c r="B4506" t="s">
        <v>34</v>
      </c>
      <c r="C4506">
        <v>4</v>
      </c>
      <c r="D4506" s="1" t="s">
        <v>11540</v>
      </c>
      <c r="E4506" s="1" t="s">
        <v>36</v>
      </c>
      <c r="G4506">
        <v>466411</v>
      </c>
      <c r="H4506" t="s">
        <v>11541</v>
      </c>
      <c r="I4506" t="s">
        <v>11542</v>
      </c>
      <c r="J4506">
        <v>15</v>
      </c>
      <c r="K4506">
        <v>466294</v>
      </c>
      <c r="L4506">
        <v>50033</v>
      </c>
      <c r="M4506" t="s">
        <v>39</v>
      </c>
      <c r="N4506">
        <v>696</v>
      </c>
      <c r="O4506" s="2">
        <v>46233</v>
      </c>
      <c r="P4506" s="2">
        <v>46265</v>
      </c>
      <c r="R4506" t="s">
        <v>11543</v>
      </c>
      <c r="S4506" t="str">
        <f>"0000050411756"</f>
        <v>0000050411756</v>
      </c>
      <c r="T4506" t="s">
        <v>41</v>
      </c>
      <c r="U4506">
        <v>7477.89</v>
      </c>
      <c r="V4506">
        <v>7477.89</v>
      </c>
      <c r="W4506">
        <v>7477.89</v>
      </c>
      <c r="X4506">
        <v>0</v>
      </c>
      <c r="Y4506">
        <v>0</v>
      </c>
      <c r="Z4506">
        <v>-490</v>
      </c>
      <c r="AA4506" t="s">
        <v>11544</v>
      </c>
      <c r="AD4506" t="s">
        <v>11545</v>
      </c>
      <c r="AE4506" t="s">
        <v>11546</v>
      </c>
      <c r="AF4506" t="s">
        <v>11545</v>
      </c>
      <c r="AG4506">
        <v>16163057000575</v>
      </c>
      <c r="AH4506" t="s">
        <v>87</v>
      </c>
    </row>
    <row r="4507" spans="1:34" x14ac:dyDescent="0.3">
      <c r="A4507">
        <v>104</v>
      </c>
      <c r="B4507" t="s">
        <v>34</v>
      </c>
      <c r="C4507">
        <v>4</v>
      </c>
      <c r="D4507" s="1" t="s">
        <v>11540</v>
      </c>
      <c r="E4507" s="1" t="s">
        <v>116</v>
      </c>
      <c r="G4507">
        <v>466411</v>
      </c>
      <c r="H4507" t="s">
        <v>11541</v>
      </c>
      <c r="I4507" t="s">
        <v>11542</v>
      </c>
      <c r="J4507">
        <v>15</v>
      </c>
      <c r="K4507">
        <v>466294</v>
      </c>
      <c r="L4507">
        <v>50033</v>
      </c>
      <c r="M4507" t="s">
        <v>39</v>
      </c>
      <c r="N4507">
        <v>696</v>
      </c>
      <c r="O4507" s="2">
        <v>46233</v>
      </c>
      <c r="P4507" s="2">
        <v>46293</v>
      </c>
      <c r="R4507" t="s">
        <v>11543</v>
      </c>
      <c r="S4507" t="str">
        <f>"0000050411772"</f>
        <v>0000050411772</v>
      </c>
      <c r="T4507" t="s">
        <v>41</v>
      </c>
      <c r="U4507">
        <v>7480.12</v>
      </c>
      <c r="V4507">
        <v>7480.12</v>
      </c>
      <c r="W4507">
        <v>7480.12</v>
      </c>
      <c r="X4507">
        <v>0</v>
      </c>
      <c r="Y4507">
        <v>0</v>
      </c>
      <c r="Z4507">
        <v>-518</v>
      </c>
      <c r="AA4507" t="s">
        <v>11544</v>
      </c>
      <c r="AD4507" t="s">
        <v>11545</v>
      </c>
      <c r="AE4507" t="s">
        <v>11546</v>
      </c>
      <c r="AF4507" t="s">
        <v>11545</v>
      </c>
      <c r="AG4507">
        <v>16163057000575</v>
      </c>
      <c r="AH4507" t="s">
        <v>87</v>
      </c>
    </row>
    <row r="4508" spans="1:34" x14ac:dyDescent="0.3">
      <c r="A4508">
        <v>106</v>
      </c>
      <c r="B4508" t="s">
        <v>34</v>
      </c>
      <c r="C4508">
        <v>2</v>
      </c>
      <c r="D4508" s="1" t="s">
        <v>11547</v>
      </c>
      <c r="E4508" s="1" t="s">
        <v>122</v>
      </c>
      <c r="G4508">
        <v>466411</v>
      </c>
      <c r="H4508" t="s">
        <v>11541</v>
      </c>
      <c r="I4508" t="s">
        <v>11542</v>
      </c>
      <c r="J4508">
        <v>15</v>
      </c>
      <c r="K4508">
        <v>466294</v>
      </c>
      <c r="L4508">
        <v>50033</v>
      </c>
      <c r="M4508" t="s">
        <v>39</v>
      </c>
      <c r="N4508">
        <v>696</v>
      </c>
      <c r="O4508" s="2">
        <v>46233</v>
      </c>
      <c r="P4508" s="2">
        <v>46278</v>
      </c>
      <c r="R4508" t="s">
        <v>11548</v>
      </c>
      <c r="S4508" t="str">
        <f>"0000050411730"</f>
        <v>0000050411730</v>
      </c>
      <c r="T4508" t="s">
        <v>41</v>
      </c>
      <c r="U4508">
        <v>7217.81</v>
      </c>
      <c r="V4508">
        <v>7217.81</v>
      </c>
      <c r="W4508">
        <v>7217.81</v>
      </c>
      <c r="X4508">
        <v>0</v>
      </c>
      <c r="Y4508">
        <v>0</v>
      </c>
      <c r="Z4508">
        <v>-503</v>
      </c>
      <c r="AA4508" t="s">
        <v>11549</v>
      </c>
      <c r="AD4508" t="s">
        <v>11545</v>
      </c>
      <c r="AE4508" t="s">
        <v>11546</v>
      </c>
      <c r="AF4508" t="s">
        <v>11545</v>
      </c>
      <c r="AG4508">
        <v>16163057000575</v>
      </c>
      <c r="AH4508" t="s">
        <v>87</v>
      </c>
    </row>
    <row r="4509" spans="1:34" x14ac:dyDescent="0.3">
      <c r="A4509">
        <v>106</v>
      </c>
      <c r="B4509" t="s">
        <v>34</v>
      </c>
      <c r="C4509">
        <v>2</v>
      </c>
      <c r="D4509" s="1" t="s">
        <v>11547</v>
      </c>
      <c r="E4509" s="1" t="s">
        <v>36</v>
      </c>
      <c r="G4509">
        <v>466411</v>
      </c>
      <c r="H4509" t="s">
        <v>11541</v>
      </c>
      <c r="I4509" t="s">
        <v>11542</v>
      </c>
      <c r="J4509">
        <v>15</v>
      </c>
      <c r="K4509">
        <v>466294</v>
      </c>
      <c r="L4509">
        <v>50033</v>
      </c>
      <c r="M4509" t="s">
        <v>39</v>
      </c>
      <c r="N4509">
        <v>696</v>
      </c>
      <c r="O4509" s="2">
        <v>46233</v>
      </c>
      <c r="P4509" s="2">
        <v>46263</v>
      </c>
      <c r="R4509" t="s">
        <v>11548</v>
      </c>
      <c r="S4509" t="str">
        <f>"0000050411721"</f>
        <v>0000050411721</v>
      </c>
      <c r="T4509" t="s">
        <v>41</v>
      </c>
      <c r="U4509">
        <v>7217.81</v>
      </c>
      <c r="V4509">
        <v>7217.81</v>
      </c>
      <c r="W4509">
        <v>7217.81</v>
      </c>
      <c r="X4509">
        <v>0</v>
      </c>
      <c r="Y4509">
        <v>0</v>
      </c>
      <c r="Z4509">
        <v>-488</v>
      </c>
      <c r="AA4509" t="s">
        <v>11549</v>
      </c>
      <c r="AD4509" t="s">
        <v>11545</v>
      </c>
      <c r="AE4509" t="s">
        <v>11546</v>
      </c>
      <c r="AF4509" t="s">
        <v>11545</v>
      </c>
      <c r="AG4509">
        <v>16163057000575</v>
      </c>
      <c r="AH4509" t="s">
        <v>87</v>
      </c>
    </row>
    <row r="4510" spans="1:34" x14ac:dyDescent="0.3">
      <c r="A4510">
        <v>106</v>
      </c>
      <c r="B4510" t="s">
        <v>34</v>
      </c>
      <c r="C4510">
        <v>2</v>
      </c>
      <c r="D4510" s="1" t="s">
        <v>11547</v>
      </c>
      <c r="E4510" s="1" t="s">
        <v>116</v>
      </c>
      <c r="G4510">
        <v>466411</v>
      </c>
      <c r="H4510" t="s">
        <v>11541</v>
      </c>
      <c r="I4510" t="s">
        <v>11542</v>
      </c>
      <c r="J4510">
        <v>15</v>
      </c>
      <c r="K4510">
        <v>466294</v>
      </c>
      <c r="L4510">
        <v>50033</v>
      </c>
      <c r="M4510" t="s">
        <v>39</v>
      </c>
      <c r="N4510">
        <v>696</v>
      </c>
      <c r="O4510" s="2">
        <v>46233</v>
      </c>
      <c r="P4510" s="2">
        <v>46293</v>
      </c>
      <c r="R4510" t="s">
        <v>11548</v>
      </c>
      <c r="S4510" t="str">
        <f>"0000050411748"</f>
        <v>0000050411748</v>
      </c>
      <c r="T4510" t="s">
        <v>41</v>
      </c>
      <c r="U4510">
        <v>7219.98</v>
      </c>
      <c r="V4510">
        <v>7219.98</v>
      </c>
      <c r="W4510">
        <v>7219.98</v>
      </c>
      <c r="X4510">
        <v>0</v>
      </c>
      <c r="Y4510">
        <v>0</v>
      </c>
      <c r="Z4510">
        <v>-518</v>
      </c>
      <c r="AA4510" t="s">
        <v>11549</v>
      </c>
      <c r="AD4510" t="s">
        <v>11545</v>
      </c>
      <c r="AE4510" t="s">
        <v>11546</v>
      </c>
      <c r="AF4510" t="s">
        <v>11545</v>
      </c>
      <c r="AG4510">
        <v>16163057000575</v>
      </c>
      <c r="AH4510" t="s">
        <v>87</v>
      </c>
    </row>
    <row r="4511" spans="1:34" x14ac:dyDescent="0.3">
      <c r="A4511">
        <v>104</v>
      </c>
      <c r="B4511" t="s">
        <v>34</v>
      </c>
      <c r="C4511">
        <v>4</v>
      </c>
      <c r="D4511" s="1" t="s">
        <v>11550</v>
      </c>
      <c r="E4511" s="1" t="s">
        <v>122</v>
      </c>
      <c r="G4511">
        <v>467449</v>
      </c>
      <c r="H4511" t="s">
        <v>11551</v>
      </c>
      <c r="I4511" t="s">
        <v>11552</v>
      </c>
      <c r="J4511">
        <v>12</v>
      </c>
      <c r="K4511">
        <v>467449</v>
      </c>
      <c r="L4511">
        <v>50001</v>
      </c>
      <c r="M4511" t="s">
        <v>39</v>
      </c>
      <c r="N4511">
        <v>696</v>
      </c>
      <c r="O4511" s="2">
        <v>46188</v>
      </c>
      <c r="P4511" s="2">
        <v>46261</v>
      </c>
      <c r="R4511" t="s">
        <v>11553</v>
      </c>
      <c r="S4511" t="str">
        <f>"25666160000051096"</f>
        <v>25666160000051096</v>
      </c>
      <c r="T4511" t="s">
        <v>41</v>
      </c>
      <c r="U4511">
        <v>2565.9299999999998</v>
      </c>
      <c r="V4511">
        <v>2565.9299999999998</v>
      </c>
      <c r="W4511">
        <v>2565.9299999999998</v>
      </c>
      <c r="X4511">
        <v>0</v>
      </c>
      <c r="Y4511">
        <v>0</v>
      </c>
      <c r="Z4511">
        <v>-486</v>
      </c>
      <c r="AA4511">
        <v>690536</v>
      </c>
      <c r="AD4511" t="s">
        <v>11554</v>
      </c>
      <c r="AE4511" t="s">
        <v>11555</v>
      </c>
      <c r="AF4511" t="s">
        <v>11554</v>
      </c>
      <c r="AG4511">
        <v>15646763000181</v>
      </c>
      <c r="AH4511" t="s">
        <v>87</v>
      </c>
    </row>
    <row r="4512" spans="1:34" x14ac:dyDescent="0.3">
      <c r="A4512">
        <v>104</v>
      </c>
      <c r="B4512" t="s">
        <v>34</v>
      </c>
      <c r="C4512">
        <v>4</v>
      </c>
      <c r="D4512" s="1" t="s">
        <v>11556</v>
      </c>
      <c r="E4512" s="1" t="s">
        <v>36</v>
      </c>
      <c r="G4512">
        <v>470001</v>
      </c>
      <c r="H4512" t="s">
        <v>11557</v>
      </c>
      <c r="I4512" t="s">
        <v>11558</v>
      </c>
      <c r="J4512">
        <v>15</v>
      </c>
      <c r="K4512">
        <v>470001</v>
      </c>
      <c r="L4512">
        <v>50033</v>
      </c>
      <c r="M4512" t="s">
        <v>39</v>
      </c>
      <c r="N4512">
        <v>696</v>
      </c>
      <c r="O4512" s="2">
        <v>46234</v>
      </c>
      <c r="P4512" s="2">
        <v>46294</v>
      </c>
      <c r="R4512" t="s">
        <v>11559</v>
      </c>
      <c r="S4512" t="str">
        <f>"0000050412272"</f>
        <v>0000050412272</v>
      </c>
      <c r="T4512" t="s">
        <v>41</v>
      </c>
      <c r="U4512">
        <v>7984.55</v>
      </c>
      <c r="V4512">
        <v>7984.55</v>
      </c>
      <c r="W4512">
        <v>7984.55</v>
      </c>
      <c r="X4512">
        <v>0</v>
      </c>
      <c r="Y4512">
        <v>0</v>
      </c>
      <c r="Z4512">
        <v>-519</v>
      </c>
      <c r="AA4512" t="s">
        <v>11560</v>
      </c>
      <c r="AD4512" t="s">
        <v>85</v>
      </c>
      <c r="AE4512" t="s">
        <v>11561</v>
      </c>
      <c r="AF4512" t="s">
        <v>85</v>
      </c>
      <c r="AG4512" s="1" t="s">
        <v>11562</v>
      </c>
      <c r="AH4512" t="s">
        <v>87</v>
      </c>
    </row>
    <row r="4513" spans="1:34" x14ac:dyDescent="0.3">
      <c r="A4513">
        <v>104</v>
      </c>
      <c r="B4513" t="s">
        <v>34</v>
      </c>
      <c r="C4513">
        <v>4</v>
      </c>
      <c r="D4513" s="1" t="s">
        <v>11563</v>
      </c>
      <c r="E4513" s="1" t="s">
        <v>36</v>
      </c>
      <c r="G4513">
        <v>470001</v>
      </c>
      <c r="H4513" t="s">
        <v>11557</v>
      </c>
      <c r="I4513" t="s">
        <v>11558</v>
      </c>
      <c r="J4513">
        <v>15</v>
      </c>
      <c r="K4513">
        <v>470001</v>
      </c>
      <c r="L4513">
        <v>50033</v>
      </c>
      <c r="M4513" t="s">
        <v>39</v>
      </c>
      <c r="N4513">
        <v>696</v>
      </c>
      <c r="O4513" s="2">
        <v>46203</v>
      </c>
      <c r="P4513" s="2">
        <v>46265</v>
      </c>
      <c r="R4513" t="s">
        <v>11564</v>
      </c>
      <c r="S4513" t="str">
        <f>"0000050409425"</f>
        <v>0000050409425</v>
      </c>
      <c r="T4513" t="s">
        <v>41</v>
      </c>
      <c r="U4513">
        <v>47699.27</v>
      </c>
      <c r="V4513">
        <v>39714.120000000003</v>
      </c>
      <c r="W4513">
        <v>39714.120000000003</v>
      </c>
      <c r="X4513">
        <v>0</v>
      </c>
      <c r="Y4513">
        <v>0</v>
      </c>
      <c r="Z4513">
        <v>-490</v>
      </c>
      <c r="AA4513" t="s">
        <v>11565</v>
      </c>
      <c r="AD4513" t="s">
        <v>85</v>
      </c>
      <c r="AE4513" t="s">
        <v>11561</v>
      </c>
      <c r="AF4513" t="s">
        <v>85</v>
      </c>
      <c r="AG4513" s="1" t="s">
        <v>11562</v>
      </c>
      <c r="AH4513" t="s">
        <v>87</v>
      </c>
    </row>
    <row r="4514" spans="1:34" x14ac:dyDescent="0.3">
      <c r="A4514">
        <v>104</v>
      </c>
      <c r="B4514" t="s">
        <v>34</v>
      </c>
      <c r="C4514">
        <v>4</v>
      </c>
      <c r="D4514" s="1" t="s">
        <v>11566</v>
      </c>
      <c r="E4514" s="1" t="s">
        <v>36</v>
      </c>
      <c r="G4514">
        <v>470001</v>
      </c>
      <c r="H4514" t="s">
        <v>11557</v>
      </c>
      <c r="I4514" t="s">
        <v>11558</v>
      </c>
      <c r="J4514">
        <v>15</v>
      </c>
      <c r="K4514">
        <v>470001</v>
      </c>
      <c r="L4514">
        <v>50033</v>
      </c>
      <c r="M4514" t="s">
        <v>39</v>
      </c>
      <c r="N4514">
        <v>696</v>
      </c>
      <c r="O4514" s="2">
        <v>46234</v>
      </c>
      <c r="P4514" s="2">
        <v>46294</v>
      </c>
      <c r="R4514" t="s">
        <v>11567</v>
      </c>
      <c r="S4514" t="str">
        <f>"0000050412264"</f>
        <v>0000050412264</v>
      </c>
      <c r="T4514" t="s">
        <v>41</v>
      </c>
      <c r="U4514">
        <v>21914.95</v>
      </c>
      <c r="V4514">
        <v>21914.95</v>
      </c>
      <c r="W4514">
        <v>21914.95</v>
      </c>
      <c r="X4514">
        <v>0</v>
      </c>
      <c r="Y4514">
        <v>0</v>
      </c>
      <c r="Z4514">
        <v>-519</v>
      </c>
      <c r="AA4514" t="s">
        <v>11568</v>
      </c>
      <c r="AD4514" t="s">
        <v>85</v>
      </c>
      <c r="AE4514" t="s">
        <v>11561</v>
      </c>
      <c r="AF4514" t="s">
        <v>85</v>
      </c>
      <c r="AG4514" s="1" t="s">
        <v>11562</v>
      </c>
      <c r="AH4514" t="s">
        <v>87</v>
      </c>
    </row>
    <row r="4515" spans="1:34" x14ac:dyDescent="0.3">
      <c r="A4515">
        <v>106</v>
      </c>
      <c r="B4515" t="s">
        <v>34</v>
      </c>
      <c r="C4515">
        <v>2</v>
      </c>
      <c r="D4515" s="1" t="s">
        <v>11569</v>
      </c>
      <c r="E4515" s="1" t="s">
        <v>36</v>
      </c>
      <c r="G4515">
        <v>470001</v>
      </c>
      <c r="H4515" t="s">
        <v>11557</v>
      </c>
      <c r="I4515" t="s">
        <v>11558</v>
      </c>
      <c r="J4515">
        <v>15</v>
      </c>
      <c r="K4515">
        <v>470001</v>
      </c>
      <c r="L4515">
        <v>50033</v>
      </c>
      <c r="M4515" t="s">
        <v>39</v>
      </c>
      <c r="N4515">
        <v>696</v>
      </c>
      <c r="O4515" s="2">
        <v>46203</v>
      </c>
      <c r="P4515" s="2">
        <v>46263</v>
      </c>
      <c r="R4515" t="s">
        <v>11570</v>
      </c>
      <c r="S4515" t="str">
        <f>"0000050409379"</f>
        <v>0000050409379</v>
      </c>
      <c r="T4515" t="s">
        <v>41</v>
      </c>
      <c r="U4515">
        <v>28630.639999999999</v>
      </c>
      <c r="V4515">
        <v>20606.740000000002</v>
      </c>
      <c r="W4515">
        <v>20606.740000000002</v>
      </c>
      <c r="X4515">
        <v>0</v>
      </c>
      <c r="Y4515">
        <v>0</v>
      </c>
      <c r="Z4515">
        <v>-488</v>
      </c>
      <c r="AA4515" t="s">
        <v>11571</v>
      </c>
      <c r="AD4515" t="s">
        <v>85</v>
      </c>
      <c r="AE4515" t="s">
        <v>11561</v>
      </c>
      <c r="AF4515" t="s">
        <v>85</v>
      </c>
      <c r="AG4515" s="1" t="s">
        <v>11562</v>
      </c>
      <c r="AH4515" t="s">
        <v>87</v>
      </c>
    </row>
    <row r="4516" spans="1:34" x14ac:dyDescent="0.3">
      <c r="A4516">
        <v>106</v>
      </c>
      <c r="B4516" t="s">
        <v>34</v>
      </c>
      <c r="C4516">
        <v>2</v>
      </c>
      <c r="D4516" s="1" t="s">
        <v>11572</v>
      </c>
      <c r="E4516" s="1" t="s">
        <v>36</v>
      </c>
      <c r="G4516">
        <v>470001</v>
      </c>
      <c r="H4516" t="s">
        <v>11557</v>
      </c>
      <c r="I4516" t="s">
        <v>11558</v>
      </c>
      <c r="J4516">
        <v>15</v>
      </c>
      <c r="K4516">
        <v>470001</v>
      </c>
      <c r="L4516">
        <v>50033</v>
      </c>
      <c r="M4516" t="s">
        <v>39</v>
      </c>
      <c r="N4516">
        <v>696</v>
      </c>
      <c r="O4516" s="2">
        <v>46234</v>
      </c>
      <c r="P4516" s="2">
        <v>46294</v>
      </c>
      <c r="R4516" t="s">
        <v>11573</v>
      </c>
      <c r="S4516" t="str">
        <f>"0000050412310"</f>
        <v>0000050412310</v>
      </c>
      <c r="T4516" t="s">
        <v>41</v>
      </c>
      <c r="U4516">
        <v>8023.9</v>
      </c>
      <c r="V4516">
        <v>8023.9</v>
      </c>
      <c r="W4516">
        <v>8023.9</v>
      </c>
      <c r="X4516">
        <v>0</v>
      </c>
      <c r="Y4516">
        <v>0</v>
      </c>
      <c r="Z4516">
        <v>-519</v>
      </c>
      <c r="AA4516" t="s">
        <v>11574</v>
      </c>
      <c r="AD4516" t="s">
        <v>85</v>
      </c>
      <c r="AE4516" t="s">
        <v>11561</v>
      </c>
      <c r="AF4516" t="s">
        <v>85</v>
      </c>
      <c r="AG4516" s="1" t="s">
        <v>11562</v>
      </c>
      <c r="AH4516" t="s">
        <v>87</v>
      </c>
    </row>
    <row r="4517" spans="1:34" x14ac:dyDescent="0.3">
      <c r="A4517">
        <v>106</v>
      </c>
      <c r="B4517" t="s">
        <v>34</v>
      </c>
      <c r="C4517">
        <v>2</v>
      </c>
      <c r="D4517" s="1" t="s">
        <v>11575</v>
      </c>
      <c r="E4517" s="1" t="s">
        <v>36</v>
      </c>
      <c r="G4517">
        <v>470001</v>
      </c>
      <c r="H4517" t="s">
        <v>11557</v>
      </c>
      <c r="I4517" t="s">
        <v>11558</v>
      </c>
      <c r="J4517">
        <v>15</v>
      </c>
      <c r="K4517">
        <v>470001</v>
      </c>
      <c r="L4517">
        <v>50033</v>
      </c>
      <c r="M4517" t="s">
        <v>39</v>
      </c>
      <c r="N4517">
        <v>696</v>
      </c>
      <c r="O4517" s="2">
        <v>46234</v>
      </c>
      <c r="P4517" s="2">
        <v>46294</v>
      </c>
      <c r="R4517" t="s">
        <v>11576</v>
      </c>
      <c r="S4517" t="str">
        <f>"0000050412221"</f>
        <v>0000050412221</v>
      </c>
      <c r="T4517" t="s">
        <v>41</v>
      </c>
      <c r="U4517">
        <v>20320.55</v>
      </c>
      <c r="V4517">
        <v>20320.55</v>
      </c>
      <c r="W4517">
        <v>20320.55</v>
      </c>
      <c r="X4517">
        <v>0</v>
      </c>
      <c r="Y4517">
        <v>0</v>
      </c>
      <c r="Z4517">
        <v>-519</v>
      </c>
      <c r="AA4517" t="s">
        <v>11577</v>
      </c>
      <c r="AD4517" t="s">
        <v>85</v>
      </c>
      <c r="AE4517" t="s">
        <v>11561</v>
      </c>
      <c r="AF4517" t="s">
        <v>85</v>
      </c>
      <c r="AG4517" s="1" t="s">
        <v>11562</v>
      </c>
      <c r="AH4517" t="s">
        <v>87</v>
      </c>
    </row>
    <row r="4518" spans="1:34" x14ac:dyDescent="0.3">
      <c r="A4518">
        <v>106</v>
      </c>
      <c r="B4518" t="s">
        <v>34</v>
      </c>
      <c r="C4518">
        <v>2</v>
      </c>
      <c r="D4518" s="1" t="s">
        <v>11578</v>
      </c>
      <c r="E4518" s="1" t="s">
        <v>36</v>
      </c>
      <c r="G4518">
        <v>470197</v>
      </c>
      <c r="H4518" t="s">
        <v>11579</v>
      </c>
      <c r="I4518" t="s">
        <v>11558</v>
      </c>
      <c r="J4518">
        <v>15</v>
      </c>
      <c r="K4518">
        <v>470001</v>
      </c>
      <c r="L4518">
        <v>50033</v>
      </c>
      <c r="M4518" t="s">
        <v>39</v>
      </c>
      <c r="N4518">
        <v>696</v>
      </c>
      <c r="O4518" s="2">
        <v>46234</v>
      </c>
      <c r="P4518" s="2">
        <v>46294</v>
      </c>
      <c r="R4518" t="s">
        <v>11580</v>
      </c>
      <c r="S4518" t="str">
        <f>"0000050412329"</f>
        <v>0000050412329</v>
      </c>
      <c r="T4518" t="s">
        <v>41</v>
      </c>
      <c r="U4518">
        <v>6091.8</v>
      </c>
      <c r="V4518">
        <v>6091.8</v>
      </c>
      <c r="W4518">
        <v>6091.8</v>
      </c>
      <c r="X4518">
        <v>0</v>
      </c>
      <c r="Y4518">
        <v>0</v>
      </c>
      <c r="Z4518">
        <v>-519</v>
      </c>
      <c r="AA4518" t="s">
        <v>11581</v>
      </c>
      <c r="AD4518" t="s">
        <v>85</v>
      </c>
      <c r="AE4518" t="s">
        <v>11582</v>
      </c>
      <c r="AF4518" t="s">
        <v>85</v>
      </c>
      <c r="AG4518" s="1" t="s">
        <v>11583</v>
      </c>
      <c r="AH4518" t="s">
        <v>87</v>
      </c>
    </row>
    <row r="4519" spans="1:34" x14ac:dyDescent="0.3">
      <c r="A4519">
        <v>106</v>
      </c>
      <c r="B4519" t="s">
        <v>34</v>
      </c>
      <c r="C4519">
        <v>2</v>
      </c>
      <c r="D4519" s="1" t="s">
        <v>11584</v>
      </c>
      <c r="E4519" s="1" t="s">
        <v>36</v>
      </c>
      <c r="G4519">
        <v>470197</v>
      </c>
      <c r="H4519" t="s">
        <v>11579</v>
      </c>
      <c r="I4519" t="s">
        <v>11558</v>
      </c>
      <c r="J4519">
        <v>15</v>
      </c>
      <c r="K4519">
        <v>470001</v>
      </c>
      <c r="L4519">
        <v>50033</v>
      </c>
      <c r="M4519" t="s">
        <v>39</v>
      </c>
      <c r="N4519">
        <v>696</v>
      </c>
      <c r="O4519" s="2">
        <v>46203</v>
      </c>
      <c r="P4519" s="2">
        <v>46263</v>
      </c>
      <c r="R4519" t="s">
        <v>11585</v>
      </c>
      <c r="S4519" t="str">
        <f>"0000050409387"</f>
        <v>0000050409387</v>
      </c>
      <c r="T4519" t="s">
        <v>41</v>
      </c>
      <c r="U4519">
        <v>28050.54</v>
      </c>
      <c r="V4519">
        <v>21958.74</v>
      </c>
      <c r="W4519">
        <v>21958.74</v>
      </c>
      <c r="X4519">
        <v>0</v>
      </c>
      <c r="Y4519">
        <v>0</v>
      </c>
      <c r="Z4519">
        <v>-488</v>
      </c>
      <c r="AA4519" t="s">
        <v>11586</v>
      </c>
      <c r="AD4519" t="s">
        <v>85</v>
      </c>
      <c r="AE4519" t="s">
        <v>11582</v>
      </c>
      <c r="AF4519" t="s">
        <v>85</v>
      </c>
      <c r="AG4519" s="1" t="s">
        <v>11583</v>
      </c>
      <c r="AH4519" t="s">
        <v>87</v>
      </c>
    </row>
    <row r="4520" spans="1:34" x14ac:dyDescent="0.3">
      <c r="A4520">
        <v>106</v>
      </c>
      <c r="B4520" t="s">
        <v>34</v>
      </c>
      <c r="C4520">
        <v>2</v>
      </c>
      <c r="D4520" s="1" t="s">
        <v>11587</v>
      </c>
      <c r="E4520" s="1" t="s">
        <v>36</v>
      </c>
      <c r="G4520">
        <v>470197</v>
      </c>
      <c r="H4520" t="s">
        <v>11579</v>
      </c>
      <c r="I4520" t="s">
        <v>11558</v>
      </c>
      <c r="J4520">
        <v>15</v>
      </c>
      <c r="K4520">
        <v>470001</v>
      </c>
      <c r="L4520">
        <v>50033</v>
      </c>
      <c r="M4520" t="s">
        <v>39</v>
      </c>
      <c r="N4520">
        <v>696</v>
      </c>
      <c r="O4520" s="2">
        <v>46209</v>
      </c>
      <c r="P4520" s="2">
        <v>46269</v>
      </c>
      <c r="R4520" t="s">
        <v>11588</v>
      </c>
      <c r="S4520" t="str">
        <f>"0000050409530"</f>
        <v>0000050409530</v>
      </c>
      <c r="T4520" t="s">
        <v>41</v>
      </c>
      <c r="U4520">
        <v>8521.19</v>
      </c>
      <c r="V4520">
        <v>8521.19</v>
      </c>
      <c r="W4520">
        <v>8521.19</v>
      </c>
      <c r="X4520">
        <v>0</v>
      </c>
      <c r="Y4520">
        <v>0</v>
      </c>
      <c r="Z4520">
        <v>-494</v>
      </c>
      <c r="AA4520" t="s">
        <v>11586</v>
      </c>
      <c r="AD4520" t="s">
        <v>85</v>
      </c>
      <c r="AE4520" t="s">
        <v>11582</v>
      </c>
      <c r="AF4520" t="s">
        <v>85</v>
      </c>
      <c r="AG4520" s="1" t="s">
        <v>11583</v>
      </c>
      <c r="AH4520" t="s">
        <v>87</v>
      </c>
    </row>
    <row r="4521" spans="1:34" x14ac:dyDescent="0.3">
      <c r="A4521">
        <v>104</v>
      </c>
      <c r="B4521" t="s">
        <v>34</v>
      </c>
      <c r="C4521">
        <v>4</v>
      </c>
      <c r="D4521" s="1" t="s">
        <v>11589</v>
      </c>
      <c r="E4521" s="1" t="s">
        <v>36</v>
      </c>
      <c r="G4521">
        <v>470197</v>
      </c>
      <c r="H4521" t="s">
        <v>11579</v>
      </c>
      <c r="I4521" t="s">
        <v>11558</v>
      </c>
      <c r="J4521">
        <v>15</v>
      </c>
      <c r="K4521">
        <v>470001</v>
      </c>
      <c r="L4521">
        <v>50033</v>
      </c>
      <c r="M4521" t="s">
        <v>39</v>
      </c>
      <c r="N4521">
        <v>696</v>
      </c>
      <c r="O4521" s="2">
        <v>46234</v>
      </c>
      <c r="P4521" s="2">
        <v>46294</v>
      </c>
      <c r="R4521" t="s">
        <v>11590</v>
      </c>
      <c r="S4521" t="str">
        <f>"0000050412280"</f>
        <v>0000050412280</v>
      </c>
      <c r="T4521" t="s">
        <v>41</v>
      </c>
      <c r="U4521">
        <v>8847.35</v>
      </c>
      <c r="V4521">
        <v>8847.35</v>
      </c>
      <c r="W4521">
        <v>8847.35</v>
      </c>
      <c r="X4521">
        <v>0</v>
      </c>
      <c r="Y4521">
        <v>0</v>
      </c>
      <c r="Z4521">
        <v>-519</v>
      </c>
      <c r="AA4521" t="s">
        <v>11591</v>
      </c>
      <c r="AD4521" t="s">
        <v>85</v>
      </c>
      <c r="AE4521" t="s">
        <v>11582</v>
      </c>
      <c r="AF4521" t="s">
        <v>85</v>
      </c>
      <c r="AG4521" s="1" t="s">
        <v>11583</v>
      </c>
      <c r="AH4521" t="s">
        <v>87</v>
      </c>
    </row>
    <row r="4522" spans="1:34" x14ac:dyDescent="0.3">
      <c r="A4522">
        <v>104</v>
      </c>
      <c r="B4522" t="s">
        <v>34</v>
      </c>
      <c r="C4522">
        <v>4</v>
      </c>
      <c r="D4522" s="1" t="s">
        <v>11592</v>
      </c>
      <c r="E4522" s="1" t="s">
        <v>36</v>
      </c>
      <c r="G4522">
        <v>470197</v>
      </c>
      <c r="H4522" t="s">
        <v>11579</v>
      </c>
      <c r="I4522" t="s">
        <v>11558</v>
      </c>
      <c r="J4522">
        <v>15</v>
      </c>
      <c r="K4522">
        <v>470001</v>
      </c>
      <c r="L4522">
        <v>50033</v>
      </c>
      <c r="M4522" t="s">
        <v>39</v>
      </c>
      <c r="N4522">
        <v>696</v>
      </c>
      <c r="O4522" s="2">
        <v>46203</v>
      </c>
      <c r="P4522" s="2">
        <v>46265</v>
      </c>
      <c r="R4522" t="s">
        <v>11593</v>
      </c>
      <c r="S4522" t="str">
        <f>"0000050409476"</f>
        <v>0000050409476</v>
      </c>
      <c r="T4522" t="s">
        <v>41</v>
      </c>
      <c r="U4522">
        <v>84010.2</v>
      </c>
      <c r="V4522">
        <v>75162.850000000006</v>
      </c>
      <c r="W4522">
        <v>75162.850000000006</v>
      </c>
      <c r="X4522">
        <v>0</v>
      </c>
      <c r="Y4522">
        <v>0</v>
      </c>
      <c r="Z4522">
        <v>-490</v>
      </c>
      <c r="AA4522" t="s">
        <v>11594</v>
      </c>
      <c r="AD4522" t="s">
        <v>85</v>
      </c>
      <c r="AE4522" t="s">
        <v>11582</v>
      </c>
      <c r="AF4522" t="s">
        <v>85</v>
      </c>
      <c r="AG4522" s="1" t="s">
        <v>11583</v>
      </c>
      <c r="AH4522" t="s">
        <v>87</v>
      </c>
    </row>
    <row r="4523" spans="1:34" x14ac:dyDescent="0.3">
      <c r="A4523">
        <v>104</v>
      </c>
      <c r="B4523" t="s">
        <v>34</v>
      </c>
      <c r="C4523">
        <v>4</v>
      </c>
      <c r="D4523" s="1" t="s">
        <v>11595</v>
      </c>
      <c r="E4523" s="1" t="s">
        <v>36</v>
      </c>
      <c r="G4523">
        <v>470197</v>
      </c>
      <c r="H4523" t="s">
        <v>11579</v>
      </c>
      <c r="I4523" t="s">
        <v>11558</v>
      </c>
      <c r="J4523">
        <v>15</v>
      </c>
      <c r="K4523">
        <v>470001</v>
      </c>
      <c r="L4523">
        <v>50033</v>
      </c>
      <c r="M4523" t="s">
        <v>39</v>
      </c>
      <c r="N4523">
        <v>696</v>
      </c>
      <c r="O4523" s="2">
        <v>46188</v>
      </c>
      <c r="P4523" s="2">
        <v>46287</v>
      </c>
      <c r="R4523" t="s">
        <v>11596</v>
      </c>
      <c r="S4523" t="str">
        <f>"0000050406477"</f>
        <v>0000050406477</v>
      </c>
      <c r="T4523" t="s">
        <v>41</v>
      </c>
      <c r="U4523">
        <v>12992</v>
      </c>
      <c r="V4523">
        <v>12992</v>
      </c>
      <c r="W4523">
        <v>12992</v>
      </c>
      <c r="X4523">
        <v>0</v>
      </c>
      <c r="Y4523">
        <v>0</v>
      </c>
      <c r="Z4523">
        <v>-512</v>
      </c>
      <c r="AA4523">
        <v>690533</v>
      </c>
      <c r="AD4523" t="s">
        <v>85</v>
      </c>
      <c r="AE4523" t="s">
        <v>11582</v>
      </c>
      <c r="AF4523" t="s">
        <v>85</v>
      </c>
      <c r="AG4523" s="1" t="s">
        <v>11583</v>
      </c>
      <c r="AH4523" t="s">
        <v>87</v>
      </c>
    </row>
    <row r="4524" spans="1:34" x14ac:dyDescent="0.3">
      <c r="A4524">
        <v>101</v>
      </c>
      <c r="B4524" t="s">
        <v>34</v>
      </c>
      <c r="C4524">
        <v>2</v>
      </c>
      <c r="D4524" s="1" t="s">
        <v>11597</v>
      </c>
      <c r="E4524" s="1" t="s">
        <v>36</v>
      </c>
      <c r="G4524">
        <v>5392</v>
      </c>
      <c r="H4524" t="s">
        <v>11598</v>
      </c>
      <c r="I4524" t="s">
        <v>11599</v>
      </c>
      <c r="J4524">
        <v>12</v>
      </c>
      <c r="K4524">
        <v>5392</v>
      </c>
      <c r="L4524">
        <v>50033</v>
      </c>
      <c r="M4524" t="s">
        <v>39</v>
      </c>
      <c r="N4524">
        <v>700</v>
      </c>
      <c r="O4524" s="2">
        <v>46233</v>
      </c>
      <c r="P4524" s="2">
        <v>46263</v>
      </c>
      <c r="R4524" t="s">
        <v>11600</v>
      </c>
      <c r="S4524" t="str">
        <f>"0000050411624"</f>
        <v>0000050411624</v>
      </c>
      <c r="T4524" t="s">
        <v>41</v>
      </c>
      <c r="U4524">
        <v>3701.55</v>
      </c>
      <c r="V4524">
        <v>3701.55</v>
      </c>
      <c r="W4524">
        <v>3701.55</v>
      </c>
      <c r="X4524">
        <v>0</v>
      </c>
      <c r="Y4524">
        <v>0</v>
      </c>
      <c r="Z4524">
        <v>-488</v>
      </c>
      <c r="AA4524">
        <v>4017</v>
      </c>
      <c r="AD4524" t="s">
        <v>11601</v>
      </c>
      <c r="AE4524" t="s">
        <v>11602</v>
      </c>
      <c r="AF4524" t="s">
        <v>11601</v>
      </c>
      <c r="AG4524">
        <v>24021677000921</v>
      </c>
      <c r="AH4524" t="s">
        <v>1462</v>
      </c>
    </row>
    <row r="4525" spans="1:34" x14ac:dyDescent="0.3">
      <c r="A4525">
        <v>101</v>
      </c>
      <c r="B4525" t="s">
        <v>34</v>
      </c>
      <c r="C4525">
        <v>2</v>
      </c>
      <c r="D4525" s="1" t="s">
        <v>11603</v>
      </c>
      <c r="E4525" s="1" t="s">
        <v>36</v>
      </c>
      <c r="G4525">
        <v>5394</v>
      </c>
      <c r="H4525" t="s">
        <v>11604</v>
      </c>
      <c r="I4525" t="s">
        <v>11605</v>
      </c>
      <c r="J4525">
        <v>12</v>
      </c>
      <c r="K4525">
        <v>5394</v>
      </c>
      <c r="L4525">
        <v>50033</v>
      </c>
      <c r="M4525" t="s">
        <v>39</v>
      </c>
      <c r="N4525">
        <v>700</v>
      </c>
      <c r="O4525" s="2">
        <v>46251</v>
      </c>
      <c r="P4525" s="2">
        <v>46279</v>
      </c>
      <c r="R4525" t="s">
        <v>11606</v>
      </c>
      <c r="S4525" t="str">
        <f>"0000050413457"</f>
        <v>0000050413457</v>
      </c>
      <c r="T4525" t="s">
        <v>41</v>
      </c>
      <c r="U4525">
        <v>1913.47</v>
      </c>
      <c r="V4525">
        <v>1913.47</v>
      </c>
      <c r="W4525">
        <v>1913.47</v>
      </c>
      <c r="X4525">
        <v>0</v>
      </c>
      <c r="Y4525">
        <v>0</v>
      </c>
      <c r="Z4525">
        <v>-504</v>
      </c>
      <c r="AA4525">
        <v>4710</v>
      </c>
      <c r="AD4525" t="s">
        <v>11607</v>
      </c>
      <c r="AE4525">
        <v>3438240202</v>
      </c>
      <c r="AF4525" t="s">
        <v>11607</v>
      </c>
      <c r="AG4525">
        <v>19260041000145</v>
      </c>
      <c r="AH4525" t="s">
        <v>1462</v>
      </c>
    </row>
    <row r="4526" spans="1:34" x14ac:dyDescent="0.3">
      <c r="A4526">
        <v>101</v>
      </c>
      <c r="B4526" t="s">
        <v>34</v>
      </c>
      <c r="C4526">
        <v>2</v>
      </c>
      <c r="D4526" s="1" t="s">
        <v>11608</v>
      </c>
      <c r="E4526" s="1" t="s">
        <v>36</v>
      </c>
      <c r="G4526">
        <v>5549</v>
      </c>
      <c r="H4526" t="s">
        <v>11609</v>
      </c>
      <c r="I4526" t="s">
        <v>11610</v>
      </c>
      <c r="J4526">
        <v>12</v>
      </c>
      <c r="K4526">
        <v>5549</v>
      </c>
      <c r="L4526">
        <v>50341</v>
      </c>
      <c r="M4526" t="s">
        <v>146</v>
      </c>
      <c r="N4526">
        <v>700</v>
      </c>
      <c r="O4526" s="2">
        <v>46235</v>
      </c>
      <c r="P4526" s="2">
        <v>46263</v>
      </c>
      <c r="R4526" t="s">
        <v>11611</v>
      </c>
      <c r="S4526" t="str">
        <f>"00013441"</f>
        <v>00013441</v>
      </c>
      <c r="T4526" t="s">
        <v>41</v>
      </c>
      <c r="U4526">
        <v>912.12</v>
      </c>
      <c r="V4526">
        <v>866.12</v>
      </c>
      <c r="W4526">
        <v>866.12</v>
      </c>
      <c r="X4526">
        <v>0</v>
      </c>
      <c r="Y4526">
        <v>0</v>
      </c>
      <c r="Z4526">
        <v>-488</v>
      </c>
      <c r="AA4526">
        <v>4144</v>
      </c>
      <c r="AD4526" t="s">
        <v>1612</v>
      </c>
      <c r="AE4526" t="s">
        <v>11612</v>
      </c>
      <c r="AF4526" t="s">
        <v>1612</v>
      </c>
      <c r="AG4526" s="1" t="s">
        <v>11613</v>
      </c>
      <c r="AH4526" t="s">
        <v>1462</v>
      </c>
    </row>
    <row r="4527" spans="1:34" x14ac:dyDescent="0.3">
      <c r="A4527">
        <v>101</v>
      </c>
      <c r="B4527" t="s">
        <v>34</v>
      </c>
      <c r="C4527">
        <v>2</v>
      </c>
      <c r="D4527" s="1" t="s">
        <v>11608</v>
      </c>
      <c r="E4527" s="1" t="s">
        <v>122</v>
      </c>
      <c r="G4527">
        <v>5549</v>
      </c>
      <c r="H4527" t="s">
        <v>11609</v>
      </c>
      <c r="I4527" t="s">
        <v>11610</v>
      </c>
      <c r="J4527">
        <v>12</v>
      </c>
      <c r="K4527">
        <v>5549</v>
      </c>
      <c r="L4527">
        <v>50341</v>
      </c>
      <c r="M4527" t="s">
        <v>146</v>
      </c>
      <c r="N4527">
        <v>700</v>
      </c>
      <c r="O4527" s="2">
        <v>46235</v>
      </c>
      <c r="P4527" s="2">
        <v>46270</v>
      </c>
      <c r="R4527" t="s">
        <v>11611</v>
      </c>
      <c r="S4527" t="str">
        <f>"00013442"</f>
        <v>00013442</v>
      </c>
      <c r="T4527" t="s">
        <v>41</v>
      </c>
      <c r="U4527">
        <v>912.12</v>
      </c>
      <c r="V4527">
        <v>866.12</v>
      </c>
      <c r="W4527">
        <v>866.12</v>
      </c>
      <c r="X4527">
        <v>0</v>
      </c>
      <c r="Y4527">
        <v>0</v>
      </c>
      <c r="Z4527">
        <v>-495</v>
      </c>
      <c r="AA4527">
        <v>4144</v>
      </c>
      <c r="AD4527" t="s">
        <v>1612</v>
      </c>
      <c r="AE4527" t="s">
        <v>11612</v>
      </c>
      <c r="AF4527" t="s">
        <v>1612</v>
      </c>
      <c r="AG4527" s="1" t="s">
        <v>11613</v>
      </c>
      <c r="AH4527" t="s">
        <v>1462</v>
      </c>
    </row>
    <row r="4528" spans="1:34" x14ac:dyDescent="0.3">
      <c r="A4528">
        <v>101</v>
      </c>
      <c r="B4528" t="s">
        <v>34</v>
      </c>
      <c r="C4528">
        <v>2</v>
      </c>
      <c r="D4528" s="1" t="s">
        <v>11614</v>
      </c>
      <c r="E4528" s="1" t="s">
        <v>122</v>
      </c>
      <c r="G4528">
        <v>5549</v>
      </c>
      <c r="H4528" t="s">
        <v>11609</v>
      </c>
      <c r="I4528" t="s">
        <v>11610</v>
      </c>
      <c r="J4528">
        <v>12</v>
      </c>
      <c r="K4528">
        <v>5549</v>
      </c>
      <c r="L4528">
        <v>50341</v>
      </c>
      <c r="M4528" t="s">
        <v>146</v>
      </c>
      <c r="N4528">
        <v>700</v>
      </c>
      <c r="O4528" s="2">
        <v>46230</v>
      </c>
      <c r="P4528" s="2">
        <v>46265</v>
      </c>
      <c r="R4528" t="s">
        <v>11615</v>
      </c>
      <c r="S4528" t="str">
        <f>"00013318"</f>
        <v>00013318</v>
      </c>
      <c r="T4528" t="s">
        <v>41</v>
      </c>
      <c r="U4528">
        <v>2652.7</v>
      </c>
      <c r="V4528">
        <v>2517.6999999999998</v>
      </c>
      <c r="W4528">
        <v>2517.6999999999998</v>
      </c>
      <c r="X4528">
        <v>0</v>
      </c>
      <c r="Y4528">
        <v>0</v>
      </c>
      <c r="Z4528">
        <v>-490</v>
      </c>
      <c r="AA4528">
        <v>1765</v>
      </c>
      <c r="AD4528" t="s">
        <v>1612</v>
      </c>
      <c r="AE4528" t="s">
        <v>11612</v>
      </c>
      <c r="AF4528" t="s">
        <v>1612</v>
      </c>
      <c r="AG4528" s="1" t="s">
        <v>11613</v>
      </c>
      <c r="AH4528" t="s">
        <v>1462</v>
      </c>
    </row>
    <row r="4529" spans="1:34" x14ac:dyDescent="0.3">
      <c r="A4529">
        <v>101</v>
      </c>
      <c r="B4529" t="s">
        <v>34</v>
      </c>
      <c r="C4529">
        <v>2</v>
      </c>
      <c r="D4529" s="1" t="s">
        <v>11614</v>
      </c>
      <c r="E4529" s="1" t="s">
        <v>36</v>
      </c>
      <c r="G4529">
        <v>5549</v>
      </c>
      <c r="H4529" t="s">
        <v>11609</v>
      </c>
      <c r="I4529" t="s">
        <v>11610</v>
      </c>
      <c r="J4529">
        <v>12</v>
      </c>
      <c r="K4529">
        <v>5549</v>
      </c>
      <c r="L4529">
        <v>50341</v>
      </c>
      <c r="M4529" t="s">
        <v>146</v>
      </c>
      <c r="N4529">
        <v>700</v>
      </c>
      <c r="O4529" s="2">
        <v>46230</v>
      </c>
      <c r="P4529" s="2">
        <v>46258</v>
      </c>
      <c r="R4529" t="s">
        <v>11615</v>
      </c>
      <c r="S4529" t="str">
        <f>"00013317"</f>
        <v>00013317</v>
      </c>
      <c r="T4529" t="s">
        <v>41</v>
      </c>
      <c r="U4529">
        <v>3041.95</v>
      </c>
      <c r="V4529">
        <v>2906.95</v>
      </c>
      <c r="W4529">
        <v>2906.95</v>
      </c>
      <c r="X4529">
        <v>0</v>
      </c>
      <c r="Y4529">
        <v>0</v>
      </c>
      <c r="Z4529">
        <v>-483</v>
      </c>
      <c r="AA4529">
        <v>1765</v>
      </c>
      <c r="AD4529" t="s">
        <v>1612</v>
      </c>
      <c r="AE4529" t="s">
        <v>11612</v>
      </c>
      <c r="AF4529" t="s">
        <v>1612</v>
      </c>
      <c r="AG4529" s="1" t="s">
        <v>11613</v>
      </c>
      <c r="AH4529" t="s">
        <v>1462</v>
      </c>
    </row>
    <row r="4530" spans="1:34" x14ac:dyDescent="0.3">
      <c r="A4530">
        <v>101</v>
      </c>
      <c r="B4530" t="s">
        <v>34</v>
      </c>
      <c r="C4530">
        <v>2</v>
      </c>
      <c r="D4530" s="1" t="s">
        <v>11616</v>
      </c>
      <c r="E4530" s="1" t="s">
        <v>36</v>
      </c>
      <c r="G4530">
        <v>6300</v>
      </c>
      <c r="H4530" t="s">
        <v>11617</v>
      </c>
      <c r="I4530" t="s">
        <v>11618</v>
      </c>
      <c r="J4530">
        <v>34</v>
      </c>
      <c r="K4530">
        <v>8474</v>
      </c>
      <c r="L4530">
        <v>50033</v>
      </c>
      <c r="M4530" t="s">
        <v>39</v>
      </c>
      <c r="N4530">
        <v>700</v>
      </c>
      <c r="O4530" s="2">
        <v>46251</v>
      </c>
      <c r="P4530" s="2">
        <v>46266</v>
      </c>
      <c r="R4530" t="s">
        <v>11619</v>
      </c>
      <c r="S4530" t="str">
        <f>"0000050413503"</f>
        <v>0000050413503</v>
      </c>
      <c r="T4530" t="s">
        <v>41</v>
      </c>
      <c r="U4530">
        <v>4812.54</v>
      </c>
      <c r="V4530">
        <v>4572.54</v>
      </c>
      <c r="W4530">
        <v>4572.54</v>
      </c>
      <c r="X4530">
        <v>0</v>
      </c>
      <c r="Y4530">
        <v>0</v>
      </c>
      <c r="Z4530">
        <v>-491</v>
      </c>
      <c r="AA4530">
        <v>4557</v>
      </c>
      <c r="AD4530" t="s">
        <v>1994</v>
      </c>
      <c r="AE4530" t="s">
        <v>11620</v>
      </c>
      <c r="AF4530" t="s">
        <v>1994</v>
      </c>
      <c r="AG4530">
        <v>42985218000354</v>
      </c>
      <c r="AH4530" t="s">
        <v>1462</v>
      </c>
    </row>
    <row r="4531" spans="1:34" x14ac:dyDescent="0.3">
      <c r="A4531">
        <v>101</v>
      </c>
      <c r="B4531" t="s">
        <v>34</v>
      </c>
      <c r="C4531">
        <v>2</v>
      </c>
      <c r="D4531" s="1" t="s">
        <v>11621</v>
      </c>
      <c r="E4531" s="1" t="s">
        <v>36</v>
      </c>
      <c r="G4531">
        <v>9373</v>
      </c>
      <c r="H4531" t="s">
        <v>11622</v>
      </c>
      <c r="I4531" t="s">
        <v>11623</v>
      </c>
      <c r="J4531">
        <v>12</v>
      </c>
      <c r="K4531">
        <v>5549</v>
      </c>
      <c r="L4531">
        <v>50341</v>
      </c>
      <c r="M4531" t="s">
        <v>146</v>
      </c>
      <c r="N4531">
        <v>700</v>
      </c>
      <c r="O4531" s="2">
        <v>46245</v>
      </c>
      <c r="P4531" s="2">
        <v>46273</v>
      </c>
      <c r="R4531" t="s">
        <v>11624</v>
      </c>
      <c r="S4531" t="str">
        <f>"00013653"</f>
        <v>00013653</v>
      </c>
      <c r="T4531" t="s">
        <v>41</v>
      </c>
      <c r="U4531">
        <v>690.12</v>
      </c>
      <c r="V4531">
        <v>657.62</v>
      </c>
      <c r="W4531">
        <v>657.62</v>
      </c>
      <c r="X4531">
        <v>0</v>
      </c>
      <c r="Y4531">
        <v>0</v>
      </c>
      <c r="Z4531">
        <v>-498</v>
      </c>
      <c r="AA4531">
        <v>4249</v>
      </c>
      <c r="AD4531" t="s">
        <v>1612</v>
      </c>
      <c r="AE4531" t="s">
        <v>11625</v>
      </c>
      <c r="AF4531" t="s">
        <v>1612</v>
      </c>
      <c r="AG4531" s="1" t="s">
        <v>11626</v>
      </c>
      <c r="AH4531" t="s">
        <v>1462</v>
      </c>
    </row>
    <row r="4532" spans="1:34" x14ac:dyDescent="0.3">
      <c r="A4532">
        <v>101</v>
      </c>
      <c r="B4532" t="s">
        <v>34</v>
      </c>
      <c r="C4532">
        <v>2</v>
      </c>
      <c r="D4532" s="1" t="s">
        <v>11621</v>
      </c>
      <c r="E4532" s="1" t="s">
        <v>122</v>
      </c>
      <c r="G4532">
        <v>9373</v>
      </c>
      <c r="H4532" t="s">
        <v>11622</v>
      </c>
      <c r="I4532" t="s">
        <v>11623</v>
      </c>
      <c r="J4532">
        <v>12</v>
      </c>
      <c r="K4532">
        <v>5549</v>
      </c>
      <c r="L4532">
        <v>50341</v>
      </c>
      <c r="M4532" t="s">
        <v>146</v>
      </c>
      <c r="N4532">
        <v>700</v>
      </c>
      <c r="O4532" s="2">
        <v>46245</v>
      </c>
      <c r="P4532" s="2">
        <v>46280</v>
      </c>
      <c r="R4532" t="s">
        <v>11624</v>
      </c>
      <c r="S4532" t="str">
        <f>"00013654"</f>
        <v>00013654</v>
      </c>
      <c r="T4532" t="s">
        <v>41</v>
      </c>
      <c r="U4532">
        <v>690.12</v>
      </c>
      <c r="V4532">
        <v>657.62</v>
      </c>
      <c r="W4532">
        <v>657.62</v>
      </c>
      <c r="X4532">
        <v>0</v>
      </c>
      <c r="Y4532">
        <v>0</v>
      </c>
      <c r="Z4532">
        <v>-505</v>
      </c>
      <c r="AA4532">
        <v>4249</v>
      </c>
      <c r="AD4532" t="s">
        <v>1612</v>
      </c>
      <c r="AE4532" t="s">
        <v>11625</v>
      </c>
      <c r="AF4532" t="s">
        <v>1612</v>
      </c>
      <c r="AG4532" s="1" t="s">
        <v>11626</v>
      </c>
      <c r="AH4532" t="s">
        <v>1462</v>
      </c>
    </row>
    <row r="4533" spans="1:34" x14ac:dyDescent="0.3">
      <c r="A4533">
        <v>101</v>
      </c>
      <c r="B4533" t="s">
        <v>34</v>
      </c>
      <c r="C4533">
        <v>2</v>
      </c>
      <c r="D4533" s="1" t="s">
        <v>11627</v>
      </c>
      <c r="E4533" s="1" t="s">
        <v>36</v>
      </c>
      <c r="G4533">
        <v>9373</v>
      </c>
      <c r="H4533" t="s">
        <v>11622</v>
      </c>
      <c r="I4533" t="s">
        <v>11623</v>
      </c>
      <c r="J4533">
        <v>12</v>
      </c>
      <c r="K4533">
        <v>5549</v>
      </c>
      <c r="L4533">
        <v>50341</v>
      </c>
      <c r="M4533" t="s">
        <v>146</v>
      </c>
      <c r="N4533">
        <v>700</v>
      </c>
      <c r="O4533" s="2">
        <v>46230</v>
      </c>
      <c r="P4533" s="2">
        <v>46258</v>
      </c>
      <c r="R4533" t="s">
        <v>11628</v>
      </c>
      <c r="S4533" t="str">
        <f>"00013322"</f>
        <v>00013322</v>
      </c>
      <c r="T4533" t="s">
        <v>41</v>
      </c>
      <c r="U4533">
        <v>1128.22</v>
      </c>
      <c r="V4533">
        <v>1068.22</v>
      </c>
      <c r="W4533">
        <v>1068.22</v>
      </c>
      <c r="X4533">
        <v>0</v>
      </c>
      <c r="Y4533">
        <v>0</v>
      </c>
      <c r="Z4533">
        <v>-483</v>
      </c>
      <c r="AA4533">
        <v>1766</v>
      </c>
      <c r="AD4533" t="s">
        <v>1612</v>
      </c>
      <c r="AE4533" t="s">
        <v>11625</v>
      </c>
      <c r="AF4533" t="s">
        <v>1612</v>
      </c>
      <c r="AG4533" s="1" t="s">
        <v>11626</v>
      </c>
      <c r="AH4533" t="s">
        <v>1462</v>
      </c>
    </row>
    <row r="4534" spans="1:34" x14ac:dyDescent="0.3">
      <c r="A4534">
        <v>101</v>
      </c>
      <c r="B4534" t="s">
        <v>34</v>
      </c>
      <c r="C4534">
        <v>2</v>
      </c>
      <c r="D4534" s="1" t="s">
        <v>11627</v>
      </c>
      <c r="E4534" s="1" t="s">
        <v>122</v>
      </c>
      <c r="G4534">
        <v>9373</v>
      </c>
      <c r="H4534" t="s">
        <v>11622</v>
      </c>
      <c r="I4534" t="s">
        <v>11623</v>
      </c>
      <c r="J4534">
        <v>12</v>
      </c>
      <c r="K4534">
        <v>5549</v>
      </c>
      <c r="L4534">
        <v>50341</v>
      </c>
      <c r="M4534" t="s">
        <v>146</v>
      </c>
      <c r="N4534">
        <v>700</v>
      </c>
      <c r="O4534" s="2">
        <v>46230</v>
      </c>
      <c r="P4534" s="2">
        <v>46265</v>
      </c>
      <c r="R4534" t="s">
        <v>11628</v>
      </c>
      <c r="S4534" t="str">
        <f>"00013323"</f>
        <v>00013323</v>
      </c>
      <c r="T4534" t="s">
        <v>41</v>
      </c>
      <c r="U4534">
        <v>994.53</v>
      </c>
      <c r="V4534">
        <v>934.53</v>
      </c>
      <c r="W4534">
        <v>934.53</v>
      </c>
      <c r="X4534">
        <v>0</v>
      </c>
      <c r="Y4534">
        <v>0</v>
      </c>
      <c r="Z4534">
        <v>-490</v>
      </c>
      <c r="AA4534">
        <v>1766</v>
      </c>
      <c r="AD4534" t="s">
        <v>1612</v>
      </c>
      <c r="AE4534" t="s">
        <v>11625</v>
      </c>
      <c r="AF4534" t="s">
        <v>1612</v>
      </c>
      <c r="AG4534" s="1" t="s">
        <v>11626</v>
      </c>
      <c r="AH4534" t="s">
        <v>1462</v>
      </c>
    </row>
    <row r="4535" spans="1:34" x14ac:dyDescent="0.3">
      <c r="A4535">
        <v>101</v>
      </c>
      <c r="B4535" t="s">
        <v>34</v>
      </c>
      <c r="C4535">
        <v>2</v>
      </c>
      <c r="D4535" s="1" t="s">
        <v>11629</v>
      </c>
      <c r="E4535" s="1" t="s">
        <v>122</v>
      </c>
      <c r="G4535">
        <v>11086</v>
      </c>
      <c r="H4535" t="s">
        <v>11630</v>
      </c>
      <c r="I4535" t="s">
        <v>11623</v>
      </c>
      <c r="J4535">
        <v>12</v>
      </c>
      <c r="K4535">
        <v>5549</v>
      </c>
      <c r="L4535">
        <v>50341</v>
      </c>
      <c r="M4535" t="s">
        <v>146</v>
      </c>
      <c r="N4535">
        <v>700</v>
      </c>
      <c r="O4535" s="2">
        <v>46230</v>
      </c>
      <c r="P4535" s="2">
        <v>46265</v>
      </c>
      <c r="R4535" t="s">
        <v>11631</v>
      </c>
      <c r="S4535" t="str">
        <f>"00013325"</f>
        <v>00013325</v>
      </c>
      <c r="T4535" t="s">
        <v>41</v>
      </c>
      <c r="U4535">
        <v>1221.83</v>
      </c>
      <c r="V4535">
        <v>1151.83</v>
      </c>
      <c r="W4535">
        <v>1151.83</v>
      </c>
      <c r="X4535">
        <v>0</v>
      </c>
      <c r="Y4535">
        <v>0</v>
      </c>
      <c r="Z4535">
        <v>-490</v>
      </c>
      <c r="AA4535">
        <v>1757</v>
      </c>
      <c r="AD4535" t="s">
        <v>1612</v>
      </c>
      <c r="AE4535" t="s">
        <v>11632</v>
      </c>
      <c r="AF4535" t="s">
        <v>1612</v>
      </c>
      <c r="AG4535" s="1" t="s">
        <v>11633</v>
      </c>
      <c r="AH4535" t="s">
        <v>1462</v>
      </c>
    </row>
    <row r="4536" spans="1:34" x14ac:dyDescent="0.3">
      <c r="A4536">
        <v>101</v>
      </c>
      <c r="B4536" t="s">
        <v>34</v>
      </c>
      <c r="C4536">
        <v>2</v>
      </c>
      <c r="D4536" s="1" t="s">
        <v>11629</v>
      </c>
      <c r="E4536" s="1" t="s">
        <v>36</v>
      </c>
      <c r="G4536">
        <v>11086</v>
      </c>
      <c r="H4536" t="s">
        <v>11630</v>
      </c>
      <c r="I4536" t="s">
        <v>11623</v>
      </c>
      <c r="J4536">
        <v>12</v>
      </c>
      <c r="K4536">
        <v>5549</v>
      </c>
      <c r="L4536">
        <v>50341</v>
      </c>
      <c r="M4536" t="s">
        <v>146</v>
      </c>
      <c r="N4536">
        <v>700</v>
      </c>
      <c r="O4536" s="2">
        <v>46230</v>
      </c>
      <c r="P4536" s="2">
        <v>46258</v>
      </c>
      <c r="R4536" t="s">
        <v>11631</v>
      </c>
      <c r="S4536" t="str">
        <f>"00013324"</f>
        <v>00013324</v>
      </c>
      <c r="T4536" t="s">
        <v>41</v>
      </c>
      <c r="U4536">
        <v>1439.32</v>
      </c>
      <c r="V4536">
        <v>1369.32</v>
      </c>
      <c r="W4536">
        <v>1369.32</v>
      </c>
      <c r="X4536">
        <v>0</v>
      </c>
      <c r="Y4536">
        <v>0</v>
      </c>
      <c r="Z4536">
        <v>-483</v>
      </c>
      <c r="AA4536">
        <v>1757</v>
      </c>
      <c r="AD4536" t="s">
        <v>1612</v>
      </c>
      <c r="AE4536" t="s">
        <v>11632</v>
      </c>
      <c r="AF4536" t="s">
        <v>1612</v>
      </c>
      <c r="AG4536" s="1" t="s">
        <v>11633</v>
      </c>
      <c r="AH4536" t="s">
        <v>1462</v>
      </c>
    </row>
    <row r="4537" spans="1:34" x14ac:dyDescent="0.3">
      <c r="A4537">
        <v>101</v>
      </c>
      <c r="B4537" t="s">
        <v>34</v>
      </c>
      <c r="C4537">
        <v>2</v>
      </c>
      <c r="D4537" s="1" t="s">
        <v>11634</v>
      </c>
      <c r="E4537" s="1" t="s">
        <v>122</v>
      </c>
      <c r="G4537">
        <v>11086</v>
      </c>
      <c r="H4537" t="s">
        <v>11630</v>
      </c>
      <c r="I4537" t="s">
        <v>11623</v>
      </c>
      <c r="J4537">
        <v>12</v>
      </c>
      <c r="K4537">
        <v>5549</v>
      </c>
      <c r="L4537">
        <v>50341</v>
      </c>
      <c r="M4537" t="s">
        <v>146</v>
      </c>
      <c r="N4537">
        <v>700</v>
      </c>
      <c r="O4537" s="2">
        <v>46235</v>
      </c>
      <c r="P4537" s="2">
        <v>46270</v>
      </c>
      <c r="R4537" t="s">
        <v>11635</v>
      </c>
      <c r="S4537" t="str">
        <f>"00013444"</f>
        <v>00013444</v>
      </c>
      <c r="T4537" t="s">
        <v>41</v>
      </c>
      <c r="U4537">
        <v>912.12</v>
      </c>
      <c r="V4537">
        <v>866.12</v>
      </c>
      <c r="W4537">
        <v>866.12</v>
      </c>
      <c r="X4537">
        <v>0</v>
      </c>
      <c r="Y4537">
        <v>0</v>
      </c>
      <c r="Z4537">
        <v>-495</v>
      </c>
      <c r="AA4537">
        <v>4145</v>
      </c>
      <c r="AD4537" t="s">
        <v>1612</v>
      </c>
      <c r="AE4537" t="s">
        <v>11632</v>
      </c>
      <c r="AF4537" t="s">
        <v>1612</v>
      </c>
      <c r="AG4537" s="1" t="s">
        <v>11633</v>
      </c>
      <c r="AH4537" t="s">
        <v>1462</v>
      </c>
    </row>
    <row r="4538" spans="1:34" x14ac:dyDescent="0.3">
      <c r="A4538">
        <v>101</v>
      </c>
      <c r="B4538" t="s">
        <v>34</v>
      </c>
      <c r="C4538">
        <v>2</v>
      </c>
      <c r="D4538" s="1" t="s">
        <v>11634</v>
      </c>
      <c r="E4538" s="1" t="s">
        <v>36</v>
      </c>
      <c r="G4538">
        <v>11086</v>
      </c>
      <c r="H4538" t="s">
        <v>11630</v>
      </c>
      <c r="I4538" t="s">
        <v>11623</v>
      </c>
      <c r="J4538">
        <v>12</v>
      </c>
      <c r="K4538">
        <v>5549</v>
      </c>
      <c r="L4538">
        <v>50341</v>
      </c>
      <c r="M4538" t="s">
        <v>146</v>
      </c>
      <c r="N4538">
        <v>700</v>
      </c>
      <c r="O4538" s="2">
        <v>46235</v>
      </c>
      <c r="P4538" s="2">
        <v>46263</v>
      </c>
      <c r="R4538" t="s">
        <v>11635</v>
      </c>
      <c r="S4538" t="str">
        <f>"00013443"</f>
        <v>00013443</v>
      </c>
      <c r="T4538" t="s">
        <v>41</v>
      </c>
      <c r="U4538">
        <v>912.12</v>
      </c>
      <c r="V4538">
        <v>866.12</v>
      </c>
      <c r="W4538">
        <v>866.12</v>
      </c>
      <c r="X4538">
        <v>0</v>
      </c>
      <c r="Y4538">
        <v>0</v>
      </c>
      <c r="Z4538">
        <v>-488</v>
      </c>
      <c r="AA4538">
        <v>4145</v>
      </c>
      <c r="AD4538" t="s">
        <v>1612</v>
      </c>
      <c r="AE4538" t="s">
        <v>11632</v>
      </c>
      <c r="AF4538" t="s">
        <v>1612</v>
      </c>
      <c r="AG4538" s="1" t="s">
        <v>11633</v>
      </c>
      <c r="AH4538" t="s">
        <v>1462</v>
      </c>
    </row>
    <row r="4539" spans="1:34" x14ac:dyDescent="0.3">
      <c r="A4539">
        <v>101</v>
      </c>
      <c r="B4539" t="s">
        <v>34</v>
      </c>
      <c r="C4539">
        <v>2</v>
      </c>
      <c r="D4539" s="1" t="s">
        <v>11636</v>
      </c>
      <c r="E4539" s="1" t="s">
        <v>36</v>
      </c>
      <c r="G4539">
        <v>12730</v>
      </c>
      <c r="H4539" t="s">
        <v>11637</v>
      </c>
      <c r="I4539" t="s">
        <v>11623</v>
      </c>
      <c r="J4539">
        <v>12</v>
      </c>
      <c r="K4539">
        <v>5549</v>
      </c>
      <c r="L4539">
        <v>50341</v>
      </c>
      <c r="M4539" t="s">
        <v>146</v>
      </c>
      <c r="N4539">
        <v>700</v>
      </c>
      <c r="O4539" s="2">
        <v>46240</v>
      </c>
      <c r="P4539" s="2">
        <v>46268</v>
      </c>
      <c r="R4539" t="s">
        <v>11638</v>
      </c>
      <c r="S4539" t="str">
        <f>"00013607"</f>
        <v>00013607</v>
      </c>
      <c r="T4539" t="s">
        <v>41</v>
      </c>
      <c r="U4539">
        <v>803.22</v>
      </c>
      <c r="V4539">
        <v>763.22</v>
      </c>
      <c r="W4539">
        <v>763.22</v>
      </c>
      <c r="X4539">
        <v>0</v>
      </c>
      <c r="Y4539">
        <v>0</v>
      </c>
      <c r="Z4539">
        <v>-493</v>
      </c>
      <c r="AA4539">
        <v>4251</v>
      </c>
      <c r="AD4539" t="s">
        <v>1612</v>
      </c>
      <c r="AF4539" t="s">
        <v>1612</v>
      </c>
      <c r="AG4539" s="1" t="s">
        <v>11639</v>
      </c>
      <c r="AH4539" t="s">
        <v>1462</v>
      </c>
    </row>
    <row r="4540" spans="1:34" x14ac:dyDescent="0.3">
      <c r="A4540">
        <v>101</v>
      </c>
      <c r="B4540" t="s">
        <v>34</v>
      </c>
      <c r="C4540">
        <v>2</v>
      </c>
      <c r="D4540" s="1" t="s">
        <v>11636</v>
      </c>
      <c r="E4540" s="1" t="s">
        <v>122</v>
      </c>
      <c r="G4540">
        <v>12730</v>
      </c>
      <c r="H4540" t="s">
        <v>11637</v>
      </c>
      <c r="I4540" t="s">
        <v>11623</v>
      </c>
      <c r="J4540">
        <v>12</v>
      </c>
      <c r="K4540">
        <v>5549</v>
      </c>
      <c r="L4540">
        <v>50341</v>
      </c>
      <c r="M4540" t="s">
        <v>146</v>
      </c>
      <c r="N4540">
        <v>700</v>
      </c>
      <c r="O4540" s="2">
        <v>46240</v>
      </c>
      <c r="P4540" s="2">
        <v>46275</v>
      </c>
      <c r="R4540" t="s">
        <v>11638</v>
      </c>
      <c r="S4540" t="str">
        <f>"00013608"</f>
        <v>00013608</v>
      </c>
      <c r="T4540" t="s">
        <v>41</v>
      </c>
      <c r="U4540">
        <v>803.22</v>
      </c>
      <c r="V4540">
        <v>763.22</v>
      </c>
      <c r="W4540">
        <v>763.22</v>
      </c>
      <c r="X4540">
        <v>0</v>
      </c>
      <c r="Y4540">
        <v>0</v>
      </c>
      <c r="Z4540">
        <v>-500</v>
      </c>
      <c r="AA4540">
        <v>4251</v>
      </c>
      <c r="AD4540" t="s">
        <v>1612</v>
      </c>
      <c r="AF4540" t="s">
        <v>1612</v>
      </c>
      <c r="AG4540" s="1" t="s">
        <v>11639</v>
      </c>
      <c r="AH4540" t="s">
        <v>1462</v>
      </c>
    </row>
    <row r="4541" spans="1:34" x14ac:dyDescent="0.3">
      <c r="A4541">
        <v>101</v>
      </c>
      <c r="B4541" t="s">
        <v>34</v>
      </c>
      <c r="C4541">
        <v>2</v>
      </c>
      <c r="D4541" s="1" t="s">
        <v>11640</v>
      </c>
      <c r="E4541" s="1" t="s">
        <v>36</v>
      </c>
      <c r="G4541">
        <v>12730</v>
      </c>
      <c r="H4541" t="s">
        <v>11637</v>
      </c>
      <c r="I4541" t="s">
        <v>11623</v>
      </c>
      <c r="J4541">
        <v>12</v>
      </c>
      <c r="K4541">
        <v>5549</v>
      </c>
      <c r="L4541">
        <v>50341</v>
      </c>
      <c r="M4541" t="s">
        <v>146</v>
      </c>
      <c r="N4541">
        <v>700</v>
      </c>
      <c r="O4541" s="2">
        <v>46230</v>
      </c>
      <c r="P4541" s="2">
        <v>46258</v>
      </c>
      <c r="R4541" t="s">
        <v>11641</v>
      </c>
      <c r="S4541" t="str">
        <f>"00013330"</f>
        <v>00013330</v>
      </c>
      <c r="T4541" t="s">
        <v>41</v>
      </c>
      <c r="U4541">
        <v>1766.98</v>
      </c>
      <c r="V4541">
        <v>1676.98</v>
      </c>
      <c r="W4541">
        <v>1676.98</v>
      </c>
      <c r="X4541">
        <v>0</v>
      </c>
      <c r="Y4541">
        <v>0</v>
      </c>
      <c r="Z4541">
        <v>-483</v>
      </c>
      <c r="AA4541">
        <v>1767</v>
      </c>
      <c r="AD4541" t="s">
        <v>1612</v>
      </c>
      <c r="AF4541" t="s">
        <v>1612</v>
      </c>
      <c r="AG4541" s="1" t="s">
        <v>11639</v>
      </c>
      <c r="AH4541" t="s">
        <v>1462</v>
      </c>
    </row>
    <row r="4542" spans="1:34" x14ac:dyDescent="0.3">
      <c r="A4542">
        <v>101</v>
      </c>
      <c r="B4542" t="s">
        <v>34</v>
      </c>
      <c r="C4542">
        <v>2</v>
      </c>
      <c r="D4542" s="1" t="s">
        <v>11640</v>
      </c>
      <c r="E4542" s="1" t="s">
        <v>122</v>
      </c>
      <c r="G4542">
        <v>12730</v>
      </c>
      <c r="H4542" t="s">
        <v>11637</v>
      </c>
      <c r="I4542" t="s">
        <v>11623</v>
      </c>
      <c r="J4542">
        <v>12</v>
      </c>
      <c r="K4542">
        <v>5549</v>
      </c>
      <c r="L4542">
        <v>50341</v>
      </c>
      <c r="M4542" t="s">
        <v>146</v>
      </c>
      <c r="N4542">
        <v>700</v>
      </c>
      <c r="O4542" s="2">
        <v>46230</v>
      </c>
      <c r="P4542" s="2">
        <v>46265</v>
      </c>
      <c r="R4542" t="s">
        <v>11641</v>
      </c>
      <c r="S4542" t="str">
        <f>"00013331"</f>
        <v>00013331</v>
      </c>
      <c r="T4542" t="s">
        <v>41</v>
      </c>
      <c r="U4542">
        <v>1607.76</v>
      </c>
      <c r="V4542">
        <v>1517.76</v>
      </c>
      <c r="W4542">
        <v>1517.76</v>
      </c>
      <c r="X4542">
        <v>0</v>
      </c>
      <c r="Y4542">
        <v>0</v>
      </c>
      <c r="Z4542">
        <v>-490</v>
      </c>
      <c r="AA4542">
        <v>1767</v>
      </c>
      <c r="AD4542" t="s">
        <v>1612</v>
      </c>
      <c r="AF4542" t="s">
        <v>1612</v>
      </c>
      <c r="AG4542" s="1" t="s">
        <v>11639</v>
      </c>
      <c r="AH4542" t="s">
        <v>1462</v>
      </c>
    </row>
    <row r="4543" spans="1:34" x14ac:dyDescent="0.3">
      <c r="A4543">
        <v>101</v>
      </c>
      <c r="B4543" t="s">
        <v>34</v>
      </c>
      <c r="C4543">
        <v>2</v>
      </c>
      <c r="D4543" s="1" t="s">
        <v>11642</v>
      </c>
      <c r="E4543" s="1" t="s">
        <v>36</v>
      </c>
      <c r="G4543">
        <v>435042</v>
      </c>
      <c r="H4543" t="s">
        <v>11643</v>
      </c>
      <c r="I4543" t="s">
        <v>11623</v>
      </c>
      <c r="J4543">
        <v>12</v>
      </c>
      <c r="K4543">
        <v>5549</v>
      </c>
      <c r="L4543">
        <v>50341</v>
      </c>
      <c r="M4543" t="s">
        <v>146</v>
      </c>
      <c r="N4543">
        <v>700</v>
      </c>
      <c r="O4543" s="2">
        <v>46233</v>
      </c>
      <c r="P4543" s="2">
        <v>46261</v>
      </c>
      <c r="R4543" t="s">
        <v>11644</v>
      </c>
      <c r="S4543" t="str">
        <f>"00013367"</f>
        <v>00013367</v>
      </c>
      <c r="T4543" t="s">
        <v>41</v>
      </c>
      <c r="U4543">
        <v>1002.26</v>
      </c>
      <c r="V4543">
        <v>956.26</v>
      </c>
      <c r="W4543">
        <v>956.26</v>
      </c>
      <c r="X4543">
        <v>0</v>
      </c>
      <c r="Y4543">
        <v>0</v>
      </c>
      <c r="Z4543">
        <v>-486</v>
      </c>
      <c r="AA4543">
        <v>1768</v>
      </c>
      <c r="AD4543" t="s">
        <v>1612</v>
      </c>
      <c r="AE4543" s="1" t="s">
        <v>11645</v>
      </c>
      <c r="AF4543" t="s">
        <v>1612</v>
      </c>
      <c r="AG4543" s="1" t="s">
        <v>11646</v>
      </c>
      <c r="AH4543" t="s">
        <v>1462</v>
      </c>
    </row>
    <row r="4544" spans="1:34" x14ac:dyDescent="0.3">
      <c r="A4544">
        <v>101</v>
      </c>
      <c r="B4544" t="s">
        <v>34</v>
      </c>
      <c r="C4544">
        <v>2</v>
      </c>
      <c r="D4544" s="1" t="s">
        <v>11642</v>
      </c>
      <c r="E4544" s="1" t="s">
        <v>122</v>
      </c>
      <c r="G4544">
        <v>435042</v>
      </c>
      <c r="H4544" t="s">
        <v>11643</v>
      </c>
      <c r="I4544" t="s">
        <v>11623</v>
      </c>
      <c r="J4544">
        <v>12</v>
      </c>
      <c r="K4544">
        <v>5549</v>
      </c>
      <c r="L4544">
        <v>50341</v>
      </c>
      <c r="M4544" t="s">
        <v>146</v>
      </c>
      <c r="N4544">
        <v>700</v>
      </c>
      <c r="O4544" s="2">
        <v>46233</v>
      </c>
      <c r="P4544" s="2">
        <v>46268</v>
      </c>
      <c r="R4544" t="s">
        <v>11644</v>
      </c>
      <c r="S4544" t="str">
        <f>"00013368"</f>
        <v>00013368</v>
      </c>
      <c r="T4544" t="s">
        <v>41</v>
      </c>
      <c r="U4544">
        <v>942.33</v>
      </c>
      <c r="V4544">
        <v>896.33</v>
      </c>
      <c r="W4544">
        <v>896.33</v>
      </c>
      <c r="X4544">
        <v>0</v>
      </c>
      <c r="Y4544">
        <v>0</v>
      </c>
      <c r="Z4544">
        <v>-493</v>
      </c>
      <c r="AA4544">
        <v>1768</v>
      </c>
      <c r="AD4544" t="s">
        <v>1612</v>
      </c>
      <c r="AE4544" s="1" t="s">
        <v>11645</v>
      </c>
      <c r="AF4544" t="s">
        <v>1612</v>
      </c>
      <c r="AG4544" s="1" t="s">
        <v>11646</v>
      </c>
      <c r="AH4544" t="s">
        <v>1462</v>
      </c>
    </row>
    <row r="4545" spans="1:34" x14ac:dyDescent="0.3">
      <c r="A4545">
        <v>101</v>
      </c>
      <c r="B4545" t="s">
        <v>34</v>
      </c>
      <c r="C4545">
        <v>2</v>
      </c>
      <c r="D4545" s="1" t="s">
        <v>11647</v>
      </c>
      <c r="E4545" s="1" t="s">
        <v>36</v>
      </c>
      <c r="G4545">
        <v>435042</v>
      </c>
      <c r="H4545" t="s">
        <v>11643</v>
      </c>
      <c r="I4545" t="s">
        <v>11623</v>
      </c>
      <c r="J4545">
        <v>12</v>
      </c>
      <c r="K4545">
        <v>5549</v>
      </c>
      <c r="L4545">
        <v>50341</v>
      </c>
      <c r="M4545" t="s">
        <v>146</v>
      </c>
      <c r="N4545">
        <v>700</v>
      </c>
      <c r="O4545" s="2">
        <v>46240</v>
      </c>
      <c r="P4545" s="2">
        <v>46268</v>
      </c>
      <c r="R4545" t="s">
        <v>11648</v>
      </c>
      <c r="S4545" t="str">
        <f>"00013611"</f>
        <v>00013611</v>
      </c>
      <c r="T4545" t="s">
        <v>41</v>
      </c>
      <c r="U4545">
        <v>803.22</v>
      </c>
      <c r="V4545">
        <v>763.22</v>
      </c>
      <c r="W4545">
        <v>763.22</v>
      </c>
      <c r="X4545">
        <v>0</v>
      </c>
      <c r="Y4545">
        <v>0</v>
      </c>
      <c r="Z4545">
        <v>-493</v>
      </c>
      <c r="AA4545">
        <v>4252</v>
      </c>
      <c r="AD4545" t="s">
        <v>1612</v>
      </c>
      <c r="AE4545" s="1" t="s">
        <v>11645</v>
      </c>
      <c r="AF4545" t="s">
        <v>1612</v>
      </c>
      <c r="AG4545" s="1" t="s">
        <v>11646</v>
      </c>
      <c r="AH4545" t="s">
        <v>1462</v>
      </c>
    </row>
    <row r="4546" spans="1:34" x14ac:dyDescent="0.3">
      <c r="A4546">
        <v>101</v>
      </c>
      <c r="B4546" t="s">
        <v>34</v>
      </c>
      <c r="C4546">
        <v>2</v>
      </c>
      <c r="D4546" s="1" t="s">
        <v>11647</v>
      </c>
      <c r="E4546" s="1" t="s">
        <v>122</v>
      </c>
      <c r="G4546">
        <v>435042</v>
      </c>
      <c r="H4546" t="s">
        <v>11643</v>
      </c>
      <c r="I4546" t="s">
        <v>11623</v>
      </c>
      <c r="J4546">
        <v>12</v>
      </c>
      <c r="K4546">
        <v>5549</v>
      </c>
      <c r="L4546">
        <v>50341</v>
      </c>
      <c r="M4546" t="s">
        <v>146</v>
      </c>
      <c r="N4546">
        <v>700</v>
      </c>
      <c r="O4546" s="2">
        <v>46240</v>
      </c>
      <c r="P4546" s="2">
        <v>46275</v>
      </c>
      <c r="R4546" t="s">
        <v>11648</v>
      </c>
      <c r="S4546" t="str">
        <f>"00013612"</f>
        <v>00013612</v>
      </c>
      <c r="T4546" t="s">
        <v>41</v>
      </c>
      <c r="U4546">
        <v>803.22</v>
      </c>
      <c r="V4546">
        <v>763.22</v>
      </c>
      <c r="W4546">
        <v>763.22</v>
      </c>
      <c r="X4546">
        <v>0</v>
      </c>
      <c r="Y4546">
        <v>0</v>
      </c>
      <c r="Z4546">
        <v>-500</v>
      </c>
      <c r="AA4546">
        <v>4252</v>
      </c>
      <c r="AD4546" t="s">
        <v>1612</v>
      </c>
      <c r="AE4546" s="1" t="s">
        <v>11645</v>
      </c>
      <c r="AF4546" t="s">
        <v>1612</v>
      </c>
      <c r="AG4546" s="1" t="s">
        <v>11646</v>
      </c>
      <c r="AH4546" t="s">
        <v>1462</v>
      </c>
    </row>
    <row r="4547" spans="1:34" x14ac:dyDescent="0.3">
      <c r="A4547">
        <v>101</v>
      </c>
      <c r="B4547" t="s">
        <v>34</v>
      </c>
      <c r="C4547">
        <v>2</v>
      </c>
      <c r="D4547" s="1" t="s">
        <v>11649</v>
      </c>
      <c r="E4547" s="1" t="s">
        <v>36</v>
      </c>
      <c r="G4547">
        <v>436099</v>
      </c>
      <c r="H4547" t="s">
        <v>11650</v>
      </c>
      <c r="I4547" t="s">
        <v>11651</v>
      </c>
      <c r="J4547">
        <v>34</v>
      </c>
      <c r="K4547">
        <v>8474</v>
      </c>
      <c r="L4547">
        <v>50033</v>
      </c>
      <c r="M4547" t="s">
        <v>39</v>
      </c>
      <c r="N4547">
        <v>700</v>
      </c>
      <c r="O4547" s="2">
        <v>46251</v>
      </c>
      <c r="P4547" s="2">
        <v>46266</v>
      </c>
      <c r="R4547" t="s">
        <v>11652</v>
      </c>
      <c r="S4547" t="str">
        <f>"0000050413538"</f>
        <v>0000050413538</v>
      </c>
      <c r="T4547" t="s">
        <v>41</v>
      </c>
      <c r="U4547">
        <v>3142.28</v>
      </c>
      <c r="V4547">
        <v>2952.28</v>
      </c>
      <c r="W4547">
        <v>2952.28</v>
      </c>
      <c r="X4547">
        <v>0</v>
      </c>
      <c r="Y4547">
        <v>0</v>
      </c>
      <c r="Z4547">
        <v>-491</v>
      </c>
      <c r="AA4547">
        <v>4560</v>
      </c>
      <c r="AD4547" t="s">
        <v>11653</v>
      </c>
      <c r="AE4547" t="s">
        <v>11654</v>
      </c>
      <c r="AF4547" t="s">
        <v>11653</v>
      </c>
      <c r="AG4547">
        <v>42985218000869</v>
      </c>
      <c r="AH4547" t="s">
        <v>1462</v>
      </c>
    </row>
    <row r="4548" spans="1:34" x14ac:dyDescent="0.3">
      <c r="A4548">
        <v>101</v>
      </c>
      <c r="B4548" t="s">
        <v>34</v>
      </c>
      <c r="C4548">
        <v>2</v>
      </c>
      <c r="D4548" s="1" t="s">
        <v>11655</v>
      </c>
      <c r="E4548" s="1" t="s">
        <v>36</v>
      </c>
      <c r="G4548">
        <v>436141</v>
      </c>
      <c r="H4548" t="s">
        <v>11656</v>
      </c>
      <c r="I4548" t="s">
        <v>11657</v>
      </c>
      <c r="J4548">
        <v>12</v>
      </c>
      <c r="K4548">
        <v>5549</v>
      </c>
      <c r="L4548">
        <v>50341</v>
      </c>
      <c r="M4548" t="s">
        <v>146</v>
      </c>
      <c r="N4548">
        <v>700</v>
      </c>
      <c r="O4548" s="2">
        <v>46240</v>
      </c>
      <c r="P4548" s="2">
        <v>46268</v>
      </c>
      <c r="R4548" t="s">
        <v>11658</v>
      </c>
      <c r="S4548" t="str">
        <f>"00013615"</f>
        <v>00013615</v>
      </c>
      <c r="T4548" t="s">
        <v>41</v>
      </c>
      <c r="U4548">
        <v>803.22</v>
      </c>
      <c r="V4548">
        <v>763.22</v>
      </c>
      <c r="W4548">
        <v>763.22</v>
      </c>
      <c r="X4548">
        <v>0</v>
      </c>
      <c r="Y4548">
        <v>0</v>
      </c>
      <c r="Z4548">
        <v>-493</v>
      </c>
      <c r="AA4548">
        <v>4253</v>
      </c>
      <c r="AD4548" t="s">
        <v>1612</v>
      </c>
      <c r="AE4548" t="s">
        <v>11659</v>
      </c>
      <c r="AF4548" t="s">
        <v>1612</v>
      </c>
      <c r="AG4548" s="1" t="s">
        <v>11660</v>
      </c>
      <c r="AH4548" t="s">
        <v>1462</v>
      </c>
    </row>
    <row r="4549" spans="1:34" x14ac:dyDescent="0.3">
      <c r="A4549">
        <v>101</v>
      </c>
      <c r="B4549" t="s">
        <v>34</v>
      </c>
      <c r="C4549">
        <v>2</v>
      </c>
      <c r="D4549" s="1" t="s">
        <v>11655</v>
      </c>
      <c r="E4549" s="1" t="s">
        <v>122</v>
      </c>
      <c r="G4549">
        <v>436141</v>
      </c>
      <c r="H4549" t="s">
        <v>11656</v>
      </c>
      <c r="I4549" t="s">
        <v>11657</v>
      </c>
      <c r="J4549">
        <v>12</v>
      </c>
      <c r="K4549">
        <v>5549</v>
      </c>
      <c r="L4549">
        <v>50341</v>
      </c>
      <c r="M4549" t="s">
        <v>146</v>
      </c>
      <c r="N4549">
        <v>700</v>
      </c>
      <c r="O4549" s="2">
        <v>46240</v>
      </c>
      <c r="P4549" s="2">
        <v>46275</v>
      </c>
      <c r="R4549" t="s">
        <v>11658</v>
      </c>
      <c r="S4549" t="str">
        <f>"00013616"</f>
        <v>00013616</v>
      </c>
      <c r="T4549" t="s">
        <v>41</v>
      </c>
      <c r="U4549">
        <v>803.22</v>
      </c>
      <c r="V4549">
        <v>763.22</v>
      </c>
      <c r="W4549">
        <v>763.22</v>
      </c>
      <c r="X4549">
        <v>0</v>
      </c>
      <c r="Y4549">
        <v>0</v>
      </c>
      <c r="Z4549">
        <v>-500</v>
      </c>
      <c r="AA4549">
        <v>4253</v>
      </c>
      <c r="AD4549" t="s">
        <v>1612</v>
      </c>
      <c r="AE4549" t="s">
        <v>11659</v>
      </c>
      <c r="AF4549" t="s">
        <v>1612</v>
      </c>
      <c r="AG4549" s="1" t="s">
        <v>11660</v>
      </c>
      <c r="AH4549" t="s">
        <v>1462</v>
      </c>
    </row>
    <row r="4550" spans="1:34" x14ac:dyDescent="0.3">
      <c r="A4550">
        <v>101</v>
      </c>
      <c r="B4550" t="s">
        <v>34</v>
      </c>
      <c r="C4550">
        <v>2</v>
      </c>
      <c r="D4550" s="1" t="s">
        <v>11661</v>
      </c>
      <c r="E4550" s="1" t="s">
        <v>36</v>
      </c>
      <c r="G4550">
        <v>436141</v>
      </c>
      <c r="H4550" t="s">
        <v>11656</v>
      </c>
      <c r="I4550" t="s">
        <v>11657</v>
      </c>
      <c r="J4550">
        <v>12</v>
      </c>
      <c r="K4550">
        <v>5549</v>
      </c>
      <c r="L4550">
        <v>50341</v>
      </c>
      <c r="M4550" t="s">
        <v>146</v>
      </c>
      <c r="N4550">
        <v>700</v>
      </c>
      <c r="O4550" s="2">
        <v>46233</v>
      </c>
      <c r="P4550" s="2">
        <v>46261</v>
      </c>
      <c r="R4550" t="s">
        <v>11662</v>
      </c>
      <c r="S4550" t="str">
        <f>"00013369"</f>
        <v>00013369</v>
      </c>
      <c r="T4550" t="s">
        <v>41</v>
      </c>
      <c r="U4550">
        <v>1365.93</v>
      </c>
      <c r="V4550">
        <v>1298.43</v>
      </c>
      <c r="W4550">
        <v>1298.43</v>
      </c>
      <c r="X4550">
        <v>0</v>
      </c>
      <c r="Y4550">
        <v>0</v>
      </c>
      <c r="Z4550">
        <v>-486</v>
      </c>
      <c r="AA4550">
        <v>1769</v>
      </c>
      <c r="AD4550" t="s">
        <v>1612</v>
      </c>
      <c r="AE4550" t="s">
        <v>11659</v>
      </c>
      <c r="AF4550" t="s">
        <v>1612</v>
      </c>
      <c r="AG4550" s="1" t="s">
        <v>11660</v>
      </c>
      <c r="AH4550" t="s">
        <v>1462</v>
      </c>
    </row>
    <row r="4551" spans="1:34" x14ac:dyDescent="0.3">
      <c r="A4551">
        <v>101</v>
      </c>
      <c r="B4551" t="s">
        <v>34</v>
      </c>
      <c r="C4551">
        <v>2</v>
      </c>
      <c r="D4551" s="1" t="s">
        <v>11661</v>
      </c>
      <c r="E4551" s="1" t="s">
        <v>122</v>
      </c>
      <c r="G4551">
        <v>436141</v>
      </c>
      <c r="H4551" t="s">
        <v>11656</v>
      </c>
      <c r="I4551" t="s">
        <v>11657</v>
      </c>
      <c r="J4551">
        <v>12</v>
      </c>
      <c r="K4551">
        <v>5549</v>
      </c>
      <c r="L4551">
        <v>50341</v>
      </c>
      <c r="M4551" t="s">
        <v>146</v>
      </c>
      <c r="N4551">
        <v>700</v>
      </c>
      <c r="O4551" s="2">
        <v>46233</v>
      </c>
      <c r="P4551" s="2">
        <v>46268</v>
      </c>
      <c r="R4551" t="s">
        <v>11662</v>
      </c>
      <c r="S4551" t="str">
        <f>"00013370"</f>
        <v>00013370</v>
      </c>
      <c r="T4551" t="s">
        <v>41</v>
      </c>
      <c r="U4551">
        <v>1225.6300000000001</v>
      </c>
      <c r="V4551">
        <v>1158.1300000000001</v>
      </c>
      <c r="W4551">
        <v>1158.1300000000001</v>
      </c>
      <c r="X4551">
        <v>0</v>
      </c>
      <c r="Y4551">
        <v>0</v>
      </c>
      <c r="Z4551">
        <v>-493</v>
      </c>
      <c r="AA4551">
        <v>1769</v>
      </c>
      <c r="AD4551" t="s">
        <v>1612</v>
      </c>
      <c r="AE4551" t="s">
        <v>11659</v>
      </c>
      <c r="AF4551" t="s">
        <v>1612</v>
      </c>
      <c r="AG4551" s="1" t="s">
        <v>11660</v>
      </c>
      <c r="AH4551" t="s">
        <v>1462</v>
      </c>
    </row>
    <row r="4552" spans="1:34" x14ac:dyDescent="0.3">
      <c r="A4552">
        <v>101</v>
      </c>
      <c r="B4552" t="s">
        <v>34</v>
      </c>
      <c r="C4552">
        <v>2</v>
      </c>
      <c r="D4552" s="1" t="s">
        <v>11663</v>
      </c>
      <c r="E4552" s="1" t="s">
        <v>36</v>
      </c>
      <c r="G4552">
        <v>447196</v>
      </c>
      <c r="H4552" t="s">
        <v>11664</v>
      </c>
      <c r="I4552" t="s">
        <v>11651</v>
      </c>
      <c r="J4552">
        <v>34</v>
      </c>
      <c r="K4552">
        <v>8474</v>
      </c>
      <c r="L4552">
        <v>50033</v>
      </c>
      <c r="M4552" t="s">
        <v>39</v>
      </c>
      <c r="N4552">
        <v>700</v>
      </c>
      <c r="O4552" s="2">
        <v>46251</v>
      </c>
      <c r="P4552" s="2">
        <v>46266</v>
      </c>
      <c r="R4552" t="s">
        <v>11665</v>
      </c>
      <c r="S4552" t="str">
        <f>"0000050413546"</f>
        <v>0000050413546</v>
      </c>
      <c r="T4552" t="s">
        <v>41</v>
      </c>
      <c r="U4552">
        <v>4911.8100000000004</v>
      </c>
      <c r="V4552">
        <v>4666.8100000000004</v>
      </c>
      <c r="W4552">
        <v>4666.8100000000004</v>
      </c>
      <c r="X4552">
        <v>0</v>
      </c>
      <c r="Y4552">
        <v>0</v>
      </c>
      <c r="Z4552">
        <v>-491</v>
      </c>
      <c r="AA4552">
        <v>4561</v>
      </c>
      <c r="AD4552" t="s">
        <v>1467</v>
      </c>
      <c r="AE4552" t="s">
        <v>11666</v>
      </c>
      <c r="AF4552" t="s">
        <v>1467</v>
      </c>
      <c r="AG4552">
        <v>42985218000940</v>
      </c>
      <c r="AH4552" t="s">
        <v>1462</v>
      </c>
    </row>
    <row r="4553" spans="1:34" x14ac:dyDescent="0.3">
      <c r="A4553">
        <v>104</v>
      </c>
      <c r="B4553" t="s">
        <v>34</v>
      </c>
      <c r="C4553">
        <v>4</v>
      </c>
      <c r="D4553" s="1" t="s">
        <v>11667</v>
      </c>
      <c r="E4553" s="1" t="s">
        <v>116</v>
      </c>
      <c r="G4553">
        <v>449814</v>
      </c>
      <c r="H4553" t="s">
        <v>11668</v>
      </c>
      <c r="I4553" t="s">
        <v>11669</v>
      </c>
      <c r="J4553">
        <v>26</v>
      </c>
      <c r="K4553">
        <v>449814</v>
      </c>
      <c r="L4553">
        <v>50001</v>
      </c>
      <c r="M4553" t="s">
        <v>39</v>
      </c>
      <c r="N4553">
        <v>700</v>
      </c>
      <c r="O4553" s="2">
        <v>46185</v>
      </c>
      <c r="P4553" s="2">
        <v>46260</v>
      </c>
      <c r="R4553" t="s">
        <v>11670</v>
      </c>
      <c r="S4553" t="str">
        <f>"25666160000050997"</f>
        <v>25666160000050997</v>
      </c>
      <c r="T4553" t="s">
        <v>41</v>
      </c>
      <c r="U4553">
        <v>17950.759999999998</v>
      </c>
      <c r="V4553">
        <v>16280.91</v>
      </c>
      <c r="W4553">
        <v>16280.91</v>
      </c>
      <c r="X4553">
        <v>0</v>
      </c>
      <c r="Y4553">
        <v>0</v>
      </c>
      <c r="Z4553">
        <v>-485</v>
      </c>
      <c r="AA4553">
        <v>691013</v>
      </c>
      <c r="AD4553" t="s">
        <v>1467</v>
      </c>
      <c r="AE4553" t="s">
        <v>11671</v>
      </c>
      <c r="AF4553" t="s">
        <v>1467</v>
      </c>
      <c r="AG4553">
        <v>15211327000180</v>
      </c>
      <c r="AH4553" t="s">
        <v>1462</v>
      </c>
    </row>
    <row r="4554" spans="1:34" x14ac:dyDescent="0.3">
      <c r="A4554">
        <v>104</v>
      </c>
      <c r="B4554" t="s">
        <v>34</v>
      </c>
      <c r="C4554">
        <v>4</v>
      </c>
      <c r="D4554" s="1" t="s">
        <v>11672</v>
      </c>
      <c r="E4554" s="1" t="s">
        <v>4375</v>
      </c>
      <c r="G4554">
        <v>449814</v>
      </c>
      <c r="H4554" t="s">
        <v>11668</v>
      </c>
      <c r="I4554" t="s">
        <v>11669</v>
      </c>
      <c r="J4554">
        <v>26</v>
      </c>
      <c r="K4554">
        <v>449814</v>
      </c>
      <c r="L4554">
        <v>50001</v>
      </c>
      <c r="M4554" t="s">
        <v>39</v>
      </c>
      <c r="N4554">
        <v>700</v>
      </c>
      <c r="O4554" s="2">
        <v>46172</v>
      </c>
      <c r="P4554" s="2">
        <v>46260</v>
      </c>
      <c r="R4554" t="s">
        <v>11673</v>
      </c>
      <c r="S4554" t="str">
        <f>"25666160000050878"</f>
        <v>25666160000050878</v>
      </c>
      <c r="T4554" t="s">
        <v>41</v>
      </c>
      <c r="U4554">
        <v>21711.87</v>
      </c>
      <c r="V4554">
        <v>21711.87</v>
      </c>
      <c r="W4554">
        <v>21711.87</v>
      </c>
      <c r="X4554">
        <v>0</v>
      </c>
      <c r="Y4554">
        <v>0</v>
      </c>
      <c r="Z4554">
        <v>-485</v>
      </c>
      <c r="AA4554">
        <v>689639</v>
      </c>
      <c r="AD4554" t="s">
        <v>1467</v>
      </c>
      <c r="AE4554" t="s">
        <v>11671</v>
      </c>
      <c r="AF4554" t="s">
        <v>1467</v>
      </c>
      <c r="AG4554">
        <v>15211327000180</v>
      </c>
      <c r="AH4554" t="s">
        <v>1462</v>
      </c>
    </row>
    <row r="4555" spans="1:34" x14ac:dyDescent="0.3">
      <c r="A4555">
        <v>104</v>
      </c>
      <c r="B4555" t="s">
        <v>34</v>
      </c>
      <c r="C4555">
        <v>4</v>
      </c>
      <c r="D4555" s="1" t="s">
        <v>11674</v>
      </c>
      <c r="E4555" s="1" t="s">
        <v>36</v>
      </c>
      <c r="G4555">
        <v>449814</v>
      </c>
      <c r="H4555" t="s">
        <v>11668</v>
      </c>
      <c r="I4555" t="s">
        <v>11669</v>
      </c>
      <c r="J4555">
        <v>26</v>
      </c>
      <c r="K4555">
        <v>449814</v>
      </c>
      <c r="L4555">
        <v>50001</v>
      </c>
      <c r="M4555" t="s">
        <v>39</v>
      </c>
      <c r="N4555">
        <v>700</v>
      </c>
      <c r="O4555" s="2">
        <v>46230</v>
      </c>
      <c r="P4555" s="2">
        <v>46280</v>
      </c>
      <c r="R4555" t="s">
        <v>11675</v>
      </c>
      <c r="S4555" t="str">
        <f>"25666160000051602"</f>
        <v>25666160000051602</v>
      </c>
      <c r="T4555" t="s">
        <v>41</v>
      </c>
      <c r="U4555">
        <v>29213.23</v>
      </c>
      <c r="V4555">
        <v>29213.23</v>
      </c>
      <c r="W4555">
        <v>29213.23</v>
      </c>
      <c r="X4555">
        <v>0</v>
      </c>
      <c r="Y4555">
        <v>0</v>
      </c>
      <c r="Z4555">
        <v>-505</v>
      </c>
      <c r="AA4555" t="s">
        <v>11676</v>
      </c>
      <c r="AD4555" t="s">
        <v>1467</v>
      </c>
      <c r="AE4555" t="s">
        <v>11671</v>
      </c>
      <c r="AF4555" t="s">
        <v>1467</v>
      </c>
      <c r="AG4555">
        <v>15211327000180</v>
      </c>
      <c r="AH4555" t="s">
        <v>1462</v>
      </c>
    </row>
    <row r="4556" spans="1:34" x14ac:dyDescent="0.3">
      <c r="A4556">
        <v>104</v>
      </c>
      <c r="B4556" t="s">
        <v>34</v>
      </c>
      <c r="C4556">
        <v>4</v>
      </c>
      <c r="D4556" s="1" t="s">
        <v>11677</v>
      </c>
      <c r="E4556" s="1" t="s">
        <v>4375</v>
      </c>
      <c r="G4556">
        <v>449814</v>
      </c>
      <c r="H4556" t="s">
        <v>11668</v>
      </c>
      <c r="I4556" t="s">
        <v>11669</v>
      </c>
      <c r="J4556">
        <v>26</v>
      </c>
      <c r="K4556">
        <v>449814</v>
      </c>
      <c r="L4556">
        <v>50001</v>
      </c>
      <c r="M4556" t="s">
        <v>39</v>
      </c>
      <c r="N4556">
        <v>700</v>
      </c>
      <c r="O4556" s="2">
        <v>46185</v>
      </c>
      <c r="P4556" s="2">
        <v>46265</v>
      </c>
      <c r="R4556" t="s">
        <v>11678</v>
      </c>
      <c r="S4556" t="str">
        <f>"25666160000051006"</f>
        <v>25666160000051006</v>
      </c>
      <c r="T4556" t="s">
        <v>41</v>
      </c>
      <c r="U4556">
        <v>16147.26</v>
      </c>
      <c r="V4556">
        <v>16147.26</v>
      </c>
      <c r="W4556">
        <v>16147.26</v>
      </c>
      <c r="X4556">
        <v>0</v>
      </c>
      <c r="Y4556">
        <v>0</v>
      </c>
      <c r="Z4556">
        <v>-490</v>
      </c>
      <c r="AA4556">
        <v>691013</v>
      </c>
      <c r="AD4556" t="s">
        <v>1467</v>
      </c>
      <c r="AE4556" t="s">
        <v>11671</v>
      </c>
      <c r="AF4556" t="s">
        <v>1467</v>
      </c>
      <c r="AG4556">
        <v>15211327000180</v>
      </c>
      <c r="AH4556" t="s">
        <v>1462</v>
      </c>
    </row>
    <row r="4557" spans="1:34" x14ac:dyDescent="0.3">
      <c r="A4557">
        <v>104</v>
      </c>
      <c r="B4557" t="s">
        <v>34</v>
      </c>
      <c r="C4557">
        <v>4</v>
      </c>
      <c r="D4557" s="1" t="s">
        <v>11674</v>
      </c>
      <c r="E4557" s="1" t="s">
        <v>4375</v>
      </c>
      <c r="G4557">
        <v>449814</v>
      </c>
      <c r="H4557" t="s">
        <v>11668</v>
      </c>
      <c r="I4557" t="s">
        <v>11669</v>
      </c>
      <c r="J4557">
        <v>26</v>
      </c>
      <c r="K4557">
        <v>449814</v>
      </c>
      <c r="L4557">
        <v>50001</v>
      </c>
      <c r="M4557" t="s">
        <v>39</v>
      </c>
      <c r="N4557">
        <v>700</v>
      </c>
      <c r="O4557" s="2">
        <v>46230</v>
      </c>
      <c r="P4557" s="2">
        <v>46310</v>
      </c>
      <c r="R4557" t="s">
        <v>11675</v>
      </c>
      <c r="S4557" t="str">
        <f>"25666160000051605"</f>
        <v>25666160000051605</v>
      </c>
      <c r="T4557" t="s">
        <v>41</v>
      </c>
      <c r="U4557">
        <v>22436.57</v>
      </c>
      <c r="V4557">
        <v>22436.57</v>
      </c>
      <c r="W4557">
        <v>22436.57</v>
      </c>
      <c r="X4557">
        <v>0</v>
      </c>
      <c r="Y4557">
        <v>0</v>
      </c>
      <c r="Z4557">
        <v>-535</v>
      </c>
      <c r="AA4557" t="s">
        <v>11676</v>
      </c>
      <c r="AD4557" t="s">
        <v>1467</v>
      </c>
      <c r="AE4557" t="s">
        <v>11671</v>
      </c>
      <c r="AF4557" t="s">
        <v>1467</v>
      </c>
      <c r="AG4557">
        <v>15211327000180</v>
      </c>
      <c r="AH4557" t="s">
        <v>1462</v>
      </c>
    </row>
    <row r="4558" spans="1:34" x14ac:dyDescent="0.3">
      <c r="A4558">
        <v>104</v>
      </c>
      <c r="B4558" t="s">
        <v>34</v>
      </c>
      <c r="C4558">
        <v>4</v>
      </c>
      <c r="D4558" s="1" t="s">
        <v>11679</v>
      </c>
      <c r="E4558" s="1" t="s">
        <v>36</v>
      </c>
      <c r="G4558">
        <v>449814</v>
      </c>
      <c r="H4558" t="s">
        <v>11668</v>
      </c>
      <c r="I4558" t="s">
        <v>11669</v>
      </c>
      <c r="J4558">
        <v>26</v>
      </c>
      <c r="K4558">
        <v>449814</v>
      </c>
      <c r="L4558">
        <v>50001</v>
      </c>
      <c r="M4558" t="s">
        <v>39</v>
      </c>
      <c r="N4558">
        <v>700</v>
      </c>
      <c r="O4558" s="2">
        <v>46230</v>
      </c>
      <c r="P4558" s="2">
        <v>46280</v>
      </c>
      <c r="R4558" t="s">
        <v>11680</v>
      </c>
      <c r="S4558" t="str">
        <f>"25666160000051606"</f>
        <v>25666160000051606</v>
      </c>
      <c r="T4558" t="s">
        <v>41</v>
      </c>
      <c r="U4558">
        <v>35984.730000000003</v>
      </c>
      <c r="V4558">
        <v>30987.69</v>
      </c>
      <c r="W4558">
        <v>30987.69</v>
      </c>
      <c r="X4558">
        <v>0</v>
      </c>
      <c r="Y4558">
        <v>0</v>
      </c>
      <c r="Z4558">
        <v>-505</v>
      </c>
      <c r="AA4558" t="s">
        <v>11681</v>
      </c>
      <c r="AD4558" t="s">
        <v>1467</v>
      </c>
      <c r="AE4558" t="s">
        <v>11671</v>
      </c>
      <c r="AF4558" t="s">
        <v>1467</v>
      </c>
      <c r="AG4558">
        <v>15211327000180</v>
      </c>
      <c r="AH4558" t="s">
        <v>1462</v>
      </c>
    </row>
    <row r="4559" spans="1:34" x14ac:dyDescent="0.3">
      <c r="A4559">
        <v>104</v>
      </c>
      <c r="B4559" t="s">
        <v>34</v>
      </c>
      <c r="C4559">
        <v>4</v>
      </c>
      <c r="D4559" s="1" t="s">
        <v>11679</v>
      </c>
      <c r="E4559" s="1" t="s">
        <v>122</v>
      </c>
      <c r="G4559">
        <v>449814</v>
      </c>
      <c r="H4559" t="s">
        <v>11668</v>
      </c>
      <c r="I4559" t="s">
        <v>11669</v>
      </c>
      <c r="J4559">
        <v>26</v>
      </c>
      <c r="K4559">
        <v>449814</v>
      </c>
      <c r="L4559">
        <v>50001</v>
      </c>
      <c r="M4559" t="s">
        <v>39</v>
      </c>
      <c r="N4559">
        <v>700</v>
      </c>
      <c r="O4559" s="2">
        <v>46230</v>
      </c>
      <c r="P4559" s="2">
        <v>46290</v>
      </c>
      <c r="R4559" t="s">
        <v>11680</v>
      </c>
      <c r="S4559" t="str">
        <f>"25666160000051607"</f>
        <v>25666160000051607</v>
      </c>
      <c r="T4559" t="s">
        <v>41</v>
      </c>
      <c r="U4559">
        <v>20950</v>
      </c>
      <c r="V4559">
        <v>18972.25</v>
      </c>
      <c r="W4559">
        <v>18972.25</v>
      </c>
      <c r="X4559">
        <v>0</v>
      </c>
      <c r="Y4559">
        <v>0</v>
      </c>
      <c r="Z4559">
        <v>-515</v>
      </c>
      <c r="AA4559" t="s">
        <v>11681</v>
      </c>
      <c r="AD4559" t="s">
        <v>1467</v>
      </c>
      <c r="AE4559" t="s">
        <v>11671</v>
      </c>
      <c r="AF4559" t="s">
        <v>1467</v>
      </c>
      <c r="AG4559">
        <v>15211327000180</v>
      </c>
      <c r="AH4559" t="s">
        <v>1462</v>
      </c>
    </row>
    <row r="4560" spans="1:34" x14ac:dyDescent="0.3">
      <c r="A4560">
        <v>104</v>
      </c>
      <c r="B4560" t="s">
        <v>34</v>
      </c>
      <c r="C4560">
        <v>4</v>
      </c>
      <c r="D4560" s="1" t="s">
        <v>11679</v>
      </c>
      <c r="E4560" s="1" t="s">
        <v>116</v>
      </c>
      <c r="G4560">
        <v>449814</v>
      </c>
      <c r="H4560" t="s">
        <v>11668</v>
      </c>
      <c r="I4560" t="s">
        <v>11669</v>
      </c>
      <c r="J4560">
        <v>26</v>
      </c>
      <c r="K4560">
        <v>449814</v>
      </c>
      <c r="L4560">
        <v>50001</v>
      </c>
      <c r="M4560" t="s">
        <v>39</v>
      </c>
      <c r="N4560">
        <v>700</v>
      </c>
      <c r="O4560" s="2">
        <v>46230</v>
      </c>
      <c r="P4560" s="2">
        <v>46300</v>
      </c>
      <c r="R4560" t="s">
        <v>11680</v>
      </c>
      <c r="S4560" t="str">
        <f>"25666160000051608"</f>
        <v>25666160000051608</v>
      </c>
      <c r="T4560" t="s">
        <v>41</v>
      </c>
      <c r="U4560">
        <v>20950</v>
      </c>
      <c r="V4560">
        <v>18972.25</v>
      </c>
      <c r="W4560">
        <v>18972.25</v>
      </c>
      <c r="X4560">
        <v>0</v>
      </c>
      <c r="Y4560">
        <v>0</v>
      </c>
      <c r="Z4560">
        <v>-525</v>
      </c>
      <c r="AA4560" t="s">
        <v>11681</v>
      </c>
      <c r="AD4560" t="s">
        <v>1467</v>
      </c>
      <c r="AE4560" t="s">
        <v>11671</v>
      </c>
      <c r="AF4560" t="s">
        <v>1467</v>
      </c>
      <c r="AG4560">
        <v>15211327000180</v>
      </c>
      <c r="AH4560" t="s">
        <v>1462</v>
      </c>
    </row>
    <row r="4561" spans="1:34" x14ac:dyDescent="0.3">
      <c r="A4561">
        <v>104</v>
      </c>
      <c r="B4561" t="s">
        <v>34</v>
      </c>
      <c r="C4561">
        <v>4</v>
      </c>
      <c r="D4561" s="1" t="s">
        <v>11679</v>
      </c>
      <c r="E4561" s="1" t="s">
        <v>4375</v>
      </c>
      <c r="G4561">
        <v>449814</v>
      </c>
      <c r="H4561" t="s">
        <v>11668</v>
      </c>
      <c r="I4561" t="s">
        <v>11669</v>
      </c>
      <c r="J4561">
        <v>26</v>
      </c>
      <c r="K4561">
        <v>449814</v>
      </c>
      <c r="L4561">
        <v>50001</v>
      </c>
      <c r="M4561" t="s">
        <v>39</v>
      </c>
      <c r="N4561">
        <v>700</v>
      </c>
      <c r="O4561" s="2">
        <v>46230</v>
      </c>
      <c r="P4561" s="2">
        <v>46310</v>
      </c>
      <c r="R4561" t="s">
        <v>11680</v>
      </c>
      <c r="S4561" t="str">
        <f>"25666160000051609"</f>
        <v>25666160000051609</v>
      </c>
      <c r="T4561" t="s">
        <v>41</v>
      </c>
      <c r="U4561">
        <v>20950</v>
      </c>
      <c r="V4561">
        <v>18972.25</v>
      </c>
      <c r="W4561">
        <v>18972.25</v>
      </c>
      <c r="X4561">
        <v>0</v>
      </c>
      <c r="Y4561">
        <v>0</v>
      </c>
      <c r="Z4561">
        <v>-535</v>
      </c>
      <c r="AA4561" t="s">
        <v>11681</v>
      </c>
      <c r="AD4561" t="s">
        <v>1467</v>
      </c>
      <c r="AE4561" t="s">
        <v>11671</v>
      </c>
      <c r="AF4561" t="s">
        <v>1467</v>
      </c>
      <c r="AG4561">
        <v>15211327000180</v>
      </c>
      <c r="AH4561" t="s">
        <v>1462</v>
      </c>
    </row>
    <row r="4562" spans="1:34" x14ac:dyDescent="0.3">
      <c r="A4562">
        <v>104</v>
      </c>
      <c r="B4562" t="s">
        <v>34</v>
      </c>
      <c r="C4562">
        <v>4</v>
      </c>
      <c r="D4562" s="1" t="s">
        <v>11674</v>
      </c>
      <c r="E4562" s="1" t="s">
        <v>116</v>
      </c>
      <c r="G4562">
        <v>449814</v>
      </c>
      <c r="H4562" t="s">
        <v>11668</v>
      </c>
      <c r="I4562" t="s">
        <v>11669</v>
      </c>
      <c r="J4562">
        <v>26</v>
      </c>
      <c r="K4562">
        <v>449814</v>
      </c>
      <c r="L4562">
        <v>50001</v>
      </c>
      <c r="M4562" t="s">
        <v>39</v>
      </c>
      <c r="N4562">
        <v>700</v>
      </c>
      <c r="O4562" s="2">
        <v>46230</v>
      </c>
      <c r="P4562" s="2">
        <v>46300</v>
      </c>
      <c r="R4562" t="s">
        <v>11675</v>
      </c>
      <c r="S4562" t="str">
        <f>"25666160000051604"</f>
        <v>25666160000051604</v>
      </c>
      <c r="T4562" t="s">
        <v>41</v>
      </c>
      <c r="U4562">
        <v>22436.57</v>
      </c>
      <c r="V4562">
        <v>22436.57</v>
      </c>
      <c r="W4562">
        <v>22436.57</v>
      </c>
      <c r="X4562">
        <v>0</v>
      </c>
      <c r="Y4562">
        <v>0</v>
      </c>
      <c r="Z4562">
        <v>-525</v>
      </c>
      <c r="AA4562" t="s">
        <v>11676</v>
      </c>
      <c r="AD4562" t="s">
        <v>1467</v>
      </c>
      <c r="AE4562" t="s">
        <v>11671</v>
      </c>
      <c r="AF4562" t="s">
        <v>1467</v>
      </c>
      <c r="AG4562">
        <v>15211327000180</v>
      </c>
      <c r="AH4562" t="s">
        <v>1462</v>
      </c>
    </row>
    <row r="4563" spans="1:34" x14ac:dyDescent="0.3">
      <c r="A4563">
        <v>104</v>
      </c>
      <c r="B4563" t="s">
        <v>34</v>
      </c>
      <c r="C4563">
        <v>4</v>
      </c>
      <c r="D4563" s="1" t="s">
        <v>11674</v>
      </c>
      <c r="E4563" s="1" t="s">
        <v>122</v>
      </c>
      <c r="G4563">
        <v>449814</v>
      </c>
      <c r="H4563" t="s">
        <v>11668</v>
      </c>
      <c r="I4563" t="s">
        <v>11669</v>
      </c>
      <c r="J4563">
        <v>26</v>
      </c>
      <c r="K4563">
        <v>449814</v>
      </c>
      <c r="L4563">
        <v>50001</v>
      </c>
      <c r="M4563" t="s">
        <v>39</v>
      </c>
      <c r="N4563">
        <v>700</v>
      </c>
      <c r="O4563" s="2">
        <v>46230</v>
      </c>
      <c r="P4563" s="2">
        <v>46290</v>
      </c>
      <c r="R4563" t="s">
        <v>11675</v>
      </c>
      <c r="S4563" t="str">
        <f>"25666160000051603"</f>
        <v>25666160000051603</v>
      </c>
      <c r="T4563" t="s">
        <v>41</v>
      </c>
      <c r="U4563">
        <v>22436.57</v>
      </c>
      <c r="V4563">
        <v>22436.57</v>
      </c>
      <c r="W4563">
        <v>22436.57</v>
      </c>
      <c r="X4563">
        <v>0</v>
      </c>
      <c r="Y4563">
        <v>0</v>
      </c>
      <c r="Z4563">
        <v>-515</v>
      </c>
      <c r="AA4563" t="s">
        <v>11676</v>
      </c>
      <c r="AD4563" t="s">
        <v>1467</v>
      </c>
      <c r="AE4563" t="s">
        <v>11671</v>
      </c>
      <c r="AF4563" t="s">
        <v>1467</v>
      </c>
      <c r="AG4563">
        <v>15211327000180</v>
      </c>
      <c r="AH4563" t="s">
        <v>1462</v>
      </c>
    </row>
    <row r="4564" spans="1:34" x14ac:dyDescent="0.3">
      <c r="A4564">
        <v>104</v>
      </c>
      <c r="B4564" t="s">
        <v>34</v>
      </c>
      <c r="C4564">
        <v>4</v>
      </c>
      <c r="D4564" s="1" t="s">
        <v>11667</v>
      </c>
      <c r="E4564" s="1" t="s">
        <v>4375</v>
      </c>
      <c r="G4564">
        <v>449814</v>
      </c>
      <c r="H4564" t="s">
        <v>11668</v>
      </c>
      <c r="I4564" t="s">
        <v>11669</v>
      </c>
      <c r="J4564">
        <v>26</v>
      </c>
      <c r="K4564">
        <v>449814</v>
      </c>
      <c r="L4564">
        <v>50001</v>
      </c>
      <c r="M4564" t="s">
        <v>39</v>
      </c>
      <c r="N4564">
        <v>700</v>
      </c>
      <c r="O4564" s="2">
        <v>46185</v>
      </c>
      <c r="P4564" s="2">
        <v>46265</v>
      </c>
      <c r="R4564" t="s">
        <v>11670</v>
      </c>
      <c r="S4564" t="str">
        <f>"25666160000050998"</f>
        <v>25666160000050998</v>
      </c>
      <c r="T4564" t="s">
        <v>41</v>
      </c>
      <c r="U4564">
        <v>17950.759999999998</v>
      </c>
      <c r="V4564">
        <v>16280.91</v>
      </c>
      <c r="W4564">
        <v>16280.91</v>
      </c>
      <c r="X4564">
        <v>0</v>
      </c>
      <c r="Y4564">
        <v>0</v>
      </c>
      <c r="Z4564">
        <v>-490</v>
      </c>
      <c r="AA4564">
        <v>691013</v>
      </c>
      <c r="AD4564" t="s">
        <v>1467</v>
      </c>
      <c r="AE4564" t="s">
        <v>11671</v>
      </c>
      <c r="AF4564" t="s">
        <v>1467</v>
      </c>
      <c r="AG4564">
        <v>15211327000180</v>
      </c>
      <c r="AH4564" t="s">
        <v>1462</v>
      </c>
    </row>
    <row r="4565" spans="1:34" x14ac:dyDescent="0.3">
      <c r="A4565">
        <v>104</v>
      </c>
      <c r="B4565" t="s">
        <v>34</v>
      </c>
      <c r="C4565">
        <v>4</v>
      </c>
      <c r="D4565" s="1" t="s">
        <v>11682</v>
      </c>
      <c r="E4565" s="1" t="s">
        <v>36</v>
      </c>
      <c r="G4565">
        <v>449814</v>
      </c>
      <c r="H4565" t="s">
        <v>11668</v>
      </c>
      <c r="I4565" t="s">
        <v>11669</v>
      </c>
      <c r="J4565">
        <v>26</v>
      </c>
      <c r="K4565">
        <v>449814</v>
      </c>
      <c r="L4565">
        <v>50001</v>
      </c>
      <c r="M4565" t="s">
        <v>39</v>
      </c>
      <c r="N4565">
        <v>700</v>
      </c>
      <c r="O4565" s="2">
        <v>46203</v>
      </c>
      <c r="P4565" s="2">
        <v>46261</v>
      </c>
      <c r="R4565" t="s">
        <v>11683</v>
      </c>
      <c r="S4565" t="str">
        <f>"25666160000051360"</f>
        <v>25666160000051360</v>
      </c>
      <c r="T4565" t="s">
        <v>41</v>
      </c>
      <c r="U4565">
        <v>25860.7</v>
      </c>
      <c r="V4565">
        <v>25860.7</v>
      </c>
      <c r="W4565">
        <v>25860.7</v>
      </c>
      <c r="X4565">
        <v>0</v>
      </c>
      <c r="Y4565">
        <v>0</v>
      </c>
      <c r="Z4565">
        <v>-486</v>
      </c>
      <c r="AA4565" t="s">
        <v>11684</v>
      </c>
      <c r="AD4565" t="s">
        <v>1467</v>
      </c>
      <c r="AE4565" t="s">
        <v>11671</v>
      </c>
      <c r="AF4565" t="s">
        <v>1467</v>
      </c>
      <c r="AG4565">
        <v>15211327000180</v>
      </c>
      <c r="AH4565" t="s">
        <v>1462</v>
      </c>
    </row>
    <row r="4566" spans="1:34" x14ac:dyDescent="0.3">
      <c r="A4566">
        <v>104</v>
      </c>
      <c r="B4566" t="s">
        <v>34</v>
      </c>
      <c r="C4566">
        <v>4</v>
      </c>
      <c r="D4566" s="1" t="s">
        <v>11682</v>
      </c>
      <c r="E4566" s="1" t="s">
        <v>4375</v>
      </c>
      <c r="G4566">
        <v>449814</v>
      </c>
      <c r="H4566" t="s">
        <v>11668</v>
      </c>
      <c r="I4566" t="s">
        <v>11669</v>
      </c>
      <c r="J4566">
        <v>26</v>
      </c>
      <c r="K4566">
        <v>449814</v>
      </c>
      <c r="L4566">
        <v>50001</v>
      </c>
      <c r="M4566" t="s">
        <v>39</v>
      </c>
      <c r="N4566">
        <v>700</v>
      </c>
      <c r="O4566" s="2">
        <v>46203</v>
      </c>
      <c r="P4566" s="2">
        <v>46291</v>
      </c>
      <c r="R4566" t="s">
        <v>11683</v>
      </c>
      <c r="S4566" t="str">
        <f>"25666160000051363"</f>
        <v>25666160000051363</v>
      </c>
      <c r="T4566" t="s">
        <v>41</v>
      </c>
      <c r="U4566">
        <v>17840.07</v>
      </c>
      <c r="V4566">
        <v>17840.07</v>
      </c>
      <c r="W4566">
        <v>17840.07</v>
      </c>
      <c r="X4566">
        <v>0</v>
      </c>
      <c r="Y4566">
        <v>0</v>
      </c>
      <c r="Z4566">
        <v>-516</v>
      </c>
      <c r="AA4566" t="s">
        <v>11684</v>
      </c>
      <c r="AD4566" t="s">
        <v>1467</v>
      </c>
      <c r="AE4566" t="s">
        <v>11671</v>
      </c>
      <c r="AF4566" t="s">
        <v>1467</v>
      </c>
      <c r="AG4566">
        <v>15211327000180</v>
      </c>
      <c r="AH4566" t="s">
        <v>1462</v>
      </c>
    </row>
    <row r="4567" spans="1:34" x14ac:dyDescent="0.3">
      <c r="A4567">
        <v>104</v>
      </c>
      <c r="B4567" t="s">
        <v>34</v>
      </c>
      <c r="C4567">
        <v>4</v>
      </c>
      <c r="D4567" s="1" t="s">
        <v>11682</v>
      </c>
      <c r="E4567" s="1" t="s">
        <v>116</v>
      </c>
      <c r="G4567">
        <v>449814</v>
      </c>
      <c r="H4567" t="s">
        <v>11668</v>
      </c>
      <c r="I4567" t="s">
        <v>11669</v>
      </c>
      <c r="J4567">
        <v>26</v>
      </c>
      <c r="K4567">
        <v>449814</v>
      </c>
      <c r="L4567">
        <v>50001</v>
      </c>
      <c r="M4567" t="s">
        <v>39</v>
      </c>
      <c r="N4567">
        <v>700</v>
      </c>
      <c r="O4567" s="2">
        <v>46203</v>
      </c>
      <c r="P4567" s="2">
        <v>46281</v>
      </c>
      <c r="R4567" t="s">
        <v>11683</v>
      </c>
      <c r="S4567" t="str">
        <f>"25666160000051362"</f>
        <v>25666160000051362</v>
      </c>
      <c r="T4567" t="s">
        <v>41</v>
      </c>
      <c r="U4567">
        <v>17840.060000000001</v>
      </c>
      <c r="V4567">
        <v>17840.060000000001</v>
      </c>
      <c r="W4567">
        <v>17840.060000000001</v>
      </c>
      <c r="X4567">
        <v>0</v>
      </c>
      <c r="Y4567">
        <v>0</v>
      </c>
      <c r="Z4567">
        <v>-506</v>
      </c>
      <c r="AA4567" t="s">
        <v>11684</v>
      </c>
      <c r="AD4567" t="s">
        <v>1467</v>
      </c>
      <c r="AE4567" t="s">
        <v>11671</v>
      </c>
      <c r="AF4567" t="s">
        <v>1467</v>
      </c>
      <c r="AG4567">
        <v>15211327000180</v>
      </c>
      <c r="AH4567" t="s">
        <v>1462</v>
      </c>
    </row>
    <row r="4568" spans="1:34" x14ac:dyDescent="0.3">
      <c r="A4568">
        <v>104</v>
      </c>
      <c r="B4568" t="s">
        <v>34</v>
      </c>
      <c r="C4568">
        <v>4</v>
      </c>
      <c r="D4568" s="1" t="s">
        <v>11682</v>
      </c>
      <c r="E4568" s="1" t="s">
        <v>122</v>
      </c>
      <c r="G4568">
        <v>449814</v>
      </c>
      <c r="H4568" t="s">
        <v>11668</v>
      </c>
      <c r="I4568" t="s">
        <v>11669</v>
      </c>
      <c r="J4568">
        <v>26</v>
      </c>
      <c r="K4568">
        <v>449814</v>
      </c>
      <c r="L4568">
        <v>50001</v>
      </c>
      <c r="M4568" t="s">
        <v>39</v>
      </c>
      <c r="N4568">
        <v>700</v>
      </c>
      <c r="O4568" s="2">
        <v>46203</v>
      </c>
      <c r="P4568" s="2">
        <v>46273</v>
      </c>
      <c r="R4568" t="s">
        <v>11683</v>
      </c>
      <c r="S4568" t="str">
        <f>"25666160000051361"</f>
        <v>25666160000051361</v>
      </c>
      <c r="T4568" t="s">
        <v>41</v>
      </c>
      <c r="U4568">
        <v>17840.060000000001</v>
      </c>
      <c r="V4568">
        <v>17840.060000000001</v>
      </c>
      <c r="W4568">
        <v>17840.060000000001</v>
      </c>
      <c r="X4568">
        <v>0</v>
      </c>
      <c r="Y4568">
        <v>0</v>
      </c>
      <c r="Z4568">
        <v>-498</v>
      </c>
      <c r="AA4568" t="s">
        <v>11684</v>
      </c>
      <c r="AD4568" t="s">
        <v>1467</v>
      </c>
      <c r="AE4568" t="s">
        <v>11671</v>
      </c>
      <c r="AF4568" t="s">
        <v>1467</v>
      </c>
      <c r="AG4568">
        <v>15211327000180</v>
      </c>
      <c r="AH4568" t="s">
        <v>1462</v>
      </c>
    </row>
    <row r="4569" spans="1:34" x14ac:dyDescent="0.3">
      <c r="A4569">
        <v>104</v>
      </c>
      <c r="B4569" t="s">
        <v>34</v>
      </c>
      <c r="C4569">
        <v>4</v>
      </c>
      <c r="D4569" s="1" t="s">
        <v>11677</v>
      </c>
      <c r="E4569" s="1" t="s">
        <v>116</v>
      </c>
      <c r="G4569">
        <v>449814</v>
      </c>
      <c r="H4569" t="s">
        <v>11668</v>
      </c>
      <c r="I4569" t="s">
        <v>11669</v>
      </c>
      <c r="J4569">
        <v>26</v>
      </c>
      <c r="K4569">
        <v>449814</v>
      </c>
      <c r="L4569">
        <v>50001</v>
      </c>
      <c r="M4569" t="s">
        <v>39</v>
      </c>
      <c r="N4569">
        <v>700</v>
      </c>
      <c r="O4569" s="2">
        <v>46185</v>
      </c>
      <c r="P4569" s="2">
        <v>46260</v>
      </c>
      <c r="R4569" t="s">
        <v>11678</v>
      </c>
      <c r="S4569" t="str">
        <f>"25666160000051005"</f>
        <v>25666160000051005</v>
      </c>
      <c r="T4569" t="s">
        <v>41</v>
      </c>
      <c r="U4569">
        <v>16147.27</v>
      </c>
      <c r="V4569">
        <v>16147.27</v>
      </c>
      <c r="W4569">
        <v>16147.27</v>
      </c>
      <c r="X4569">
        <v>0</v>
      </c>
      <c r="Y4569">
        <v>0</v>
      </c>
      <c r="Z4569">
        <v>-485</v>
      </c>
      <c r="AA4569">
        <v>691013</v>
      </c>
      <c r="AD4569" t="s">
        <v>1467</v>
      </c>
      <c r="AE4569" t="s">
        <v>11671</v>
      </c>
      <c r="AF4569" t="s">
        <v>1467</v>
      </c>
      <c r="AG4569">
        <v>15211327000180</v>
      </c>
      <c r="AH4569" t="s">
        <v>1462</v>
      </c>
    </row>
    <row r="4570" spans="1:34" x14ac:dyDescent="0.3">
      <c r="A4570">
        <v>104</v>
      </c>
      <c r="B4570" t="s">
        <v>34</v>
      </c>
      <c r="C4570">
        <v>4</v>
      </c>
      <c r="D4570" s="1" t="s">
        <v>11685</v>
      </c>
      <c r="E4570" s="1" t="s">
        <v>4375</v>
      </c>
      <c r="G4570">
        <v>449814</v>
      </c>
      <c r="H4570" t="s">
        <v>11668</v>
      </c>
      <c r="I4570" t="s">
        <v>11669</v>
      </c>
      <c r="J4570">
        <v>26</v>
      </c>
      <c r="K4570">
        <v>449814</v>
      </c>
      <c r="L4570">
        <v>50001</v>
      </c>
      <c r="M4570" t="s">
        <v>39</v>
      </c>
      <c r="N4570">
        <v>700</v>
      </c>
      <c r="O4570" s="2">
        <v>46185</v>
      </c>
      <c r="P4570" s="2">
        <v>46265</v>
      </c>
      <c r="R4570" t="s">
        <v>11686</v>
      </c>
      <c r="S4570" t="str">
        <f>"25666160000051002"</f>
        <v>25666160000051002</v>
      </c>
      <c r="T4570" t="s">
        <v>41</v>
      </c>
      <c r="U4570">
        <v>645.89</v>
      </c>
      <c r="V4570">
        <v>645.89</v>
      </c>
      <c r="W4570">
        <v>645.89</v>
      </c>
      <c r="X4570">
        <v>0</v>
      </c>
      <c r="Y4570">
        <v>0</v>
      </c>
      <c r="Z4570">
        <v>-490</v>
      </c>
      <c r="AA4570">
        <v>689639</v>
      </c>
      <c r="AD4570" t="s">
        <v>1467</v>
      </c>
      <c r="AE4570" t="s">
        <v>11671</v>
      </c>
      <c r="AF4570" t="s">
        <v>1467</v>
      </c>
      <c r="AG4570">
        <v>15211327000180</v>
      </c>
      <c r="AH4570" t="s">
        <v>1462</v>
      </c>
    </row>
    <row r="4571" spans="1:34" x14ac:dyDescent="0.3">
      <c r="A4571">
        <v>106</v>
      </c>
      <c r="B4571" t="s">
        <v>34</v>
      </c>
      <c r="C4571">
        <v>2</v>
      </c>
      <c r="D4571" s="1" t="s">
        <v>11687</v>
      </c>
      <c r="E4571" s="1" t="s">
        <v>122</v>
      </c>
      <c r="G4571">
        <v>449814</v>
      </c>
      <c r="H4571" t="s">
        <v>11668</v>
      </c>
      <c r="I4571" t="s">
        <v>11669</v>
      </c>
      <c r="J4571">
        <v>26</v>
      </c>
      <c r="K4571">
        <v>449814</v>
      </c>
      <c r="L4571">
        <v>50001</v>
      </c>
      <c r="M4571" t="s">
        <v>39</v>
      </c>
      <c r="N4571">
        <v>700</v>
      </c>
      <c r="O4571" s="2">
        <v>46234</v>
      </c>
      <c r="P4571" s="2">
        <v>46299</v>
      </c>
      <c r="R4571" t="s">
        <v>11688</v>
      </c>
      <c r="S4571" t="str">
        <f>"25666160000051802"</f>
        <v>25666160000051802</v>
      </c>
      <c r="T4571" t="s">
        <v>41</v>
      </c>
      <c r="U4571">
        <v>6510.78</v>
      </c>
      <c r="V4571">
        <v>6510.78</v>
      </c>
      <c r="W4571">
        <v>6510.78</v>
      </c>
      <c r="X4571">
        <v>0</v>
      </c>
      <c r="Y4571">
        <v>0</v>
      </c>
      <c r="Z4571">
        <v>-524</v>
      </c>
      <c r="AA4571">
        <v>694827</v>
      </c>
      <c r="AD4571" t="s">
        <v>1467</v>
      </c>
      <c r="AE4571" t="s">
        <v>11671</v>
      </c>
      <c r="AF4571" t="s">
        <v>1467</v>
      </c>
      <c r="AG4571">
        <v>15211327000180</v>
      </c>
      <c r="AH4571" t="s">
        <v>1462</v>
      </c>
    </row>
    <row r="4572" spans="1:34" x14ac:dyDescent="0.3">
      <c r="A4572">
        <v>106</v>
      </c>
      <c r="B4572" t="s">
        <v>34</v>
      </c>
      <c r="C4572">
        <v>2</v>
      </c>
      <c r="D4572" s="1" t="s">
        <v>11687</v>
      </c>
      <c r="E4572" s="1" t="s">
        <v>116</v>
      </c>
      <c r="G4572">
        <v>449814</v>
      </c>
      <c r="H4572" t="s">
        <v>11668</v>
      </c>
      <c r="I4572" t="s">
        <v>11669</v>
      </c>
      <c r="J4572">
        <v>26</v>
      </c>
      <c r="K4572">
        <v>449814</v>
      </c>
      <c r="L4572">
        <v>50001</v>
      </c>
      <c r="M4572" t="s">
        <v>39</v>
      </c>
      <c r="N4572">
        <v>700</v>
      </c>
      <c r="O4572" s="2">
        <v>46234</v>
      </c>
      <c r="P4572" s="2">
        <v>46309</v>
      </c>
      <c r="R4572" t="s">
        <v>11688</v>
      </c>
      <c r="S4572" t="str">
        <f>"25666160000051803"</f>
        <v>25666160000051803</v>
      </c>
      <c r="T4572" t="s">
        <v>41</v>
      </c>
      <c r="U4572">
        <v>6510.78</v>
      </c>
      <c r="V4572">
        <v>6510.78</v>
      </c>
      <c r="W4572">
        <v>6510.78</v>
      </c>
      <c r="X4572">
        <v>0</v>
      </c>
      <c r="Y4572">
        <v>0</v>
      </c>
      <c r="Z4572">
        <v>-534</v>
      </c>
      <c r="AA4572">
        <v>694827</v>
      </c>
      <c r="AD4572" t="s">
        <v>1467</v>
      </c>
      <c r="AE4572" t="s">
        <v>11671</v>
      </c>
      <c r="AF4572" t="s">
        <v>1467</v>
      </c>
      <c r="AG4572">
        <v>15211327000180</v>
      </c>
      <c r="AH4572" t="s">
        <v>1462</v>
      </c>
    </row>
    <row r="4573" spans="1:34" x14ac:dyDescent="0.3">
      <c r="A4573">
        <v>106</v>
      </c>
      <c r="B4573" t="s">
        <v>34</v>
      </c>
      <c r="C4573">
        <v>2</v>
      </c>
      <c r="D4573" s="1" t="s">
        <v>11687</v>
      </c>
      <c r="E4573" s="1" t="s">
        <v>4375</v>
      </c>
      <c r="G4573">
        <v>449814</v>
      </c>
      <c r="H4573" t="s">
        <v>11668</v>
      </c>
      <c r="I4573" t="s">
        <v>11669</v>
      </c>
      <c r="J4573">
        <v>26</v>
      </c>
      <c r="K4573">
        <v>449814</v>
      </c>
      <c r="L4573">
        <v>50001</v>
      </c>
      <c r="M4573" t="s">
        <v>39</v>
      </c>
      <c r="N4573">
        <v>700</v>
      </c>
      <c r="O4573" s="2">
        <v>46234</v>
      </c>
      <c r="P4573" s="2">
        <v>46319</v>
      </c>
      <c r="R4573" t="s">
        <v>11688</v>
      </c>
      <c r="S4573" t="str">
        <f>"25666160000051804"</f>
        <v>25666160000051804</v>
      </c>
      <c r="T4573" t="s">
        <v>41</v>
      </c>
      <c r="U4573">
        <v>6510.78</v>
      </c>
      <c r="V4573">
        <v>6510.78</v>
      </c>
      <c r="W4573">
        <v>6510.78</v>
      </c>
      <c r="X4573">
        <v>0</v>
      </c>
      <c r="Y4573">
        <v>0</v>
      </c>
      <c r="Z4573">
        <v>-544</v>
      </c>
      <c r="AA4573">
        <v>694827</v>
      </c>
      <c r="AD4573" t="s">
        <v>1467</v>
      </c>
      <c r="AE4573" t="s">
        <v>11671</v>
      </c>
      <c r="AF4573" t="s">
        <v>1467</v>
      </c>
      <c r="AG4573">
        <v>15211327000180</v>
      </c>
      <c r="AH4573" t="s">
        <v>1462</v>
      </c>
    </row>
    <row r="4574" spans="1:34" x14ac:dyDescent="0.3">
      <c r="A4574">
        <v>104</v>
      </c>
      <c r="B4574" t="s">
        <v>34</v>
      </c>
      <c r="C4574">
        <v>4</v>
      </c>
      <c r="D4574" s="1" t="s">
        <v>11689</v>
      </c>
      <c r="E4574" s="1" t="s">
        <v>122</v>
      </c>
      <c r="G4574">
        <v>449814</v>
      </c>
      <c r="H4574" t="s">
        <v>11668</v>
      </c>
      <c r="I4574" t="s">
        <v>11669</v>
      </c>
      <c r="J4574">
        <v>26</v>
      </c>
      <c r="K4574">
        <v>449814</v>
      </c>
      <c r="L4574">
        <v>50001</v>
      </c>
      <c r="M4574" t="s">
        <v>39</v>
      </c>
      <c r="N4574">
        <v>700</v>
      </c>
      <c r="O4574" s="2">
        <v>46251</v>
      </c>
      <c r="P4574" s="2">
        <v>46301</v>
      </c>
      <c r="R4574" t="s">
        <v>11690</v>
      </c>
      <c r="S4574" t="str">
        <f>"25666160000051921"</f>
        <v>25666160000051921</v>
      </c>
      <c r="T4574" t="s">
        <v>41</v>
      </c>
      <c r="U4574">
        <v>15530.33</v>
      </c>
      <c r="V4574">
        <v>14753.81</v>
      </c>
      <c r="W4574">
        <v>14753.81</v>
      </c>
      <c r="X4574">
        <v>0</v>
      </c>
      <c r="Y4574">
        <v>0</v>
      </c>
      <c r="Z4574">
        <v>-526</v>
      </c>
      <c r="AA4574">
        <v>4596</v>
      </c>
      <c r="AD4574" t="s">
        <v>1467</v>
      </c>
      <c r="AE4574" t="s">
        <v>11671</v>
      </c>
      <c r="AF4574" t="s">
        <v>1467</v>
      </c>
      <c r="AG4574">
        <v>15211327000180</v>
      </c>
      <c r="AH4574" t="s">
        <v>1462</v>
      </c>
    </row>
    <row r="4575" spans="1:34" x14ac:dyDescent="0.3">
      <c r="A4575">
        <v>104</v>
      </c>
      <c r="B4575" t="s">
        <v>34</v>
      </c>
      <c r="C4575">
        <v>4</v>
      </c>
      <c r="D4575" s="1" t="s">
        <v>11689</v>
      </c>
      <c r="E4575" s="1" t="s">
        <v>36</v>
      </c>
      <c r="G4575">
        <v>449814</v>
      </c>
      <c r="H4575" t="s">
        <v>11668</v>
      </c>
      <c r="I4575" t="s">
        <v>11669</v>
      </c>
      <c r="J4575">
        <v>26</v>
      </c>
      <c r="K4575">
        <v>449814</v>
      </c>
      <c r="L4575">
        <v>50001</v>
      </c>
      <c r="M4575" t="s">
        <v>39</v>
      </c>
      <c r="N4575">
        <v>700</v>
      </c>
      <c r="O4575" s="2">
        <v>46251</v>
      </c>
      <c r="P4575" s="2">
        <v>46293</v>
      </c>
      <c r="R4575" t="s">
        <v>11690</v>
      </c>
      <c r="S4575" t="str">
        <f>"25666160000051920"</f>
        <v>25666160000051920</v>
      </c>
      <c r="T4575" t="s">
        <v>41</v>
      </c>
      <c r="U4575">
        <v>21528.3</v>
      </c>
      <c r="V4575">
        <v>20751.78</v>
      </c>
      <c r="W4575">
        <v>20751.78</v>
      </c>
      <c r="X4575">
        <v>0</v>
      </c>
      <c r="Y4575">
        <v>0</v>
      </c>
      <c r="Z4575">
        <v>-518</v>
      </c>
      <c r="AA4575">
        <v>4596</v>
      </c>
      <c r="AD4575" t="s">
        <v>1467</v>
      </c>
      <c r="AE4575" t="s">
        <v>11671</v>
      </c>
      <c r="AF4575" t="s">
        <v>1467</v>
      </c>
      <c r="AG4575">
        <v>15211327000180</v>
      </c>
      <c r="AH4575" t="s">
        <v>1462</v>
      </c>
    </row>
    <row r="4576" spans="1:34" x14ac:dyDescent="0.3">
      <c r="A4576">
        <v>106</v>
      </c>
      <c r="B4576" t="s">
        <v>34</v>
      </c>
      <c r="C4576">
        <v>2</v>
      </c>
      <c r="D4576" s="1" t="s">
        <v>11691</v>
      </c>
      <c r="E4576" s="1" t="s">
        <v>116</v>
      </c>
      <c r="G4576">
        <v>449814</v>
      </c>
      <c r="H4576" t="s">
        <v>11668</v>
      </c>
      <c r="I4576" t="s">
        <v>11669</v>
      </c>
      <c r="J4576">
        <v>26</v>
      </c>
      <c r="K4576">
        <v>449814</v>
      </c>
      <c r="L4576">
        <v>50001</v>
      </c>
      <c r="M4576" t="s">
        <v>39</v>
      </c>
      <c r="N4576">
        <v>700</v>
      </c>
      <c r="O4576" s="2">
        <v>46234</v>
      </c>
      <c r="P4576" s="2">
        <v>46309</v>
      </c>
      <c r="R4576" t="s">
        <v>11692</v>
      </c>
      <c r="S4576" t="str">
        <f>"25666160000051799"</f>
        <v>25666160000051799</v>
      </c>
      <c r="T4576" t="s">
        <v>41</v>
      </c>
      <c r="U4576">
        <v>18601.25</v>
      </c>
      <c r="V4576">
        <v>18601.25</v>
      </c>
      <c r="W4576">
        <v>18601.25</v>
      </c>
      <c r="X4576">
        <v>0</v>
      </c>
      <c r="Y4576">
        <v>0</v>
      </c>
      <c r="Z4576">
        <v>-534</v>
      </c>
      <c r="AA4576" t="s">
        <v>11693</v>
      </c>
      <c r="AD4576" t="s">
        <v>1467</v>
      </c>
      <c r="AE4576" t="s">
        <v>11671</v>
      </c>
      <c r="AF4576" t="s">
        <v>1467</v>
      </c>
      <c r="AG4576">
        <v>15211327000180</v>
      </c>
      <c r="AH4576" t="s">
        <v>1462</v>
      </c>
    </row>
    <row r="4577" spans="1:34" x14ac:dyDescent="0.3">
      <c r="A4577">
        <v>106</v>
      </c>
      <c r="B4577" t="s">
        <v>34</v>
      </c>
      <c r="C4577">
        <v>2</v>
      </c>
      <c r="D4577" s="1" t="s">
        <v>11691</v>
      </c>
      <c r="E4577" s="1" t="s">
        <v>4375</v>
      </c>
      <c r="G4577">
        <v>449814</v>
      </c>
      <c r="H4577" t="s">
        <v>11668</v>
      </c>
      <c r="I4577" t="s">
        <v>11669</v>
      </c>
      <c r="J4577">
        <v>26</v>
      </c>
      <c r="K4577">
        <v>449814</v>
      </c>
      <c r="L4577">
        <v>50001</v>
      </c>
      <c r="M4577" t="s">
        <v>39</v>
      </c>
      <c r="N4577">
        <v>700</v>
      </c>
      <c r="O4577" s="2">
        <v>46234</v>
      </c>
      <c r="P4577" s="2">
        <v>46319</v>
      </c>
      <c r="R4577" t="s">
        <v>11692</v>
      </c>
      <c r="S4577" t="str">
        <f>"25666160000051800"</f>
        <v>25666160000051800</v>
      </c>
      <c r="T4577" t="s">
        <v>41</v>
      </c>
      <c r="U4577">
        <v>18601.25</v>
      </c>
      <c r="V4577">
        <v>18601.25</v>
      </c>
      <c r="W4577">
        <v>18601.25</v>
      </c>
      <c r="X4577">
        <v>0</v>
      </c>
      <c r="Y4577">
        <v>0</v>
      </c>
      <c r="Z4577">
        <v>-544</v>
      </c>
      <c r="AA4577" t="s">
        <v>11693</v>
      </c>
      <c r="AD4577" t="s">
        <v>1467</v>
      </c>
      <c r="AE4577" t="s">
        <v>11671</v>
      </c>
      <c r="AF4577" t="s">
        <v>1467</v>
      </c>
      <c r="AG4577">
        <v>15211327000180</v>
      </c>
      <c r="AH4577" t="s">
        <v>1462</v>
      </c>
    </row>
    <row r="4578" spans="1:34" x14ac:dyDescent="0.3">
      <c r="A4578">
        <v>106</v>
      </c>
      <c r="B4578" t="s">
        <v>34</v>
      </c>
      <c r="C4578">
        <v>2</v>
      </c>
      <c r="D4578" s="1" t="s">
        <v>11691</v>
      </c>
      <c r="E4578" s="1" t="s">
        <v>36</v>
      </c>
      <c r="G4578">
        <v>449814</v>
      </c>
      <c r="H4578" t="s">
        <v>11668</v>
      </c>
      <c r="I4578" t="s">
        <v>11669</v>
      </c>
      <c r="J4578">
        <v>26</v>
      </c>
      <c r="K4578">
        <v>449814</v>
      </c>
      <c r="L4578">
        <v>50001</v>
      </c>
      <c r="M4578" t="s">
        <v>39</v>
      </c>
      <c r="N4578">
        <v>700</v>
      </c>
      <c r="O4578" s="2">
        <v>46234</v>
      </c>
      <c r="P4578" s="2">
        <v>46289</v>
      </c>
      <c r="R4578" t="s">
        <v>11692</v>
      </c>
      <c r="S4578" t="str">
        <f>"25666160000051797"</f>
        <v>25666160000051797</v>
      </c>
      <c r="T4578" t="s">
        <v>41</v>
      </c>
      <c r="U4578">
        <v>18601.25</v>
      </c>
      <c r="V4578">
        <v>18601.25</v>
      </c>
      <c r="W4578">
        <v>18601.25</v>
      </c>
      <c r="X4578">
        <v>0</v>
      </c>
      <c r="Y4578">
        <v>0</v>
      </c>
      <c r="Z4578">
        <v>-514</v>
      </c>
      <c r="AA4578" t="s">
        <v>11693</v>
      </c>
      <c r="AD4578" t="s">
        <v>1467</v>
      </c>
      <c r="AE4578" t="s">
        <v>11671</v>
      </c>
      <c r="AF4578" t="s">
        <v>1467</v>
      </c>
      <c r="AG4578">
        <v>15211327000180</v>
      </c>
      <c r="AH4578" t="s">
        <v>1462</v>
      </c>
    </row>
    <row r="4579" spans="1:34" x14ac:dyDescent="0.3">
      <c r="A4579">
        <v>106</v>
      </c>
      <c r="B4579" t="s">
        <v>34</v>
      </c>
      <c r="C4579">
        <v>2</v>
      </c>
      <c r="D4579" s="1" t="s">
        <v>11694</v>
      </c>
      <c r="E4579" s="1" t="s">
        <v>4375</v>
      </c>
      <c r="G4579">
        <v>449814</v>
      </c>
      <c r="H4579" t="s">
        <v>11668</v>
      </c>
      <c r="I4579" t="s">
        <v>11669</v>
      </c>
      <c r="J4579">
        <v>26</v>
      </c>
      <c r="K4579">
        <v>449814</v>
      </c>
      <c r="L4579">
        <v>50001</v>
      </c>
      <c r="M4579" t="s">
        <v>39</v>
      </c>
      <c r="N4579">
        <v>700</v>
      </c>
      <c r="O4579" s="2">
        <v>46234</v>
      </c>
      <c r="P4579" s="2">
        <v>46319</v>
      </c>
      <c r="R4579" t="s">
        <v>11695</v>
      </c>
      <c r="S4579" t="str">
        <f>"25666160000051796"</f>
        <v>25666160000051796</v>
      </c>
      <c r="T4579" t="s">
        <v>41</v>
      </c>
      <c r="U4579">
        <v>26318.05</v>
      </c>
      <c r="V4579">
        <v>26318.05</v>
      </c>
      <c r="W4579">
        <v>26318.05</v>
      </c>
      <c r="X4579">
        <v>0</v>
      </c>
      <c r="Y4579">
        <v>0</v>
      </c>
      <c r="Z4579">
        <v>-544</v>
      </c>
      <c r="AA4579" t="s">
        <v>11696</v>
      </c>
      <c r="AD4579" t="s">
        <v>1467</v>
      </c>
      <c r="AE4579" t="s">
        <v>11671</v>
      </c>
      <c r="AF4579" t="s">
        <v>1467</v>
      </c>
      <c r="AG4579">
        <v>15211327000180</v>
      </c>
      <c r="AH4579" t="s">
        <v>1462</v>
      </c>
    </row>
    <row r="4580" spans="1:34" x14ac:dyDescent="0.3">
      <c r="A4580">
        <v>106</v>
      </c>
      <c r="B4580" t="s">
        <v>34</v>
      </c>
      <c r="C4580">
        <v>2</v>
      </c>
      <c r="D4580" s="1" t="s">
        <v>11694</v>
      </c>
      <c r="E4580" s="1" t="s">
        <v>116</v>
      </c>
      <c r="G4580">
        <v>449814</v>
      </c>
      <c r="H4580" t="s">
        <v>11668</v>
      </c>
      <c r="I4580" t="s">
        <v>11669</v>
      </c>
      <c r="J4580">
        <v>26</v>
      </c>
      <c r="K4580">
        <v>449814</v>
      </c>
      <c r="L4580">
        <v>50001</v>
      </c>
      <c r="M4580" t="s">
        <v>39</v>
      </c>
      <c r="N4580">
        <v>700</v>
      </c>
      <c r="O4580" s="2">
        <v>46234</v>
      </c>
      <c r="P4580" s="2">
        <v>46309</v>
      </c>
      <c r="R4580" t="s">
        <v>11695</v>
      </c>
      <c r="S4580" t="str">
        <f>"25666160000051795"</f>
        <v>25666160000051795</v>
      </c>
      <c r="T4580" t="s">
        <v>41</v>
      </c>
      <c r="U4580">
        <v>26318.05</v>
      </c>
      <c r="V4580">
        <v>26318.05</v>
      </c>
      <c r="W4580">
        <v>26318.05</v>
      </c>
      <c r="X4580">
        <v>0</v>
      </c>
      <c r="Y4580">
        <v>0</v>
      </c>
      <c r="Z4580">
        <v>-534</v>
      </c>
      <c r="AA4580" t="s">
        <v>11696</v>
      </c>
      <c r="AD4580" t="s">
        <v>1467</v>
      </c>
      <c r="AE4580" t="s">
        <v>11671</v>
      </c>
      <c r="AF4580" t="s">
        <v>1467</v>
      </c>
      <c r="AG4580">
        <v>15211327000180</v>
      </c>
      <c r="AH4580" t="s">
        <v>1462</v>
      </c>
    </row>
    <row r="4581" spans="1:34" x14ac:dyDescent="0.3">
      <c r="A4581">
        <v>106</v>
      </c>
      <c r="B4581" t="s">
        <v>34</v>
      </c>
      <c r="C4581">
        <v>2</v>
      </c>
      <c r="D4581" s="1" t="s">
        <v>11694</v>
      </c>
      <c r="E4581" s="1" t="s">
        <v>122</v>
      </c>
      <c r="G4581">
        <v>449814</v>
      </c>
      <c r="H4581" t="s">
        <v>11668</v>
      </c>
      <c r="I4581" t="s">
        <v>11669</v>
      </c>
      <c r="J4581">
        <v>26</v>
      </c>
      <c r="K4581">
        <v>449814</v>
      </c>
      <c r="L4581">
        <v>50001</v>
      </c>
      <c r="M4581" t="s">
        <v>39</v>
      </c>
      <c r="N4581">
        <v>700</v>
      </c>
      <c r="O4581" s="2">
        <v>46234</v>
      </c>
      <c r="P4581" s="2">
        <v>46299</v>
      </c>
      <c r="R4581" t="s">
        <v>11695</v>
      </c>
      <c r="S4581" t="str">
        <f>"25666160000051794"</f>
        <v>25666160000051794</v>
      </c>
      <c r="T4581" t="s">
        <v>41</v>
      </c>
      <c r="U4581">
        <v>26318.05</v>
      </c>
      <c r="V4581">
        <v>26318.05</v>
      </c>
      <c r="W4581">
        <v>26318.05</v>
      </c>
      <c r="X4581">
        <v>0</v>
      </c>
      <c r="Y4581">
        <v>0</v>
      </c>
      <c r="Z4581">
        <v>-524</v>
      </c>
      <c r="AA4581" t="s">
        <v>11696</v>
      </c>
      <c r="AD4581" t="s">
        <v>1467</v>
      </c>
      <c r="AE4581" t="s">
        <v>11671</v>
      </c>
      <c r="AF4581" t="s">
        <v>1467</v>
      </c>
      <c r="AG4581">
        <v>15211327000180</v>
      </c>
      <c r="AH4581" t="s">
        <v>1462</v>
      </c>
    </row>
    <row r="4582" spans="1:34" x14ac:dyDescent="0.3">
      <c r="A4582">
        <v>106</v>
      </c>
      <c r="B4582" t="s">
        <v>34</v>
      </c>
      <c r="C4582">
        <v>2</v>
      </c>
      <c r="D4582" s="1" t="s">
        <v>11687</v>
      </c>
      <c r="E4582" s="1" t="s">
        <v>36</v>
      </c>
      <c r="G4582">
        <v>449814</v>
      </c>
      <c r="H4582" t="s">
        <v>11668</v>
      </c>
      <c r="I4582" t="s">
        <v>11669</v>
      </c>
      <c r="J4582">
        <v>26</v>
      </c>
      <c r="K4582">
        <v>449814</v>
      </c>
      <c r="L4582">
        <v>50001</v>
      </c>
      <c r="M4582" t="s">
        <v>39</v>
      </c>
      <c r="N4582">
        <v>700</v>
      </c>
      <c r="O4582" s="2">
        <v>46234</v>
      </c>
      <c r="P4582" s="2">
        <v>46289</v>
      </c>
      <c r="R4582" t="s">
        <v>11688</v>
      </c>
      <c r="S4582" t="str">
        <f>"25666160000051801"</f>
        <v>25666160000051801</v>
      </c>
      <c r="T4582" t="s">
        <v>41</v>
      </c>
      <c r="U4582">
        <v>9236.08</v>
      </c>
      <c r="V4582">
        <v>9236.08</v>
      </c>
      <c r="W4582">
        <v>9236.08</v>
      </c>
      <c r="X4582">
        <v>0</v>
      </c>
      <c r="Y4582">
        <v>0</v>
      </c>
      <c r="Z4582">
        <v>-514</v>
      </c>
      <c r="AA4582">
        <v>694827</v>
      </c>
      <c r="AD4582" t="s">
        <v>1467</v>
      </c>
      <c r="AE4582" t="s">
        <v>11671</v>
      </c>
      <c r="AF4582" t="s">
        <v>1467</v>
      </c>
      <c r="AG4582">
        <v>15211327000180</v>
      </c>
      <c r="AH4582" t="s">
        <v>1462</v>
      </c>
    </row>
    <row r="4583" spans="1:34" x14ac:dyDescent="0.3">
      <c r="A4583">
        <v>106</v>
      </c>
      <c r="B4583" t="s">
        <v>34</v>
      </c>
      <c r="C4583">
        <v>2</v>
      </c>
      <c r="D4583" s="1" t="s">
        <v>11697</v>
      </c>
      <c r="E4583" s="1" t="s">
        <v>4375</v>
      </c>
      <c r="G4583">
        <v>449814</v>
      </c>
      <c r="H4583" t="s">
        <v>11668</v>
      </c>
      <c r="I4583" t="s">
        <v>11669</v>
      </c>
      <c r="J4583">
        <v>26</v>
      </c>
      <c r="K4583">
        <v>449814</v>
      </c>
      <c r="L4583">
        <v>50001</v>
      </c>
      <c r="M4583" t="s">
        <v>39</v>
      </c>
      <c r="N4583">
        <v>700</v>
      </c>
      <c r="O4583" s="2">
        <v>46172</v>
      </c>
      <c r="P4583" s="2">
        <v>46263</v>
      </c>
      <c r="R4583" t="s">
        <v>11698</v>
      </c>
      <c r="S4583" t="str">
        <f>"25666160000050890"</f>
        <v>25666160000050890</v>
      </c>
      <c r="T4583" t="s">
        <v>41</v>
      </c>
      <c r="U4583">
        <v>13311.7</v>
      </c>
      <c r="V4583">
        <v>12356.95</v>
      </c>
      <c r="W4583">
        <v>12356.95</v>
      </c>
      <c r="X4583">
        <v>0</v>
      </c>
      <c r="Y4583">
        <v>0</v>
      </c>
      <c r="Z4583">
        <v>-488</v>
      </c>
      <c r="AA4583" t="s">
        <v>11699</v>
      </c>
      <c r="AD4583" t="s">
        <v>1467</v>
      </c>
      <c r="AE4583" t="s">
        <v>11671</v>
      </c>
      <c r="AF4583" t="s">
        <v>1467</v>
      </c>
      <c r="AG4583">
        <v>15211327000180</v>
      </c>
      <c r="AH4583" t="s">
        <v>1462</v>
      </c>
    </row>
    <row r="4584" spans="1:34" x14ac:dyDescent="0.3">
      <c r="A4584">
        <v>106</v>
      </c>
      <c r="B4584" t="s">
        <v>34</v>
      </c>
      <c r="C4584">
        <v>2</v>
      </c>
      <c r="D4584" s="1" t="s">
        <v>11700</v>
      </c>
      <c r="E4584" s="1" t="s">
        <v>36</v>
      </c>
      <c r="G4584">
        <v>449814</v>
      </c>
      <c r="H4584" t="s">
        <v>11668</v>
      </c>
      <c r="I4584" t="s">
        <v>11669</v>
      </c>
      <c r="J4584">
        <v>26</v>
      </c>
      <c r="K4584">
        <v>449814</v>
      </c>
      <c r="L4584">
        <v>50001</v>
      </c>
      <c r="M4584" t="s">
        <v>39</v>
      </c>
      <c r="N4584">
        <v>700</v>
      </c>
      <c r="O4584" s="2">
        <v>46203</v>
      </c>
      <c r="P4584" s="2">
        <v>46256</v>
      </c>
      <c r="R4584" t="s">
        <v>11701</v>
      </c>
      <c r="S4584" t="str">
        <f>"25666160000051330"</f>
        <v>25666160000051330</v>
      </c>
      <c r="T4584" t="s">
        <v>41</v>
      </c>
      <c r="U4584">
        <v>96546.69</v>
      </c>
      <c r="V4584">
        <v>90872.44</v>
      </c>
      <c r="W4584">
        <v>90872.44</v>
      </c>
      <c r="X4584">
        <v>0</v>
      </c>
      <c r="Y4584">
        <v>0</v>
      </c>
      <c r="Z4584">
        <v>-481</v>
      </c>
      <c r="AA4584" t="s">
        <v>11702</v>
      </c>
      <c r="AD4584" t="s">
        <v>1467</v>
      </c>
      <c r="AE4584" t="s">
        <v>11671</v>
      </c>
      <c r="AF4584" t="s">
        <v>1467</v>
      </c>
      <c r="AG4584">
        <v>15211327000180</v>
      </c>
      <c r="AH4584" t="s">
        <v>1462</v>
      </c>
    </row>
    <row r="4585" spans="1:34" x14ac:dyDescent="0.3">
      <c r="A4585">
        <v>104</v>
      </c>
      <c r="B4585" t="s">
        <v>34</v>
      </c>
      <c r="C4585">
        <v>4</v>
      </c>
      <c r="D4585" s="1" t="s">
        <v>11703</v>
      </c>
      <c r="E4585" s="1" t="s">
        <v>116</v>
      </c>
      <c r="G4585">
        <v>449814</v>
      </c>
      <c r="H4585" t="s">
        <v>11668</v>
      </c>
      <c r="I4585" t="s">
        <v>11669</v>
      </c>
      <c r="J4585">
        <v>26</v>
      </c>
      <c r="K4585">
        <v>449814</v>
      </c>
      <c r="L4585">
        <v>50001</v>
      </c>
      <c r="M4585" t="s">
        <v>39</v>
      </c>
      <c r="N4585">
        <v>700</v>
      </c>
      <c r="O4585" s="2">
        <v>46238</v>
      </c>
      <c r="P4585" s="2">
        <v>46300</v>
      </c>
      <c r="R4585" t="s">
        <v>11704</v>
      </c>
      <c r="S4585" t="str">
        <f>"25666160000051786"</f>
        <v>25666160000051786</v>
      </c>
      <c r="T4585" t="s">
        <v>41</v>
      </c>
      <c r="U4585">
        <v>14438.6</v>
      </c>
      <c r="V4585">
        <v>12994.74</v>
      </c>
      <c r="W4585">
        <v>12994.74</v>
      </c>
      <c r="X4585">
        <v>0</v>
      </c>
      <c r="Y4585">
        <v>0</v>
      </c>
      <c r="Z4585">
        <v>-525</v>
      </c>
      <c r="AA4585" t="s">
        <v>11705</v>
      </c>
      <c r="AD4585" t="s">
        <v>1467</v>
      </c>
      <c r="AE4585" t="s">
        <v>11671</v>
      </c>
      <c r="AF4585" t="s">
        <v>1467</v>
      </c>
      <c r="AG4585">
        <v>15211327000180</v>
      </c>
      <c r="AH4585" t="s">
        <v>1462</v>
      </c>
    </row>
    <row r="4586" spans="1:34" x14ac:dyDescent="0.3">
      <c r="A4586">
        <v>104</v>
      </c>
      <c r="B4586" t="s">
        <v>34</v>
      </c>
      <c r="C4586">
        <v>4</v>
      </c>
      <c r="D4586" s="1" t="s">
        <v>11703</v>
      </c>
      <c r="E4586" s="1" t="s">
        <v>4375</v>
      </c>
      <c r="G4586">
        <v>449814</v>
      </c>
      <c r="H4586" t="s">
        <v>11668</v>
      </c>
      <c r="I4586" t="s">
        <v>11669</v>
      </c>
      <c r="J4586">
        <v>26</v>
      </c>
      <c r="K4586">
        <v>449814</v>
      </c>
      <c r="L4586">
        <v>50001</v>
      </c>
      <c r="M4586" t="s">
        <v>39</v>
      </c>
      <c r="N4586">
        <v>700</v>
      </c>
      <c r="O4586" s="2">
        <v>46238</v>
      </c>
      <c r="P4586" s="2">
        <v>46308</v>
      </c>
      <c r="R4586" t="s">
        <v>11704</v>
      </c>
      <c r="S4586" t="str">
        <f>"25666160000051787"</f>
        <v>25666160000051787</v>
      </c>
      <c r="T4586" t="s">
        <v>41</v>
      </c>
      <c r="U4586">
        <v>14438.6</v>
      </c>
      <c r="V4586">
        <v>12994.74</v>
      </c>
      <c r="W4586">
        <v>12994.74</v>
      </c>
      <c r="X4586">
        <v>0</v>
      </c>
      <c r="Y4586">
        <v>0</v>
      </c>
      <c r="Z4586">
        <v>-533</v>
      </c>
      <c r="AA4586" t="s">
        <v>11705</v>
      </c>
      <c r="AD4586" t="s">
        <v>1467</v>
      </c>
      <c r="AE4586" t="s">
        <v>11671</v>
      </c>
      <c r="AF4586" t="s">
        <v>1467</v>
      </c>
      <c r="AG4586">
        <v>15211327000180</v>
      </c>
      <c r="AH4586" t="s">
        <v>1462</v>
      </c>
    </row>
    <row r="4587" spans="1:34" x14ac:dyDescent="0.3">
      <c r="A4587">
        <v>106</v>
      </c>
      <c r="B4587" t="s">
        <v>34</v>
      </c>
      <c r="C4587">
        <v>2</v>
      </c>
      <c r="D4587" s="1" t="s">
        <v>11700</v>
      </c>
      <c r="E4587" s="1" t="s">
        <v>122</v>
      </c>
      <c r="G4587">
        <v>449814</v>
      </c>
      <c r="H4587" t="s">
        <v>11668</v>
      </c>
      <c r="I4587" t="s">
        <v>11669</v>
      </c>
      <c r="J4587">
        <v>26</v>
      </c>
      <c r="K4587">
        <v>449814</v>
      </c>
      <c r="L4587">
        <v>50001</v>
      </c>
      <c r="M4587" t="s">
        <v>39</v>
      </c>
      <c r="N4587">
        <v>700</v>
      </c>
      <c r="O4587" s="2">
        <v>46203</v>
      </c>
      <c r="P4587" s="2">
        <v>46266</v>
      </c>
      <c r="R4587" t="s">
        <v>11701</v>
      </c>
      <c r="S4587" t="str">
        <f>"25666160000051324"</f>
        <v>25666160000051324</v>
      </c>
      <c r="T4587" t="s">
        <v>41</v>
      </c>
      <c r="U4587">
        <v>95627.49</v>
      </c>
      <c r="V4587">
        <v>90846.12</v>
      </c>
      <c r="W4587">
        <v>90846.12</v>
      </c>
      <c r="X4587">
        <v>0</v>
      </c>
      <c r="Y4587">
        <v>0</v>
      </c>
      <c r="Z4587">
        <v>-491</v>
      </c>
      <c r="AA4587" t="s">
        <v>11702</v>
      </c>
      <c r="AD4587" t="s">
        <v>1467</v>
      </c>
      <c r="AE4587" t="s">
        <v>11671</v>
      </c>
      <c r="AF4587" t="s">
        <v>1467</v>
      </c>
      <c r="AG4587">
        <v>15211327000180</v>
      </c>
      <c r="AH4587" t="s">
        <v>1462</v>
      </c>
    </row>
    <row r="4588" spans="1:34" x14ac:dyDescent="0.3">
      <c r="A4588">
        <v>106</v>
      </c>
      <c r="B4588" t="s">
        <v>34</v>
      </c>
      <c r="C4588">
        <v>2</v>
      </c>
      <c r="D4588" s="1" t="s">
        <v>11700</v>
      </c>
      <c r="E4588" s="1" t="s">
        <v>116</v>
      </c>
      <c r="G4588">
        <v>449814</v>
      </c>
      <c r="H4588" t="s">
        <v>11668</v>
      </c>
      <c r="I4588" t="s">
        <v>11669</v>
      </c>
      <c r="J4588">
        <v>26</v>
      </c>
      <c r="K4588">
        <v>449814</v>
      </c>
      <c r="L4588">
        <v>50001</v>
      </c>
      <c r="M4588" t="s">
        <v>39</v>
      </c>
      <c r="N4588">
        <v>700</v>
      </c>
      <c r="O4588" s="2">
        <v>46203</v>
      </c>
      <c r="P4588" s="2">
        <v>46276</v>
      </c>
      <c r="R4588" t="s">
        <v>11701</v>
      </c>
      <c r="S4588" t="str">
        <f>"25666160000051325"</f>
        <v>25666160000051325</v>
      </c>
      <c r="T4588" t="s">
        <v>41</v>
      </c>
      <c r="U4588">
        <v>95627.49</v>
      </c>
      <c r="V4588">
        <v>90846.12</v>
      </c>
      <c r="W4588">
        <v>90846.12</v>
      </c>
      <c r="X4588">
        <v>0</v>
      </c>
      <c r="Y4588">
        <v>0</v>
      </c>
      <c r="Z4588">
        <v>-501</v>
      </c>
      <c r="AA4588" t="s">
        <v>11702</v>
      </c>
      <c r="AD4588" t="s">
        <v>1467</v>
      </c>
      <c r="AE4588" t="s">
        <v>11671</v>
      </c>
      <c r="AF4588" t="s">
        <v>1467</v>
      </c>
      <c r="AG4588">
        <v>15211327000180</v>
      </c>
      <c r="AH4588" t="s">
        <v>1462</v>
      </c>
    </row>
    <row r="4589" spans="1:34" x14ac:dyDescent="0.3">
      <c r="A4589">
        <v>106</v>
      </c>
      <c r="B4589" t="s">
        <v>34</v>
      </c>
      <c r="C4589">
        <v>2</v>
      </c>
      <c r="D4589" s="1" t="s">
        <v>11700</v>
      </c>
      <c r="E4589" s="1" t="s">
        <v>4375</v>
      </c>
      <c r="G4589">
        <v>449814</v>
      </c>
      <c r="H4589" t="s">
        <v>11668</v>
      </c>
      <c r="I4589" t="s">
        <v>11669</v>
      </c>
      <c r="J4589">
        <v>26</v>
      </c>
      <c r="K4589">
        <v>449814</v>
      </c>
      <c r="L4589">
        <v>50001</v>
      </c>
      <c r="M4589" t="s">
        <v>39</v>
      </c>
      <c r="N4589">
        <v>700</v>
      </c>
      <c r="O4589" s="2">
        <v>46203</v>
      </c>
      <c r="P4589" s="2">
        <v>46286</v>
      </c>
      <c r="R4589" t="s">
        <v>11701</v>
      </c>
      <c r="S4589" t="str">
        <f>"25666160000051326"</f>
        <v>25666160000051326</v>
      </c>
      <c r="T4589" t="s">
        <v>41</v>
      </c>
      <c r="U4589">
        <v>95627.49</v>
      </c>
      <c r="V4589">
        <v>90846.12</v>
      </c>
      <c r="W4589">
        <v>90846.12</v>
      </c>
      <c r="X4589">
        <v>0</v>
      </c>
      <c r="Y4589">
        <v>0</v>
      </c>
      <c r="Z4589">
        <v>-511</v>
      </c>
      <c r="AA4589" t="s">
        <v>11702</v>
      </c>
      <c r="AD4589" t="s">
        <v>1467</v>
      </c>
      <c r="AE4589" t="s">
        <v>11671</v>
      </c>
      <c r="AF4589" t="s">
        <v>1467</v>
      </c>
      <c r="AG4589">
        <v>15211327000180</v>
      </c>
      <c r="AH4589" t="s">
        <v>1462</v>
      </c>
    </row>
    <row r="4590" spans="1:34" x14ac:dyDescent="0.3">
      <c r="A4590">
        <v>104</v>
      </c>
      <c r="B4590" t="s">
        <v>34</v>
      </c>
      <c r="C4590">
        <v>4</v>
      </c>
      <c r="D4590" s="1" t="s">
        <v>11703</v>
      </c>
      <c r="E4590" s="1" t="s">
        <v>122</v>
      </c>
      <c r="G4590">
        <v>449814</v>
      </c>
      <c r="H4590" t="s">
        <v>11668</v>
      </c>
      <c r="I4590" t="s">
        <v>11669</v>
      </c>
      <c r="J4590">
        <v>26</v>
      </c>
      <c r="K4590">
        <v>449814</v>
      </c>
      <c r="L4590">
        <v>50001</v>
      </c>
      <c r="M4590" t="s">
        <v>39</v>
      </c>
      <c r="N4590">
        <v>700</v>
      </c>
      <c r="O4590" s="2">
        <v>46238</v>
      </c>
      <c r="P4590" s="2">
        <v>46288</v>
      </c>
      <c r="R4590" t="s">
        <v>11704</v>
      </c>
      <c r="S4590" t="str">
        <f>"25666160000051785"</f>
        <v>25666160000051785</v>
      </c>
      <c r="T4590" t="s">
        <v>41</v>
      </c>
      <c r="U4590">
        <v>14438.6</v>
      </c>
      <c r="V4590">
        <v>12994.74</v>
      </c>
      <c r="W4590">
        <v>12994.74</v>
      </c>
      <c r="X4590">
        <v>0</v>
      </c>
      <c r="Y4590">
        <v>0</v>
      </c>
      <c r="Z4590">
        <v>-513</v>
      </c>
      <c r="AA4590" t="s">
        <v>11705</v>
      </c>
      <c r="AD4590" t="s">
        <v>1467</v>
      </c>
      <c r="AE4590" t="s">
        <v>11671</v>
      </c>
      <c r="AF4590" t="s">
        <v>1467</v>
      </c>
      <c r="AG4590">
        <v>15211327000180</v>
      </c>
      <c r="AH4590" t="s">
        <v>1462</v>
      </c>
    </row>
    <row r="4591" spans="1:34" x14ac:dyDescent="0.3">
      <c r="A4591">
        <v>104</v>
      </c>
      <c r="B4591" t="s">
        <v>34</v>
      </c>
      <c r="C4591">
        <v>4</v>
      </c>
      <c r="D4591" s="1" t="s">
        <v>11703</v>
      </c>
      <c r="E4591" s="1" t="s">
        <v>36</v>
      </c>
      <c r="G4591">
        <v>449814</v>
      </c>
      <c r="H4591" t="s">
        <v>11668</v>
      </c>
      <c r="I4591" t="s">
        <v>11669</v>
      </c>
      <c r="J4591">
        <v>26</v>
      </c>
      <c r="K4591">
        <v>449814</v>
      </c>
      <c r="L4591">
        <v>50001</v>
      </c>
      <c r="M4591" t="s">
        <v>39</v>
      </c>
      <c r="N4591">
        <v>700</v>
      </c>
      <c r="O4591" s="2">
        <v>46238</v>
      </c>
      <c r="P4591" s="2">
        <v>46279</v>
      </c>
      <c r="R4591" t="s">
        <v>11704</v>
      </c>
      <c r="S4591" t="str">
        <f>"25666160000051784"</f>
        <v>25666160000051784</v>
      </c>
      <c r="T4591" t="s">
        <v>41</v>
      </c>
      <c r="U4591">
        <v>14438.6</v>
      </c>
      <c r="V4591">
        <v>12994.74</v>
      </c>
      <c r="W4591">
        <v>12994.74</v>
      </c>
      <c r="X4591">
        <v>0</v>
      </c>
      <c r="Y4591">
        <v>0</v>
      </c>
      <c r="Z4591">
        <v>-504</v>
      </c>
      <c r="AA4591" t="s">
        <v>11705</v>
      </c>
      <c r="AD4591" t="s">
        <v>1467</v>
      </c>
      <c r="AE4591" t="s">
        <v>11671</v>
      </c>
      <c r="AF4591" t="s">
        <v>1467</v>
      </c>
      <c r="AG4591">
        <v>15211327000180</v>
      </c>
      <c r="AH4591" t="s">
        <v>1462</v>
      </c>
    </row>
    <row r="4592" spans="1:34" x14ac:dyDescent="0.3">
      <c r="A4592">
        <v>106</v>
      </c>
      <c r="B4592" t="s">
        <v>34</v>
      </c>
      <c r="C4592">
        <v>2</v>
      </c>
      <c r="D4592" s="1" t="s">
        <v>11706</v>
      </c>
      <c r="E4592" s="1" t="s">
        <v>4375</v>
      </c>
      <c r="G4592">
        <v>449814</v>
      </c>
      <c r="H4592" t="s">
        <v>11668</v>
      </c>
      <c r="I4592" t="s">
        <v>11669</v>
      </c>
      <c r="J4592">
        <v>26</v>
      </c>
      <c r="K4592">
        <v>449814</v>
      </c>
      <c r="L4592">
        <v>50001</v>
      </c>
      <c r="M4592" t="s">
        <v>39</v>
      </c>
      <c r="N4592">
        <v>700</v>
      </c>
      <c r="O4592" s="2">
        <v>46230</v>
      </c>
      <c r="P4592" s="2">
        <v>46310</v>
      </c>
      <c r="R4592" t="s">
        <v>11707</v>
      </c>
      <c r="S4592" t="str">
        <f>"25666160000051623"</f>
        <v>25666160000051623</v>
      </c>
      <c r="T4592" t="s">
        <v>41</v>
      </c>
      <c r="U4592">
        <v>18273.36</v>
      </c>
      <c r="V4592">
        <v>17144.240000000002</v>
      </c>
      <c r="W4592">
        <v>17144.240000000002</v>
      </c>
      <c r="X4592">
        <v>0</v>
      </c>
      <c r="Y4592">
        <v>0</v>
      </c>
      <c r="Z4592">
        <v>-535</v>
      </c>
      <c r="AA4592">
        <v>694827</v>
      </c>
      <c r="AD4592" t="s">
        <v>1467</v>
      </c>
      <c r="AE4592" t="s">
        <v>11671</v>
      </c>
      <c r="AF4592" t="s">
        <v>1467</v>
      </c>
      <c r="AG4592">
        <v>15211327000180</v>
      </c>
      <c r="AH4592" t="s">
        <v>1462</v>
      </c>
    </row>
    <row r="4593" spans="1:34" x14ac:dyDescent="0.3">
      <c r="A4593">
        <v>106</v>
      </c>
      <c r="B4593" t="s">
        <v>34</v>
      </c>
      <c r="C4593">
        <v>2</v>
      </c>
      <c r="D4593" s="1" t="s">
        <v>11706</v>
      </c>
      <c r="E4593" s="1" t="s">
        <v>116</v>
      </c>
      <c r="G4593">
        <v>449814</v>
      </c>
      <c r="H4593" t="s">
        <v>11668</v>
      </c>
      <c r="I4593" t="s">
        <v>11669</v>
      </c>
      <c r="J4593">
        <v>26</v>
      </c>
      <c r="K4593">
        <v>449814</v>
      </c>
      <c r="L4593">
        <v>50001</v>
      </c>
      <c r="M4593" t="s">
        <v>39</v>
      </c>
      <c r="N4593">
        <v>700</v>
      </c>
      <c r="O4593" s="2">
        <v>46230</v>
      </c>
      <c r="P4593" s="2">
        <v>46300</v>
      </c>
      <c r="R4593" t="s">
        <v>11707</v>
      </c>
      <c r="S4593" t="str">
        <f>"25666160000051622"</f>
        <v>25666160000051622</v>
      </c>
      <c r="T4593" t="s">
        <v>41</v>
      </c>
      <c r="U4593">
        <v>18273.38</v>
      </c>
      <c r="V4593">
        <v>17144.259999999998</v>
      </c>
      <c r="W4593">
        <v>17144.259999999998</v>
      </c>
      <c r="X4593">
        <v>0</v>
      </c>
      <c r="Y4593">
        <v>0</v>
      </c>
      <c r="Z4593">
        <v>-525</v>
      </c>
      <c r="AA4593">
        <v>694827</v>
      </c>
      <c r="AD4593" t="s">
        <v>1467</v>
      </c>
      <c r="AE4593" t="s">
        <v>11671</v>
      </c>
      <c r="AF4593" t="s">
        <v>1467</v>
      </c>
      <c r="AG4593">
        <v>15211327000180</v>
      </c>
      <c r="AH4593" t="s">
        <v>1462</v>
      </c>
    </row>
    <row r="4594" spans="1:34" x14ac:dyDescent="0.3">
      <c r="A4594">
        <v>106</v>
      </c>
      <c r="B4594" t="s">
        <v>34</v>
      </c>
      <c r="C4594">
        <v>2</v>
      </c>
      <c r="D4594" s="1" t="s">
        <v>11706</v>
      </c>
      <c r="E4594" s="1" t="s">
        <v>122</v>
      </c>
      <c r="G4594">
        <v>449814</v>
      </c>
      <c r="H4594" t="s">
        <v>11668</v>
      </c>
      <c r="I4594" t="s">
        <v>11669</v>
      </c>
      <c r="J4594">
        <v>26</v>
      </c>
      <c r="K4594">
        <v>449814</v>
      </c>
      <c r="L4594">
        <v>50001</v>
      </c>
      <c r="M4594" t="s">
        <v>39</v>
      </c>
      <c r="N4594">
        <v>700</v>
      </c>
      <c r="O4594" s="2">
        <v>46230</v>
      </c>
      <c r="P4594" s="2">
        <v>46290</v>
      </c>
      <c r="R4594" t="s">
        <v>11707</v>
      </c>
      <c r="S4594" t="str">
        <f>"25666160000051621"</f>
        <v>25666160000051621</v>
      </c>
      <c r="T4594" t="s">
        <v>41</v>
      </c>
      <c r="U4594">
        <v>18273.38</v>
      </c>
      <c r="V4594">
        <v>17144.259999999998</v>
      </c>
      <c r="W4594">
        <v>17144.259999999998</v>
      </c>
      <c r="X4594">
        <v>0</v>
      </c>
      <c r="Y4594">
        <v>0</v>
      </c>
      <c r="Z4594">
        <v>-515</v>
      </c>
      <c r="AA4594">
        <v>694827</v>
      </c>
      <c r="AD4594" t="s">
        <v>1467</v>
      </c>
      <c r="AE4594" t="s">
        <v>11671</v>
      </c>
      <c r="AF4594" t="s">
        <v>1467</v>
      </c>
      <c r="AG4594">
        <v>15211327000180</v>
      </c>
      <c r="AH4594" t="s">
        <v>1462</v>
      </c>
    </row>
    <row r="4595" spans="1:34" x14ac:dyDescent="0.3">
      <c r="A4595">
        <v>106</v>
      </c>
      <c r="B4595" t="s">
        <v>34</v>
      </c>
      <c r="C4595">
        <v>2</v>
      </c>
      <c r="D4595" s="1" t="s">
        <v>11706</v>
      </c>
      <c r="E4595" s="1" t="s">
        <v>36</v>
      </c>
      <c r="G4595">
        <v>449814</v>
      </c>
      <c r="H4595" t="s">
        <v>11668</v>
      </c>
      <c r="I4595" t="s">
        <v>11669</v>
      </c>
      <c r="J4595">
        <v>26</v>
      </c>
      <c r="K4595">
        <v>449814</v>
      </c>
      <c r="L4595">
        <v>50001</v>
      </c>
      <c r="M4595" t="s">
        <v>39</v>
      </c>
      <c r="N4595">
        <v>700</v>
      </c>
      <c r="O4595" s="2">
        <v>46230</v>
      </c>
      <c r="P4595" s="2">
        <v>46280</v>
      </c>
      <c r="R4595" t="s">
        <v>11707</v>
      </c>
      <c r="S4595" t="str">
        <f>"25666160000051620"</f>
        <v>25666160000051620</v>
      </c>
      <c r="T4595" t="s">
        <v>41</v>
      </c>
      <c r="U4595">
        <v>33578.18</v>
      </c>
      <c r="V4595">
        <v>32449.06</v>
      </c>
      <c r="W4595">
        <v>32449.06</v>
      </c>
      <c r="X4595">
        <v>0</v>
      </c>
      <c r="Y4595">
        <v>0</v>
      </c>
      <c r="Z4595">
        <v>-505</v>
      </c>
      <c r="AA4595">
        <v>694827</v>
      </c>
      <c r="AD4595" t="s">
        <v>1467</v>
      </c>
      <c r="AE4595" t="s">
        <v>11671</v>
      </c>
      <c r="AF4595" t="s">
        <v>1467</v>
      </c>
      <c r="AG4595">
        <v>15211327000180</v>
      </c>
      <c r="AH4595" t="s">
        <v>1462</v>
      </c>
    </row>
    <row r="4596" spans="1:34" x14ac:dyDescent="0.3">
      <c r="A4596">
        <v>106</v>
      </c>
      <c r="B4596" t="s">
        <v>34</v>
      </c>
      <c r="C4596">
        <v>2</v>
      </c>
      <c r="D4596" s="1" t="s">
        <v>11691</v>
      </c>
      <c r="E4596" s="1" t="s">
        <v>122</v>
      </c>
      <c r="G4596">
        <v>449814</v>
      </c>
      <c r="H4596" t="s">
        <v>11668</v>
      </c>
      <c r="I4596" t="s">
        <v>11669</v>
      </c>
      <c r="J4596">
        <v>26</v>
      </c>
      <c r="K4596">
        <v>449814</v>
      </c>
      <c r="L4596">
        <v>50001</v>
      </c>
      <c r="M4596" t="s">
        <v>39</v>
      </c>
      <c r="N4596">
        <v>700</v>
      </c>
      <c r="O4596" s="2">
        <v>46234</v>
      </c>
      <c r="P4596" s="2">
        <v>46299</v>
      </c>
      <c r="R4596" t="s">
        <v>11692</v>
      </c>
      <c r="S4596" t="str">
        <f>"25666160000051798"</f>
        <v>25666160000051798</v>
      </c>
      <c r="T4596" t="s">
        <v>41</v>
      </c>
      <c r="U4596">
        <v>18601.25</v>
      </c>
      <c r="V4596">
        <v>18601.25</v>
      </c>
      <c r="W4596">
        <v>18601.25</v>
      </c>
      <c r="X4596">
        <v>0</v>
      </c>
      <c r="Y4596">
        <v>0</v>
      </c>
      <c r="Z4596">
        <v>-524</v>
      </c>
      <c r="AA4596" t="s">
        <v>11693</v>
      </c>
      <c r="AD4596" t="s">
        <v>1467</v>
      </c>
      <c r="AE4596" t="s">
        <v>11671</v>
      </c>
      <c r="AF4596" t="s">
        <v>1467</v>
      </c>
      <c r="AG4596">
        <v>15211327000180</v>
      </c>
      <c r="AH4596" t="s">
        <v>1462</v>
      </c>
    </row>
    <row r="4597" spans="1:34" x14ac:dyDescent="0.3">
      <c r="A4597">
        <v>106</v>
      </c>
      <c r="B4597" t="s">
        <v>34</v>
      </c>
      <c r="C4597">
        <v>2</v>
      </c>
      <c r="D4597" s="1" t="s">
        <v>11708</v>
      </c>
      <c r="E4597" s="1" t="s">
        <v>4375</v>
      </c>
      <c r="G4597">
        <v>449814</v>
      </c>
      <c r="H4597" t="s">
        <v>11668</v>
      </c>
      <c r="I4597" t="s">
        <v>11669</v>
      </c>
      <c r="J4597">
        <v>26</v>
      </c>
      <c r="K4597">
        <v>449814</v>
      </c>
      <c r="L4597">
        <v>50001</v>
      </c>
      <c r="M4597" t="s">
        <v>39</v>
      </c>
      <c r="N4597">
        <v>700</v>
      </c>
      <c r="O4597" s="2">
        <v>46230</v>
      </c>
      <c r="P4597" s="2">
        <v>46310</v>
      </c>
      <c r="R4597" t="s">
        <v>11709</v>
      </c>
      <c r="S4597" t="str">
        <f>"25666160000051619"</f>
        <v>25666160000051619</v>
      </c>
      <c r="T4597" t="s">
        <v>41</v>
      </c>
      <c r="U4597">
        <v>3697.65</v>
      </c>
      <c r="V4597">
        <v>1085.4000000000001</v>
      </c>
      <c r="W4597">
        <v>1085.4000000000001</v>
      </c>
      <c r="X4597">
        <v>0</v>
      </c>
      <c r="Y4597">
        <v>0</v>
      </c>
      <c r="Z4597">
        <v>-535</v>
      </c>
      <c r="AA4597" t="s">
        <v>11696</v>
      </c>
      <c r="AD4597" t="s">
        <v>1467</v>
      </c>
      <c r="AE4597" t="s">
        <v>11671</v>
      </c>
      <c r="AF4597" t="s">
        <v>1467</v>
      </c>
      <c r="AG4597">
        <v>15211327000180</v>
      </c>
      <c r="AH4597" t="s">
        <v>1462</v>
      </c>
    </row>
    <row r="4598" spans="1:34" x14ac:dyDescent="0.3">
      <c r="A4598">
        <v>106</v>
      </c>
      <c r="B4598" t="s">
        <v>34</v>
      </c>
      <c r="C4598">
        <v>2</v>
      </c>
      <c r="D4598" s="1" t="s">
        <v>11708</v>
      </c>
      <c r="E4598" s="1" t="s">
        <v>116</v>
      </c>
      <c r="G4598">
        <v>449814</v>
      </c>
      <c r="H4598" t="s">
        <v>11668</v>
      </c>
      <c r="I4598" t="s">
        <v>11669</v>
      </c>
      <c r="J4598">
        <v>26</v>
      </c>
      <c r="K4598">
        <v>449814</v>
      </c>
      <c r="L4598">
        <v>50001</v>
      </c>
      <c r="M4598" t="s">
        <v>39</v>
      </c>
      <c r="N4598">
        <v>700</v>
      </c>
      <c r="O4598" s="2">
        <v>46230</v>
      </c>
      <c r="P4598" s="2">
        <v>46300</v>
      </c>
      <c r="R4598" t="s">
        <v>11709</v>
      </c>
      <c r="S4598" t="str">
        <f>"25666160000051618"</f>
        <v>25666160000051618</v>
      </c>
      <c r="T4598" t="s">
        <v>41</v>
      </c>
      <c r="U4598">
        <v>3697.65</v>
      </c>
      <c r="V4598">
        <v>1085.4000000000001</v>
      </c>
      <c r="W4598">
        <v>1085.4000000000001</v>
      </c>
      <c r="X4598">
        <v>0</v>
      </c>
      <c r="Y4598">
        <v>0</v>
      </c>
      <c r="Z4598">
        <v>-525</v>
      </c>
      <c r="AA4598" t="s">
        <v>11696</v>
      </c>
      <c r="AD4598" t="s">
        <v>1467</v>
      </c>
      <c r="AE4598" t="s">
        <v>11671</v>
      </c>
      <c r="AF4598" t="s">
        <v>1467</v>
      </c>
      <c r="AG4598">
        <v>15211327000180</v>
      </c>
      <c r="AH4598" t="s">
        <v>1462</v>
      </c>
    </row>
    <row r="4599" spans="1:34" x14ac:dyDescent="0.3">
      <c r="A4599">
        <v>106</v>
      </c>
      <c r="B4599" t="s">
        <v>34</v>
      </c>
      <c r="C4599">
        <v>2</v>
      </c>
      <c r="D4599" s="1" t="s">
        <v>11708</v>
      </c>
      <c r="E4599" s="1" t="s">
        <v>122</v>
      </c>
      <c r="G4599">
        <v>449814</v>
      </c>
      <c r="H4599" t="s">
        <v>11668</v>
      </c>
      <c r="I4599" t="s">
        <v>11669</v>
      </c>
      <c r="J4599">
        <v>26</v>
      </c>
      <c r="K4599">
        <v>449814</v>
      </c>
      <c r="L4599">
        <v>50001</v>
      </c>
      <c r="M4599" t="s">
        <v>39</v>
      </c>
      <c r="N4599">
        <v>700</v>
      </c>
      <c r="O4599" s="2">
        <v>46230</v>
      </c>
      <c r="P4599" s="2">
        <v>46290</v>
      </c>
      <c r="R4599" t="s">
        <v>11709</v>
      </c>
      <c r="S4599" t="str">
        <f>"25666160000051617"</f>
        <v>25666160000051617</v>
      </c>
      <c r="T4599" t="s">
        <v>41</v>
      </c>
      <c r="U4599">
        <v>3697.65</v>
      </c>
      <c r="V4599">
        <v>1085.4000000000001</v>
      </c>
      <c r="W4599">
        <v>1085.4000000000001</v>
      </c>
      <c r="X4599">
        <v>0</v>
      </c>
      <c r="Y4599">
        <v>0</v>
      </c>
      <c r="Z4599">
        <v>-515</v>
      </c>
      <c r="AA4599" t="s">
        <v>11696</v>
      </c>
      <c r="AD4599" t="s">
        <v>1467</v>
      </c>
      <c r="AE4599" t="s">
        <v>11671</v>
      </c>
      <c r="AF4599" t="s">
        <v>1467</v>
      </c>
      <c r="AG4599">
        <v>15211327000180</v>
      </c>
      <c r="AH4599" t="s">
        <v>1462</v>
      </c>
    </row>
    <row r="4600" spans="1:34" x14ac:dyDescent="0.3">
      <c r="A4600">
        <v>106</v>
      </c>
      <c r="B4600" t="s">
        <v>34</v>
      </c>
      <c r="C4600">
        <v>2</v>
      </c>
      <c r="D4600" s="1" t="s">
        <v>11708</v>
      </c>
      <c r="E4600" s="1" t="s">
        <v>36</v>
      </c>
      <c r="G4600">
        <v>449814</v>
      </c>
      <c r="H4600" t="s">
        <v>11668</v>
      </c>
      <c r="I4600" t="s">
        <v>11669</v>
      </c>
      <c r="J4600">
        <v>26</v>
      </c>
      <c r="K4600">
        <v>449814</v>
      </c>
      <c r="L4600">
        <v>50001</v>
      </c>
      <c r="M4600" t="s">
        <v>39</v>
      </c>
      <c r="N4600">
        <v>700</v>
      </c>
      <c r="O4600" s="2">
        <v>46230</v>
      </c>
      <c r="P4600" s="2">
        <v>46280</v>
      </c>
      <c r="R4600" t="s">
        <v>11709</v>
      </c>
      <c r="S4600" t="str">
        <f>"25666160000051616"</f>
        <v>25666160000051616</v>
      </c>
      <c r="T4600" t="s">
        <v>41</v>
      </c>
      <c r="U4600">
        <v>3697.65</v>
      </c>
      <c r="V4600">
        <v>1085.4000000000001</v>
      </c>
      <c r="W4600">
        <v>1085.4000000000001</v>
      </c>
      <c r="X4600">
        <v>0</v>
      </c>
      <c r="Y4600">
        <v>0</v>
      </c>
      <c r="Z4600">
        <v>-505</v>
      </c>
      <c r="AA4600" t="s">
        <v>11696</v>
      </c>
      <c r="AD4600" t="s">
        <v>1467</v>
      </c>
      <c r="AE4600" t="s">
        <v>11671</v>
      </c>
      <c r="AF4600" t="s">
        <v>1467</v>
      </c>
      <c r="AG4600">
        <v>15211327000180</v>
      </c>
      <c r="AH4600" t="s">
        <v>1462</v>
      </c>
    </row>
    <row r="4601" spans="1:34" x14ac:dyDescent="0.3">
      <c r="A4601">
        <v>106</v>
      </c>
      <c r="B4601" t="s">
        <v>34</v>
      </c>
      <c r="C4601">
        <v>2</v>
      </c>
      <c r="D4601" s="1" t="s">
        <v>11694</v>
      </c>
      <c r="E4601" s="1" t="s">
        <v>36</v>
      </c>
      <c r="G4601">
        <v>449814</v>
      </c>
      <c r="H4601" t="s">
        <v>11668</v>
      </c>
      <c r="I4601" t="s">
        <v>11669</v>
      </c>
      <c r="J4601">
        <v>26</v>
      </c>
      <c r="K4601">
        <v>449814</v>
      </c>
      <c r="L4601">
        <v>50001</v>
      </c>
      <c r="M4601" t="s">
        <v>39</v>
      </c>
      <c r="N4601">
        <v>700</v>
      </c>
      <c r="O4601" s="2">
        <v>46234</v>
      </c>
      <c r="P4601" s="2">
        <v>46289</v>
      </c>
      <c r="R4601" t="s">
        <v>11695</v>
      </c>
      <c r="S4601" t="str">
        <f>"25666160000051793"</f>
        <v>25666160000051793</v>
      </c>
      <c r="T4601" t="s">
        <v>41</v>
      </c>
      <c r="U4601">
        <v>26318.05</v>
      </c>
      <c r="V4601">
        <v>26318.05</v>
      </c>
      <c r="W4601">
        <v>26318.05</v>
      </c>
      <c r="X4601">
        <v>0</v>
      </c>
      <c r="Y4601">
        <v>0</v>
      </c>
      <c r="Z4601">
        <v>-514</v>
      </c>
      <c r="AA4601" t="s">
        <v>11696</v>
      </c>
      <c r="AD4601" t="s">
        <v>1467</v>
      </c>
      <c r="AE4601" t="s">
        <v>11671</v>
      </c>
      <c r="AF4601" t="s">
        <v>1467</v>
      </c>
      <c r="AG4601">
        <v>15211327000180</v>
      </c>
      <c r="AH4601" t="s">
        <v>1462</v>
      </c>
    </row>
    <row r="4602" spans="1:34" x14ac:dyDescent="0.3">
      <c r="A4602">
        <v>104</v>
      </c>
      <c r="B4602" t="s">
        <v>34</v>
      </c>
      <c r="C4602">
        <v>4</v>
      </c>
      <c r="D4602" s="1" t="s">
        <v>11689</v>
      </c>
      <c r="E4602" s="1" t="s">
        <v>116</v>
      </c>
      <c r="G4602">
        <v>449814</v>
      </c>
      <c r="H4602" t="s">
        <v>11668</v>
      </c>
      <c r="I4602" t="s">
        <v>11669</v>
      </c>
      <c r="J4602">
        <v>26</v>
      </c>
      <c r="K4602">
        <v>449814</v>
      </c>
      <c r="L4602">
        <v>50001</v>
      </c>
      <c r="M4602" t="s">
        <v>39</v>
      </c>
      <c r="N4602">
        <v>700</v>
      </c>
      <c r="O4602" s="2">
        <v>46251</v>
      </c>
      <c r="P4602" s="2">
        <v>46311</v>
      </c>
      <c r="R4602" t="s">
        <v>11690</v>
      </c>
      <c r="S4602" t="str">
        <f>"25666160000051922"</f>
        <v>25666160000051922</v>
      </c>
      <c r="T4602" t="s">
        <v>41</v>
      </c>
      <c r="U4602">
        <v>15530.33</v>
      </c>
      <c r="V4602">
        <v>14753.81</v>
      </c>
      <c r="W4602">
        <v>14753.81</v>
      </c>
      <c r="X4602">
        <v>0</v>
      </c>
      <c r="Y4602">
        <v>0</v>
      </c>
      <c r="Z4602">
        <v>-536</v>
      </c>
      <c r="AA4602">
        <v>4596</v>
      </c>
      <c r="AD4602" t="s">
        <v>1467</v>
      </c>
      <c r="AE4602" t="s">
        <v>11671</v>
      </c>
      <c r="AF4602" t="s">
        <v>1467</v>
      </c>
      <c r="AG4602">
        <v>15211327000180</v>
      </c>
      <c r="AH4602" t="s">
        <v>1462</v>
      </c>
    </row>
    <row r="4603" spans="1:34" x14ac:dyDescent="0.3">
      <c r="A4603">
        <v>104</v>
      </c>
      <c r="B4603" t="s">
        <v>34</v>
      </c>
      <c r="C4603">
        <v>4</v>
      </c>
      <c r="D4603" s="1" t="s">
        <v>11689</v>
      </c>
      <c r="E4603" s="1" t="s">
        <v>4375</v>
      </c>
      <c r="G4603">
        <v>449814</v>
      </c>
      <c r="H4603" t="s">
        <v>11668</v>
      </c>
      <c r="I4603" t="s">
        <v>11669</v>
      </c>
      <c r="J4603">
        <v>26</v>
      </c>
      <c r="K4603">
        <v>449814</v>
      </c>
      <c r="L4603">
        <v>50001</v>
      </c>
      <c r="M4603" t="s">
        <v>39</v>
      </c>
      <c r="N4603">
        <v>700</v>
      </c>
      <c r="O4603" s="2">
        <v>46251</v>
      </c>
      <c r="P4603" s="2">
        <v>46321</v>
      </c>
      <c r="R4603" t="s">
        <v>11690</v>
      </c>
      <c r="S4603" t="str">
        <f>"25666160000051923"</f>
        <v>25666160000051923</v>
      </c>
      <c r="T4603" t="s">
        <v>41</v>
      </c>
      <c r="U4603">
        <v>15530.33</v>
      </c>
      <c r="V4603">
        <v>14753.81</v>
      </c>
      <c r="W4603">
        <v>14753.81</v>
      </c>
      <c r="X4603">
        <v>0</v>
      </c>
      <c r="Y4603">
        <v>0</v>
      </c>
      <c r="Z4603">
        <v>-546</v>
      </c>
      <c r="AA4603">
        <v>4596</v>
      </c>
      <c r="AD4603" t="s">
        <v>1467</v>
      </c>
      <c r="AE4603" t="s">
        <v>11671</v>
      </c>
      <c r="AF4603" t="s">
        <v>1467</v>
      </c>
      <c r="AG4603">
        <v>15211327000180</v>
      </c>
      <c r="AH4603" t="s">
        <v>1462</v>
      </c>
    </row>
    <row r="4604" spans="1:34" x14ac:dyDescent="0.3">
      <c r="A4604">
        <v>106</v>
      </c>
      <c r="B4604" t="s">
        <v>34</v>
      </c>
      <c r="C4604">
        <v>2</v>
      </c>
      <c r="D4604" s="1" t="s">
        <v>11710</v>
      </c>
      <c r="E4604" s="1" t="s">
        <v>36</v>
      </c>
      <c r="G4604">
        <v>449814</v>
      </c>
      <c r="H4604" t="s">
        <v>11668</v>
      </c>
      <c r="I4604" t="s">
        <v>11669</v>
      </c>
      <c r="J4604">
        <v>26</v>
      </c>
      <c r="K4604">
        <v>449814</v>
      </c>
      <c r="L4604">
        <v>50001</v>
      </c>
      <c r="M4604" t="s">
        <v>39</v>
      </c>
      <c r="N4604">
        <v>700</v>
      </c>
      <c r="O4604" s="2">
        <v>46172</v>
      </c>
      <c r="P4604" s="2">
        <v>46262</v>
      </c>
      <c r="R4604" t="s">
        <v>11711</v>
      </c>
      <c r="S4604" t="str">
        <f>"25666160000050886"</f>
        <v>25666160000050886</v>
      </c>
      <c r="T4604" t="s">
        <v>41</v>
      </c>
      <c r="U4604">
        <v>15518.81</v>
      </c>
      <c r="V4604">
        <v>14349.61</v>
      </c>
      <c r="W4604">
        <v>14349.61</v>
      </c>
      <c r="X4604">
        <v>0</v>
      </c>
      <c r="Y4604">
        <v>0</v>
      </c>
      <c r="Z4604">
        <v>-487</v>
      </c>
      <c r="AA4604">
        <v>689633</v>
      </c>
      <c r="AD4604" t="s">
        <v>1467</v>
      </c>
      <c r="AE4604" t="s">
        <v>11671</v>
      </c>
      <c r="AF4604" t="s">
        <v>1467</v>
      </c>
      <c r="AG4604">
        <v>15211327000180</v>
      </c>
      <c r="AH4604" t="s">
        <v>1462</v>
      </c>
    </row>
    <row r="4605" spans="1:34" x14ac:dyDescent="0.3">
      <c r="A4605">
        <v>101</v>
      </c>
      <c r="B4605" t="s">
        <v>34</v>
      </c>
      <c r="C4605">
        <v>2</v>
      </c>
      <c r="D4605" s="1" t="s">
        <v>11712</v>
      </c>
      <c r="E4605" s="1" t="s">
        <v>36</v>
      </c>
      <c r="G4605">
        <v>452125</v>
      </c>
      <c r="H4605" t="s">
        <v>11713</v>
      </c>
      <c r="I4605" t="s">
        <v>11651</v>
      </c>
      <c r="J4605">
        <v>34</v>
      </c>
      <c r="K4605">
        <v>8474</v>
      </c>
      <c r="L4605">
        <v>50033</v>
      </c>
      <c r="M4605" t="s">
        <v>39</v>
      </c>
      <c r="N4605">
        <v>700</v>
      </c>
      <c r="O4605" s="2">
        <v>46251</v>
      </c>
      <c r="P4605" s="2">
        <v>46266</v>
      </c>
      <c r="R4605" t="s">
        <v>11714</v>
      </c>
      <c r="S4605" t="str">
        <f>"0000050413554"</f>
        <v>0000050413554</v>
      </c>
      <c r="T4605" t="s">
        <v>41</v>
      </c>
      <c r="U4605">
        <v>4593.97</v>
      </c>
      <c r="V4605">
        <v>4333.97</v>
      </c>
      <c r="W4605">
        <v>4333.97</v>
      </c>
      <c r="X4605">
        <v>0</v>
      </c>
      <c r="Y4605">
        <v>0</v>
      </c>
      <c r="Z4605">
        <v>-491</v>
      </c>
      <c r="AA4605">
        <v>4564</v>
      </c>
      <c r="AD4605" t="s">
        <v>11715</v>
      </c>
      <c r="AE4605" t="s">
        <v>11716</v>
      </c>
      <c r="AF4605" t="s">
        <v>11715</v>
      </c>
      <c r="AG4605">
        <v>42985218001326</v>
      </c>
      <c r="AH4605" t="s">
        <v>1462</v>
      </c>
    </row>
    <row r="4606" spans="1:34" x14ac:dyDescent="0.3">
      <c r="A4606">
        <v>101</v>
      </c>
      <c r="B4606" t="s">
        <v>34</v>
      </c>
      <c r="C4606">
        <v>2</v>
      </c>
      <c r="D4606" s="1" t="s">
        <v>11717</v>
      </c>
      <c r="E4606" s="1" t="s">
        <v>36</v>
      </c>
      <c r="G4606">
        <v>453315</v>
      </c>
      <c r="H4606" t="s">
        <v>11718</v>
      </c>
      <c r="I4606" t="s">
        <v>11651</v>
      </c>
      <c r="J4606">
        <v>34</v>
      </c>
      <c r="K4606">
        <v>8474</v>
      </c>
      <c r="L4606">
        <v>50033</v>
      </c>
      <c r="M4606" t="s">
        <v>39</v>
      </c>
      <c r="N4606">
        <v>700</v>
      </c>
      <c r="O4606" s="2">
        <v>46251</v>
      </c>
      <c r="P4606" s="2">
        <v>46266</v>
      </c>
      <c r="R4606" t="s">
        <v>11719</v>
      </c>
      <c r="S4606" t="str">
        <f>"0000050413562"</f>
        <v>0000050413562</v>
      </c>
      <c r="T4606" t="s">
        <v>41</v>
      </c>
      <c r="U4606">
        <v>8575.2099999999991</v>
      </c>
      <c r="V4606">
        <v>8100.21</v>
      </c>
      <c r="W4606">
        <v>8100.21</v>
      </c>
      <c r="X4606">
        <v>0</v>
      </c>
      <c r="Y4606">
        <v>0</v>
      </c>
      <c r="Z4606">
        <v>-491</v>
      </c>
      <c r="AA4606">
        <v>4567</v>
      </c>
      <c r="AD4606" t="s">
        <v>11720</v>
      </c>
      <c r="AE4606" t="s">
        <v>11721</v>
      </c>
      <c r="AF4606" t="s">
        <v>11720</v>
      </c>
      <c r="AG4606">
        <v>42985218001407</v>
      </c>
      <c r="AH4606" t="s">
        <v>1462</v>
      </c>
    </row>
    <row r="4607" spans="1:34" x14ac:dyDescent="0.3">
      <c r="A4607">
        <v>101</v>
      </c>
      <c r="B4607" t="s">
        <v>34</v>
      </c>
      <c r="C4607">
        <v>2</v>
      </c>
      <c r="D4607" s="1" t="s">
        <v>11722</v>
      </c>
      <c r="E4607" s="1" t="s">
        <v>36</v>
      </c>
      <c r="G4607">
        <v>454093</v>
      </c>
      <c r="H4607" t="s">
        <v>11723</v>
      </c>
      <c r="I4607" t="s">
        <v>11651</v>
      </c>
      <c r="J4607">
        <v>34</v>
      </c>
      <c r="K4607">
        <v>8474</v>
      </c>
      <c r="L4607">
        <v>50033</v>
      </c>
      <c r="M4607" t="s">
        <v>39</v>
      </c>
      <c r="N4607">
        <v>700</v>
      </c>
      <c r="O4607" s="2">
        <v>46251</v>
      </c>
      <c r="P4607" s="2">
        <v>46266</v>
      </c>
      <c r="R4607" t="s">
        <v>11724</v>
      </c>
      <c r="S4607" t="str">
        <f>"0000050413570"</f>
        <v>0000050413570</v>
      </c>
      <c r="T4607" t="s">
        <v>41</v>
      </c>
      <c r="U4607">
        <v>2827.47</v>
      </c>
      <c r="V4607">
        <v>2677.47</v>
      </c>
      <c r="W4607">
        <v>2677.47</v>
      </c>
      <c r="X4607">
        <v>0</v>
      </c>
      <c r="Y4607">
        <v>0</v>
      </c>
      <c r="Z4607">
        <v>-491</v>
      </c>
      <c r="AA4607">
        <v>4569</v>
      </c>
      <c r="AD4607" t="s">
        <v>11725</v>
      </c>
      <c r="AE4607">
        <v>3837296925</v>
      </c>
      <c r="AF4607" t="s">
        <v>11725</v>
      </c>
      <c r="AG4607">
        <v>42985218001598</v>
      </c>
      <c r="AH4607" t="s">
        <v>1462</v>
      </c>
    </row>
    <row r="4608" spans="1:34" x14ac:dyDescent="0.3">
      <c r="A4608">
        <v>101</v>
      </c>
      <c r="B4608" t="s">
        <v>34</v>
      </c>
      <c r="C4608">
        <v>2</v>
      </c>
      <c r="D4608" s="1" t="s">
        <v>11726</v>
      </c>
      <c r="E4608" s="1" t="s">
        <v>36</v>
      </c>
      <c r="G4608">
        <v>457966</v>
      </c>
      <c r="H4608" t="s">
        <v>11727</v>
      </c>
      <c r="I4608" t="s">
        <v>11651</v>
      </c>
      <c r="J4608">
        <v>34</v>
      </c>
      <c r="K4608">
        <v>8474</v>
      </c>
      <c r="L4608">
        <v>50033</v>
      </c>
      <c r="M4608" t="s">
        <v>39</v>
      </c>
      <c r="N4608">
        <v>700</v>
      </c>
      <c r="O4608" s="2">
        <v>46251</v>
      </c>
      <c r="P4608" s="2">
        <v>46266</v>
      </c>
      <c r="R4608" t="s">
        <v>11728</v>
      </c>
      <c r="S4608" t="str">
        <f>"0000050413589"</f>
        <v>0000050413589</v>
      </c>
      <c r="T4608" t="s">
        <v>41</v>
      </c>
      <c r="U4608">
        <v>3829.28</v>
      </c>
      <c r="V4608">
        <v>3654.28</v>
      </c>
      <c r="W4608">
        <v>3654.28</v>
      </c>
      <c r="X4608">
        <v>0</v>
      </c>
      <c r="Y4608">
        <v>0</v>
      </c>
      <c r="Z4608">
        <v>-491</v>
      </c>
      <c r="AA4608">
        <v>4572</v>
      </c>
      <c r="AD4608" t="s">
        <v>1467</v>
      </c>
      <c r="AE4608">
        <v>3832210479</v>
      </c>
      <c r="AF4608" t="s">
        <v>1467</v>
      </c>
      <c r="AG4608">
        <v>42985218001679</v>
      </c>
      <c r="AH4608" t="s">
        <v>1462</v>
      </c>
    </row>
    <row r="4609" spans="1:34" x14ac:dyDescent="0.3">
      <c r="A4609">
        <v>101</v>
      </c>
      <c r="B4609" t="s">
        <v>34</v>
      </c>
      <c r="C4609">
        <v>2</v>
      </c>
      <c r="D4609" s="1" t="s">
        <v>11729</v>
      </c>
      <c r="E4609" s="1" t="s">
        <v>36</v>
      </c>
      <c r="G4609">
        <v>458049</v>
      </c>
      <c r="H4609" t="s">
        <v>11730</v>
      </c>
      <c r="I4609" t="s">
        <v>11731</v>
      </c>
      <c r="J4609">
        <v>34</v>
      </c>
      <c r="K4609">
        <v>458049</v>
      </c>
      <c r="L4609">
        <v>50001</v>
      </c>
      <c r="M4609" t="s">
        <v>39</v>
      </c>
      <c r="N4609">
        <v>700</v>
      </c>
      <c r="O4609" s="2">
        <v>46251</v>
      </c>
      <c r="P4609" s="2">
        <v>46279</v>
      </c>
      <c r="R4609" t="s">
        <v>11732</v>
      </c>
      <c r="S4609" t="str">
        <f>"25666160000051906"</f>
        <v>25666160000051906</v>
      </c>
      <c r="T4609" t="s">
        <v>41</v>
      </c>
      <c r="U4609">
        <v>2830.02</v>
      </c>
      <c r="V4609">
        <v>2830.02</v>
      </c>
      <c r="W4609">
        <v>2830.02</v>
      </c>
      <c r="X4609">
        <v>0</v>
      </c>
      <c r="Y4609">
        <v>0</v>
      </c>
      <c r="Z4609">
        <v>-504</v>
      </c>
      <c r="AA4609">
        <v>4526</v>
      </c>
      <c r="AD4609" t="s">
        <v>1612</v>
      </c>
      <c r="AE4609">
        <v>3435225055</v>
      </c>
      <c r="AF4609" t="s">
        <v>1612</v>
      </c>
      <c r="AG4609">
        <v>39943370000106</v>
      </c>
      <c r="AH4609" t="s">
        <v>1462</v>
      </c>
    </row>
    <row r="4610" spans="1:34" x14ac:dyDescent="0.3">
      <c r="A4610">
        <v>101</v>
      </c>
      <c r="B4610" t="s">
        <v>34</v>
      </c>
      <c r="C4610">
        <v>2</v>
      </c>
      <c r="D4610" s="1" t="s">
        <v>11729</v>
      </c>
      <c r="E4610" s="1" t="s">
        <v>122</v>
      </c>
      <c r="G4610">
        <v>458049</v>
      </c>
      <c r="H4610" t="s">
        <v>11730</v>
      </c>
      <c r="I4610" t="s">
        <v>11731</v>
      </c>
      <c r="J4610">
        <v>34</v>
      </c>
      <c r="K4610">
        <v>458049</v>
      </c>
      <c r="L4610">
        <v>50001</v>
      </c>
      <c r="M4610" t="s">
        <v>39</v>
      </c>
      <c r="N4610">
        <v>700</v>
      </c>
      <c r="O4610" s="2">
        <v>46251</v>
      </c>
      <c r="P4610" s="2">
        <v>46286</v>
      </c>
      <c r="R4610" t="s">
        <v>11732</v>
      </c>
      <c r="S4610" t="str">
        <f>"25666160000051907"</f>
        <v>25666160000051907</v>
      </c>
      <c r="T4610" t="s">
        <v>41</v>
      </c>
      <c r="U4610">
        <v>2768.63</v>
      </c>
      <c r="V4610">
        <v>2768.63</v>
      </c>
      <c r="W4610">
        <v>2768.63</v>
      </c>
      <c r="X4610">
        <v>0</v>
      </c>
      <c r="Y4610">
        <v>0</v>
      </c>
      <c r="Z4610">
        <v>-511</v>
      </c>
      <c r="AA4610">
        <v>4526</v>
      </c>
      <c r="AD4610" t="s">
        <v>1612</v>
      </c>
      <c r="AE4610">
        <v>3435225055</v>
      </c>
      <c r="AF4610" t="s">
        <v>1612</v>
      </c>
      <c r="AG4610">
        <v>39943370000106</v>
      </c>
      <c r="AH4610" t="s">
        <v>1462</v>
      </c>
    </row>
    <row r="4611" spans="1:34" x14ac:dyDescent="0.3">
      <c r="A4611">
        <v>101</v>
      </c>
      <c r="B4611" t="s">
        <v>34</v>
      </c>
      <c r="C4611">
        <v>2</v>
      </c>
      <c r="D4611" s="1" t="s">
        <v>11733</v>
      </c>
      <c r="E4611" s="1" t="s">
        <v>36</v>
      </c>
      <c r="G4611">
        <v>460566</v>
      </c>
      <c r="H4611" t="s">
        <v>11734</v>
      </c>
      <c r="I4611" t="s">
        <v>11651</v>
      </c>
      <c r="J4611">
        <v>34</v>
      </c>
      <c r="K4611">
        <v>8474</v>
      </c>
      <c r="L4611">
        <v>50033</v>
      </c>
      <c r="M4611" t="s">
        <v>39</v>
      </c>
      <c r="N4611">
        <v>700</v>
      </c>
      <c r="O4611" s="2">
        <v>46251</v>
      </c>
      <c r="P4611" s="2">
        <v>46266</v>
      </c>
      <c r="R4611" t="s">
        <v>11735</v>
      </c>
      <c r="S4611" t="str">
        <f>"0000050413597"</f>
        <v>0000050413597</v>
      </c>
      <c r="T4611" t="s">
        <v>41</v>
      </c>
      <c r="U4611">
        <v>2193.48</v>
      </c>
      <c r="V4611">
        <v>2092.48</v>
      </c>
      <c r="W4611">
        <v>2092.48</v>
      </c>
      <c r="X4611">
        <v>0</v>
      </c>
      <c r="Y4611">
        <v>0</v>
      </c>
      <c r="Z4611">
        <v>-491</v>
      </c>
      <c r="AA4611">
        <v>4576</v>
      </c>
      <c r="AD4611" t="s">
        <v>1467</v>
      </c>
      <c r="AE4611" t="s">
        <v>11736</v>
      </c>
      <c r="AF4611" t="s">
        <v>1467</v>
      </c>
      <c r="AG4611">
        <v>42985218001750</v>
      </c>
      <c r="AH4611" t="s">
        <v>1462</v>
      </c>
    </row>
    <row r="4612" spans="1:34" x14ac:dyDescent="0.3">
      <c r="A4612">
        <v>101</v>
      </c>
      <c r="B4612" t="s">
        <v>34</v>
      </c>
      <c r="C4612">
        <v>2</v>
      </c>
      <c r="D4612" s="1" t="s">
        <v>11737</v>
      </c>
      <c r="E4612" s="1" t="s">
        <v>122</v>
      </c>
      <c r="G4612">
        <v>463144</v>
      </c>
      <c r="H4612" t="s">
        <v>11738</v>
      </c>
      <c r="I4612" t="s">
        <v>11739</v>
      </c>
      <c r="J4612">
        <v>34</v>
      </c>
      <c r="K4612">
        <v>463144</v>
      </c>
      <c r="L4612">
        <v>50341</v>
      </c>
      <c r="M4612" t="s">
        <v>146</v>
      </c>
      <c r="N4612">
        <v>700</v>
      </c>
      <c r="O4612" s="2">
        <v>46233</v>
      </c>
      <c r="P4612" s="2">
        <v>46268</v>
      </c>
      <c r="R4612" t="s">
        <v>11740</v>
      </c>
      <c r="S4612" t="str">
        <f>"00013372"</f>
        <v>00013372</v>
      </c>
      <c r="T4612" t="s">
        <v>41</v>
      </c>
      <c r="U4612">
        <v>890.1</v>
      </c>
      <c r="V4612">
        <v>890.1</v>
      </c>
      <c r="W4612">
        <v>890.1</v>
      </c>
      <c r="X4612">
        <v>0</v>
      </c>
      <c r="Y4612">
        <v>0</v>
      </c>
      <c r="Z4612">
        <v>-493</v>
      </c>
      <c r="AA4612">
        <v>4016</v>
      </c>
      <c r="AD4612" t="s">
        <v>1556</v>
      </c>
      <c r="AE4612">
        <v>3438222228</v>
      </c>
      <c r="AF4612" t="s">
        <v>1556</v>
      </c>
      <c r="AG4612">
        <v>22976553000117</v>
      </c>
      <c r="AH4612" t="s">
        <v>1462</v>
      </c>
    </row>
    <row r="4613" spans="1:34" x14ac:dyDescent="0.3">
      <c r="A4613">
        <v>101</v>
      </c>
      <c r="B4613" t="s">
        <v>34</v>
      </c>
      <c r="C4613">
        <v>2</v>
      </c>
      <c r="D4613" s="1" t="s">
        <v>11737</v>
      </c>
      <c r="E4613" s="1" t="s">
        <v>36</v>
      </c>
      <c r="G4613">
        <v>463144</v>
      </c>
      <c r="H4613" t="s">
        <v>11738</v>
      </c>
      <c r="I4613" t="s">
        <v>11739</v>
      </c>
      <c r="J4613">
        <v>34</v>
      </c>
      <c r="K4613">
        <v>463144</v>
      </c>
      <c r="L4613">
        <v>50341</v>
      </c>
      <c r="M4613" t="s">
        <v>146</v>
      </c>
      <c r="N4613">
        <v>700</v>
      </c>
      <c r="O4613" s="2">
        <v>46233</v>
      </c>
      <c r="P4613" s="2">
        <v>46261</v>
      </c>
      <c r="R4613" t="s">
        <v>11740</v>
      </c>
      <c r="S4613" t="str">
        <f>"00013371"</f>
        <v>00013371</v>
      </c>
      <c r="T4613" t="s">
        <v>41</v>
      </c>
      <c r="U4613">
        <v>890.11</v>
      </c>
      <c r="V4613">
        <v>890.11</v>
      </c>
      <c r="W4613">
        <v>890.11</v>
      </c>
      <c r="X4613">
        <v>0</v>
      </c>
      <c r="Y4613">
        <v>0</v>
      </c>
      <c r="Z4613">
        <v>-486</v>
      </c>
      <c r="AA4613">
        <v>4016</v>
      </c>
      <c r="AD4613" t="s">
        <v>1556</v>
      </c>
      <c r="AE4613">
        <v>3438222228</v>
      </c>
      <c r="AF4613" t="s">
        <v>1556</v>
      </c>
      <c r="AG4613">
        <v>22976553000117</v>
      </c>
      <c r="AH4613" t="s">
        <v>1462</v>
      </c>
    </row>
    <row r="4614" spans="1:34" x14ac:dyDescent="0.3">
      <c r="A4614">
        <v>101</v>
      </c>
      <c r="B4614" t="s">
        <v>34</v>
      </c>
      <c r="C4614">
        <v>2</v>
      </c>
      <c r="D4614" s="1" t="s">
        <v>11741</v>
      </c>
      <c r="E4614" s="1" t="s">
        <v>122</v>
      </c>
      <c r="G4614">
        <v>465002</v>
      </c>
      <c r="H4614" t="s">
        <v>11742</v>
      </c>
      <c r="I4614" t="s">
        <v>11743</v>
      </c>
      <c r="J4614">
        <v>12</v>
      </c>
      <c r="K4614">
        <v>999000568</v>
      </c>
      <c r="L4614">
        <v>50033</v>
      </c>
      <c r="M4614" t="s">
        <v>39</v>
      </c>
      <c r="N4614">
        <v>700</v>
      </c>
      <c r="O4614" s="2">
        <v>46224</v>
      </c>
      <c r="P4614" s="2">
        <v>46259</v>
      </c>
      <c r="R4614" t="s">
        <v>11744</v>
      </c>
      <c r="S4614" t="str">
        <f>"0000050410326"</f>
        <v>0000050410326</v>
      </c>
      <c r="T4614" t="s">
        <v>41</v>
      </c>
      <c r="U4614">
        <v>1751.11</v>
      </c>
      <c r="V4614">
        <v>1751.11</v>
      </c>
      <c r="W4614">
        <v>1751.11</v>
      </c>
      <c r="X4614">
        <v>0</v>
      </c>
      <c r="Y4614">
        <v>0</v>
      </c>
      <c r="Z4614">
        <v>-484</v>
      </c>
      <c r="AA4614">
        <v>694271</v>
      </c>
      <c r="AD4614" t="s">
        <v>11745</v>
      </c>
      <c r="AE4614" t="s">
        <v>11746</v>
      </c>
      <c r="AF4614" t="s">
        <v>11745</v>
      </c>
      <c r="AG4614">
        <v>42781852000103</v>
      </c>
      <c r="AH4614" t="s">
        <v>1462</v>
      </c>
    </row>
    <row r="4615" spans="1:34" x14ac:dyDescent="0.3">
      <c r="A4615">
        <v>101</v>
      </c>
      <c r="B4615" t="s">
        <v>34</v>
      </c>
      <c r="C4615">
        <v>2</v>
      </c>
      <c r="D4615" s="1" t="s">
        <v>11741</v>
      </c>
      <c r="E4615" s="1" t="s">
        <v>116</v>
      </c>
      <c r="G4615">
        <v>465002</v>
      </c>
      <c r="H4615" t="s">
        <v>11742</v>
      </c>
      <c r="I4615" t="s">
        <v>11743</v>
      </c>
      <c r="J4615">
        <v>12</v>
      </c>
      <c r="K4615">
        <v>999000568</v>
      </c>
      <c r="L4615">
        <v>50033</v>
      </c>
      <c r="M4615" t="s">
        <v>39</v>
      </c>
      <c r="N4615">
        <v>700</v>
      </c>
      <c r="O4615" s="2">
        <v>46224</v>
      </c>
      <c r="P4615" s="2">
        <v>46266</v>
      </c>
      <c r="R4615" t="s">
        <v>11744</v>
      </c>
      <c r="S4615" t="str">
        <f>"0000050410334"</f>
        <v>0000050410334</v>
      </c>
      <c r="T4615" t="s">
        <v>41</v>
      </c>
      <c r="U4615">
        <v>1751.63</v>
      </c>
      <c r="V4615">
        <v>1751.63</v>
      </c>
      <c r="W4615">
        <v>1751.63</v>
      </c>
      <c r="X4615">
        <v>0</v>
      </c>
      <c r="Y4615">
        <v>0</v>
      </c>
      <c r="Z4615">
        <v>-491</v>
      </c>
      <c r="AA4615">
        <v>694271</v>
      </c>
      <c r="AD4615" t="s">
        <v>11745</v>
      </c>
      <c r="AE4615" t="s">
        <v>11746</v>
      </c>
      <c r="AF4615" t="s">
        <v>11745</v>
      </c>
      <c r="AG4615">
        <v>42781852000103</v>
      </c>
      <c r="AH4615" t="s">
        <v>1462</v>
      </c>
    </row>
    <row r="4616" spans="1:34" x14ac:dyDescent="0.3">
      <c r="A4616">
        <v>101</v>
      </c>
      <c r="B4616" t="s">
        <v>34</v>
      </c>
      <c r="C4616">
        <v>2</v>
      </c>
      <c r="D4616" s="1" t="s">
        <v>11747</v>
      </c>
      <c r="E4616" s="1" t="s">
        <v>36</v>
      </c>
      <c r="G4616">
        <v>465160</v>
      </c>
      <c r="H4616" t="s">
        <v>11748</v>
      </c>
      <c r="I4616" t="s">
        <v>11749</v>
      </c>
      <c r="J4616">
        <v>15</v>
      </c>
      <c r="K4616">
        <v>26</v>
      </c>
      <c r="L4616">
        <v>50001</v>
      </c>
      <c r="M4616" t="s">
        <v>39</v>
      </c>
      <c r="N4616">
        <v>700</v>
      </c>
      <c r="O4616" s="2">
        <v>46252</v>
      </c>
      <c r="P4616" s="2">
        <v>46280</v>
      </c>
      <c r="R4616" t="s">
        <v>11750</v>
      </c>
      <c r="S4616" t="str">
        <f>"25666160000051917"</f>
        <v>25666160000051917</v>
      </c>
      <c r="T4616" t="s">
        <v>41</v>
      </c>
      <c r="U4616">
        <v>15690.86</v>
      </c>
      <c r="V4616">
        <v>13818.19</v>
      </c>
      <c r="W4616">
        <v>13818.19</v>
      </c>
      <c r="X4616">
        <v>0</v>
      </c>
      <c r="Y4616">
        <v>0</v>
      </c>
      <c r="Z4616">
        <v>-505</v>
      </c>
      <c r="AA4616">
        <v>4342</v>
      </c>
      <c r="AD4616" t="s">
        <v>1612</v>
      </c>
      <c r="AE4616" t="s">
        <v>11751</v>
      </c>
      <c r="AF4616" t="s">
        <v>1612</v>
      </c>
      <c r="AG4616">
        <v>19867464000470</v>
      </c>
      <c r="AH4616" t="s">
        <v>1462</v>
      </c>
    </row>
    <row r="4617" spans="1:34" x14ac:dyDescent="0.3">
      <c r="A4617">
        <v>101</v>
      </c>
      <c r="B4617" t="s">
        <v>34</v>
      </c>
      <c r="C4617">
        <v>2</v>
      </c>
      <c r="D4617" s="1" t="s">
        <v>11747</v>
      </c>
      <c r="E4617" s="1" t="s">
        <v>122</v>
      </c>
      <c r="G4617">
        <v>465160</v>
      </c>
      <c r="H4617" t="s">
        <v>11748</v>
      </c>
      <c r="I4617" t="s">
        <v>11749</v>
      </c>
      <c r="J4617">
        <v>15</v>
      </c>
      <c r="K4617">
        <v>26</v>
      </c>
      <c r="L4617">
        <v>50001</v>
      </c>
      <c r="M4617" t="s">
        <v>39</v>
      </c>
      <c r="N4617">
        <v>700</v>
      </c>
      <c r="O4617" s="2">
        <v>46252</v>
      </c>
      <c r="P4617" s="2">
        <v>46287</v>
      </c>
      <c r="R4617" t="s">
        <v>11750</v>
      </c>
      <c r="S4617" t="str">
        <f>"25666160000051918"</f>
        <v>25666160000051918</v>
      </c>
      <c r="T4617" t="s">
        <v>41</v>
      </c>
      <c r="U4617">
        <v>15598.45</v>
      </c>
      <c r="V4617">
        <v>13725.78</v>
      </c>
      <c r="W4617">
        <v>13725.78</v>
      </c>
      <c r="X4617">
        <v>0</v>
      </c>
      <c r="Y4617">
        <v>0</v>
      </c>
      <c r="Z4617">
        <v>-512</v>
      </c>
      <c r="AA4617">
        <v>4342</v>
      </c>
      <c r="AD4617" t="s">
        <v>1612</v>
      </c>
      <c r="AE4617" t="s">
        <v>11751</v>
      </c>
      <c r="AF4617" t="s">
        <v>1612</v>
      </c>
      <c r="AG4617">
        <v>19867464000470</v>
      </c>
      <c r="AH4617" t="s">
        <v>1462</v>
      </c>
    </row>
    <row r="4618" spans="1:34" x14ac:dyDescent="0.3">
      <c r="A4618">
        <v>101</v>
      </c>
      <c r="B4618" t="s">
        <v>34</v>
      </c>
      <c r="C4618">
        <v>2</v>
      </c>
      <c r="D4618" s="1" t="s">
        <v>11747</v>
      </c>
      <c r="E4618" s="1" t="s">
        <v>116</v>
      </c>
      <c r="G4618">
        <v>465160</v>
      </c>
      <c r="H4618" t="s">
        <v>11748</v>
      </c>
      <c r="I4618" t="s">
        <v>11749</v>
      </c>
      <c r="J4618">
        <v>15</v>
      </c>
      <c r="K4618">
        <v>26</v>
      </c>
      <c r="L4618">
        <v>50001</v>
      </c>
      <c r="M4618" t="s">
        <v>39</v>
      </c>
      <c r="N4618">
        <v>700</v>
      </c>
      <c r="O4618" s="2">
        <v>46252</v>
      </c>
      <c r="P4618" s="2">
        <v>46294</v>
      </c>
      <c r="R4618" t="s">
        <v>11750</v>
      </c>
      <c r="S4618" t="str">
        <f>"25666160000051919"</f>
        <v>25666160000051919</v>
      </c>
      <c r="T4618" t="s">
        <v>41</v>
      </c>
      <c r="U4618">
        <v>15603.13</v>
      </c>
      <c r="V4618">
        <v>13730.46</v>
      </c>
      <c r="W4618">
        <v>13730.46</v>
      </c>
      <c r="X4618">
        <v>0</v>
      </c>
      <c r="Y4618">
        <v>0</v>
      </c>
      <c r="Z4618">
        <v>-519</v>
      </c>
      <c r="AA4618">
        <v>4342</v>
      </c>
      <c r="AD4618" t="s">
        <v>1612</v>
      </c>
      <c r="AE4618" t="s">
        <v>11751</v>
      </c>
      <c r="AF4618" t="s">
        <v>1612</v>
      </c>
      <c r="AG4618">
        <v>19867464000470</v>
      </c>
      <c r="AH4618" t="s">
        <v>1462</v>
      </c>
    </row>
    <row r="4619" spans="1:34" x14ac:dyDescent="0.3">
      <c r="A4619">
        <v>101</v>
      </c>
      <c r="B4619" t="s">
        <v>34</v>
      </c>
      <c r="C4619">
        <v>2</v>
      </c>
      <c r="D4619" s="1" t="s">
        <v>11752</v>
      </c>
      <c r="E4619" s="1" t="s">
        <v>36</v>
      </c>
      <c r="G4619">
        <v>465516</v>
      </c>
      <c r="H4619" t="s">
        <v>11753</v>
      </c>
      <c r="I4619" t="s">
        <v>11623</v>
      </c>
      <c r="J4619">
        <v>12</v>
      </c>
      <c r="K4619">
        <v>5549</v>
      </c>
      <c r="L4619">
        <v>50341</v>
      </c>
      <c r="M4619" t="s">
        <v>146</v>
      </c>
      <c r="N4619">
        <v>700</v>
      </c>
      <c r="O4619" s="2">
        <v>46245</v>
      </c>
      <c r="P4619" s="2">
        <v>46273</v>
      </c>
      <c r="R4619" t="s">
        <v>11754</v>
      </c>
      <c r="S4619" t="str">
        <f>"00013655"</f>
        <v>00013655</v>
      </c>
      <c r="T4619" t="s">
        <v>41</v>
      </c>
      <c r="U4619">
        <v>690.12</v>
      </c>
      <c r="V4619">
        <v>657.62</v>
      </c>
      <c r="W4619">
        <v>657.62</v>
      </c>
      <c r="X4619">
        <v>0</v>
      </c>
      <c r="Y4619">
        <v>0</v>
      </c>
      <c r="Z4619">
        <v>-498</v>
      </c>
      <c r="AA4619">
        <v>4254</v>
      </c>
      <c r="AD4619" t="s">
        <v>1612</v>
      </c>
      <c r="AE4619" t="s">
        <v>11755</v>
      </c>
      <c r="AF4619" t="s">
        <v>1612</v>
      </c>
      <c r="AG4619" s="1" t="s">
        <v>11756</v>
      </c>
      <c r="AH4619" t="s">
        <v>1462</v>
      </c>
    </row>
    <row r="4620" spans="1:34" x14ac:dyDescent="0.3">
      <c r="A4620">
        <v>101</v>
      </c>
      <c r="B4620" t="s">
        <v>34</v>
      </c>
      <c r="C4620">
        <v>2</v>
      </c>
      <c r="D4620" s="1" t="s">
        <v>11752</v>
      </c>
      <c r="E4620" s="1" t="s">
        <v>122</v>
      </c>
      <c r="G4620">
        <v>465516</v>
      </c>
      <c r="H4620" t="s">
        <v>11753</v>
      </c>
      <c r="I4620" t="s">
        <v>11623</v>
      </c>
      <c r="J4620">
        <v>12</v>
      </c>
      <c r="K4620">
        <v>5549</v>
      </c>
      <c r="L4620">
        <v>50341</v>
      </c>
      <c r="M4620" t="s">
        <v>146</v>
      </c>
      <c r="N4620">
        <v>700</v>
      </c>
      <c r="O4620" s="2">
        <v>46245</v>
      </c>
      <c r="P4620" s="2">
        <v>46280</v>
      </c>
      <c r="R4620" t="s">
        <v>11754</v>
      </c>
      <c r="S4620" t="str">
        <f>"00013656"</f>
        <v>00013656</v>
      </c>
      <c r="T4620" t="s">
        <v>41</v>
      </c>
      <c r="U4620">
        <v>690.12</v>
      </c>
      <c r="V4620">
        <v>657.62</v>
      </c>
      <c r="W4620">
        <v>657.62</v>
      </c>
      <c r="X4620">
        <v>0</v>
      </c>
      <c r="Y4620">
        <v>0</v>
      </c>
      <c r="Z4620">
        <v>-505</v>
      </c>
      <c r="AA4620">
        <v>4254</v>
      </c>
      <c r="AD4620" t="s">
        <v>1612</v>
      </c>
      <c r="AE4620" t="s">
        <v>11755</v>
      </c>
      <c r="AF4620" t="s">
        <v>1612</v>
      </c>
      <c r="AG4620" s="1" t="s">
        <v>11756</v>
      </c>
      <c r="AH4620" t="s">
        <v>1462</v>
      </c>
    </row>
    <row r="4621" spans="1:34" x14ac:dyDescent="0.3">
      <c r="A4621">
        <v>101</v>
      </c>
      <c r="B4621" t="s">
        <v>34</v>
      </c>
      <c r="C4621">
        <v>2</v>
      </c>
      <c r="D4621" s="1" t="s">
        <v>11757</v>
      </c>
      <c r="E4621" s="1" t="s">
        <v>122</v>
      </c>
      <c r="G4621">
        <v>465516</v>
      </c>
      <c r="H4621" t="s">
        <v>11753</v>
      </c>
      <c r="I4621" t="s">
        <v>11623</v>
      </c>
      <c r="J4621">
        <v>12</v>
      </c>
      <c r="K4621">
        <v>5549</v>
      </c>
      <c r="L4621">
        <v>50341</v>
      </c>
      <c r="M4621" t="s">
        <v>146</v>
      </c>
      <c r="N4621">
        <v>700</v>
      </c>
      <c r="O4621" s="2">
        <v>46233</v>
      </c>
      <c r="P4621" s="2">
        <v>46268</v>
      </c>
      <c r="R4621" t="s">
        <v>11758</v>
      </c>
      <c r="S4621" t="str">
        <f>"00013374"</f>
        <v>00013374</v>
      </c>
      <c r="T4621" t="s">
        <v>41</v>
      </c>
      <c r="U4621">
        <v>984.64</v>
      </c>
      <c r="V4621">
        <v>929.64</v>
      </c>
      <c r="W4621">
        <v>929.64</v>
      </c>
      <c r="X4621">
        <v>0</v>
      </c>
      <c r="Y4621">
        <v>0</v>
      </c>
      <c r="Z4621">
        <v>-493</v>
      </c>
      <c r="AA4621">
        <v>1770</v>
      </c>
      <c r="AD4621" t="s">
        <v>1612</v>
      </c>
      <c r="AE4621" t="s">
        <v>11755</v>
      </c>
      <c r="AF4621" t="s">
        <v>1612</v>
      </c>
      <c r="AG4621" s="1" t="s">
        <v>11756</v>
      </c>
      <c r="AH4621" t="s">
        <v>1462</v>
      </c>
    </row>
    <row r="4622" spans="1:34" x14ac:dyDescent="0.3">
      <c r="A4622">
        <v>101</v>
      </c>
      <c r="B4622" t="s">
        <v>34</v>
      </c>
      <c r="C4622">
        <v>2</v>
      </c>
      <c r="D4622" s="1" t="s">
        <v>11757</v>
      </c>
      <c r="E4622" s="1" t="s">
        <v>36</v>
      </c>
      <c r="G4622">
        <v>465516</v>
      </c>
      <c r="H4622" t="s">
        <v>11753</v>
      </c>
      <c r="I4622" t="s">
        <v>11623</v>
      </c>
      <c r="J4622">
        <v>12</v>
      </c>
      <c r="K4622">
        <v>5549</v>
      </c>
      <c r="L4622">
        <v>50341</v>
      </c>
      <c r="M4622" t="s">
        <v>146</v>
      </c>
      <c r="N4622">
        <v>700</v>
      </c>
      <c r="O4622" s="2">
        <v>46233</v>
      </c>
      <c r="P4622" s="2">
        <v>46261</v>
      </c>
      <c r="R4622" t="s">
        <v>11758</v>
      </c>
      <c r="S4622" t="str">
        <f>"00013373"</f>
        <v>00013373</v>
      </c>
      <c r="T4622" t="s">
        <v>41</v>
      </c>
      <c r="U4622">
        <v>1045.99</v>
      </c>
      <c r="V4622">
        <v>990.99</v>
      </c>
      <c r="W4622">
        <v>990.99</v>
      </c>
      <c r="X4622">
        <v>0</v>
      </c>
      <c r="Y4622">
        <v>0</v>
      </c>
      <c r="Z4622">
        <v>-486</v>
      </c>
      <c r="AA4622">
        <v>1770</v>
      </c>
      <c r="AD4622" t="s">
        <v>1612</v>
      </c>
      <c r="AE4622" t="s">
        <v>11755</v>
      </c>
      <c r="AF4622" t="s">
        <v>1612</v>
      </c>
      <c r="AG4622" s="1" t="s">
        <v>11756</v>
      </c>
      <c r="AH4622" t="s">
        <v>1462</v>
      </c>
    </row>
    <row r="4623" spans="1:34" x14ac:dyDescent="0.3">
      <c r="A4623">
        <v>101</v>
      </c>
      <c r="B4623" t="s">
        <v>34</v>
      </c>
      <c r="C4623">
        <v>2</v>
      </c>
      <c r="D4623" s="1" t="s">
        <v>11759</v>
      </c>
      <c r="E4623" s="1" t="s">
        <v>36</v>
      </c>
      <c r="G4623">
        <v>465519</v>
      </c>
      <c r="H4623" t="s">
        <v>11760</v>
      </c>
      <c r="I4623" t="s">
        <v>11623</v>
      </c>
      <c r="J4623">
        <v>12</v>
      </c>
      <c r="K4623">
        <v>5549</v>
      </c>
      <c r="L4623">
        <v>50341</v>
      </c>
      <c r="M4623" t="s">
        <v>146</v>
      </c>
      <c r="N4623">
        <v>700</v>
      </c>
      <c r="O4623" s="2">
        <v>46230</v>
      </c>
      <c r="P4623" s="2">
        <v>46258</v>
      </c>
      <c r="R4623" t="s">
        <v>11761</v>
      </c>
      <c r="S4623" t="str">
        <f>"00013344"</f>
        <v>00013344</v>
      </c>
      <c r="T4623" t="s">
        <v>41</v>
      </c>
      <c r="U4623">
        <v>1005.75</v>
      </c>
      <c r="V4623">
        <v>958.25</v>
      </c>
      <c r="W4623">
        <v>958.25</v>
      </c>
      <c r="X4623">
        <v>0</v>
      </c>
      <c r="Y4623">
        <v>0</v>
      </c>
      <c r="Z4623">
        <v>-483</v>
      </c>
      <c r="AA4623">
        <v>1771</v>
      </c>
      <c r="AD4623" t="s">
        <v>1612</v>
      </c>
      <c r="AE4623" t="s">
        <v>11762</v>
      </c>
      <c r="AF4623" t="s">
        <v>1612</v>
      </c>
      <c r="AG4623" s="1" t="s">
        <v>11763</v>
      </c>
      <c r="AH4623" t="s">
        <v>1462</v>
      </c>
    </row>
    <row r="4624" spans="1:34" x14ac:dyDescent="0.3">
      <c r="A4624">
        <v>101</v>
      </c>
      <c r="B4624" t="s">
        <v>34</v>
      </c>
      <c r="C4624">
        <v>2</v>
      </c>
      <c r="D4624" s="1" t="s">
        <v>11759</v>
      </c>
      <c r="E4624" s="1" t="s">
        <v>122</v>
      </c>
      <c r="G4624">
        <v>465519</v>
      </c>
      <c r="H4624" t="s">
        <v>11760</v>
      </c>
      <c r="I4624" t="s">
        <v>11623</v>
      </c>
      <c r="J4624">
        <v>12</v>
      </c>
      <c r="K4624">
        <v>5549</v>
      </c>
      <c r="L4624">
        <v>50341</v>
      </c>
      <c r="M4624" t="s">
        <v>146</v>
      </c>
      <c r="N4624">
        <v>700</v>
      </c>
      <c r="O4624" s="2">
        <v>46230</v>
      </c>
      <c r="P4624" s="2">
        <v>46265</v>
      </c>
      <c r="R4624" t="s">
        <v>11761</v>
      </c>
      <c r="S4624" t="str">
        <f>"00013345"</f>
        <v>00013345</v>
      </c>
      <c r="T4624" t="s">
        <v>41</v>
      </c>
      <c r="U4624">
        <v>895.96</v>
      </c>
      <c r="V4624">
        <v>848.46</v>
      </c>
      <c r="W4624">
        <v>848.46</v>
      </c>
      <c r="X4624">
        <v>0</v>
      </c>
      <c r="Y4624">
        <v>0</v>
      </c>
      <c r="Z4624">
        <v>-490</v>
      </c>
      <c r="AA4624">
        <v>1771</v>
      </c>
      <c r="AD4624" t="s">
        <v>1612</v>
      </c>
      <c r="AE4624" t="s">
        <v>11762</v>
      </c>
      <c r="AF4624" t="s">
        <v>1612</v>
      </c>
      <c r="AG4624" s="1" t="s">
        <v>11763</v>
      </c>
      <c r="AH4624" t="s">
        <v>1462</v>
      </c>
    </row>
    <row r="4625" spans="1:34" x14ac:dyDescent="0.3">
      <c r="A4625">
        <v>101</v>
      </c>
      <c r="B4625" t="s">
        <v>34</v>
      </c>
      <c r="C4625">
        <v>2</v>
      </c>
      <c r="D4625" s="1" t="s">
        <v>11764</v>
      </c>
      <c r="E4625" s="1" t="s">
        <v>36</v>
      </c>
      <c r="G4625">
        <v>465519</v>
      </c>
      <c r="H4625" t="s">
        <v>11760</v>
      </c>
      <c r="I4625" t="s">
        <v>11623</v>
      </c>
      <c r="J4625">
        <v>12</v>
      </c>
      <c r="K4625">
        <v>5549</v>
      </c>
      <c r="L4625">
        <v>50341</v>
      </c>
      <c r="M4625" t="s">
        <v>146</v>
      </c>
      <c r="N4625">
        <v>700</v>
      </c>
      <c r="O4625" s="2">
        <v>46245</v>
      </c>
      <c r="P4625" s="2">
        <v>46273</v>
      </c>
      <c r="R4625" t="s">
        <v>11765</v>
      </c>
      <c r="S4625" t="str">
        <f>"00013657"</f>
        <v>00013657</v>
      </c>
      <c r="T4625" t="s">
        <v>41</v>
      </c>
      <c r="U4625">
        <v>690.12</v>
      </c>
      <c r="V4625">
        <v>657.62</v>
      </c>
      <c r="W4625">
        <v>657.62</v>
      </c>
      <c r="X4625">
        <v>0</v>
      </c>
      <c r="Y4625">
        <v>0</v>
      </c>
      <c r="Z4625">
        <v>-498</v>
      </c>
      <c r="AA4625">
        <v>4255</v>
      </c>
      <c r="AD4625" t="s">
        <v>1612</v>
      </c>
      <c r="AE4625" t="s">
        <v>11762</v>
      </c>
      <c r="AF4625" t="s">
        <v>1612</v>
      </c>
      <c r="AG4625" s="1" t="s">
        <v>11763</v>
      </c>
      <c r="AH4625" t="s">
        <v>1462</v>
      </c>
    </row>
    <row r="4626" spans="1:34" x14ac:dyDescent="0.3">
      <c r="A4626">
        <v>101</v>
      </c>
      <c r="B4626" t="s">
        <v>34</v>
      </c>
      <c r="C4626">
        <v>2</v>
      </c>
      <c r="D4626" s="1" t="s">
        <v>11764</v>
      </c>
      <c r="E4626" s="1" t="s">
        <v>122</v>
      </c>
      <c r="G4626">
        <v>465519</v>
      </c>
      <c r="H4626" t="s">
        <v>11760</v>
      </c>
      <c r="I4626" t="s">
        <v>11623</v>
      </c>
      <c r="J4626">
        <v>12</v>
      </c>
      <c r="K4626">
        <v>5549</v>
      </c>
      <c r="L4626">
        <v>50341</v>
      </c>
      <c r="M4626" t="s">
        <v>146</v>
      </c>
      <c r="N4626">
        <v>700</v>
      </c>
      <c r="O4626" s="2">
        <v>46245</v>
      </c>
      <c r="P4626" s="2">
        <v>46280</v>
      </c>
      <c r="R4626" t="s">
        <v>11765</v>
      </c>
      <c r="S4626" t="str">
        <f>"00013658"</f>
        <v>00013658</v>
      </c>
      <c r="T4626" t="s">
        <v>41</v>
      </c>
      <c r="U4626">
        <v>690.12</v>
      </c>
      <c r="V4626">
        <v>657.62</v>
      </c>
      <c r="W4626">
        <v>657.62</v>
      </c>
      <c r="X4626">
        <v>0</v>
      </c>
      <c r="Y4626">
        <v>0</v>
      </c>
      <c r="Z4626">
        <v>-505</v>
      </c>
      <c r="AA4626">
        <v>4255</v>
      </c>
      <c r="AD4626" t="s">
        <v>1612</v>
      </c>
      <c r="AE4626" t="s">
        <v>11762</v>
      </c>
      <c r="AF4626" t="s">
        <v>1612</v>
      </c>
      <c r="AG4626" s="1" t="s">
        <v>11763</v>
      </c>
      <c r="AH4626" t="s">
        <v>1462</v>
      </c>
    </row>
    <row r="4627" spans="1:34" x14ac:dyDescent="0.3">
      <c r="A4627">
        <v>101</v>
      </c>
      <c r="B4627" t="s">
        <v>34</v>
      </c>
      <c r="C4627">
        <v>2</v>
      </c>
      <c r="D4627" s="1" t="s">
        <v>11766</v>
      </c>
      <c r="E4627" s="1" t="s">
        <v>36</v>
      </c>
      <c r="G4627">
        <v>465520</v>
      </c>
      <c r="H4627" t="s">
        <v>11767</v>
      </c>
      <c r="I4627" t="s">
        <v>11623</v>
      </c>
      <c r="J4627">
        <v>12</v>
      </c>
      <c r="K4627">
        <v>5549</v>
      </c>
      <c r="L4627">
        <v>50341</v>
      </c>
      <c r="M4627" t="s">
        <v>146</v>
      </c>
      <c r="N4627">
        <v>700</v>
      </c>
      <c r="O4627" s="2">
        <v>46240</v>
      </c>
      <c r="P4627" s="2">
        <v>46268</v>
      </c>
      <c r="R4627" t="s">
        <v>11768</v>
      </c>
      <c r="S4627" t="str">
        <f>"00013640"</f>
        <v>00013640</v>
      </c>
      <c r="T4627" t="s">
        <v>41</v>
      </c>
      <c r="U4627">
        <v>690.12</v>
      </c>
      <c r="V4627">
        <v>657.62</v>
      </c>
      <c r="W4627">
        <v>657.62</v>
      </c>
      <c r="X4627">
        <v>0</v>
      </c>
      <c r="Y4627">
        <v>0</v>
      </c>
      <c r="Z4627">
        <v>-493</v>
      </c>
      <c r="AA4627">
        <v>4256</v>
      </c>
      <c r="AD4627" t="s">
        <v>1612</v>
      </c>
      <c r="AE4627" t="s">
        <v>11769</v>
      </c>
      <c r="AF4627" t="s">
        <v>1612</v>
      </c>
      <c r="AG4627" s="1" t="s">
        <v>11770</v>
      </c>
      <c r="AH4627" t="s">
        <v>1462</v>
      </c>
    </row>
    <row r="4628" spans="1:34" x14ac:dyDescent="0.3">
      <c r="A4628">
        <v>101</v>
      </c>
      <c r="B4628" t="s">
        <v>34</v>
      </c>
      <c r="C4628">
        <v>2</v>
      </c>
      <c r="D4628" s="1" t="s">
        <v>11766</v>
      </c>
      <c r="E4628" s="1" t="s">
        <v>122</v>
      </c>
      <c r="G4628">
        <v>465520</v>
      </c>
      <c r="H4628" t="s">
        <v>11767</v>
      </c>
      <c r="I4628" t="s">
        <v>11623</v>
      </c>
      <c r="J4628">
        <v>12</v>
      </c>
      <c r="K4628">
        <v>5549</v>
      </c>
      <c r="L4628">
        <v>50341</v>
      </c>
      <c r="M4628" t="s">
        <v>146</v>
      </c>
      <c r="N4628">
        <v>700</v>
      </c>
      <c r="O4628" s="2">
        <v>46240</v>
      </c>
      <c r="P4628" s="2">
        <v>46275</v>
      </c>
      <c r="R4628" t="s">
        <v>11768</v>
      </c>
      <c r="S4628" t="str">
        <f>"00013641"</f>
        <v>00013641</v>
      </c>
      <c r="T4628" t="s">
        <v>41</v>
      </c>
      <c r="U4628">
        <v>690.12</v>
      </c>
      <c r="V4628">
        <v>657.62</v>
      </c>
      <c r="W4628">
        <v>657.62</v>
      </c>
      <c r="X4628">
        <v>0</v>
      </c>
      <c r="Y4628">
        <v>0</v>
      </c>
      <c r="Z4628">
        <v>-500</v>
      </c>
      <c r="AA4628">
        <v>4256</v>
      </c>
      <c r="AD4628" t="s">
        <v>1612</v>
      </c>
      <c r="AE4628" t="s">
        <v>11769</v>
      </c>
      <c r="AF4628" t="s">
        <v>1612</v>
      </c>
      <c r="AG4628" s="1" t="s">
        <v>11770</v>
      </c>
      <c r="AH4628" t="s">
        <v>1462</v>
      </c>
    </row>
    <row r="4629" spans="1:34" x14ac:dyDescent="0.3">
      <c r="A4629">
        <v>101</v>
      </c>
      <c r="B4629" t="s">
        <v>34</v>
      </c>
      <c r="C4629">
        <v>2</v>
      </c>
      <c r="D4629" s="1" t="s">
        <v>11771</v>
      </c>
      <c r="E4629" s="1" t="s">
        <v>122</v>
      </c>
      <c r="G4629">
        <v>465520</v>
      </c>
      <c r="H4629" t="s">
        <v>11767</v>
      </c>
      <c r="I4629" t="s">
        <v>11623</v>
      </c>
      <c r="J4629">
        <v>12</v>
      </c>
      <c r="K4629">
        <v>5549</v>
      </c>
      <c r="L4629">
        <v>50341</v>
      </c>
      <c r="M4629" t="s">
        <v>146</v>
      </c>
      <c r="N4629">
        <v>700</v>
      </c>
      <c r="O4629" s="2">
        <v>46230</v>
      </c>
      <c r="P4629" s="2">
        <v>46265</v>
      </c>
      <c r="R4629" t="s">
        <v>11772</v>
      </c>
      <c r="S4629" t="str">
        <f>"00013347"</f>
        <v>00013347</v>
      </c>
      <c r="T4629" t="s">
        <v>41</v>
      </c>
      <c r="U4629">
        <v>1708</v>
      </c>
      <c r="V4629">
        <v>1609</v>
      </c>
      <c r="W4629">
        <v>1609</v>
      </c>
      <c r="X4629">
        <v>0</v>
      </c>
      <c r="Y4629">
        <v>0</v>
      </c>
      <c r="Z4629">
        <v>-490</v>
      </c>
      <c r="AA4629">
        <v>1772</v>
      </c>
      <c r="AD4629" t="s">
        <v>1612</v>
      </c>
      <c r="AE4629" t="s">
        <v>11769</v>
      </c>
      <c r="AF4629" t="s">
        <v>1612</v>
      </c>
      <c r="AG4629" s="1" t="s">
        <v>11770</v>
      </c>
      <c r="AH4629" t="s">
        <v>1462</v>
      </c>
    </row>
    <row r="4630" spans="1:34" x14ac:dyDescent="0.3">
      <c r="A4630">
        <v>101</v>
      </c>
      <c r="B4630" t="s">
        <v>34</v>
      </c>
      <c r="C4630">
        <v>2</v>
      </c>
      <c r="D4630" s="1" t="s">
        <v>11771</v>
      </c>
      <c r="E4630" s="1" t="s">
        <v>36</v>
      </c>
      <c r="G4630">
        <v>465520</v>
      </c>
      <c r="H4630" t="s">
        <v>11767</v>
      </c>
      <c r="I4630" t="s">
        <v>11623</v>
      </c>
      <c r="J4630">
        <v>12</v>
      </c>
      <c r="K4630">
        <v>5549</v>
      </c>
      <c r="L4630">
        <v>50341</v>
      </c>
      <c r="M4630" t="s">
        <v>146</v>
      </c>
      <c r="N4630">
        <v>700</v>
      </c>
      <c r="O4630" s="2">
        <v>46230</v>
      </c>
      <c r="P4630" s="2">
        <v>46258</v>
      </c>
      <c r="R4630" t="s">
        <v>11772</v>
      </c>
      <c r="S4630" t="str">
        <f>"00013346"</f>
        <v>00013346</v>
      </c>
      <c r="T4630" t="s">
        <v>41</v>
      </c>
      <c r="U4630">
        <v>1883.94</v>
      </c>
      <c r="V4630">
        <v>1784.94</v>
      </c>
      <c r="W4630">
        <v>1784.94</v>
      </c>
      <c r="X4630">
        <v>0</v>
      </c>
      <c r="Y4630">
        <v>0</v>
      </c>
      <c r="Z4630">
        <v>-483</v>
      </c>
      <c r="AA4630">
        <v>1772</v>
      </c>
      <c r="AD4630" t="s">
        <v>1612</v>
      </c>
      <c r="AE4630" t="s">
        <v>11769</v>
      </c>
      <c r="AF4630" t="s">
        <v>1612</v>
      </c>
      <c r="AG4630" s="1" t="s">
        <v>11770</v>
      </c>
      <c r="AH4630" t="s">
        <v>1462</v>
      </c>
    </row>
    <row r="4631" spans="1:34" x14ac:dyDescent="0.3">
      <c r="A4631">
        <v>101</v>
      </c>
      <c r="B4631" t="s">
        <v>34</v>
      </c>
      <c r="C4631">
        <v>2</v>
      </c>
      <c r="D4631" s="1" t="s">
        <v>11773</v>
      </c>
      <c r="E4631" s="1" t="s">
        <v>116</v>
      </c>
      <c r="G4631">
        <v>465657</v>
      </c>
      <c r="H4631" t="s">
        <v>11774</v>
      </c>
      <c r="I4631" t="s">
        <v>11775</v>
      </c>
      <c r="J4631">
        <v>12</v>
      </c>
      <c r="K4631">
        <v>9245</v>
      </c>
      <c r="L4631">
        <v>50001</v>
      </c>
      <c r="M4631" t="s">
        <v>39</v>
      </c>
      <c r="N4631">
        <v>700</v>
      </c>
      <c r="O4631" s="2">
        <v>46217</v>
      </c>
      <c r="P4631" s="2">
        <v>46259</v>
      </c>
      <c r="R4631" t="s">
        <v>11776</v>
      </c>
      <c r="S4631" t="str">
        <f>"25666160000051447"</f>
        <v>25666160000051447</v>
      </c>
      <c r="T4631" t="s">
        <v>41</v>
      </c>
      <c r="U4631">
        <v>5156.09</v>
      </c>
      <c r="V4631">
        <v>5156.09</v>
      </c>
      <c r="W4631">
        <v>5156.09</v>
      </c>
      <c r="X4631">
        <v>0</v>
      </c>
      <c r="Y4631">
        <v>0</v>
      </c>
      <c r="Z4631">
        <v>-484</v>
      </c>
      <c r="AA4631">
        <v>694065</v>
      </c>
      <c r="AD4631" t="s">
        <v>11777</v>
      </c>
      <c r="AE4631" t="s">
        <v>11778</v>
      </c>
      <c r="AF4631" t="s">
        <v>11777</v>
      </c>
      <c r="AG4631" s="1" t="s">
        <v>11779</v>
      </c>
      <c r="AH4631" t="s">
        <v>1462</v>
      </c>
    </row>
    <row r="4632" spans="1:34" x14ac:dyDescent="0.3">
      <c r="A4632">
        <v>101</v>
      </c>
      <c r="B4632" t="s">
        <v>34</v>
      </c>
      <c r="C4632">
        <v>2</v>
      </c>
      <c r="D4632" s="1" t="s">
        <v>11780</v>
      </c>
      <c r="E4632" s="1" t="s">
        <v>36</v>
      </c>
      <c r="G4632">
        <v>466351</v>
      </c>
      <c r="H4632" t="s">
        <v>11781</v>
      </c>
      <c r="I4632" t="s">
        <v>11651</v>
      </c>
      <c r="J4632">
        <v>12</v>
      </c>
      <c r="K4632">
        <v>8474</v>
      </c>
      <c r="L4632">
        <v>50033</v>
      </c>
      <c r="M4632" t="s">
        <v>39</v>
      </c>
      <c r="N4632">
        <v>700</v>
      </c>
      <c r="O4632" s="2">
        <v>46251</v>
      </c>
      <c r="P4632" s="2">
        <v>46266</v>
      </c>
      <c r="R4632" t="s">
        <v>11782</v>
      </c>
      <c r="S4632" t="str">
        <f>"0000050413600"</f>
        <v>0000050413600</v>
      </c>
      <c r="T4632" t="s">
        <v>41</v>
      </c>
      <c r="U4632">
        <v>4474.59</v>
      </c>
      <c r="V4632">
        <v>4264.59</v>
      </c>
      <c r="W4632">
        <v>4264.59</v>
      </c>
      <c r="X4632">
        <v>0</v>
      </c>
      <c r="Y4632">
        <v>0</v>
      </c>
      <c r="Z4632">
        <v>-491</v>
      </c>
      <c r="AA4632">
        <v>4577</v>
      </c>
      <c r="AD4632" t="s">
        <v>11653</v>
      </c>
      <c r="AE4632" t="s">
        <v>11783</v>
      </c>
      <c r="AF4632" t="s">
        <v>11653</v>
      </c>
      <c r="AG4632">
        <v>42985218001911</v>
      </c>
      <c r="AH4632" t="s">
        <v>1462</v>
      </c>
    </row>
    <row r="4633" spans="1:34" x14ac:dyDescent="0.3">
      <c r="A4633">
        <v>101</v>
      </c>
      <c r="B4633" t="s">
        <v>34</v>
      </c>
      <c r="C4633">
        <v>2</v>
      </c>
      <c r="D4633" s="1" t="s">
        <v>11784</v>
      </c>
      <c r="E4633" s="1" t="s">
        <v>122</v>
      </c>
      <c r="G4633">
        <v>467271</v>
      </c>
      <c r="H4633" t="s">
        <v>11785</v>
      </c>
      <c r="I4633" t="s">
        <v>11786</v>
      </c>
      <c r="J4633">
        <v>12</v>
      </c>
      <c r="K4633">
        <v>467271</v>
      </c>
      <c r="L4633">
        <v>50033</v>
      </c>
      <c r="M4633" t="s">
        <v>39</v>
      </c>
      <c r="N4633">
        <v>700</v>
      </c>
      <c r="O4633" s="2">
        <v>46218</v>
      </c>
      <c r="P4633" s="2">
        <v>46263</v>
      </c>
      <c r="R4633" t="s">
        <v>11787</v>
      </c>
      <c r="S4633" t="str">
        <f>"0000050410121"</f>
        <v>0000050410121</v>
      </c>
      <c r="T4633" t="s">
        <v>41</v>
      </c>
      <c r="U4633">
        <v>1337.67</v>
      </c>
      <c r="V4633">
        <v>1337.67</v>
      </c>
      <c r="W4633">
        <v>1337.67</v>
      </c>
      <c r="X4633">
        <v>0</v>
      </c>
      <c r="Y4633">
        <v>0</v>
      </c>
      <c r="Z4633">
        <v>-488</v>
      </c>
      <c r="AA4633">
        <v>694194</v>
      </c>
      <c r="AD4633" t="s">
        <v>1612</v>
      </c>
      <c r="AE4633" t="s">
        <v>11788</v>
      </c>
      <c r="AF4633" t="s">
        <v>1612</v>
      </c>
      <c r="AG4633" s="1" t="s">
        <v>11789</v>
      </c>
      <c r="AH4633" t="s">
        <v>1462</v>
      </c>
    </row>
    <row r="4634" spans="1:34" x14ac:dyDescent="0.3">
      <c r="A4634">
        <v>101</v>
      </c>
      <c r="B4634" t="s">
        <v>34</v>
      </c>
      <c r="C4634">
        <v>2</v>
      </c>
      <c r="D4634" s="1" t="s">
        <v>11790</v>
      </c>
      <c r="E4634" s="1" t="s">
        <v>36</v>
      </c>
      <c r="G4634">
        <v>467749</v>
      </c>
      <c r="H4634" t="s">
        <v>11791</v>
      </c>
      <c r="I4634" t="s">
        <v>11651</v>
      </c>
      <c r="J4634">
        <v>34</v>
      </c>
      <c r="K4634">
        <v>8474</v>
      </c>
      <c r="L4634">
        <v>50033</v>
      </c>
      <c r="M4634" t="s">
        <v>39</v>
      </c>
      <c r="N4634">
        <v>700</v>
      </c>
      <c r="O4634" s="2">
        <v>46251</v>
      </c>
      <c r="P4634" s="2">
        <v>46266</v>
      </c>
      <c r="R4634" t="s">
        <v>11792</v>
      </c>
      <c r="S4634" t="str">
        <f>"0000050413619"</f>
        <v>0000050413619</v>
      </c>
      <c r="T4634" t="s">
        <v>41</v>
      </c>
      <c r="U4634">
        <v>4221.01</v>
      </c>
      <c r="V4634">
        <v>4016.01</v>
      </c>
      <c r="W4634">
        <v>4016.01</v>
      </c>
      <c r="X4634">
        <v>0</v>
      </c>
      <c r="Y4634">
        <v>0</v>
      </c>
      <c r="Z4634">
        <v>-491</v>
      </c>
      <c r="AA4634">
        <v>4578</v>
      </c>
      <c r="AD4634" t="s">
        <v>11715</v>
      </c>
      <c r="AE4634" t="s">
        <v>11793</v>
      </c>
      <c r="AF4634" t="s">
        <v>11715</v>
      </c>
      <c r="AG4634">
        <v>42985218002055</v>
      </c>
      <c r="AH4634" t="s">
        <v>1462</v>
      </c>
    </row>
    <row r="4635" spans="1:34" x14ac:dyDescent="0.3">
      <c r="A4635">
        <v>101</v>
      </c>
      <c r="B4635" t="s">
        <v>34</v>
      </c>
      <c r="C4635">
        <v>2</v>
      </c>
      <c r="D4635" s="1" t="s">
        <v>11794</v>
      </c>
      <c r="E4635" s="1" t="s">
        <v>36</v>
      </c>
      <c r="G4635">
        <v>468089</v>
      </c>
      <c r="H4635" t="s">
        <v>11795</v>
      </c>
      <c r="I4635" t="s">
        <v>11651</v>
      </c>
      <c r="J4635">
        <v>34</v>
      </c>
      <c r="K4635">
        <v>8474</v>
      </c>
      <c r="L4635">
        <v>50033</v>
      </c>
      <c r="M4635" t="s">
        <v>39</v>
      </c>
      <c r="N4635">
        <v>700</v>
      </c>
      <c r="O4635" s="2">
        <v>46251</v>
      </c>
      <c r="P4635" s="2">
        <v>46266</v>
      </c>
      <c r="R4635" t="s">
        <v>11796</v>
      </c>
      <c r="S4635" t="str">
        <f>"0000050413627"</f>
        <v>0000050413627</v>
      </c>
      <c r="T4635" t="s">
        <v>41</v>
      </c>
      <c r="U4635">
        <v>2456.6999999999998</v>
      </c>
      <c r="V4635">
        <v>2336.6999999999998</v>
      </c>
      <c r="W4635">
        <v>2336.6999999999998</v>
      </c>
      <c r="X4635">
        <v>0</v>
      </c>
      <c r="Y4635">
        <v>0</v>
      </c>
      <c r="Z4635">
        <v>-491</v>
      </c>
      <c r="AA4635">
        <v>4592</v>
      </c>
      <c r="AD4635" t="s">
        <v>11797</v>
      </c>
      <c r="AE4635" t="s">
        <v>11793</v>
      </c>
      <c r="AF4635" t="s">
        <v>11797</v>
      </c>
      <c r="AG4635">
        <v>42985218002136</v>
      </c>
      <c r="AH4635" t="s">
        <v>1462</v>
      </c>
    </row>
    <row r="4636" spans="1:34" x14ac:dyDescent="0.3">
      <c r="A4636">
        <v>101</v>
      </c>
      <c r="B4636" t="s">
        <v>34</v>
      </c>
      <c r="C4636">
        <v>2</v>
      </c>
      <c r="D4636" s="1" t="s">
        <v>11798</v>
      </c>
      <c r="E4636" s="1" t="s">
        <v>36</v>
      </c>
      <c r="G4636">
        <v>469610</v>
      </c>
      <c r="H4636" t="s">
        <v>11799</v>
      </c>
      <c r="I4636" t="s">
        <v>11651</v>
      </c>
      <c r="J4636">
        <v>34</v>
      </c>
      <c r="K4636">
        <v>8474</v>
      </c>
      <c r="L4636">
        <v>50033</v>
      </c>
      <c r="M4636" t="s">
        <v>39</v>
      </c>
      <c r="N4636">
        <v>700</v>
      </c>
      <c r="O4636" s="2">
        <v>46251</v>
      </c>
      <c r="P4636" s="2">
        <v>46266</v>
      </c>
      <c r="R4636" t="s">
        <v>11800</v>
      </c>
      <c r="S4636" t="str">
        <f>"0000050413635"</f>
        <v>0000050413635</v>
      </c>
      <c r="T4636" t="s">
        <v>41</v>
      </c>
      <c r="U4636">
        <v>3359.76</v>
      </c>
      <c r="V4636">
        <v>3194.76</v>
      </c>
      <c r="W4636">
        <v>3194.76</v>
      </c>
      <c r="X4636">
        <v>0</v>
      </c>
      <c r="Y4636">
        <v>0</v>
      </c>
      <c r="Z4636">
        <v>-491</v>
      </c>
      <c r="AA4636">
        <v>4593</v>
      </c>
      <c r="AD4636" t="s">
        <v>11720</v>
      </c>
      <c r="AE4636" t="s">
        <v>11801</v>
      </c>
      <c r="AF4636" t="s">
        <v>11720</v>
      </c>
      <c r="AG4636">
        <v>42985218002217</v>
      </c>
      <c r="AH4636" t="s">
        <v>1462</v>
      </c>
    </row>
    <row r="4637" spans="1:34" x14ac:dyDescent="0.3">
      <c r="A4637">
        <v>101</v>
      </c>
      <c r="B4637" t="s">
        <v>34</v>
      </c>
      <c r="C4637">
        <v>2</v>
      </c>
      <c r="D4637" s="1" t="s">
        <v>11802</v>
      </c>
      <c r="E4637" s="1" t="s">
        <v>36</v>
      </c>
      <c r="G4637">
        <v>469782</v>
      </c>
      <c r="H4637" t="s">
        <v>11803</v>
      </c>
      <c r="I4637" t="s">
        <v>11804</v>
      </c>
      <c r="J4637">
        <v>34</v>
      </c>
      <c r="K4637">
        <v>8474</v>
      </c>
      <c r="L4637">
        <v>50033</v>
      </c>
      <c r="M4637" t="s">
        <v>39</v>
      </c>
      <c r="N4637">
        <v>700</v>
      </c>
      <c r="O4637" s="2">
        <v>46251</v>
      </c>
      <c r="P4637" s="2">
        <v>46266</v>
      </c>
      <c r="R4637" t="s">
        <v>11805</v>
      </c>
      <c r="S4637" t="str">
        <f>"0000050413643"</f>
        <v>0000050413643</v>
      </c>
      <c r="T4637" t="s">
        <v>41</v>
      </c>
      <c r="U4637">
        <v>2158.37</v>
      </c>
      <c r="V4637">
        <v>2048.37</v>
      </c>
      <c r="W4637">
        <v>2048.37</v>
      </c>
      <c r="X4637">
        <v>0</v>
      </c>
      <c r="Y4637">
        <v>0</v>
      </c>
      <c r="Z4637">
        <v>-491</v>
      </c>
      <c r="AA4637">
        <v>4594</v>
      </c>
      <c r="AD4637" t="s">
        <v>11806</v>
      </c>
      <c r="AE4637" t="s">
        <v>11807</v>
      </c>
      <c r="AF4637" t="s">
        <v>11806</v>
      </c>
      <c r="AG4637">
        <v>42985218002306</v>
      </c>
      <c r="AH4637" t="s">
        <v>1462</v>
      </c>
    </row>
    <row r="4638" spans="1:34" x14ac:dyDescent="0.3">
      <c r="A4638">
        <v>101</v>
      </c>
      <c r="B4638" t="s">
        <v>34</v>
      </c>
      <c r="C4638">
        <v>2</v>
      </c>
      <c r="D4638" s="1" t="s">
        <v>11808</v>
      </c>
      <c r="E4638" s="1" t="s">
        <v>36</v>
      </c>
      <c r="G4638">
        <v>470126</v>
      </c>
      <c r="H4638" t="s">
        <v>11809</v>
      </c>
      <c r="I4638" t="s">
        <v>11810</v>
      </c>
      <c r="J4638">
        <v>15</v>
      </c>
      <c r="K4638">
        <v>469691</v>
      </c>
      <c r="L4638">
        <v>95080</v>
      </c>
      <c r="M4638" t="s">
        <v>83</v>
      </c>
      <c r="N4638">
        <v>700</v>
      </c>
      <c r="O4638" s="2">
        <v>46071</v>
      </c>
      <c r="P4638" s="2">
        <v>46146</v>
      </c>
      <c r="R4638" t="s">
        <v>11811</v>
      </c>
      <c r="S4638" t="str">
        <f>""</f>
        <v/>
      </c>
      <c r="T4638" t="s">
        <v>41</v>
      </c>
      <c r="U4638">
        <v>83394.36</v>
      </c>
      <c r="V4638">
        <v>31309.45</v>
      </c>
      <c r="W4638">
        <v>31309.45</v>
      </c>
      <c r="X4638">
        <v>0</v>
      </c>
      <c r="Y4638">
        <v>0</v>
      </c>
      <c r="Z4638">
        <v>-371</v>
      </c>
      <c r="AA4638">
        <v>678652</v>
      </c>
      <c r="AD4638" t="s">
        <v>1612</v>
      </c>
      <c r="AE4638" t="s">
        <v>11812</v>
      </c>
      <c r="AF4638" t="s">
        <v>1612</v>
      </c>
      <c r="AG4638">
        <v>71083216000297</v>
      </c>
      <c r="AH4638" t="s">
        <v>1462</v>
      </c>
    </row>
    <row r="4639" spans="1:34" x14ac:dyDescent="0.3">
      <c r="A4639">
        <v>101</v>
      </c>
      <c r="B4639" t="s">
        <v>34</v>
      </c>
      <c r="C4639">
        <v>2</v>
      </c>
      <c r="D4639" s="1" t="s">
        <v>11813</v>
      </c>
      <c r="E4639" s="1" t="s">
        <v>36</v>
      </c>
      <c r="G4639">
        <v>470680</v>
      </c>
      <c r="H4639" t="s">
        <v>11814</v>
      </c>
      <c r="I4639" t="s">
        <v>11815</v>
      </c>
      <c r="J4639">
        <v>15</v>
      </c>
      <c r="K4639">
        <v>446499</v>
      </c>
      <c r="L4639">
        <v>50033</v>
      </c>
      <c r="M4639" t="s">
        <v>39</v>
      </c>
      <c r="N4639">
        <v>700</v>
      </c>
      <c r="O4639" s="2">
        <v>46203</v>
      </c>
      <c r="P4639" s="2">
        <v>46293</v>
      </c>
      <c r="R4639" t="s">
        <v>11816</v>
      </c>
      <c r="S4639" t="str">
        <f>"0000050409310"</f>
        <v>0000050409310</v>
      </c>
      <c r="T4639" t="s">
        <v>41</v>
      </c>
      <c r="U4639">
        <v>166268.63</v>
      </c>
      <c r="V4639">
        <v>149374.70000000001</v>
      </c>
      <c r="W4639">
        <v>149374.70000000001</v>
      </c>
      <c r="X4639">
        <v>0</v>
      </c>
      <c r="Y4639">
        <v>0</v>
      </c>
      <c r="Z4639">
        <v>-518</v>
      </c>
      <c r="AA4639">
        <v>691715</v>
      </c>
      <c r="AD4639" t="s">
        <v>1612</v>
      </c>
      <c r="AE4639" t="s">
        <v>11817</v>
      </c>
      <c r="AF4639" t="s">
        <v>1612</v>
      </c>
      <c r="AG4639">
        <v>52612033000609</v>
      </c>
      <c r="AH4639" t="s">
        <v>1462</v>
      </c>
    </row>
    <row r="4640" spans="1:34" x14ac:dyDescent="0.3">
      <c r="A4640">
        <v>101</v>
      </c>
      <c r="B4640" t="s">
        <v>34</v>
      </c>
      <c r="C4640">
        <v>2</v>
      </c>
      <c r="D4640" s="1" t="s">
        <v>11818</v>
      </c>
      <c r="E4640" s="1" t="s">
        <v>36</v>
      </c>
      <c r="G4640">
        <v>470680</v>
      </c>
      <c r="H4640" t="s">
        <v>11814</v>
      </c>
      <c r="I4640" t="s">
        <v>11815</v>
      </c>
      <c r="J4640">
        <v>15</v>
      </c>
      <c r="K4640">
        <v>446499</v>
      </c>
      <c r="L4640">
        <v>50033</v>
      </c>
      <c r="M4640" t="s">
        <v>39</v>
      </c>
      <c r="N4640">
        <v>700</v>
      </c>
      <c r="O4640" s="2">
        <v>46198</v>
      </c>
      <c r="P4640" s="2">
        <v>46288</v>
      </c>
      <c r="R4640" t="s">
        <v>11819</v>
      </c>
      <c r="S4640" t="str">
        <f>"0000050407333"</f>
        <v>0000050407333</v>
      </c>
      <c r="T4640" t="s">
        <v>41</v>
      </c>
      <c r="U4640">
        <v>134389.87</v>
      </c>
      <c r="V4640">
        <v>121760.06</v>
      </c>
      <c r="W4640">
        <v>121760.06</v>
      </c>
      <c r="X4640">
        <v>0</v>
      </c>
      <c r="Y4640">
        <v>0</v>
      </c>
      <c r="Z4640">
        <v>-513</v>
      </c>
      <c r="AA4640">
        <v>691717</v>
      </c>
      <c r="AD4640" t="s">
        <v>1612</v>
      </c>
      <c r="AE4640" t="s">
        <v>11817</v>
      </c>
      <c r="AF4640" t="s">
        <v>1612</v>
      </c>
      <c r="AG4640">
        <v>52612033000609</v>
      </c>
      <c r="AH4640" t="s">
        <v>1462</v>
      </c>
    </row>
    <row r="4641" spans="1:34" x14ac:dyDescent="0.3">
      <c r="A4641">
        <v>101</v>
      </c>
      <c r="B4641" t="s">
        <v>34</v>
      </c>
      <c r="C4641">
        <v>2</v>
      </c>
      <c r="D4641" s="1" t="s">
        <v>11820</v>
      </c>
      <c r="E4641" s="1" t="s">
        <v>36</v>
      </c>
      <c r="G4641">
        <v>470680</v>
      </c>
      <c r="H4641" t="s">
        <v>11814</v>
      </c>
      <c r="I4641" t="s">
        <v>11815</v>
      </c>
      <c r="J4641">
        <v>15</v>
      </c>
      <c r="K4641">
        <v>446499</v>
      </c>
      <c r="L4641">
        <v>50033</v>
      </c>
      <c r="M4641" t="s">
        <v>39</v>
      </c>
      <c r="N4641">
        <v>700</v>
      </c>
      <c r="O4641" s="2">
        <v>46198</v>
      </c>
      <c r="P4641" s="2">
        <v>46288</v>
      </c>
      <c r="R4641" t="s">
        <v>11821</v>
      </c>
      <c r="S4641" t="str">
        <f>"0000050407341"</f>
        <v>0000050407341</v>
      </c>
      <c r="T4641" t="s">
        <v>41</v>
      </c>
      <c r="U4641">
        <v>15989.15</v>
      </c>
      <c r="V4641">
        <v>14390.23</v>
      </c>
      <c r="W4641">
        <v>14390.23</v>
      </c>
      <c r="X4641">
        <v>0</v>
      </c>
      <c r="Y4641">
        <v>0</v>
      </c>
      <c r="Z4641">
        <v>-513</v>
      </c>
      <c r="AA4641">
        <v>692620</v>
      </c>
      <c r="AD4641" t="s">
        <v>1612</v>
      </c>
      <c r="AE4641" t="s">
        <v>11817</v>
      </c>
      <c r="AF4641" t="s">
        <v>1612</v>
      </c>
      <c r="AG4641">
        <v>52612033000609</v>
      </c>
      <c r="AH4641" t="s">
        <v>1462</v>
      </c>
    </row>
    <row r="4642" spans="1:34" x14ac:dyDescent="0.3">
      <c r="A4642">
        <v>101</v>
      </c>
      <c r="B4642" t="s">
        <v>34</v>
      </c>
      <c r="C4642">
        <v>2</v>
      </c>
      <c r="D4642" s="1" t="s">
        <v>11822</v>
      </c>
      <c r="E4642" s="1" t="s">
        <v>36</v>
      </c>
      <c r="G4642">
        <v>471123</v>
      </c>
      <c r="H4642" t="s">
        <v>11823</v>
      </c>
      <c r="I4642" t="s">
        <v>11824</v>
      </c>
      <c r="J4642">
        <v>12</v>
      </c>
      <c r="K4642">
        <v>582</v>
      </c>
      <c r="L4642">
        <v>50237</v>
      </c>
      <c r="M4642" t="s">
        <v>39</v>
      </c>
      <c r="N4642">
        <v>700</v>
      </c>
      <c r="O4642" s="2">
        <v>46235</v>
      </c>
      <c r="P4642" s="2">
        <v>46280</v>
      </c>
      <c r="R4642" t="s">
        <v>11825</v>
      </c>
      <c r="S4642" t="str">
        <f>"330000051910"</f>
        <v>330000051910</v>
      </c>
      <c r="T4642" t="s">
        <v>41</v>
      </c>
      <c r="U4642">
        <v>8842.57</v>
      </c>
      <c r="V4642">
        <v>7928.36</v>
      </c>
      <c r="W4642">
        <v>7928.36</v>
      </c>
      <c r="X4642">
        <v>0</v>
      </c>
      <c r="Y4642">
        <v>0</v>
      </c>
      <c r="Z4642">
        <v>-505</v>
      </c>
      <c r="AA4642">
        <v>695612</v>
      </c>
      <c r="AD4642" t="s">
        <v>1641</v>
      </c>
      <c r="AE4642" t="s">
        <v>11826</v>
      </c>
      <c r="AF4642" t="s">
        <v>1641</v>
      </c>
      <c r="AG4642">
        <v>18468199001203</v>
      </c>
      <c r="AH4642" t="s">
        <v>1462</v>
      </c>
    </row>
    <row r="4643" spans="1:34" x14ac:dyDescent="0.3">
      <c r="A4643">
        <v>101</v>
      </c>
      <c r="B4643" t="s">
        <v>34</v>
      </c>
      <c r="C4643">
        <v>2</v>
      </c>
      <c r="D4643" s="1" t="s">
        <v>11822</v>
      </c>
      <c r="E4643" s="1" t="s">
        <v>122</v>
      </c>
      <c r="G4643">
        <v>471123</v>
      </c>
      <c r="H4643" t="s">
        <v>11823</v>
      </c>
      <c r="I4643" t="s">
        <v>11824</v>
      </c>
      <c r="J4643">
        <v>12</v>
      </c>
      <c r="K4643">
        <v>582</v>
      </c>
      <c r="L4643">
        <v>50237</v>
      </c>
      <c r="M4643" t="s">
        <v>39</v>
      </c>
      <c r="N4643">
        <v>700</v>
      </c>
      <c r="O4643" s="2">
        <v>46235</v>
      </c>
      <c r="P4643" s="2">
        <v>46295</v>
      </c>
      <c r="R4643" t="s">
        <v>11825</v>
      </c>
      <c r="S4643" t="str">
        <f>"330000051929"</f>
        <v>330000051929</v>
      </c>
      <c r="T4643" t="s">
        <v>41</v>
      </c>
      <c r="U4643">
        <v>8842.57</v>
      </c>
      <c r="V4643">
        <v>7928.36</v>
      </c>
      <c r="W4643">
        <v>7928.36</v>
      </c>
      <c r="X4643">
        <v>0</v>
      </c>
      <c r="Y4643">
        <v>0</v>
      </c>
      <c r="Z4643">
        <v>-520</v>
      </c>
      <c r="AA4643">
        <v>695612</v>
      </c>
      <c r="AD4643" t="s">
        <v>1641</v>
      </c>
      <c r="AE4643" t="s">
        <v>11826</v>
      </c>
      <c r="AF4643" t="s">
        <v>1641</v>
      </c>
      <c r="AG4643">
        <v>18468199001203</v>
      </c>
      <c r="AH4643" t="s">
        <v>1462</v>
      </c>
    </row>
    <row r="4644" spans="1:34" x14ac:dyDescent="0.3">
      <c r="A4644">
        <v>101</v>
      </c>
      <c r="B4644" t="s">
        <v>34</v>
      </c>
      <c r="C4644">
        <v>2</v>
      </c>
      <c r="D4644" s="1" t="s">
        <v>11827</v>
      </c>
      <c r="E4644" s="1" t="s">
        <v>36</v>
      </c>
      <c r="G4644">
        <v>999000162</v>
      </c>
      <c r="H4644" t="s">
        <v>11828</v>
      </c>
      <c r="I4644" t="s">
        <v>11829</v>
      </c>
      <c r="J4644">
        <v>12</v>
      </c>
      <c r="K4644">
        <v>5392</v>
      </c>
      <c r="L4644">
        <v>50033</v>
      </c>
      <c r="M4644" t="s">
        <v>39</v>
      </c>
      <c r="N4644">
        <v>700</v>
      </c>
      <c r="O4644" s="2">
        <v>46226</v>
      </c>
      <c r="P4644" s="2">
        <v>46256</v>
      </c>
      <c r="R4644" t="s">
        <v>11830</v>
      </c>
      <c r="S4644" t="str">
        <f>"0000050410687"</f>
        <v>0000050410687</v>
      </c>
      <c r="T4644" t="s">
        <v>41</v>
      </c>
      <c r="U4644">
        <v>1869.68</v>
      </c>
      <c r="V4644">
        <v>1869.68</v>
      </c>
      <c r="W4644">
        <v>1869.68</v>
      </c>
      <c r="X4644">
        <v>0</v>
      </c>
      <c r="Y4644">
        <v>0</v>
      </c>
      <c r="Z4644">
        <v>-481</v>
      </c>
      <c r="AA4644">
        <v>694608</v>
      </c>
      <c r="AD4644" t="s">
        <v>11601</v>
      </c>
      <c r="AE4644" t="s">
        <v>11831</v>
      </c>
      <c r="AF4644" t="s">
        <v>11601</v>
      </c>
      <c r="AG4644">
        <v>24021677000336</v>
      </c>
      <c r="AH4644" t="s">
        <v>1462</v>
      </c>
    </row>
    <row r="4645" spans="1:34" x14ac:dyDescent="0.3">
      <c r="A4645">
        <v>101</v>
      </c>
      <c r="B4645" t="s">
        <v>34</v>
      </c>
      <c r="C4645">
        <v>2</v>
      </c>
      <c r="D4645" s="1" t="s">
        <v>11832</v>
      </c>
      <c r="E4645" s="1" t="s">
        <v>36</v>
      </c>
      <c r="G4645">
        <v>999000215</v>
      </c>
      <c r="H4645" t="s">
        <v>11833</v>
      </c>
      <c r="I4645" t="s">
        <v>11651</v>
      </c>
      <c r="J4645">
        <v>34</v>
      </c>
      <c r="K4645">
        <v>8474</v>
      </c>
      <c r="L4645">
        <v>50033</v>
      </c>
      <c r="M4645" t="s">
        <v>39</v>
      </c>
      <c r="N4645">
        <v>700</v>
      </c>
      <c r="O4645" s="2">
        <v>46251</v>
      </c>
      <c r="P4645" s="2">
        <v>46266</v>
      </c>
      <c r="R4645" t="s">
        <v>11834</v>
      </c>
      <c r="S4645" t="str">
        <f>"0000050413651"</f>
        <v>0000050413651</v>
      </c>
      <c r="T4645" t="s">
        <v>41</v>
      </c>
      <c r="U4645">
        <v>3108.66</v>
      </c>
      <c r="V4645">
        <v>2948.66</v>
      </c>
      <c r="W4645">
        <v>2948.66</v>
      </c>
      <c r="X4645">
        <v>0</v>
      </c>
      <c r="Y4645">
        <v>0</v>
      </c>
      <c r="Z4645">
        <v>-491</v>
      </c>
      <c r="AA4645">
        <v>4556</v>
      </c>
      <c r="AD4645" t="s">
        <v>11653</v>
      </c>
      <c r="AE4645" t="s">
        <v>11835</v>
      </c>
      <c r="AF4645" t="s">
        <v>11653</v>
      </c>
      <c r="AG4645">
        <v>42985218000435</v>
      </c>
      <c r="AH4645" t="s">
        <v>1462</v>
      </c>
    </row>
    <row r="4646" spans="1:34" x14ac:dyDescent="0.3">
      <c r="A4646">
        <v>101</v>
      </c>
      <c r="B4646" t="s">
        <v>34</v>
      </c>
      <c r="C4646">
        <v>2</v>
      </c>
      <c r="D4646" s="1" t="s">
        <v>11836</v>
      </c>
      <c r="E4646" s="1" t="s">
        <v>122</v>
      </c>
      <c r="G4646">
        <v>999000568</v>
      </c>
      <c r="H4646" t="s">
        <v>11837</v>
      </c>
      <c r="I4646" t="s">
        <v>11838</v>
      </c>
      <c r="J4646">
        <v>12</v>
      </c>
      <c r="K4646">
        <v>999000568</v>
      </c>
      <c r="L4646">
        <v>50033</v>
      </c>
      <c r="M4646" t="s">
        <v>39</v>
      </c>
      <c r="N4646">
        <v>700</v>
      </c>
      <c r="O4646" s="2">
        <v>46224</v>
      </c>
      <c r="P4646" s="2">
        <v>46259</v>
      </c>
      <c r="R4646" t="s">
        <v>11839</v>
      </c>
      <c r="S4646" t="str">
        <f>"0000050410369"</f>
        <v>0000050410369</v>
      </c>
      <c r="T4646" t="s">
        <v>41</v>
      </c>
      <c r="U4646">
        <v>5059.88</v>
      </c>
      <c r="V4646">
        <v>5059.88</v>
      </c>
      <c r="W4646">
        <v>5059.88</v>
      </c>
      <c r="X4646">
        <v>0</v>
      </c>
      <c r="Y4646">
        <v>0</v>
      </c>
      <c r="Z4646">
        <v>-484</v>
      </c>
      <c r="AA4646">
        <v>694273</v>
      </c>
      <c r="AD4646" t="s">
        <v>11745</v>
      </c>
      <c r="AE4646" t="s">
        <v>11840</v>
      </c>
      <c r="AF4646" t="s">
        <v>11745</v>
      </c>
      <c r="AG4646">
        <v>11188740000110</v>
      </c>
      <c r="AH4646" t="s">
        <v>1462</v>
      </c>
    </row>
    <row r="4647" spans="1:34" x14ac:dyDescent="0.3">
      <c r="A4647">
        <v>101</v>
      </c>
      <c r="B4647" t="s">
        <v>34</v>
      </c>
      <c r="C4647">
        <v>2</v>
      </c>
      <c r="D4647" s="1" t="s">
        <v>11836</v>
      </c>
      <c r="E4647" s="1" t="s">
        <v>116</v>
      </c>
      <c r="G4647">
        <v>999000568</v>
      </c>
      <c r="H4647" t="s">
        <v>11837</v>
      </c>
      <c r="I4647" t="s">
        <v>11838</v>
      </c>
      <c r="J4647">
        <v>12</v>
      </c>
      <c r="K4647">
        <v>999000568</v>
      </c>
      <c r="L4647">
        <v>50033</v>
      </c>
      <c r="M4647" t="s">
        <v>39</v>
      </c>
      <c r="N4647">
        <v>700</v>
      </c>
      <c r="O4647" s="2">
        <v>46224</v>
      </c>
      <c r="P4647" s="2">
        <v>46266</v>
      </c>
      <c r="R4647" t="s">
        <v>11839</v>
      </c>
      <c r="S4647" t="str">
        <f>"0000050410377"</f>
        <v>0000050410377</v>
      </c>
      <c r="T4647" t="s">
        <v>41</v>
      </c>
      <c r="U4647">
        <v>5061.3999999999996</v>
      </c>
      <c r="V4647">
        <v>5061.3999999999996</v>
      </c>
      <c r="W4647">
        <v>5061.3999999999996</v>
      </c>
      <c r="X4647">
        <v>0</v>
      </c>
      <c r="Y4647">
        <v>0</v>
      </c>
      <c r="Z4647">
        <v>-491</v>
      </c>
      <c r="AA4647">
        <v>694273</v>
      </c>
      <c r="AD4647" t="s">
        <v>11745</v>
      </c>
      <c r="AE4647" t="s">
        <v>11840</v>
      </c>
      <c r="AF4647" t="s">
        <v>11745</v>
      </c>
      <c r="AG4647">
        <v>11188740000110</v>
      </c>
      <c r="AH4647" t="s">
        <v>1462</v>
      </c>
    </row>
    <row r="4648" spans="1:34" x14ac:dyDescent="0.3">
      <c r="A4648">
        <v>101</v>
      </c>
      <c r="B4648" t="s">
        <v>34</v>
      </c>
      <c r="C4648">
        <v>2</v>
      </c>
      <c r="D4648" s="1" t="s">
        <v>11841</v>
      </c>
      <c r="E4648" s="1" t="s">
        <v>36</v>
      </c>
      <c r="G4648">
        <v>999000790</v>
      </c>
      <c r="H4648" t="s">
        <v>11842</v>
      </c>
      <c r="I4648" t="s">
        <v>11651</v>
      </c>
      <c r="J4648">
        <v>34</v>
      </c>
      <c r="K4648">
        <v>8474</v>
      </c>
      <c r="L4648">
        <v>50033</v>
      </c>
      <c r="M4648" t="s">
        <v>39</v>
      </c>
      <c r="N4648">
        <v>700</v>
      </c>
      <c r="O4648" s="2">
        <v>46251</v>
      </c>
      <c r="P4648" s="2">
        <v>46266</v>
      </c>
      <c r="R4648" t="s">
        <v>11843</v>
      </c>
      <c r="S4648" t="str">
        <f>"0000050413660"</f>
        <v>0000050413660</v>
      </c>
      <c r="T4648" t="s">
        <v>41</v>
      </c>
      <c r="U4648">
        <v>11994.82</v>
      </c>
      <c r="V4648">
        <v>11344.82</v>
      </c>
      <c r="W4648">
        <v>11344.82</v>
      </c>
      <c r="X4648">
        <v>0</v>
      </c>
      <c r="Y4648">
        <v>0</v>
      </c>
      <c r="Z4648">
        <v>-491</v>
      </c>
      <c r="AA4648">
        <v>4549</v>
      </c>
      <c r="AD4648" t="s">
        <v>1921</v>
      </c>
      <c r="AE4648" t="s">
        <v>11844</v>
      </c>
      <c r="AF4648" t="s">
        <v>1921</v>
      </c>
      <c r="AG4648">
        <v>42985218000605</v>
      </c>
      <c r="AH4648" t="s">
        <v>1462</v>
      </c>
    </row>
    <row r="4649" spans="1:34" x14ac:dyDescent="0.3">
      <c r="A4649">
        <v>101</v>
      </c>
      <c r="B4649" t="s">
        <v>34</v>
      </c>
      <c r="C4649">
        <v>2</v>
      </c>
      <c r="D4649" s="1" t="s">
        <v>11845</v>
      </c>
      <c r="E4649" s="1" t="s">
        <v>122</v>
      </c>
      <c r="G4649">
        <v>999001315</v>
      </c>
      <c r="H4649" t="s">
        <v>11846</v>
      </c>
      <c r="I4649" t="s">
        <v>11847</v>
      </c>
      <c r="J4649">
        <v>34</v>
      </c>
      <c r="K4649">
        <v>4851</v>
      </c>
      <c r="L4649">
        <v>50001</v>
      </c>
      <c r="M4649" t="s">
        <v>39</v>
      </c>
      <c r="N4649">
        <v>700</v>
      </c>
      <c r="O4649" s="2">
        <v>46240</v>
      </c>
      <c r="P4649" s="2">
        <v>46285</v>
      </c>
      <c r="R4649" t="s">
        <v>11848</v>
      </c>
      <c r="S4649" t="str">
        <f>"25666160000051834"</f>
        <v>25666160000051834</v>
      </c>
      <c r="T4649" t="s">
        <v>41</v>
      </c>
      <c r="U4649">
        <v>3028.82</v>
      </c>
      <c r="V4649">
        <v>3028.82</v>
      </c>
      <c r="W4649">
        <v>3028.82</v>
      </c>
      <c r="X4649">
        <v>0</v>
      </c>
      <c r="Y4649">
        <v>0</v>
      </c>
      <c r="Z4649">
        <v>-510</v>
      </c>
      <c r="AA4649">
        <v>4272</v>
      </c>
      <c r="AD4649" t="s">
        <v>1467</v>
      </c>
      <c r="AE4649" t="s">
        <v>11849</v>
      </c>
      <c r="AF4649" t="s">
        <v>1467</v>
      </c>
      <c r="AG4649">
        <v>13132471000103</v>
      </c>
      <c r="AH4649" t="s">
        <v>1462</v>
      </c>
    </row>
    <row r="4650" spans="1:34" x14ac:dyDescent="0.3">
      <c r="A4650">
        <v>101</v>
      </c>
      <c r="B4650" t="s">
        <v>34</v>
      </c>
      <c r="C4650">
        <v>2</v>
      </c>
      <c r="D4650" s="1" t="s">
        <v>11845</v>
      </c>
      <c r="E4650" s="1" t="s">
        <v>36</v>
      </c>
      <c r="G4650">
        <v>999001315</v>
      </c>
      <c r="H4650" t="s">
        <v>11846</v>
      </c>
      <c r="I4650" t="s">
        <v>11847</v>
      </c>
      <c r="J4650">
        <v>34</v>
      </c>
      <c r="K4650">
        <v>4851</v>
      </c>
      <c r="L4650">
        <v>50001</v>
      </c>
      <c r="M4650" t="s">
        <v>39</v>
      </c>
      <c r="N4650">
        <v>700</v>
      </c>
      <c r="O4650" s="2">
        <v>46240</v>
      </c>
      <c r="P4650" s="2">
        <v>46270</v>
      </c>
      <c r="R4650" t="s">
        <v>11848</v>
      </c>
      <c r="S4650" t="str">
        <f>"25666160000051833"</f>
        <v>25666160000051833</v>
      </c>
      <c r="T4650" t="s">
        <v>41</v>
      </c>
      <c r="U4650">
        <v>3083.28</v>
      </c>
      <c r="V4650">
        <v>3083.28</v>
      </c>
      <c r="W4650">
        <v>3083.28</v>
      </c>
      <c r="X4650">
        <v>0</v>
      </c>
      <c r="Y4650">
        <v>0</v>
      </c>
      <c r="Z4650">
        <v>-495</v>
      </c>
      <c r="AA4650">
        <v>4272</v>
      </c>
      <c r="AD4650" t="s">
        <v>1467</v>
      </c>
      <c r="AE4650" t="s">
        <v>11849</v>
      </c>
      <c r="AF4650" t="s">
        <v>1467</v>
      </c>
      <c r="AG4650">
        <v>13132471000103</v>
      </c>
      <c r="AH4650" t="s">
        <v>1462</v>
      </c>
    </row>
    <row r="4651" spans="1:34" x14ac:dyDescent="0.3">
      <c r="A4651">
        <v>106</v>
      </c>
      <c r="B4651" t="s">
        <v>34</v>
      </c>
      <c r="C4651">
        <v>2</v>
      </c>
      <c r="D4651" s="1" t="s">
        <v>11850</v>
      </c>
      <c r="E4651" s="1" t="s">
        <v>36</v>
      </c>
      <c r="G4651">
        <v>446499</v>
      </c>
      <c r="H4651" t="s">
        <v>4332</v>
      </c>
      <c r="I4651" t="s">
        <v>4333</v>
      </c>
      <c r="J4651">
        <v>15</v>
      </c>
      <c r="K4651">
        <v>446499</v>
      </c>
      <c r="L4651">
        <v>50033</v>
      </c>
      <c r="M4651" t="s">
        <v>39</v>
      </c>
      <c r="N4651">
        <v>704</v>
      </c>
      <c r="O4651" s="2">
        <v>46224</v>
      </c>
      <c r="P4651" s="2">
        <v>46269</v>
      </c>
      <c r="R4651" t="s">
        <v>11851</v>
      </c>
      <c r="S4651" t="str">
        <f>"0000050410393"</f>
        <v>0000050410393</v>
      </c>
      <c r="T4651" t="s">
        <v>41</v>
      </c>
      <c r="U4651">
        <v>84340.78</v>
      </c>
      <c r="V4651">
        <v>84340.78</v>
      </c>
      <c r="W4651">
        <v>84340.78</v>
      </c>
      <c r="X4651">
        <v>0</v>
      </c>
      <c r="Y4651">
        <v>0</v>
      </c>
      <c r="Z4651">
        <v>-494</v>
      </c>
      <c r="AA4651" t="s">
        <v>11852</v>
      </c>
      <c r="AD4651" t="s">
        <v>1571</v>
      </c>
      <c r="AE4651" t="s">
        <v>4335</v>
      </c>
      <c r="AF4651" t="s">
        <v>1571</v>
      </c>
      <c r="AG4651">
        <v>52612033000277</v>
      </c>
      <c r="AH4651" t="s">
        <v>1462</v>
      </c>
    </row>
    <row r="4652" spans="1:34" x14ac:dyDescent="0.3">
      <c r="A4652">
        <v>104</v>
      </c>
      <c r="B4652" t="s">
        <v>34</v>
      </c>
      <c r="C4652">
        <v>4</v>
      </c>
      <c r="D4652" s="1" t="s">
        <v>11853</v>
      </c>
      <c r="E4652" s="1" t="s">
        <v>36</v>
      </c>
      <c r="G4652">
        <v>446499</v>
      </c>
      <c r="H4652" t="s">
        <v>4332</v>
      </c>
      <c r="I4652" t="s">
        <v>4333</v>
      </c>
      <c r="J4652">
        <v>15</v>
      </c>
      <c r="K4652">
        <v>446499</v>
      </c>
      <c r="L4652">
        <v>50033</v>
      </c>
      <c r="M4652" t="s">
        <v>39</v>
      </c>
      <c r="N4652">
        <v>704</v>
      </c>
      <c r="O4652" s="2">
        <v>46251</v>
      </c>
      <c r="P4652" s="2">
        <v>46296</v>
      </c>
      <c r="R4652" t="s">
        <v>11854</v>
      </c>
      <c r="S4652" t="str">
        <f>"0000050414151"</f>
        <v>0000050414151</v>
      </c>
      <c r="T4652" t="s">
        <v>41</v>
      </c>
      <c r="U4652">
        <v>132723.51999999999</v>
      </c>
      <c r="V4652">
        <v>118856.18</v>
      </c>
      <c r="W4652">
        <v>118856.18</v>
      </c>
      <c r="X4652">
        <v>0</v>
      </c>
      <c r="Y4652">
        <v>0</v>
      </c>
      <c r="Z4652">
        <v>-521</v>
      </c>
      <c r="AA4652" t="s">
        <v>11855</v>
      </c>
      <c r="AD4652" t="s">
        <v>1571</v>
      </c>
      <c r="AE4652" t="s">
        <v>4335</v>
      </c>
      <c r="AF4652" t="s">
        <v>1571</v>
      </c>
      <c r="AG4652">
        <v>52612033000277</v>
      </c>
      <c r="AH4652" t="s">
        <v>1462</v>
      </c>
    </row>
    <row r="4653" spans="1:34" x14ac:dyDescent="0.3">
      <c r="A4653">
        <v>106</v>
      </c>
      <c r="B4653" t="s">
        <v>34</v>
      </c>
      <c r="C4653">
        <v>2</v>
      </c>
      <c r="D4653" s="1" t="s">
        <v>11856</v>
      </c>
      <c r="E4653" s="1" t="s">
        <v>36</v>
      </c>
      <c r="G4653">
        <v>446499</v>
      </c>
      <c r="H4653" t="s">
        <v>4332</v>
      </c>
      <c r="I4653" t="s">
        <v>4333</v>
      </c>
      <c r="J4653">
        <v>15</v>
      </c>
      <c r="K4653">
        <v>446499</v>
      </c>
      <c r="L4653">
        <v>50033</v>
      </c>
      <c r="M4653" t="s">
        <v>39</v>
      </c>
      <c r="N4653">
        <v>704</v>
      </c>
      <c r="O4653" s="2">
        <v>46230</v>
      </c>
      <c r="P4653" s="2">
        <v>46275</v>
      </c>
      <c r="R4653" t="s">
        <v>11857</v>
      </c>
      <c r="S4653" t="str">
        <f>"0000050411411"</f>
        <v>0000050411411</v>
      </c>
      <c r="T4653" t="s">
        <v>41</v>
      </c>
      <c r="U4653">
        <v>34928.85</v>
      </c>
      <c r="V4653">
        <v>34928.85</v>
      </c>
      <c r="W4653">
        <v>34928.85</v>
      </c>
      <c r="X4653">
        <v>0</v>
      </c>
      <c r="Y4653">
        <v>0</v>
      </c>
      <c r="Z4653">
        <v>-500</v>
      </c>
      <c r="AA4653" t="s">
        <v>11858</v>
      </c>
      <c r="AD4653" t="s">
        <v>1571</v>
      </c>
      <c r="AE4653" t="s">
        <v>4335</v>
      </c>
      <c r="AF4653" t="s">
        <v>1571</v>
      </c>
      <c r="AG4653">
        <v>52612033000277</v>
      </c>
      <c r="AH4653" t="s">
        <v>1462</v>
      </c>
    </row>
    <row r="4654" spans="1:34" x14ac:dyDescent="0.3">
      <c r="A4654">
        <v>106</v>
      </c>
      <c r="B4654" t="s">
        <v>34</v>
      </c>
      <c r="C4654">
        <v>2</v>
      </c>
      <c r="D4654" s="1" t="s">
        <v>11859</v>
      </c>
      <c r="E4654" s="1" t="s">
        <v>36</v>
      </c>
      <c r="G4654">
        <v>446499</v>
      </c>
      <c r="H4654" t="s">
        <v>4332</v>
      </c>
      <c r="I4654" t="s">
        <v>4333</v>
      </c>
      <c r="J4654">
        <v>15</v>
      </c>
      <c r="K4654">
        <v>446499</v>
      </c>
      <c r="L4654">
        <v>50033</v>
      </c>
      <c r="M4654" t="s">
        <v>39</v>
      </c>
      <c r="N4654">
        <v>704</v>
      </c>
      <c r="O4654" s="2">
        <v>46251</v>
      </c>
      <c r="P4654" s="2">
        <v>46296</v>
      </c>
      <c r="R4654" t="s">
        <v>11860</v>
      </c>
      <c r="S4654" t="str">
        <f>"0000050414160"</f>
        <v>0000050414160</v>
      </c>
      <c r="T4654" t="s">
        <v>41</v>
      </c>
      <c r="U4654">
        <v>68094.81</v>
      </c>
      <c r="V4654">
        <v>68094.81</v>
      </c>
      <c r="W4654">
        <v>68094.81</v>
      </c>
      <c r="X4654">
        <v>0</v>
      </c>
      <c r="Y4654">
        <v>0</v>
      </c>
      <c r="Z4654">
        <v>-521</v>
      </c>
      <c r="AA4654" t="s">
        <v>11861</v>
      </c>
      <c r="AD4654" t="s">
        <v>1571</v>
      </c>
      <c r="AE4654" t="s">
        <v>4335</v>
      </c>
      <c r="AF4654" t="s">
        <v>1571</v>
      </c>
      <c r="AG4654">
        <v>52612033000277</v>
      </c>
      <c r="AH4654" t="s">
        <v>1462</v>
      </c>
    </row>
    <row r="4655" spans="1:34" x14ac:dyDescent="0.3">
      <c r="A4655">
        <v>104</v>
      </c>
      <c r="B4655" t="s">
        <v>34</v>
      </c>
      <c r="C4655">
        <v>4</v>
      </c>
      <c r="D4655" s="1" t="s">
        <v>11862</v>
      </c>
      <c r="E4655" s="1" t="s">
        <v>36</v>
      </c>
      <c r="G4655">
        <v>446499</v>
      </c>
      <c r="H4655" t="s">
        <v>4332</v>
      </c>
      <c r="I4655" t="s">
        <v>4333</v>
      </c>
      <c r="J4655">
        <v>15</v>
      </c>
      <c r="K4655">
        <v>446499</v>
      </c>
      <c r="L4655">
        <v>50033</v>
      </c>
      <c r="M4655" t="s">
        <v>39</v>
      </c>
      <c r="N4655">
        <v>704</v>
      </c>
      <c r="O4655" s="2">
        <v>46230</v>
      </c>
      <c r="P4655" s="2">
        <v>46275</v>
      </c>
      <c r="R4655" t="s">
        <v>11863</v>
      </c>
      <c r="S4655" t="str">
        <f>"0000050411420"</f>
        <v>0000050411420</v>
      </c>
      <c r="T4655" t="s">
        <v>41</v>
      </c>
      <c r="U4655">
        <v>109217.06</v>
      </c>
      <c r="V4655">
        <v>101785.36</v>
      </c>
      <c r="W4655">
        <v>101785.36</v>
      </c>
      <c r="X4655">
        <v>0</v>
      </c>
      <c r="Y4655">
        <v>0</v>
      </c>
      <c r="Z4655">
        <v>-500</v>
      </c>
      <c r="AA4655" t="s">
        <v>11864</v>
      </c>
      <c r="AD4655" t="s">
        <v>1571</v>
      </c>
      <c r="AE4655" t="s">
        <v>4335</v>
      </c>
      <c r="AF4655" t="s">
        <v>1571</v>
      </c>
      <c r="AG4655">
        <v>52612033000277</v>
      </c>
      <c r="AH4655" t="s">
        <v>1462</v>
      </c>
    </row>
    <row r="4656" spans="1:34" x14ac:dyDescent="0.3">
      <c r="A4656">
        <v>104</v>
      </c>
      <c r="B4656" t="s">
        <v>34</v>
      </c>
      <c r="C4656">
        <v>4</v>
      </c>
      <c r="D4656" s="1" t="s">
        <v>11865</v>
      </c>
      <c r="E4656" s="1" t="s">
        <v>36</v>
      </c>
      <c r="G4656">
        <v>446499</v>
      </c>
      <c r="H4656" t="s">
        <v>4332</v>
      </c>
      <c r="I4656" t="s">
        <v>4333</v>
      </c>
      <c r="J4656">
        <v>15</v>
      </c>
      <c r="K4656">
        <v>446499</v>
      </c>
      <c r="L4656">
        <v>50033</v>
      </c>
      <c r="M4656" t="s">
        <v>39</v>
      </c>
      <c r="N4656">
        <v>704</v>
      </c>
      <c r="O4656" s="2">
        <v>46230</v>
      </c>
      <c r="P4656" s="2">
        <v>46275</v>
      </c>
      <c r="R4656" t="s">
        <v>11866</v>
      </c>
      <c r="S4656" t="str">
        <f>"0000050411403"</f>
        <v>0000050411403</v>
      </c>
      <c r="T4656" t="s">
        <v>41</v>
      </c>
      <c r="U4656">
        <v>3727.7</v>
      </c>
      <c r="V4656">
        <v>3301.95</v>
      </c>
      <c r="W4656">
        <v>3301.95</v>
      </c>
      <c r="X4656">
        <v>0</v>
      </c>
      <c r="Y4656">
        <v>0</v>
      </c>
      <c r="Z4656">
        <v>-500</v>
      </c>
      <c r="AA4656">
        <v>1613</v>
      </c>
      <c r="AD4656" t="s">
        <v>1571</v>
      </c>
      <c r="AE4656" t="s">
        <v>4335</v>
      </c>
      <c r="AF4656" t="s">
        <v>1571</v>
      </c>
      <c r="AG4656">
        <v>52612033000277</v>
      </c>
      <c r="AH4656" t="s">
        <v>1462</v>
      </c>
    </row>
    <row r="4657" spans="1:34" x14ac:dyDescent="0.3">
      <c r="A4657">
        <v>104</v>
      </c>
      <c r="B4657" t="s">
        <v>34</v>
      </c>
      <c r="C4657">
        <v>4</v>
      </c>
      <c r="D4657" s="1" t="s">
        <v>11867</v>
      </c>
      <c r="E4657" s="1" t="s">
        <v>36</v>
      </c>
      <c r="G4657">
        <v>446499</v>
      </c>
      <c r="H4657" t="s">
        <v>4332</v>
      </c>
      <c r="I4657" t="s">
        <v>4333</v>
      </c>
      <c r="J4657">
        <v>15</v>
      </c>
      <c r="K4657">
        <v>446499</v>
      </c>
      <c r="L4657">
        <v>50033</v>
      </c>
      <c r="M4657" t="s">
        <v>39</v>
      </c>
      <c r="N4657">
        <v>704</v>
      </c>
      <c r="O4657" s="2">
        <v>46224</v>
      </c>
      <c r="P4657" s="2">
        <v>46269</v>
      </c>
      <c r="R4657" t="s">
        <v>11868</v>
      </c>
      <c r="S4657" t="str">
        <f>"0000050410385"</f>
        <v>0000050410385</v>
      </c>
      <c r="T4657" t="s">
        <v>41</v>
      </c>
      <c r="U4657">
        <v>131287.51</v>
      </c>
      <c r="V4657">
        <v>116360.51</v>
      </c>
      <c r="W4657">
        <v>116360.51</v>
      </c>
      <c r="X4657">
        <v>0</v>
      </c>
      <c r="Y4657">
        <v>0</v>
      </c>
      <c r="Z4657">
        <v>-494</v>
      </c>
      <c r="AA4657" t="s">
        <v>11869</v>
      </c>
      <c r="AD4657" t="s">
        <v>1571</v>
      </c>
      <c r="AE4657" t="s">
        <v>4335</v>
      </c>
      <c r="AF4657" t="s">
        <v>1571</v>
      </c>
      <c r="AG4657">
        <v>52612033000277</v>
      </c>
      <c r="AH4657" t="s">
        <v>1462</v>
      </c>
    </row>
    <row r="4658" spans="1:34" x14ac:dyDescent="0.3">
      <c r="A4658">
        <v>101</v>
      </c>
      <c r="B4658" t="s">
        <v>34</v>
      </c>
      <c r="C4658">
        <v>2</v>
      </c>
      <c r="D4658" s="1" t="s">
        <v>11870</v>
      </c>
      <c r="E4658" s="1" t="s">
        <v>36</v>
      </c>
      <c r="G4658">
        <v>468960</v>
      </c>
      <c r="H4658" t="s">
        <v>11871</v>
      </c>
      <c r="I4658" t="s">
        <v>11872</v>
      </c>
      <c r="J4658">
        <v>12</v>
      </c>
      <c r="K4658">
        <v>468960</v>
      </c>
      <c r="L4658">
        <v>50033</v>
      </c>
      <c r="M4658" t="s">
        <v>39</v>
      </c>
      <c r="N4658">
        <v>706</v>
      </c>
      <c r="O4658" s="2">
        <v>46255</v>
      </c>
      <c r="P4658" s="2">
        <v>46315</v>
      </c>
      <c r="R4658" t="s">
        <v>11873</v>
      </c>
      <c r="S4658" t="str">
        <f>"0000050414712"</f>
        <v>0000050414712</v>
      </c>
      <c r="T4658" t="s">
        <v>41</v>
      </c>
      <c r="U4658">
        <v>30990.43</v>
      </c>
      <c r="V4658">
        <v>29440.91</v>
      </c>
      <c r="W4658">
        <v>29440.91</v>
      </c>
      <c r="X4658">
        <v>0</v>
      </c>
      <c r="Y4658">
        <v>0</v>
      </c>
      <c r="Z4658">
        <v>-540</v>
      </c>
      <c r="AA4658">
        <v>4802</v>
      </c>
      <c r="AD4658" t="s">
        <v>6376</v>
      </c>
      <c r="AE4658">
        <v>92982378685</v>
      </c>
      <c r="AF4658" t="s">
        <v>6376</v>
      </c>
      <c r="AG4658" s="1" t="s">
        <v>11874</v>
      </c>
      <c r="AH4658" t="s">
        <v>6480</v>
      </c>
    </row>
    <row r="4659" spans="1:34" x14ac:dyDescent="0.3">
      <c r="A4659">
        <v>101</v>
      </c>
      <c r="B4659" t="s">
        <v>34</v>
      </c>
      <c r="C4659">
        <v>2</v>
      </c>
      <c r="D4659" s="1" t="s">
        <v>11875</v>
      </c>
      <c r="E4659" s="1" t="s">
        <v>36</v>
      </c>
      <c r="G4659">
        <v>468960</v>
      </c>
      <c r="H4659" t="s">
        <v>11871</v>
      </c>
      <c r="I4659" t="s">
        <v>11872</v>
      </c>
      <c r="J4659">
        <v>12</v>
      </c>
      <c r="K4659">
        <v>468960</v>
      </c>
      <c r="L4659">
        <v>50033</v>
      </c>
      <c r="M4659" t="s">
        <v>39</v>
      </c>
      <c r="N4659">
        <v>706</v>
      </c>
      <c r="O4659" s="2">
        <v>46191</v>
      </c>
      <c r="P4659" s="2">
        <v>46251</v>
      </c>
      <c r="R4659" t="s">
        <v>11876</v>
      </c>
      <c r="S4659" t="str">
        <f>"0000050406442"</f>
        <v>0000050406442</v>
      </c>
      <c r="T4659" t="s">
        <v>41</v>
      </c>
      <c r="U4659">
        <v>23217.1</v>
      </c>
      <c r="V4659">
        <v>22056.25</v>
      </c>
      <c r="W4659">
        <v>22056.25</v>
      </c>
      <c r="X4659">
        <v>0</v>
      </c>
      <c r="Y4659">
        <v>0</v>
      </c>
      <c r="Z4659">
        <v>-476</v>
      </c>
      <c r="AA4659">
        <v>788</v>
      </c>
      <c r="AD4659" t="s">
        <v>6376</v>
      </c>
      <c r="AE4659">
        <v>92982378685</v>
      </c>
      <c r="AF4659" t="s">
        <v>6376</v>
      </c>
      <c r="AG4659" s="1" t="s">
        <v>11874</v>
      </c>
      <c r="AH4659" t="s">
        <v>6480</v>
      </c>
    </row>
    <row r="4660" spans="1:34" x14ac:dyDescent="0.3">
      <c r="A4660">
        <v>101</v>
      </c>
      <c r="B4660" t="s">
        <v>34</v>
      </c>
      <c r="C4660">
        <v>2</v>
      </c>
      <c r="D4660" s="1" t="s">
        <v>11877</v>
      </c>
      <c r="E4660" s="1" t="s">
        <v>36</v>
      </c>
      <c r="G4660">
        <v>468965</v>
      </c>
      <c r="H4660" t="s">
        <v>11878</v>
      </c>
      <c r="I4660" t="s">
        <v>11879</v>
      </c>
      <c r="J4660">
        <v>12</v>
      </c>
      <c r="K4660">
        <v>468965</v>
      </c>
      <c r="L4660">
        <v>50001</v>
      </c>
      <c r="M4660" t="s">
        <v>39</v>
      </c>
      <c r="N4660">
        <v>706</v>
      </c>
      <c r="O4660" s="2">
        <v>46192</v>
      </c>
      <c r="P4660" s="2">
        <v>46277</v>
      </c>
      <c r="R4660" t="s">
        <v>11880</v>
      </c>
      <c r="S4660" t="str">
        <f>"25666160000051114"</f>
        <v>25666160000051114</v>
      </c>
      <c r="T4660" t="s">
        <v>41</v>
      </c>
      <c r="U4660">
        <v>9423.51</v>
      </c>
      <c r="V4660">
        <v>8952.33</v>
      </c>
      <c r="W4660">
        <v>8952.33</v>
      </c>
      <c r="X4660">
        <v>0</v>
      </c>
      <c r="Y4660">
        <v>0</v>
      </c>
      <c r="Z4660">
        <v>-502</v>
      </c>
      <c r="AA4660">
        <v>809</v>
      </c>
      <c r="AD4660" t="s">
        <v>6376</v>
      </c>
      <c r="AE4660" t="s">
        <v>11881</v>
      </c>
      <c r="AF4660" t="s">
        <v>6376</v>
      </c>
      <c r="AG4660" s="1" t="s">
        <v>11882</v>
      </c>
      <c r="AH4660" t="s">
        <v>6480</v>
      </c>
    </row>
    <row r="4661" spans="1:34" x14ac:dyDescent="0.3">
      <c r="A4661">
        <v>101</v>
      </c>
      <c r="B4661" t="s">
        <v>34</v>
      </c>
      <c r="C4661">
        <v>2</v>
      </c>
      <c r="D4661" s="1" t="s">
        <v>11883</v>
      </c>
      <c r="E4661" s="1" t="s">
        <v>36</v>
      </c>
      <c r="G4661">
        <v>468965</v>
      </c>
      <c r="H4661" t="s">
        <v>11878</v>
      </c>
      <c r="I4661" t="s">
        <v>11879</v>
      </c>
      <c r="J4661">
        <v>12</v>
      </c>
      <c r="K4661">
        <v>468965</v>
      </c>
      <c r="L4661">
        <v>50001</v>
      </c>
      <c r="M4661" t="s">
        <v>39</v>
      </c>
      <c r="N4661">
        <v>706</v>
      </c>
      <c r="O4661" s="2">
        <v>46255</v>
      </c>
      <c r="P4661" s="2">
        <v>46315</v>
      </c>
      <c r="R4661" t="s">
        <v>11884</v>
      </c>
      <c r="S4661" t="str">
        <f>"25666160000052007"</f>
        <v>25666160000052007</v>
      </c>
      <c r="T4661" t="s">
        <v>41</v>
      </c>
      <c r="U4661">
        <v>25705.13</v>
      </c>
      <c r="V4661">
        <v>24419.87</v>
      </c>
      <c r="W4661">
        <v>24419.87</v>
      </c>
      <c r="X4661">
        <v>0</v>
      </c>
      <c r="Y4661">
        <v>0</v>
      </c>
      <c r="Z4661">
        <v>-540</v>
      </c>
      <c r="AA4661">
        <v>4805</v>
      </c>
      <c r="AD4661" t="s">
        <v>6376</v>
      </c>
      <c r="AE4661" t="s">
        <v>11881</v>
      </c>
      <c r="AF4661" t="s">
        <v>6376</v>
      </c>
      <c r="AG4661" s="1" t="s">
        <v>11882</v>
      </c>
      <c r="AH4661" t="s">
        <v>6480</v>
      </c>
    </row>
    <row r="4662" spans="1:34" x14ac:dyDescent="0.3">
      <c r="A4662">
        <v>101</v>
      </c>
      <c r="B4662" t="s">
        <v>34</v>
      </c>
      <c r="C4662">
        <v>2</v>
      </c>
      <c r="D4662" s="1" t="s">
        <v>11885</v>
      </c>
      <c r="E4662" s="1" t="s">
        <v>36</v>
      </c>
      <c r="G4662">
        <v>468966</v>
      </c>
      <c r="H4662" t="s">
        <v>11886</v>
      </c>
      <c r="I4662" t="s">
        <v>11872</v>
      </c>
      <c r="J4662">
        <v>12</v>
      </c>
      <c r="K4662">
        <v>468960</v>
      </c>
      <c r="L4662">
        <v>50001</v>
      </c>
      <c r="M4662" t="s">
        <v>39</v>
      </c>
      <c r="N4662">
        <v>706</v>
      </c>
      <c r="O4662" s="2">
        <v>46255</v>
      </c>
      <c r="P4662" s="2">
        <v>46315</v>
      </c>
      <c r="R4662" t="s">
        <v>11887</v>
      </c>
      <c r="S4662" t="str">
        <f>"25666160000052008"</f>
        <v>25666160000052008</v>
      </c>
      <c r="T4662" t="s">
        <v>41</v>
      </c>
      <c r="U4662">
        <v>32276.51</v>
      </c>
      <c r="V4662">
        <v>30662.68</v>
      </c>
      <c r="W4662">
        <v>30662.68</v>
      </c>
      <c r="X4662">
        <v>0</v>
      </c>
      <c r="Y4662">
        <v>0</v>
      </c>
      <c r="Z4662">
        <v>-540</v>
      </c>
      <c r="AA4662">
        <v>4807</v>
      </c>
      <c r="AD4662" t="s">
        <v>6376</v>
      </c>
      <c r="AE4662" t="s">
        <v>11881</v>
      </c>
      <c r="AF4662" t="s">
        <v>6376</v>
      </c>
      <c r="AG4662" s="1" t="s">
        <v>11888</v>
      </c>
      <c r="AH4662" t="s">
        <v>6480</v>
      </c>
    </row>
    <row r="4663" spans="1:34" x14ac:dyDescent="0.3">
      <c r="A4663">
        <v>101</v>
      </c>
      <c r="B4663" t="s">
        <v>34</v>
      </c>
      <c r="C4663">
        <v>2</v>
      </c>
      <c r="D4663" s="1" t="s">
        <v>11889</v>
      </c>
      <c r="E4663" s="1" t="s">
        <v>36</v>
      </c>
      <c r="G4663">
        <v>468966</v>
      </c>
      <c r="H4663" t="s">
        <v>11886</v>
      </c>
      <c r="I4663" t="s">
        <v>11872</v>
      </c>
      <c r="J4663">
        <v>12</v>
      </c>
      <c r="K4663">
        <v>468960</v>
      </c>
      <c r="L4663">
        <v>50001</v>
      </c>
      <c r="M4663" t="s">
        <v>39</v>
      </c>
      <c r="N4663">
        <v>706</v>
      </c>
      <c r="O4663" s="2">
        <v>46191</v>
      </c>
      <c r="P4663" s="2">
        <v>46284</v>
      </c>
      <c r="R4663" t="s">
        <v>11890</v>
      </c>
      <c r="S4663" t="str">
        <f>"25666160000051089"</f>
        <v>25666160000051089</v>
      </c>
      <c r="T4663" t="s">
        <v>41</v>
      </c>
      <c r="U4663">
        <v>17457.939999999999</v>
      </c>
      <c r="V4663">
        <v>16585.04</v>
      </c>
      <c r="W4663">
        <v>16585.04</v>
      </c>
      <c r="X4663">
        <v>0</v>
      </c>
      <c r="Y4663">
        <v>0</v>
      </c>
      <c r="Z4663">
        <v>-509</v>
      </c>
      <c r="AA4663">
        <v>790</v>
      </c>
      <c r="AD4663" t="s">
        <v>6376</v>
      </c>
      <c r="AE4663" t="s">
        <v>11881</v>
      </c>
      <c r="AF4663" t="s">
        <v>6376</v>
      </c>
      <c r="AG4663" s="1" t="s">
        <v>11888</v>
      </c>
      <c r="AH4663" t="s">
        <v>6480</v>
      </c>
    </row>
    <row r="4664" spans="1:34" x14ac:dyDescent="0.3">
      <c r="A4664">
        <v>101</v>
      </c>
      <c r="B4664" t="s">
        <v>34</v>
      </c>
      <c r="C4664">
        <v>2</v>
      </c>
      <c r="D4664" s="1" t="s">
        <v>11891</v>
      </c>
      <c r="E4664" s="1" t="s">
        <v>36</v>
      </c>
      <c r="G4664">
        <v>468967</v>
      </c>
      <c r="H4664" t="s">
        <v>11892</v>
      </c>
      <c r="I4664" t="s">
        <v>11872</v>
      </c>
      <c r="J4664">
        <v>12</v>
      </c>
      <c r="K4664">
        <v>468960</v>
      </c>
      <c r="L4664">
        <v>50001</v>
      </c>
      <c r="M4664" t="s">
        <v>39</v>
      </c>
      <c r="N4664">
        <v>706</v>
      </c>
      <c r="O4664" s="2">
        <v>46191</v>
      </c>
      <c r="P4664" s="2">
        <v>46251</v>
      </c>
      <c r="R4664" t="s">
        <v>11893</v>
      </c>
      <c r="S4664" t="str">
        <f>"25666160000051090"</f>
        <v>25666160000051090</v>
      </c>
      <c r="T4664" t="s">
        <v>41</v>
      </c>
      <c r="U4664">
        <v>9725.65</v>
      </c>
      <c r="V4664">
        <v>9239.3700000000008</v>
      </c>
      <c r="W4664">
        <v>9239.3700000000008</v>
      </c>
      <c r="X4664">
        <v>0</v>
      </c>
      <c r="Y4664">
        <v>0</v>
      </c>
      <c r="Z4664">
        <v>-476</v>
      </c>
      <c r="AA4664">
        <v>792</v>
      </c>
      <c r="AD4664" t="s">
        <v>6376</v>
      </c>
      <c r="AE4664" t="s">
        <v>11881</v>
      </c>
      <c r="AF4664" t="s">
        <v>6376</v>
      </c>
      <c r="AG4664" s="1" t="s">
        <v>11894</v>
      </c>
      <c r="AH4664" t="s">
        <v>6480</v>
      </c>
    </row>
    <row r="4665" spans="1:34" x14ac:dyDescent="0.3">
      <c r="A4665">
        <v>101</v>
      </c>
      <c r="B4665" t="s">
        <v>34</v>
      </c>
      <c r="C4665">
        <v>2</v>
      </c>
      <c r="D4665" s="1" t="s">
        <v>11895</v>
      </c>
      <c r="E4665" s="1" t="s">
        <v>36</v>
      </c>
      <c r="G4665">
        <v>468967</v>
      </c>
      <c r="H4665" t="s">
        <v>11892</v>
      </c>
      <c r="I4665" t="s">
        <v>11872</v>
      </c>
      <c r="J4665">
        <v>12</v>
      </c>
      <c r="K4665">
        <v>468960</v>
      </c>
      <c r="L4665">
        <v>50001</v>
      </c>
      <c r="M4665" t="s">
        <v>39</v>
      </c>
      <c r="N4665">
        <v>706</v>
      </c>
      <c r="O4665" s="2">
        <v>46255</v>
      </c>
      <c r="P4665" s="2">
        <v>46315</v>
      </c>
      <c r="R4665" t="s">
        <v>11896</v>
      </c>
      <c r="S4665" t="str">
        <f>"25666160000052009"</f>
        <v>25666160000052009</v>
      </c>
      <c r="T4665" t="s">
        <v>41</v>
      </c>
      <c r="U4665">
        <v>17642.16</v>
      </c>
      <c r="V4665">
        <v>16760.05</v>
      </c>
      <c r="W4665">
        <v>16760.05</v>
      </c>
      <c r="X4665">
        <v>0</v>
      </c>
      <c r="Y4665">
        <v>0</v>
      </c>
      <c r="Z4665">
        <v>-540</v>
      </c>
      <c r="AA4665">
        <v>4808</v>
      </c>
      <c r="AD4665" t="s">
        <v>6376</v>
      </c>
      <c r="AE4665" t="s">
        <v>11881</v>
      </c>
      <c r="AF4665" t="s">
        <v>6376</v>
      </c>
      <c r="AG4665" s="1" t="s">
        <v>11894</v>
      </c>
      <c r="AH4665" t="s">
        <v>6480</v>
      </c>
    </row>
    <row r="4666" spans="1:34" x14ac:dyDescent="0.3">
      <c r="A4666">
        <v>101</v>
      </c>
      <c r="B4666" t="s">
        <v>34</v>
      </c>
      <c r="C4666">
        <v>2</v>
      </c>
      <c r="D4666" s="1" t="s">
        <v>11897</v>
      </c>
      <c r="E4666" s="1" t="s">
        <v>36</v>
      </c>
      <c r="G4666">
        <v>451065</v>
      </c>
      <c r="H4666" t="s">
        <v>11898</v>
      </c>
      <c r="I4666" t="s">
        <v>2413</v>
      </c>
      <c r="J4666">
        <v>39</v>
      </c>
      <c r="K4666">
        <v>2695</v>
      </c>
      <c r="L4666">
        <v>95000</v>
      </c>
      <c r="M4666" t="s">
        <v>69</v>
      </c>
      <c r="N4666">
        <v>708</v>
      </c>
      <c r="O4666" s="2">
        <v>46120</v>
      </c>
      <c r="P4666" s="2">
        <v>46255</v>
      </c>
      <c r="R4666" t="s">
        <v>11899</v>
      </c>
      <c r="S4666" t="str">
        <f>""</f>
        <v/>
      </c>
      <c r="T4666" t="s">
        <v>41</v>
      </c>
      <c r="U4666">
        <v>5205.66</v>
      </c>
      <c r="V4666">
        <v>5148.3999999999996</v>
      </c>
      <c r="W4666">
        <v>5148.3999999999996</v>
      </c>
      <c r="X4666">
        <v>0</v>
      </c>
      <c r="Y4666">
        <v>0</v>
      </c>
      <c r="Z4666">
        <v>-480</v>
      </c>
      <c r="AA4666">
        <v>685143</v>
      </c>
      <c r="AD4666" t="s">
        <v>4310</v>
      </c>
      <c r="AE4666" t="s">
        <v>7782</v>
      </c>
      <c r="AF4666" t="s">
        <v>4310</v>
      </c>
      <c r="AG4666" s="1" t="s">
        <v>11900</v>
      </c>
      <c r="AH4666" t="s">
        <v>3520</v>
      </c>
    </row>
    <row r="4667" spans="1:34" x14ac:dyDescent="0.3">
      <c r="A4667">
        <v>101</v>
      </c>
      <c r="B4667" t="s">
        <v>34</v>
      </c>
      <c r="C4667">
        <v>2</v>
      </c>
      <c r="D4667" s="1" t="s">
        <v>11901</v>
      </c>
      <c r="E4667" s="1" t="s">
        <v>36</v>
      </c>
      <c r="G4667">
        <v>452920</v>
      </c>
      <c r="H4667" t="s">
        <v>11902</v>
      </c>
      <c r="I4667" t="s">
        <v>2413</v>
      </c>
      <c r="J4667">
        <v>39</v>
      </c>
      <c r="K4667">
        <v>2695</v>
      </c>
      <c r="L4667">
        <v>95000</v>
      </c>
      <c r="M4667" t="s">
        <v>69</v>
      </c>
      <c r="N4667">
        <v>708</v>
      </c>
      <c r="O4667" s="2">
        <v>46120</v>
      </c>
      <c r="P4667" s="2">
        <v>46255</v>
      </c>
      <c r="R4667" t="s">
        <v>11903</v>
      </c>
      <c r="S4667" t="str">
        <f>""</f>
        <v/>
      </c>
      <c r="T4667" t="s">
        <v>41</v>
      </c>
      <c r="U4667">
        <v>7288.87</v>
      </c>
      <c r="V4667">
        <v>7208.69</v>
      </c>
      <c r="W4667">
        <v>7208.69</v>
      </c>
      <c r="X4667">
        <v>0</v>
      </c>
      <c r="Y4667">
        <v>0</v>
      </c>
      <c r="Z4667">
        <v>-480</v>
      </c>
      <c r="AA4667">
        <v>685141</v>
      </c>
      <c r="AD4667" t="s">
        <v>11904</v>
      </c>
      <c r="AE4667">
        <v>1134115032</v>
      </c>
      <c r="AF4667" t="s">
        <v>11904</v>
      </c>
      <c r="AG4667" s="1" t="s">
        <v>11905</v>
      </c>
      <c r="AH4667" t="s">
        <v>3520</v>
      </c>
    </row>
    <row r="4668" spans="1:34" x14ac:dyDescent="0.3">
      <c r="A4668">
        <v>101</v>
      </c>
      <c r="B4668" t="s">
        <v>34</v>
      </c>
      <c r="C4668">
        <v>2</v>
      </c>
      <c r="D4668" s="1" t="s">
        <v>11906</v>
      </c>
      <c r="E4668" s="1" t="s">
        <v>36</v>
      </c>
      <c r="G4668">
        <v>470350</v>
      </c>
      <c r="H4668" t="s">
        <v>11907</v>
      </c>
      <c r="I4668" t="s">
        <v>2413</v>
      </c>
      <c r="J4668">
        <v>39</v>
      </c>
      <c r="K4668">
        <v>2695</v>
      </c>
      <c r="L4668">
        <v>95000</v>
      </c>
      <c r="M4668" t="s">
        <v>69</v>
      </c>
      <c r="N4668">
        <v>708</v>
      </c>
      <c r="O4668" s="2">
        <v>46172</v>
      </c>
      <c r="P4668" s="2">
        <v>46308</v>
      </c>
      <c r="R4668" t="s">
        <v>11908</v>
      </c>
      <c r="S4668" t="str">
        <f>""</f>
        <v/>
      </c>
      <c r="T4668" t="s">
        <v>41</v>
      </c>
      <c r="U4668">
        <v>155140.10999999999</v>
      </c>
      <c r="V4668">
        <v>145831.70000000001</v>
      </c>
      <c r="W4668">
        <v>145831.70000000001</v>
      </c>
      <c r="X4668">
        <v>0</v>
      </c>
      <c r="Y4668">
        <v>0</v>
      </c>
      <c r="Z4668">
        <v>-533</v>
      </c>
      <c r="AA4668">
        <v>690493</v>
      </c>
      <c r="AD4668" t="s">
        <v>4328</v>
      </c>
      <c r="AF4668" t="s">
        <v>4328</v>
      </c>
      <c r="AG4668" s="1" t="s">
        <v>11909</v>
      </c>
      <c r="AH4668" t="s">
        <v>3520</v>
      </c>
    </row>
    <row r="4669" spans="1:34" x14ac:dyDescent="0.3">
      <c r="A4669">
        <v>101</v>
      </c>
      <c r="B4669" t="s">
        <v>34</v>
      </c>
      <c r="C4669">
        <v>2</v>
      </c>
      <c r="D4669" s="1" t="s">
        <v>11910</v>
      </c>
      <c r="E4669" s="1" t="s">
        <v>36</v>
      </c>
      <c r="G4669">
        <v>470350</v>
      </c>
      <c r="H4669" t="s">
        <v>11907</v>
      </c>
      <c r="I4669" t="s">
        <v>2413</v>
      </c>
      <c r="J4669">
        <v>39</v>
      </c>
      <c r="K4669">
        <v>2695</v>
      </c>
      <c r="L4669">
        <v>95000</v>
      </c>
      <c r="M4669" t="s">
        <v>69</v>
      </c>
      <c r="N4669">
        <v>708</v>
      </c>
      <c r="O4669" s="2">
        <v>46142</v>
      </c>
      <c r="P4669" s="2">
        <v>46308</v>
      </c>
      <c r="R4669" t="s">
        <v>11911</v>
      </c>
      <c r="S4669" t="str">
        <f>""</f>
        <v/>
      </c>
      <c r="T4669" t="s">
        <v>41</v>
      </c>
      <c r="U4669">
        <v>99003</v>
      </c>
      <c r="V4669">
        <v>93062.82</v>
      </c>
      <c r="W4669">
        <v>93062.82</v>
      </c>
      <c r="X4669">
        <v>0</v>
      </c>
      <c r="Y4669">
        <v>0</v>
      </c>
      <c r="Z4669">
        <v>-533</v>
      </c>
      <c r="AA4669">
        <v>687768</v>
      </c>
      <c r="AD4669" t="s">
        <v>4328</v>
      </c>
      <c r="AF4669" t="s">
        <v>4328</v>
      </c>
      <c r="AG4669" s="1" t="s">
        <v>11909</v>
      </c>
      <c r="AH4669" t="s">
        <v>3520</v>
      </c>
    </row>
    <row r="4670" spans="1:34" x14ac:dyDescent="0.3">
      <c r="A4670">
        <v>101</v>
      </c>
      <c r="B4670" t="s">
        <v>34</v>
      </c>
      <c r="C4670">
        <v>2</v>
      </c>
      <c r="D4670" s="1" t="s">
        <v>11912</v>
      </c>
      <c r="E4670" s="1" t="s">
        <v>36</v>
      </c>
      <c r="G4670">
        <v>470350</v>
      </c>
      <c r="H4670" t="s">
        <v>11907</v>
      </c>
      <c r="I4670" t="s">
        <v>2413</v>
      </c>
      <c r="J4670">
        <v>39</v>
      </c>
      <c r="K4670">
        <v>2695</v>
      </c>
      <c r="L4670">
        <v>95000</v>
      </c>
      <c r="M4670" t="s">
        <v>69</v>
      </c>
      <c r="N4670">
        <v>708</v>
      </c>
      <c r="O4670" s="2">
        <v>46142</v>
      </c>
      <c r="P4670" s="2">
        <v>46266</v>
      </c>
      <c r="R4670" t="s">
        <v>11913</v>
      </c>
      <c r="S4670" t="str">
        <f>""</f>
        <v/>
      </c>
      <c r="T4670" t="s">
        <v>41</v>
      </c>
      <c r="U4670">
        <v>50252</v>
      </c>
      <c r="V4670">
        <v>47236.88</v>
      </c>
      <c r="W4670">
        <v>47236.88</v>
      </c>
      <c r="X4670">
        <v>0</v>
      </c>
      <c r="Y4670">
        <v>0</v>
      </c>
      <c r="Z4670">
        <v>-491</v>
      </c>
      <c r="AA4670">
        <v>687768</v>
      </c>
      <c r="AD4670" t="s">
        <v>4328</v>
      </c>
      <c r="AF4670" t="s">
        <v>4328</v>
      </c>
      <c r="AG4670" s="1" t="s">
        <v>11909</v>
      </c>
      <c r="AH4670" t="s">
        <v>3520</v>
      </c>
    </row>
    <row r="4671" spans="1:34" x14ac:dyDescent="0.3">
      <c r="A4671">
        <v>101</v>
      </c>
      <c r="B4671" t="s">
        <v>34</v>
      </c>
      <c r="C4671">
        <v>2</v>
      </c>
      <c r="D4671" s="1" t="s">
        <v>11914</v>
      </c>
      <c r="E4671" s="1" t="s">
        <v>36</v>
      </c>
      <c r="G4671">
        <v>470350</v>
      </c>
      <c r="H4671" t="s">
        <v>11907</v>
      </c>
      <c r="I4671" t="s">
        <v>2413</v>
      </c>
      <c r="J4671">
        <v>39</v>
      </c>
      <c r="K4671">
        <v>2695</v>
      </c>
      <c r="L4671">
        <v>95000</v>
      </c>
      <c r="M4671" t="s">
        <v>69</v>
      </c>
      <c r="N4671">
        <v>708</v>
      </c>
      <c r="O4671" s="2">
        <v>46234</v>
      </c>
      <c r="P4671" s="2">
        <v>46324</v>
      </c>
      <c r="R4671" t="s">
        <v>11915</v>
      </c>
      <c r="S4671" t="str">
        <f>""</f>
        <v/>
      </c>
      <c r="T4671" t="s">
        <v>41</v>
      </c>
      <c r="U4671">
        <v>80331.5</v>
      </c>
      <c r="V4671">
        <v>75511.61</v>
      </c>
      <c r="W4671">
        <v>75511.61</v>
      </c>
      <c r="X4671">
        <v>0</v>
      </c>
      <c r="Y4671">
        <v>0</v>
      </c>
      <c r="Z4671">
        <v>-549</v>
      </c>
      <c r="AA4671">
        <v>695888</v>
      </c>
      <c r="AD4671" t="s">
        <v>4328</v>
      </c>
      <c r="AF4671" t="s">
        <v>4328</v>
      </c>
      <c r="AG4671" s="1" t="s">
        <v>11909</v>
      </c>
      <c r="AH4671" t="s">
        <v>3520</v>
      </c>
    </row>
    <row r="4672" spans="1:34" x14ac:dyDescent="0.3">
      <c r="A4672">
        <v>101</v>
      </c>
      <c r="B4672" t="s">
        <v>34</v>
      </c>
      <c r="C4672">
        <v>2</v>
      </c>
      <c r="D4672" s="1" t="s">
        <v>11916</v>
      </c>
      <c r="E4672" s="1" t="s">
        <v>36</v>
      </c>
      <c r="G4672">
        <v>470350</v>
      </c>
      <c r="H4672" t="s">
        <v>11907</v>
      </c>
      <c r="I4672" t="s">
        <v>2413</v>
      </c>
      <c r="J4672">
        <v>39</v>
      </c>
      <c r="K4672">
        <v>2695</v>
      </c>
      <c r="L4672">
        <v>95000</v>
      </c>
      <c r="M4672" t="s">
        <v>69</v>
      </c>
      <c r="N4672">
        <v>708</v>
      </c>
      <c r="O4672" s="2">
        <v>46234</v>
      </c>
      <c r="P4672" s="2">
        <v>46324</v>
      </c>
      <c r="R4672" t="s">
        <v>11917</v>
      </c>
      <c r="S4672" t="str">
        <f>""</f>
        <v/>
      </c>
      <c r="T4672" t="s">
        <v>41</v>
      </c>
      <c r="U4672">
        <v>65071.4</v>
      </c>
      <c r="V4672">
        <v>61167.12</v>
      </c>
      <c r="W4672">
        <v>61167.12</v>
      </c>
      <c r="X4672">
        <v>0</v>
      </c>
      <c r="Y4672">
        <v>0</v>
      </c>
      <c r="Z4672">
        <v>-549</v>
      </c>
      <c r="AA4672">
        <v>695888</v>
      </c>
      <c r="AD4672" t="s">
        <v>4328</v>
      </c>
      <c r="AF4672" t="s">
        <v>4328</v>
      </c>
      <c r="AG4672" s="1" t="s">
        <v>11909</v>
      </c>
      <c r="AH4672" t="s">
        <v>3520</v>
      </c>
    </row>
    <row r="4673" spans="1:34" x14ac:dyDescent="0.3">
      <c r="A4673">
        <v>101</v>
      </c>
      <c r="B4673" t="s">
        <v>34</v>
      </c>
      <c r="C4673">
        <v>2</v>
      </c>
      <c r="D4673" s="1" t="s">
        <v>11918</v>
      </c>
      <c r="E4673" s="1" t="s">
        <v>36</v>
      </c>
      <c r="G4673">
        <v>470350</v>
      </c>
      <c r="H4673" t="s">
        <v>11907</v>
      </c>
      <c r="I4673" t="s">
        <v>2413</v>
      </c>
      <c r="J4673">
        <v>39</v>
      </c>
      <c r="K4673">
        <v>2695</v>
      </c>
      <c r="L4673">
        <v>95000</v>
      </c>
      <c r="M4673" t="s">
        <v>69</v>
      </c>
      <c r="N4673">
        <v>708</v>
      </c>
      <c r="O4673" s="2">
        <v>46234</v>
      </c>
      <c r="P4673" s="2">
        <v>46324</v>
      </c>
      <c r="R4673" t="s">
        <v>11919</v>
      </c>
      <c r="S4673" t="str">
        <f>""</f>
        <v/>
      </c>
      <c r="T4673" t="s">
        <v>41</v>
      </c>
      <c r="U4673">
        <v>45313</v>
      </c>
      <c r="V4673">
        <v>42594.22</v>
      </c>
      <c r="W4673">
        <v>42594.22</v>
      </c>
      <c r="X4673">
        <v>0</v>
      </c>
      <c r="Y4673">
        <v>0</v>
      </c>
      <c r="Z4673">
        <v>-549</v>
      </c>
      <c r="AA4673">
        <v>695888</v>
      </c>
      <c r="AD4673" t="s">
        <v>4328</v>
      </c>
      <c r="AF4673" t="s">
        <v>4328</v>
      </c>
      <c r="AG4673" s="1" t="s">
        <v>11909</v>
      </c>
      <c r="AH4673" t="s">
        <v>3520</v>
      </c>
    </row>
    <row r="4674" spans="1:34" x14ac:dyDescent="0.3">
      <c r="A4674">
        <v>101</v>
      </c>
      <c r="B4674" t="s">
        <v>34</v>
      </c>
      <c r="C4674">
        <v>2</v>
      </c>
      <c r="D4674" s="1" t="s">
        <v>11920</v>
      </c>
      <c r="E4674" s="1" t="s">
        <v>122</v>
      </c>
      <c r="G4674">
        <v>439379</v>
      </c>
      <c r="H4674" t="s">
        <v>11921</v>
      </c>
      <c r="I4674" t="s">
        <v>11922</v>
      </c>
      <c r="J4674">
        <v>12</v>
      </c>
      <c r="K4674">
        <v>450546</v>
      </c>
      <c r="L4674">
        <v>50033</v>
      </c>
      <c r="M4674" t="s">
        <v>39</v>
      </c>
      <c r="N4674">
        <v>714</v>
      </c>
      <c r="O4674" s="2">
        <v>46234</v>
      </c>
      <c r="P4674" s="2">
        <v>46294</v>
      </c>
      <c r="R4674" t="s">
        <v>11923</v>
      </c>
      <c r="S4674" t="str">
        <f>"0000050412060"</f>
        <v>0000050412060</v>
      </c>
      <c r="T4674" t="s">
        <v>41</v>
      </c>
      <c r="U4674">
        <v>1440.76</v>
      </c>
      <c r="V4674">
        <v>1440.76</v>
      </c>
      <c r="W4674">
        <v>1440.76</v>
      </c>
      <c r="X4674">
        <v>0</v>
      </c>
      <c r="Y4674">
        <v>0</v>
      </c>
      <c r="Z4674">
        <v>-519</v>
      </c>
      <c r="AA4674">
        <v>1485</v>
      </c>
      <c r="AD4674" t="s">
        <v>4501</v>
      </c>
      <c r="AE4674" t="s">
        <v>11924</v>
      </c>
      <c r="AF4674" t="s">
        <v>4501</v>
      </c>
      <c r="AG4674">
        <v>17796865000109</v>
      </c>
      <c r="AH4674" t="s">
        <v>311</v>
      </c>
    </row>
    <row r="4675" spans="1:34" x14ac:dyDescent="0.3">
      <c r="A4675">
        <v>101</v>
      </c>
      <c r="B4675" t="s">
        <v>34</v>
      </c>
      <c r="C4675">
        <v>2</v>
      </c>
      <c r="D4675" s="1" t="s">
        <v>11920</v>
      </c>
      <c r="E4675" s="1" t="s">
        <v>36</v>
      </c>
      <c r="G4675">
        <v>439379</v>
      </c>
      <c r="H4675" t="s">
        <v>11921</v>
      </c>
      <c r="I4675" t="s">
        <v>11922</v>
      </c>
      <c r="J4675">
        <v>12</v>
      </c>
      <c r="K4675">
        <v>450546</v>
      </c>
      <c r="L4675">
        <v>50033</v>
      </c>
      <c r="M4675" t="s">
        <v>39</v>
      </c>
      <c r="N4675">
        <v>714</v>
      </c>
      <c r="O4675" s="2">
        <v>46234</v>
      </c>
      <c r="P4675" s="2">
        <v>46264</v>
      </c>
      <c r="R4675" t="s">
        <v>11923</v>
      </c>
      <c r="S4675" t="str">
        <f>"0000050412051"</f>
        <v>0000050412051</v>
      </c>
      <c r="T4675" t="s">
        <v>41</v>
      </c>
      <c r="U4675">
        <v>1501.45</v>
      </c>
      <c r="V4675">
        <v>1501.45</v>
      </c>
      <c r="W4675">
        <v>1501.45</v>
      </c>
      <c r="X4675">
        <v>0</v>
      </c>
      <c r="Y4675">
        <v>0</v>
      </c>
      <c r="Z4675">
        <v>-489</v>
      </c>
      <c r="AA4675">
        <v>1485</v>
      </c>
      <c r="AD4675" t="s">
        <v>4501</v>
      </c>
      <c r="AE4675" t="s">
        <v>11924</v>
      </c>
      <c r="AF4675" t="s">
        <v>4501</v>
      </c>
      <c r="AG4675">
        <v>17796865000109</v>
      </c>
      <c r="AH4675" t="s">
        <v>311</v>
      </c>
    </row>
    <row r="4676" spans="1:34" x14ac:dyDescent="0.3">
      <c r="A4676">
        <v>101</v>
      </c>
      <c r="B4676" t="s">
        <v>34</v>
      </c>
      <c r="C4676">
        <v>2</v>
      </c>
      <c r="D4676" s="1" t="s">
        <v>11925</v>
      </c>
      <c r="E4676" s="1" t="s">
        <v>116</v>
      </c>
      <c r="G4676">
        <v>450546</v>
      </c>
      <c r="H4676" t="s">
        <v>11926</v>
      </c>
      <c r="I4676" t="s">
        <v>11927</v>
      </c>
      <c r="J4676">
        <v>12</v>
      </c>
      <c r="K4676">
        <v>450546</v>
      </c>
      <c r="L4676">
        <v>95080</v>
      </c>
      <c r="M4676" t="s">
        <v>83</v>
      </c>
      <c r="N4676">
        <v>714</v>
      </c>
      <c r="O4676" s="2">
        <v>46234</v>
      </c>
      <c r="P4676" s="2">
        <v>46294</v>
      </c>
      <c r="R4676" t="s">
        <v>11928</v>
      </c>
      <c r="S4676" t="str">
        <f>""</f>
        <v/>
      </c>
      <c r="T4676" t="s">
        <v>41</v>
      </c>
      <c r="U4676">
        <v>1360.58</v>
      </c>
      <c r="V4676">
        <v>1360.58</v>
      </c>
      <c r="W4676">
        <v>1360.58</v>
      </c>
      <c r="X4676">
        <v>0</v>
      </c>
      <c r="Y4676">
        <v>0</v>
      </c>
      <c r="Z4676">
        <v>-519</v>
      </c>
      <c r="AA4676">
        <v>1665</v>
      </c>
      <c r="AD4676" t="s">
        <v>5968</v>
      </c>
      <c r="AE4676" t="s">
        <v>11929</v>
      </c>
      <c r="AF4676" t="s">
        <v>5968</v>
      </c>
      <c r="AG4676">
        <v>12622711000187</v>
      </c>
      <c r="AH4676" t="s">
        <v>311</v>
      </c>
    </row>
    <row r="4677" spans="1:34" x14ac:dyDescent="0.3">
      <c r="A4677">
        <v>101</v>
      </c>
      <c r="B4677" t="s">
        <v>34</v>
      </c>
      <c r="C4677">
        <v>2</v>
      </c>
      <c r="D4677" s="1" t="s">
        <v>11925</v>
      </c>
      <c r="E4677" s="1" t="s">
        <v>36</v>
      </c>
      <c r="G4677">
        <v>450546</v>
      </c>
      <c r="H4677" t="s">
        <v>11926</v>
      </c>
      <c r="I4677" t="s">
        <v>11927</v>
      </c>
      <c r="J4677">
        <v>12</v>
      </c>
      <c r="K4677">
        <v>450546</v>
      </c>
      <c r="L4677">
        <v>95080</v>
      </c>
      <c r="M4677" t="s">
        <v>83</v>
      </c>
      <c r="N4677">
        <v>714</v>
      </c>
      <c r="O4677" s="2">
        <v>46234</v>
      </c>
      <c r="P4677" s="2">
        <v>46264</v>
      </c>
      <c r="R4677" t="s">
        <v>11928</v>
      </c>
      <c r="S4677" t="str">
        <f>""</f>
        <v/>
      </c>
      <c r="T4677" t="s">
        <v>41</v>
      </c>
      <c r="U4677">
        <v>1420.87</v>
      </c>
      <c r="V4677">
        <v>1420.87</v>
      </c>
      <c r="W4677">
        <v>1420.87</v>
      </c>
      <c r="X4677">
        <v>0</v>
      </c>
      <c r="Y4677">
        <v>0</v>
      </c>
      <c r="Z4677">
        <v>-489</v>
      </c>
      <c r="AA4677">
        <v>1665</v>
      </c>
      <c r="AD4677" t="s">
        <v>5968</v>
      </c>
      <c r="AE4677" t="s">
        <v>11929</v>
      </c>
      <c r="AF4677" t="s">
        <v>5968</v>
      </c>
      <c r="AG4677">
        <v>12622711000187</v>
      </c>
      <c r="AH4677" t="s">
        <v>311</v>
      </c>
    </row>
    <row r="4678" spans="1:34" x14ac:dyDescent="0.3">
      <c r="A4678">
        <v>101</v>
      </c>
      <c r="B4678" t="s">
        <v>34</v>
      </c>
      <c r="C4678">
        <v>2</v>
      </c>
      <c r="D4678" s="1" t="s">
        <v>11925</v>
      </c>
      <c r="E4678" s="1" t="s">
        <v>122</v>
      </c>
      <c r="G4678">
        <v>450546</v>
      </c>
      <c r="H4678" t="s">
        <v>11926</v>
      </c>
      <c r="I4678" t="s">
        <v>11927</v>
      </c>
      <c r="J4678">
        <v>12</v>
      </c>
      <c r="K4678">
        <v>450546</v>
      </c>
      <c r="L4678">
        <v>95080</v>
      </c>
      <c r="M4678" t="s">
        <v>83</v>
      </c>
      <c r="N4678">
        <v>714</v>
      </c>
      <c r="O4678" s="2">
        <v>46234</v>
      </c>
      <c r="P4678" s="2">
        <v>46279</v>
      </c>
      <c r="R4678" t="s">
        <v>11928</v>
      </c>
      <c r="S4678" t="str">
        <f>""</f>
        <v/>
      </c>
      <c r="T4678" t="s">
        <v>41</v>
      </c>
      <c r="U4678">
        <v>1360.18</v>
      </c>
      <c r="V4678">
        <v>1360.18</v>
      </c>
      <c r="W4678">
        <v>1360.18</v>
      </c>
      <c r="X4678">
        <v>0</v>
      </c>
      <c r="Y4678">
        <v>0</v>
      </c>
      <c r="Z4678">
        <v>-504</v>
      </c>
      <c r="AA4678">
        <v>1665</v>
      </c>
      <c r="AD4678" t="s">
        <v>5968</v>
      </c>
      <c r="AE4678" t="s">
        <v>11929</v>
      </c>
      <c r="AF4678" t="s">
        <v>5968</v>
      </c>
      <c r="AG4678">
        <v>12622711000187</v>
      </c>
      <c r="AH4678" t="s">
        <v>311</v>
      </c>
    </row>
    <row r="4679" spans="1:34" x14ac:dyDescent="0.3">
      <c r="A4679">
        <v>101</v>
      </c>
      <c r="B4679" t="s">
        <v>34</v>
      </c>
      <c r="C4679">
        <v>2</v>
      </c>
      <c r="D4679" s="1" t="s">
        <v>11930</v>
      </c>
      <c r="E4679" s="1" t="s">
        <v>36</v>
      </c>
      <c r="G4679">
        <v>456995</v>
      </c>
      <c r="H4679" t="s">
        <v>11931</v>
      </c>
      <c r="I4679" t="s">
        <v>11932</v>
      </c>
      <c r="J4679">
        <v>12</v>
      </c>
      <c r="K4679">
        <v>450546</v>
      </c>
      <c r="L4679">
        <v>50341</v>
      </c>
      <c r="M4679" t="s">
        <v>146</v>
      </c>
      <c r="N4679">
        <v>714</v>
      </c>
      <c r="O4679" s="2">
        <v>46235</v>
      </c>
      <c r="P4679" s="2">
        <v>46265</v>
      </c>
      <c r="R4679" t="s">
        <v>11933</v>
      </c>
      <c r="S4679" t="str">
        <f>"00013493"</f>
        <v>00013493</v>
      </c>
      <c r="T4679" t="s">
        <v>41</v>
      </c>
      <c r="U4679">
        <v>929.99</v>
      </c>
      <c r="V4679">
        <v>929.99</v>
      </c>
      <c r="W4679">
        <v>929.99</v>
      </c>
      <c r="X4679">
        <v>0</v>
      </c>
      <c r="Y4679">
        <v>0</v>
      </c>
      <c r="Z4679">
        <v>-490</v>
      </c>
      <c r="AA4679">
        <v>1664</v>
      </c>
      <c r="AD4679" t="s">
        <v>1678</v>
      </c>
      <c r="AE4679" t="s">
        <v>11934</v>
      </c>
      <c r="AF4679" t="s">
        <v>1678</v>
      </c>
      <c r="AG4679">
        <v>42959935000140</v>
      </c>
      <c r="AH4679" t="s">
        <v>1462</v>
      </c>
    </row>
    <row r="4680" spans="1:34" x14ac:dyDescent="0.3">
      <c r="A4680">
        <v>101</v>
      </c>
      <c r="B4680" t="s">
        <v>34</v>
      </c>
      <c r="C4680">
        <v>2</v>
      </c>
      <c r="D4680" s="1" t="s">
        <v>11930</v>
      </c>
      <c r="E4680" s="1" t="s">
        <v>116</v>
      </c>
      <c r="G4680">
        <v>456995</v>
      </c>
      <c r="H4680" t="s">
        <v>11931</v>
      </c>
      <c r="I4680" t="s">
        <v>11932</v>
      </c>
      <c r="J4680">
        <v>12</v>
      </c>
      <c r="K4680">
        <v>450546</v>
      </c>
      <c r="L4680">
        <v>50341</v>
      </c>
      <c r="M4680" t="s">
        <v>146</v>
      </c>
      <c r="N4680">
        <v>714</v>
      </c>
      <c r="O4680" s="2">
        <v>46235</v>
      </c>
      <c r="P4680" s="2">
        <v>46295</v>
      </c>
      <c r="R4680" t="s">
        <v>11933</v>
      </c>
      <c r="S4680" t="str">
        <f>"00013495"</f>
        <v>00013495</v>
      </c>
      <c r="T4680" t="s">
        <v>41</v>
      </c>
      <c r="U4680">
        <v>870.15</v>
      </c>
      <c r="V4680">
        <v>870.15</v>
      </c>
      <c r="W4680">
        <v>870.15</v>
      </c>
      <c r="X4680">
        <v>0</v>
      </c>
      <c r="Y4680">
        <v>0</v>
      </c>
      <c r="Z4680">
        <v>-520</v>
      </c>
      <c r="AA4680">
        <v>1664</v>
      </c>
      <c r="AD4680" t="s">
        <v>1678</v>
      </c>
      <c r="AE4680" t="s">
        <v>11934</v>
      </c>
      <c r="AF4680" t="s">
        <v>1678</v>
      </c>
      <c r="AG4680">
        <v>42959935000140</v>
      </c>
      <c r="AH4680" t="s">
        <v>1462</v>
      </c>
    </row>
    <row r="4681" spans="1:34" x14ac:dyDescent="0.3">
      <c r="A4681">
        <v>101</v>
      </c>
      <c r="B4681" t="s">
        <v>34</v>
      </c>
      <c r="C4681">
        <v>2</v>
      </c>
      <c r="D4681" s="1" t="s">
        <v>11930</v>
      </c>
      <c r="E4681" s="1" t="s">
        <v>122</v>
      </c>
      <c r="G4681">
        <v>456995</v>
      </c>
      <c r="H4681" t="s">
        <v>11931</v>
      </c>
      <c r="I4681" t="s">
        <v>11932</v>
      </c>
      <c r="J4681">
        <v>12</v>
      </c>
      <c r="K4681">
        <v>450546</v>
      </c>
      <c r="L4681">
        <v>50341</v>
      </c>
      <c r="M4681" t="s">
        <v>146</v>
      </c>
      <c r="N4681">
        <v>714</v>
      </c>
      <c r="O4681" s="2">
        <v>46235</v>
      </c>
      <c r="P4681" s="2">
        <v>46280</v>
      </c>
      <c r="R4681" t="s">
        <v>11933</v>
      </c>
      <c r="S4681" t="str">
        <f>"00013494"</f>
        <v>00013494</v>
      </c>
      <c r="T4681" t="s">
        <v>41</v>
      </c>
      <c r="U4681">
        <v>869.88</v>
      </c>
      <c r="V4681">
        <v>869.88</v>
      </c>
      <c r="W4681">
        <v>869.88</v>
      </c>
      <c r="X4681">
        <v>0</v>
      </c>
      <c r="Y4681">
        <v>0</v>
      </c>
      <c r="Z4681">
        <v>-505</v>
      </c>
      <c r="AA4681">
        <v>1664</v>
      </c>
      <c r="AD4681" t="s">
        <v>1678</v>
      </c>
      <c r="AE4681" t="s">
        <v>11934</v>
      </c>
      <c r="AF4681" t="s">
        <v>1678</v>
      </c>
      <c r="AG4681">
        <v>42959935000140</v>
      </c>
      <c r="AH4681" t="s">
        <v>1462</v>
      </c>
    </row>
    <row r="4682" spans="1:34" x14ac:dyDescent="0.3">
      <c r="A4682">
        <v>101</v>
      </c>
      <c r="B4682" t="s">
        <v>34</v>
      </c>
      <c r="C4682">
        <v>2</v>
      </c>
      <c r="D4682" s="1" t="s">
        <v>11935</v>
      </c>
      <c r="E4682" s="1" t="s">
        <v>122</v>
      </c>
      <c r="G4682">
        <v>461424</v>
      </c>
      <c r="H4682" t="s">
        <v>11936</v>
      </c>
      <c r="I4682" t="s">
        <v>11937</v>
      </c>
      <c r="J4682">
        <v>12</v>
      </c>
      <c r="K4682">
        <v>450546</v>
      </c>
      <c r="L4682">
        <v>50341</v>
      </c>
      <c r="M4682" t="s">
        <v>146</v>
      </c>
      <c r="N4682">
        <v>714</v>
      </c>
      <c r="O4682" s="2">
        <v>46235</v>
      </c>
      <c r="P4682" s="2">
        <v>46295</v>
      </c>
      <c r="R4682" t="s">
        <v>11938</v>
      </c>
      <c r="S4682" t="str">
        <f>"00013503"</f>
        <v>00013503</v>
      </c>
      <c r="T4682" t="s">
        <v>41</v>
      </c>
      <c r="U4682">
        <v>1287.79</v>
      </c>
      <c r="V4682">
        <v>1287.79</v>
      </c>
      <c r="W4682">
        <v>1287.79</v>
      </c>
      <c r="X4682">
        <v>0</v>
      </c>
      <c r="Y4682">
        <v>0</v>
      </c>
      <c r="Z4682">
        <v>-520</v>
      </c>
      <c r="AA4682">
        <v>4006</v>
      </c>
      <c r="AD4682" t="s">
        <v>1556</v>
      </c>
      <c r="AE4682">
        <v>6136122999</v>
      </c>
      <c r="AF4682" t="s">
        <v>1556</v>
      </c>
      <c r="AG4682">
        <v>36365139000186</v>
      </c>
      <c r="AH4682" t="s">
        <v>1462</v>
      </c>
    </row>
    <row r="4683" spans="1:34" x14ac:dyDescent="0.3">
      <c r="A4683">
        <v>101</v>
      </c>
      <c r="B4683" t="s">
        <v>34</v>
      </c>
      <c r="C4683">
        <v>2</v>
      </c>
      <c r="D4683" s="1" t="s">
        <v>11935</v>
      </c>
      <c r="E4683" s="1" t="s">
        <v>36</v>
      </c>
      <c r="G4683">
        <v>461424</v>
      </c>
      <c r="H4683" t="s">
        <v>11936</v>
      </c>
      <c r="I4683" t="s">
        <v>11937</v>
      </c>
      <c r="J4683">
        <v>12</v>
      </c>
      <c r="K4683">
        <v>450546</v>
      </c>
      <c r="L4683">
        <v>50341</v>
      </c>
      <c r="M4683" t="s">
        <v>146</v>
      </c>
      <c r="N4683">
        <v>714</v>
      </c>
      <c r="O4683" s="2">
        <v>46235</v>
      </c>
      <c r="P4683" s="2">
        <v>46265</v>
      </c>
      <c r="R4683" t="s">
        <v>11938</v>
      </c>
      <c r="S4683" t="str">
        <f>"00013502"</f>
        <v>00013502</v>
      </c>
      <c r="T4683" t="s">
        <v>41</v>
      </c>
      <c r="U4683">
        <v>1333.91</v>
      </c>
      <c r="V4683">
        <v>1333.91</v>
      </c>
      <c r="W4683">
        <v>1333.91</v>
      </c>
      <c r="X4683">
        <v>0</v>
      </c>
      <c r="Y4683">
        <v>0</v>
      </c>
      <c r="Z4683">
        <v>-490</v>
      </c>
      <c r="AA4683">
        <v>4006</v>
      </c>
      <c r="AD4683" t="s">
        <v>1556</v>
      </c>
      <c r="AE4683">
        <v>6136122999</v>
      </c>
      <c r="AF4683" t="s">
        <v>1556</v>
      </c>
      <c r="AG4683">
        <v>36365139000186</v>
      </c>
      <c r="AH4683" t="s">
        <v>1462</v>
      </c>
    </row>
    <row r="4684" spans="1:34" x14ac:dyDescent="0.3">
      <c r="A4684">
        <v>101</v>
      </c>
      <c r="B4684" t="s">
        <v>34</v>
      </c>
      <c r="C4684">
        <v>2</v>
      </c>
      <c r="D4684" s="1" t="s">
        <v>11939</v>
      </c>
      <c r="E4684" s="1" t="s">
        <v>36</v>
      </c>
      <c r="G4684">
        <v>468178</v>
      </c>
      <c r="H4684" t="s">
        <v>11940</v>
      </c>
      <c r="I4684" t="s">
        <v>11941</v>
      </c>
      <c r="J4684">
        <v>12</v>
      </c>
      <c r="K4684">
        <v>450546</v>
      </c>
      <c r="L4684">
        <v>50341</v>
      </c>
      <c r="M4684" t="s">
        <v>146</v>
      </c>
      <c r="N4684">
        <v>714</v>
      </c>
      <c r="O4684" s="2">
        <v>46235</v>
      </c>
      <c r="P4684" s="2">
        <v>46265</v>
      </c>
      <c r="R4684" t="s">
        <v>11942</v>
      </c>
      <c r="S4684" t="str">
        <f>"00013519"</f>
        <v>00013519</v>
      </c>
      <c r="T4684" t="s">
        <v>41</v>
      </c>
      <c r="U4684">
        <v>1103.29</v>
      </c>
      <c r="V4684">
        <v>1103.29</v>
      </c>
      <c r="W4684">
        <v>1103.29</v>
      </c>
      <c r="X4684">
        <v>0</v>
      </c>
      <c r="Y4684">
        <v>0</v>
      </c>
      <c r="Z4684">
        <v>-490</v>
      </c>
      <c r="AA4684">
        <v>1648</v>
      </c>
      <c r="AD4684" t="s">
        <v>1598</v>
      </c>
      <c r="AE4684" t="s">
        <v>11943</v>
      </c>
      <c r="AF4684" t="s">
        <v>1598</v>
      </c>
      <c r="AG4684">
        <v>55142851000160</v>
      </c>
      <c r="AH4684" t="s">
        <v>1462</v>
      </c>
    </row>
    <row r="4685" spans="1:34" x14ac:dyDescent="0.3">
      <c r="A4685">
        <v>101</v>
      </c>
      <c r="B4685" t="s">
        <v>34</v>
      </c>
      <c r="C4685">
        <v>2</v>
      </c>
      <c r="D4685" s="1" t="s">
        <v>11939</v>
      </c>
      <c r="E4685" s="1" t="s">
        <v>122</v>
      </c>
      <c r="G4685">
        <v>468178</v>
      </c>
      <c r="H4685" t="s">
        <v>11940</v>
      </c>
      <c r="I4685" t="s">
        <v>11941</v>
      </c>
      <c r="J4685">
        <v>12</v>
      </c>
      <c r="K4685">
        <v>450546</v>
      </c>
      <c r="L4685">
        <v>50341</v>
      </c>
      <c r="M4685" t="s">
        <v>146</v>
      </c>
      <c r="N4685">
        <v>714</v>
      </c>
      <c r="O4685" s="2">
        <v>46235</v>
      </c>
      <c r="P4685" s="2">
        <v>46295</v>
      </c>
      <c r="R4685" t="s">
        <v>11942</v>
      </c>
      <c r="S4685" t="str">
        <f>"00013520"</f>
        <v>00013520</v>
      </c>
      <c r="T4685" t="s">
        <v>41</v>
      </c>
      <c r="U4685">
        <v>1011.05</v>
      </c>
      <c r="V4685">
        <v>1011.05</v>
      </c>
      <c r="W4685">
        <v>1011.05</v>
      </c>
      <c r="X4685">
        <v>0</v>
      </c>
      <c r="Y4685">
        <v>0</v>
      </c>
      <c r="Z4685">
        <v>-520</v>
      </c>
      <c r="AA4685">
        <v>1648</v>
      </c>
      <c r="AD4685" t="s">
        <v>1598</v>
      </c>
      <c r="AE4685" t="s">
        <v>11943</v>
      </c>
      <c r="AF4685" t="s">
        <v>1598</v>
      </c>
      <c r="AG4685">
        <v>55142851000160</v>
      </c>
      <c r="AH4685" t="s">
        <v>1462</v>
      </c>
    </row>
    <row r="4686" spans="1:34" x14ac:dyDescent="0.3">
      <c r="A4686">
        <v>101</v>
      </c>
      <c r="B4686" t="s">
        <v>34</v>
      </c>
      <c r="C4686">
        <v>2</v>
      </c>
      <c r="D4686" s="1" t="s">
        <v>11944</v>
      </c>
      <c r="E4686" s="1" t="s">
        <v>5113</v>
      </c>
      <c r="G4686">
        <v>470422</v>
      </c>
      <c r="H4686" t="s">
        <v>11945</v>
      </c>
      <c r="I4686" t="s">
        <v>11946</v>
      </c>
      <c r="J4686">
        <v>12</v>
      </c>
      <c r="K4686">
        <v>470422</v>
      </c>
      <c r="L4686">
        <v>50001</v>
      </c>
      <c r="M4686" t="s">
        <v>39</v>
      </c>
      <c r="N4686">
        <v>714</v>
      </c>
      <c r="O4686" s="2">
        <v>46168</v>
      </c>
      <c r="P4686" s="2">
        <v>46271</v>
      </c>
      <c r="R4686" t="s">
        <v>11947</v>
      </c>
      <c r="S4686" t="str">
        <f>"25666160000050721"</f>
        <v>25666160000050721</v>
      </c>
      <c r="T4686" t="s">
        <v>41</v>
      </c>
      <c r="U4686">
        <v>1037.31</v>
      </c>
      <c r="V4686">
        <v>1037.31</v>
      </c>
      <c r="W4686">
        <v>1037.31</v>
      </c>
      <c r="X4686">
        <v>0</v>
      </c>
      <c r="Y4686">
        <v>0</v>
      </c>
      <c r="Z4686">
        <v>-496</v>
      </c>
      <c r="AA4686">
        <v>689103</v>
      </c>
      <c r="AD4686" t="s">
        <v>11948</v>
      </c>
      <c r="AE4686" t="s">
        <v>11949</v>
      </c>
      <c r="AF4686" t="s">
        <v>11948</v>
      </c>
      <c r="AG4686">
        <v>49013712000134</v>
      </c>
      <c r="AH4686" t="s">
        <v>1462</v>
      </c>
    </row>
    <row r="4687" spans="1:34" x14ac:dyDescent="0.3">
      <c r="A4687">
        <v>101</v>
      </c>
      <c r="B4687" t="s">
        <v>34</v>
      </c>
      <c r="C4687">
        <v>2</v>
      </c>
      <c r="D4687" s="1" t="s">
        <v>11944</v>
      </c>
      <c r="E4687" s="1" t="s">
        <v>4375</v>
      </c>
      <c r="G4687">
        <v>470422</v>
      </c>
      <c r="H4687" t="s">
        <v>11945</v>
      </c>
      <c r="I4687" t="s">
        <v>11946</v>
      </c>
      <c r="J4687">
        <v>12</v>
      </c>
      <c r="K4687">
        <v>470422</v>
      </c>
      <c r="L4687">
        <v>50001</v>
      </c>
      <c r="M4687" t="s">
        <v>39</v>
      </c>
      <c r="N4687">
        <v>714</v>
      </c>
      <c r="O4687" s="2">
        <v>46168</v>
      </c>
      <c r="P4687" s="2">
        <v>46256</v>
      </c>
      <c r="R4687" t="s">
        <v>11947</v>
      </c>
      <c r="S4687" t="str">
        <f>"25666160000050720"</f>
        <v>25666160000050720</v>
      </c>
      <c r="T4687" t="s">
        <v>41</v>
      </c>
      <c r="U4687">
        <v>1037.32</v>
      </c>
      <c r="V4687">
        <v>1037.32</v>
      </c>
      <c r="W4687">
        <v>1037.32</v>
      </c>
      <c r="X4687">
        <v>0</v>
      </c>
      <c r="Y4687">
        <v>0</v>
      </c>
      <c r="Z4687">
        <v>-481</v>
      </c>
      <c r="AA4687">
        <v>689103</v>
      </c>
      <c r="AD4687" t="s">
        <v>11948</v>
      </c>
      <c r="AE4687" t="s">
        <v>11949</v>
      </c>
      <c r="AF4687" t="s">
        <v>11948</v>
      </c>
      <c r="AG4687">
        <v>49013712000134</v>
      </c>
      <c r="AH4687" t="s">
        <v>1462</v>
      </c>
    </row>
    <row r="4688" spans="1:34" x14ac:dyDescent="0.3">
      <c r="A4688">
        <v>101</v>
      </c>
      <c r="B4688" t="s">
        <v>34</v>
      </c>
      <c r="C4688">
        <v>2</v>
      </c>
      <c r="D4688" s="1" t="s">
        <v>11950</v>
      </c>
      <c r="E4688" s="1" t="s">
        <v>116</v>
      </c>
      <c r="G4688">
        <v>470423</v>
      </c>
      <c r="H4688" t="s">
        <v>11951</v>
      </c>
      <c r="I4688" t="s">
        <v>11952</v>
      </c>
      <c r="J4688">
        <v>12</v>
      </c>
      <c r="K4688">
        <v>470423</v>
      </c>
      <c r="L4688">
        <v>50341</v>
      </c>
      <c r="M4688" t="s">
        <v>146</v>
      </c>
      <c r="N4688">
        <v>714</v>
      </c>
      <c r="O4688" s="2">
        <v>46196</v>
      </c>
      <c r="P4688" s="2">
        <v>46271</v>
      </c>
      <c r="R4688" t="s">
        <v>11953</v>
      </c>
      <c r="S4688" t="str">
        <f>"00012785"</f>
        <v>00012785</v>
      </c>
      <c r="T4688" t="s">
        <v>41</v>
      </c>
      <c r="U4688">
        <v>3795.9</v>
      </c>
      <c r="V4688">
        <v>3795.9</v>
      </c>
      <c r="W4688">
        <v>3795.9</v>
      </c>
      <c r="X4688">
        <v>0</v>
      </c>
      <c r="Y4688">
        <v>0</v>
      </c>
      <c r="Z4688">
        <v>-496</v>
      </c>
      <c r="AA4688">
        <v>691909</v>
      </c>
      <c r="AD4688" t="s">
        <v>1641</v>
      </c>
      <c r="AE4688" t="s">
        <v>11954</v>
      </c>
      <c r="AF4688" t="s">
        <v>1641</v>
      </c>
      <c r="AG4688">
        <v>55835270000104</v>
      </c>
      <c r="AH4688" t="s">
        <v>1462</v>
      </c>
    </row>
    <row r="4689" spans="1:34" x14ac:dyDescent="0.3">
      <c r="A4689">
        <v>101</v>
      </c>
      <c r="B4689" t="s">
        <v>34</v>
      </c>
      <c r="C4689">
        <v>2</v>
      </c>
      <c r="D4689" s="1" t="s">
        <v>11955</v>
      </c>
      <c r="E4689" s="1" t="s">
        <v>36</v>
      </c>
      <c r="G4689">
        <v>470496</v>
      </c>
      <c r="H4689" t="s">
        <v>11956</v>
      </c>
      <c r="I4689" t="s">
        <v>11957</v>
      </c>
      <c r="J4689">
        <v>12</v>
      </c>
      <c r="K4689">
        <v>450546</v>
      </c>
      <c r="L4689">
        <v>95080</v>
      </c>
      <c r="M4689" t="s">
        <v>83</v>
      </c>
      <c r="N4689">
        <v>714</v>
      </c>
      <c r="O4689" s="2">
        <v>46111</v>
      </c>
      <c r="P4689" s="2">
        <v>46150</v>
      </c>
      <c r="R4689" t="s">
        <v>11958</v>
      </c>
      <c r="S4689" t="str">
        <f>""</f>
        <v/>
      </c>
      <c r="T4689" t="s">
        <v>41</v>
      </c>
      <c r="U4689">
        <v>1632.69</v>
      </c>
      <c r="V4689">
        <v>1632.69</v>
      </c>
      <c r="W4689">
        <v>1632.69</v>
      </c>
      <c r="X4689">
        <v>0</v>
      </c>
      <c r="Y4689">
        <v>0</v>
      </c>
      <c r="Z4689">
        <v>-375</v>
      </c>
      <c r="AA4689">
        <v>682966</v>
      </c>
      <c r="AD4689" t="s">
        <v>11959</v>
      </c>
      <c r="AE4689" t="s">
        <v>11960</v>
      </c>
      <c r="AF4689" t="s">
        <v>11959</v>
      </c>
      <c r="AG4689" s="1" t="s">
        <v>11961</v>
      </c>
      <c r="AH4689" t="s">
        <v>1462</v>
      </c>
    </row>
    <row r="4690" spans="1:34" x14ac:dyDescent="0.3">
      <c r="A4690">
        <v>101</v>
      </c>
      <c r="B4690" t="s">
        <v>34</v>
      </c>
      <c r="C4690">
        <v>2</v>
      </c>
      <c r="D4690" s="1" t="s">
        <v>11955</v>
      </c>
      <c r="E4690" s="1" t="s">
        <v>116</v>
      </c>
      <c r="G4690">
        <v>470496</v>
      </c>
      <c r="H4690" t="s">
        <v>11956</v>
      </c>
      <c r="I4690" t="s">
        <v>11957</v>
      </c>
      <c r="J4690">
        <v>12</v>
      </c>
      <c r="K4690">
        <v>450546</v>
      </c>
      <c r="L4690">
        <v>95080</v>
      </c>
      <c r="M4690" t="s">
        <v>83</v>
      </c>
      <c r="N4690">
        <v>714</v>
      </c>
      <c r="O4690" s="2">
        <v>46111</v>
      </c>
      <c r="P4690" s="2">
        <v>46180</v>
      </c>
      <c r="R4690" t="s">
        <v>11958</v>
      </c>
      <c r="S4690" t="str">
        <f>""</f>
        <v/>
      </c>
      <c r="T4690" t="s">
        <v>41</v>
      </c>
      <c r="U4690">
        <v>1468.7</v>
      </c>
      <c r="V4690">
        <v>1468.7</v>
      </c>
      <c r="W4690">
        <v>1468.7</v>
      </c>
      <c r="X4690">
        <v>0</v>
      </c>
      <c r="Y4690">
        <v>0</v>
      </c>
      <c r="Z4690">
        <v>-405</v>
      </c>
      <c r="AA4690">
        <v>682966</v>
      </c>
      <c r="AD4690" t="s">
        <v>11959</v>
      </c>
      <c r="AE4690" t="s">
        <v>11960</v>
      </c>
      <c r="AF4690" t="s">
        <v>11959</v>
      </c>
      <c r="AG4690" s="1" t="s">
        <v>11961</v>
      </c>
      <c r="AH4690" t="s">
        <v>1462</v>
      </c>
    </row>
    <row r="4691" spans="1:34" x14ac:dyDescent="0.3">
      <c r="A4691">
        <v>101</v>
      </c>
      <c r="B4691" t="s">
        <v>34</v>
      </c>
      <c r="C4691">
        <v>2</v>
      </c>
      <c r="D4691" s="1" t="s">
        <v>11955</v>
      </c>
      <c r="E4691" s="1" t="s">
        <v>122</v>
      </c>
      <c r="G4691">
        <v>470496</v>
      </c>
      <c r="H4691" t="s">
        <v>11956</v>
      </c>
      <c r="I4691" t="s">
        <v>11957</v>
      </c>
      <c r="J4691">
        <v>12</v>
      </c>
      <c r="K4691">
        <v>450546</v>
      </c>
      <c r="L4691">
        <v>95080</v>
      </c>
      <c r="M4691" t="s">
        <v>83</v>
      </c>
      <c r="N4691">
        <v>714</v>
      </c>
      <c r="O4691" s="2">
        <v>46111</v>
      </c>
      <c r="P4691" s="2">
        <v>46166</v>
      </c>
      <c r="R4691" t="s">
        <v>11958</v>
      </c>
      <c r="S4691" t="str">
        <f>""</f>
        <v/>
      </c>
      <c r="T4691" t="s">
        <v>41</v>
      </c>
      <c r="U4691">
        <v>1468.27</v>
      </c>
      <c r="V4691">
        <v>1468.27</v>
      </c>
      <c r="W4691">
        <v>1468.27</v>
      </c>
      <c r="X4691">
        <v>0</v>
      </c>
      <c r="Y4691">
        <v>0</v>
      </c>
      <c r="Z4691">
        <v>-391</v>
      </c>
      <c r="AA4691">
        <v>682966</v>
      </c>
      <c r="AD4691" t="s">
        <v>11959</v>
      </c>
      <c r="AE4691" t="s">
        <v>11960</v>
      </c>
      <c r="AF4691" t="s">
        <v>11959</v>
      </c>
      <c r="AG4691" s="1" t="s">
        <v>11961</v>
      </c>
      <c r="AH4691" t="s">
        <v>1462</v>
      </c>
    </row>
    <row r="4692" spans="1:34" x14ac:dyDescent="0.3">
      <c r="A4692">
        <v>101</v>
      </c>
      <c r="B4692" t="s">
        <v>34</v>
      </c>
      <c r="C4692">
        <v>2</v>
      </c>
      <c r="D4692" s="1" t="s">
        <v>11962</v>
      </c>
      <c r="E4692" s="1" t="s">
        <v>36</v>
      </c>
      <c r="G4692">
        <v>433581</v>
      </c>
      <c r="H4692" t="s">
        <v>11963</v>
      </c>
      <c r="I4692" t="s">
        <v>11964</v>
      </c>
      <c r="J4692">
        <v>12</v>
      </c>
      <c r="K4692">
        <v>999001732</v>
      </c>
      <c r="L4692">
        <v>50001</v>
      </c>
      <c r="M4692" t="s">
        <v>39</v>
      </c>
      <c r="N4692">
        <v>720</v>
      </c>
      <c r="O4692" s="2">
        <v>46217</v>
      </c>
      <c r="P4692" s="2">
        <v>46262</v>
      </c>
      <c r="R4692" t="s">
        <v>11965</v>
      </c>
      <c r="S4692" t="str">
        <f>"25666160000051417"</f>
        <v>25666160000051417</v>
      </c>
      <c r="T4692" t="s">
        <v>41</v>
      </c>
      <c r="U4692">
        <v>23005.11</v>
      </c>
      <c r="V4692">
        <v>21394.75</v>
      </c>
      <c r="W4692">
        <v>21394.75</v>
      </c>
      <c r="X4692">
        <v>0</v>
      </c>
      <c r="Y4692">
        <v>0</v>
      </c>
      <c r="Z4692">
        <v>-487</v>
      </c>
      <c r="AA4692">
        <v>693779</v>
      </c>
      <c r="AD4692" t="s">
        <v>1606</v>
      </c>
      <c r="AE4692">
        <v>3432308900</v>
      </c>
      <c r="AF4692" t="s">
        <v>1606</v>
      </c>
      <c r="AG4692" s="1" t="s">
        <v>11966</v>
      </c>
      <c r="AH4692" t="s">
        <v>1462</v>
      </c>
    </row>
    <row r="4693" spans="1:34" x14ac:dyDescent="0.3">
      <c r="A4693">
        <v>104</v>
      </c>
      <c r="B4693" t="s">
        <v>34</v>
      </c>
      <c r="C4693">
        <v>4</v>
      </c>
      <c r="D4693" s="1" t="s">
        <v>11967</v>
      </c>
      <c r="E4693" s="1" t="s">
        <v>122</v>
      </c>
      <c r="G4693">
        <v>602</v>
      </c>
      <c r="H4693" t="s">
        <v>11968</v>
      </c>
      <c r="I4693" t="s">
        <v>11969</v>
      </c>
      <c r="J4693">
        <v>15</v>
      </c>
      <c r="K4693">
        <v>602</v>
      </c>
      <c r="L4693">
        <v>50341</v>
      </c>
      <c r="M4693" t="s">
        <v>146</v>
      </c>
      <c r="N4693">
        <v>721</v>
      </c>
      <c r="O4693" s="2">
        <v>46203</v>
      </c>
      <c r="P4693" s="2">
        <v>46258</v>
      </c>
      <c r="R4693" t="s">
        <v>11970</v>
      </c>
      <c r="S4693" t="str">
        <f>"00013028"</f>
        <v>00013028</v>
      </c>
      <c r="T4693" t="s">
        <v>41</v>
      </c>
      <c r="U4693">
        <v>5483.34</v>
      </c>
      <c r="V4693">
        <v>5483.34</v>
      </c>
      <c r="W4693">
        <v>5483.34</v>
      </c>
      <c r="X4693">
        <v>0</v>
      </c>
      <c r="Y4693">
        <v>0</v>
      </c>
      <c r="Z4693">
        <v>-483</v>
      </c>
      <c r="AA4693" t="s">
        <v>11971</v>
      </c>
      <c r="AD4693" t="s">
        <v>6493</v>
      </c>
      <c r="AE4693" t="s">
        <v>11972</v>
      </c>
      <c r="AF4693" t="s">
        <v>6493</v>
      </c>
      <c r="AG4693">
        <v>41282461000181</v>
      </c>
      <c r="AH4693" t="s">
        <v>3024</v>
      </c>
    </row>
    <row r="4694" spans="1:34" x14ac:dyDescent="0.3">
      <c r="A4694">
        <v>104</v>
      </c>
      <c r="B4694" t="s">
        <v>34</v>
      </c>
      <c r="C4694">
        <v>4</v>
      </c>
      <c r="D4694" s="1" t="s">
        <v>11967</v>
      </c>
      <c r="E4694" s="1" t="s">
        <v>116</v>
      </c>
      <c r="G4694">
        <v>602</v>
      </c>
      <c r="H4694" t="s">
        <v>11968</v>
      </c>
      <c r="I4694" t="s">
        <v>11969</v>
      </c>
      <c r="J4694">
        <v>15</v>
      </c>
      <c r="K4694">
        <v>602</v>
      </c>
      <c r="L4694">
        <v>50341</v>
      </c>
      <c r="M4694" t="s">
        <v>146</v>
      </c>
      <c r="N4694">
        <v>721</v>
      </c>
      <c r="O4694" s="2">
        <v>46203</v>
      </c>
      <c r="P4694" s="2">
        <v>46268</v>
      </c>
      <c r="R4694" t="s">
        <v>11970</v>
      </c>
      <c r="S4694" t="str">
        <f>"00013029"</f>
        <v>00013029</v>
      </c>
      <c r="T4694" t="s">
        <v>41</v>
      </c>
      <c r="U4694">
        <v>5484.98</v>
      </c>
      <c r="V4694">
        <v>5484.98</v>
      </c>
      <c r="W4694">
        <v>5484.98</v>
      </c>
      <c r="X4694">
        <v>0</v>
      </c>
      <c r="Y4694">
        <v>0</v>
      </c>
      <c r="Z4694">
        <v>-493</v>
      </c>
      <c r="AA4694" t="s">
        <v>11971</v>
      </c>
      <c r="AD4694" t="s">
        <v>6493</v>
      </c>
      <c r="AE4694" t="s">
        <v>11972</v>
      </c>
      <c r="AF4694" t="s">
        <v>6493</v>
      </c>
      <c r="AG4694">
        <v>41282461000181</v>
      </c>
      <c r="AH4694" t="s">
        <v>3024</v>
      </c>
    </row>
    <row r="4695" spans="1:34" x14ac:dyDescent="0.3">
      <c r="A4695">
        <v>106</v>
      </c>
      <c r="B4695" t="s">
        <v>34</v>
      </c>
      <c r="C4695">
        <v>2</v>
      </c>
      <c r="D4695" s="1" t="s">
        <v>11973</v>
      </c>
      <c r="E4695" s="1" t="s">
        <v>122</v>
      </c>
      <c r="G4695">
        <v>602</v>
      </c>
      <c r="H4695" t="s">
        <v>11968</v>
      </c>
      <c r="I4695" t="s">
        <v>11969</v>
      </c>
      <c r="J4695">
        <v>15</v>
      </c>
      <c r="K4695">
        <v>602</v>
      </c>
      <c r="L4695">
        <v>50341</v>
      </c>
      <c r="M4695" t="s">
        <v>146</v>
      </c>
      <c r="N4695">
        <v>721</v>
      </c>
      <c r="O4695" s="2">
        <v>46203</v>
      </c>
      <c r="P4695" s="2">
        <v>46258</v>
      </c>
      <c r="R4695" t="s">
        <v>11974</v>
      </c>
      <c r="S4695" t="str">
        <f>"00013031"</f>
        <v>00013031</v>
      </c>
      <c r="T4695" t="s">
        <v>41</v>
      </c>
      <c r="U4695">
        <v>13334.04</v>
      </c>
      <c r="V4695">
        <v>13334.04</v>
      </c>
      <c r="W4695">
        <v>13334.04</v>
      </c>
      <c r="X4695">
        <v>0</v>
      </c>
      <c r="Y4695">
        <v>0</v>
      </c>
      <c r="Z4695">
        <v>-483</v>
      </c>
      <c r="AA4695" t="s">
        <v>11975</v>
      </c>
      <c r="AD4695" t="s">
        <v>6493</v>
      </c>
      <c r="AE4695" t="s">
        <v>11972</v>
      </c>
      <c r="AF4695" t="s">
        <v>6493</v>
      </c>
      <c r="AG4695">
        <v>41282461000181</v>
      </c>
      <c r="AH4695" t="s">
        <v>3024</v>
      </c>
    </row>
    <row r="4696" spans="1:34" x14ac:dyDescent="0.3">
      <c r="A4696">
        <v>106</v>
      </c>
      <c r="B4696" t="s">
        <v>34</v>
      </c>
      <c r="C4696">
        <v>2</v>
      </c>
      <c r="D4696" s="1" t="s">
        <v>11973</v>
      </c>
      <c r="E4696" s="1" t="s">
        <v>116</v>
      </c>
      <c r="G4696">
        <v>602</v>
      </c>
      <c r="H4696" t="s">
        <v>11968</v>
      </c>
      <c r="I4696" t="s">
        <v>11969</v>
      </c>
      <c r="J4696">
        <v>15</v>
      </c>
      <c r="K4696">
        <v>602</v>
      </c>
      <c r="L4696">
        <v>50341</v>
      </c>
      <c r="M4696" t="s">
        <v>146</v>
      </c>
      <c r="N4696">
        <v>721</v>
      </c>
      <c r="O4696" s="2">
        <v>46203</v>
      </c>
      <c r="P4696" s="2">
        <v>46268</v>
      </c>
      <c r="R4696" t="s">
        <v>11974</v>
      </c>
      <c r="S4696" t="str">
        <f>"00013032"</f>
        <v>00013032</v>
      </c>
      <c r="T4696" t="s">
        <v>41</v>
      </c>
      <c r="U4696">
        <v>13338.03</v>
      </c>
      <c r="V4696">
        <v>13338.03</v>
      </c>
      <c r="W4696">
        <v>13338.03</v>
      </c>
      <c r="X4696">
        <v>0</v>
      </c>
      <c r="Y4696">
        <v>0</v>
      </c>
      <c r="Z4696">
        <v>-493</v>
      </c>
      <c r="AA4696" t="s">
        <v>11975</v>
      </c>
      <c r="AD4696" t="s">
        <v>6493</v>
      </c>
      <c r="AE4696" t="s">
        <v>11972</v>
      </c>
      <c r="AF4696" t="s">
        <v>6493</v>
      </c>
      <c r="AG4696">
        <v>41282461000181</v>
      </c>
      <c r="AH4696" t="s">
        <v>3024</v>
      </c>
    </row>
    <row r="4697" spans="1:34" x14ac:dyDescent="0.3">
      <c r="A4697">
        <v>106</v>
      </c>
      <c r="B4697" t="s">
        <v>34</v>
      </c>
      <c r="C4697">
        <v>2</v>
      </c>
      <c r="D4697" s="1" t="s">
        <v>11976</v>
      </c>
      <c r="E4697" s="1" t="s">
        <v>36</v>
      </c>
      <c r="G4697">
        <v>464428</v>
      </c>
      <c r="H4697" t="s">
        <v>11977</v>
      </c>
      <c r="I4697" t="s">
        <v>11978</v>
      </c>
      <c r="J4697">
        <v>15</v>
      </c>
      <c r="K4697">
        <v>461145</v>
      </c>
      <c r="L4697">
        <v>50341</v>
      </c>
      <c r="M4697" t="s">
        <v>146</v>
      </c>
      <c r="N4697">
        <v>721</v>
      </c>
      <c r="O4697" s="2">
        <v>46233</v>
      </c>
      <c r="P4697" s="2">
        <v>46263</v>
      </c>
      <c r="R4697" t="s">
        <v>11979</v>
      </c>
      <c r="S4697" t="str">
        <f>"00013392"</f>
        <v>00013392</v>
      </c>
      <c r="T4697" t="s">
        <v>41</v>
      </c>
      <c r="U4697">
        <v>45982.31</v>
      </c>
      <c r="V4697">
        <v>45982.31</v>
      </c>
      <c r="W4697">
        <v>45982.31</v>
      </c>
      <c r="X4697">
        <v>0</v>
      </c>
      <c r="Y4697">
        <v>0</v>
      </c>
      <c r="Z4697">
        <v>-488</v>
      </c>
      <c r="AA4697" t="s">
        <v>11980</v>
      </c>
      <c r="AD4697" t="s">
        <v>6493</v>
      </c>
      <c r="AE4697" t="s">
        <v>11981</v>
      </c>
      <c r="AF4697" t="s">
        <v>6493</v>
      </c>
      <c r="AG4697">
        <v>50760633000176</v>
      </c>
      <c r="AH4697" t="s">
        <v>3024</v>
      </c>
    </row>
    <row r="4698" spans="1:34" x14ac:dyDescent="0.3">
      <c r="A4698">
        <v>104</v>
      </c>
      <c r="B4698" t="s">
        <v>34</v>
      </c>
      <c r="C4698">
        <v>4</v>
      </c>
      <c r="D4698" s="1" t="s">
        <v>11982</v>
      </c>
      <c r="E4698" s="1" t="s">
        <v>36</v>
      </c>
      <c r="G4698">
        <v>464428</v>
      </c>
      <c r="H4698" t="s">
        <v>11977</v>
      </c>
      <c r="I4698" t="s">
        <v>11978</v>
      </c>
      <c r="J4698">
        <v>15</v>
      </c>
      <c r="K4698">
        <v>461145</v>
      </c>
      <c r="L4698">
        <v>50341</v>
      </c>
      <c r="M4698" t="s">
        <v>146</v>
      </c>
      <c r="N4698">
        <v>721</v>
      </c>
      <c r="O4698" s="2">
        <v>46233</v>
      </c>
      <c r="P4698" s="2">
        <v>46265</v>
      </c>
      <c r="R4698" t="s">
        <v>11983</v>
      </c>
      <c r="S4698" t="str">
        <f>"00013382"</f>
        <v>00013382</v>
      </c>
      <c r="T4698" t="s">
        <v>41</v>
      </c>
      <c r="U4698">
        <v>28986.13</v>
      </c>
      <c r="V4698">
        <v>28986.13</v>
      </c>
      <c r="W4698">
        <v>28986.13</v>
      </c>
      <c r="X4698">
        <v>0</v>
      </c>
      <c r="Y4698">
        <v>0</v>
      </c>
      <c r="Z4698">
        <v>-490</v>
      </c>
      <c r="AA4698" t="s">
        <v>11984</v>
      </c>
      <c r="AD4698" t="s">
        <v>6493</v>
      </c>
      <c r="AE4698" t="s">
        <v>11981</v>
      </c>
      <c r="AF4698" t="s">
        <v>6493</v>
      </c>
      <c r="AG4698">
        <v>50760633000176</v>
      </c>
      <c r="AH4698" t="s">
        <v>3024</v>
      </c>
    </row>
    <row r="4699" spans="1:34" x14ac:dyDescent="0.3">
      <c r="A4699">
        <v>101</v>
      </c>
      <c r="B4699" t="s">
        <v>34</v>
      </c>
      <c r="C4699">
        <v>2</v>
      </c>
      <c r="D4699" s="1" t="s">
        <v>11985</v>
      </c>
      <c r="E4699" s="1" t="s">
        <v>122</v>
      </c>
      <c r="G4699">
        <v>470910</v>
      </c>
      <c r="H4699" t="s">
        <v>11986</v>
      </c>
      <c r="I4699" t="s">
        <v>11987</v>
      </c>
      <c r="J4699">
        <v>12</v>
      </c>
      <c r="K4699">
        <v>470910</v>
      </c>
      <c r="L4699">
        <v>50001</v>
      </c>
      <c r="M4699" t="s">
        <v>39</v>
      </c>
      <c r="N4699">
        <v>722</v>
      </c>
      <c r="O4699" s="2">
        <v>46203</v>
      </c>
      <c r="P4699" s="2">
        <v>46238</v>
      </c>
      <c r="R4699" t="s">
        <v>11988</v>
      </c>
      <c r="S4699" t="str">
        <f>"25666160000051307"</f>
        <v>25666160000051307</v>
      </c>
      <c r="T4699" t="s">
        <v>41</v>
      </c>
      <c r="U4699">
        <v>851.84</v>
      </c>
      <c r="V4699">
        <v>851.84</v>
      </c>
      <c r="W4699">
        <v>851.84</v>
      </c>
      <c r="X4699">
        <v>0</v>
      </c>
      <c r="Y4699">
        <v>0</v>
      </c>
      <c r="Z4699">
        <v>-463</v>
      </c>
      <c r="AA4699">
        <v>946</v>
      </c>
      <c r="AD4699" t="s">
        <v>11989</v>
      </c>
      <c r="AE4699" t="s">
        <v>11990</v>
      </c>
      <c r="AF4699" t="s">
        <v>11989</v>
      </c>
      <c r="AG4699">
        <v>37082339000194</v>
      </c>
      <c r="AH4699" t="s">
        <v>423</v>
      </c>
    </row>
    <row r="4700" spans="1:34" x14ac:dyDescent="0.3">
      <c r="A4700">
        <v>101</v>
      </c>
      <c r="B4700" t="s">
        <v>34</v>
      </c>
      <c r="C4700">
        <v>2</v>
      </c>
      <c r="D4700" s="1" t="s">
        <v>11991</v>
      </c>
      <c r="E4700" s="1" t="s">
        <v>122</v>
      </c>
      <c r="G4700">
        <v>470946</v>
      </c>
      <c r="H4700" t="s">
        <v>11992</v>
      </c>
      <c r="I4700" t="s">
        <v>11993</v>
      </c>
      <c r="J4700">
        <v>12</v>
      </c>
      <c r="K4700">
        <v>470946</v>
      </c>
      <c r="L4700">
        <v>50001</v>
      </c>
      <c r="M4700" t="s">
        <v>39</v>
      </c>
      <c r="N4700">
        <v>722</v>
      </c>
      <c r="O4700" s="2">
        <v>46203</v>
      </c>
      <c r="P4700" s="2">
        <v>46259</v>
      </c>
      <c r="R4700" t="s">
        <v>11994</v>
      </c>
      <c r="S4700" t="str">
        <f>"25666160000051316"</f>
        <v>25666160000051316</v>
      </c>
      <c r="T4700" t="s">
        <v>41</v>
      </c>
      <c r="U4700">
        <v>1539.6</v>
      </c>
      <c r="V4700">
        <v>1539.6</v>
      </c>
      <c r="W4700">
        <v>1539.6</v>
      </c>
      <c r="X4700">
        <v>0</v>
      </c>
      <c r="Y4700">
        <v>0</v>
      </c>
      <c r="Z4700">
        <v>-484</v>
      </c>
      <c r="AA4700">
        <v>983</v>
      </c>
      <c r="AD4700" t="s">
        <v>11995</v>
      </c>
      <c r="AE4700" t="s">
        <v>11996</v>
      </c>
      <c r="AF4700" t="s">
        <v>11995</v>
      </c>
      <c r="AG4700">
        <v>18856321000158</v>
      </c>
      <c r="AH4700" t="s">
        <v>423</v>
      </c>
    </row>
    <row r="4701" spans="1:34" x14ac:dyDescent="0.3">
      <c r="A4701">
        <v>101</v>
      </c>
      <c r="B4701" t="s">
        <v>34</v>
      </c>
      <c r="C4701">
        <v>2</v>
      </c>
      <c r="D4701" s="1" t="s">
        <v>11997</v>
      </c>
      <c r="E4701" s="1" t="s">
        <v>116</v>
      </c>
      <c r="G4701">
        <v>470994</v>
      </c>
      <c r="H4701" t="s">
        <v>11998</v>
      </c>
      <c r="I4701" t="s">
        <v>11999</v>
      </c>
      <c r="J4701">
        <v>12</v>
      </c>
      <c r="K4701">
        <v>470994</v>
      </c>
      <c r="L4701">
        <v>50001</v>
      </c>
      <c r="M4701" t="s">
        <v>39</v>
      </c>
      <c r="N4701">
        <v>722</v>
      </c>
      <c r="O4701" s="2">
        <v>46218</v>
      </c>
      <c r="P4701" s="2">
        <v>46260</v>
      </c>
      <c r="R4701" t="s">
        <v>12000</v>
      </c>
      <c r="S4701" t="str">
        <f>"25666160000051483"</f>
        <v>25666160000051483</v>
      </c>
      <c r="T4701" t="s">
        <v>41</v>
      </c>
      <c r="U4701">
        <v>1074.02</v>
      </c>
      <c r="V4701">
        <v>1074.02</v>
      </c>
      <c r="W4701">
        <v>1074.02</v>
      </c>
      <c r="X4701">
        <v>0</v>
      </c>
      <c r="Y4701">
        <v>0</v>
      </c>
      <c r="Z4701">
        <v>-485</v>
      </c>
      <c r="AA4701">
        <v>1089</v>
      </c>
      <c r="AD4701" t="s">
        <v>6866</v>
      </c>
      <c r="AE4701" t="s">
        <v>12001</v>
      </c>
      <c r="AF4701" t="s">
        <v>6866</v>
      </c>
      <c r="AG4701" s="1" t="s">
        <v>12002</v>
      </c>
      <c r="AH4701" t="s">
        <v>423</v>
      </c>
    </row>
    <row r="4702" spans="1:34" x14ac:dyDescent="0.3">
      <c r="A4702">
        <v>101</v>
      </c>
      <c r="B4702" t="s">
        <v>34</v>
      </c>
      <c r="C4702">
        <v>2</v>
      </c>
      <c r="D4702" s="1" t="s">
        <v>12003</v>
      </c>
      <c r="E4702" s="1" t="s">
        <v>36</v>
      </c>
      <c r="G4702">
        <v>471015</v>
      </c>
      <c r="H4702" t="s">
        <v>12004</v>
      </c>
      <c r="I4702" t="s">
        <v>12005</v>
      </c>
      <c r="J4702">
        <v>12</v>
      </c>
      <c r="K4702">
        <v>471015</v>
      </c>
      <c r="L4702">
        <v>50001</v>
      </c>
      <c r="M4702" t="s">
        <v>39</v>
      </c>
      <c r="N4702">
        <v>722</v>
      </c>
      <c r="O4702" s="2">
        <v>46219</v>
      </c>
      <c r="P4702" s="2">
        <v>46259</v>
      </c>
      <c r="R4702" t="s">
        <v>12006</v>
      </c>
      <c r="S4702" t="str">
        <f>"25666160000051488"</f>
        <v>25666160000051488</v>
      </c>
      <c r="T4702" t="s">
        <v>41</v>
      </c>
      <c r="U4702">
        <v>711.91</v>
      </c>
      <c r="V4702">
        <v>711.91</v>
      </c>
      <c r="W4702">
        <v>711.91</v>
      </c>
      <c r="X4702">
        <v>0</v>
      </c>
      <c r="Y4702">
        <v>0</v>
      </c>
      <c r="Z4702">
        <v>-484</v>
      </c>
      <c r="AA4702">
        <v>1178</v>
      </c>
      <c r="AD4702" t="s">
        <v>6866</v>
      </c>
      <c r="AE4702" t="s">
        <v>12007</v>
      </c>
      <c r="AF4702" t="s">
        <v>6866</v>
      </c>
      <c r="AG4702">
        <v>10686185000193</v>
      </c>
      <c r="AH4702" t="s">
        <v>423</v>
      </c>
    </row>
    <row r="4703" spans="1:34" x14ac:dyDescent="0.3">
      <c r="A4703">
        <v>101</v>
      </c>
      <c r="B4703" t="s">
        <v>34</v>
      </c>
      <c r="C4703">
        <v>2</v>
      </c>
      <c r="D4703" s="1" t="s">
        <v>12003</v>
      </c>
      <c r="E4703" s="1" t="s">
        <v>122</v>
      </c>
      <c r="G4703">
        <v>471015</v>
      </c>
      <c r="H4703" t="s">
        <v>12004</v>
      </c>
      <c r="I4703" t="s">
        <v>12005</v>
      </c>
      <c r="J4703">
        <v>12</v>
      </c>
      <c r="K4703">
        <v>471015</v>
      </c>
      <c r="L4703">
        <v>50001</v>
      </c>
      <c r="M4703" t="s">
        <v>39</v>
      </c>
      <c r="N4703">
        <v>722</v>
      </c>
      <c r="O4703" s="2">
        <v>46219</v>
      </c>
      <c r="P4703" s="2">
        <v>46266</v>
      </c>
      <c r="R4703" t="s">
        <v>12006</v>
      </c>
      <c r="S4703" t="str">
        <f>"25666160000051489"</f>
        <v>25666160000051489</v>
      </c>
      <c r="T4703" t="s">
        <v>41</v>
      </c>
      <c r="U4703">
        <v>695.5</v>
      </c>
      <c r="V4703">
        <v>695.5</v>
      </c>
      <c r="W4703">
        <v>695.5</v>
      </c>
      <c r="X4703">
        <v>0</v>
      </c>
      <c r="Y4703">
        <v>0</v>
      </c>
      <c r="Z4703">
        <v>-491</v>
      </c>
      <c r="AA4703">
        <v>1178</v>
      </c>
      <c r="AD4703" t="s">
        <v>6866</v>
      </c>
      <c r="AE4703" t="s">
        <v>12007</v>
      </c>
      <c r="AF4703" t="s">
        <v>6866</v>
      </c>
      <c r="AG4703">
        <v>10686185000193</v>
      </c>
      <c r="AH4703" t="s">
        <v>423</v>
      </c>
    </row>
    <row r="4704" spans="1:34" x14ac:dyDescent="0.3">
      <c r="A4704">
        <v>101</v>
      </c>
      <c r="B4704" t="s">
        <v>34</v>
      </c>
      <c r="C4704">
        <v>2</v>
      </c>
      <c r="D4704" s="1" t="s">
        <v>12003</v>
      </c>
      <c r="E4704" s="1" t="s">
        <v>116</v>
      </c>
      <c r="G4704">
        <v>471015</v>
      </c>
      <c r="H4704" t="s">
        <v>12004</v>
      </c>
      <c r="I4704" t="s">
        <v>12005</v>
      </c>
      <c r="J4704">
        <v>12</v>
      </c>
      <c r="K4704">
        <v>471015</v>
      </c>
      <c r="L4704">
        <v>50001</v>
      </c>
      <c r="M4704" t="s">
        <v>39</v>
      </c>
      <c r="N4704">
        <v>722</v>
      </c>
      <c r="O4704" s="2">
        <v>46219</v>
      </c>
      <c r="P4704" s="2">
        <v>46273</v>
      </c>
      <c r="R4704" t="s">
        <v>12006</v>
      </c>
      <c r="S4704" t="str">
        <f>"25666160000051490"</f>
        <v>25666160000051490</v>
      </c>
      <c r="T4704" t="s">
        <v>41</v>
      </c>
      <c r="U4704">
        <v>695.71</v>
      </c>
      <c r="V4704">
        <v>695.71</v>
      </c>
      <c r="W4704">
        <v>695.71</v>
      </c>
      <c r="X4704">
        <v>0</v>
      </c>
      <c r="Y4704">
        <v>0</v>
      </c>
      <c r="Z4704">
        <v>-498</v>
      </c>
      <c r="AA4704">
        <v>1178</v>
      </c>
      <c r="AD4704" t="s">
        <v>6866</v>
      </c>
      <c r="AE4704" t="s">
        <v>12007</v>
      </c>
      <c r="AF4704" t="s">
        <v>6866</v>
      </c>
      <c r="AG4704">
        <v>10686185000193</v>
      </c>
      <c r="AH4704" t="s">
        <v>423</v>
      </c>
    </row>
    <row r="4705" spans="1:34" x14ac:dyDescent="0.3">
      <c r="A4705">
        <v>101</v>
      </c>
      <c r="B4705" t="s">
        <v>34</v>
      </c>
      <c r="C4705">
        <v>2</v>
      </c>
      <c r="D4705" s="1" t="s">
        <v>12008</v>
      </c>
      <c r="E4705" s="1" t="s">
        <v>36</v>
      </c>
      <c r="G4705">
        <v>471068</v>
      </c>
      <c r="H4705" t="s">
        <v>12009</v>
      </c>
      <c r="I4705" t="s">
        <v>12010</v>
      </c>
      <c r="J4705">
        <v>12</v>
      </c>
      <c r="K4705">
        <v>471068</v>
      </c>
      <c r="L4705">
        <v>50001</v>
      </c>
      <c r="M4705" t="s">
        <v>39</v>
      </c>
      <c r="N4705">
        <v>722</v>
      </c>
      <c r="O4705" s="2">
        <v>46224</v>
      </c>
      <c r="P4705" s="2">
        <v>46259</v>
      </c>
      <c r="R4705" t="s">
        <v>12011</v>
      </c>
      <c r="S4705" t="str">
        <f>"25666160000051507"</f>
        <v>25666160000051507</v>
      </c>
      <c r="T4705" t="s">
        <v>41</v>
      </c>
      <c r="U4705">
        <v>3271.44</v>
      </c>
      <c r="V4705">
        <v>3271.44</v>
      </c>
      <c r="W4705">
        <v>3271.44</v>
      </c>
      <c r="X4705">
        <v>0</v>
      </c>
      <c r="Y4705">
        <v>0</v>
      </c>
      <c r="Z4705">
        <v>-484</v>
      </c>
      <c r="AA4705">
        <v>1352</v>
      </c>
      <c r="AD4705" t="s">
        <v>12012</v>
      </c>
      <c r="AE4705" t="s">
        <v>12013</v>
      </c>
      <c r="AF4705" t="s">
        <v>12012</v>
      </c>
      <c r="AG4705">
        <v>22102554000132</v>
      </c>
      <c r="AH4705" t="s">
        <v>423</v>
      </c>
    </row>
    <row r="4706" spans="1:34" x14ac:dyDescent="0.3">
      <c r="A4706">
        <v>101</v>
      </c>
      <c r="B4706" t="s">
        <v>34</v>
      </c>
      <c r="C4706">
        <v>2</v>
      </c>
      <c r="D4706" s="1" t="s">
        <v>12014</v>
      </c>
      <c r="E4706" s="1" t="s">
        <v>116</v>
      </c>
      <c r="G4706">
        <v>471082</v>
      </c>
      <c r="H4706" t="s">
        <v>12015</v>
      </c>
      <c r="I4706" t="s">
        <v>12016</v>
      </c>
      <c r="J4706">
        <v>12</v>
      </c>
      <c r="K4706">
        <v>471082</v>
      </c>
      <c r="L4706">
        <v>50001</v>
      </c>
      <c r="M4706" t="s">
        <v>39</v>
      </c>
      <c r="N4706">
        <v>722</v>
      </c>
      <c r="O4706" s="2">
        <v>46226</v>
      </c>
      <c r="P4706" s="2">
        <v>46279</v>
      </c>
      <c r="R4706" t="s">
        <v>12017</v>
      </c>
      <c r="S4706" t="str">
        <f>"25666160000051588"</f>
        <v>25666160000051588</v>
      </c>
      <c r="T4706" t="s">
        <v>41</v>
      </c>
      <c r="U4706">
        <v>941.27</v>
      </c>
      <c r="V4706">
        <v>941.27</v>
      </c>
      <c r="W4706">
        <v>941.27</v>
      </c>
      <c r="X4706">
        <v>0</v>
      </c>
      <c r="Y4706">
        <v>0</v>
      </c>
      <c r="Z4706">
        <v>-504</v>
      </c>
      <c r="AA4706">
        <v>1610</v>
      </c>
      <c r="AD4706" t="s">
        <v>12018</v>
      </c>
      <c r="AE4706" t="s">
        <v>12019</v>
      </c>
      <c r="AF4706" t="s">
        <v>12018</v>
      </c>
      <c r="AG4706">
        <v>46752009000150</v>
      </c>
      <c r="AH4706" t="s">
        <v>423</v>
      </c>
    </row>
    <row r="4707" spans="1:34" x14ac:dyDescent="0.3">
      <c r="A4707">
        <v>101</v>
      </c>
      <c r="B4707" t="s">
        <v>34</v>
      </c>
      <c r="C4707">
        <v>2</v>
      </c>
      <c r="D4707" s="1" t="s">
        <v>12014</v>
      </c>
      <c r="E4707" s="1" t="s">
        <v>122</v>
      </c>
      <c r="G4707">
        <v>471082</v>
      </c>
      <c r="H4707" t="s">
        <v>12015</v>
      </c>
      <c r="I4707" t="s">
        <v>12016</v>
      </c>
      <c r="J4707">
        <v>12</v>
      </c>
      <c r="K4707">
        <v>471082</v>
      </c>
      <c r="L4707">
        <v>50001</v>
      </c>
      <c r="M4707" t="s">
        <v>39</v>
      </c>
      <c r="N4707">
        <v>722</v>
      </c>
      <c r="O4707" s="2">
        <v>46226</v>
      </c>
      <c r="P4707" s="2">
        <v>46272</v>
      </c>
      <c r="R4707" t="s">
        <v>12017</v>
      </c>
      <c r="S4707" t="str">
        <f>"25666160000051587"</f>
        <v>25666160000051587</v>
      </c>
      <c r="T4707" t="s">
        <v>41</v>
      </c>
      <c r="U4707">
        <v>941</v>
      </c>
      <c r="V4707">
        <v>941</v>
      </c>
      <c r="W4707">
        <v>941</v>
      </c>
      <c r="X4707">
        <v>0</v>
      </c>
      <c r="Y4707">
        <v>0</v>
      </c>
      <c r="Z4707">
        <v>-497</v>
      </c>
      <c r="AA4707">
        <v>1610</v>
      </c>
      <c r="AD4707" t="s">
        <v>12018</v>
      </c>
      <c r="AE4707" t="s">
        <v>12019</v>
      </c>
      <c r="AF4707" t="s">
        <v>12018</v>
      </c>
      <c r="AG4707">
        <v>46752009000150</v>
      </c>
      <c r="AH4707" t="s">
        <v>423</v>
      </c>
    </row>
    <row r="4708" spans="1:34" x14ac:dyDescent="0.3">
      <c r="A4708">
        <v>101</v>
      </c>
      <c r="B4708" t="s">
        <v>34</v>
      </c>
      <c r="C4708">
        <v>2</v>
      </c>
      <c r="D4708" s="1" t="s">
        <v>12014</v>
      </c>
      <c r="E4708" s="1" t="s">
        <v>36</v>
      </c>
      <c r="G4708">
        <v>471082</v>
      </c>
      <c r="H4708" t="s">
        <v>12015</v>
      </c>
      <c r="I4708" t="s">
        <v>12016</v>
      </c>
      <c r="J4708">
        <v>12</v>
      </c>
      <c r="K4708">
        <v>471082</v>
      </c>
      <c r="L4708">
        <v>50001</v>
      </c>
      <c r="M4708" t="s">
        <v>39</v>
      </c>
      <c r="N4708">
        <v>722</v>
      </c>
      <c r="O4708" s="2">
        <v>46226</v>
      </c>
      <c r="P4708" s="2">
        <v>46265</v>
      </c>
      <c r="R4708" t="s">
        <v>12017</v>
      </c>
      <c r="S4708" t="str">
        <f>"25666160000051586"</f>
        <v>25666160000051586</v>
      </c>
      <c r="T4708" t="s">
        <v>41</v>
      </c>
      <c r="U4708">
        <v>941</v>
      </c>
      <c r="V4708">
        <v>941</v>
      </c>
      <c r="W4708">
        <v>941</v>
      </c>
      <c r="X4708">
        <v>0</v>
      </c>
      <c r="Y4708">
        <v>0</v>
      </c>
      <c r="Z4708">
        <v>-490</v>
      </c>
      <c r="AA4708">
        <v>1610</v>
      </c>
      <c r="AD4708" t="s">
        <v>12018</v>
      </c>
      <c r="AE4708" t="s">
        <v>12019</v>
      </c>
      <c r="AF4708" t="s">
        <v>12018</v>
      </c>
      <c r="AG4708">
        <v>46752009000150</v>
      </c>
      <c r="AH4708" t="s">
        <v>423</v>
      </c>
    </row>
    <row r="4709" spans="1:34" x14ac:dyDescent="0.3">
      <c r="A4709">
        <v>101</v>
      </c>
      <c r="B4709" t="s">
        <v>34</v>
      </c>
      <c r="C4709">
        <v>2</v>
      </c>
      <c r="D4709" s="1" t="s">
        <v>12020</v>
      </c>
      <c r="E4709" s="1" t="s">
        <v>116</v>
      </c>
      <c r="G4709">
        <v>471145</v>
      </c>
      <c r="H4709" t="s">
        <v>12021</v>
      </c>
      <c r="I4709" t="s">
        <v>12022</v>
      </c>
      <c r="J4709">
        <v>12</v>
      </c>
      <c r="K4709">
        <v>471145</v>
      </c>
      <c r="L4709">
        <v>50001</v>
      </c>
      <c r="M4709" t="s">
        <v>39</v>
      </c>
      <c r="N4709">
        <v>722</v>
      </c>
      <c r="O4709" s="2">
        <v>46239</v>
      </c>
      <c r="P4709" s="2">
        <v>46281</v>
      </c>
      <c r="R4709" t="s">
        <v>12023</v>
      </c>
      <c r="S4709" t="str">
        <f>"25666160000051819"</f>
        <v>25666160000051819</v>
      </c>
      <c r="T4709" t="s">
        <v>41</v>
      </c>
      <c r="U4709">
        <v>2342.65</v>
      </c>
      <c r="V4709">
        <v>2342.65</v>
      </c>
      <c r="W4709">
        <v>2342.65</v>
      </c>
      <c r="X4709">
        <v>0</v>
      </c>
      <c r="Y4709">
        <v>0</v>
      </c>
      <c r="Z4709">
        <v>-506</v>
      </c>
      <c r="AA4709">
        <v>4318</v>
      </c>
      <c r="AD4709" t="s">
        <v>6891</v>
      </c>
      <c r="AE4709" t="s">
        <v>12024</v>
      </c>
      <c r="AF4709" t="s">
        <v>6891</v>
      </c>
      <c r="AG4709">
        <v>26707258000116</v>
      </c>
      <c r="AH4709" t="s">
        <v>423</v>
      </c>
    </row>
    <row r="4710" spans="1:34" x14ac:dyDescent="0.3">
      <c r="A4710">
        <v>101</v>
      </c>
      <c r="B4710" t="s">
        <v>34</v>
      </c>
      <c r="C4710">
        <v>2</v>
      </c>
      <c r="D4710" s="1" t="s">
        <v>12020</v>
      </c>
      <c r="E4710" s="1" t="s">
        <v>122</v>
      </c>
      <c r="G4710">
        <v>471145</v>
      </c>
      <c r="H4710" t="s">
        <v>12021</v>
      </c>
      <c r="I4710" t="s">
        <v>12022</v>
      </c>
      <c r="J4710">
        <v>12</v>
      </c>
      <c r="K4710">
        <v>471145</v>
      </c>
      <c r="L4710">
        <v>50001</v>
      </c>
      <c r="M4710" t="s">
        <v>39</v>
      </c>
      <c r="N4710">
        <v>722</v>
      </c>
      <c r="O4710" s="2">
        <v>46239</v>
      </c>
      <c r="P4710" s="2">
        <v>46274</v>
      </c>
      <c r="R4710" t="s">
        <v>12023</v>
      </c>
      <c r="S4710" t="str">
        <f>"25666160000051818"</f>
        <v>25666160000051818</v>
      </c>
      <c r="T4710" t="s">
        <v>41</v>
      </c>
      <c r="U4710">
        <v>2341.96</v>
      </c>
      <c r="V4710">
        <v>2341.96</v>
      </c>
      <c r="W4710">
        <v>2341.96</v>
      </c>
      <c r="X4710">
        <v>0</v>
      </c>
      <c r="Y4710">
        <v>0</v>
      </c>
      <c r="Z4710">
        <v>-499</v>
      </c>
      <c r="AA4710">
        <v>4318</v>
      </c>
      <c r="AD4710" t="s">
        <v>6891</v>
      </c>
      <c r="AE4710" t="s">
        <v>12024</v>
      </c>
      <c r="AF4710" t="s">
        <v>6891</v>
      </c>
      <c r="AG4710">
        <v>26707258000116</v>
      </c>
      <c r="AH4710" t="s">
        <v>423</v>
      </c>
    </row>
    <row r="4711" spans="1:34" x14ac:dyDescent="0.3">
      <c r="A4711">
        <v>101</v>
      </c>
      <c r="B4711" t="s">
        <v>34</v>
      </c>
      <c r="C4711">
        <v>2</v>
      </c>
      <c r="D4711" s="1" t="s">
        <v>12020</v>
      </c>
      <c r="E4711" s="1" t="s">
        <v>36</v>
      </c>
      <c r="G4711">
        <v>471145</v>
      </c>
      <c r="H4711" t="s">
        <v>12021</v>
      </c>
      <c r="I4711" t="s">
        <v>12022</v>
      </c>
      <c r="J4711">
        <v>12</v>
      </c>
      <c r="K4711">
        <v>471145</v>
      </c>
      <c r="L4711">
        <v>50001</v>
      </c>
      <c r="M4711" t="s">
        <v>39</v>
      </c>
      <c r="N4711">
        <v>722</v>
      </c>
      <c r="O4711" s="2">
        <v>46239</v>
      </c>
      <c r="P4711" s="2">
        <v>46267</v>
      </c>
      <c r="R4711" t="s">
        <v>12023</v>
      </c>
      <c r="S4711" t="str">
        <f>"25666160000051817"</f>
        <v>25666160000051817</v>
      </c>
      <c r="T4711" t="s">
        <v>41</v>
      </c>
      <c r="U4711">
        <v>2405.92</v>
      </c>
      <c r="V4711">
        <v>2405.92</v>
      </c>
      <c r="W4711">
        <v>2405.92</v>
      </c>
      <c r="X4711">
        <v>0</v>
      </c>
      <c r="Y4711">
        <v>0</v>
      </c>
      <c r="Z4711">
        <v>-492</v>
      </c>
      <c r="AA4711">
        <v>4318</v>
      </c>
      <c r="AD4711" t="s">
        <v>6891</v>
      </c>
      <c r="AE4711" t="s">
        <v>12024</v>
      </c>
      <c r="AF4711" t="s">
        <v>6891</v>
      </c>
      <c r="AG4711">
        <v>26707258000116</v>
      </c>
      <c r="AH4711" t="s">
        <v>423</v>
      </c>
    </row>
    <row r="4712" spans="1:34" x14ac:dyDescent="0.3">
      <c r="A4712">
        <v>101</v>
      </c>
      <c r="B4712" t="s">
        <v>34</v>
      </c>
      <c r="C4712">
        <v>2</v>
      </c>
      <c r="D4712" s="1" t="s">
        <v>12025</v>
      </c>
      <c r="E4712" s="1" t="s">
        <v>122</v>
      </c>
      <c r="G4712">
        <v>999001904</v>
      </c>
      <c r="H4712" t="s">
        <v>12026</v>
      </c>
      <c r="I4712" t="s">
        <v>12027</v>
      </c>
      <c r="J4712">
        <v>12</v>
      </c>
      <c r="K4712">
        <v>999001904</v>
      </c>
      <c r="L4712">
        <v>50001</v>
      </c>
      <c r="M4712" t="s">
        <v>39</v>
      </c>
      <c r="N4712">
        <v>722</v>
      </c>
      <c r="O4712" s="2">
        <v>46225</v>
      </c>
      <c r="P4712" s="2">
        <v>46260</v>
      </c>
      <c r="R4712" t="s">
        <v>12028</v>
      </c>
      <c r="S4712" t="str">
        <f>"25666160000051553"</f>
        <v>25666160000051553</v>
      </c>
      <c r="T4712" t="s">
        <v>41</v>
      </c>
      <c r="U4712">
        <v>2112.61</v>
      </c>
      <c r="V4712">
        <v>2112.61</v>
      </c>
      <c r="W4712">
        <v>2112.61</v>
      </c>
      <c r="X4712">
        <v>0</v>
      </c>
      <c r="Y4712">
        <v>0</v>
      </c>
      <c r="Z4712">
        <v>-485</v>
      </c>
      <c r="AA4712">
        <v>1348</v>
      </c>
      <c r="AD4712" t="s">
        <v>12029</v>
      </c>
      <c r="AE4712" t="s">
        <v>12030</v>
      </c>
      <c r="AF4712" t="s">
        <v>12029</v>
      </c>
      <c r="AG4712">
        <v>37478591000117</v>
      </c>
      <c r="AH4712" t="s">
        <v>423</v>
      </c>
    </row>
    <row r="4713" spans="1:34" x14ac:dyDescent="0.3">
      <c r="A4713">
        <v>101</v>
      </c>
      <c r="B4713" t="s">
        <v>34</v>
      </c>
      <c r="C4713">
        <v>2</v>
      </c>
      <c r="D4713" s="1" t="s">
        <v>12025</v>
      </c>
      <c r="E4713" s="1" t="s">
        <v>116</v>
      </c>
      <c r="G4713">
        <v>999001904</v>
      </c>
      <c r="H4713" t="s">
        <v>12026</v>
      </c>
      <c r="I4713" t="s">
        <v>12027</v>
      </c>
      <c r="J4713">
        <v>12</v>
      </c>
      <c r="K4713">
        <v>999001904</v>
      </c>
      <c r="L4713">
        <v>50001</v>
      </c>
      <c r="M4713" t="s">
        <v>39</v>
      </c>
      <c r="N4713">
        <v>722</v>
      </c>
      <c r="O4713" s="2">
        <v>46225</v>
      </c>
      <c r="P4713" s="2">
        <v>46267</v>
      </c>
      <c r="R4713" t="s">
        <v>12028</v>
      </c>
      <c r="S4713" t="str">
        <f>"25666160000051554"</f>
        <v>25666160000051554</v>
      </c>
      <c r="T4713" t="s">
        <v>41</v>
      </c>
      <c r="U4713">
        <v>2113.25</v>
      </c>
      <c r="V4713">
        <v>2113.25</v>
      </c>
      <c r="W4713">
        <v>2113.25</v>
      </c>
      <c r="X4713">
        <v>0</v>
      </c>
      <c r="Y4713">
        <v>0</v>
      </c>
      <c r="Z4713">
        <v>-492</v>
      </c>
      <c r="AA4713">
        <v>1348</v>
      </c>
      <c r="AD4713" t="s">
        <v>12029</v>
      </c>
      <c r="AE4713" t="s">
        <v>12030</v>
      </c>
      <c r="AF4713" t="s">
        <v>12029</v>
      </c>
      <c r="AG4713">
        <v>37478591000117</v>
      </c>
      <c r="AH4713" t="s">
        <v>423</v>
      </c>
    </row>
    <row r="4714" spans="1:34" x14ac:dyDescent="0.3">
      <c r="A4714">
        <v>104</v>
      </c>
      <c r="B4714" t="s">
        <v>34</v>
      </c>
      <c r="C4714">
        <v>4</v>
      </c>
      <c r="D4714" s="1" t="s">
        <v>12031</v>
      </c>
      <c r="E4714" s="1" t="s">
        <v>36</v>
      </c>
      <c r="G4714">
        <v>12526</v>
      </c>
      <c r="H4714" t="s">
        <v>12032</v>
      </c>
      <c r="I4714" t="s">
        <v>12033</v>
      </c>
      <c r="J4714">
        <v>24</v>
      </c>
      <c r="K4714">
        <v>12526</v>
      </c>
      <c r="L4714">
        <v>50033</v>
      </c>
      <c r="M4714" t="s">
        <v>39</v>
      </c>
      <c r="N4714">
        <v>723</v>
      </c>
      <c r="O4714" s="2">
        <v>46223</v>
      </c>
      <c r="P4714" s="2">
        <v>46268</v>
      </c>
      <c r="R4714" t="s">
        <v>12034</v>
      </c>
      <c r="S4714" t="str">
        <f>"0000050410920"</f>
        <v>0000050410920</v>
      </c>
      <c r="T4714" t="s">
        <v>41</v>
      </c>
      <c r="U4714">
        <v>6799.86</v>
      </c>
      <c r="V4714">
        <v>6181.86</v>
      </c>
      <c r="W4714">
        <v>6181.86</v>
      </c>
      <c r="X4714">
        <v>0</v>
      </c>
      <c r="Y4714">
        <v>0</v>
      </c>
      <c r="Z4714">
        <v>-493</v>
      </c>
      <c r="AA4714">
        <v>694187</v>
      </c>
      <c r="AD4714" t="s">
        <v>12035</v>
      </c>
      <c r="AE4714" t="s">
        <v>12036</v>
      </c>
      <c r="AF4714" t="s">
        <v>12035</v>
      </c>
      <c r="AG4714">
        <v>28135184000116</v>
      </c>
      <c r="AH4714" t="s">
        <v>4686</v>
      </c>
    </row>
    <row r="4715" spans="1:34" x14ac:dyDescent="0.3">
      <c r="A4715">
        <v>104</v>
      </c>
      <c r="B4715" t="s">
        <v>34</v>
      </c>
      <c r="C4715">
        <v>4</v>
      </c>
      <c r="D4715" s="1" t="s">
        <v>12037</v>
      </c>
      <c r="E4715" s="1" t="s">
        <v>36</v>
      </c>
      <c r="G4715">
        <v>12526</v>
      </c>
      <c r="H4715" t="s">
        <v>12032</v>
      </c>
      <c r="I4715" t="s">
        <v>12033</v>
      </c>
      <c r="J4715">
        <v>24</v>
      </c>
      <c r="K4715">
        <v>12526</v>
      </c>
      <c r="L4715">
        <v>50033</v>
      </c>
      <c r="M4715" t="s">
        <v>39</v>
      </c>
      <c r="N4715">
        <v>723</v>
      </c>
      <c r="O4715" s="2">
        <v>46223</v>
      </c>
      <c r="P4715" s="2">
        <v>46268</v>
      </c>
      <c r="R4715" t="s">
        <v>12038</v>
      </c>
      <c r="S4715" t="str">
        <f>"0000050410938"</f>
        <v>0000050410938</v>
      </c>
      <c r="T4715" t="s">
        <v>41</v>
      </c>
      <c r="U4715">
        <v>56323.58</v>
      </c>
      <c r="V4715">
        <v>50604.58</v>
      </c>
      <c r="W4715">
        <v>50604.58</v>
      </c>
      <c r="X4715">
        <v>0</v>
      </c>
      <c r="Y4715">
        <v>0</v>
      </c>
      <c r="Z4715">
        <v>-493</v>
      </c>
      <c r="AA4715">
        <v>694155</v>
      </c>
      <c r="AD4715" t="s">
        <v>12035</v>
      </c>
      <c r="AE4715" t="s">
        <v>12036</v>
      </c>
      <c r="AF4715" t="s">
        <v>12035</v>
      </c>
      <c r="AG4715">
        <v>28135184000116</v>
      </c>
      <c r="AH4715" t="s">
        <v>4686</v>
      </c>
    </row>
    <row r="4716" spans="1:34" x14ac:dyDescent="0.3">
      <c r="A4716">
        <v>104</v>
      </c>
      <c r="B4716" t="s">
        <v>34</v>
      </c>
      <c r="C4716">
        <v>4</v>
      </c>
      <c r="D4716" s="1" t="s">
        <v>12039</v>
      </c>
      <c r="E4716" s="1" t="s">
        <v>36</v>
      </c>
      <c r="G4716">
        <v>12526</v>
      </c>
      <c r="H4716" t="s">
        <v>12032</v>
      </c>
      <c r="I4716" t="s">
        <v>12033</v>
      </c>
      <c r="J4716">
        <v>24</v>
      </c>
      <c r="K4716">
        <v>12526</v>
      </c>
      <c r="L4716">
        <v>50033</v>
      </c>
      <c r="M4716" t="s">
        <v>39</v>
      </c>
      <c r="N4716">
        <v>723</v>
      </c>
      <c r="O4716" s="2">
        <v>46245</v>
      </c>
      <c r="P4716" s="2">
        <v>46290</v>
      </c>
      <c r="R4716" t="s">
        <v>12040</v>
      </c>
      <c r="S4716" t="str">
        <f>"0000050413287"</f>
        <v>0000050413287</v>
      </c>
      <c r="T4716" t="s">
        <v>41</v>
      </c>
      <c r="U4716">
        <v>5184.59</v>
      </c>
      <c r="V4716">
        <v>4441.59</v>
      </c>
      <c r="W4716">
        <v>4441.59</v>
      </c>
      <c r="X4716">
        <v>0</v>
      </c>
      <c r="Y4716">
        <v>0</v>
      </c>
      <c r="Z4716">
        <v>-515</v>
      </c>
      <c r="AA4716">
        <v>1564</v>
      </c>
      <c r="AD4716" t="s">
        <v>12035</v>
      </c>
      <c r="AE4716" t="s">
        <v>12036</v>
      </c>
      <c r="AF4716" t="s">
        <v>12035</v>
      </c>
      <c r="AG4716">
        <v>28135184000116</v>
      </c>
      <c r="AH4716" t="s">
        <v>4686</v>
      </c>
    </row>
    <row r="4717" spans="1:34" x14ac:dyDescent="0.3">
      <c r="A4717">
        <v>104</v>
      </c>
      <c r="B4717" t="s">
        <v>34</v>
      </c>
      <c r="C4717">
        <v>4</v>
      </c>
      <c r="D4717" s="1" t="s">
        <v>12041</v>
      </c>
      <c r="E4717" s="1" t="s">
        <v>36</v>
      </c>
      <c r="G4717">
        <v>12526</v>
      </c>
      <c r="H4717" t="s">
        <v>12032</v>
      </c>
      <c r="I4717" t="s">
        <v>12033</v>
      </c>
      <c r="J4717">
        <v>24</v>
      </c>
      <c r="K4717">
        <v>12526</v>
      </c>
      <c r="L4717">
        <v>50033</v>
      </c>
      <c r="M4717" t="s">
        <v>39</v>
      </c>
      <c r="N4717">
        <v>723</v>
      </c>
      <c r="O4717" s="2">
        <v>46255</v>
      </c>
      <c r="P4717" s="2">
        <v>46300</v>
      </c>
      <c r="R4717" t="s">
        <v>12042</v>
      </c>
      <c r="S4717" t="str">
        <f>""</f>
        <v/>
      </c>
      <c r="T4717" t="s">
        <v>41</v>
      </c>
      <c r="U4717">
        <v>2739.24</v>
      </c>
      <c r="V4717">
        <v>2739.24</v>
      </c>
      <c r="W4717">
        <v>2739.24</v>
      </c>
      <c r="X4717">
        <v>0</v>
      </c>
      <c r="Y4717">
        <v>0</v>
      </c>
      <c r="Z4717">
        <v>-525</v>
      </c>
      <c r="AA4717">
        <v>1564</v>
      </c>
      <c r="AD4717" t="s">
        <v>12035</v>
      </c>
      <c r="AE4717" t="s">
        <v>12036</v>
      </c>
      <c r="AF4717" t="s">
        <v>12035</v>
      </c>
      <c r="AG4717">
        <v>28135184000116</v>
      </c>
      <c r="AH4717" t="s">
        <v>4686</v>
      </c>
    </row>
    <row r="4718" spans="1:34" x14ac:dyDescent="0.3">
      <c r="A4718">
        <v>104</v>
      </c>
      <c r="B4718" t="s">
        <v>34</v>
      </c>
      <c r="C4718">
        <v>4</v>
      </c>
      <c r="D4718" s="1" t="s">
        <v>12043</v>
      </c>
      <c r="E4718" s="1" t="s">
        <v>36</v>
      </c>
      <c r="G4718">
        <v>12526</v>
      </c>
      <c r="H4718" t="s">
        <v>12032</v>
      </c>
      <c r="I4718" t="s">
        <v>12033</v>
      </c>
      <c r="J4718">
        <v>24</v>
      </c>
      <c r="K4718">
        <v>12526</v>
      </c>
      <c r="L4718">
        <v>50033</v>
      </c>
      <c r="M4718" t="s">
        <v>39</v>
      </c>
      <c r="N4718">
        <v>723</v>
      </c>
      <c r="O4718" s="2">
        <v>46255</v>
      </c>
      <c r="P4718" s="2">
        <v>46315</v>
      </c>
      <c r="R4718" t="s">
        <v>12044</v>
      </c>
      <c r="S4718" t="str">
        <f>""</f>
        <v/>
      </c>
      <c r="T4718" t="s">
        <v>41</v>
      </c>
      <c r="U4718">
        <v>33904.620000000003</v>
      </c>
      <c r="V4718">
        <v>33904.620000000003</v>
      </c>
      <c r="W4718">
        <v>33904.620000000003</v>
      </c>
      <c r="X4718">
        <v>0</v>
      </c>
      <c r="Y4718">
        <v>0</v>
      </c>
      <c r="Z4718">
        <v>-540</v>
      </c>
      <c r="AA4718">
        <v>697285</v>
      </c>
      <c r="AD4718" t="s">
        <v>12035</v>
      </c>
      <c r="AE4718" t="s">
        <v>12036</v>
      </c>
      <c r="AF4718" t="s">
        <v>12035</v>
      </c>
      <c r="AG4718">
        <v>28135184000116</v>
      </c>
      <c r="AH4718" t="s">
        <v>4686</v>
      </c>
    </row>
    <row r="4719" spans="1:34" x14ac:dyDescent="0.3">
      <c r="A4719">
        <v>104</v>
      </c>
      <c r="B4719" t="s">
        <v>34</v>
      </c>
      <c r="C4719">
        <v>4</v>
      </c>
      <c r="D4719" s="1" t="s">
        <v>12045</v>
      </c>
      <c r="E4719" s="1" t="s">
        <v>36</v>
      </c>
      <c r="G4719">
        <v>12526</v>
      </c>
      <c r="H4719" t="s">
        <v>12032</v>
      </c>
      <c r="I4719" t="s">
        <v>12033</v>
      </c>
      <c r="J4719">
        <v>24</v>
      </c>
      <c r="K4719">
        <v>12526</v>
      </c>
      <c r="L4719">
        <v>50033</v>
      </c>
      <c r="M4719" t="s">
        <v>39</v>
      </c>
      <c r="N4719">
        <v>723</v>
      </c>
      <c r="O4719" s="2">
        <v>46255</v>
      </c>
      <c r="P4719" s="2">
        <v>46315</v>
      </c>
      <c r="R4719" t="s">
        <v>12046</v>
      </c>
      <c r="S4719" t="str">
        <f>""</f>
        <v/>
      </c>
      <c r="T4719" t="s">
        <v>41</v>
      </c>
      <c r="U4719">
        <v>17480.669999999998</v>
      </c>
      <c r="V4719">
        <v>17480.669999999998</v>
      </c>
      <c r="W4719">
        <v>17480.669999999998</v>
      </c>
      <c r="X4719">
        <v>0</v>
      </c>
      <c r="Y4719">
        <v>0</v>
      </c>
      <c r="Z4719">
        <v>-540</v>
      </c>
      <c r="AA4719">
        <v>697289</v>
      </c>
      <c r="AD4719" t="s">
        <v>12035</v>
      </c>
      <c r="AE4719" t="s">
        <v>12036</v>
      </c>
      <c r="AF4719" t="s">
        <v>12035</v>
      </c>
      <c r="AG4719">
        <v>28135184000116</v>
      </c>
      <c r="AH4719" t="s">
        <v>4686</v>
      </c>
    </row>
    <row r="4720" spans="1:34" x14ac:dyDescent="0.3">
      <c r="A4720">
        <v>104</v>
      </c>
      <c r="B4720" t="s">
        <v>34</v>
      </c>
      <c r="C4720">
        <v>4</v>
      </c>
      <c r="D4720" s="1" t="s">
        <v>12047</v>
      </c>
      <c r="E4720" s="1" t="s">
        <v>36</v>
      </c>
      <c r="G4720">
        <v>470087</v>
      </c>
      <c r="H4720" t="s">
        <v>12048</v>
      </c>
      <c r="I4720" t="s">
        <v>12033</v>
      </c>
      <c r="J4720">
        <v>24</v>
      </c>
      <c r="K4720">
        <v>12526</v>
      </c>
      <c r="L4720">
        <v>50033</v>
      </c>
      <c r="M4720" t="s">
        <v>39</v>
      </c>
      <c r="N4720">
        <v>723</v>
      </c>
      <c r="O4720" s="2">
        <v>46255</v>
      </c>
      <c r="P4720" s="2">
        <v>46315</v>
      </c>
      <c r="R4720" t="s">
        <v>12049</v>
      </c>
      <c r="S4720" t="str">
        <f>""</f>
        <v/>
      </c>
      <c r="T4720" t="s">
        <v>41</v>
      </c>
      <c r="U4720">
        <v>34558.97</v>
      </c>
      <c r="V4720">
        <v>34558.97</v>
      </c>
      <c r="W4720">
        <v>34558.97</v>
      </c>
      <c r="X4720">
        <v>0</v>
      </c>
      <c r="Y4720">
        <v>0</v>
      </c>
      <c r="Z4720">
        <v>-540</v>
      </c>
      <c r="AA4720">
        <v>697287</v>
      </c>
      <c r="AD4720" t="s">
        <v>4685</v>
      </c>
      <c r="AE4720" t="s">
        <v>12050</v>
      </c>
      <c r="AF4720" t="s">
        <v>4685</v>
      </c>
      <c r="AG4720">
        <v>28135184000892</v>
      </c>
      <c r="AH4720" t="s">
        <v>4686</v>
      </c>
    </row>
    <row r="4721" spans="1:34" x14ac:dyDescent="0.3">
      <c r="A4721">
        <v>104</v>
      </c>
      <c r="B4721" t="s">
        <v>34</v>
      </c>
      <c r="C4721">
        <v>4</v>
      </c>
      <c r="D4721" s="1" t="s">
        <v>12051</v>
      </c>
      <c r="E4721" s="1" t="s">
        <v>36</v>
      </c>
      <c r="G4721">
        <v>470087</v>
      </c>
      <c r="H4721" t="s">
        <v>12048</v>
      </c>
      <c r="I4721" t="s">
        <v>12033</v>
      </c>
      <c r="J4721">
        <v>24</v>
      </c>
      <c r="K4721">
        <v>12526</v>
      </c>
      <c r="L4721">
        <v>50033</v>
      </c>
      <c r="M4721" t="s">
        <v>39</v>
      </c>
      <c r="N4721">
        <v>723</v>
      </c>
      <c r="O4721" s="2">
        <v>46223</v>
      </c>
      <c r="P4721" s="2">
        <v>46268</v>
      </c>
      <c r="R4721" t="s">
        <v>12052</v>
      </c>
      <c r="S4721" t="str">
        <f>"0000050411047"</f>
        <v>0000050411047</v>
      </c>
      <c r="T4721" t="s">
        <v>41</v>
      </c>
      <c r="U4721">
        <v>21851.96</v>
      </c>
      <c r="V4721">
        <v>19581.96</v>
      </c>
      <c r="W4721">
        <v>19581.96</v>
      </c>
      <c r="X4721">
        <v>0</v>
      </c>
      <c r="Y4721">
        <v>0</v>
      </c>
      <c r="Z4721">
        <v>-493</v>
      </c>
      <c r="AA4721">
        <v>694156</v>
      </c>
      <c r="AD4721" t="s">
        <v>4685</v>
      </c>
      <c r="AE4721" t="s">
        <v>12050</v>
      </c>
      <c r="AF4721" t="s">
        <v>4685</v>
      </c>
      <c r="AG4721">
        <v>28135184000892</v>
      </c>
      <c r="AH4721" t="s">
        <v>4686</v>
      </c>
    </row>
    <row r="4722" spans="1:34" x14ac:dyDescent="0.3">
      <c r="A4722">
        <v>104</v>
      </c>
      <c r="B4722" t="s">
        <v>34</v>
      </c>
      <c r="C4722">
        <v>4</v>
      </c>
      <c r="D4722" s="1" t="s">
        <v>12053</v>
      </c>
      <c r="E4722" s="1" t="s">
        <v>36</v>
      </c>
      <c r="G4722">
        <v>470087</v>
      </c>
      <c r="H4722" t="s">
        <v>12048</v>
      </c>
      <c r="I4722" t="s">
        <v>12033</v>
      </c>
      <c r="J4722">
        <v>24</v>
      </c>
      <c r="K4722">
        <v>12526</v>
      </c>
      <c r="L4722">
        <v>50033</v>
      </c>
      <c r="M4722" t="s">
        <v>39</v>
      </c>
      <c r="N4722">
        <v>723</v>
      </c>
      <c r="O4722" s="2">
        <v>46223</v>
      </c>
      <c r="P4722" s="2">
        <v>46268</v>
      </c>
      <c r="R4722" t="s">
        <v>12054</v>
      </c>
      <c r="S4722" t="str">
        <f>"0000050411055"</f>
        <v>0000050411055</v>
      </c>
      <c r="T4722" t="s">
        <v>41</v>
      </c>
      <c r="U4722">
        <v>6799.86</v>
      </c>
      <c r="V4722">
        <v>6099.86</v>
      </c>
      <c r="W4722">
        <v>6099.86</v>
      </c>
      <c r="X4722">
        <v>0</v>
      </c>
      <c r="Y4722">
        <v>0</v>
      </c>
      <c r="Z4722">
        <v>-493</v>
      </c>
      <c r="AA4722">
        <v>694188</v>
      </c>
      <c r="AD4722" t="s">
        <v>4685</v>
      </c>
      <c r="AE4722" t="s">
        <v>12050</v>
      </c>
      <c r="AF4722" t="s">
        <v>4685</v>
      </c>
      <c r="AG4722">
        <v>28135184000892</v>
      </c>
      <c r="AH4722" t="s">
        <v>4686</v>
      </c>
    </row>
    <row r="4723" spans="1:34" x14ac:dyDescent="0.3">
      <c r="A4723">
        <v>101</v>
      </c>
      <c r="B4723" t="s">
        <v>34</v>
      </c>
      <c r="C4723">
        <v>2</v>
      </c>
      <c r="D4723" s="1" t="s">
        <v>12055</v>
      </c>
      <c r="E4723" s="1" t="s">
        <v>36</v>
      </c>
      <c r="G4723">
        <v>8302</v>
      </c>
      <c r="H4723" t="s">
        <v>12056</v>
      </c>
      <c r="I4723" t="s">
        <v>12057</v>
      </c>
      <c r="J4723">
        <v>12</v>
      </c>
      <c r="K4723">
        <v>8272</v>
      </c>
      <c r="L4723">
        <v>50033</v>
      </c>
      <c r="M4723" t="s">
        <v>39</v>
      </c>
      <c r="N4723">
        <v>725</v>
      </c>
      <c r="O4723" s="2">
        <v>46233</v>
      </c>
      <c r="P4723" s="2">
        <v>46284</v>
      </c>
      <c r="R4723" t="s">
        <v>12058</v>
      </c>
      <c r="S4723" t="str">
        <f>"0000050411632"</f>
        <v>0000050411632</v>
      </c>
      <c r="T4723" t="s">
        <v>41</v>
      </c>
      <c r="U4723">
        <v>17711.02</v>
      </c>
      <c r="V4723">
        <v>17031.259999999998</v>
      </c>
      <c r="W4723">
        <v>17031.259999999998</v>
      </c>
      <c r="X4723">
        <v>0</v>
      </c>
      <c r="Y4723">
        <v>0</v>
      </c>
      <c r="Z4723">
        <v>-509</v>
      </c>
      <c r="AA4723">
        <v>1944</v>
      </c>
      <c r="AD4723" t="s">
        <v>1545</v>
      </c>
      <c r="AE4723" t="s">
        <v>12059</v>
      </c>
      <c r="AF4723" t="s">
        <v>1545</v>
      </c>
      <c r="AG4723" s="1" t="s">
        <v>12060</v>
      </c>
      <c r="AH4723" t="s">
        <v>1462</v>
      </c>
    </row>
    <row r="4724" spans="1:34" x14ac:dyDescent="0.3">
      <c r="A4724">
        <v>101</v>
      </c>
      <c r="B4724" t="s">
        <v>34</v>
      </c>
      <c r="C4724">
        <v>2</v>
      </c>
      <c r="D4724" s="1" t="s">
        <v>12061</v>
      </c>
      <c r="E4724" s="1" t="s">
        <v>36</v>
      </c>
      <c r="G4724">
        <v>9876</v>
      </c>
      <c r="H4724" t="s">
        <v>12062</v>
      </c>
      <c r="I4724" t="s">
        <v>12063</v>
      </c>
      <c r="J4724">
        <v>12</v>
      </c>
      <c r="K4724">
        <v>50076</v>
      </c>
      <c r="L4724">
        <v>95080</v>
      </c>
      <c r="M4724" t="s">
        <v>83</v>
      </c>
      <c r="N4724">
        <v>725</v>
      </c>
      <c r="O4724" s="2">
        <v>46181</v>
      </c>
      <c r="P4724" s="2">
        <v>46211</v>
      </c>
      <c r="R4724" t="s">
        <v>12064</v>
      </c>
      <c r="S4724" t="str">
        <f>""</f>
        <v/>
      </c>
      <c r="T4724" t="s">
        <v>41</v>
      </c>
      <c r="U4724">
        <v>2053.3200000000002</v>
      </c>
      <c r="V4724">
        <v>2053.3200000000002</v>
      </c>
      <c r="W4724">
        <v>2053.3200000000002</v>
      </c>
      <c r="X4724">
        <v>0</v>
      </c>
      <c r="Y4724">
        <v>0</v>
      </c>
      <c r="Z4724">
        <v>-436</v>
      </c>
      <c r="AA4724">
        <v>690841</v>
      </c>
      <c r="AD4724" t="s">
        <v>1664</v>
      </c>
      <c r="AE4724" t="s">
        <v>12065</v>
      </c>
      <c r="AF4724" t="s">
        <v>1664</v>
      </c>
      <c r="AG4724" s="1" t="s">
        <v>12066</v>
      </c>
      <c r="AH4724" t="s">
        <v>1462</v>
      </c>
    </row>
    <row r="4725" spans="1:34" x14ac:dyDescent="0.3">
      <c r="A4725">
        <v>101</v>
      </c>
      <c r="B4725" t="s">
        <v>34</v>
      </c>
      <c r="C4725">
        <v>2</v>
      </c>
      <c r="D4725" s="1" t="s">
        <v>12067</v>
      </c>
      <c r="E4725" s="1" t="s">
        <v>122</v>
      </c>
      <c r="G4725">
        <v>471100</v>
      </c>
      <c r="H4725" t="s">
        <v>12068</v>
      </c>
      <c r="I4725" t="s">
        <v>12069</v>
      </c>
      <c r="J4725">
        <v>15</v>
      </c>
      <c r="K4725">
        <v>471100</v>
      </c>
      <c r="L4725">
        <v>50001</v>
      </c>
      <c r="M4725" t="s">
        <v>39</v>
      </c>
      <c r="N4725">
        <v>725</v>
      </c>
      <c r="O4725" s="2">
        <v>46251</v>
      </c>
      <c r="P4725" s="2">
        <v>46279</v>
      </c>
      <c r="R4725" t="s">
        <v>12070</v>
      </c>
      <c r="S4725" t="str">
        <f>"25666160000051915"</f>
        <v>25666160000051915</v>
      </c>
      <c r="T4725" t="s">
        <v>41</v>
      </c>
      <c r="U4725">
        <v>8222.02</v>
      </c>
      <c r="V4725">
        <v>8222.02</v>
      </c>
      <c r="W4725">
        <v>8222.02</v>
      </c>
      <c r="X4725">
        <v>0</v>
      </c>
      <c r="Y4725">
        <v>0</v>
      </c>
      <c r="Z4725">
        <v>-504</v>
      </c>
      <c r="AA4725">
        <v>4614</v>
      </c>
      <c r="AD4725" t="s">
        <v>12071</v>
      </c>
      <c r="AE4725">
        <v>3234218412</v>
      </c>
      <c r="AF4725" t="s">
        <v>12071</v>
      </c>
      <c r="AG4725">
        <v>28204379000170</v>
      </c>
      <c r="AH4725" t="s">
        <v>1462</v>
      </c>
    </row>
    <row r="4726" spans="1:34" x14ac:dyDescent="0.3">
      <c r="A4726">
        <v>101</v>
      </c>
      <c r="B4726" t="s">
        <v>34</v>
      </c>
      <c r="C4726">
        <v>2</v>
      </c>
      <c r="D4726" s="1" t="s">
        <v>12067</v>
      </c>
      <c r="E4726" s="1" t="s">
        <v>116</v>
      </c>
      <c r="G4726">
        <v>471100</v>
      </c>
      <c r="H4726" t="s">
        <v>12068</v>
      </c>
      <c r="I4726" t="s">
        <v>12069</v>
      </c>
      <c r="J4726">
        <v>15</v>
      </c>
      <c r="K4726">
        <v>471100</v>
      </c>
      <c r="L4726">
        <v>50001</v>
      </c>
      <c r="M4726" t="s">
        <v>39</v>
      </c>
      <c r="N4726">
        <v>725</v>
      </c>
      <c r="O4726" s="2">
        <v>46251</v>
      </c>
      <c r="P4726" s="2">
        <v>46286</v>
      </c>
      <c r="R4726" t="s">
        <v>12070</v>
      </c>
      <c r="S4726" t="str">
        <f>"25666160000051916"</f>
        <v>25666160000051916</v>
      </c>
      <c r="T4726" t="s">
        <v>41</v>
      </c>
      <c r="U4726">
        <v>8224.5</v>
      </c>
      <c r="V4726">
        <v>8224.5</v>
      </c>
      <c r="W4726">
        <v>8224.5</v>
      </c>
      <c r="X4726">
        <v>0</v>
      </c>
      <c r="Y4726">
        <v>0</v>
      </c>
      <c r="Z4726">
        <v>-511</v>
      </c>
      <c r="AA4726">
        <v>4614</v>
      </c>
      <c r="AD4726" t="s">
        <v>12071</v>
      </c>
      <c r="AE4726">
        <v>3234218412</v>
      </c>
      <c r="AF4726" t="s">
        <v>12071</v>
      </c>
      <c r="AG4726">
        <v>28204379000170</v>
      </c>
      <c r="AH4726" t="s">
        <v>1462</v>
      </c>
    </row>
    <row r="4727" spans="1:34" x14ac:dyDescent="0.3">
      <c r="A4727">
        <v>101</v>
      </c>
      <c r="B4727" t="s">
        <v>34</v>
      </c>
      <c r="C4727">
        <v>2</v>
      </c>
      <c r="D4727" s="1" t="s">
        <v>12067</v>
      </c>
      <c r="E4727" s="1" t="s">
        <v>36</v>
      </c>
      <c r="G4727">
        <v>471100</v>
      </c>
      <c r="H4727" t="s">
        <v>12068</v>
      </c>
      <c r="I4727" t="s">
        <v>12069</v>
      </c>
      <c r="J4727">
        <v>15</v>
      </c>
      <c r="K4727">
        <v>471100</v>
      </c>
      <c r="L4727">
        <v>50001</v>
      </c>
      <c r="M4727" t="s">
        <v>39</v>
      </c>
      <c r="N4727">
        <v>725</v>
      </c>
      <c r="O4727" s="2">
        <v>46251</v>
      </c>
      <c r="P4727" s="2">
        <v>46272</v>
      </c>
      <c r="R4727" t="s">
        <v>12070</v>
      </c>
      <c r="S4727" t="str">
        <f>"25666160000051914"</f>
        <v>25666160000051914</v>
      </c>
      <c r="T4727" t="s">
        <v>41</v>
      </c>
      <c r="U4727">
        <v>8601.66</v>
      </c>
      <c r="V4727">
        <v>8601.66</v>
      </c>
      <c r="W4727">
        <v>8601.66</v>
      </c>
      <c r="X4727">
        <v>0</v>
      </c>
      <c r="Y4727">
        <v>0</v>
      </c>
      <c r="Z4727">
        <v>-497</v>
      </c>
      <c r="AA4727">
        <v>4614</v>
      </c>
      <c r="AD4727" t="s">
        <v>12071</v>
      </c>
      <c r="AE4727">
        <v>3234218412</v>
      </c>
      <c r="AF4727" t="s">
        <v>12071</v>
      </c>
      <c r="AG4727">
        <v>28204379000170</v>
      </c>
      <c r="AH4727" t="s">
        <v>1462</v>
      </c>
    </row>
    <row r="4728" spans="1:34" x14ac:dyDescent="0.3">
      <c r="A4728">
        <v>101</v>
      </c>
      <c r="B4728" t="s">
        <v>34</v>
      </c>
      <c r="C4728">
        <v>2</v>
      </c>
      <c r="D4728" s="1" t="s">
        <v>12072</v>
      </c>
      <c r="E4728" s="1" t="s">
        <v>36</v>
      </c>
      <c r="G4728">
        <v>999000453</v>
      </c>
      <c r="H4728" t="s">
        <v>12073</v>
      </c>
      <c r="I4728" t="s">
        <v>12074</v>
      </c>
      <c r="J4728">
        <v>15</v>
      </c>
      <c r="K4728">
        <v>999000453</v>
      </c>
      <c r="L4728">
        <v>95000</v>
      </c>
      <c r="M4728" t="s">
        <v>69</v>
      </c>
      <c r="N4728">
        <v>725</v>
      </c>
      <c r="O4728" s="2">
        <v>46233</v>
      </c>
      <c r="P4728" s="2">
        <v>46336</v>
      </c>
      <c r="R4728" t="s">
        <v>12075</v>
      </c>
      <c r="S4728" t="str">
        <f>""</f>
        <v/>
      </c>
      <c r="T4728" t="s">
        <v>41</v>
      </c>
      <c r="U4728">
        <v>28333.55</v>
      </c>
      <c r="V4728">
        <v>25500.2</v>
      </c>
      <c r="W4728">
        <v>25500.2</v>
      </c>
      <c r="X4728">
        <v>0</v>
      </c>
      <c r="Y4728">
        <v>0</v>
      </c>
      <c r="Z4728">
        <v>-561</v>
      </c>
      <c r="AA4728">
        <v>1943</v>
      </c>
      <c r="AD4728" t="s">
        <v>1545</v>
      </c>
      <c r="AE4728" t="s">
        <v>12076</v>
      </c>
      <c r="AF4728" t="s">
        <v>1545</v>
      </c>
      <c r="AG4728">
        <v>17745613000150</v>
      </c>
      <c r="AH4728" t="s">
        <v>1462</v>
      </c>
    </row>
    <row r="4729" spans="1:34" x14ac:dyDescent="0.3">
      <c r="A4729">
        <v>101</v>
      </c>
      <c r="B4729" t="s">
        <v>34</v>
      </c>
      <c r="C4729">
        <v>2</v>
      </c>
      <c r="D4729" s="1" t="s">
        <v>12077</v>
      </c>
      <c r="E4729" s="1" t="s">
        <v>36</v>
      </c>
      <c r="G4729">
        <v>999000453</v>
      </c>
      <c r="H4729" t="s">
        <v>12073</v>
      </c>
      <c r="I4729" t="s">
        <v>12074</v>
      </c>
      <c r="J4729">
        <v>15</v>
      </c>
      <c r="K4729">
        <v>999000453</v>
      </c>
      <c r="L4729">
        <v>95000</v>
      </c>
      <c r="M4729" t="s">
        <v>69</v>
      </c>
      <c r="N4729">
        <v>725</v>
      </c>
      <c r="O4729" s="2">
        <v>46188</v>
      </c>
      <c r="P4729" s="2">
        <v>46301</v>
      </c>
      <c r="R4729" t="s">
        <v>12078</v>
      </c>
      <c r="S4729" t="str">
        <f>""</f>
        <v/>
      </c>
      <c r="T4729" t="s">
        <v>41</v>
      </c>
      <c r="U4729">
        <v>8343.5</v>
      </c>
      <c r="V4729">
        <v>7509.15</v>
      </c>
      <c r="W4729">
        <v>7509.15</v>
      </c>
      <c r="X4729">
        <v>0</v>
      </c>
      <c r="Y4729">
        <v>0</v>
      </c>
      <c r="Z4729">
        <v>-526</v>
      </c>
      <c r="AA4729">
        <v>691375</v>
      </c>
      <c r="AD4729" t="s">
        <v>1545</v>
      </c>
      <c r="AE4729" t="s">
        <v>12076</v>
      </c>
      <c r="AF4729" t="s">
        <v>1545</v>
      </c>
      <c r="AG4729">
        <v>17745613000150</v>
      </c>
      <c r="AH4729" t="s">
        <v>1462</v>
      </c>
    </row>
    <row r="4730" spans="1:34" x14ac:dyDescent="0.3">
      <c r="A4730">
        <v>101</v>
      </c>
      <c r="B4730" t="s">
        <v>34</v>
      </c>
      <c r="C4730">
        <v>2</v>
      </c>
      <c r="D4730" s="1" t="s">
        <v>12079</v>
      </c>
      <c r="E4730" s="1" t="s">
        <v>36</v>
      </c>
      <c r="G4730">
        <v>999000453</v>
      </c>
      <c r="H4730" t="s">
        <v>12073</v>
      </c>
      <c r="I4730" t="s">
        <v>12074</v>
      </c>
      <c r="J4730">
        <v>15</v>
      </c>
      <c r="K4730">
        <v>999000453</v>
      </c>
      <c r="L4730">
        <v>95000</v>
      </c>
      <c r="M4730" t="s">
        <v>69</v>
      </c>
      <c r="N4730">
        <v>725</v>
      </c>
      <c r="O4730" s="2">
        <v>46251</v>
      </c>
      <c r="P4730" s="2">
        <v>46341</v>
      </c>
      <c r="R4730" t="s">
        <v>12080</v>
      </c>
      <c r="S4730" t="str">
        <f>""</f>
        <v/>
      </c>
      <c r="T4730" t="s">
        <v>41</v>
      </c>
      <c r="U4730">
        <v>54873.3</v>
      </c>
      <c r="V4730">
        <v>49385.97</v>
      </c>
      <c r="W4730">
        <v>49385.97</v>
      </c>
      <c r="X4730">
        <v>0</v>
      </c>
      <c r="Y4730">
        <v>0</v>
      </c>
      <c r="Z4730">
        <v>-566</v>
      </c>
      <c r="AA4730">
        <v>4637</v>
      </c>
      <c r="AD4730" t="s">
        <v>1545</v>
      </c>
      <c r="AE4730" t="s">
        <v>12076</v>
      </c>
      <c r="AF4730" t="s">
        <v>1545</v>
      </c>
      <c r="AG4730">
        <v>17745613000150</v>
      </c>
      <c r="AH4730" t="s">
        <v>1462</v>
      </c>
    </row>
    <row r="4731" spans="1:34" x14ac:dyDescent="0.3">
      <c r="A4731">
        <v>101</v>
      </c>
      <c r="B4731" t="s">
        <v>34</v>
      </c>
      <c r="C4731">
        <v>2</v>
      </c>
      <c r="D4731" s="1" t="s">
        <v>12081</v>
      </c>
      <c r="E4731" s="1" t="s">
        <v>36</v>
      </c>
      <c r="G4731">
        <v>999000453</v>
      </c>
      <c r="H4731" t="s">
        <v>12073</v>
      </c>
      <c r="I4731" t="s">
        <v>12074</v>
      </c>
      <c r="J4731">
        <v>15</v>
      </c>
      <c r="K4731">
        <v>999000453</v>
      </c>
      <c r="L4731">
        <v>95000</v>
      </c>
      <c r="M4731" t="s">
        <v>69</v>
      </c>
      <c r="N4731">
        <v>725</v>
      </c>
      <c r="O4731" s="2">
        <v>46223</v>
      </c>
      <c r="P4731" s="2">
        <v>46328</v>
      </c>
      <c r="R4731" t="s">
        <v>12082</v>
      </c>
      <c r="S4731" t="str">
        <f>""</f>
        <v/>
      </c>
      <c r="T4731" t="s">
        <v>41</v>
      </c>
      <c r="U4731">
        <v>37457.49</v>
      </c>
      <c r="V4731">
        <v>31870.36</v>
      </c>
      <c r="W4731">
        <v>31870.36</v>
      </c>
      <c r="X4731">
        <v>0</v>
      </c>
      <c r="Y4731">
        <v>0</v>
      </c>
      <c r="Z4731">
        <v>-553</v>
      </c>
      <c r="AA4731">
        <v>694198</v>
      </c>
      <c r="AD4731" t="s">
        <v>1545</v>
      </c>
      <c r="AE4731" t="s">
        <v>12076</v>
      </c>
      <c r="AF4731" t="s">
        <v>1545</v>
      </c>
      <c r="AG4731">
        <v>17745613000150</v>
      </c>
      <c r="AH4731" t="s">
        <v>1462</v>
      </c>
    </row>
    <row r="4732" spans="1:34" x14ac:dyDescent="0.3">
      <c r="A4732">
        <v>101</v>
      </c>
      <c r="B4732" t="s">
        <v>34</v>
      </c>
      <c r="C4732">
        <v>2</v>
      </c>
      <c r="D4732" s="1" t="s">
        <v>12083</v>
      </c>
      <c r="E4732" s="1" t="s">
        <v>36</v>
      </c>
      <c r="G4732">
        <v>999000453</v>
      </c>
      <c r="H4732" t="s">
        <v>12073</v>
      </c>
      <c r="I4732" t="s">
        <v>12074</v>
      </c>
      <c r="J4732">
        <v>15</v>
      </c>
      <c r="K4732">
        <v>999000453</v>
      </c>
      <c r="L4732">
        <v>95000</v>
      </c>
      <c r="M4732" t="s">
        <v>69</v>
      </c>
      <c r="N4732">
        <v>725</v>
      </c>
      <c r="O4732" s="2">
        <v>46251</v>
      </c>
      <c r="P4732" s="2">
        <v>46341</v>
      </c>
      <c r="R4732" t="s">
        <v>12084</v>
      </c>
      <c r="S4732" t="str">
        <f>""</f>
        <v/>
      </c>
      <c r="T4732" t="s">
        <v>41</v>
      </c>
      <c r="U4732">
        <v>5074.97</v>
      </c>
      <c r="V4732">
        <v>4338.47</v>
      </c>
      <c r="W4732">
        <v>4338.47</v>
      </c>
      <c r="X4732">
        <v>0</v>
      </c>
      <c r="Y4732">
        <v>0</v>
      </c>
      <c r="Z4732">
        <v>-566</v>
      </c>
      <c r="AA4732">
        <v>4613</v>
      </c>
      <c r="AD4732" t="s">
        <v>1545</v>
      </c>
      <c r="AE4732" t="s">
        <v>12076</v>
      </c>
      <c r="AF4732" t="s">
        <v>1545</v>
      </c>
      <c r="AG4732">
        <v>17745613000150</v>
      </c>
      <c r="AH4732" t="s">
        <v>1462</v>
      </c>
    </row>
    <row r="4733" spans="1:34" x14ac:dyDescent="0.3">
      <c r="A4733">
        <v>101</v>
      </c>
      <c r="B4733" t="s">
        <v>34</v>
      </c>
      <c r="C4733">
        <v>2</v>
      </c>
      <c r="D4733" s="1" t="s">
        <v>12085</v>
      </c>
      <c r="E4733" s="1" t="s">
        <v>36</v>
      </c>
      <c r="G4733">
        <v>999000453</v>
      </c>
      <c r="H4733" t="s">
        <v>12073</v>
      </c>
      <c r="I4733" t="s">
        <v>12074</v>
      </c>
      <c r="J4733">
        <v>15</v>
      </c>
      <c r="K4733">
        <v>999000453</v>
      </c>
      <c r="L4733">
        <v>95000</v>
      </c>
      <c r="M4733" t="s">
        <v>69</v>
      </c>
      <c r="N4733">
        <v>725</v>
      </c>
      <c r="O4733" s="2">
        <v>46203</v>
      </c>
      <c r="P4733" s="2">
        <v>46307</v>
      </c>
      <c r="R4733" t="s">
        <v>12086</v>
      </c>
      <c r="S4733" t="str">
        <f>""</f>
        <v/>
      </c>
      <c r="T4733" t="s">
        <v>41</v>
      </c>
      <c r="U4733">
        <v>8819.4599999999991</v>
      </c>
      <c r="V4733">
        <v>7937.51</v>
      </c>
      <c r="W4733">
        <v>7937.51</v>
      </c>
      <c r="X4733">
        <v>0</v>
      </c>
      <c r="Y4733">
        <v>0</v>
      </c>
      <c r="Z4733">
        <v>-532</v>
      </c>
      <c r="AA4733">
        <v>693438</v>
      </c>
      <c r="AD4733" t="s">
        <v>1545</v>
      </c>
      <c r="AE4733" t="s">
        <v>12076</v>
      </c>
      <c r="AF4733" t="s">
        <v>1545</v>
      </c>
      <c r="AG4733">
        <v>17745613000150</v>
      </c>
      <c r="AH4733" t="s">
        <v>1462</v>
      </c>
    </row>
    <row r="4734" spans="1:34" x14ac:dyDescent="0.3">
      <c r="A4734">
        <v>101</v>
      </c>
      <c r="B4734" t="s">
        <v>34</v>
      </c>
      <c r="C4734">
        <v>2</v>
      </c>
      <c r="D4734" s="1" t="s">
        <v>12087</v>
      </c>
      <c r="E4734" s="1" t="s">
        <v>36</v>
      </c>
      <c r="G4734">
        <v>999000453</v>
      </c>
      <c r="H4734" t="s">
        <v>12073</v>
      </c>
      <c r="I4734" t="s">
        <v>12074</v>
      </c>
      <c r="J4734">
        <v>15</v>
      </c>
      <c r="K4734">
        <v>999000453</v>
      </c>
      <c r="L4734">
        <v>95000</v>
      </c>
      <c r="M4734" t="s">
        <v>69</v>
      </c>
      <c r="N4734">
        <v>725</v>
      </c>
      <c r="O4734" s="2">
        <v>46251</v>
      </c>
      <c r="P4734" s="2">
        <v>46341</v>
      </c>
      <c r="R4734" t="s">
        <v>12088</v>
      </c>
      <c r="S4734" t="str">
        <f>""</f>
        <v/>
      </c>
      <c r="T4734" t="s">
        <v>41</v>
      </c>
      <c r="U4734">
        <v>1764.87</v>
      </c>
      <c r="V4734">
        <v>1508.38</v>
      </c>
      <c r="W4734">
        <v>1508.38</v>
      </c>
      <c r="X4734">
        <v>0</v>
      </c>
      <c r="Y4734">
        <v>0</v>
      </c>
      <c r="Z4734">
        <v>-566</v>
      </c>
      <c r="AA4734">
        <v>4612</v>
      </c>
      <c r="AD4734" t="s">
        <v>1545</v>
      </c>
      <c r="AE4734" t="s">
        <v>12076</v>
      </c>
      <c r="AF4734" t="s">
        <v>1545</v>
      </c>
      <c r="AG4734">
        <v>17745613000150</v>
      </c>
      <c r="AH4734" t="s">
        <v>1462</v>
      </c>
    </row>
    <row r="4735" spans="1:34" x14ac:dyDescent="0.3">
      <c r="A4735">
        <v>101</v>
      </c>
      <c r="B4735" t="s">
        <v>34</v>
      </c>
      <c r="C4735">
        <v>2</v>
      </c>
      <c r="D4735" s="1" t="s">
        <v>12089</v>
      </c>
      <c r="E4735" s="1" t="s">
        <v>36</v>
      </c>
      <c r="G4735">
        <v>999000453</v>
      </c>
      <c r="H4735" t="s">
        <v>12073</v>
      </c>
      <c r="I4735" t="s">
        <v>12074</v>
      </c>
      <c r="J4735">
        <v>15</v>
      </c>
      <c r="K4735">
        <v>999000453</v>
      </c>
      <c r="L4735">
        <v>95000</v>
      </c>
      <c r="M4735" t="s">
        <v>69</v>
      </c>
      <c r="N4735">
        <v>725</v>
      </c>
      <c r="O4735" s="2">
        <v>46209</v>
      </c>
      <c r="P4735" s="2">
        <v>46316</v>
      </c>
      <c r="R4735" t="s">
        <v>12090</v>
      </c>
      <c r="S4735" t="str">
        <f>""</f>
        <v/>
      </c>
      <c r="T4735" t="s">
        <v>41</v>
      </c>
      <c r="U4735">
        <v>14376.3</v>
      </c>
      <c r="V4735">
        <v>12226.35</v>
      </c>
      <c r="W4735">
        <v>12226.35</v>
      </c>
      <c r="X4735">
        <v>0</v>
      </c>
      <c r="Y4735">
        <v>0</v>
      </c>
      <c r="Z4735">
        <v>-541</v>
      </c>
      <c r="AA4735">
        <v>693748</v>
      </c>
      <c r="AD4735" t="s">
        <v>1545</v>
      </c>
      <c r="AE4735" t="s">
        <v>12076</v>
      </c>
      <c r="AF4735" t="s">
        <v>1545</v>
      </c>
      <c r="AG4735">
        <v>17745613000150</v>
      </c>
      <c r="AH4735" t="s">
        <v>1462</v>
      </c>
    </row>
    <row r="4736" spans="1:34" x14ac:dyDescent="0.3">
      <c r="A4736">
        <v>101</v>
      </c>
      <c r="B4736" t="s">
        <v>34</v>
      </c>
      <c r="C4736">
        <v>2</v>
      </c>
      <c r="D4736" s="1" t="s">
        <v>12091</v>
      </c>
      <c r="E4736" s="1" t="s">
        <v>36</v>
      </c>
      <c r="G4736">
        <v>999000453</v>
      </c>
      <c r="H4736" t="s">
        <v>12073</v>
      </c>
      <c r="I4736" t="s">
        <v>12074</v>
      </c>
      <c r="J4736">
        <v>15</v>
      </c>
      <c r="K4736">
        <v>999000453</v>
      </c>
      <c r="L4736">
        <v>95000</v>
      </c>
      <c r="M4736" t="s">
        <v>69</v>
      </c>
      <c r="N4736">
        <v>725</v>
      </c>
      <c r="O4736" s="2">
        <v>46171</v>
      </c>
      <c r="P4736" s="2">
        <v>46273</v>
      </c>
      <c r="R4736" t="s">
        <v>12092</v>
      </c>
      <c r="S4736" t="str">
        <f>""</f>
        <v/>
      </c>
      <c r="T4736" t="s">
        <v>41</v>
      </c>
      <c r="U4736">
        <v>21622.6</v>
      </c>
      <c r="V4736">
        <v>19084.54</v>
      </c>
      <c r="W4736">
        <v>19084.54</v>
      </c>
      <c r="X4736">
        <v>0</v>
      </c>
      <c r="Y4736">
        <v>0</v>
      </c>
      <c r="Z4736">
        <v>-498</v>
      </c>
      <c r="AA4736">
        <v>689688</v>
      </c>
      <c r="AD4736" t="s">
        <v>1545</v>
      </c>
      <c r="AE4736" t="s">
        <v>12076</v>
      </c>
      <c r="AF4736" t="s">
        <v>1545</v>
      </c>
      <c r="AG4736">
        <v>17745613000150</v>
      </c>
      <c r="AH4736" t="s">
        <v>1462</v>
      </c>
    </row>
    <row r="4737" spans="1:34" x14ac:dyDescent="0.3">
      <c r="A4737">
        <v>101</v>
      </c>
      <c r="B4737" t="s">
        <v>34</v>
      </c>
      <c r="C4737">
        <v>2</v>
      </c>
      <c r="D4737" s="1" t="s">
        <v>12093</v>
      </c>
      <c r="E4737" s="1" t="s">
        <v>36</v>
      </c>
      <c r="G4737">
        <v>999000453</v>
      </c>
      <c r="H4737" t="s">
        <v>12073</v>
      </c>
      <c r="I4737" t="s">
        <v>12074</v>
      </c>
      <c r="J4737">
        <v>15</v>
      </c>
      <c r="K4737">
        <v>999000453</v>
      </c>
      <c r="L4737">
        <v>95000</v>
      </c>
      <c r="M4737" t="s">
        <v>69</v>
      </c>
      <c r="N4737">
        <v>725</v>
      </c>
      <c r="O4737" s="2">
        <v>46163</v>
      </c>
      <c r="P4737" s="2">
        <v>46258</v>
      </c>
      <c r="R4737" t="s">
        <v>12094</v>
      </c>
      <c r="S4737" t="str">
        <f>""</f>
        <v/>
      </c>
      <c r="T4737" t="s">
        <v>41</v>
      </c>
      <c r="U4737">
        <v>48721.2</v>
      </c>
      <c r="V4737">
        <v>43849.08</v>
      </c>
      <c r="W4737">
        <v>43849.08</v>
      </c>
      <c r="X4737">
        <v>0</v>
      </c>
      <c r="Y4737">
        <v>0</v>
      </c>
      <c r="Z4737">
        <v>-483</v>
      </c>
      <c r="AA4737">
        <v>688645</v>
      </c>
      <c r="AD4737" t="s">
        <v>1545</v>
      </c>
      <c r="AE4737" t="s">
        <v>12076</v>
      </c>
      <c r="AF4737" t="s">
        <v>1545</v>
      </c>
      <c r="AG4737">
        <v>17745613000150</v>
      </c>
      <c r="AH4737" t="s">
        <v>1462</v>
      </c>
    </row>
    <row r="4738" spans="1:34" x14ac:dyDescent="0.3">
      <c r="A4738">
        <v>101</v>
      </c>
      <c r="B4738" t="s">
        <v>34</v>
      </c>
      <c r="C4738">
        <v>2</v>
      </c>
      <c r="D4738" s="1" t="s">
        <v>12095</v>
      </c>
      <c r="E4738" s="1" t="s">
        <v>36</v>
      </c>
      <c r="G4738">
        <v>999000453</v>
      </c>
      <c r="H4738" t="s">
        <v>12073</v>
      </c>
      <c r="I4738" t="s">
        <v>12074</v>
      </c>
      <c r="J4738">
        <v>15</v>
      </c>
      <c r="K4738">
        <v>999000453</v>
      </c>
      <c r="L4738">
        <v>95000</v>
      </c>
      <c r="M4738" t="s">
        <v>69</v>
      </c>
      <c r="N4738">
        <v>725</v>
      </c>
      <c r="O4738" s="2">
        <v>46171</v>
      </c>
      <c r="P4738" s="2">
        <v>46273</v>
      </c>
      <c r="R4738" t="s">
        <v>12096</v>
      </c>
      <c r="S4738" t="str">
        <f>""</f>
        <v/>
      </c>
      <c r="T4738" t="s">
        <v>41</v>
      </c>
      <c r="U4738">
        <v>12427.46</v>
      </c>
      <c r="V4738">
        <v>11184.71</v>
      </c>
      <c r="W4738">
        <v>11184.71</v>
      </c>
      <c r="X4738">
        <v>0</v>
      </c>
      <c r="Y4738">
        <v>0</v>
      </c>
      <c r="Z4738">
        <v>-498</v>
      </c>
      <c r="AA4738">
        <v>690096</v>
      </c>
      <c r="AD4738" t="s">
        <v>1545</v>
      </c>
      <c r="AE4738" t="s">
        <v>12076</v>
      </c>
      <c r="AF4738" t="s">
        <v>1545</v>
      </c>
      <c r="AG4738">
        <v>17745613000150</v>
      </c>
      <c r="AH4738" t="s">
        <v>1462</v>
      </c>
    </row>
    <row r="4739" spans="1:34" x14ac:dyDescent="0.3">
      <c r="A4739">
        <v>101</v>
      </c>
      <c r="B4739" t="s">
        <v>34</v>
      </c>
      <c r="C4739">
        <v>2</v>
      </c>
      <c r="D4739" s="1" t="s">
        <v>12097</v>
      </c>
      <c r="E4739" s="1" t="s">
        <v>36</v>
      </c>
      <c r="G4739">
        <v>7660</v>
      </c>
      <c r="H4739" t="s">
        <v>12098</v>
      </c>
      <c r="I4739" t="s">
        <v>12099</v>
      </c>
      <c r="J4739">
        <v>12</v>
      </c>
      <c r="K4739">
        <v>7660</v>
      </c>
      <c r="L4739">
        <v>50001</v>
      </c>
      <c r="M4739" t="s">
        <v>39</v>
      </c>
      <c r="N4739">
        <v>729</v>
      </c>
      <c r="O4739" s="2">
        <v>46251</v>
      </c>
      <c r="P4739" s="2">
        <v>46272</v>
      </c>
      <c r="R4739" t="s">
        <v>12100</v>
      </c>
      <c r="S4739" t="str">
        <f>"25666160000051902"</f>
        <v>25666160000051902</v>
      </c>
      <c r="T4739" t="s">
        <v>41</v>
      </c>
      <c r="U4739">
        <v>1710.63</v>
      </c>
      <c r="V4739">
        <v>1710.63</v>
      </c>
      <c r="W4739">
        <v>1710.63</v>
      </c>
      <c r="X4739">
        <v>0</v>
      </c>
      <c r="Y4739">
        <v>0</v>
      </c>
      <c r="Z4739">
        <v>-497</v>
      </c>
      <c r="AA4739">
        <v>4551</v>
      </c>
      <c r="AD4739" t="s">
        <v>5118</v>
      </c>
      <c r="AE4739" t="s">
        <v>12101</v>
      </c>
      <c r="AF4739" t="s">
        <v>5118</v>
      </c>
      <c r="AG4739" s="1" t="s">
        <v>12102</v>
      </c>
      <c r="AH4739" t="s">
        <v>311</v>
      </c>
    </row>
    <row r="4740" spans="1:34" x14ac:dyDescent="0.3">
      <c r="A4740">
        <v>101</v>
      </c>
      <c r="B4740" t="s">
        <v>34</v>
      </c>
      <c r="C4740">
        <v>2</v>
      </c>
      <c r="D4740" s="1" t="s">
        <v>12097</v>
      </c>
      <c r="E4740" s="1" t="s">
        <v>122</v>
      </c>
      <c r="G4740">
        <v>7660</v>
      </c>
      <c r="H4740" t="s">
        <v>12098</v>
      </c>
      <c r="I4740" t="s">
        <v>12099</v>
      </c>
      <c r="J4740">
        <v>12</v>
      </c>
      <c r="K4740">
        <v>7660</v>
      </c>
      <c r="L4740">
        <v>50001</v>
      </c>
      <c r="M4740" t="s">
        <v>39</v>
      </c>
      <c r="N4740">
        <v>729</v>
      </c>
      <c r="O4740" s="2">
        <v>46251</v>
      </c>
      <c r="P4740" s="2">
        <v>46279</v>
      </c>
      <c r="R4740" t="s">
        <v>12100</v>
      </c>
      <c r="S4740" t="str">
        <f>"25666160000051903"</f>
        <v>25666160000051903</v>
      </c>
      <c r="T4740" t="s">
        <v>41</v>
      </c>
      <c r="U4740">
        <v>1704.78</v>
      </c>
      <c r="V4740">
        <v>1704.78</v>
      </c>
      <c r="W4740">
        <v>1704.78</v>
      </c>
      <c r="X4740">
        <v>0</v>
      </c>
      <c r="Y4740">
        <v>0</v>
      </c>
      <c r="Z4740">
        <v>-504</v>
      </c>
      <c r="AA4740">
        <v>4551</v>
      </c>
      <c r="AD4740" t="s">
        <v>5118</v>
      </c>
      <c r="AE4740" t="s">
        <v>12101</v>
      </c>
      <c r="AF4740" t="s">
        <v>5118</v>
      </c>
      <c r="AG4740" s="1" t="s">
        <v>12102</v>
      </c>
      <c r="AH4740" t="s">
        <v>311</v>
      </c>
    </row>
    <row r="4741" spans="1:34" x14ac:dyDescent="0.3">
      <c r="A4741">
        <v>101</v>
      </c>
      <c r="B4741" t="s">
        <v>34</v>
      </c>
      <c r="C4741">
        <v>2</v>
      </c>
      <c r="D4741" s="1" t="s">
        <v>12097</v>
      </c>
      <c r="E4741" s="1" t="s">
        <v>116</v>
      </c>
      <c r="G4741">
        <v>7660</v>
      </c>
      <c r="H4741" t="s">
        <v>12098</v>
      </c>
      <c r="I4741" t="s">
        <v>12099</v>
      </c>
      <c r="J4741">
        <v>12</v>
      </c>
      <c r="K4741">
        <v>7660</v>
      </c>
      <c r="L4741">
        <v>50001</v>
      </c>
      <c r="M4741" t="s">
        <v>39</v>
      </c>
      <c r="N4741">
        <v>729</v>
      </c>
      <c r="O4741" s="2">
        <v>46251</v>
      </c>
      <c r="P4741" s="2">
        <v>46286</v>
      </c>
      <c r="R4741" t="s">
        <v>12100</v>
      </c>
      <c r="S4741" t="str">
        <f>"25666160000051904"</f>
        <v>25666160000051904</v>
      </c>
      <c r="T4741" t="s">
        <v>41</v>
      </c>
      <c r="U4741">
        <v>1705.29</v>
      </c>
      <c r="V4741">
        <v>1705.29</v>
      </c>
      <c r="W4741">
        <v>1705.29</v>
      </c>
      <c r="X4741">
        <v>0</v>
      </c>
      <c r="Y4741">
        <v>0</v>
      </c>
      <c r="Z4741">
        <v>-511</v>
      </c>
      <c r="AA4741">
        <v>4551</v>
      </c>
      <c r="AD4741" t="s">
        <v>5118</v>
      </c>
      <c r="AE4741" t="s">
        <v>12101</v>
      </c>
      <c r="AF4741" t="s">
        <v>5118</v>
      </c>
      <c r="AG4741" s="1" t="s">
        <v>12102</v>
      </c>
      <c r="AH4741" t="s">
        <v>311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plan-acr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Canedo</dc:creator>
  <cp:lastModifiedBy>Financeiro Office</cp:lastModifiedBy>
  <dcterms:created xsi:type="dcterms:W3CDTF">2026-08-24T10:57:38Z</dcterms:created>
  <dcterms:modified xsi:type="dcterms:W3CDTF">2026-08-24T10:57:38Z</dcterms:modified>
</cp:coreProperties>
</file>