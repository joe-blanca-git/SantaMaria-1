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der-blanca\Downloads\"/>
    </mc:Choice>
  </mc:AlternateContent>
  <xr:revisionPtr revIDLastSave="0" documentId="13_ncr:1_{494E4A7D-1F4C-42D6-84CE-BAA503D4207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101" sheetId="1" r:id="rId1"/>
    <sheet name="104" sheetId="2" r:id="rId2"/>
    <sheet name="106" sheetId="3" r:id="rId3"/>
    <sheet name="DIRETORIA" sheetId="4" r:id="rId4"/>
    <sheet name="VARIADOS" sheetId="5" r:id="rId5"/>
    <sheet name="REPRESENTANTES" sheetId="6" r:id="rId6"/>
  </sheets>
  <definedNames>
    <definedName name="_xlnm._FilterDatabase" localSheetId="0" hidden="1">'101'!$A$2:$D$493</definedName>
    <definedName name="_xlnm._FilterDatabase" localSheetId="1" hidden="1">'104'!$A$2:$D$89</definedName>
    <definedName name="_xlnm._FilterDatabase" localSheetId="2" hidden="1">'106'!$A$2:$D$82</definedName>
    <definedName name="_xlnm._FilterDatabase" localSheetId="5" hidden="1">REPRESENTANTES!$A$2:$D$2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11" i="2" l="1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D89" i="2"/>
  <c r="B89" i="2"/>
  <c r="D88" i="2"/>
  <c r="B88" i="2"/>
  <c r="D87" i="2"/>
  <c r="B87" i="2"/>
  <c r="D86" i="2"/>
  <c r="B86" i="2"/>
  <c r="D85" i="2"/>
  <c r="B85" i="2"/>
  <c r="D84" i="2"/>
  <c r="B84" i="2"/>
  <c r="D83" i="2"/>
  <c r="B83" i="2"/>
  <c r="D82" i="2"/>
  <c r="B82" i="2"/>
  <c r="D81" i="2"/>
  <c r="B81" i="2"/>
  <c r="D80" i="2"/>
  <c r="B80" i="2"/>
  <c r="D79" i="2"/>
  <c r="B79" i="2"/>
  <c r="D78" i="2"/>
  <c r="B78" i="2"/>
  <c r="D77" i="2"/>
  <c r="B77" i="2"/>
  <c r="D76" i="2"/>
  <c r="B76" i="2"/>
  <c r="D75" i="2"/>
  <c r="B75" i="2"/>
  <c r="D74" i="2"/>
  <c r="B74" i="2"/>
  <c r="D73" i="2"/>
  <c r="B73" i="2"/>
  <c r="D72" i="2"/>
  <c r="B72" i="2"/>
  <c r="D71" i="2"/>
  <c r="B71" i="2"/>
  <c r="D70" i="2"/>
  <c r="B70" i="2"/>
  <c r="D69" i="2"/>
  <c r="B69" i="2"/>
  <c r="D68" i="2"/>
  <c r="B68" i="2"/>
  <c r="D67" i="2"/>
  <c r="B67" i="2"/>
  <c r="D66" i="2"/>
  <c r="B66" i="2"/>
  <c r="D65" i="2"/>
  <c r="B65" i="2"/>
  <c r="D64" i="2"/>
  <c r="B64" i="2"/>
  <c r="D63" i="2"/>
  <c r="B63" i="2"/>
  <c r="D62" i="2"/>
  <c r="B62" i="2"/>
  <c r="D61" i="2"/>
  <c r="B61" i="2"/>
  <c r="D60" i="2"/>
  <c r="B60" i="2"/>
  <c r="D59" i="2"/>
  <c r="B59" i="2"/>
  <c r="D58" i="2"/>
  <c r="B58" i="2"/>
  <c r="D57" i="2"/>
  <c r="B57" i="2"/>
  <c r="D56" i="2"/>
  <c r="B56" i="2"/>
  <c r="D55" i="2"/>
  <c r="B55" i="2"/>
  <c r="D54" i="2"/>
  <c r="B54" i="2"/>
  <c r="D53" i="2"/>
  <c r="B53" i="2"/>
  <c r="D52" i="2"/>
  <c r="B52" i="2"/>
  <c r="D51" i="2"/>
  <c r="B51" i="2"/>
  <c r="D50" i="2"/>
  <c r="B50" i="2"/>
  <c r="D49" i="2"/>
  <c r="B49" i="2"/>
  <c r="D48" i="2"/>
  <c r="B48" i="2"/>
  <c r="D47" i="2"/>
  <c r="B47" i="2"/>
  <c r="D46" i="2"/>
  <c r="B46" i="2"/>
  <c r="D45" i="2"/>
  <c r="B45" i="2"/>
  <c r="D44" i="2"/>
  <c r="B44" i="2"/>
  <c r="D43" i="2"/>
  <c r="B43" i="2"/>
  <c r="D42" i="2"/>
  <c r="B42" i="2"/>
  <c r="D41" i="2"/>
  <c r="B41" i="2"/>
  <c r="D40" i="2"/>
  <c r="B40" i="2"/>
  <c r="D39" i="2"/>
  <c r="B39" i="2"/>
  <c r="D38" i="2"/>
  <c r="B38" i="2"/>
  <c r="D37" i="2"/>
  <c r="B37" i="2"/>
  <c r="D36" i="2"/>
  <c r="B36" i="2"/>
  <c r="D35" i="2"/>
  <c r="B35" i="2"/>
  <c r="D34" i="2"/>
  <c r="B34" i="2"/>
  <c r="D33" i="2"/>
  <c r="B33" i="2"/>
  <c r="D32" i="2"/>
  <c r="B32" i="2"/>
  <c r="D31" i="2"/>
  <c r="B31" i="2"/>
  <c r="D30" i="2"/>
  <c r="B30" i="2"/>
  <c r="D29" i="2"/>
  <c r="B29" i="2"/>
  <c r="D28" i="2"/>
  <c r="B28" i="2"/>
  <c r="D27" i="2"/>
  <c r="B27" i="2"/>
  <c r="D26" i="2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D19" i="2"/>
  <c r="B19" i="2"/>
  <c r="D18" i="2"/>
  <c r="B18" i="2"/>
  <c r="D17" i="2"/>
  <c r="B17" i="2"/>
  <c r="D16" i="2"/>
  <c r="B16" i="2"/>
  <c r="D15" i="2"/>
  <c r="B15" i="2"/>
  <c r="D14" i="2"/>
  <c r="B14" i="2"/>
  <c r="D13" i="2"/>
  <c r="B13" i="2"/>
  <c r="D12" i="2"/>
  <c r="B12" i="2"/>
  <c r="D11" i="2"/>
  <c r="B11" i="2"/>
  <c r="A1" i="4" l="1"/>
  <c r="A1" i="5"/>
  <c r="A1" i="6"/>
  <c r="A1" i="3"/>
  <c r="D82" i="3"/>
  <c r="B82" i="3"/>
  <c r="A82" i="3"/>
  <c r="D81" i="3"/>
  <c r="B81" i="3"/>
  <c r="A81" i="3"/>
  <c r="D80" i="3"/>
  <c r="B80" i="3"/>
  <c r="A80" i="3"/>
  <c r="D79" i="3"/>
  <c r="B79" i="3"/>
  <c r="A79" i="3"/>
  <c r="D78" i="3"/>
  <c r="B78" i="3"/>
  <c r="A78" i="3"/>
  <c r="D77" i="3"/>
  <c r="B77" i="3"/>
  <c r="A77" i="3"/>
  <c r="D76" i="3"/>
  <c r="B76" i="3"/>
  <c r="A76" i="3"/>
  <c r="D75" i="3"/>
  <c r="B75" i="3"/>
  <c r="A75" i="3"/>
  <c r="D74" i="3"/>
  <c r="B74" i="3"/>
  <c r="A74" i="3"/>
  <c r="D73" i="3"/>
  <c r="B73" i="3"/>
  <c r="A73" i="3"/>
  <c r="D72" i="3"/>
  <c r="B72" i="3"/>
  <c r="A72" i="3"/>
  <c r="D71" i="3"/>
  <c r="B71" i="3"/>
  <c r="A71" i="3"/>
  <c r="D70" i="3"/>
  <c r="B70" i="3"/>
  <c r="A70" i="3"/>
  <c r="D69" i="3"/>
  <c r="B69" i="3"/>
  <c r="A69" i="3"/>
  <c r="D68" i="3"/>
  <c r="B68" i="3"/>
  <c r="A68" i="3"/>
  <c r="D67" i="3"/>
  <c r="B67" i="3"/>
  <c r="A67" i="3"/>
  <c r="D66" i="3"/>
  <c r="B66" i="3"/>
  <c r="A66" i="3"/>
  <c r="D65" i="3"/>
  <c r="B65" i="3"/>
  <c r="A65" i="3"/>
  <c r="D64" i="3"/>
  <c r="B64" i="3"/>
  <c r="A64" i="3"/>
  <c r="D63" i="3"/>
  <c r="B63" i="3"/>
  <c r="A63" i="3"/>
  <c r="D62" i="3"/>
  <c r="B62" i="3"/>
  <c r="A62" i="3"/>
  <c r="D61" i="3"/>
  <c r="B61" i="3"/>
  <c r="A61" i="3"/>
  <c r="D60" i="3"/>
  <c r="B60" i="3"/>
  <c r="A60" i="3"/>
  <c r="D59" i="3"/>
  <c r="B59" i="3"/>
  <c r="A59" i="3"/>
  <c r="D58" i="3"/>
  <c r="B58" i="3"/>
  <c r="A58" i="3"/>
  <c r="D57" i="3"/>
  <c r="B57" i="3"/>
  <c r="A57" i="3"/>
  <c r="D56" i="3"/>
  <c r="B56" i="3"/>
  <c r="A56" i="3"/>
  <c r="D55" i="3"/>
  <c r="B55" i="3"/>
  <c r="A55" i="3"/>
  <c r="D54" i="3"/>
  <c r="B54" i="3"/>
  <c r="A54" i="3"/>
  <c r="D53" i="3"/>
  <c r="B53" i="3"/>
  <c r="A53" i="3"/>
  <c r="D52" i="3"/>
  <c r="B52" i="3"/>
  <c r="A52" i="3"/>
  <c r="D51" i="3"/>
  <c r="B51" i="3"/>
  <c r="A51" i="3"/>
  <c r="D50" i="3"/>
  <c r="B50" i="3"/>
  <c r="A50" i="3"/>
  <c r="D49" i="3"/>
  <c r="B49" i="3"/>
  <c r="A49" i="3"/>
  <c r="D48" i="3"/>
  <c r="B48" i="3"/>
  <c r="A48" i="3"/>
  <c r="D47" i="3"/>
  <c r="B47" i="3"/>
  <c r="A47" i="3"/>
  <c r="D46" i="3"/>
  <c r="B46" i="3"/>
  <c r="A46" i="3"/>
  <c r="D45" i="3"/>
  <c r="B45" i="3"/>
  <c r="A45" i="3"/>
  <c r="D44" i="3"/>
  <c r="B44" i="3"/>
  <c r="A44" i="3"/>
  <c r="D43" i="3"/>
  <c r="B43" i="3"/>
  <c r="A43" i="3"/>
  <c r="D42" i="3"/>
  <c r="B42" i="3"/>
  <c r="A42" i="3"/>
  <c r="D41" i="3"/>
  <c r="B41" i="3"/>
  <c r="A41" i="3"/>
  <c r="D40" i="3"/>
  <c r="B40" i="3"/>
  <c r="A40" i="3"/>
  <c r="D39" i="3"/>
  <c r="B39" i="3"/>
  <c r="A39" i="3"/>
  <c r="D38" i="3"/>
  <c r="B38" i="3"/>
  <c r="A38" i="3"/>
  <c r="D37" i="3"/>
  <c r="B37" i="3"/>
  <c r="A37" i="3"/>
  <c r="D36" i="3"/>
  <c r="B36" i="3"/>
  <c r="A36" i="3"/>
  <c r="D35" i="3"/>
  <c r="B35" i="3"/>
  <c r="A35" i="3"/>
  <c r="D34" i="3"/>
  <c r="B34" i="3"/>
  <c r="A34" i="3"/>
  <c r="D33" i="3"/>
  <c r="B33" i="3"/>
  <c r="A33" i="3"/>
  <c r="D32" i="3"/>
  <c r="B32" i="3"/>
  <c r="A32" i="3"/>
  <c r="D31" i="3"/>
  <c r="B31" i="3"/>
  <c r="A31" i="3"/>
  <c r="D30" i="3"/>
  <c r="B30" i="3"/>
  <c r="A30" i="3"/>
  <c r="D29" i="3"/>
  <c r="B29" i="3"/>
  <c r="A29" i="3"/>
  <c r="D28" i="3"/>
  <c r="B28" i="3"/>
  <c r="A28" i="3"/>
  <c r="D27" i="3"/>
  <c r="B27" i="3"/>
  <c r="A27" i="3"/>
  <c r="D26" i="3"/>
  <c r="B26" i="3"/>
  <c r="A26" i="3"/>
  <c r="D25" i="3"/>
  <c r="B25" i="3"/>
  <c r="A25" i="3"/>
  <c r="D24" i="3"/>
  <c r="B24" i="3"/>
  <c r="A24" i="3"/>
  <c r="D23" i="3"/>
  <c r="B23" i="3"/>
  <c r="A23" i="3"/>
  <c r="D22" i="3"/>
  <c r="B22" i="3"/>
  <c r="A22" i="3"/>
  <c r="D21" i="3"/>
  <c r="B21" i="3"/>
  <c r="A21" i="3"/>
  <c r="D20" i="3"/>
  <c r="B20" i="3"/>
  <c r="A20" i="3"/>
  <c r="D19" i="3"/>
  <c r="B19" i="3"/>
  <c r="A19" i="3"/>
  <c r="D18" i="3"/>
  <c r="B18" i="3"/>
  <c r="A18" i="3"/>
  <c r="D17" i="3"/>
  <c r="B17" i="3"/>
  <c r="A17" i="3"/>
  <c r="D16" i="3"/>
  <c r="B16" i="3"/>
  <c r="A16" i="3"/>
  <c r="D15" i="3"/>
  <c r="B15" i="3"/>
  <c r="A15" i="3"/>
  <c r="D14" i="3"/>
  <c r="B14" i="3"/>
  <c r="A14" i="3"/>
  <c r="D13" i="3"/>
  <c r="B13" i="3"/>
  <c r="A13" i="3"/>
  <c r="D12" i="3"/>
  <c r="B12" i="3"/>
  <c r="A12" i="3"/>
  <c r="D11" i="3"/>
  <c r="B11" i="3"/>
  <c r="A11" i="3"/>
  <c r="D10" i="3"/>
  <c r="B10" i="3"/>
  <c r="A10" i="3"/>
  <c r="D9" i="3"/>
  <c r="B9" i="3"/>
  <c r="A9" i="3"/>
  <c r="D8" i="3"/>
  <c r="B8" i="3"/>
  <c r="A8" i="3"/>
  <c r="D7" i="3"/>
  <c r="B7" i="3"/>
  <c r="A7" i="3"/>
  <c r="D6" i="3"/>
  <c r="B6" i="3"/>
  <c r="A6" i="3"/>
  <c r="D5" i="3"/>
  <c r="B5" i="3"/>
  <c r="A5" i="3"/>
  <c r="D4" i="3"/>
  <c r="B4" i="3"/>
  <c r="A4" i="3"/>
  <c r="D3" i="3"/>
  <c r="B3" i="3"/>
  <c r="A3" i="3"/>
  <c r="D10" i="2"/>
  <c r="B10" i="2"/>
  <c r="A10" i="2"/>
  <c r="D9" i="2"/>
  <c r="B9" i="2"/>
  <c r="A9" i="2"/>
  <c r="D8" i="2"/>
  <c r="B8" i="2"/>
  <c r="A8" i="2"/>
  <c r="D7" i="2"/>
  <c r="B7" i="2"/>
  <c r="A7" i="2"/>
  <c r="D6" i="2"/>
  <c r="B6" i="2"/>
  <c r="A6" i="2"/>
  <c r="D5" i="2"/>
  <c r="B5" i="2"/>
  <c r="A5" i="2"/>
  <c r="D4" i="2"/>
  <c r="B4" i="2"/>
  <c r="A4" i="2"/>
  <c r="D3" i="2"/>
  <c r="B3" i="2"/>
  <c r="A3" i="2"/>
  <c r="A1" i="2"/>
  <c r="D493" i="1"/>
  <c r="B493" i="1"/>
  <c r="D492" i="1"/>
  <c r="B492" i="1"/>
  <c r="D491" i="1"/>
  <c r="B491" i="1"/>
  <c r="D490" i="1"/>
  <c r="B490" i="1"/>
  <c r="D489" i="1"/>
  <c r="B489" i="1"/>
  <c r="D488" i="1"/>
  <c r="B488" i="1"/>
  <c r="D487" i="1"/>
  <c r="B487" i="1"/>
  <c r="D486" i="1"/>
  <c r="B486" i="1"/>
  <c r="D485" i="1"/>
  <c r="B485" i="1"/>
  <c r="D484" i="1"/>
  <c r="B484" i="1"/>
  <c r="D483" i="1"/>
  <c r="B483" i="1"/>
  <c r="D482" i="1"/>
  <c r="B482" i="1"/>
  <c r="D481" i="1"/>
  <c r="B481" i="1"/>
  <c r="D480" i="1"/>
  <c r="B480" i="1"/>
  <c r="D479" i="1"/>
  <c r="B479" i="1"/>
  <c r="D478" i="1"/>
  <c r="B478" i="1"/>
  <c r="D477" i="1"/>
  <c r="B477" i="1"/>
  <c r="D476" i="1"/>
  <c r="B476" i="1"/>
  <c r="D475" i="1"/>
  <c r="B475" i="1"/>
  <c r="D474" i="1"/>
  <c r="B474" i="1"/>
  <c r="D473" i="1"/>
  <c r="B473" i="1"/>
  <c r="D472" i="1"/>
  <c r="B472" i="1"/>
  <c r="D471" i="1"/>
  <c r="B471" i="1"/>
  <c r="D470" i="1"/>
  <c r="B470" i="1"/>
  <c r="D469" i="1"/>
  <c r="B469" i="1"/>
  <c r="D468" i="1"/>
  <c r="B468" i="1"/>
  <c r="D467" i="1"/>
  <c r="B467" i="1"/>
  <c r="D466" i="1"/>
  <c r="B466" i="1"/>
  <c r="D465" i="1"/>
  <c r="B465" i="1"/>
  <c r="D464" i="1"/>
  <c r="B464" i="1"/>
  <c r="D463" i="1"/>
  <c r="B463" i="1"/>
  <c r="D462" i="1"/>
  <c r="B462" i="1"/>
  <c r="D461" i="1"/>
  <c r="B461" i="1"/>
  <c r="D460" i="1"/>
  <c r="B460" i="1"/>
  <c r="D459" i="1"/>
  <c r="B459" i="1"/>
  <c r="D458" i="1"/>
  <c r="B458" i="1"/>
  <c r="D457" i="1"/>
  <c r="B457" i="1"/>
  <c r="D456" i="1"/>
  <c r="B456" i="1"/>
  <c r="D455" i="1"/>
  <c r="B455" i="1"/>
  <c r="D454" i="1"/>
  <c r="B454" i="1"/>
  <c r="D453" i="1"/>
  <c r="B453" i="1"/>
  <c r="D452" i="1"/>
  <c r="B452" i="1"/>
  <c r="D451" i="1"/>
  <c r="B451" i="1"/>
  <c r="D450" i="1"/>
  <c r="B450" i="1"/>
  <c r="D449" i="1"/>
  <c r="B449" i="1"/>
  <c r="D448" i="1"/>
  <c r="B448" i="1"/>
  <c r="D447" i="1"/>
  <c r="B447" i="1"/>
  <c r="D446" i="1"/>
  <c r="B446" i="1"/>
  <c r="D445" i="1"/>
  <c r="B445" i="1"/>
  <c r="D444" i="1"/>
  <c r="B444" i="1"/>
  <c r="D443" i="1"/>
  <c r="B443" i="1"/>
  <c r="D442" i="1"/>
  <c r="B442" i="1"/>
  <c r="D441" i="1"/>
  <c r="B441" i="1"/>
  <c r="D440" i="1"/>
  <c r="B440" i="1"/>
  <c r="D439" i="1"/>
  <c r="B439" i="1"/>
  <c r="D438" i="1"/>
  <c r="B438" i="1"/>
  <c r="D437" i="1"/>
  <c r="B437" i="1"/>
  <c r="D436" i="1"/>
  <c r="B436" i="1"/>
  <c r="D435" i="1"/>
  <c r="B435" i="1"/>
  <c r="D434" i="1"/>
  <c r="B434" i="1"/>
  <c r="D433" i="1"/>
  <c r="B433" i="1"/>
  <c r="D432" i="1"/>
  <c r="B432" i="1"/>
  <c r="D431" i="1"/>
  <c r="B431" i="1"/>
  <c r="D430" i="1"/>
  <c r="B430" i="1"/>
  <c r="D429" i="1"/>
  <c r="B429" i="1"/>
  <c r="D428" i="1"/>
  <c r="B428" i="1"/>
  <c r="D427" i="1"/>
  <c r="B427" i="1"/>
  <c r="D426" i="1"/>
  <c r="B426" i="1"/>
  <c r="D425" i="1"/>
  <c r="B425" i="1"/>
  <c r="D424" i="1"/>
  <c r="B424" i="1"/>
  <c r="D423" i="1"/>
  <c r="B423" i="1"/>
  <c r="D422" i="1"/>
  <c r="B422" i="1"/>
  <c r="D421" i="1"/>
  <c r="B421" i="1"/>
  <c r="D420" i="1"/>
  <c r="B420" i="1"/>
  <c r="D419" i="1"/>
  <c r="B419" i="1"/>
  <c r="D418" i="1"/>
  <c r="B418" i="1"/>
  <c r="D417" i="1"/>
  <c r="B417" i="1"/>
  <c r="D416" i="1"/>
  <c r="B416" i="1"/>
  <c r="D415" i="1"/>
  <c r="B415" i="1"/>
  <c r="D414" i="1"/>
  <c r="B414" i="1"/>
  <c r="A414" i="1"/>
  <c r="D413" i="1"/>
  <c r="B413" i="1"/>
  <c r="A413" i="1"/>
  <c r="D412" i="1"/>
  <c r="B412" i="1"/>
  <c r="A412" i="1"/>
  <c r="D411" i="1"/>
  <c r="B411" i="1"/>
  <c r="A411" i="1"/>
  <c r="D410" i="1"/>
  <c r="B410" i="1"/>
  <c r="A410" i="1"/>
  <c r="D409" i="1"/>
  <c r="B409" i="1"/>
  <c r="A409" i="1"/>
  <c r="D408" i="1"/>
  <c r="B408" i="1"/>
  <c r="A408" i="1"/>
  <c r="D407" i="1"/>
  <c r="B407" i="1"/>
  <c r="A407" i="1"/>
  <c r="D406" i="1"/>
  <c r="B406" i="1"/>
  <c r="A406" i="1"/>
  <c r="D405" i="1"/>
  <c r="B405" i="1"/>
  <c r="A405" i="1"/>
  <c r="D404" i="1"/>
  <c r="B404" i="1"/>
  <c r="A404" i="1"/>
  <c r="D403" i="1"/>
  <c r="B403" i="1"/>
  <c r="A403" i="1"/>
  <c r="D402" i="1"/>
  <c r="B402" i="1"/>
  <c r="A402" i="1"/>
  <c r="D401" i="1"/>
  <c r="B401" i="1"/>
  <c r="A401" i="1"/>
  <c r="D400" i="1"/>
  <c r="B400" i="1"/>
  <c r="A400" i="1"/>
  <c r="D399" i="1"/>
  <c r="B399" i="1"/>
  <c r="A399" i="1"/>
  <c r="D398" i="1"/>
  <c r="B398" i="1"/>
  <c r="A398" i="1"/>
  <c r="D397" i="1"/>
  <c r="B397" i="1"/>
  <c r="A397" i="1"/>
  <c r="D396" i="1"/>
  <c r="B396" i="1"/>
  <c r="A396" i="1"/>
  <c r="D395" i="1"/>
  <c r="B395" i="1"/>
  <c r="A395" i="1"/>
  <c r="D394" i="1"/>
  <c r="B394" i="1"/>
  <c r="A394" i="1"/>
  <c r="D393" i="1"/>
  <c r="B393" i="1"/>
  <c r="A393" i="1"/>
  <c r="D392" i="1"/>
  <c r="B392" i="1"/>
  <c r="A392" i="1"/>
  <c r="D391" i="1"/>
  <c r="B391" i="1"/>
  <c r="A391" i="1"/>
  <c r="D390" i="1"/>
  <c r="B390" i="1"/>
  <c r="A390" i="1"/>
  <c r="D389" i="1"/>
  <c r="B389" i="1"/>
  <c r="A389" i="1"/>
  <c r="D388" i="1"/>
  <c r="B388" i="1"/>
  <c r="A388" i="1"/>
  <c r="D387" i="1"/>
  <c r="B387" i="1"/>
  <c r="A387" i="1"/>
  <c r="D386" i="1"/>
  <c r="B386" i="1"/>
  <c r="A386" i="1"/>
  <c r="D385" i="1"/>
  <c r="B385" i="1"/>
  <c r="A385" i="1"/>
  <c r="D384" i="1"/>
  <c r="B384" i="1"/>
  <c r="A384" i="1"/>
  <c r="D383" i="1"/>
  <c r="B383" i="1"/>
  <c r="A383" i="1"/>
  <c r="D382" i="1"/>
  <c r="B382" i="1"/>
  <c r="A382" i="1"/>
  <c r="D381" i="1"/>
  <c r="B381" i="1"/>
  <c r="A381" i="1"/>
  <c r="D380" i="1"/>
  <c r="B380" i="1"/>
  <c r="A380" i="1"/>
  <c r="D379" i="1"/>
  <c r="B379" i="1"/>
  <c r="A379" i="1"/>
  <c r="D378" i="1"/>
  <c r="B378" i="1"/>
  <c r="A378" i="1"/>
  <c r="D377" i="1"/>
  <c r="B377" i="1"/>
  <c r="A377" i="1"/>
  <c r="D376" i="1"/>
  <c r="B376" i="1"/>
  <c r="A376" i="1"/>
  <c r="D375" i="1"/>
  <c r="B375" i="1"/>
  <c r="A375" i="1"/>
  <c r="D374" i="1"/>
  <c r="B374" i="1"/>
  <c r="A374" i="1"/>
  <c r="D373" i="1"/>
  <c r="B373" i="1"/>
  <c r="A373" i="1"/>
  <c r="D372" i="1"/>
  <c r="B372" i="1"/>
  <c r="A372" i="1"/>
  <c r="D371" i="1"/>
  <c r="B371" i="1"/>
  <c r="A371" i="1"/>
  <c r="D370" i="1"/>
  <c r="B370" i="1"/>
  <c r="A370" i="1"/>
  <c r="D369" i="1"/>
  <c r="B369" i="1"/>
  <c r="A369" i="1"/>
  <c r="D368" i="1"/>
  <c r="B368" i="1"/>
  <c r="A368" i="1"/>
  <c r="D367" i="1"/>
  <c r="B367" i="1"/>
  <c r="A367" i="1"/>
  <c r="D366" i="1"/>
  <c r="B366" i="1"/>
  <c r="A366" i="1"/>
  <c r="D365" i="1"/>
  <c r="B365" i="1"/>
  <c r="A365" i="1"/>
  <c r="D364" i="1"/>
  <c r="B364" i="1"/>
  <c r="A364" i="1"/>
  <c r="D363" i="1"/>
  <c r="B363" i="1"/>
  <c r="A363" i="1"/>
  <c r="D362" i="1"/>
  <c r="B362" i="1"/>
  <c r="A362" i="1"/>
  <c r="D361" i="1"/>
  <c r="B361" i="1"/>
  <c r="A361" i="1"/>
  <c r="D360" i="1"/>
  <c r="B360" i="1"/>
  <c r="A360" i="1"/>
  <c r="D359" i="1"/>
  <c r="B359" i="1"/>
  <c r="A359" i="1"/>
  <c r="D358" i="1"/>
  <c r="B358" i="1"/>
  <c r="A358" i="1"/>
  <c r="D357" i="1"/>
  <c r="B357" i="1"/>
  <c r="A357" i="1"/>
  <c r="D356" i="1"/>
  <c r="B356" i="1"/>
  <c r="A356" i="1"/>
  <c r="D355" i="1"/>
  <c r="B355" i="1"/>
  <c r="A355" i="1"/>
  <c r="D354" i="1"/>
  <c r="B354" i="1"/>
  <c r="A354" i="1"/>
  <c r="D353" i="1"/>
  <c r="B353" i="1"/>
  <c r="A353" i="1"/>
  <c r="D352" i="1"/>
  <c r="B352" i="1"/>
  <c r="A352" i="1"/>
  <c r="D351" i="1"/>
  <c r="B351" i="1"/>
  <c r="A351" i="1"/>
  <c r="D350" i="1"/>
  <c r="B350" i="1"/>
  <c r="A350" i="1"/>
  <c r="D349" i="1"/>
  <c r="B349" i="1"/>
  <c r="A349" i="1"/>
  <c r="D348" i="1"/>
  <c r="B348" i="1"/>
  <c r="A348" i="1"/>
  <c r="D347" i="1"/>
  <c r="B347" i="1"/>
  <c r="A347" i="1"/>
  <c r="D346" i="1"/>
  <c r="B346" i="1"/>
  <c r="A346" i="1"/>
  <c r="D345" i="1"/>
  <c r="B345" i="1"/>
  <c r="A345" i="1"/>
  <c r="D344" i="1"/>
  <c r="B344" i="1"/>
  <c r="A344" i="1"/>
  <c r="D343" i="1"/>
  <c r="B343" i="1"/>
  <c r="A343" i="1"/>
  <c r="D342" i="1"/>
  <c r="B342" i="1"/>
  <c r="A342" i="1"/>
  <c r="D341" i="1"/>
  <c r="B341" i="1"/>
  <c r="A341" i="1"/>
  <c r="D340" i="1"/>
  <c r="B340" i="1"/>
  <c r="A340" i="1"/>
  <c r="D339" i="1"/>
  <c r="B339" i="1"/>
  <c r="A339" i="1"/>
  <c r="D338" i="1"/>
  <c r="B338" i="1"/>
  <c r="A338" i="1"/>
  <c r="D337" i="1"/>
  <c r="B337" i="1"/>
  <c r="A337" i="1"/>
  <c r="D336" i="1"/>
  <c r="B336" i="1"/>
  <c r="A336" i="1"/>
  <c r="D335" i="1"/>
  <c r="B335" i="1"/>
  <c r="A335" i="1"/>
  <c r="D334" i="1"/>
  <c r="B334" i="1"/>
  <c r="A334" i="1"/>
  <c r="D333" i="1"/>
  <c r="B333" i="1"/>
  <c r="A333" i="1"/>
  <c r="D332" i="1"/>
  <c r="B332" i="1"/>
  <c r="A332" i="1"/>
  <c r="D331" i="1"/>
  <c r="B331" i="1"/>
  <c r="A331" i="1"/>
  <c r="D330" i="1"/>
  <c r="B330" i="1"/>
  <c r="A330" i="1"/>
  <c r="D329" i="1"/>
  <c r="B329" i="1"/>
  <c r="A329" i="1"/>
  <c r="D328" i="1"/>
  <c r="B328" i="1"/>
  <c r="A328" i="1"/>
  <c r="D327" i="1"/>
  <c r="B327" i="1"/>
  <c r="A327" i="1"/>
  <c r="D326" i="1"/>
  <c r="B326" i="1"/>
  <c r="A326" i="1"/>
  <c r="D325" i="1"/>
  <c r="B325" i="1"/>
  <c r="A325" i="1"/>
  <c r="D324" i="1"/>
  <c r="B324" i="1"/>
  <c r="A324" i="1"/>
  <c r="D323" i="1"/>
  <c r="B323" i="1"/>
  <c r="A323" i="1"/>
  <c r="D322" i="1"/>
  <c r="B322" i="1"/>
  <c r="A322" i="1"/>
  <c r="D321" i="1"/>
  <c r="B321" i="1"/>
  <c r="A321" i="1"/>
  <c r="D320" i="1"/>
  <c r="B320" i="1"/>
  <c r="A320" i="1"/>
  <c r="D319" i="1"/>
  <c r="B319" i="1"/>
  <c r="A319" i="1"/>
  <c r="D318" i="1"/>
  <c r="B318" i="1"/>
  <c r="A318" i="1"/>
  <c r="D317" i="1"/>
  <c r="B317" i="1"/>
  <c r="A317" i="1"/>
  <c r="D316" i="1"/>
  <c r="B316" i="1"/>
  <c r="A316" i="1"/>
  <c r="D315" i="1"/>
  <c r="B315" i="1"/>
  <c r="A315" i="1"/>
  <c r="D314" i="1"/>
  <c r="B314" i="1"/>
  <c r="A314" i="1"/>
  <c r="D313" i="1"/>
  <c r="B313" i="1"/>
  <c r="A313" i="1"/>
  <c r="D312" i="1"/>
  <c r="B312" i="1"/>
  <c r="A312" i="1"/>
  <c r="D311" i="1"/>
  <c r="B311" i="1"/>
  <c r="A311" i="1"/>
  <c r="D310" i="1"/>
  <c r="B310" i="1"/>
  <c r="A310" i="1"/>
  <c r="D309" i="1"/>
  <c r="B309" i="1"/>
  <c r="A309" i="1"/>
  <c r="D308" i="1"/>
  <c r="B308" i="1"/>
  <c r="A308" i="1"/>
  <c r="D307" i="1"/>
  <c r="B307" i="1"/>
  <c r="A307" i="1"/>
  <c r="D306" i="1"/>
  <c r="B306" i="1"/>
  <c r="A306" i="1"/>
  <c r="D305" i="1"/>
  <c r="B305" i="1"/>
  <c r="A305" i="1"/>
  <c r="D304" i="1"/>
  <c r="B304" i="1"/>
  <c r="A304" i="1"/>
  <c r="D303" i="1"/>
  <c r="B303" i="1"/>
  <c r="A303" i="1"/>
  <c r="D302" i="1"/>
  <c r="B302" i="1"/>
  <c r="A302" i="1"/>
  <c r="D301" i="1"/>
  <c r="B301" i="1"/>
  <c r="A301" i="1"/>
  <c r="D300" i="1"/>
  <c r="B300" i="1"/>
  <c r="A300" i="1"/>
  <c r="D299" i="1"/>
  <c r="B299" i="1"/>
  <c r="A299" i="1"/>
  <c r="D298" i="1"/>
  <c r="B298" i="1"/>
  <c r="A298" i="1"/>
  <c r="D297" i="1"/>
  <c r="B297" i="1"/>
  <c r="A297" i="1"/>
  <c r="D296" i="1"/>
  <c r="B296" i="1"/>
  <c r="A296" i="1"/>
  <c r="D295" i="1"/>
  <c r="B295" i="1"/>
  <c r="A295" i="1"/>
  <c r="D294" i="1"/>
  <c r="B294" i="1"/>
  <c r="A294" i="1"/>
  <c r="D293" i="1"/>
  <c r="B293" i="1"/>
  <c r="A293" i="1"/>
  <c r="D292" i="1"/>
  <c r="B292" i="1"/>
  <c r="A292" i="1"/>
  <c r="D291" i="1"/>
  <c r="B291" i="1"/>
  <c r="A291" i="1"/>
  <c r="D290" i="1"/>
  <c r="B290" i="1"/>
  <c r="A290" i="1"/>
  <c r="D289" i="1"/>
  <c r="B289" i="1"/>
  <c r="A289" i="1"/>
  <c r="D288" i="1"/>
  <c r="B288" i="1"/>
  <c r="A288" i="1"/>
  <c r="D287" i="1"/>
  <c r="B287" i="1"/>
  <c r="A287" i="1"/>
  <c r="D286" i="1"/>
  <c r="B286" i="1"/>
  <c r="A286" i="1"/>
  <c r="D285" i="1"/>
  <c r="B285" i="1"/>
  <c r="A285" i="1"/>
  <c r="D284" i="1"/>
  <c r="B284" i="1"/>
  <c r="A284" i="1"/>
  <c r="D283" i="1"/>
  <c r="B283" i="1"/>
  <c r="A283" i="1"/>
  <c r="D282" i="1"/>
  <c r="B282" i="1"/>
  <c r="A282" i="1"/>
  <c r="D281" i="1"/>
  <c r="B281" i="1"/>
  <c r="A281" i="1"/>
  <c r="D280" i="1"/>
  <c r="B280" i="1"/>
  <c r="A280" i="1"/>
  <c r="D279" i="1"/>
  <c r="B279" i="1"/>
  <c r="A279" i="1"/>
  <c r="D278" i="1"/>
  <c r="B278" i="1"/>
  <c r="A278" i="1"/>
  <c r="D277" i="1"/>
  <c r="B277" i="1"/>
  <c r="A277" i="1"/>
  <c r="D276" i="1"/>
  <c r="B276" i="1"/>
  <c r="A276" i="1"/>
  <c r="D275" i="1"/>
  <c r="B275" i="1"/>
  <c r="A275" i="1"/>
  <c r="D274" i="1"/>
  <c r="B274" i="1"/>
  <c r="A274" i="1"/>
  <c r="D273" i="1"/>
  <c r="B273" i="1"/>
  <c r="A273" i="1"/>
  <c r="D272" i="1"/>
  <c r="B272" i="1"/>
  <c r="A272" i="1"/>
  <c r="D271" i="1"/>
  <c r="B271" i="1"/>
  <c r="A271" i="1"/>
  <c r="D270" i="1"/>
  <c r="B270" i="1"/>
  <c r="A270" i="1"/>
  <c r="D269" i="1"/>
  <c r="B269" i="1"/>
  <c r="A269" i="1"/>
  <c r="D268" i="1"/>
  <c r="B268" i="1"/>
  <c r="A268" i="1"/>
  <c r="D267" i="1"/>
  <c r="B267" i="1"/>
  <c r="A267" i="1"/>
  <c r="D266" i="1"/>
  <c r="B266" i="1"/>
  <c r="A266" i="1"/>
  <c r="D265" i="1"/>
  <c r="B265" i="1"/>
  <c r="A265" i="1"/>
  <c r="D264" i="1"/>
  <c r="B264" i="1"/>
  <c r="A264" i="1"/>
  <c r="D263" i="1"/>
  <c r="B263" i="1"/>
  <c r="A263" i="1"/>
  <c r="D262" i="1"/>
  <c r="B262" i="1"/>
  <c r="A262" i="1"/>
  <c r="D261" i="1"/>
  <c r="B261" i="1"/>
  <c r="A261" i="1"/>
  <c r="D260" i="1"/>
  <c r="B260" i="1"/>
  <c r="A260" i="1"/>
  <c r="D259" i="1"/>
  <c r="B259" i="1"/>
  <c r="A259" i="1"/>
  <c r="D258" i="1"/>
  <c r="B258" i="1"/>
  <c r="A258" i="1"/>
  <c r="D257" i="1"/>
  <c r="B257" i="1"/>
  <c r="A257" i="1"/>
  <c r="D256" i="1"/>
  <c r="B256" i="1"/>
  <c r="A256" i="1"/>
  <c r="D255" i="1"/>
  <c r="B255" i="1"/>
  <c r="A255" i="1"/>
  <c r="D254" i="1"/>
  <c r="B254" i="1"/>
  <c r="A254" i="1"/>
  <c r="D253" i="1"/>
  <c r="B253" i="1"/>
  <c r="A253" i="1"/>
  <c r="D252" i="1"/>
  <c r="B252" i="1"/>
  <c r="A252" i="1"/>
  <c r="D251" i="1"/>
  <c r="B251" i="1"/>
  <c r="A251" i="1"/>
  <c r="D250" i="1"/>
  <c r="B250" i="1"/>
  <c r="A250" i="1"/>
  <c r="D249" i="1"/>
  <c r="B249" i="1"/>
  <c r="A249" i="1"/>
  <c r="D248" i="1"/>
  <c r="B248" i="1"/>
  <c r="A248" i="1"/>
  <c r="D247" i="1"/>
  <c r="B247" i="1"/>
  <c r="A247" i="1"/>
  <c r="D246" i="1"/>
  <c r="B246" i="1"/>
  <c r="A246" i="1"/>
  <c r="D245" i="1"/>
  <c r="B245" i="1"/>
  <c r="A245" i="1"/>
  <c r="D244" i="1"/>
  <c r="B244" i="1"/>
  <c r="A244" i="1"/>
  <c r="D243" i="1"/>
  <c r="B243" i="1"/>
  <c r="A243" i="1"/>
  <c r="D242" i="1"/>
  <c r="B242" i="1"/>
  <c r="A242" i="1"/>
  <c r="D241" i="1"/>
  <c r="B241" i="1"/>
  <c r="A241" i="1"/>
  <c r="D240" i="1"/>
  <c r="B240" i="1"/>
  <c r="A240" i="1"/>
  <c r="D239" i="1"/>
  <c r="B239" i="1"/>
  <c r="A239" i="1"/>
  <c r="D238" i="1"/>
  <c r="B238" i="1"/>
  <c r="A238" i="1"/>
  <c r="D237" i="1"/>
  <c r="B237" i="1"/>
  <c r="A237" i="1"/>
  <c r="D236" i="1"/>
  <c r="B236" i="1"/>
  <c r="A236" i="1"/>
  <c r="D235" i="1"/>
  <c r="B235" i="1"/>
  <c r="A235" i="1"/>
  <c r="D234" i="1"/>
  <c r="B234" i="1"/>
  <c r="A234" i="1"/>
  <c r="D233" i="1"/>
  <c r="B233" i="1"/>
  <c r="A233" i="1"/>
  <c r="D232" i="1"/>
  <c r="B232" i="1"/>
  <c r="A232" i="1"/>
  <c r="D231" i="1"/>
  <c r="B231" i="1"/>
  <c r="A231" i="1"/>
  <c r="D230" i="1"/>
  <c r="B230" i="1"/>
  <c r="A230" i="1"/>
  <c r="D229" i="1"/>
  <c r="B229" i="1"/>
  <c r="A229" i="1"/>
  <c r="D228" i="1"/>
  <c r="B228" i="1"/>
  <c r="A228" i="1"/>
  <c r="D227" i="1"/>
  <c r="B227" i="1"/>
  <c r="A227" i="1"/>
  <c r="D226" i="1"/>
  <c r="B226" i="1"/>
  <c r="A226" i="1"/>
  <c r="D225" i="1"/>
  <c r="B225" i="1"/>
  <c r="A225" i="1"/>
  <c r="D224" i="1"/>
  <c r="B224" i="1"/>
  <c r="A224" i="1"/>
  <c r="D223" i="1"/>
  <c r="B223" i="1"/>
  <c r="A223" i="1"/>
  <c r="D222" i="1"/>
  <c r="B222" i="1"/>
  <c r="A222" i="1"/>
  <c r="D221" i="1"/>
  <c r="B221" i="1"/>
  <c r="A221" i="1"/>
  <c r="D220" i="1"/>
  <c r="B220" i="1"/>
  <c r="A220" i="1"/>
  <c r="D219" i="1"/>
  <c r="B219" i="1"/>
  <c r="A219" i="1"/>
  <c r="D218" i="1"/>
  <c r="B218" i="1"/>
  <c r="A218" i="1"/>
  <c r="D217" i="1"/>
  <c r="B217" i="1"/>
  <c r="A217" i="1"/>
  <c r="D216" i="1"/>
  <c r="B216" i="1"/>
  <c r="A216" i="1"/>
  <c r="D215" i="1"/>
  <c r="B215" i="1"/>
  <c r="A215" i="1"/>
  <c r="D214" i="1"/>
  <c r="B214" i="1"/>
  <c r="A214" i="1"/>
  <c r="D213" i="1"/>
  <c r="B213" i="1"/>
  <c r="A213" i="1"/>
  <c r="D212" i="1"/>
  <c r="B212" i="1"/>
  <c r="A212" i="1"/>
  <c r="D211" i="1"/>
  <c r="B211" i="1"/>
  <c r="A211" i="1"/>
  <c r="D210" i="1"/>
  <c r="B210" i="1"/>
  <c r="A210" i="1"/>
  <c r="D209" i="1"/>
  <c r="B209" i="1"/>
  <c r="A209" i="1"/>
  <c r="D208" i="1"/>
  <c r="B208" i="1"/>
  <c r="A208" i="1"/>
  <c r="D207" i="1"/>
  <c r="B207" i="1"/>
  <c r="A207" i="1"/>
  <c r="D206" i="1"/>
  <c r="B206" i="1"/>
  <c r="A206" i="1"/>
  <c r="D205" i="1"/>
  <c r="B205" i="1"/>
  <c r="A205" i="1"/>
  <c r="D204" i="1"/>
  <c r="B204" i="1"/>
  <c r="A204" i="1"/>
  <c r="D203" i="1"/>
  <c r="B203" i="1"/>
  <c r="A203" i="1"/>
  <c r="D202" i="1"/>
  <c r="B202" i="1"/>
  <c r="A202" i="1"/>
  <c r="D201" i="1"/>
  <c r="B201" i="1"/>
  <c r="A201" i="1"/>
  <c r="D200" i="1"/>
  <c r="B200" i="1"/>
  <c r="A200" i="1"/>
  <c r="D199" i="1"/>
  <c r="B199" i="1"/>
  <c r="A199" i="1"/>
  <c r="D198" i="1"/>
  <c r="B198" i="1"/>
  <c r="A198" i="1"/>
  <c r="D197" i="1"/>
  <c r="B197" i="1"/>
  <c r="A197" i="1"/>
  <c r="D196" i="1"/>
  <c r="B196" i="1"/>
  <c r="A196" i="1"/>
  <c r="D195" i="1"/>
  <c r="B195" i="1"/>
  <c r="A195" i="1"/>
  <c r="D194" i="1"/>
  <c r="B194" i="1"/>
  <c r="A194" i="1"/>
  <c r="D193" i="1"/>
  <c r="B193" i="1"/>
  <c r="A193" i="1"/>
  <c r="D192" i="1"/>
  <c r="B192" i="1"/>
  <c r="A192" i="1"/>
  <c r="D191" i="1"/>
  <c r="B191" i="1"/>
  <c r="A191" i="1"/>
  <c r="D190" i="1"/>
  <c r="B190" i="1"/>
  <c r="A190" i="1"/>
  <c r="D189" i="1"/>
  <c r="B189" i="1"/>
  <c r="A189" i="1"/>
  <c r="D188" i="1"/>
  <c r="B188" i="1"/>
  <c r="A188" i="1"/>
  <c r="D187" i="1"/>
  <c r="B187" i="1"/>
  <c r="A187" i="1"/>
  <c r="D186" i="1"/>
  <c r="B186" i="1"/>
  <c r="A186" i="1"/>
  <c r="D185" i="1"/>
  <c r="B185" i="1"/>
  <c r="A185" i="1"/>
  <c r="D184" i="1"/>
  <c r="B184" i="1"/>
  <c r="A184" i="1"/>
  <c r="D183" i="1"/>
  <c r="B183" i="1"/>
  <c r="A183" i="1"/>
  <c r="D182" i="1"/>
  <c r="B182" i="1"/>
  <c r="A182" i="1"/>
  <c r="D181" i="1"/>
  <c r="B181" i="1"/>
  <c r="A181" i="1"/>
  <c r="D180" i="1"/>
  <c r="B180" i="1"/>
  <c r="A180" i="1"/>
  <c r="D179" i="1"/>
  <c r="B179" i="1"/>
  <c r="A179" i="1"/>
  <c r="D178" i="1"/>
  <c r="B178" i="1"/>
  <c r="A178" i="1"/>
  <c r="D177" i="1"/>
  <c r="B177" i="1"/>
  <c r="A177" i="1"/>
  <c r="D176" i="1"/>
  <c r="B176" i="1"/>
  <c r="A176" i="1"/>
  <c r="D175" i="1"/>
  <c r="B175" i="1"/>
  <c r="A175" i="1"/>
  <c r="D174" i="1"/>
  <c r="B174" i="1"/>
  <c r="A174" i="1"/>
  <c r="D173" i="1"/>
  <c r="B173" i="1"/>
  <c r="A173" i="1"/>
  <c r="D172" i="1"/>
  <c r="B172" i="1"/>
  <c r="A172" i="1"/>
  <c r="D171" i="1"/>
  <c r="B171" i="1"/>
  <c r="A171" i="1"/>
  <c r="D170" i="1"/>
  <c r="B170" i="1"/>
  <c r="A170" i="1"/>
  <c r="D169" i="1"/>
  <c r="B169" i="1"/>
  <c r="A169" i="1"/>
  <c r="D168" i="1"/>
  <c r="B168" i="1"/>
  <c r="A168" i="1"/>
  <c r="D167" i="1"/>
  <c r="B167" i="1"/>
  <c r="A167" i="1"/>
  <c r="D166" i="1"/>
  <c r="B166" i="1"/>
  <c r="A166" i="1"/>
  <c r="D165" i="1"/>
  <c r="B165" i="1"/>
  <c r="A165" i="1"/>
  <c r="D164" i="1"/>
  <c r="B164" i="1"/>
  <c r="A164" i="1"/>
  <c r="D163" i="1"/>
  <c r="B163" i="1"/>
  <c r="A163" i="1"/>
  <c r="D162" i="1"/>
  <c r="B162" i="1"/>
  <c r="A162" i="1"/>
  <c r="D161" i="1"/>
  <c r="B161" i="1"/>
  <c r="A161" i="1"/>
  <c r="D160" i="1"/>
  <c r="B160" i="1"/>
  <c r="A160" i="1"/>
  <c r="D159" i="1"/>
  <c r="B159" i="1"/>
  <c r="A159" i="1"/>
  <c r="D158" i="1"/>
  <c r="B158" i="1"/>
  <c r="A158" i="1"/>
  <c r="D157" i="1"/>
  <c r="B157" i="1"/>
  <c r="A157" i="1"/>
  <c r="D156" i="1"/>
  <c r="B156" i="1"/>
  <c r="A156" i="1"/>
  <c r="D155" i="1"/>
  <c r="B155" i="1"/>
  <c r="A155" i="1"/>
  <c r="D154" i="1"/>
  <c r="B154" i="1"/>
  <c r="A154" i="1"/>
  <c r="D153" i="1"/>
  <c r="B153" i="1"/>
  <c r="A153" i="1"/>
  <c r="D152" i="1"/>
  <c r="B152" i="1"/>
  <c r="A152" i="1"/>
  <c r="D151" i="1"/>
  <c r="B151" i="1"/>
  <c r="A151" i="1"/>
  <c r="D150" i="1"/>
  <c r="B150" i="1"/>
  <c r="A150" i="1"/>
  <c r="D149" i="1"/>
  <c r="B149" i="1"/>
  <c r="A149" i="1"/>
  <c r="D148" i="1"/>
  <c r="B148" i="1"/>
  <c r="A148" i="1"/>
  <c r="D147" i="1"/>
  <c r="B147" i="1"/>
  <c r="A147" i="1"/>
  <c r="D146" i="1"/>
  <c r="B146" i="1"/>
  <c r="A146" i="1"/>
  <c r="D145" i="1"/>
  <c r="B145" i="1"/>
  <c r="A145" i="1"/>
  <c r="D144" i="1"/>
  <c r="B144" i="1"/>
  <c r="A144" i="1"/>
  <c r="D143" i="1"/>
  <c r="B143" i="1"/>
  <c r="A143" i="1"/>
  <c r="D142" i="1"/>
  <c r="B142" i="1"/>
  <c r="A142" i="1"/>
  <c r="D141" i="1"/>
  <c r="B141" i="1"/>
  <c r="A141" i="1"/>
  <c r="D140" i="1"/>
  <c r="B140" i="1"/>
  <c r="A140" i="1"/>
  <c r="D139" i="1"/>
  <c r="B139" i="1"/>
  <c r="A139" i="1"/>
  <c r="D138" i="1"/>
  <c r="B138" i="1"/>
  <c r="A138" i="1"/>
  <c r="D137" i="1"/>
  <c r="B137" i="1"/>
  <c r="A137" i="1"/>
  <c r="D136" i="1"/>
  <c r="B136" i="1"/>
  <c r="A136" i="1"/>
  <c r="D135" i="1"/>
  <c r="B135" i="1"/>
  <c r="A135" i="1"/>
  <c r="D134" i="1"/>
  <c r="B134" i="1"/>
  <c r="A134" i="1"/>
  <c r="D133" i="1"/>
  <c r="B133" i="1"/>
  <c r="A133" i="1"/>
  <c r="D132" i="1"/>
  <c r="B132" i="1"/>
  <c r="A132" i="1"/>
  <c r="D131" i="1"/>
  <c r="B131" i="1"/>
  <c r="A131" i="1"/>
  <c r="D130" i="1"/>
  <c r="B130" i="1"/>
  <c r="A130" i="1"/>
  <c r="D129" i="1"/>
  <c r="B129" i="1"/>
  <c r="A129" i="1"/>
  <c r="D128" i="1"/>
  <c r="B128" i="1"/>
  <c r="A128" i="1"/>
  <c r="D127" i="1"/>
  <c r="B127" i="1"/>
  <c r="A127" i="1"/>
  <c r="D126" i="1"/>
  <c r="B126" i="1"/>
  <c r="A126" i="1"/>
  <c r="D125" i="1"/>
  <c r="B125" i="1"/>
  <c r="A125" i="1"/>
  <c r="D124" i="1"/>
  <c r="B124" i="1"/>
  <c r="A124" i="1"/>
  <c r="D123" i="1"/>
  <c r="B123" i="1"/>
  <c r="A123" i="1"/>
  <c r="D122" i="1"/>
  <c r="B122" i="1"/>
  <c r="A122" i="1"/>
  <c r="D121" i="1"/>
  <c r="B121" i="1"/>
  <c r="A121" i="1"/>
  <c r="D120" i="1"/>
  <c r="B120" i="1"/>
  <c r="A120" i="1"/>
  <c r="D119" i="1"/>
  <c r="B119" i="1"/>
  <c r="A119" i="1"/>
  <c r="D118" i="1"/>
  <c r="B118" i="1"/>
  <c r="A118" i="1"/>
  <c r="D117" i="1"/>
  <c r="B117" i="1"/>
  <c r="A117" i="1"/>
  <c r="D116" i="1"/>
  <c r="B116" i="1"/>
  <c r="A116" i="1"/>
  <c r="D115" i="1"/>
  <c r="B115" i="1"/>
  <c r="A115" i="1"/>
  <c r="D114" i="1"/>
  <c r="B114" i="1"/>
  <c r="A114" i="1"/>
  <c r="D113" i="1"/>
  <c r="B113" i="1"/>
  <c r="A113" i="1"/>
  <c r="D112" i="1"/>
  <c r="B112" i="1"/>
  <c r="A112" i="1"/>
  <c r="D111" i="1"/>
  <c r="B111" i="1"/>
  <c r="A111" i="1"/>
  <c r="D110" i="1"/>
  <c r="B110" i="1"/>
  <c r="A110" i="1"/>
  <c r="D109" i="1"/>
  <c r="B109" i="1"/>
  <c r="A109" i="1"/>
  <c r="D108" i="1"/>
  <c r="B108" i="1"/>
  <c r="A108" i="1"/>
  <c r="D107" i="1"/>
  <c r="B107" i="1"/>
  <c r="A107" i="1"/>
  <c r="D106" i="1"/>
  <c r="B106" i="1"/>
  <c r="A106" i="1"/>
  <c r="D105" i="1"/>
  <c r="B105" i="1"/>
  <c r="A105" i="1"/>
  <c r="D104" i="1"/>
  <c r="B104" i="1"/>
  <c r="A104" i="1"/>
  <c r="D103" i="1"/>
  <c r="B103" i="1"/>
  <c r="A103" i="1"/>
  <c r="D102" i="1"/>
  <c r="B102" i="1"/>
  <c r="A102" i="1"/>
  <c r="D101" i="1"/>
  <c r="B101" i="1"/>
  <c r="A101" i="1"/>
  <c r="D100" i="1"/>
  <c r="B100" i="1"/>
  <c r="A100" i="1"/>
  <c r="D99" i="1"/>
  <c r="B99" i="1"/>
  <c r="A99" i="1"/>
  <c r="D98" i="1"/>
  <c r="B98" i="1"/>
  <c r="A98" i="1"/>
  <c r="D97" i="1"/>
  <c r="B97" i="1"/>
  <c r="A97" i="1"/>
  <c r="D96" i="1"/>
  <c r="B96" i="1"/>
  <c r="A96" i="1"/>
  <c r="D95" i="1"/>
  <c r="B95" i="1"/>
  <c r="A95" i="1"/>
  <c r="D94" i="1"/>
  <c r="B94" i="1"/>
  <c r="A94" i="1"/>
  <c r="D93" i="1"/>
  <c r="B93" i="1"/>
  <c r="A93" i="1"/>
  <c r="D92" i="1"/>
  <c r="B92" i="1"/>
  <c r="A92" i="1"/>
  <c r="D91" i="1"/>
  <c r="B91" i="1"/>
  <c r="A91" i="1"/>
  <c r="D90" i="1"/>
  <c r="B90" i="1"/>
  <c r="A90" i="1"/>
  <c r="D89" i="1"/>
  <c r="B89" i="1"/>
  <c r="A89" i="1"/>
  <c r="D88" i="1"/>
  <c r="B88" i="1"/>
  <c r="A88" i="1"/>
  <c r="D87" i="1"/>
  <c r="B87" i="1"/>
  <c r="A87" i="1"/>
  <c r="D86" i="1"/>
  <c r="B86" i="1"/>
  <c r="A86" i="1"/>
  <c r="D85" i="1"/>
  <c r="B85" i="1"/>
  <c r="A85" i="1"/>
  <c r="D84" i="1"/>
  <c r="B84" i="1"/>
  <c r="A84" i="1"/>
  <c r="D83" i="1"/>
  <c r="B83" i="1"/>
  <c r="A83" i="1"/>
  <c r="D82" i="1"/>
  <c r="B82" i="1"/>
  <c r="A82" i="1"/>
  <c r="D81" i="1"/>
  <c r="B81" i="1"/>
  <c r="A81" i="1"/>
  <c r="D80" i="1"/>
  <c r="B80" i="1"/>
  <c r="A80" i="1"/>
  <c r="D79" i="1"/>
  <c r="B79" i="1"/>
  <c r="A79" i="1"/>
  <c r="D78" i="1"/>
  <c r="B78" i="1"/>
  <c r="A78" i="1"/>
  <c r="D77" i="1"/>
  <c r="B77" i="1"/>
  <c r="A77" i="1"/>
  <c r="D76" i="1"/>
  <c r="B76" i="1"/>
  <c r="A76" i="1"/>
  <c r="D75" i="1"/>
  <c r="B75" i="1"/>
  <c r="A75" i="1"/>
  <c r="D74" i="1"/>
  <c r="B74" i="1"/>
  <c r="A74" i="1"/>
  <c r="D73" i="1"/>
  <c r="B73" i="1"/>
  <c r="A73" i="1"/>
  <c r="D72" i="1"/>
  <c r="B72" i="1"/>
  <c r="A72" i="1"/>
  <c r="D71" i="1"/>
  <c r="B71" i="1"/>
  <c r="A71" i="1"/>
  <c r="D70" i="1"/>
  <c r="B70" i="1"/>
  <c r="A70" i="1"/>
  <c r="D69" i="1"/>
  <c r="B69" i="1"/>
  <c r="A69" i="1"/>
  <c r="D68" i="1"/>
  <c r="B68" i="1"/>
  <c r="A68" i="1"/>
  <c r="D67" i="1"/>
  <c r="B67" i="1"/>
  <c r="A67" i="1"/>
  <c r="D66" i="1"/>
  <c r="B66" i="1"/>
  <c r="A66" i="1"/>
  <c r="D65" i="1"/>
  <c r="B65" i="1"/>
  <c r="A65" i="1"/>
  <c r="D64" i="1"/>
  <c r="B64" i="1"/>
  <c r="A64" i="1"/>
  <c r="D63" i="1"/>
  <c r="B63" i="1"/>
  <c r="A63" i="1"/>
  <c r="D62" i="1"/>
  <c r="B62" i="1"/>
  <c r="A62" i="1"/>
  <c r="D61" i="1"/>
  <c r="B61" i="1"/>
  <c r="A61" i="1"/>
  <c r="D60" i="1"/>
  <c r="B60" i="1"/>
  <c r="A60" i="1"/>
  <c r="D59" i="1"/>
  <c r="B59" i="1"/>
  <c r="A59" i="1"/>
  <c r="D58" i="1"/>
  <c r="B58" i="1"/>
  <c r="A58" i="1"/>
  <c r="D57" i="1"/>
  <c r="B57" i="1"/>
  <c r="A57" i="1"/>
  <c r="D56" i="1"/>
  <c r="B56" i="1"/>
  <c r="A56" i="1"/>
  <c r="D55" i="1"/>
  <c r="B55" i="1"/>
  <c r="A55" i="1"/>
  <c r="D54" i="1"/>
  <c r="B54" i="1"/>
  <c r="A54" i="1"/>
  <c r="D53" i="1"/>
  <c r="B53" i="1"/>
  <c r="A53" i="1"/>
  <c r="D52" i="1"/>
  <c r="B52" i="1"/>
  <c r="A52" i="1"/>
  <c r="D51" i="1"/>
  <c r="B51" i="1"/>
  <c r="A51" i="1"/>
  <c r="D50" i="1"/>
  <c r="B50" i="1"/>
  <c r="A50" i="1"/>
  <c r="D49" i="1"/>
  <c r="B49" i="1"/>
  <c r="A49" i="1"/>
  <c r="D48" i="1"/>
  <c r="B48" i="1"/>
  <c r="A48" i="1"/>
  <c r="D47" i="1"/>
  <c r="B47" i="1"/>
  <c r="A47" i="1"/>
  <c r="D46" i="1"/>
  <c r="B46" i="1"/>
  <c r="A46" i="1"/>
  <c r="D45" i="1"/>
  <c r="B45" i="1"/>
  <c r="A45" i="1"/>
  <c r="D44" i="1"/>
  <c r="B44" i="1"/>
  <c r="A44" i="1"/>
  <c r="D43" i="1"/>
  <c r="B43" i="1"/>
  <c r="A43" i="1"/>
  <c r="D42" i="1"/>
  <c r="B42" i="1"/>
  <c r="A42" i="1"/>
  <c r="D41" i="1"/>
  <c r="B41" i="1"/>
  <c r="A41" i="1"/>
  <c r="D40" i="1"/>
  <c r="B40" i="1"/>
  <c r="A40" i="1"/>
  <c r="D39" i="1"/>
  <c r="B39" i="1"/>
  <c r="A39" i="1"/>
  <c r="D38" i="1"/>
  <c r="B38" i="1"/>
  <c r="A38" i="1"/>
  <c r="D37" i="1"/>
  <c r="B37" i="1"/>
  <c r="A37" i="1"/>
  <c r="D36" i="1"/>
  <c r="B36" i="1"/>
  <c r="A36" i="1"/>
  <c r="D35" i="1"/>
  <c r="B35" i="1"/>
  <c r="A35" i="1"/>
  <c r="D34" i="1"/>
  <c r="B34" i="1"/>
  <c r="A34" i="1"/>
  <c r="D33" i="1"/>
  <c r="B33" i="1"/>
  <c r="A33" i="1"/>
  <c r="D32" i="1"/>
  <c r="B32" i="1"/>
  <c r="A32" i="1"/>
  <c r="D31" i="1"/>
  <c r="B31" i="1"/>
  <c r="A31" i="1"/>
  <c r="D30" i="1"/>
  <c r="B30" i="1"/>
  <c r="A30" i="1"/>
  <c r="D29" i="1"/>
  <c r="B29" i="1"/>
  <c r="A29" i="1"/>
  <c r="D28" i="1"/>
  <c r="B28" i="1"/>
  <c r="A28" i="1"/>
  <c r="D27" i="1"/>
  <c r="B27" i="1"/>
  <c r="A27" i="1"/>
  <c r="D26" i="1"/>
  <c r="B26" i="1"/>
  <c r="A26" i="1"/>
  <c r="D25" i="1"/>
  <c r="B25" i="1"/>
  <c r="A25" i="1"/>
  <c r="D24" i="1"/>
  <c r="B24" i="1"/>
  <c r="A24" i="1"/>
  <c r="D23" i="1"/>
  <c r="B23" i="1"/>
  <c r="A23" i="1"/>
  <c r="D22" i="1"/>
  <c r="B22" i="1"/>
  <c r="A22" i="1"/>
  <c r="D21" i="1"/>
  <c r="B21" i="1"/>
  <c r="A21" i="1"/>
  <c r="D20" i="1"/>
  <c r="B20" i="1"/>
  <c r="A20" i="1"/>
  <c r="D19" i="1"/>
  <c r="B19" i="1"/>
  <c r="A19" i="1"/>
  <c r="D18" i="1"/>
  <c r="B18" i="1"/>
  <c r="A18" i="1"/>
  <c r="D17" i="1"/>
  <c r="B17" i="1"/>
  <c r="A17" i="1"/>
  <c r="D16" i="1"/>
  <c r="B16" i="1"/>
  <c r="A16" i="1"/>
  <c r="D15" i="1"/>
  <c r="B15" i="1"/>
  <c r="A15" i="1"/>
  <c r="D14" i="1"/>
  <c r="B14" i="1"/>
  <c r="A14" i="1"/>
  <c r="D13" i="1"/>
  <c r="B13" i="1"/>
  <c r="A13" i="1"/>
  <c r="D12" i="1"/>
  <c r="B12" i="1"/>
  <c r="A12" i="1"/>
  <c r="D11" i="1"/>
  <c r="B11" i="1"/>
  <c r="A11" i="1"/>
  <c r="D10" i="1"/>
  <c r="B10" i="1"/>
  <c r="A10" i="1"/>
  <c r="D9" i="1"/>
  <c r="B9" i="1"/>
  <c r="A9" i="1"/>
  <c r="D8" i="1"/>
  <c r="B8" i="1"/>
  <c r="A8" i="1"/>
  <c r="D7" i="1"/>
  <c r="B7" i="1"/>
  <c r="A7" i="1"/>
  <c r="D6" i="1"/>
  <c r="B6" i="1"/>
  <c r="A6" i="1"/>
  <c r="D5" i="1"/>
  <c r="B5" i="1"/>
  <c r="A5" i="1"/>
  <c r="D4" i="1"/>
  <c r="B4" i="1"/>
  <c r="A4" i="1"/>
  <c r="D3" i="1"/>
  <c r="B3" i="1"/>
  <c r="A3" i="1"/>
  <c r="A1" i="1"/>
</calcChain>
</file>

<file path=xl/sharedStrings.xml><?xml version="1.0" encoding="utf-8"?>
<sst xmlns="http://schemas.openxmlformats.org/spreadsheetml/2006/main" count="933" uniqueCount="727">
  <si>
    <t>Nome</t>
  </si>
  <si>
    <t>Centro Custo</t>
  </si>
  <si>
    <t>Estab</t>
  </si>
  <si>
    <t>ADILSON APARECIDO LIRA</t>
  </si>
  <si>
    <t>ALBERTO SCANNAPIECO NETO</t>
  </si>
  <si>
    <t>ALCEMIR BACHIETI</t>
  </si>
  <si>
    <t>ALEXANDRE ZANCANARO</t>
  </si>
  <si>
    <t>ALEXANDRO RIBEIRO SANTOS</t>
  </si>
  <si>
    <t>ALFANIO PANACHO PEREIRA</t>
  </si>
  <si>
    <t>AMARILDO RODRIGUES</t>
  </si>
  <si>
    <t>ANA LAURA RODRIGUES GARCIA MARIANO</t>
  </si>
  <si>
    <t>ANDRE DA SILVA MOREIRA</t>
  </si>
  <si>
    <t>ANGELO RISCAROLLI NETO</t>
  </si>
  <si>
    <t>ANTONIO CLAUDIO FERREIRA DA ROCHA</t>
  </si>
  <si>
    <t>ANTONIO JOSÉ DE CAVALHO JUNIOR</t>
  </si>
  <si>
    <t>ANTONIO JULHO DE PAULA</t>
  </si>
  <si>
    <t>ANTONIO REGINALDO DOS SANTOS</t>
  </si>
  <si>
    <t>ANTONIO SANDRO PONTES MAGALHAES</t>
  </si>
  <si>
    <t>ARIANE XAVIER DA SILVA</t>
  </si>
  <si>
    <t>ARNALDO MULLER</t>
  </si>
  <si>
    <t>BARBARA BRUNA LIMA DE OLIVEIRA</t>
  </si>
  <si>
    <t>CAIO PEREIRA MACHADO</t>
  </si>
  <si>
    <t>CARLOS ALBERTO CARDOSO</t>
  </si>
  <si>
    <t>CARLOS EDUARDO RONCHI</t>
  </si>
  <si>
    <t>CARLOS ROBERTO ZACACHUKA</t>
  </si>
  <si>
    <t>CELSO EDSON ISRAEL</t>
  </si>
  <si>
    <t>CELSO FRANCISCO MARTUSCELLI</t>
  </si>
  <si>
    <t>CLAUDIO ANTÔNIO MARTINS SILVA</t>
  </si>
  <si>
    <t>CLAUDIO CHUQUI</t>
  </si>
  <si>
    <t>CLESIO YAMAMOTO DOS SANTOS</t>
  </si>
  <si>
    <t>DANIEL REQUIA LIMA</t>
  </si>
  <si>
    <t>DAVIDSON PIETRO SONA</t>
  </si>
  <si>
    <t>DENIZE MARA CARVALHO SERRANA</t>
  </si>
  <si>
    <t>DEOLINDO MARTINS VASCONCELOS</t>
  </si>
  <si>
    <t>DIEGO BENTIBOGLIO PIATTI</t>
  </si>
  <si>
    <t>DIOGO SCHIRMER AVILA</t>
  </si>
  <si>
    <t>EDIMAR BARBOSA LIMA</t>
  </si>
  <si>
    <t>EDIVAN SANTOS</t>
  </si>
  <si>
    <t>EDUARDO MILANEZ SILVA</t>
  </si>
  <si>
    <t>ELIAS ARAUJO RIBEIRO JUNIOR</t>
  </si>
  <si>
    <t>EMERSON EDGAR RIGUETI</t>
  </si>
  <si>
    <t>EVERSON GAMA FERNANDES</t>
  </si>
  <si>
    <t>FABIANO JOSÉ DE MORAIS</t>
  </si>
  <si>
    <t>FABIO FREITAS CABECO</t>
  </si>
  <si>
    <t>FARLLE LAYANA CHAVES PAIVA</t>
  </si>
  <si>
    <t>FLAVIO JORGE AQUINO GRANJA</t>
  </si>
  <si>
    <t>FRANCISCO APARECIDO NICOLETE</t>
  </si>
  <si>
    <t>FRANCISCO FAGUNDES</t>
  </si>
  <si>
    <t>FRANTHIESKOLY TELES FERREIRA LIMA</t>
  </si>
  <si>
    <t>GABRIELA COLOMBO DAMAZIO</t>
  </si>
  <si>
    <t>GISELLE APARECIDA ROMERA CORA</t>
  </si>
  <si>
    <t>HEITOR SILVA HIRATA</t>
  </si>
  <si>
    <t>HELCIO VILACA SIQUEIRA</t>
  </si>
  <si>
    <t>HERBERT MELO DE QUEIROZ</t>
  </si>
  <si>
    <t>HERTZ FLORES DOS SANTOS</t>
  </si>
  <si>
    <t>HUMBERTO FERREIRA FILHO</t>
  </si>
  <si>
    <t>ISABELA BAIAO BAETA</t>
  </si>
  <si>
    <t>IVONETE ANDRADE</t>
  </si>
  <si>
    <t>JEDER ANTONIO A. LUZ</t>
  </si>
  <si>
    <t>JEFERSON LISBOA DE OLIVEIRA</t>
  </si>
  <si>
    <t>JEFFERSON BARBIERI</t>
  </si>
  <si>
    <t>JOAO FERNANDES</t>
  </si>
  <si>
    <t>JOAO HAIS JUNIOR</t>
  </si>
  <si>
    <t>JOAO SOARES VERMELHO</t>
  </si>
  <si>
    <t>JOSÉ ANDRADE DE CARVALHO</t>
  </si>
  <si>
    <t>JOSE CARLOS BATISTA MARCHESI</t>
  </si>
  <si>
    <t>JOSE CARLOS CAVICHIO</t>
  </si>
  <si>
    <t>JUNIO CESAR DE CASTRO ANDRADE</t>
  </si>
  <si>
    <t>JUNIO DOS REIS DA SILVA</t>
  </si>
  <si>
    <t>KESSIA PEREIRA MAIA</t>
  </si>
  <si>
    <t>LAERTE PEREIRA DA SILVA</t>
  </si>
  <si>
    <t>LAURA CECILIA VARGAS ANDRADE</t>
  </si>
  <si>
    <t>LEANDRO DA SILVA MELO</t>
  </si>
  <si>
    <t>LEANDRO SILVA BORGES</t>
  </si>
  <si>
    <t>LENON FELICI LOPES</t>
  </si>
  <si>
    <t>LEONARDO FERNANDES PINHO</t>
  </si>
  <si>
    <t>LEONARDO VINICIUS DO AMARAL MACHA</t>
  </si>
  <si>
    <t>LETICIA BARTOCHACKI SILVEIRA</t>
  </si>
  <si>
    <t>LUCIANO ANGELIM GOMES REGO</t>
  </si>
  <si>
    <t>LUIS AUGUSTO PORTO</t>
  </si>
  <si>
    <t>LUIZ AUGUSTO DE OLIVEIRA</t>
  </si>
  <si>
    <t>LUIZ FERNANDO DOS SANTOS SILVA JUNI</t>
  </si>
  <si>
    <t>MAGNO SOUZA VENÂNCIO</t>
  </si>
  <si>
    <t>MARCELO MACALAO RAMOS</t>
  </si>
  <si>
    <t>MARCELO RIBEIRO RODRIGUES</t>
  </si>
  <si>
    <t>MARCOS GNANI BRAUN</t>
  </si>
  <si>
    <t>MARIA ALICE M. MATTOS DE OLIVEIRA FE</t>
  </si>
  <si>
    <t>MAURICIO MASCARO</t>
  </si>
  <si>
    <t>MAURICIO TAVARES VENTURA</t>
  </si>
  <si>
    <t>MIGUEL LÚCIO ALTAR DE OLIVIERA</t>
  </si>
  <si>
    <t>MONICA VILLAS</t>
  </si>
  <si>
    <t>MORYAN LISBOA ARANTES</t>
  </si>
  <si>
    <t>NEILON FERREIRA GUIMARAES</t>
  </si>
  <si>
    <t>OSVALDO APARECIDO BARBOSA</t>
  </si>
  <si>
    <t>PAULO C. L. M. GOMES</t>
  </si>
  <si>
    <t>RAFAEL SANTOS DE SOUSA</t>
  </si>
  <si>
    <t>RAFAEL VENANCIO CONTIM</t>
  </si>
  <si>
    <t>RAIMUNDO NUNES MARTINS NT</t>
  </si>
  <si>
    <t>REINALDO BENEDITO DOS REIS</t>
  </si>
  <si>
    <t>RENATO VIEGAS DE ANDRADE ROCHA</t>
  </si>
  <si>
    <t>RENIS MAURO DE QUEIROZ JUNIOR</t>
  </si>
  <si>
    <t>RISOMAR ALESSANDRO SCHEFLER MACH</t>
  </si>
  <si>
    <t>ROBSON PAIM MATHEO</t>
  </si>
  <si>
    <t>ROBSON RENATO DA SILVA</t>
  </si>
  <si>
    <t>RODRIGO MOURA DE OLIVEIRA</t>
  </si>
  <si>
    <t>ROGER BETTIN MULLER</t>
  </si>
  <si>
    <t>ROSIVAN LOPES FAVACHO</t>
  </si>
  <si>
    <t>RUDINELSON AGUIAR DE ABREU</t>
  </si>
  <si>
    <t>RUTNEA CEZAR ALVES DA ROCHA</t>
  </si>
  <si>
    <t>SAULO ALVES BITENCOURT</t>
  </si>
  <si>
    <t>SERGIO DE SOUSA SILVA</t>
  </si>
  <si>
    <t>SÉRGIO FERNANDES DE SOUZA</t>
  </si>
  <si>
    <t>SERGIO PRABALDI NUNES</t>
  </si>
  <si>
    <t>TATIANA GUINZELLI</t>
  </si>
  <si>
    <t>THIAGO MONTENEGRO NAVARRO</t>
  </si>
  <si>
    <t>UBIRATAN LIMA</t>
  </si>
  <si>
    <t>VALDENIRA FIGUEIRA REGO</t>
  </si>
  <si>
    <t>VALDISLAU BARBOSA DE ALMEIDA</t>
  </si>
  <si>
    <t>VANDERLEI CAMPELO DE AQUINO</t>
  </si>
  <si>
    <t>VITOR EMANUEL MATSURA</t>
  </si>
  <si>
    <t>WALDO COSTA DE MESQUITA</t>
  </si>
  <si>
    <t>WALLAS TELES FERREIRA LIMA</t>
  </si>
  <si>
    <t>WENDER FERREIRA DE SOUSA</t>
  </si>
  <si>
    <t>Documento</t>
  </si>
  <si>
    <t>GUILHERME LUIS BENTO DA CRUZ</t>
  </si>
  <si>
    <t>LINDOMAR GONCALVES DE ALMEIDA</t>
  </si>
  <si>
    <t>02818052882</t>
  </si>
  <si>
    <t>SERGIO LOSI VIANA</t>
  </si>
  <si>
    <t>00574110852</t>
  </si>
  <si>
    <t>BRUNA RODRIGUES ANDRADE</t>
  </si>
  <si>
    <t>FABIANA A. B. MACEDO</t>
  </si>
  <si>
    <t>FLAVIO PONTES DA CRUZ MACEDO</t>
  </si>
  <si>
    <t>JOSE DIRCEU PISTORE</t>
  </si>
  <si>
    <t>LUIZ DE BRANCO NETO</t>
  </si>
  <si>
    <t>LUIZ EDUARDO DE BRANCO</t>
  </si>
  <si>
    <t>NAIARA BARBOSA MACEDO ANDRADE</t>
  </si>
  <si>
    <t>ROSANA MARIA ANDRADE PISTORE</t>
  </si>
  <si>
    <t>RUBENS DE PAULA ANDRADE</t>
  </si>
  <si>
    <t>RUBENS P. V. A. NETTO</t>
  </si>
  <si>
    <t>RUBENS P. V. ANDRADE</t>
  </si>
  <si>
    <t>VITORIA RODRIGUES ANDRADE</t>
  </si>
  <si>
    <t>14051</t>
  </si>
  <si>
    <t>14056</t>
  </si>
  <si>
    <t>14012</t>
  </si>
  <si>
    <t>14052</t>
  </si>
  <si>
    <t>14050</t>
  </si>
  <si>
    <t>14058</t>
  </si>
  <si>
    <t>101</t>
  </si>
  <si>
    <t>15624829809</t>
  </si>
  <si>
    <t>39108238820</t>
  </si>
  <si>
    <t>55816705873</t>
  </si>
  <si>
    <t>14117276816</t>
  </si>
  <si>
    <t>38795881808</t>
  </si>
  <si>
    <t>36149540804</t>
  </si>
  <si>
    <t>45691794876</t>
  </si>
  <si>
    <t>46966060828</t>
  </si>
  <si>
    <t>43328524860</t>
  </si>
  <si>
    <t>40516713809</t>
  </si>
  <si>
    <t>32659416800</t>
  </si>
  <si>
    <t>15611573843</t>
  </si>
  <si>
    <t>19091251808</t>
  </si>
  <si>
    <t>38929344879</t>
  </si>
  <si>
    <t>50773904875</t>
  </si>
  <si>
    <t>33992928802</t>
  </si>
  <si>
    <t>14711635807</t>
  </si>
  <si>
    <t>41390453880</t>
  </si>
  <si>
    <t>41016817835</t>
  </si>
  <si>
    <t>23080611896</t>
  </si>
  <si>
    <t>37273802840</t>
  </si>
  <si>
    <t>37702534850</t>
  </si>
  <si>
    <t>42311817809</t>
  </si>
  <si>
    <t>41672647819</t>
  </si>
  <si>
    <t>44582575870</t>
  </si>
  <si>
    <t>11988727804</t>
  </si>
  <si>
    <t>41654926809</t>
  </si>
  <si>
    <t>46139667879</t>
  </si>
  <si>
    <t>44790234886</t>
  </si>
  <si>
    <t>48399227803</t>
  </si>
  <si>
    <t>19495267803</t>
  </si>
  <si>
    <t>46375002818</t>
  </si>
  <si>
    <t>40833093851</t>
  </si>
  <si>
    <t>22831235855</t>
  </si>
  <si>
    <t>48968628807</t>
  </si>
  <si>
    <t>56977924845</t>
  </si>
  <si>
    <t>54891874848</t>
  </si>
  <si>
    <t>43413371819</t>
  </si>
  <si>
    <t>39868191858</t>
  </si>
  <si>
    <t>45379940889</t>
  </si>
  <si>
    <t>42687648876</t>
  </si>
  <si>
    <t>36574275890</t>
  </si>
  <si>
    <t>55569156879</t>
  </si>
  <si>
    <t>39738470889</t>
  </si>
  <si>
    <t>44891037865</t>
  </si>
  <si>
    <t>51320921876</t>
  </si>
  <si>
    <t>43144878871</t>
  </si>
  <si>
    <t>45442728829</t>
  </si>
  <si>
    <t>29732117869</t>
  </si>
  <si>
    <t>29205126845</t>
  </si>
  <si>
    <t>53312524865</t>
  </si>
  <si>
    <t>31491978805</t>
  </si>
  <si>
    <t>18650076840</t>
  </si>
  <si>
    <t>48069217855</t>
  </si>
  <si>
    <t>15075118844</t>
  </si>
  <si>
    <t>37321841880</t>
  </si>
  <si>
    <t>49319564833</t>
  </si>
  <si>
    <t>22431542858</t>
  </si>
  <si>
    <t>12221993861</t>
  </si>
  <si>
    <t>39389932866</t>
  </si>
  <si>
    <t>27295720820</t>
  </si>
  <si>
    <t>54493363819</t>
  </si>
  <si>
    <t>47901661801</t>
  </si>
  <si>
    <t>66613353353</t>
  </si>
  <si>
    <t>15086839807</t>
  </si>
  <si>
    <t>22668785812</t>
  </si>
  <si>
    <t>07351817804</t>
  </si>
  <si>
    <t>28218236813</t>
  </si>
  <si>
    <t>34768448895</t>
  </si>
  <si>
    <t>35628837814</t>
  </si>
  <si>
    <t>36373815838</t>
  </si>
  <si>
    <t>47814610850</t>
  </si>
  <si>
    <t>51915874807</t>
  </si>
  <si>
    <t>39885225897</t>
  </si>
  <si>
    <t>43543348876</t>
  </si>
  <si>
    <t>32198995875</t>
  </si>
  <si>
    <t>46294530830</t>
  </si>
  <si>
    <t>30233305149</t>
  </si>
  <si>
    <t>46565200807</t>
  </si>
  <si>
    <t>41084278820</t>
  </si>
  <si>
    <t>47791788861</t>
  </si>
  <si>
    <t>49996236846</t>
  </si>
  <si>
    <t>23336691877</t>
  </si>
  <si>
    <t>34167286882</t>
  </si>
  <si>
    <t>18276218857</t>
  </si>
  <si>
    <t>53188406800</t>
  </si>
  <si>
    <t>37964355805</t>
  </si>
  <si>
    <t>13877654851</t>
  </si>
  <si>
    <t>47072378863</t>
  </si>
  <si>
    <t>44310864805</t>
  </si>
  <si>
    <t>36971747895</t>
  </si>
  <si>
    <t>45059692825</t>
  </si>
  <si>
    <t>08137638865</t>
  </si>
  <si>
    <t>36750802850</t>
  </si>
  <si>
    <t>32929313803</t>
  </si>
  <si>
    <t>45063550835</t>
  </si>
  <si>
    <t>21811641857</t>
  </si>
  <si>
    <t>32069344860</t>
  </si>
  <si>
    <t>30768871816</t>
  </si>
  <si>
    <t>57909286848</t>
  </si>
  <si>
    <t>04691523898</t>
  </si>
  <si>
    <t>26370389854</t>
  </si>
  <si>
    <t>47411085898</t>
  </si>
  <si>
    <t>35420705800</t>
  </si>
  <si>
    <t>39481460800</t>
  </si>
  <si>
    <t>13878268831</t>
  </si>
  <si>
    <t>21607129817</t>
  </si>
  <si>
    <t>38315802860</t>
  </si>
  <si>
    <t>29484829848</t>
  </si>
  <si>
    <t>09997316614</t>
  </si>
  <si>
    <t>42940717885</t>
  </si>
  <si>
    <t>33395303861</t>
  </si>
  <si>
    <t>32722423847</t>
  </si>
  <si>
    <t>40984851844</t>
  </si>
  <si>
    <t>43879075840</t>
  </si>
  <si>
    <t>33159884805</t>
  </si>
  <si>
    <t>42141785804</t>
  </si>
  <si>
    <t>07798678581</t>
  </si>
  <si>
    <t>21642316865</t>
  </si>
  <si>
    <t>44472419866</t>
  </si>
  <si>
    <t>56852106802</t>
  </si>
  <si>
    <t>04220264680</t>
  </si>
  <si>
    <t>27477989841</t>
  </si>
  <si>
    <t>31931814805</t>
  </si>
  <si>
    <t>39022554805</t>
  </si>
  <si>
    <t>10900343850</t>
  </si>
  <si>
    <t>33965682814</t>
  </si>
  <si>
    <t>30631865896</t>
  </si>
  <si>
    <t>17056555802</t>
  </si>
  <si>
    <t>16220519809</t>
  </si>
  <si>
    <t>35178408829</t>
  </si>
  <si>
    <t>40300150858</t>
  </si>
  <si>
    <t>02431682331</t>
  </si>
  <si>
    <t>45563491846</t>
  </si>
  <si>
    <t>52229686852</t>
  </si>
  <si>
    <t>33081908850</t>
  </si>
  <si>
    <t>43399667892</t>
  </si>
  <si>
    <t>30864190832</t>
  </si>
  <si>
    <t>22306084874</t>
  </si>
  <si>
    <t>38391138810</t>
  </si>
  <si>
    <t>09565357806</t>
  </si>
  <si>
    <t>32353482805</t>
  </si>
  <si>
    <t>34564393855</t>
  </si>
  <si>
    <t>47438432866</t>
  </si>
  <si>
    <t>41983565806</t>
  </si>
  <si>
    <t>33595458850</t>
  </si>
  <si>
    <t>15161263601</t>
  </si>
  <si>
    <t>42700143850</t>
  </si>
  <si>
    <t>22331308802</t>
  </si>
  <si>
    <t>78541638120</t>
  </si>
  <si>
    <t>32618215826</t>
  </si>
  <si>
    <t>34310723802</t>
  </si>
  <si>
    <t>33288395851</t>
  </si>
  <si>
    <t>36365260814</t>
  </si>
  <si>
    <t>41659045894</t>
  </si>
  <si>
    <t>50425482898</t>
  </si>
  <si>
    <t>45931156801</t>
  </si>
  <si>
    <t>19628843842</t>
  </si>
  <si>
    <t>41996554840</t>
  </si>
  <si>
    <t>22686489820</t>
  </si>
  <si>
    <t>49603802840</t>
  </si>
  <si>
    <t>38583838801</t>
  </si>
  <si>
    <t>38086498875</t>
  </si>
  <si>
    <t>39038153813</t>
  </si>
  <si>
    <t>06081700895</t>
  </si>
  <si>
    <t>44028395801</t>
  </si>
  <si>
    <t>43920598806</t>
  </si>
  <si>
    <t>43537649851</t>
  </si>
  <si>
    <t>41097915883</t>
  </si>
  <si>
    <t>48872005876</t>
  </si>
  <si>
    <t>47401681897</t>
  </si>
  <si>
    <t>34839049807</t>
  </si>
  <si>
    <t>32327756839</t>
  </si>
  <si>
    <t>13012832823</t>
  </si>
  <si>
    <t>21637810890</t>
  </si>
  <si>
    <t>35982359840</t>
  </si>
  <si>
    <t>41078360880</t>
  </si>
  <si>
    <t>21586937898</t>
  </si>
  <si>
    <t>45113616818</t>
  </si>
  <si>
    <t>49286054890</t>
  </si>
  <si>
    <t>37925299800</t>
  </si>
  <si>
    <t>45047721833</t>
  </si>
  <si>
    <t>48454689800</t>
  </si>
  <si>
    <t>49804451875</t>
  </si>
  <si>
    <t>45951317800</t>
  </si>
  <si>
    <t>58809140893</t>
  </si>
  <si>
    <t>42053232803</t>
  </si>
  <si>
    <t>23087230847</t>
  </si>
  <si>
    <t>48317658805</t>
  </si>
  <si>
    <t>49245316858</t>
  </si>
  <si>
    <t>40123328802</t>
  </si>
  <si>
    <t>19627930873</t>
  </si>
  <si>
    <t>29995270803</t>
  </si>
  <si>
    <t>36230864878</t>
  </si>
  <si>
    <t>43944793803</t>
  </si>
  <si>
    <t>39476571888</t>
  </si>
  <si>
    <t>34583524811</t>
  </si>
  <si>
    <t>42909661873</t>
  </si>
  <si>
    <t>38876219803</t>
  </si>
  <si>
    <t>44494959855</t>
  </si>
  <si>
    <t>41159391840</t>
  </si>
  <si>
    <t>41655043862</t>
  </si>
  <si>
    <t>26189964885</t>
  </si>
  <si>
    <t>15977263899</t>
  </si>
  <si>
    <t>46140073847</t>
  </si>
  <si>
    <t>48875329893</t>
  </si>
  <si>
    <t>51416600876</t>
  </si>
  <si>
    <t>57433460896</t>
  </si>
  <si>
    <t>12280808609</t>
  </si>
  <si>
    <t>66146399434</t>
  </si>
  <si>
    <t>41714373851</t>
  </si>
  <si>
    <t>48983392800</t>
  </si>
  <si>
    <t>08714987821</t>
  </si>
  <si>
    <t>04904422856</t>
  </si>
  <si>
    <t>00773731385</t>
  </si>
  <si>
    <t>36358307800</t>
  </si>
  <si>
    <t>16720591860</t>
  </si>
  <si>
    <t>55918895817</t>
  </si>
  <si>
    <t>41163091847</t>
  </si>
  <si>
    <t>34498096878</t>
  </si>
  <si>
    <t>04560226431</t>
  </si>
  <si>
    <t>47387604835</t>
  </si>
  <si>
    <t>43531617842</t>
  </si>
  <si>
    <t>33972783841</t>
  </si>
  <si>
    <t>37159432894</t>
  </si>
  <si>
    <t>38361171851</t>
  </si>
  <si>
    <t>39263600899</t>
  </si>
  <si>
    <t>34901202804</t>
  </si>
  <si>
    <t>28444135879</t>
  </si>
  <si>
    <t>44867005894</t>
  </si>
  <si>
    <t>28416231818</t>
  </si>
  <si>
    <t>54286993884</t>
  </si>
  <si>
    <t>40378485890</t>
  </si>
  <si>
    <t>46309143824</t>
  </si>
  <si>
    <t>44845628805</t>
  </si>
  <si>
    <t>56891909856</t>
  </si>
  <si>
    <t>52831935865</t>
  </si>
  <si>
    <t>32788674830</t>
  </si>
  <si>
    <t>37164697850</t>
  </si>
  <si>
    <t>33445658854</t>
  </si>
  <si>
    <t>36838204894</t>
  </si>
  <si>
    <t>41610144813</t>
  </si>
  <si>
    <t>25358552839</t>
  </si>
  <si>
    <t>40188371869</t>
  </si>
  <si>
    <t>49945578880</t>
  </si>
  <si>
    <t>33835015826</t>
  </si>
  <si>
    <t>33124239881</t>
  </si>
  <si>
    <t>33289632865</t>
  </si>
  <si>
    <t>28444860883</t>
  </si>
  <si>
    <t>43214159852</t>
  </si>
  <si>
    <t>48835193842</t>
  </si>
  <si>
    <t>46298518878</t>
  </si>
  <si>
    <t>27303126848</t>
  </si>
  <si>
    <t>49385246860</t>
  </si>
  <si>
    <t>52418272850</t>
  </si>
  <si>
    <t>22243158809</t>
  </si>
  <si>
    <t>26415342827</t>
  </si>
  <si>
    <t>26022797810</t>
  </si>
  <si>
    <t>49968171867</t>
  </si>
  <si>
    <t>47166689838</t>
  </si>
  <si>
    <t>04354894378</t>
  </si>
  <si>
    <t>45409868803</t>
  </si>
  <si>
    <t>33475115816</t>
  </si>
  <si>
    <t>42363951859</t>
  </si>
  <si>
    <t>48371433859</t>
  </si>
  <si>
    <t>03486681397</t>
  </si>
  <si>
    <t>31050339800</t>
  </si>
  <si>
    <t>14453338805</t>
  </si>
  <si>
    <t>29726941806</t>
  </si>
  <si>
    <t>14959431865</t>
  </si>
  <si>
    <t>94977909887</t>
  </si>
  <si>
    <t>39797033805</t>
  </si>
  <si>
    <t>51029318816</t>
  </si>
  <si>
    <t>40483358800</t>
  </si>
  <si>
    <t>92671705468</t>
  </si>
  <si>
    <t>52447710860</t>
  </si>
  <si>
    <t>32866414802</t>
  </si>
  <si>
    <t>29922578859</t>
  </si>
  <si>
    <t>47026217852</t>
  </si>
  <si>
    <t>40148486800</t>
  </si>
  <si>
    <t>47186695884</t>
  </si>
  <si>
    <t>15044618861</t>
  </si>
  <si>
    <t>13675336867</t>
  </si>
  <si>
    <t>05655920840</t>
  </si>
  <si>
    <t>15867125866</t>
  </si>
  <si>
    <t>35793819894</t>
  </si>
  <si>
    <t>43032193800</t>
  </si>
  <si>
    <t>25074018854</t>
  </si>
  <si>
    <t>08546021864</t>
  </si>
  <si>
    <t>17866551871</t>
  </si>
  <si>
    <t>40758538880</t>
  </si>
  <si>
    <t>48632189824</t>
  </si>
  <si>
    <t>50531275817</t>
  </si>
  <si>
    <t>56700646820</t>
  </si>
  <si>
    <t>14962086847</t>
  </si>
  <si>
    <t>53801501876</t>
  </si>
  <si>
    <t>45342809800</t>
  </si>
  <si>
    <t>34963902800</t>
  </si>
  <si>
    <t>39453432830</t>
  </si>
  <si>
    <t>49433306813</t>
  </si>
  <si>
    <t>38558110832</t>
  </si>
  <si>
    <t>52797355822</t>
  </si>
  <si>
    <t>39197649864</t>
  </si>
  <si>
    <t>31796395803</t>
  </si>
  <si>
    <t>45917794839</t>
  </si>
  <si>
    <t>49060539800</t>
  </si>
  <si>
    <t>50341800813</t>
  </si>
  <si>
    <t>48840697810</t>
  </si>
  <si>
    <t>50425433846</t>
  </si>
  <si>
    <t>42581792809</t>
  </si>
  <si>
    <t>46275195835</t>
  </si>
  <si>
    <t>14104577880</t>
  </si>
  <si>
    <t>36465006898</t>
  </si>
  <si>
    <t>41962962890</t>
  </si>
  <si>
    <t>34626907873</t>
  </si>
  <si>
    <t>45995997866</t>
  </si>
  <si>
    <t>45081899895</t>
  </si>
  <si>
    <t>45154109899</t>
  </si>
  <si>
    <t>52797408888</t>
  </si>
  <si>
    <t>46146140864</t>
  </si>
  <si>
    <t>59323373893</t>
  </si>
  <si>
    <t>40300150857</t>
  </si>
  <si>
    <t>35856177860</t>
  </si>
  <si>
    <t>48183436846</t>
  </si>
  <si>
    <t>05764338883</t>
  </si>
  <si>
    <t>21308041870</t>
  </si>
  <si>
    <t>32517194831</t>
  </si>
  <si>
    <t>02511383136</t>
  </si>
  <si>
    <t>45124039817</t>
  </si>
  <si>
    <t>12750448832</t>
  </si>
  <si>
    <t>44998238892</t>
  </si>
  <si>
    <t>39263768803</t>
  </si>
  <si>
    <t>47579018870</t>
  </si>
  <si>
    <t>47366986836</t>
  </si>
  <si>
    <t>43986539883</t>
  </si>
  <si>
    <t>38956494819</t>
  </si>
  <si>
    <t>39160382813</t>
  </si>
  <si>
    <t>42408396883</t>
  </si>
  <si>
    <t>35444228831</t>
  </si>
  <si>
    <t>39287295867</t>
  </si>
  <si>
    <t>46294165873</t>
  </si>
  <si>
    <t>21893207803</t>
  </si>
  <si>
    <t>20054586860</t>
  </si>
  <si>
    <t>14635491803</t>
  </si>
  <si>
    <t>46311566869</t>
  </si>
  <si>
    <t>31612597858</t>
  </si>
  <si>
    <t>36114410823</t>
  </si>
  <si>
    <t>21874198861</t>
  </si>
  <si>
    <t>38998417863</t>
  </si>
  <si>
    <t>16388839800</t>
  </si>
  <si>
    <t>14543197801</t>
  </si>
  <si>
    <t>18129132818</t>
  </si>
  <si>
    <t>12224468806</t>
  </si>
  <si>
    <t>04820081802</t>
  </si>
  <si>
    <t>11479256820</t>
  </si>
  <si>
    <t>22330953836</t>
  </si>
  <si>
    <t>32293891828</t>
  </si>
  <si>
    <t>33001776854</t>
  </si>
  <si>
    <t>51408148897</t>
  </si>
  <si>
    <t>41311107843</t>
  </si>
  <si>
    <t>48862133839</t>
  </si>
  <si>
    <t>31544570899</t>
  </si>
  <si>
    <t>12221513835</t>
  </si>
  <si>
    <t>27679663866</t>
  </si>
  <si>
    <t>17012662883</t>
  </si>
  <si>
    <t>39053545867</t>
  </si>
  <si>
    <t>02885030666</t>
  </si>
  <si>
    <t>31316745805</t>
  </si>
  <si>
    <t>14955796893</t>
  </si>
  <si>
    <t>09873738894</t>
  </si>
  <si>
    <t>36850795813</t>
  </si>
  <si>
    <t>44497754812</t>
  </si>
  <si>
    <t>43884441892</t>
  </si>
  <si>
    <t>51029236844</t>
  </si>
  <si>
    <t>41196836809</t>
  </si>
  <si>
    <t>41589048890</t>
  </si>
  <si>
    <t>45378949890</t>
  </si>
  <si>
    <t>40430369816</t>
  </si>
  <si>
    <t>33692535856</t>
  </si>
  <si>
    <t>54846403858</t>
  </si>
  <si>
    <t>08035755480</t>
  </si>
  <si>
    <t>49145966877</t>
  </si>
  <si>
    <t>34228639828</t>
  </si>
  <si>
    <t>42537647890</t>
  </si>
  <si>
    <t>41410777391</t>
  </si>
  <si>
    <t>37977426811</t>
  </si>
  <si>
    <t>36282959802</t>
  </si>
  <si>
    <t>37549204802</t>
  </si>
  <si>
    <t>21732160821</t>
  </si>
  <si>
    <t>43213629898</t>
  </si>
  <si>
    <t>57052513862</t>
  </si>
  <si>
    <t>25752620899</t>
  </si>
  <si>
    <t>49040673802</t>
  </si>
  <si>
    <t>23076067850</t>
  </si>
  <si>
    <t>31151835854</t>
  </si>
  <si>
    <t>22025037813</t>
  </si>
  <si>
    <t>35008274899</t>
  </si>
  <si>
    <t>39587065840</t>
  </si>
  <si>
    <t>49932305839</t>
  </si>
  <si>
    <t>50415836840</t>
  </si>
  <si>
    <t>48956231818</t>
  </si>
  <si>
    <t>32269085884</t>
  </si>
  <si>
    <t>47778680874</t>
  </si>
  <si>
    <t>42069214826</t>
  </si>
  <si>
    <t>43651829863</t>
  </si>
  <si>
    <t>43850361870</t>
  </si>
  <si>
    <t>49057253801</t>
  </si>
  <si>
    <t>41095407805</t>
  </si>
  <si>
    <t>23092035801</t>
  </si>
  <si>
    <t>31989733840</t>
  </si>
  <si>
    <t>00070229562</t>
  </si>
  <si>
    <t>51963919831</t>
  </si>
  <si>
    <t>70076506193</t>
  </si>
  <si>
    <t>05220427750</t>
  </si>
  <si>
    <t>13477682629</t>
  </si>
  <si>
    <t>06028854697</t>
  </si>
  <si>
    <t>02798598567</t>
  </si>
  <si>
    <t>04782599137</t>
  </si>
  <si>
    <t>02088253203</t>
  </si>
  <si>
    <t>60886637317</t>
  </si>
  <si>
    <t>03403466124</t>
  </si>
  <si>
    <t>60622300563</t>
  </si>
  <si>
    <t>61769676350</t>
  </si>
  <si>
    <t>04561533575</t>
  </si>
  <si>
    <t>62874713368</t>
  </si>
  <si>
    <t>04995681507</t>
  </si>
  <si>
    <t>13712729642</t>
  </si>
  <si>
    <t>71406972215</t>
  </si>
  <si>
    <t>02978177284</t>
  </si>
  <si>
    <t>32500939200</t>
  </si>
  <si>
    <t>76900347215</t>
  </si>
  <si>
    <t>10029081670</t>
  </si>
  <si>
    <t>13596290767</t>
  </si>
  <si>
    <t>06488563483</t>
  </si>
  <si>
    <t>00872354202</t>
  </si>
  <si>
    <t>03547757312</t>
  </si>
  <si>
    <t>66894654387</t>
  </si>
  <si>
    <t>46142614349</t>
  </si>
  <si>
    <t>08098214516</t>
  </si>
  <si>
    <t>91445760487</t>
  </si>
  <si>
    <t>05715496403</t>
  </si>
  <si>
    <t>03671338300</t>
  </si>
  <si>
    <t>60710866399</t>
  </si>
  <si>
    <t>09694216486</t>
  </si>
  <si>
    <t>06714646127</t>
  </si>
  <si>
    <t>02281453413</t>
  </si>
  <si>
    <t>81364970449</t>
  </si>
  <si>
    <t>82622744315</t>
  </si>
  <si>
    <t>08055664650</t>
  </si>
  <si>
    <t>79571220272</t>
  </si>
  <si>
    <t>07549101647</t>
  </si>
  <si>
    <t>02883746494</t>
  </si>
  <si>
    <t>00739657313</t>
  </si>
  <si>
    <t>05123403400</t>
  </si>
  <si>
    <t>10551900407</t>
  </si>
  <si>
    <t>03094730124</t>
  </si>
  <si>
    <t>04909709150</t>
  </si>
  <si>
    <t>08753791410</t>
  </si>
  <si>
    <t>02035849373</t>
  </si>
  <si>
    <t>18536473738</t>
  </si>
  <si>
    <t>02555194193</t>
  </si>
  <si>
    <t>95706488215</t>
  </si>
  <si>
    <t>05958223631</t>
  </si>
  <si>
    <t>11979979626</t>
  </si>
  <si>
    <t>10916127494</t>
  </si>
  <si>
    <t>47440732391</t>
  </si>
  <si>
    <t>04207162380</t>
  </si>
  <si>
    <t>00712451200</t>
  </si>
  <si>
    <t>86171631191</t>
  </si>
  <si>
    <t>12325193756</t>
  </si>
  <si>
    <t>10790593777</t>
  </si>
  <si>
    <t>70503081612</t>
  </si>
  <si>
    <t>66152917115</t>
  </si>
  <si>
    <t>34743227453</t>
  </si>
  <si>
    <t>02002853940</t>
  </si>
  <si>
    <t>05489671726</t>
  </si>
  <si>
    <t>54409683187</t>
  </si>
  <si>
    <t>12062540760</t>
  </si>
  <si>
    <t>02743007613</t>
  </si>
  <si>
    <t>02987427212</t>
  </si>
  <si>
    <t>99731029168</t>
  </si>
  <si>
    <t>85475106134</t>
  </si>
  <si>
    <t>49991641831</t>
  </si>
  <si>
    <t>01324915404</t>
  </si>
  <si>
    <t>61522707310</t>
  </si>
  <si>
    <t>03847065335</t>
  </si>
  <si>
    <t>80922414220</t>
  </si>
  <si>
    <t>04532725330</t>
  </si>
  <si>
    <t>90181433168</t>
  </si>
  <si>
    <t>15639120746</t>
  </si>
  <si>
    <t>06386641523</t>
  </si>
  <si>
    <t>09936932706</t>
  </si>
  <si>
    <t>14961272779</t>
  </si>
  <si>
    <t>03365098550</t>
  </si>
  <si>
    <t>05019509582</t>
  </si>
  <si>
    <t>17718611779</t>
  </si>
  <si>
    <t>13617202713</t>
  </si>
  <si>
    <t>16688157705</t>
  </si>
  <si>
    <t>07262457551</t>
  </si>
  <si>
    <t>08124387796</t>
  </si>
  <si>
    <t>06176287774</t>
  </si>
  <si>
    <t>15076790848</t>
  </si>
  <si>
    <t>11810337720</t>
  </si>
  <si>
    <t>11288746792</t>
  </si>
  <si>
    <t>17984557730</t>
  </si>
  <si>
    <t>14180050706</t>
  </si>
  <si>
    <t>95248110734</t>
  </si>
  <si>
    <t>18224689735</t>
  </si>
  <si>
    <t>13603633784</t>
  </si>
  <si>
    <t>14788832780</t>
  </si>
  <si>
    <t>11468251708</t>
  </si>
  <si>
    <t>18540114720</t>
  </si>
  <si>
    <t>07668853561</t>
  </si>
  <si>
    <t>09626312726</t>
  </si>
  <si>
    <t>16822456759</t>
  </si>
  <si>
    <t>03475478773</t>
  </si>
  <si>
    <t>14936837725</t>
  </si>
  <si>
    <t>13107709727</t>
  </si>
  <si>
    <t>14368231708</t>
  </si>
  <si>
    <t>17873888754</t>
  </si>
  <si>
    <t>18714852748</t>
  </si>
  <si>
    <t>08328213575</t>
  </si>
  <si>
    <t>15722380709</t>
  </si>
  <si>
    <t>17708350751</t>
  </si>
  <si>
    <t>03864874564</t>
  </si>
  <si>
    <t>15195404771</t>
  </si>
  <si>
    <t>18448254775</t>
  </si>
  <si>
    <t>05154226577</t>
  </si>
  <si>
    <t>15108582706</t>
  </si>
  <si>
    <t>15660557767</t>
  </si>
  <si>
    <t>17346721705</t>
  </si>
  <si>
    <t>22359448761</t>
  </si>
  <si>
    <t>18989158737</t>
  </si>
  <si>
    <t>17360416736</t>
  </si>
  <si>
    <t>19080881767</t>
  </si>
  <si>
    <t>04665703760</t>
  </si>
  <si>
    <t>5937050762</t>
  </si>
  <si>
    <t>11234211700</t>
  </si>
  <si>
    <t>09069146711</t>
  </si>
  <si>
    <t>16657622767</t>
  </si>
  <si>
    <t>18152330795</t>
  </si>
  <si>
    <t>13829354711</t>
  </si>
  <si>
    <t>14979197701</t>
  </si>
  <si>
    <t>18539665760</t>
  </si>
  <si>
    <t>17877678762</t>
  </si>
  <si>
    <t>10892208554</t>
  </si>
  <si>
    <t>22359448769</t>
  </si>
  <si>
    <t>21039431712</t>
  </si>
  <si>
    <t>06341938489</t>
  </si>
  <si>
    <t>15265922741</t>
  </si>
  <si>
    <t>14726393758</t>
  </si>
  <si>
    <t>13676812786</t>
  </si>
  <si>
    <t>14524794700</t>
  </si>
  <si>
    <t>14792416795</t>
  </si>
  <si>
    <t>06204947516</t>
  </si>
  <si>
    <t>14660548759</t>
  </si>
  <si>
    <t>15245505746</t>
  </si>
  <si>
    <t>08533876726</t>
  </si>
  <si>
    <t>10420537740</t>
  </si>
  <si>
    <t>18349933771</t>
  </si>
  <si>
    <t>13829344759</t>
  </si>
  <si>
    <t>14028060788</t>
  </si>
  <si>
    <t>08100495203</t>
  </si>
  <si>
    <t>13829315732</t>
  </si>
  <si>
    <t>12774245788</t>
  </si>
  <si>
    <t>17735150717</t>
  </si>
  <si>
    <t>16881638752</t>
  </si>
  <si>
    <t>13766768778</t>
  </si>
  <si>
    <t>10812781708</t>
  </si>
  <si>
    <t>09886548738</t>
  </si>
  <si>
    <t>22359448765</t>
  </si>
  <si>
    <t>16716675736</t>
  </si>
  <si>
    <t>18675102780</t>
  </si>
  <si>
    <t>14985565741</t>
  </si>
  <si>
    <t>11450103774</t>
  </si>
  <si>
    <t>17720115767</t>
  </si>
  <si>
    <t>06512175719</t>
  </si>
  <si>
    <t>15283689751</t>
  </si>
  <si>
    <t>14871342743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</si>
</sst>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/>
    <xf numFmtId="164" fontId="0" fillId="0" borderId="1" xfId="0" applyNumberFormat="1" applyBorder="1"/>
    <xf numFmtId="49" fontId="0" fillId="0" borderId="0" xfId="0" applyNumberFormat="1"/>
    <xf numFmtId="164" fontId="0" fillId="3" borderId="0" xfId="0" applyNumberFormat="1" applyFill="1"/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3"/>
  <sheetViews>
    <sheetView tabSelected="1" zoomScaleNormal="100" zoomScalePageLayoutView="60" workbookViewId="0">
      <selection activeCell="F3" sqref="F3"/>
    </sheetView>
  </sheetViews>
  <sheetFormatPr defaultColWidth="11.5546875" defaultRowHeight="13.2" x14ac:dyDescent="0.25"/>
  <cols>
    <col min="1" max="1" width="8.21875" style="1" bestFit="1" customWidth="1"/>
    <col min="2" max="2" width="47" style="1" customWidth="1"/>
    <col min="3" max="3" width="18" style="10" customWidth="1"/>
    <col min="4" max="4" width="12.88671875" style="1" customWidth="1"/>
  </cols>
  <sheetData>
    <row r="1" spans="1:4" x14ac:dyDescent="0.25">
      <c r="A1" s="8" t="str">
        <f>"Funcionários"</f>
        <v>Funcionários</v>
      </c>
      <c r="B1" s="8"/>
      <c r="C1" s="8"/>
      <c r="D1" s="8"/>
    </row>
    <row r="2" spans="1:4" x14ac:dyDescent="0.25">
      <c r="A2" s="3" t="s">
        <v>2</v>
      </c>
      <c r="B2" s="3" t="s">
        <v>0</v>
      </c>
      <c r="C2" s="2" t="s">
        <v>123</v>
      </c>
      <c r="D2" s="3" t="s">
        <v>1</v>
      </c>
    </row>
    <row r="3" spans="1:4" x14ac:dyDescent="0.25">
      <c r="A3" s="4" t="str">
        <f t="shared" ref="A3:A66" si="0">"101"</f>
        <v>101</v>
      </c>
      <c r="B3" s="4" t="str">
        <f>"ADEMIR CARDOSO DA SILVA"</f>
        <v>ADEMIR CARDOSO DA SILVA</v>
      </c>
      <c r="C3" s="9" t="s">
        <v>148</v>
      </c>
      <c r="D3" s="4" t="str">
        <f>"13021"</f>
        <v>13021</v>
      </c>
    </row>
    <row r="4" spans="1:4" x14ac:dyDescent="0.25">
      <c r="A4" s="4" t="str">
        <f t="shared" si="0"/>
        <v>101</v>
      </c>
      <c r="B4" s="4" t="str">
        <f>"ADINILSON FERREIRA DOS SANTOS"</f>
        <v>ADINILSON FERREIRA DOS SANTOS</v>
      </c>
      <c r="C4" s="9" t="s">
        <v>149</v>
      </c>
      <c r="D4" s="4" t="str">
        <f>"31100"</f>
        <v>31100</v>
      </c>
    </row>
    <row r="5" spans="1:4" x14ac:dyDescent="0.25">
      <c r="A5" s="4" t="str">
        <f t="shared" si="0"/>
        <v>101</v>
      </c>
      <c r="B5" s="4" t="str">
        <f>"ADRIAN FELIPE SANTOS GOUVEIA COSTA"</f>
        <v>ADRIAN FELIPE SANTOS GOUVEIA COSTA</v>
      </c>
      <c r="C5" s="9" t="s">
        <v>150</v>
      </c>
      <c r="D5" s="4" t="str">
        <f>"31090"</f>
        <v>31090</v>
      </c>
    </row>
    <row r="6" spans="1:4" x14ac:dyDescent="0.25">
      <c r="A6" s="4" t="str">
        <f t="shared" si="0"/>
        <v>101</v>
      </c>
      <c r="B6" s="4" t="str">
        <f>"ADRIANA APARECIDA DA SILVA BENOTTI"</f>
        <v>ADRIANA APARECIDA DA SILVA BENOTTI</v>
      </c>
      <c r="C6" s="9" t="s">
        <v>151</v>
      </c>
      <c r="D6" s="4" t="str">
        <f>"31070"</f>
        <v>31070</v>
      </c>
    </row>
    <row r="7" spans="1:4" x14ac:dyDescent="0.25">
      <c r="A7" s="4" t="str">
        <f t="shared" si="0"/>
        <v>101</v>
      </c>
      <c r="B7" s="4" t="str">
        <f>"ADRIANA APARECIDA DE MORAIS SOUZA"</f>
        <v>ADRIANA APARECIDA DE MORAIS SOUZA</v>
      </c>
      <c r="C7" s="9" t="s">
        <v>152</v>
      </c>
      <c r="D7" s="4" t="str">
        <f>"31114"</f>
        <v>31114</v>
      </c>
    </row>
    <row r="8" spans="1:4" x14ac:dyDescent="0.25">
      <c r="A8" s="4" t="str">
        <f t="shared" si="0"/>
        <v>101</v>
      </c>
      <c r="B8" s="4" t="str">
        <f>"ADRIANA DA SILVA CARDOSO"</f>
        <v>ADRIANA DA SILVA CARDOSO</v>
      </c>
      <c r="C8" s="9" t="s">
        <v>153</v>
      </c>
      <c r="D8" s="4" t="str">
        <f>"33010"</f>
        <v>33010</v>
      </c>
    </row>
    <row r="9" spans="1:4" x14ac:dyDescent="0.25">
      <c r="A9" s="4" t="str">
        <f t="shared" si="0"/>
        <v>101</v>
      </c>
      <c r="B9" s="4" t="str">
        <f>"ADRIANA MARTINS ROGERIO"</f>
        <v>ADRIANA MARTINS ROGERIO</v>
      </c>
      <c r="C9" s="9" t="s">
        <v>154</v>
      </c>
      <c r="D9" s="4" t="str">
        <f>"15050"</f>
        <v>15050</v>
      </c>
    </row>
    <row r="10" spans="1:4" x14ac:dyDescent="0.25">
      <c r="A10" s="4" t="str">
        <f t="shared" si="0"/>
        <v>101</v>
      </c>
      <c r="B10" s="4" t="str">
        <f>"ADRIANO ALVES DA SILVA"</f>
        <v>ADRIANO ALVES DA SILVA</v>
      </c>
      <c r="C10" s="9" t="s">
        <v>155</v>
      </c>
      <c r="D10" s="4" t="str">
        <f>"31111"</f>
        <v>31111</v>
      </c>
    </row>
    <row r="11" spans="1:4" x14ac:dyDescent="0.25">
      <c r="A11" s="4" t="str">
        <f t="shared" si="0"/>
        <v>101</v>
      </c>
      <c r="B11" s="4" t="str">
        <f>"ADRIENE SOUSA DOS SANTOS"</f>
        <v>ADRIENE SOUSA DOS SANTOS</v>
      </c>
      <c r="C11" s="9" t="s">
        <v>156</v>
      </c>
      <c r="D11" s="4" t="str">
        <f>"31114"</f>
        <v>31114</v>
      </c>
    </row>
    <row r="12" spans="1:4" x14ac:dyDescent="0.25">
      <c r="A12" s="4" t="str">
        <f t="shared" si="0"/>
        <v>101</v>
      </c>
      <c r="B12" s="4" t="str">
        <f>"AGNALES VICTOR PEIXOTO"</f>
        <v>AGNALES VICTOR PEIXOTO</v>
      </c>
      <c r="C12" s="9" t="s">
        <v>157</v>
      </c>
      <c r="D12" s="4" t="str">
        <f>"21011"</f>
        <v>21011</v>
      </c>
    </row>
    <row r="13" spans="1:4" x14ac:dyDescent="0.25">
      <c r="A13" s="4" t="str">
        <f t="shared" si="0"/>
        <v>101</v>
      </c>
      <c r="B13" s="4" t="str">
        <f>"AIRTON PEREIRA DE CARVALHO NETO"</f>
        <v>AIRTON PEREIRA DE CARVALHO NETO</v>
      </c>
      <c r="C13" s="9" t="s">
        <v>158</v>
      </c>
      <c r="D13" s="4" t="str">
        <f>"13014"</f>
        <v>13014</v>
      </c>
    </row>
    <row r="14" spans="1:4" x14ac:dyDescent="0.25">
      <c r="A14" s="4" t="str">
        <f t="shared" si="0"/>
        <v>101</v>
      </c>
      <c r="B14" s="4" t="str">
        <f>"ALESSANDRO DA CRUZ CARVALHO"</f>
        <v>ALESSANDRO DA CRUZ CARVALHO</v>
      </c>
      <c r="C14" s="9" t="s">
        <v>159</v>
      </c>
      <c r="D14" s="4" t="str">
        <f>"31100"</f>
        <v>31100</v>
      </c>
    </row>
    <row r="15" spans="1:4" x14ac:dyDescent="0.25">
      <c r="A15" s="4" t="str">
        <f t="shared" si="0"/>
        <v>101</v>
      </c>
      <c r="B15" s="4" t="str">
        <f>"ALESSANDRO DONIZETE SILVA BALTAZAR"</f>
        <v>ALESSANDRO DONIZETE SILVA BALTAZAR</v>
      </c>
      <c r="C15" s="9" t="s">
        <v>160</v>
      </c>
      <c r="D15" s="4" t="str">
        <f>"31200"</f>
        <v>31200</v>
      </c>
    </row>
    <row r="16" spans="1:4" x14ac:dyDescent="0.25">
      <c r="A16" s="4" t="str">
        <f t="shared" si="0"/>
        <v>101</v>
      </c>
      <c r="B16" s="4" t="str">
        <f>"ALESSANDRO DOS SANTOS MARIANO"</f>
        <v>ALESSANDRO DOS SANTOS MARIANO</v>
      </c>
      <c r="C16" s="9" t="s">
        <v>161</v>
      </c>
      <c r="D16" s="4" t="str">
        <f>"21012"</f>
        <v>21012</v>
      </c>
    </row>
    <row r="17" spans="1:4" x14ac:dyDescent="0.25">
      <c r="A17" s="4" t="str">
        <f t="shared" si="0"/>
        <v>101</v>
      </c>
      <c r="B17" s="4" t="str">
        <f>"ALESSANDRO ERICK RODRIGUES ANTONIO"</f>
        <v>ALESSANDRO ERICK RODRIGUES ANTONIO</v>
      </c>
      <c r="C17" s="9" t="s">
        <v>162</v>
      </c>
      <c r="D17" s="4" t="str">
        <f>"15051"</f>
        <v>15051</v>
      </c>
    </row>
    <row r="18" spans="1:4" x14ac:dyDescent="0.25">
      <c r="A18" s="4" t="str">
        <f t="shared" si="0"/>
        <v>101</v>
      </c>
      <c r="B18" s="4" t="str">
        <f>"ALEX DA SILVA BRANDAO FERREIRA"</f>
        <v>ALEX DA SILVA BRANDAO FERREIRA</v>
      </c>
      <c r="C18" s="7" t="s">
        <v>163</v>
      </c>
      <c r="D18" s="4" t="str">
        <f>"31090"</f>
        <v>31090</v>
      </c>
    </row>
    <row r="19" spans="1:4" x14ac:dyDescent="0.25">
      <c r="A19" s="4" t="str">
        <f t="shared" si="0"/>
        <v>101</v>
      </c>
      <c r="B19" s="4" t="str">
        <f>"ALEXANDRE DE SOUZA"</f>
        <v>ALEXANDRE DE SOUZA</v>
      </c>
      <c r="C19" s="9" t="s">
        <v>164</v>
      </c>
      <c r="D19" s="4" t="str">
        <f>"15050"</f>
        <v>15050</v>
      </c>
    </row>
    <row r="20" spans="1:4" x14ac:dyDescent="0.25">
      <c r="A20" s="4" t="str">
        <f t="shared" si="0"/>
        <v>101</v>
      </c>
      <c r="B20" s="4" t="str">
        <f>"ALEXANDRE HENRIQUE DA SILVA NOGUEIRA"</f>
        <v>ALEXANDRE HENRIQUE DA SILVA NOGUEIRA</v>
      </c>
      <c r="C20" s="9" t="s">
        <v>165</v>
      </c>
      <c r="D20" s="4" t="str">
        <f>"31112"</f>
        <v>31112</v>
      </c>
    </row>
    <row r="21" spans="1:4" x14ac:dyDescent="0.25">
      <c r="A21" s="4" t="str">
        <f t="shared" si="0"/>
        <v>101</v>
      </c>
      <c r="B21" s="4" t="str">
        <f>"ALEXANDRE LINO SILVA FERREIRA"</f>
        <v>ALEXANDRE LINO SILVA FERREIRA</v>
      </c>
      <c r="C21" s="9" t="s">
        <v>166</v>
      </c>
      <c r="D21" s="4" t="str">
        <f>"33040"</f>
        <v>33040</v>
      </c>
    </row>
    <row r="22" spans="1:4" x14ac:dyDescent="0.25">
      <c r="A22" s="4" t="str">
        <f t="shared" si="0"/>
        <v>101</v>
      </c>
      <c r="B22" s="4" t="str">
        <f>"ALICE JAQUELINE TRANQUILINO DIOGO"</f>
        <v>ALICE JAQUELINE TRANQUILINO DIOGO</v>
      </c>
      <c r="C22" s="9" t="s">
        <v>167</v>
      </c>
      <c r="D22" s="4" t="str">
        <f>"15051"</f>
        <v>15051</v>
      </c>
    </row>
    <row r="23" spans="1:4" x14ac:dyDescent="0.25">
      <c r="A23" s="4" t="str">
        <f t="shared" si="0"/>
        <v>101</v>
      </c>
      <c r="B23" s="4" t="str">
        <f>"ALINE APARECIDA MATA DOS SANTOS"</f>
        <v>ALINE APARECIDA MATA DOS SANTOS</v>
      </c>
      <c r="C23" s="9" t="s">
        <v>168</v>
      </c>
      <c r="D23" s="4" t="str">
        <f>"31116"</f>
        <v>31116</v>
      </c>
    </row>
    <row r="24" spans="1:4" x14ac:dyDescent="0.25">
      <c r="A24" s="4" t="str">
        <f t="shared" si="0"/>
        <v>101</v>
      </c>
      <c r="B24" s="4" t="str">
        <f>"ALINE MARA ANUNCIACAO CONSTANTE"</f>
        <v>ALINE MARA ANUNCIACAO CONSTANTE</v>
      </c>
      <c r="C24" s="9" t="s">
        <v>169</v>
      </c>
      <c r="D24" s="4" t="str">
        <f>"31060"</f>
        <v>31060</v>
      </c>
    </row>
    <row r="25" spans="1:4" x14ac:dyDescent="0.25">
      <c r="A25" s="4" t="str">
        <f t="shared" si="0"/>
        <v>101</v>
      </c>
      <c r="B25" s="4" t="str">
        <f>"ALINE MARA LONDE BRAULIO"</f>
        <v>ALINE MARA LONDE BRAULIO</v>
      </c>
      <c r="C25" s="9" t="s">
        <v>170</v>
      </c>
      <c r="D25" s="4" t="str">
        <f>"33010"</f>
        <v>33010</v>
      </c>
    </row>
    <row r="26" spans="1:4" x14ac:dyDescent="0.25">
      <c r="A26" s="4" t="str">
        <f t="shared" si="0"/>
        <v>101</v>
      </c>
      <c r="B26" s="4" t="str">
        <f>"ALINE MARTINS GOMES"</f>
        <v>ALINE MARTINS GOMES</v>
      </c>
      <c r="C26" s="9" t="s">
        <v>171</v>
      </c>
      <c r="D26" s="4" t="str">
        <f>"31070"</f>
        <v>31070</v>
      </c>
    </row>
    <row r="27" spans="1:4" x14ac:dyDescent="0.25">
      <c r="A27" s="4" t="str">
        <f t="shared" si="0"/>
        <v>101</v>
      </c>
      <c r="B27" s="4" t="str">
        <f>"ALZICLEIA DINIZ SILVERIO"</f>
        <v>ALZICLEIA DINIZ SILVERIO</v>
      </c>
      <c r="C27" s="9" t="s">
        <v>172</v>
      </c>
      <c r="D27" s="4" t="str">
        <f>"31060"</f>
        <v>31060</v>
      </c>
    </row>
    <row r="28" spans="1:4" x14ac:dyDescent="0.25">
      <c r="A28" s="4" t="str">
        <f t="shared" si="0"/>
        <v>101</v>
      </c>
      <c r="B28" s="4" t="str">
        <f>"AMABILE TATIANE DA SILVA"</f>
        <v>AMABILE TATIANE DA SILVA</v>
      </c>
      <c r="C28" s="9" t="s">
        <v>173</v>
      </c>
      <c r="D28" s="4" t="str">
        <f>"15051"</f>
        <v>15051</v>
      </c>
    </row>
    <row r="29" spans="1:4" x14ac:dyDescent="0.25">
      <c r="A29" s="4" t="str">
        <f t="shared" si="0"/>
        <v>101</v>
      </c>
      <c r="B29" s="4" t="str">
        <f>"AMANDA CRISTINA DA SILVA SOUZA"</f>
        <v>AMANDA CRISTINA DA SILVA SOUZA</v>
      </c>
      <c r="C29" s="9" t="s">
        <v>174</v>
      </c>
      <c r="D29" s="4" t="str">
        <f>"31070"</f>
        <v>31070</v>
      </c>
    </row>
    <row r="30" spans="1:4" x14ac:dyDescent="0.25">
      <c r="A30" s="4" t="str">
        <f t="shared" si="0"/>
        <v>101</v>
      </c>
      <c r="B30" s="4" t="str">
        <f>"AMANDA DIAS RODRIGUES DA SILVA"</f>
        <v>AMANDA DIAS RODRIGUES DA SILVA</v>
      </c>
      <c r="C30" s="9" t="s">
        <v>175</v>
      </c>
      <c r="D30" s="4" t="str">
        <f>"31114"</f>
        <v>31114</v>
      </c>
    </row>
    <row r="31" spans="1:4" x14ac:dyDescent="0.25">
      <c r="A31" s="4" t="str">
        <f t="shared" si="0"/>
        <v>101</v>
      </c>
      <c r="B31" s="4" t="str">
        <f>"AMANDA PAULA CARETTA TEIXEIRA"</f>
        <v>AMANDA PAULA CARETTA TEIXEIRA</v>
      </c>
      <c r="C31" s="9" t="s">
        <v>176</v>
      </c>
      <c r="D31" s="4" t="str">
        <f>"13013"</f>
        <v>13013</v>
      </c>
    </row>
    <row r="32" spans="1:4" x14ac:dyDescent="0.25">
      <c r="A32" s="4" t="str">
        <f t="shared" si="0"/>
        <v>101</v>
      </c>
      <c r="B32" s="4" t="str">
        <f>"AMANDA RODRIGUES TERESA"</f>
        <v>AMANDA RODRIGUES TERESA</v>
      </c>
      <c r="C32" s="9" t="s">
        <v>177</v>
      </c>
      <c r="D32" s="4" t="str">
        <f>"31060"</f>
        <v>31060</v>
      </c>
    </row>
    <row r="33" spans="1:4" x14ac:dyDescent="0.25">
      <c r="A33" s="4" t="str">
        <f t="shared" si="0"/>
        <v>101</v>
      </c>
      <c r="B33" s="4" t="str">
        <f>"ANA APARECIDA LEMES BERNARDES"</f>
        <v>ANA APARECIDA LEMES BERNARDES</v>
      </c>
      <c r="C33" s="9" t="s">
        <v>178</v>
      </c>
      <c r="D33" s="4" t="str">
        <f>"31060"</f>
        <v>31060</v>
      </c>
    </row>
    <row r="34" spans="1:4" x14ac:dyDescent="0.25">
      <c r="A34" s="4" t="str">
        <f t="shared" si="0"/>
        <v>101</v>
      </c>
      <c r="B34" s="4" t="str">
        <f>"ANA CAROLINA DOS SANTOS VALERIO"</f>
        <v>ANA CAROLINA DOS SANTOS VALERIO</v>
      </c>
      <c r="C34" s="9" t="s">
        <v>179</v>
      </c>
      <c r="D34" s="4" t="str">
        <f>"31060"</f>
        <v>31060</v>
      </c>
    </row>
    <row r="35" spans="1:4" x14ac:dyDescent="0.25">
      <c r="A35" s="4" t="str">
        <f t="shared" si="0"/>
        <v>101</v>
      </c>
      <c r="B35" s="4" t="str">
        <f>"ANA CAROLINA FERREIRA RODRIGUES SILVA"</f>
        <v>ANA CAROLINA FERREIRA RODRIGUES SILVA</v>
      </c>
      <c r="C35" s="9" t="s">
        <v>180</v>
      </c>
      <c r="D35" s="4" t="str">
        <f>"13018"</f>
        <v>13018</v>
      </c>
    </row>
    <row r="36" spans="1:4" x14ac:dyDescent="0.25">
      <c r="A36" s="4" t="str">
        <f t="shared" si="0"/>
        <v>101</v>
      </c>
      <c r="B36" s="4" t="str">
        <f>"ANA CAROLINA PINTO"</f>
        <v>ANA CAROLINA PINTO</v>
      </c>
      <c r="C36" s="9" t="s">
        <v>181</v>
      </c>
      <c r="D36" s="4" t="str">
        <f>"15051"</f>
        <v>15051</v>
      </c>
    </row>
    <row r="37" spans="1:4" x14ac:dyDescent="0.25">
      <c r="A37" s="4" t="str">
        <f t="shared" si="0"/>
        <v>101</v>
      </c>
      <c r="B37" s="4" t="str">
        <f>"ANA CAROLINA RODRIGUES CANDIDO"</f>
        <v>ANA CAROLINA RODRIGUES CANDIDO</v>
      </c>
      <c r="C37" s="9" t="s">
        <v>182</v>
      </c>
      <c r="D37" s="4" t="str">
        <f>"31090"</f>
        <v>31090</v>
      </c>
    </row>
    <row r="38" spans="1:4" x14ac:dyDescent="0.25">
      <c r="A38" s="4" t="str">
        <f t="shared" si="0"/>
        <v>101</v>
      </c>
      <c r="B38" s="4" t="str">
        <f>"ANA CLARA FERREIRA PARREIRA"</f>
        <v>ANA CLARA FERREIRA PARREIRA</v>
      </c>
      <c r="C38" s="9" t="s">
        <v>183</v>
      </c>
      <c r="D38" s="4" t="str">
        <f>"31114"</f>
        <v>31114</v>
      </c>
    </row>
    <row r="39" spans="1:4" x14ac:dyDescent="0.25">
      <c r="A39" s="4" t="str">
        <f t="shared" si="0"/>
        <v>101</v>
      </c>
      <c r="B39" s="4" t="str">
        <f>"ANA CLARA PEREIRA BALBINO DIAS"</f>
        <v>ANA CLARA PEREIRA BALBINO DIAS</v>
      </c>
      <c r="C39" s="9" t="s">
        <v>184</v>
      </c>
      <c r="D39" s="4" t="str">
        <f>"31114"</f>
        <v>31114</v>
      </c>
    </row>
    <row r="40" spans="1:4" x14ac:dyDescent="0.25">
      <c r="A40" s="4" t="str">
        <f t="shared" si="0"/>
        <v>101</v>
      </c>
      <c r="B40" s="4" t="str">
        <f>"ANA CLAUDIA DE FREITAS DIAS"</f>
        <v>ANA CLAUDIA DE FREITAS DIAS</v>
      </c>
      <c r="C40" s="9" t="s">
        <v>185</v>
      </c>
      <c r="D40" s="4" t="str">
        <f>"31114"</f>
        <v>31114</v>
      </c>
    </row>
    <row r="41" spans="1:4" x14ac:dyDescent="0.25">
      <c r="A41" s="4" t="str">
        <f t="shared" si="0"/>
        <v>101</v>
      </c>
      <c r="B41" s="4" t="str">
        <f>"ANA ELISA DA SILVA"</f>
        <v>ANA ELISA DA SILVA</v>
      </c>
      <c r="C41" s="9" t="s">
        <v>186</v>
      </c>
      <c r="D41" s="4" t="str">
        <f>"13012"</f>
        <v>13012</v>
      </c>
    </row>
    <row r="42" spans="1:4" x14ac:dyDescent="0.25">
      <c r="A42" s="4" t="str">
        <f t="shared" si="0"/>
        <v>101</v>
      </c>
      <c r="B42" s="4" t="str">
        <f>"ANA FLAVIA DOS SANTOS VALERIO"</f>
        <v>ANA FLAVIA DOS SANTOS VALERIO</v>
      </c>
      <c r="C42" s="9" t="s">
        <v>187</v>
      </c>
      <c r="D42" s="4" t="str">
        <f>"31060"</f>
        <v>31060</v>
      </c>
    </row>
    <row r="43" spans="1:4" x14ac:dyDescent="0.25">
      <c r="A43" s="4" t="str">
        <f t="shared" si="0"/>
        <v>101</v>
      </c>
      <c r="B43" s="4" t="str">
        <f>"ANA FLAVIA THEODORO PEREIRA"</f>
        <v>ANA FLAVIA THEODORO PEREIRA</v>
      </c>
      <c r="C43" s="9" t="s">
        <v>188</v>
      </c>
      <c r="D43" s="4" t="str">
        <f>"15012"</f>
        <v>15012</v>
      </c>
    </row>
    <row r="44" spans="1:4" x14ac:dyDescent="0.25">
      <c r="A44" s="4" t="str">
        <f t="shared" si="0"/>
        <v>101</v>
      </c>
      <c r="B44" s="4" t="str">
        <f>"ANA JULIA GERMANO ABRAHAO"</f>
        <v>ANA JULIA GERMANO ABRAHAO</v>
      </c>
      <c r="C44" s="9" t="s">
        <v>189</v>
      </c>
      <c r="D44" s="4" t="str">
        <f>"13011"</f>
        <v>13011</v>
      </c>
    </row>
    <row r="45" spans="1:4" x14ac:dyDescent="0.25">
      <c r="A45" s="4" t="str">
        <f t="shared" si="0"/>
        <v>101</v>
      </c>
      <c r="B45" s="4" t="str">
        <f>"ANA JULIA SILVA DE PAULA"</f>
        <v>ANA JULIA SILVA DE PAULA</v>
      </c>
      <c r="C45" s="9" t="s">
        <v>190</v>
      </c>
      <c r="D45" s="4" t="str">
        <f>"31060"</f>
        <v>31060</v>
      </c>
    </row>
    <row r="46" spans="1:4" x14ac:dyDescent="0.25">
      <c r="A46" s="4" t="str">
        <f t="shared" si="0"/>
        <v>101</v>
      </c>
      <c r="B46" s="4" t="str">
        <f>"ANA LAURA DE MELO PAVANI"</f>
        <v>ANA LAURA DE MELO PAVANI</v>
      </c>
      <c r="C46" s="9" t="s">
        <v>191</v>
      </c>
      <c r="D46" s="4" t="str">
        <f>"31114"</f>
        <v>31114</v>
      </c>
    </row>
    <row r="47" spans="1:4" x14ac:dyDescent="0.25">
      <c r="A47" s="4" t="str">
        <f t="shared" si="0"/>
        <v>101</v>
      </c>
      <c r="B47" s="4" t="str">
        <f>"ANA LAURA DE SOUZA SANTOS"</f>
        <v>ANA LAURA DE SOUZA SANTOS</v>
      </c>
      <c r="C47" s="9" t="s">
        <v>192</v>
      </c>
      <c r="D47" s="4" t="str">
        <f>"31060"</f>
        <v>31060</v>
      </c>
    </row>
    <row r="48" spans="1:4" x14ac:dyDescent="0.25">
      <c r="A48" s="4" t="str">
        <f t="shared" si="0"/>
        <v>101</v>
      </c>
      <c r="B48" s="4" t="str">
        <f>"ANA LAURA GOMES"</f>
        <v>ANA LAURA GOMES</v>
      </c>
      <c r="C48" s="9" t="s">
        <v>193</v>
      </c>
      <c r="D48" s="4" t="str">
        <f>"31090"</f>
        <v>31090</v>
      </c>
    </row>
    <row r="49" spans="1:4" x14ac:dyDescent="0.25">
      <c r="A49" s="4" t="str">
        <f t="shared" si="0"/>
        <v>101</v>
      </c>
      <c r="B49" s="4" t="str">
        <f>"ANA LIVIA LOBO DA SILVA"</f>
        <v>ANA LIVIA LOBO DA SILVA</v>
      </c>
      <c r="C49" s="9" t="s">
        <v>194</v>
      </c>
      <c r="D49" s="4" t="str">
        <f>"33010"</f>
        <v>33010</v>
      </c>
    </row>
    <row r="50" spans="1:4" x14ac:dyDescent="0.25">
      <c r="A50" s="4" t="str">
        <f t="shared" si="0"/>
        <v>101</v>
      </c>
      <c r="B50" s="4" t="str">
        <f>"ANA LUIZA LEOPOLDO DE PAIVA"</f>
        <v>ANA LUIZA LEOPOLDO DE PAIVA</v>
      </c>
      <c r="C50" s="9" t="s">
        <v>195</v>
      </c>
      <c r="D50" s="4" t="str">
        <f>"13016"</f>
        <v>13016</v>
      </c>
    </row>
    <row r="51" spans="1:4" x14ac:dyDescent="0.25">
      <c r="A51" s="4" t="str">
        <f t="shared" si="0"/>
        <v>101</v>
      </c>
      <c r="B51" s="4" t="str">
        <f>"ANA PAULA DA SILVEIRA RODRIGUES"</f>
        <v>ANA PAULA DA SILVEIRA RODRIGUES</v>
      </c>
      <c r="C51" s="9" t="s">
        <v>196</v>
      </c>
      <c r="D51" s="4" t="str">
        <f>"31070"</f>
        <v>31070</v>
      </c>
    </row>
    <row r="52" spans="1:4" x14ac:dyDescent="0.25">
      <c r="A52" s="4" t="str">
        <f t="shared" si="0"/>
        <v>101</v>
      </c>
      <c r="B52" s="4" t="str">
        <f>"ANA PAULA ROSA DA SILVA"</f>
        <v>ANA PAULA ROSA DA SILVA</v>
      </c>
      <c r="C52" s="9" t="s">
        <v>197</v>
      </c>
      <c r="D52" s="4" t="str">
        <f>"31090"</f>
        <v>31090</v>
      </c>
    </row>
    <row r="53" spans="1:4" x14ac:dyDescent="0.25">
      <c r="A53" s="4" t="str">
        <f t="shared" si="0"/>
        <v>101</v>
      </c>
      <c r="B53" s="4" t="str">
        <f>"ANALYCE APARECIDA FRANCISCO M DA SILVA"</f>
        <v>ANALYCE APARECIDA FRANCISCO M DA SILVA</v>
      </c>
      <c r="C53" s="9" t="s">
        <v>198</v>
      </c>
      <c r="D53" s="4" t="str">
        <f>"31090"</f>
        <v>31090</v>
      </c>
    </row>
    <row r="54" spans="1:4" x14ac:dyDescent="0.25">
      <c r="A54" s="4" t="str">
        <f t="shared" si="0"/>
        <v>101</v>
      </c>
      <c r="B54" s="4" t="str">
        <f>"ANDRE LUIZ DA SILVA"</f>
        <v>ANDRE LUIZ DA SILVA</v>
      </c>
      <c r="C54" s="9" t="s">
        <v>199</v>
      </c>
      <c r="D54" s="4" t="str">
        <f>"15050"</f>
        <v>15050</v>
      </c>
    </row>
    <row r="55" spans="1:4" x14ac:dyDescent="0.25">
      <c r="A55" s="4" t="str">
        <f t="shared" si="0"/>
        <v>101</v>
      </c>
      <c r="B55" s="4" t="str">
        <f>"ANDRE LUIZ DE SOUSA"</f>
        <v>ANDRE LUIZ DE SOUSA</v>
      </c>
      <c r="C55" s="9" t="s">
        <v>200</v>
      </c>
      <c r="D55" s="4" t="str">
        <f>"31090"</f>
        <v>31090</v>
      </c>
    </row>
    <row r="56" spans="1:4" x14ac:dyDescent="0.25">
      <c r="A56" s="4" t="str">
        <f t="shared" si="0"/>
        <v>101</v>
      </c>
      <c r="B56" s="4" t="str">
        <f>"ANDRE LUIZ SILVA ALVES"</f>
        <v>ANDRE LUIZ SILVA ALVES</v>
      </c>
      <c r="C56" s="9" t="s">
        <v>201</v>
      </c>
      <c r="D56" s="4" t="str">
        <f>"21012"</f>
        <v>21012</v>
      </c>
    </row>
    <row r="57" spans="1:4" x14ac:dyDescent="0.25">
      <c r="A57" s="4" t="str">
        <f t="shared" si="0"/>
        <v>101</v>
      </c>
      <c r="B57" s="4" t="str">
        <f>"ANDREIA ALVES DOS SANTOS"</f>
        <v>ANDREIA ALVES DOS SANTOS</v>
      </c>
      <c r="C57" s="9" t="s">
        <v>202</v>
      </c>
      <c r="D57" s="4" t="str">
        <f>"13021"</f>
        <v>13021</v>
      </c>
    </row>
    <row r="58" spans="1:4" x14ac:dyDescent="0.25">
      <c r="A58" s="4" t="str">
        <f t="shared" si="0"/>
        <v>101</v>
      </c>
      <c r="B58" s="4" t="str">
        <f>"ANDRESA DA SILVA CARDOSO"</f>
        <v>ANDRESA DA SILVA CARDOSO</v>
      </c>
      <c r="C58" s="9" t="s">
        <v>203</v>
      </c>
      <c r="D58" s="4" t="str">
        <f>"31070"</f>
        <v>31070</v>
      </c>
    </row>
    <row r="59" spans="1:4" x14ac:dyDescent="0.25">
      <c r="A59" s="4" t="str">
        <f t="shared" si="0"/>
        <v>101</v>
      </c>
      <c r="B59" s="4" t="str">
        <f>"ANDRESSA CONCEICAO DA LUZ"</f>
        <v>ANDRESSA CONCEICAO DA LUZ</v>
      </c>
      <c r="C59" s="9" t="s">
        <v>204</v>
      </c>
      <c r="D59" s="4" t="str">
        <f>"31200"</f>
        <v>31200</v>
      </c>
    </row>
    <row r="60" spans="1:4" x14ac:dyDescent="0.25">
      <c r="A60" s="4" t="str">
        <f t="shared" si="0"/>
        <v>101</v>
      </c>
      <c r="B60" s="4" t="str">
        <f>"ANDREZA APARECIDA LIMA FIDELIS"</f>
        <v>ANDREZA APARECIDA LIMA FIDELIS</v>
      </c>
      <c r="C60" s="9" t="s">
        <v>205</v>
      </c>
      <c r="D60" s="4" t="str">
        <f>"31090"</f>
        <v>31090</v>
      </c>
    </row>
    <row r="61" spans="1:4" x14ac:dyDescent="0.25">
      <c r="A61" s="4" t="str">
        <f t="shared" si="0"/>
        <v>101</v>
      </c>
      <c r="B61" s="4" t="str">
        <f>"ANGELA CRISTINA CARVALHO DE FREITAS"</f>
        <v>ANGELA CRISTINA CARVALHO DE FREITAS</v>
      </c>
      <c r="C61" s="9" t="s">
        <v>206</v>
      </c>
      <c r="D61" s="4" t="str">
        <f>"13011"</f>
        <v>13011</v>
      </c>
    </row>
    <row r="62" spans="1:4" x14ac:dyDescent="0.25">
      <c r="A62" s="4" t="str">
        <f t="shared" si="0"/>
        <v>101</v>
      </c>
      <c r="B62" s="4" t="str">
        <f>"ANGELA CRISTINA DE MOURA CHAGAS"</f>
        <v>ANGELA CRISTINA DE MOURA CHAGAS</v>
      </c>
      <c r="C62" s="9" t="s">
        <v>207</v>
      </c>
      <c r="D62" s="4" t="str">
        <f>"33010"</f>
        <v>33010</v>
      </c>
    </row>
    <row r="63" spans="1:4" x14ac:dyDescent="0.25">
      <c r="A63" s="4" t="str">
        <f t="shared" si="0"/>
        <v>101</v>
      </c>
      <c r="B63" s="4" t="str">
        <f>"ANGELO RICARDO RIBEIRO DA SILVA"</f>
        <v>ANGELO RICARDO RIBEIRO DA SILVA</v>
      </c>
      <c r="C63" s="9" t="s">
        <v>208</v>
      </c>
      <c r="D63" s="4" t="str">
        <f>"13014"</f>
        <v>13014</v>
      </c>
    </row>
    <row r="64" spans="1:4" x14ac:dyDescent="0.25">
      <c r="A64" s="4" t="str">
        <f t="shared" si="0"/>
        <v>101</v>
      </c>
      <c r="B64" s="4" t="str">
        <f>"ANNE SOFIA ALVES BARBOZA"</f>
        <v>ANNE SOFIA ALVES BARBOZA</v>
      </c>
      <c r="C64" s="7" t="s">
        <v>209</v>
      </c>
      <c r="D64" s="4" t="str">
        <f>"21011"</f>
        <v>21011</v>
      </c>
    </row>
    <row r="65" spans="1:4" x14ac:dyDescent="0.25">
      <c r="A65" s="4" t="str">
        <f t="shared" si="0"/>
        <v>101</v>
      </c>
      <c r="B65" s="4" t="str">
        <f>"ANTONIO AUGUSTO BORGES SILVERIO PEREIRA"</f>
        <v>ANTONIO AUGUSTO BORGES SILVERIO PEREIRA</v>
      </c>
      <c r="C65" s="9" t="s">
        <v>210</v>
      </c>
      <c r="D65" s="4" t="str">
        <f>"31115"</f>
        <v>31115</v>
      </c>
    </row>
    <row r="66" spans="1:4" x14ac:dyDescent="0.25">
      <c r="A66" s="4" t="str">
        <f t="shared" si="0"/>
        <v>101</v>
      </c>
      <c r="B66" s="4" t="str">
        <f>"ANTONIO ERISVALDO DE SOUSA"</f>
        <v>ANTONIO ERISVALDO DE SOUSA</v>
      </c>
      <c r="C66" s="9" t="s">
        <v>211</v>
      </c>
      <c r="D66" s="4" t="str">
        <f>"31090"</f>
        <v>31090</v>
      </c>
    </row>
    <row r="67" spans="1:4" x14ac:dyDescent="0.25">
      <c r="A67" s="4" t="str">
        <f t="shared" ref="A67:A130" si="1">"101"</f>
        <v>101</v>
      </c>
      <c r="B67" s="4" t="str">
        <f>"ANTONIO MARCO LIBERATO ZANQUETA"</f>
        <v>ANTONIO MARCO LIBERATO ZANQUETA</v>
      </c>
      <c r="C67" s="9" t="s">
        <v>212</v>
      </c>
      <c r="D67" s="4" t="str">
        <f>"21012"</f>
        <v>21012</v>
      </c>
    </row>
    <row r="68" spans="1:4" x14ac:dyDescent="0.25">
      <c r="A68" s="4" t="str">
        <f t="shared" si="1"/>
        <v>101</v>
      </c>
      <c r="B68" s="4" t="str">
        <f>"ANTONIO RAIMUNDO DE JESUS"</f>
        <v>ANTONIO RAIMUNDO DE JESUS</v>
      </c>
      <c r="C68" s="9" t="s">
        <v>213</v>
      </c>
      <c r="D68" s="4" t="str">
        <f>"15050"</f>
        <v>15050</v>
      </c>
    </row>
    <row r="69" spans="1:4" x14ac:dyDescent="0.25">
      <c r="A69" s="4" t="str">
        <f t="shared" si="1"/>
        <v>101</v>
      </c>
      <c r="B69" s="4" t="str">
        <f>"ANTONIO SOARES VIANA FILHO"</f>
        <v>ANTONIO SOARES VIANA FILHO</v>
      </c>
      <c r="C69" s="9" t="s">
        <v>214</v>
      </c>
      <c r="D69" s="4" t="str">
        <f>"33060"</f>
        <v>33060</v>
      </c>
    </row>
    <row r="70" spans="1:4" x14ac:dyDescent="0.25">
      <c r="A70" s="4" t="str">
        <f t="shared" si="1"/>
        <v>101</v>
      </c>
      <c r="B70" s="4" t="str">
        <f>"APARECIDA DE CASSIA EUGENIO DOMICIANO"</f>
        <v>APARECIDA DE CASSIA EUGENIO DOMICIANO</v>
      </c>
      <c r="C70" s="9" t="s">
        <v>215</v>
      </c>
      <c r="D70" s="4" t="str">
        <f>"31060"</f>
        <v>31060</v>
      </c>
    </row>
    <row r="71" spans="1:4" x14ac:dyDescent="0.25">
      <c r="A71" s="4" t="str">
        <f t="shared" si="1"/>
        <v>101</v>
      </c>
      <c r="B71" s="4" t="str">
        <f>"APARECIDA DONIZETE FRANCISCO"</f>
        <v>APARECIDA DONIZETE FRANCISCO</v>
      </c>
      <c r="C71" s="9" t="s">
        <v>216</v>
      </c>
      <c r="D71" s="4" t="str">
        <f>"13021"</f>
        <v>13021</v>
      </c>
    </row>
    <row r="72" spans="1:4" x14ac:dyDescent="0.25">
      <c r="A72" s="4" t="str">
        <f t="shared" si="1"/>
        <v>101</v>
      </c>
      <c r="B72" s="4" t="str">
        <f>"ARLETE CASSIANO ALVES"</f>
        <v>ARLETE CASSIANO ALVES</v>
      </c>
      <c r="C72" s="9" t="s">
        <v>217</v>
      </c>
      <c r="D72" s="4" t="str">
        <f>"31114"</f>
        <v>31114</v>
      </c>
    </row>
    <row r="73" spans="1:4" x14ac:dyDescent="0.25">
      <c r="A73" s="4" t="str">
        <f t="shared" si="1"/>
        <v>101</v>
      </c>
      <c r="B73" s="4" t="str">
        <f>"ARLETE MARTINS DA SILVA ALMEIDA"</f>
        <v>ARLETE MARTINS DA SILVA ALMEIDA</v>
      </c>
      <c r="C73" s="9" t="s">
        <v>218</v>
      </c>
      <c r="D73" s="4" t="str">
        <f>"31060"</f>
        <v>31060</v>
      </c>
    </row>
    <row r="74" spans="1:4" x14ac:dyDescent="0.25">
      <c r="A74" s="4" t="str">
        <f t="shared" si="1"/>
        <v>101</v>
      </c>
      <c r="B74" s="4" t="str">
        <f>"ASHLEY DA SILVA ALVES"</f>
        <v>ASHLEY DA SILVA ALVES</v>
      </c>
      <c r="C74" s="9" t="s">
        <v>219</v>
      </c>
      <c r="D74" s="4" t="str">
        <f>"15051"</f>
        <v>15051</v>
      </c>
    </row>
    <row r="75" spans="1:4" x14ac:dyDescent="0.25">
      <c r="A75" s="4" t="str">
        <f t="shared" si="1"/>
        <v>101</v>
      </c>
      <c r="B75" s="4" t="str">
        <f>"BEATRIZ LEITE NUNES"</f>
        <v>BEATRIZ LEITE NUNES</v>
      </c>
      <c r="C75" s="9" t="s">
        <v>220</v>
      </c>
      <c r="D75" s="4" t="str">
        <f>"31060"</f>
        <v>31060</v>
      </c>
    </row>
    <row r="76" spans="1:4" x14ac:dyDescent="0.25">
      <c r="A76" s="4" t="str">
        <f t="shared" si="1"/>
        <v>101</v>
      </c>
      <c r="B76" s="4" t="str">
        <f>"BIANCARLA LIMA FIDELIS"</f>
        <v>BIANCARLA LIMA FIDELIS</v>
      </c>
      <c r="C76" s="9" t="s">
        <v>221</v>
      </c>
      <c r="D76" s="4" t="str">
        <f>"31060"</f>
        <v>31060</v>
      </c>
    </row>
    <row r="77" spans="1:4" x14ac:dyDescent="0.25">
      <c r="A77" s="4" t="str">
        <f t="shared" si="1"/>
        <v>101</v>
      </c>
      <c r="B77" s="4" t="str">
        <f>"BIANCARLA MARQUES BENITES"</f>
        <v>BIANCARLA MARQUES BENITES</v>
      </c>
      <c r="C77" s="9" t="s">
        <v>222</v>
      </c>
      <c r="D77" s="4" t="str">
        <f>"31060"</f>
        <v>31060</v>
      </c>
    </row>
    <row r="78" spans="1:4" x14ac:dyDescent="0.25">
      <c r="A78" s="4" t="str">
        <f t="shared" si="1"/>
        <v>101</v>
      </c>
      <c r="B78" s="4" t="str">
        <f>"BRENDA LORRAINE MOGGIO"</f>
        <v>BRENDA LORRAINE MOGGIO</v>
      </c>
      <c r="C78" s="9" t="s">
        <v>223</v>
      </c>
      <c r="D78" s="4" t="str">
        <f>"31060"</f>
        <v>31060</v>
      </c>
    </row>
    <row r="79" spans="1:4" x14ac:dyDescent="0.25">
      <c r="A79" s="4" t="str">
        <f t="shared" si="1"/>
        <v>101</v>
      </c>
      <c r="B79" s="4" t="str">
        <f>"BRENO NARTIELOU PEREIRA DA SILVA"</f>
        <v>BRENO NARTIELOU PEREIRA DA SILVA</v>
      </c>
      <c r="C79" s="9" t="s">
        <v>224</v>
      </c>
      <c r="D79" s="4" t="str">
        <f>"33060"</f>
        <v>33060</v>
      </c>
    </row>
    <row r="80" spans="1:4" x14ac:dyDescent="0.25">
      <c r="A80" s="4" t="str">
        <f t="shared" si="1"/>
        <v>101</v>
      </c>
      <c r="B80" s="4" t="str">
        <f>"BRENO PAULO DA SILVA"</f>
        <v>BRENO PAULO DA SILVA</v>
      </c>
      <c r="C80" s="9" t="s">
        <v>225</v>
      </c>
      <c r="D80" s="4" t="str">
        <f>"31300"</f>
        <v>31300</v>
      </c>
    </row>
    <row r="81" spans="1:4" x14ac:dyDescent="0.25">
      <c r="A81" s="4" t="str">
        <f t="shared" si="1"/>
        <v>101</v>
      </c>
      <c r="B81" s="4" t="str">
        <f>"BRUNA APARECIDA DA SILVA"</f>
        <v>BRUNA APARECIDA DA SILVA</v>
      </c>
      <c r="C81" s="9" t="s">
        <v>226</v>
      </c>
      <c r="D81" s="4" t="str">
        <f>"31114"</f>
        <v>31114</v>
      </c>
    </row>
    <row r="82" spans="1:4" x14ac:dyDescent="0.25">
      <c r="A82" s="4" t="str">
        <f t="shared" si="1"/>
        <v>101</v>
      </c>
      <c r="B82" s="4" t="str">
        <f>"BRUNA RAMOS GONCALVES"</f>
        <v>BRUNA RAMOS GONCALVES</v>
      </c>
      <c r="C82" s="9" t="s">
        <v>227</v>
      </c>
      <c r="D82" s="4" t="str">
        <f>"31060"</f>
        <v>31060</v>
      </c>
    </row>
    <row r="83" spans="1:4" x14ac:dyDescent="0.25">
      <c r="A83" s="4" t="str">
        <f t="shared" si="1"/>
        <v>101</v>
      </c>
      <c r="B83" s="4" t="str">
        <f>"BRUNA SERVINO CORREA"</f>
        <v>BRUNA SERVINO CORREA</v>
      </c>
      <c r="C83" s="9" t="s">
        <v>228</v>
      </c>
      <c r="D83" s="4" t="str">
        <f>"31114"</f>
        <v>31114</v>
      </c>
    </row>
    <row r="84" spans="1:4" x14ac:dyDescent="0.25">
      <c r="A84" s="4" t="str">
        <f t="shared" si="1"/>
        <v>101</v>
      </c>
      <c r="B84" s="4" t="str">
        <f>"BRUNA VITORIA AFONSO SUSSIA"</f>
        <v>BRUNA VITORIA AFONSO SUSSIA</v>
      </c>
      <c r="C84" s="9" t="s">
        <v>229</v>
      </c>
      <c r="D84" s="4" t="str">
        <f>"31060"</f>
        <v>31060</v>
      </c>
    </row>
    <row r="85" spans="1:4" x14ac:dyDescent="0.25">
      <c r="A85" s="4" t="str">
        <f t="shared" si="1"/>
        <v>101</v>
      </c>
      <c r="B85" s="4" t="str">
        <f>"BRUNO FERREIRA DA SILVA"</f>
        <v>BRUNO FERREIRA DA SILVA</v>
      </c>
      <c r="C85" s="9" t="s">
        <v>230</v>
      </c>
      <c r="D85" s="4" t="str">
        <f>"33060"</f>
        <v>33060</v>
      </c>
    </row>
    <row r="86" spans="1:4" x14ac:dyDescent="0.25">
      <c r="A86" s="4" t="str">
        <f t="shared" si="1"/>
        <v>101</v>
      </c>
      <c r="B86" s="4" t="str">
        <f>"BRUNO FRANCES PEREIRA DA SILVA"</f>
        <v>BRUNO FRANCES PEREIRA DA SILVA</v>
      </c>
      <c r="C86" s="9" t="s">
        <v>231</v>
      </c>
      <c r="D86" s="4" t="str">
        <f>"33010"</f>
        <v>33010</v>
      </c>
    </row>
    <row r="87" spans="1:4" x14ac:dyDescent="0.25">
      <c r="A87" s="4" t="str">
        <f t="shared" si="1"/>
        <v>101</v>
      </c>
      <c r="B87" s="4" t="str">
        <f>"CAIN DONIZETE RODRIGUES"</f>
        <v>CAIN DONIZETE RODRIGUES</v>
      </c>
      <c r="C87" s="9" t="s">
        <v>232</v>
      </c>
      <c r="D87" s="4" t="str">
        <f>"15050"</f>
        <v>15050</v>
      </c>
    </row>
    <row r="88" spans="1:4" x14ac:dyDescent="0.25">
      <c r="A88" s="4" t="str">
        <f t="shared" si="1"/>
        <v>101</v>
      </c>
      <c r="B88" s="4" t="str">
        <f>"CAIO ALEXANDRE ANUNCIACAO D DE OLIVEIRA"</f>
        <v>CAIO ALEXANDRE ANUNCIACAO D DE OLIVEIRA</v>
      </c>
      <c r="C88" s="9" t="s">
        <v>233</v>
      </c>
      <c r="D88" s="4" t="str">
        <f>"31090"</f>
        <v>31090</v>
      </c>
    </row>
    <row r="89" spans="1:4" x14ac:dyDescent="0.25">
      <c r="A89" s="4" t="str">
        <f t="shared" si="1"/>
        <v>101</v>
      </c>
      <c r="B89" s="4" t="str">
        <f>"CAIO DANIEL LOPES CRAVO"</f>
        <v>CAIO DANIEL LOPES CRAVO</v>
      </c>
      <c r="C89" s="9" t="s">
        <v>234</v>
      </c>
      <c r="D89" s="4" t="str">
        <f>"33010"</f>
        <v>33010</v>
      </c>
    </row>
    <row r="90" spans="1:4" x14ac:dyDescent="0.25">
      <c r="A90" s="4" t="str">
        <f t="shared" si="1"/>
        <v>101</v>
      </c>
      <c r="B90" s="4" t="str">
        <f>"CAIO MARCELO DA SILVA COSTA"</f>
        <v>CAIO MARCELO DA SILVA COSTA</v>
      </c>
      <c r="C90" s="9" t="s">
        <v>235</v>
      </c>
      <c r="D90" s="4" t="str">
        <f>"11012"</f>
        <v>11012</v>
      </c>
    </row>
    <row r="91" spans="1:4" x14ac:dyDescent="0.25">
      <c r="A91" s="4" t="str">
        <f t="shared" si="1"/>
        <v>101</v>
      </c>
      <c r="B91" s="4" t="str">
        <f>"CAMILA CANDIDA MOREIRA"</f>
        <v>CAMILA CANDIDA MOREIRA</v>
      </c>
      <c r="C91" s="9" t="s">
        <v>236</v>
      </c>
      <c r="D91" s="4" t="str">
        <f>"31114"</f>
        <v>31114</v>
      </c>
    </row>
    <row r="92" spans="1:4" x14ac:dyDescent="0.25">
      <c r="A92" s="4" t="str">
        <f t="shared" si="1"/>
        <v>101</v>
      </c>
      <c r="B92" s="4" t="str">
        <f>"CAMILLA SOUZA BARCELOS"</f>
        <v>CAMILLA SOUZA BARCELOS</v>
      </c>
      <c r="C92" s="9" t="s">
        <v>237</v>
      </c>
      <c r="D92" s="4" t="str">
        <f>"21011"</f>
        <v>21011</v>
      </c>
    </row>
    <row r="93" spans="1:4" x14ac:dyDescent="0.25">
      <c r="A93" s="4" t="str">
        <f t="shared" si="1"/>
        <v>101</v>
      </c>
      <c r="B93" s="4" t="str">
        <f>"CARLA ANDRESSA DOS SANTOS BARBOZA"</f>
        <v>CARLA ANDRESSA DOS SANTOS BARBOZA</v>
      </c>
      <c r="C93" s="9" t="s">
        <v>238</v>
      </c>
      <c r="D93" s="4" t="str">
        <f>"31200"</f>
        <v>31200</v>
      </c>
    </row>
    <row r="94" spans="1:4" x14ac:dyDescent="0.25">
      <c r="A94" s="4" t="str">
        <f t="shared" si="1"/>
        <v>101</v>
      </c>
      <c r="B94" s="4" t="str">
        <f>"CARLA PRISCILA PERES FELIPE"</f>
        <v>CARLA PRISCILA PERES FELIPE</v>
      </c>
      <c r="C94" s="9" t="s">
        <v>239</v>
      </c>
      <c r="D94" s="4" t="str">
        <f>"31114"</f>
        <v>31114</v>
      </c>
    </row>
    <row r="95" spans="1:4" x14ac:dyDescent="0.25">
      <c r="A95" s="4" t="str">
        <f t="shared" si="1"/>
        <v>101</v>
      </c>
      <c r="B95" s="4" t="str">
        <f>"CARLA REGINA DE OLIVEIRA CALIMAN"</f>
        <v>CARLA REGINA DE OLIVEIRA CALIMAN</v>
      </c>
      <c r="C95" s="9" t="s">
        <v>240</v>
      </c>
      <c r="D95" s="4" t="str">
        <f>"31090"</f>
        <v>31090</v>
      </c>
    </row>
    <row r="96" spans="1:4" x14ac:dyDescent="0.25">
      <c r="A96" s="4" t="str">
        <f t="shared" si="1"/>
        <v>101</v>
      </c>
      <c r="B96" s="4" t="str">
        <f>"CARLOS ALBERTO MOREIRA"</f>
        <v>CARLOS ALBERTO MOREIRA</v>
      </c>
      <c r="C96" s="9" t="s">
        <v>241</v>
      </c>
      <c r="D96" s="4" t="str">
        <f>"15050"</f>
        <v>15050</v>
      </c>
    </row>
    <row r="97" spans="1:4" x14ac:dyDescent="0.25">
      <c r="A97" s="4" t="str">
        <f t="shared" si="1"/>
        <v>101</v>
      </c>
      <c r="B97" s="4" t="str">
        <f>"CAROLINA ALVES DOS REIS"</f>
        <v>CAROLINA ALVES DOS REIS</v>
      </c>
      <c r="C97" s="9" t="s">
        <v>242</v>
      </c>
      <c r="D97" s="4" t="str">
        <f>"31090"</f>
        <v>31090</v>
      </c>
    </row>
    <row r="98" spans="1:4" x14ac:dyDescent="0.25">
      <c r="A98" s="4" t="str">
        <f t="shared" si="1"/>
        <v>101</v>
      </c>
      <c r="B98" s="4" t="str">
        <f>"CAROLINA AVELINO PEDAES"</f>
        <v>CAROLINA AVELINO PEDAES</v>
      </c>
      <c r="C98" s="9" t="s">
        <v>243</v>
      </c>
      <c r="D98" s="4" t="str">
        <f>"13011"</f>
        <v>13011</v>
      </c>
    </row>
    <row r="99" spans="1:4" x14ac:dyDescent="0.25">
      <c r="A99" s="4" t="str">
        <f t="shared" si="1"/>
        <v>101</v>
      </c>
      <c r="B99" s="4" t="str">
        <f>"CASSIA APARECIDA DA SILVA RODRIGUES"</f>
        <v>CASSIA APARECIDA DA SILVA RODRIGUES</v>
      </c>
      <c r="C99" s="9" t="s">
        <v>244</v>
      </c>
      <c r="D99" s="4" t="str">
        <f>"31116"</f>
        <v>31116</v>
      </c>
    </row>
    <row r="100" spans="1:4" x14ac:dyDescent="0.25">
      <c r="A100" s="4" t="str">
        <f t="shared" si="1"/>
        <v>101</v>
      </c>
      <c r="B100" s="4" t="str">
        <f>"CELIANE CRISTINA DIAS DA SILVA"</f>
        <v>CELIANE CRISTINA DIAS DA SILVA</v>
      </c>
      <c r="C100" s="7" t="s">
        <v>245</v>
      </c>
      <c r="D100" s="4" t="str">
        <f>"31090"</f>
        <v>31090</v>
      </c>
    </row>
    <row r="101" spans="1:4" x14ac:dyDescent="0.25">
      <c r="A101" s="4" t="str">
        <f t="shared" si="1"/>
        <v>101</v>
      </c>
      <c r="B101" s="4" t="str">
        <f>"CHARLES DA SILVA CARDOSO"</f>
        <v>CHARLES DA SILVA CARDOSO</v>
      </c>
      <c r="C101" s="9" t="s">
        <v>246</v>
      </c>
      <c r="D101" s="4" t="str">
        <f>"31100"</f>
        <v>31100</v>
      </c>
    </row>
    <row r="102" spans="1:4" x14ac:dyDescent="0.25">
      <c r="A102" s="4" t="str">
        <f t="shared" si="1"/>
        <v>101</v>
      </c>
      <c r="B102" s="4" t="str">
        <f>"CIBELE DA SILVA PAIVA"</f>
        <v>CIBELE DA SILVA PAIVA</v>
      </c>
      <c r="C102" s="9" t="s">
        <v>247</v>
      </c>
      <c r="D102" s="4" t="str">
        <f>"31060"</f>
        <v>31060</v>
      </c>
    </row>
    <row r="103" spans="1:4" x14ac:dyDescent="0.25">
      <c r="A103" s="4" t="str">
        <f t="shared" si="1"/>
        <v>101</v>
      </c>
      <c r="B103" s="4" t="str">
        <f>"CID DOS SANTOS ROMAO"</f>
        <v>CID DOS SANTOS ROMAO</v>
      </c>
      <c r="C103" s="9" t="s">
        <v>248</v>
      </c>
      <c r="D103" s="4" t="str">
        <f>"31116"</f>
        <v>31116</v>
      </c>
    </row>
    <row r="104" spans="1:4" x14ac:dyDescent="0.25">
      <c r="A104" s="4" t="str">
        <f t="shared" si="1"/>
        <v>101</v>
      </c>
      <c r="B104" s="4" t="str">
        <f>"CIDMAR APARECIDO MILARE"</f>
        <v>CIDMAR APARECIDO MILARE</v>
      </c>
      <c r="C104" s="9" t="s">
        <v>249</v>
      </c>
      <c r="D104" s="4" t="str">
        <f>"15051"</f>
        <v>15051</v>
      </c>
    </row>
    <row r="105" spans="1:4" x14ac:dyDescent="0.25">
      <c r="A105" s="4" t="str">
        <f t="shared" si="1"/>
        <v>101</v>
      </c>
      <c r="B105" s="4" t="str">
        <f>"CINDER CRISTINA DA SILVA SANTOS"</f>
        <v>CINDER CRISTINA DA SILVA SANTOS</v>
      </c>
      <c r="C105" s="9" t="s">
        <v>250</v>
      </c>
      <c r="D105" s="4" t="str">
        <f>"31060"</f>
        <v>31060</v>
      </c>
    </row>
    <row r="106" spans="1:4" x14ac:dyDescent="0.25">
      <c r="A106" s="4" t="str">
        <f t="shared" si="1"/>
        <v>101</v>
      </c>
      <c r="B106" s="4" t="str">
        <f>"CLAUDIA CRISTINA PUGLIA DE CARVALHO"</f>
        <v>CLAUDIA CRISTINA PUGLIA DE CARVALHO</v>
      </c>
      <c r="C106" s="9" t="s">
        <v>251</v>
      </c>
      <c r="D106" s="4" t="str">
        <f>"31114"</f>
        <v>31114</v>
      </c>
    </row>
    <row r="107" spans="1:4" x14ac:dyDescent="0.25">
      <c r="A107" s="4" t="str">
        <f t="shared" si="1"/>
        <v>101</v>
      </c>
      <c r="B107" s="4" t="str">
        <f>"CLEMERSON DE ALMEIDA ESPINDOLA"</f>
        <v>CLEMERSON DE ALMEIDA ESPINDOLA</v>
      </c>
      <c r="C107" s="9" t="s">
        <v>252</v>
      </c>
      <c r="D107" s="4" t="str">
        <f>"31090"</f>
        <v>31090</v>
      </c>
    </row>
    <row r="108" spans="1:4" x14ac:dyDescent="0.25">
      <c r="A108" s="4" t="str">
        <f t="shared" si="1"/>
        <v>101</v>
      </c>
      <c r="B108" s="4" t="str">
        <f>"CRISTIANE DOS SANTOS PAULO PEREIRA"</f>
        <v>CRISTIANE DOS SANTOS PAULO PEREIRA</v>
      </c>
      <c r="C108" s="9" t="s">
        <v>253</v>
      </c>
      <c r="D108" s="4" t="str">
        <f>"31070"</f>
        <v>31070</v>
      </c>
    </row>
    <row r="109" spans="1:4" x14ac:dyDescent="0.25">
      <c r="A109" s="4" t="str">
        <f t="shared" si="1"/>
        <v>101</v>
      </c>
      <c r="B109" s="4" t="str">
        <f>"CRISTIANO LUIZ DE SOUZA"</f>
        <v>CRISTIANO LUIZ DE SOUZA</v>
      </c>
      <c r="C109" s="9" t="s">
        <v>254</v>
      </c>
      <c r="D109" s="4" t="str">
        <f>"21013"</f>
        <v>21013</v>
      </c>
    </row>
    <row r="110" spans="1:4" x14ac:dyDescent="0.25">
      <c r="A110" s="4" t="str">
        <f t="shared" si="1"/>
        <v>101</v>
      </c>
      <c r="B110" s="4" t="str">
        <f>"CRISTINA RODRIGUES MARCAL"</f>
        <v>CRISTINA RODRIGUES MARCAL</v>
      </c>
      <c r="C110" s="9" t="s">
        <v>255</v>
      </c>
      <c r="D110" s="4" t="str">
        <f>"13021"</f>
        <v>13021</v>
      </c>
    </row>
    <row r="111" spans="1:4" x14ac:dyDescent="0.25">
      <c r="A111" s="4" t="str">
        <f t="shared" si="1"/>
        <v>101</v>
      </c>
      <c r="B111" s="4" t="str">
        <f>"CYNTHIA ROBERTA GOMES LOPES"</f>
        <v>CYNTHIA ROBERTA GOMES LOPES</v>
      </c>
      <c r="C111" s="9" t="s">
        <v>256</v>
      </c>
      <c r="D111" s="4" t="str">
        <f>"31100"</f>
        <v>31100</v>
      </c>
    </row>
    <row r="112" spans="1:4" x14ac:dyDescent="0.25">
      <c r="A112" s="4" t="str">
        <f t="shared" si="1"/>
        <v>101</v>
      </c>
      <c r="B112" s="4" t="str">
        <f>"DAIANA MARTINS CARVALHO"</f>
        <v>DAIANA MARTINS CARVALHO</v>
      </c>
      <c r="C112" s="9" t="s">
        <v>257</v>
      </c>
      <c r="D112" s="4" t="str">
        <f>"31070"</f>
        <v>31070</v>
      </c>
    </row>
    <row r="113" spans="1:4" x14ac:dyDescent="0.25">
      <c r="A113" s="4" t="str">
        <f t="shared" si="1"/>
        <v>101</v>
      </c>
      <c r="B113" s="4" t="str">
        <f>"DANIEL AMERICO DE ARAUJO"</f>
        <v>DANIEL AMERICO DE ARAUJO</v>
      </c>
      <c r="C113" s="9" t="s">
        <v>258</v>
      </c>
      <c r="D113" s="4" t="str">
        <f>"31200"</f>
        <v>31200</v>
      </c>
    </row>
    <row r="114" spans="1:4" x14ac:dyDescent="0.25">
      <c r="A114" s="4" t="str">
        <f t="shared" si="1"/>
        <v>101</v>
      </c>
      <c r="B114" s="4" t="str">
        <f>"DANIEL APARECIDO DIAS"</f>
        <v>DANIEL APARECIDO DIAS</v>
      </c>
      <c r="C114" s="9" t="s">
        <v>259</v>
      </c>
      <c r="D114" s="4" t="str">
        <f>"13021"</f>
        <v>13021</v>
      </c>
    </row>
    <row r="115" spans="1:4" x14ac:dyDescent="0.25">
      <c r="A115" s="4" t="str">
        <f t="shared" si="1"/>
        <v>101</v>
      </c>
      <c r="B115" s="4" t="str">
        <f>"DANIEL FERREIRA LIPORACCE"</f>
        <v>DANIEL FERREIRA LIPORACCE</v>
      </c>
      <c r="C115" s="9" t="s">
        <v>260</v>
      </c>
      <c r="D115" s="4" t="str">
        <f>"13019"</f>
        <v>13019</v>
      </c>
    </row>
    <row r="116" spans="1:4" x14ac:dyDescent="0.25">
      <c r="A116" s="4" t="str">
        <f t="shared" si="1"/>
        <v>101</v>
      </c>
      <c r="B116" s="4" t="str">
        <f>"DANIELA DE OLIVEIRA MACHADO COSTA"</f>
        <v>DANIELA DE OLIVEIRA MACHADO COSTA</v>
      </c>
      <c r="C116" s="9" t="s">
        <v>261</v>
      </c>
      <c r="D116" s="4" t="str">
        <f>"31100"</f>
        <v>31100</v>
      </c>
    </row>
    <row r="117" spans="1:4" x14ac:dyDescent="0.25">
      <c r="A117" s="4" t="str">
        <f t="shared" si="1"/>
        <v>101</v>
      </c>
      <c r="B117" s="4" t="str">
        <f>"DANIELA SOUZA VIEIRA MACHADO"</f>
        <v>DANIELA SOUZA VIEIRA MACHADO</v>
      </c>
      <c r="C117" s="9" t="s">
        <v>262</v>
      </c>
      <c r="D117" s="4" t="str">
        <f>"31060"</f>
        <v>31060</v>
      </c>
    </row>
    <row r="118" spans="1:4" x14ac:dyDescent="0.25">
      <c r="A118" s="4" t="str">
        <f t="shared" si="1"/>
        <v>101</v>
      </c>
      <c r="B118" s="4" t="str">
        <f>"DANIELI PORTO DE SOUZA"</f>
        <v>DANIELI PORTO DE SOUZA</v>
      </c>
      <c r="C118" s="9" t="s">
        <v>263</v>
      </c>
      <c r="D118" s="4" t="str">
        <f>"31060"</f>
        <v>31060</v>
      </c>
    </row>
    <row r="119" spans="1:4" x14ac:dyDescent="0.25">
      <c r="A119" s="4" t="str">
        <f t="shared" si="1"/>
        <v>101</v>
      </c>
      <c r="B119" s="4" t="str">
        <f>"DANILO DE OLIVEIRA SANTOS"</f>
        <v>DANILO DE OLIVEIRA SANTOS</v>
      </c>
      <c r="C119" s="9" t="s">
        <v>264</v>
      </c>
      <c r="D119" s="4" t="str">
        <f>"31112"</f>
        <v>31112</v>
      </c>
    </row>
    <row r="120" spans="1:4" x14ac:dyDescent="0.25">
      <c r="A120" s="4" t="str">
        <f t="shared" si="1"/>
        <v>101</v>
      </c>
      <c r="B120" s="4" t="str">
        <f>"DARTIEL DE SOUZA SILVA"</f>
        <v>DARTIEL DE SOUZA SILVA</v>
      </c>
      <c r="C120" s="9" t="s">
        <v>265</v>
      </c>
      <c r="D120" s="4" t="str">
        <f>"33040"</f>
        <v>33040</v>
      </c>
    </row>
    <row r="121" spans="1:4" x14ac:dyDescent="0.25">
      <c r="A121" s="4" t="str">
        <f t="shared" si="1"/>
        <v>101</v>
      </c>
      <c r="B121" s="4" t="str">
        <f>"DAVID MOIA FERREIRA"</f>
        <v>DAVID MOIA FERREIRA</v>
      </c>
      <c r="C121" s="9" t="s">
        <v>266</v>
      </c>
      <c r="D121" s="4" t="str">
        <f>"15050"</f>
        <v>15050</v>
      </c>
    </row>
    <row r="122" spans="1:4" x14ac:dyDescent="0.25">
      <c r="A122" s="4" t="str">
        <f t="shared" si="1"/>
        <v>101</v>
      </c>
      <c r="B122" s="4" t="str">
        <f>"DIEGO FERNANDO DA CRUZ"</f>
        <v>DIEGO FERNANDO DA CRUZ</v>
      </c>
      <c r="C122" s="9" t="s">
        <v>267</v>
      </c>
      <c r="D122" s="4" t="str">
        <f>"15051"</f>
        <v>15051</v>
      </c>
    </row>
    <row r="123" spans="1:4" x14ac:dyDescent="0.25">
      <c r="A123" s="4" t="str">
        <f t="shared" si="1"/>
        <v>101</v>
      </c>
      <c r="B123" s="4" t="str">
        <f>"DIOGO GABRIEL DA SILVA MARTINS"</f>
        <v>DIOGO GABRIEL DA SILVA MARTINS</v>
      </c>
      <c r="C123" s="9" t="s">
        <v>268</v>
      </c>
      <c r="D123" s="4" t="str">
        <f>"31200"</f>
        <v>31200</v>
      </c>
    </row>
    <row r="124" spans="1:4" x14ac:dyDescent="0.25">
      <c r="A124" s="4" t="str">
        <f t="shared" si="1"/>
        <v>101</v>
      </c>
      <c r="B124" s="4" t="str">
        <f>"DIONE CORREA"</f>
        <v>DIONE CORREA</v>
      </c>
      <c r="C124" s="9" t="s">
        <v>269</v>
      </c>
      <c r="D124" s="4" t="str">
        <f>"15051"</f>
        <v>15051</v>
      </c>
    </row>
    <row r="125" spans="1:4" x14ac:dyDescent="0.25">
      <c r="A125" s="4" t="str">
        <f t="shared" si="1"/>
        <v>101</v>
      </c>
      <c r="B125" s="4" t="str">
        <f>"DIVA CAMARGO"</f>
        <v>DIVA CAMARGO</v>
      </c>
      <c r="C125" s="9" t="s">
        <v>270</v>
      </c>
      <c r="D125" s="4" t="str">
        <f>"55030"</f>
        <v>55030</v>
      </c>
    </row>
    <row r="126" spans="1:4" x14ac:dyDescent="0.25">
      <c r="A126" s="4" t="str">
        <f t="shared" si="1"/>
        <v>101</v>
      </c>
      <c r="B126" s="4" t="str">
        <f>"DOUGLAS BATISTA MENEGUINI"</f>
        <v>DOUGLAS BATISTA MENEGUINI</v>
      </c>
      <c r="C126" s="9" t="s">
        <v>271</v>
      </c>
      <c r="D126" s="4" t="str">
        <f>"31100"</f>
        <v>31100</v>
      </c>
    </row>
    <row r="127" spans="1:4" x14ac:dyDescent="0.25">
      <c r="A127" s="4" t="str">
        <f t="shared" si="1"/>
        <v>101</v>
      </c>
      <c r="B127" s="4" t="str">
        <f>"DOUGLAS EDUARDO MENDES"</f>
        <v>DOUGLAS EDUARDO MENDES</v>
      </c>
      <c r="C127" s="9" t="s">
        <v>272</v>
      </c>
      <c r="D127" s="4" t="str">
        <f>"15051"</f>
        <v>15051</v>
      </c>
    </row>
    <row r="128" spans="1:4" x14ac:dyDescent="0.25">
      <c r="A128" s="4" t="str">
        <f t="shared" si="1"/>
        <v>101</v>
      </c>
      <c r="B128" s="4" t="str">
        <f>"DULCE HELENA MALASPINA"</f>
        <v>DULCE HELENA MALASPINA</v>
      </c>
      <c r="C128" s="9" t="s">
        <v>273</v>
      </c>
      <c r="D128" s="4" t="str">
        <f>"31060"</f>
        <v>31060</v>
      </c>
    </row>
    <row r="129" spans="1:4" x14ac:dyDescent="0.25">
      <c r="A129" s="4" t="str">
        <f t="shared" si="1"/>
        <v>101</v>
      </c>
      <c r="B129" s="4" t="str">
        <f>"EDCLEIA DE PAULA SANTOS"</f>
        <v>EDCLEIA DE PAULA SANTOS</v>
      </c>
      <c r="C129" s="9" t="s">
        <v>274</v>
      </c>
      <c r="D129" s="4" t="str">
        <f>"31060"</f>
        <v>31060</v>
      </c>
    </row>
    <row r="130" spans="1:4" x14ac:dyDescent="0.25">
      <c r="A130" s="4" t="str">
        <f t="shared" si="1"/>
        <v>101</v>
      </c>
      <c r="B130" s="4" t="str">
        <f>"EDER MARTINS GUIMARAES"</f>
        <v>EDER MARTINS GUIMARAES</v>
      </c>
      <c r="C130" s="9" t="s">
        <v>275</v>
      </c>
      <c r="D130" s="4" t="str">
        <f>"31200"</f>
        <v>31200</v>
      </c>
    </row>
    <row r="131" spans="1:4" x14ac:dyDescent="0.25">
      <c r="A131" s="4" t="str">
        <f t="shared" ref="A131:A194" si="2">"101"</f>
        <v>101</v>
      </c>
      <c r="B131" s="4" t="str">
        <f>"EDI CARLOS RODRIGUES DE SOUZA"</f>
        <v>EDI CARLOS RODRIGUES DE SOUZA</v>
      </c>
      <c r="C131" s="9" t="s">
        <v>276</v>
      </c>
      <c r="D131" s="4" t="str">
        <f>"33050"</f>
        <v>33050</v>
      </c>
    </row>
    <row r="132" spans="1:4" x14ac:dyDescent="0.25">
      <c r="A132" s="4" t="str">
        <f t="shared" si="2"/>
        <v>101</v>
      </c>
      <c r="B132" s="4" t="str">
        <f>"EDILAINE APARECIDA ALMEIDA OLIVEIRA"</f>
        <v>EDILAINE APARECIDA ALMEIDA OLIVEIRA</v>
      </c>
      <c r="C132" s="9" t="s">
        <v>277</v>
      </c>
      <c r="D132" s="4" t="str">
        <f>"31060"</f>
        <v>31060</v>
      </c>
    </row>
    <row r="133" spans="1:4" x14ac:dyDescent="0.25">
      <c r="A133" s="4" t="str">
        <f t="shared" si="2"/>
        <v>101</v>
      </c>
      <c r="B133" s="4" t="str">
        <f>"EDILENE DE OLIVEIRA SANZONI"</f>
        <v>EDILENE DE OLIVEIRA SANZONI</v>
      </c>
      <c r="C133" s="9" t="s">
        <v>278</v>
      </c>
      <c r="D133" s="4" t="str">
        <f>"31116"</f>
        <v>31116</v>
      </c>
    </row>
    <row r="134" spans="1:4" x14ac:dyDescent="0.25">
      <c r="A134" s="4" t="str">
        <f t="shared" si="2"/>
        <v>101</v>
      </c>
      <c r="B134" s="4" t="str">
        <f>"EDINEIA SIQUEIRA CALDAS"</f>
        <v>EDINEIA SIQUEIRA CALDAS</v>
      </c>
      <c r="C134" s="7" t="s">
        <v>279</v>
      </c>
      <c r="D134" s="4" t="str">
        <f>"31114"</f>
        <v>31114</v>
      </c>
    </row>
    <row r="135" spans="1:4" x14ac:dyDescent="0.25">
      <c r="A135" s="4" t="str">
        <f t="shared" si="2"/>
        <v>101</v>
      </c>
      <c r="B135" s="4" t="str">
        <f>"EDITE REIS ALVES AMORIM"</f>
        <v>EDITE REIS ALVES AMORIM</v>
      </c>
      <c r="C135" s="9" t="s">
        <v>280</v>
      </c>
      <c r="D135" s="4" t="str">
        <f>"31060"</f>
        <v>31060</v>
      </c>
    </row>
    <row r="136" spans="1:4" x14ac:dyDescent="0.25">
      <c r="A136" s="4" t="str">
        <f t="shared" si="2"/>
        <v>101</v>
      </c>
      <c r="B136" s="4" t="str">
        <f>"EDUARDA ALMEIDA SIQUEIRA"</f>
        <v>EDUARDA ALMEIDA SIQUEIRA</v>
      </c>
      <c r="C136" s="9" t="s">
        <v>281</v>
      </c>
      <c r="D136" s="4" t="str">
        <f>"14012"</f>
        <v>14012</v>
      </c>
    </row>
    <row r="137" spans="1:4" x14ac:dyDescent="0.25">
      <c r="A137" s="4" t="str">
        <f t="shared" si="2"/>
        <v>101</v>
      </c>
      <c r="B137" s="4" t="str">
        <f>"EDUARDA DE MATTOS ZANON BORGES"</f>
        <v>EDUARDA DE MATTOS ZANON BORGES</v>
      </c>
      <c r="C137" s="9" t="s">
        <v>282</v>
      </c>
      <c r="D137" s="4" t="str">
        <f>"31114"</f>
        <v>31114</v>
      </c>
    </row>
    <row r="138" spans="1:4" x14ac:dyDescent="0.25">
      <c r="A138" s="4" t="str">
        <f t="shared" si="2"/>
        <v>101</v>
      </c>
      <c r="B138" s="4" t="str">
        <f>"EDUARDO AURELIANO DE LIMA"</f>
        <v>EDUARDO AURELIANO DE LIMA</v>
      </c>
      <c r="C138" s="9" t="s">
        <v>283</v>
      </c>
      <c r="D138" s="4" t="str">
        <f>"15050"</f>
        <v>15050</v>
      </c>
    </row>
    <row r="139" spans="1:4" x14ac:dyDescent="0.25">
      <c r="A139" s="4" t="str">
        <f t="shared" si="2"/>
        <v>101</v>
      </c>
      <c r="B139" s="4" t="str">
        <f>"EDUARDO FERREIRA DE OLIVEIRA"</f>
        <v>EDUARDO FERREIRA DE OLIVEIRA</v>
      </c>
      <c r="C139" s="9" t="s">
        <v>284</v>
      </c>
      <c r="D139" s="4" t="str">
        <f>"15050"</f>
        <v>15050</v>
      </c>
    </row>
    <row r="140" spans="1:4" x14ac:dyDescent="0.25">
      <c r="A140" s="4" t="str">
        <f t="shared" si="2"/>
        <v>101</v>
      </c>
      <c r="B140" s="4" t="str">
        <f>"ELAINE OLIVEIRA SILVA"</f>
        <v>ELAINE OLIVEIRA SILVA</v>
      </c>
      <c r="C140" s="9" t="s">
        <v>285</v>
      </c>
      <c r="D140" s="4" t="str">
        <f>"31060"</f>
        <v>31060</v>
      </c>
    </row>
    <row r="141" spans="1:4" x14ac:dyDescent="0.25">
      <c r="A141" s="4" t="str">
        <f t="shared" si="2"/>
        <v>101</v>
      </c>
      <c r="B141" s="4" t="str">
        <f>"ELENIR COSTA SERVINO"</f>
        <v>ELENIR COSTA SERVINO</v>
      </c>
      <c r="C141" s="9" t="s">
        <v>286</v>
      </c>
      <c r="D141" s="4" t="str">
        <f>"31114"</f>
        <v>31114</v>
      </c>
    </row>
    <row r="142" spans="1:4" x14ac:dyDescent="0.25">
      <c r="A142" s="4" t="str">
        <f t="shared" si="2"/>
        <v>101</v>
      </c>
      <c r="B142" s="4" t="str">
        <f>"ELIEZER RODRIGUES DOS SANTOS"</f>
        <v>ELIEZER RODRIGUES DOS SANTOS</v>
      </c>
      <c r="C142" s="9" t="s">
        <v>287</v>
      </c>
      <c r="D142" s="4" t="str">
        <f>"15051"</f>
        <v>15051</v>
      </c>
    </row>
    <row r="143" spans="1:4" x14ac:dyDescent="0.25">
      <c r="A143" s="4" t="str">
        <f t="shared" si="2"/>
        <v>101</v>
      </c>
      <c r="B143" s="4" t="str">
        <f>"ELIS REGINA FERNANDES"</f>
        <v>ELIS REGINA FERNANDES</v>
      </c>
      <c r="C143" s="9" t="s">
        <v>288</v>
      </c>
      <c r="D143" s="4" t="str">
        <f>"15051"</f>
        <v>15051</v>
      </c>
    </row>
    <row r="144" spans="1:4" x14ac:dyDescent="0.25">
      <c r="A144" s="4" t="str">
        <f t="shared" si="2"/>
        <v>101</v>
      </c>
      <c r="B144" s="4" t="str">
        <f>"ELIZABETH ALVES BARBOSA PEREIRA"</f>
        <v>ELIZABETH ALVES BARBOSA PEREIRA</v>
      </c>
      <c r="C144" s="9" t="s">
        <v>289</v>
      </c>
      <c r="D144" s="4" t="str">
        <f>"31070"</f>
        <v>31070</v>
      </c>
    </row>
    <row r="145" spans="1:4" x14ac:dyDescent="0.25">
      <c r="A145" s="4" t="str">
        <f t="shared" si="2"/>
        <v>101</v>
      </c>
      <c r="B145" s="4" t="str">
        <f>"ELIZABETH DIAS BICALHO FERREIRA"</f>
        <v>ELIZABETH DIAS BICALHO FERREIRA</v>
      </c>
      <c r="C145" s="9" t="s">
        <v>290</v>
      </c>
      <c r="D145" s="4" t="str">
        <f>"31090"</f>
        <v>31090</v>
      </c>
    </row>
    <row r="146" spans="1:4" x14ac:dyDescent="0.25">
      <c r="A146" s="4" t="str">
        <f t="shared" si="2"/>
        <v>101</v>
      </c>
      <c r="B146" s="4" t="str">
        <f>"ELQUE PAULINO SANTOS"</f>
        <v>ELQUE PAULINO SANTOS</v>
      </c>
      <c r="C146" s="9" t="s">
        <v>291</v>
      </c>
      <c r="D146" s="4" t="str">
        <f>"15050"</f>
        <v>15050</v>
      </c>
    </row>
    <row r="147" spans="1:4" x14ac:dyDescent="0.25">
      <c r="A147" s="4" t="str">
        <f t="shared" si="2"/>
        <v>101</v>
      </c>
      <c r="B147" s="4" t="str">
        <f>"ELTON RODRIGUES TERESA"</f>
        <v>ELTON RODRIGUES TERESA</v>
      </c>
      <c r="C147" s="9" t="s">
        <v>292</v>
      </c>
      <c r="D147" s="4" t="str">
        <f>"31090"</f>
        <v>31090</v>
      </c>
    </row>
    <row r="148" spans="1:4" x14ac:dyDescent="0.25">
      <c r="A148" s="4" t="str">
        <f t="shared" si="2"/>
        <v>101</v>
      </c>
      <c r="B148" s="4" t="str">
        <f>"EMERSON DE OLIVEIRA COSTA"</f>
        <v>EMERSON DE OLIVEIRA COSTA</v>
      </c>
      <c r="C148" s="9" t="s">
        <v>293</v>
      </c>
      <c r="D148" s="4" t="str">
        <f>"21012"</f>
        <v>21012</v>
      </c>
    </row>
    <row r="149" spans="1:4" x14ac:dyDescent="0.25">
      <c r="A149" s="4" t="str">
        <f t="shared" si="2"/>
        <v>101</v>
      </c>
      <c r="B149" s="4" t="str">
        <f>"EMERSON OLIVEIRA"</f>
        <v>EMERSON OLIVEIRA</v>
      </c>
      <c r="C149" s="9" t="s">
        <v>294</v>
      </c>
      <c r="D149" s="4" t="str">
        <f>"31116"</f>
        <v>31116</v>
      </c>
    </row>
    <row r="150" spans="1:4" x14ac:dyDescent="0.25">
      <c r="A150" s="4" t="str">
        <f t="shared" si="2"/>
        <v>101</v>
      </c>
      <c r="B150" s="4" t="str">
        <f>"ERICA BATISTA CARDOSO"</f>
        <v>ERICA BATISTA CARDOSO</v>
      </c>
      <c r="C150" s="9" t="s">
        <v>295</v>
      </c>
      <c r="D150" s="4" t="str">
        <f>"31114"</f>
        <v>31114</v>
      </c>
    </row>
    <row r="151" spans="1:4" x14ac:dyDescent="0.25">
      <c r="A151" s="4" t="str">
        <f t="shared" si="2"/>
        <v>101</v>
      </c>
      <c r="B151" s="4" t="str">
        <f>"EVA APARECIDA GOMES"</f>
        <v>EVA APARECIDA GOMES</v>
      </c>
      <c r="C151" s="9" t="s">
        <v>296</v>
      </c>
      <c r="D151" s="4" t="str">
        <f>"31060"</f>
        <v>31060</v>
      </c>
    </row>
    <row r="152" spans="1:4" x14ac:dyDescent="0.25">
      <c r="A152" s="4" t="str">
        <f t="shared" si="2"/>
        <v>101</v>
      </c>
      <c r="B152" s="4" t="str">
        <f>"EVERALDO BATISTA FERNANDES"</f>
        <v>EVERALDO BATISTA FERNANDES</v>
      </c>
      <c r="C152" s="9" t="s">
        <v>297</v>
      </c>
      <c r="D152" s="4" t="str">
        <f>"21012"</f>
        <v>21012</v>
      </c>
    </row>
    <row r="153" spans="1:4" x14ac:dyDescent="0.25">
      <c r="A153" s="4" t="str">
        <f t="shared" si="2"/>
        <v>101</v>
      </c>
      <c r="B153" s="4" t="str">
        <f>"FABIANA APARECIDA DE MOURA S PEREIRA"</f>
        <v>FABIANA APARECIDA DE MOURA S PEREIRA</v>
      </c>
      <c r="C153" s="9" t="s">
        <v>298</v>
      </c>
      <c r="D153" s="4" t="str">
        <f>"31070"</f>
        <v>31070</v>
      </c>
    </row>
    <row r="154" spans="1:4" x14ac:dyDescent="0.25">
      <c r="A154" s="4" t="str">
        <f t="shared" si="2"/>
        <v>101</v>
      </c>
      <c r="B154" s="4" t="str">
        <f>"FABIANA CRISTINA ANANIAS"</f>
        <v>FABIANA CRISTINA ANANIAS</v>
      </c>
      <c r="C154" s="9" t="s">
        <v>299</v>
      </c>
      <c r="D154" s="4" t="str">
        <f>"31114"</f>
        <v>31114</v>
      </c>
    </row>
    <row r="155" spans="1:4" x14ac:dyDescent="0.25">
      <c r="A155" s="4" t="str">
        <f t="shared" si="2"/>
        <v>101</v>
      </c>
      <c r="B155" s="4" t="str">
        <f>"FABIO DE PAULA PASCHOIM"</f>
        <v>FABIO DE PAULA PASCHOIM</v>
      </c>
      <c r="C155" s="9" t="s">
        <v>300</v>
      </c>
      <c r="D155" s="4" t="str">
        <f>"31040"</f>
        <v>31040</v>
      </c>
    </row>
    <row r="156" spans="1:4" x14ac:dyDescent="0.25">
      <c r="A156" s="4" t="str">
        <f t="shared" si="2"/>
        <v>101</v>
      </c>
      <c r="B156" s="4" t="str">
        <f>"FABIOLA RIBEIRO BRANQUINHO"</f>
        <v>FABIOLA RIBEIRO BRANQUINHO</v>
      </c>
      <c r="C156" s="9" t="s">
        <v>301</v>
      </c>
      <c r="D156" s="4" t="str">
        <f>"31060"</f>
        <v>31060</v>
      </c>
    </row>
    <row r="157" spans="1:4" x14ac:dyDescent="0.25">
      <c r="A157" s="4" t="str">
        <f t="shared" si="2"/>
        <v>101</v>
      </c>
      <c r="B157" s="4" t="str">
        <f>"FELIPE INACIO DIAS ARAUJO"</f>
        <v>FELIPE INACIO DIAS ARAUJO</v>
      </c>
      <c r="C157" s="9" t="s">
        <v>302</v>
      </c>
      <c r="D157" s="4" t="str">
        <f>"31114"</f>
        <v>31114</v>
      </c>
    </row>
    <row r="158" spans="1:4" x14ac:dyDescent="0.25">
      <c r="A158" s="4" t="str">
        <f t="shared" si="2"/>
        <v>101</v>
      </c>
      <c r="B158" s="4" t="str">
        <f>"FELIPE MAGI DE SOUZA"</f>
        <v>FELIPE MAGI DE SOUZA</v>
      </c>
      <c r="C158" s="9" t="s">
        <v>303</v>
      </c>
      <c r="D158" s="4" t="str">
        <f>"33050"</f>
        <v>33050</v>
      </c>
    </row>
    <row r="159" spans="1:4" x14ac:dyDescent="0.25">
      <c r="A159" s="4" t="str">
        <f t="shared" si="2"/>
        <v>101</v>
      </c>
      <c r="B159" s="4" t="str">
        <f>"FELIPE SANTOS SERAFIM"</f>
        <v>FELIPE SANTOS SERAFIM</v>
      </c>
      <c r="C159" s="9" t="s">
        <v>304</v>
      </c>
      <c r="D159" s="4" t="str">
        <f>"13011"</f>
        <v>13011</v>
      </c>
    </row>
    <row r="160" spans="1:4" x14ac:dyDescent="0.25">
      <c r="A160" s="4" t="str">
        <f t="shared" si="2"/>
        <v>101</v>
      </c>
      <c r="B160" s="4" t="str">
        <f>"FERNANDA DANTAS FERREIRA BORGES"</f>
        <v>FERNANDA DANTAS FERREIRA BORGES</v>
      </c>
      <c r="C160" s="9" t="s">
        <v>305</v>
      </c>
      <c r="D160" s="4" t="str">
        <f>"31090"</f>
        <v>31090</v>
      </c>
    </row>
    <row r="161" spans="1:4" x14ac:dyDescent="0.25">
      <c r="A161" s="4" t="str">
        <f t="shared" si="2"/>
        <v>101</v>
      </c>
      <c r="B161" s="4" t="str">
        <f>"FERNANDA VITORIA MARTINS DOS SANTOS"</f>
        <v>FERNANDA VITORIA MARTINS DOS SANTOS</v>
      </c>
      <c r="C161" s="9" t="s">
        <v>306</v>
      </c>
      <c r="D161" s="4" t="str">
        <f>"31116"</f>
        <v>31116</v>
      </c>
    </row>
    <row r="162" spans="1:4" x14ac:dyDescent="0.25">
      <c r="A162" s="4" t="str">
        <f t="shared" si="2"/>
        <v>101</v>
      </c>
      <c r="B162" s="4" t="str">
        <f>"FERNANDO CARLOS DA MOTA"</f>
        <v>FERNANDO CARLOS DA MOTA</v>
      </c>
      <c r="C162" s="9" t="s">
        <v>307</v>
      </c>
      <c r="D162" s="4" t="str">
        <f>"31114"</f>
        <v>31114</v>
      </c>
    </row>
    <row r="163" spans="1:4" x14ac:dyDescent="0.25">
      <c r="A163" s="4" t="str">
        <f t="shared" si="2"/>
        <v>101</v>
      </c>
      <c r="B163" s="4" t="str">
        <f>"FERNANDO HENRIQUE BALDAIA"</f>
        <v>FERNANDO HENRIQUE BALDAIA</v>
      </c>
      <c r="C163" s="9" t="s">
        <v>308</v>
      </c>
      <c r="D163" s="4" t="str">
        <f>"31112"</f>
        <v>31112</v>
      </c>
    </row>
    <row r="164" spans="1:4" x14ac:dyDescent="0.25">
      <c r="A164" s="4" t="str">
        <f t="shared" si="2"/>
        <v>101</v>
      </c>
      <c r="B164" s="4" t="str">
        <f>"FILIPE NATHANAEL DE CARVALHO SILVA"</f>
        <v>FILIPE NATHANAEL DE CARVALHO SILVA</v>
      </c>
      <c r="C164" s="9" t="s">
        <v>309</v>
      </c>
      <c r="D164" s="4" t="str">
        <f>"21012"</f>
        <v>21012</v>
      </c>
    </row>
    <row r="165" spans="1:4" x14ac:dyDescent="0.25">
      <c r="A165" s="4" t="str">
        <f t="shared" si="2"/>
        <v>101</v>
      </c>
      <c r="B165" s="4" t="str">
        <f>"FLAVIA CRISTINA DOS SANTOS"</f>
        <v>FLAVIA CRISTINA DOS SANTOS</v>
      </c>
      <c r="C165" s="9" t="s">
        <v>310</v>
      </c>
      <c r="D165" s="4" t="str">
        <f>"31114"</f>
        <v>31114</v>
      </c>
    </row>
    <row r="166" spans="1:4" x14ac:dyDescent="0.25">
      <c r="A166" s="4" t="str">
        <f t="shared" si="2"/>
        <v>101</v>
      </c>
      <c r="B166" s="4" t="str">
        <f>"FRANCINE GASPAR FERREIRA BUGLIANI"</f>
        <v>FRANCINE GASPAR FERREIRA BUGLIANI</v>
      </c>
      <c r="C166" s="9" t="s">
        <v>311</v>
      </c>
      <c r="D166" s="4" t="str">
        <f>"31060"</f>
        <v>31060</v>
      </c>
    </row>
    <row r="167" spans="1:4" x14ac:dyDescent="0.25">
      <c r="A167" s="4" t="str">
        <f t="shared" si="2"/>
        <v>101</v>
      </c>
      <c r="B167" s="4" t="str">
        <f>"FRANCISCO JOSE FARIA FALEIROS DE ALMEIDA"</f>
        <v>FRANCISCO JOSE FARIA FALEIROS DE ALMEIDA</v>
      </c>
      <c r="C167" s="9" t="s">
        <v>312</v>
      </c>
      <c r="D167" s="4" t="str">
        <f>"31060"</f>
        <v>31060</v>
      </c>
    </row>
    <row r="168" spans="1:4" x14ac:dyDescent="0.25">
      <c r="A168" s="4" t="str">
        <f t="shared" si="2"/>
        <v>101</v>
      </c>
      <c r="B168" s="4" t="str">
        <f>"FRANSERGIO ALVES DE PAIVA"</f>
        <v>FRANSERGIO ALVES DE PAIVA</v>
      </c>
      <c r="C168" s="9" t="s">
        <v>313</v>
      </c>
      <c r="D168" s="4" t="str">
        <f>"33060"</f>
        <v>33060</v>
      </c>
    </row>
    <row r="169" spans="1:4" x14ac:dyDescent="0.25">
      <c r="A169" s="4" t="str">
        <f t="shared" si="2"/>
        <v>101</v>
      </c>
      <c r="B169" s="4" t="str">
        <f>"FRANSERGIO LEMES MENDONCA"</f>
        <v>FRANSERGIO LEMES MENDONCA</v>
      </c>
      <c r="C169" s="9" t="s">
        <v>314</v>
      </c>
      <c r="D169" s="4" t="str">
        <f>"31040"</f>
        <v>31040</v>
      </c>
    </row>
    <row r="170" spans="1:4" x14ac:dyDescent="0.25">
      <c r="A170" s="4" t="str">
        <f t="shared" si="2"/>
        <v>101</v>
      </c>
      <c r="B170" s="4" t="str">
        <f>"GABRIEL DE SOUSA"</f>
        <v>GABRIEL DE SOUSA</v>
      </c>
      <c r="C170" s="9" t="s">
        <v>315</v>
      </c>
      <c r="D170" s="4" t="str">
        <f>"33010"</f>
        <v>33010</v>
      </c>
    </row>
    <row r="171" spans="1:4" x14ac:dyDescent="0.25">
      <c r="A171" s="4" t="str">
        <f t="shared" si="2"/>
        <v>101</v>
      </c>
      <c r="B171" s="4" t="str">
        <f>"GABRIEL MANFRIN ZAMARA"</f>
        <v>GABRIEL MANFRIN ZAMARA</v>
      </c>
      <c r="C171" s="9" t="s">
        <v>316</v>
      </c>
      <c r="D171" s="4" t="str">
        <f>"21011"</f>
        <v>21011</v>
      </c>
    </row>
    <row r="172" spans="1:4" x14ac:dyDescent="0.25">
      <c r="A172" s="4" t="str">
        <f t="shared" si="2"/>
        <v>101</v>
      </c>
      <c r="B172" s="4" t="str">
        <f>"GABRIEL RODRIGUES DE BRITO"</f>
        <v>GABRIEL RODRIGUES DE BRITO</v>
      </c>
      <c r="C172" s="9" t="s">
        <v>317</v>
      </c>
      <c r="D172" s="4" t="str">
        <f>"15012"</f>
        <v>15012</v>
      </c>
    </row>
    <row r="173" spans="1:4" x14ac:dyDescent="0.25">
      <c r="A173" s="4" t="str">
        <f t="shared" si="2"/>
        <v>101</v>
      </c>
      <c r="B173" s="4" t="str">
        <f>"GABRIEL SILVA DE LIMA"</f>
        <v>GABRIEL SILVA DE LIMA</v>
      </c>
      <c r="C173" s="9" t="s">
        <v>318</v>
      </c>
      <c r="D173" s="4" t="str">
        <f>"31060"</f>
        <v>31060</v>
      </c>
    </row>
    <row r="174" spans="1:4" x14ac:dyDescent="0.25">
      <c r="A174" s="4" t="str">
        <f t="shared" si="2"/>
        <v>101</v>
      </c>
      <c r="B174" s="4" t="str">
        <f>"GABRIELA NOBRE BARBOSA"</f>
        <v>GABRIELA NOBRE BARBOSA</v>
      </c>
      <c r="C174" s="9" t="s">
        <v>319</v>
      </c>
      <c r="D174" s="4" t="str">
        <f>"33060"</f>
        <v>33060</v>
      </c>
    </row>
    <row r="175" spans="1:4" x14ac:dyDescent="0.25">
      <c r="A175" s="4" t="str">
        <f t="shared" si="2"/>
        <v>101</v>
      </c>
      <c r="B175" s="4" t="str">
        <f>"GEISI APARECIDA DOS SANTOS ANDRADE"</f>
        <v>GEISI APARECIDA DOS SANTOS ANDRADE</v>
      </c>
      <c r="C175" s="9" t="s">
        <v>320</v>
      </c>
      <c r="D175" s="4" t="str">
        <f>"31200"</f>
        <v>31200</v>
      </c>
    </row>
    <row r="176" spans="1:4" x14ac:dyDescent="0.25">
      <c r="A176" s="4" t="str">
        <f t="shared" si="2"/>
        <v>101</v>
      </c>
      <c r="B176" s="4" t="str">
        <f>"GILBERTO PASSOS DO NASCIMENTO"</f>
        <v>GILBERTO PASSOS DO NASCIMENTO</v>
      </c>
      <c r="C176" s="9" t="s">
        <v>321</v>
      </c>
      <c r="D176" s="4" t="str">
        <f>"15050"</f>
        <v>15050</v>
      </c>
    </row>
    <row r="177" spans="1:4" x14ac:dyDescent="0.25">
      <c r="A177" s="4" t="str">
        <f t="shared" si="2"/>
        <v>101</v>
      </c>
      <c r="B177" s="4" t="str">
        <f>"GILBERTO SILVA WAKAYAMA"</f>
        <v>GILBERTO SILVA WAKAYAMA</v>
      </c>
      <c r="C177" s="9" t="s">
        <v>322</v>
      </c>
      <c r="D177" s="4" t="str">
        <f>"31090"</f>
        <v>31090</v>
      </c>
    </row>
    <row r="178" spans="1:4" x14ac:dyDescent="0.25">
      <c r="A178" s="4" t="str">
        <f t="shared" si="2"/>
        <v>101</v>
      </c>
      <c r="B178" s="4" t="str">
        <f>"GIOVANA CARLA DOS SANTOS LIMA"</f>
        <v>GIOVANA CARLA DOS SANTOS LIMA</v>
      </c>
      <c r="C178" s="9" t="s">
        <v>323</v>
      </c>
      <c r="D178" s="4" t="str">
        <f>"31060"</f>
        <v>31060</v>
      </c>
    </row>
    <row r="179" spans="1:4" x14ac:dyDescent="0.25">
      <c r="A179" s="4" t="str">
        <f t="shared" si="2"/>
        <v>101</v>
      </c>
      <c r="B179" s="4" t="str">
        <f>"GLEICIMARA CONEGUNDES CRUZ"</f>
        <v>GLEICIMARA CONEGUNDES CRUZ</v>
      </c>
      <c r="C179" s="9" t="s">
        <v>324</v>
      </c>
      <c r="D179" s="4" t="str">
        <f>"13018"</f>
        <v>13018</v>
      </c>
    </row>
    <row r="180" spans="1:4" x14ac:dyDescent="0.25">
      <c r="A180" s="4" t="str">
        <f t="shared" si="2"/>
        <v>101</v>
      </c>
      <c r="B180" s="4" t="str">
        <f>"GRACIELI MACIEL NAQUIS"</f>
        <v>GRACIELI MACIEL NAQUIS</v>
      </c>
      <c r="C180" s="9" t="s">
        <v>325</v>
      </c>
      <c r="D180" s="4" t="str">
        <f>"15051"</f>
        <v>15051</v>
      </c>
    </row>
    <row r="181" spans="1:4" x14ac:dyDescent="0.25">
      <c r="A181" s="4" t="str">
        <f t="shared" si="2"/>
        <v>101</v>
      </c>
      <c r="B181" s="4" t="str">
        <f>"GUILHERME HENRIQUE DE SOUZA MEDEIROS"</f>
        <v>GUILHERME HENRIQUE DE SOUZA MEDEIROS</v>
      </c>
      <c r="C181" s="9" t="s">
        <v>326</v>
      </c>
      <c r="D181" s="4" t="str">
        <f>"33060"</f>
        <v>33060</v>
      </c>
    </row>
    <row r="182" spans="1:4" x14ac:dyDescent="0.25">
      <c r="A182" s="4" t="str">
        <f t="shared" si="2"/>
        <v>101</v>
      </c>
      <c r="B182" s="4" t="str">
        <f>"GUILHERME JORGE CRUZ LUCHESI"</f>
        <v>GUILHERME JORGE CRUZ LUCHESI</v>
      </c>
      <c r="C182" s="9" t="s">
        <v>327</v>
      </c>
      <c r="D182" s="4" t="str">
        <f>"15012"</f>
        <v>15012</v>
      </c>
    </row>
    <row r="183" spans="1:4" x14ac:dyDescent="0.25">
      <c r="A183" s="4" t="str">
        <f t="shared" si="2"/>
        <v>101</v>
      </c>
      <c r="B183" s="4" t="str">
        <f>"GUILHERME RODRIGUES ROSA"</f>
        <v>GUILHERME RODRIGUES ROSA</v>
      </c>
      <c r="C183" s="9" t="s">
        <v>328</v>
      </c>
      <c r="D183" s="4" t="str">
        <f>"33010"</f>
        <v>33010</v>
      </c>
    </row>
    <row r="184" spans="1:4" x14ac:dyDescent="0.25">
      <c r="A184" s="4" t="str">
        <f t="shared" si="2"/>
        <v>101</v>
      </c>
      <c r="B184" s="4" t="str">
        <f>"GUSTAVO DA SILVA SANTOS"</f>
        <v>GUSTAVO DA SILVA SANTOS</v>
      </c>
      <c r="C184" s="9" t="s">
        <v>329</v>
      </c>
      <c r="D184" s="4" t="str">
        <f>"15050"</f>
        <v>15050</v>
      </c>
    </row>
    <row r="185" spans="1:4" x14ac:dyDescent="0.25">
      <c r="A185" s="4" t="str">
        <f t="shared" si="2"/>
        <v>101</v>
      </c>
      <c r="B185" s="4" t="str">
        <f>"GUSTAVO RODRIGUES ROSA"</f>
        <v>GUSTAVO RODRIGUES ROSA</v>
      </c>
      <c r="C185" s="9" t="s">
        <v>330</v>
      </c>
      <c r="D185" s="4" t="str">
        <f>"31090"</f>
        <v>31090</v>
      </c>
    </row>
    <row r="186" spans="1:4" x14ac:dyDescent="0.25">
      <c r="A186" s="4" t="str">
        <f t="shared" si="2"/>
        <v>101</v>
      </c>
      <c r="B186" s="4" t="str">
        <f>"GUSTAVO VALENZI CAMPIOTO"</f>
        <v>GUSTAVO VALENZI CAMPIOTO</v>
      </c>
      <c r="C186" s="9" t="s">
        <v>331</v>
      </c>
      <c r="D186" s="4" t="str">
        <f>"15050"</f>
        <v>15050</v>
      </c>
    </row>
    <row r="187" spans="1:4" x14ac:dyDescent="0.25">
      <c r="A187" s="4" t="str">
        <f t="shared" si="2"/>
        <v>101</v>
      </c>
      <c r="B187" s="4" t="str">
        <f>"HEITOR CHIEREGATO RIBEIRO"</f>
        <v>HEITOR CHIEREGATO RIBEIRO</v>
      </c>
      <c r="C187" s="9" t="s">
        <v>332</v>
      </c>
      <c r="D187" s="4" t="str">
        <f>"33050"</f>
        <v>33050</v>
      </c>
    </row>
    <row r="188" spans="1:4" x14ac:dyDescent="0.25">
      <c r="A188" s="4" t="str">
        <f t="shared" si="2"/>
        <v>101</v>
      </c>
      <c r="B188" s="4" t="str">
        <f>"HEYTOR SHIZUO MORIYA GOMES"</f>
        <v>HEYTOR SHIZUO MORIYA GOMES</v>
      </c>
      <c r="C188" s="9" t="s">
        <v>333</v>
      </c>
      <c r="D188" s="4" t="str">
        <f>"21012"</f>
        <v>21012</v>
      </c>
    </row>
    <row r="189" spans="1:4" x14ac:dyDescent="0.25">
      <c r="A189" s="4" t="str">
        <f t="shared" si="2"/>
        <v>101</v>
      </c>
      <c r="B189" s="4" t="str">
        <f>"HIGOR CHAGAS DIAS COSTA"</f>
        <v>HIGOR CHAGAS DIAS COSTA</v>
      </c>
      <c r="C189" s="9" t="s">
        <v>334</v>
      </c>
      <c r="D189" s="4" t="str">
        <f>"15050"</f>
        <v>15050</v>
      </c>
    </row>
    <row r="190" spans="1:4" x14ac:dyDescent="0.25">
      <c r="A190" s="4" t="str">
        <f t="shared" si="2"/>
        <v>101</v>
      </c>
      <c r="B190" s="4" t="str">
        <f>"HUGO JONATHAN DO NASCIMENTO VASCONCELOS"</f>
        <v>HUGO JONATHAN DO NASCIMENTO VASCONCELOS</v>
      </c>
      <c r="C190" s="9" t="s">
        <v>335</v>
      </c>
      <c r="D190" s="4" t="str">
        <f>"15051"</f>
        <v>15051</v>
      </c>
    </row>
    <row r="191" spans="1:4" x14ac:dyDescent="0.25">
      <c r="A191" s="4" t="str">
        <f t="shared" si="2"/>
        <v>101</v>
      </c>
      <c r="B191" s="4" t="str">
        <f>"HYGOR MATIUSSI DE SOUZA"</f>
        <v>HYGOR MATIUSSI DE SOUZA</v>
      </c>
      <c r="C191" s="9" t="s">
        <v>336</v>
      </c>
      <c r="D191" s="4" t="str">
        <f>"33050"</f>
        <v>33050</v>
      </c>
    </row>
    <row r="192" spans="1:4" x14ac:dyDescent="0.25">
      <c r="A192" s="4" t="str">
        <f t="shared" si="2"/>
        <v>101</v>
      </c>
      <c r="B192" s="4" t="str">
        <f>"ISABELLE VITORIA RIBEIRO BENEVIDES"</f>
        <v>ISABELLE VITORIA RIBEIRO BENEVIDES</v>
      </c>
      <c r="C192" s="9" t="s">
        <v>337</v>
      </c>
      <c r="D192" s="4" t="str">
        <f>"33010"</f>
        <v>33010</v>
      </c>
    </row>
    <row r="193" spans="1:4" x14ac:dyDescent="0.25">
      <c r="A193" s="4" t="str">
        <f t="shared" si="2"/>
        <v>101</v>
      </c>
      <c r="B193" s="4" t="str">
        <f>"ITALO ROCHA ESPINDOLA"</f>
        <v>ITALO ROCHA ESPINDOLA</v>
      </c>
      <c r="C193" s="9" t="s">
        <v>338</v>
      </c>
      <c r="D193" s="4" t="str">
        <f>"33010"</f>
        <v>33010</v>
      </c>
    </row>
    <row r="194" spans="1:4" x14ac:dyDescent="0.25">
      <c r="A194" s="4" t="str">
        <f t="shared" si="2"/>
        <v>101</v>
      </c>
      <c r="B194" s="4" t="str">
        <f>"IVANETH SCAPIM"</f>
        <v>IVANETH SCAPIM</v>
      </c>
      <c r="C194" s="9" t="s">
        <v>339</v>
      </c>
      <c r="D194" s="4" t="str">
        <f>"31060"</f>
        <v>31060</v>
      </c>
    </row>
    <row r="195" spans="1:4" x14ac:dyDescent="0.25">
      <c r="A195" s="4" t="str">
        <f t="shared" ref="A195:A258" si="3">"101"</f>
        <v>101</v>
      </c>
      <c r="B195" s="4" t="str">
        <f>"IZABEL CRISTINA FERREIRA RIBEIRO"</f>
        <v>IZABEL CRISTINA FERREIRA RIBEIRO</v>
      </c>
      <c r="C195" s="9" t="s">
        <v>340</v>
      </c>
      <c r="D195" s="4" t="str">
        <f>"31090"</f>
        <v>31090</v>
      </c>
    </row>
    <row r="196" spans="1:4" x14ac:dyDescent="0.25">
      <c r="A196" s="4" t="str">
        <f t="shared" si="3"/>
        <v>101</v>
      </c>
      <c r="B196" s="4" t="str">
        <f>"JACQUELINE DA SILVA ARAUJO PEREIRA"</f>
        <v>JACQUELINE DA SILVA ARAUJO PEREIRA</v>
      </c>
      <c r="C196" s="9" t="s">
        <v>341</v>
      </c>
      <c r="D196" s="4" t="str">
        <f>"31060"</f>
        <v>31060</v>
      </c>
    </row>
    <row r="197" spans="1:4" x14ac:dyDescent="0.25">
      <c r="A197" s="4" t="str">
        <f t="shared" si="3"/>
        <v>101</v>
      </c>
      <c r="B197" s="4" t="str">
        <f>"JAMES CAMARGO FERREIRA"</f>
        <v>JAMES CAMARGO FERREIRA</v>
      </c>
      <c r="C197" s="9" t="s">
        <v>342</v>
      </c>
      <c r="D197" s="4" t="str">
        <f>"31112"</f>
        <v>31112</v>
      </c>
    </row>
    <row r="198" spans="1:4" x14ac:dyDescent="0.25">
      <c r="A198" s="4" t="str">
        <f t="shared" si="3"/>
        <v>101</v>
      </c>
      <c r="B198" s="4" t="str">
        <f>"JANAINA FAGUNDES ALEXANDRE AVELAR"</f>
        <v>JANAINA FAGUNDES ALEXANDRE AVELAR</v>
      </c>
      <c r="C198" s="9" t="s">
        <v>343</v>
      </c>
      <c r="D198" s="4" t="str">
        <f>"31114"</f>
        <v>31114</v>
      </c>
    </row>
    <row r="199" spans="1:4" x14ac:dyDescent="0.25">
      <c r="A199" s="4" t="str">
        <f t="shared" si="3"/>
        <v>101</v>
      </c>
      <c r="B199" s="4" t="str">
        <f>"JAQUELINE GOMES RODRIGUES"</f>
        <v>JAQUELINE GOMES RODRIGUES</v>
      </c>
      <c r="C199" s="9" t="s">
        <v>344</v>
      </c>
      <c r="D199" s="4" t="str">
        <f>"55030"</f>
        <v>55030</v>
      </c>
    </row>
    <row r="200" spans="1:4" x14ac:dyDescent="0.25">
      <c r="A200" s="4" t="str">
        <f t="shared" si="3"/>
        <v>101</v>
      </c>
      <c r="B200" s="4" t="str">
        <f>"JEAN CARLOS DE SOUZA"</f>
        <v>JEAN CARLOS DE SOUZA</v>
      </c>
      <c r="C200" s="9" t="s">
        <v>345</v>
      </c>
      <c r="D200" s="4" t="str">
        <f>"33060"</f>
        <v>33060</v>
      </c>
    </row>
    <row r="201" spans="1:4" x14ac:dyDescent="0.25">
      <c r="A201" s="4" t="str">
        <f t="shared" si="3"/>
        <v>101</v>
      </c>
      <c r="B201" s="4" t="str">
        <f>"JEFERSON ALMEIDA DE JESUS"</f>
        <v>JEFERSON ALMEIDA DE JESUS</v>
      </c>
      <c r="C201" s="9" t="s">
        <v>346</v>
      </c>
      <c r="D201" s="4" t="str">
        <f>"31060"</f>
        <v>31060</v>
      </c>
    </row>
    <row r="202" spans="1:4" x14ac:dyDescent="0.25">
      <c r="A202" s="4" t="str">
        <f t="shared" si="3"/>
        <v>101</v>
      </c>
      <c r="B202" s="4" t="str">
        <f>"JESSICA DA SILVA RODRIGUES"</f>
        <v>JESSICA DA SILVA RODRIGUES</v>
      </c>
      <c r="C202" s="9" t="s">
        <v>347</v>
      </c>
      <c r="D202" s="4" t="str">
        <f>"31114"</f>
        <v>31114</v>
      </c>
    </row>
    <row r="203" spans="1:4" x14ac:dyDescent="0.25">
      <c r="A203" s="4" t="str">
        <f t="shared" si="3"/>
        <v>101</v>
      </c>
      <c r="B203" s="4" t="str">
        <f>"JESSICA DOS SANTOS VALERIANO"</f>
        <v>JESSICA DOS SANTOS VALERIANO</v>
      </c>
      <c r="C203" s="9" t="s">
        <v>348</v>
      </c>
      <c r="D203" s="4" t="str">
        <f>"31090"</f>
        <v>31090</v>
      </c>
    </row>
    <row r="204" spans="1:4" x14ac:dyDescent="0.25">
      <c r="A204" s="4" t="str">
        <f t="shared" si="3"/>
        <v>101</v>
      </c>
      <c r="B204" s="4" t="str">
        <f>"JESSICA FERNANDES BORGES BUENO SOARES"</f>
        <v>JESSICA FERNANDES BORGES BUENO SOARES</v>
      </c>
      <c r="C204" s="9" t="s">
        <v>349</v>
      </c>
      <c r="D204" s="4" t="str">
        <f>"31060"</f>
        <v>31060</v>
      </c>
    </row>
    <row r="205" spans="1:4" x14ac:dyDescent="0.25">
      <c r="A205" s="4" t="str">
        <f t="shared" si="3"/>
        <v>101</v>
      </c>
      <c r="B205" s="4" t="str">
        <f>"JHONY MARCUS BIGAS GUZMAN"</f>
        <v>JHONY MARCUS BIGAS GUZMAN</v>
      </c>
      <c r="C205" s="9" t="s">
        <v>350</v>
      </c>
      <c r="D205" s="4" t="str">
        <f>"33050"</f>
        <v>33050</v>
      </c>
    </row>
    <row r="206" spans="1:4" x14ac:dyDescent="0.25">
      <c r="A206" s="4" t="str">
        <f t="shared" si="3"/>
        <v>101</v>
      </c>
      <c r="B206" s="4" t="str">
        <f>"JOANA DARC LOBO GERALDINO DA SILVA"</f>
        <v>JOANA DARC LOBO GERALDINO DA SILVA</v>
      </c>
      <c r="C206" s="9" t="s">
        <v>351</v>
      </c>
      <c r="D206" s="4" t="str">
        <f>"31114"</f>
        <v>31114</v>
      </c>
    </row>
    <row r="207" spans="1:4" x14ac:dyDescent="0.25">
      <c r="A207" s="4" t="str">
        <f t="shared" si="3"/>
        <v>101</v>
      </c>
      <c r="B207" s="4" t="str">
        <f>"JOAO EDUARDO ROCHA MOREIRA"</f>
        <v>JOAO EDUARDO ROCHA MOREIRA</v>
      </c>
      <c r="C207" s="9" t="s">
        <v>352</v>
      </c>
      <c r="D207" s="4" t="str">
        <f>"33060"</f>
        <v>33060</v>
      </c>
    </row>
    <row r="208" spans="1:4" x14ac:dyDescent="0.25">
      <c r="A208" s="4" t="str">
        <f t="shared" si="3"/>
        <v>101</v>
      </c>
      <c r="B208" s="4" t="str">
        <f>"JOAO PEDRO DA SILVA"</f>
        <v>JOAO PEDRO DA SILVA</v>
      </c>
      <c r="C208" s="9" t="s">
        <v>353</v>
      </c>
      <c r="D208" s="4" t="str">
        <f>"31111"</f>
        <v>31111</v>
      </c>
    </row>
    <row r="209" spans="1:4" x14ac:dyDescent="0.25">
      <c r="A209" s="4" t="str">
        <f t="shared" si="3"/>
        <v>101</v>
      </c>
      <c r="B209" s="4" t="str">
        <f>"JOAO PEDRO REGATIERI MARQUES"</f>
        <v>JOAO PEDRO REGATIERI MARQUES</v>
      </c>
      <c r="C209" s="9" t="s">
        <v>354</v>
      </c>
      <c r="D209" s="4" t="str">
        <f>"31116"</f>
        <v>31116</v>
      </c>
    </row>
    <row r="210" spans="1:4" x14ac:dyDescent="0.25">
      <c r="A210" s="4" t="str">
        <f t="shared" si="3"/>
        <v>101</v>
      </c>
      <c r="B210" s="4" t="str">
        <f>"JOAO VICTOR MENDES FLORENCIO"</f>
        <v>JOAO VICTOR MENDES FLORENCIO</v>
      </c>
      <c r="C210" s="9" t="s">
        <v>355</v>
      </c>
      <c r="D210" s="4" t="str">
        <f>"31060"</f>
        <v>31060</v>
      </c>
    </row>
    <row r="211" spans="1:4" x14ac:dyDescent="0.25">
      <c r="A211" s="4" t="str">
        <f t="shared" si="3"/>
        <v>101</v>
      </c>
      <c r="B211" s="4" t="str">
        <f>"JOAO WALDEMAR SIQUEIRA"</f>
        <v>JOAO WALDEMAR SIQUEIRA</v>
      </c>
      <c r="C211" s="9" t="s">
        <v>356</v>
      </c>
      <c r="D211" s="4" t="str">
        <f>"33060"</f>
        <v>33060</v>
      </c>
    </row>
    <row r="212" spans="1:4" x14ac:dyDescent="0.25">
      <c r="A212" s="4" t="str">
        <f t="shared" si="3"/>
        <v>101</v>
      </c>
      <c r="B212" s="4" t="str">
        <f>"JOELCIO DA SILVA PEREIRA"</f>
        <v>JOELCIO DA SILVA PEREIRA</v>
      </c>
      <c r="C212" s="9" t="s">
        <v>357</v>
      </c>
      <c r="D212" s="4" t="str">
        <f>"14056"</f>
        <v>14056</v>
      </c>
    </row>
    <row r="213" spans="1:4" x14ac:dyDescent="0.25">
      <c r="A213" s="4" t="str">
        <f t="shared" si="3"/>
        <v>101</v>
      </c>
      <c r="B213" s="4" t="str">
        <f>"JONATHAN DE MATOS ALVES"</f>
        <v>JONATHAN DE MATOS ALVES</v>
      </c>
      <c r="C213" s="9" t="s">
        <v>358</v>
      </c>
      <c r="D213" s="4" t="str">
        <f>"15050"</f>
        <v>15050</v>
      </c>
    </row>
    <row r="214" spans="1:4" x14ac:dyDescent="0.25">
      <c r="A214" s="4" t="str">
        <f t="shared" si="3"/>
        <v>101</v>
      </c>
      <c r="B214" s="4" t="str">
        <f>"JORGE MANOEL DE JESUS JUNIOR"</f>
        <v>JORGE MANOEL DE JESUS JUNIOR</v>
      </c>
      <c r="C214" s="9" t="s">
        <v>359</v>
      </c>
      <c r="D214" s="4" t="str">
        <f>"15050"</f>
        <v>15050</v>
      </c>
    </row>
    <row r="215" spans="1:4" x14ac:dyDescent="0.25">
      <c r="A215" s="4" t="str">
        <f t="shared" si="3"/>
        <v>101</v>
      </c>
      <c r="B215" s="4" t="str">
        <f>"JOSE CARLOS SIMOES"</f>
        <v>JOSE CARLOS SIMOES</v>
      </c>
      <c r="C215" s="9" t="s">
        <v>360</v>
      </c>
      <c r="D215" s="4" t="str">
        <f>"21012"</f>
        <v>21012</v>
      </c>
    </row>
    <row r="216" spans="1:4" x14ac:dyDescent="0.25">
      <c r="A216" s="4" t="str">
        <f t="shared" si="3"/>
        <v>101</v>
      </c>
      <c r="B216" s="4" t="str">
        <f>"JOSE DIRCEU PISTORE"</f>
        <v>JOSE DIRCEU PISTORE</v>
      </c>
      <c r="C216" s="9" t="s">
        <v>361</v>
      </c>
      <c r="D216" s="4" t="str">
        <f>"11011"</f>
        <v>11011</v>
      </c>
    </row>
    <row r="217" spans="1:4" x14ac:dyDescent="0.25">
      <c r="A217" s="4" t="str">
        <f t="shared" si="3"/>
        <v>101</v>
      </c>
      <c r="B217" s="4" t="str">
        <f>"JOSE EDUARDO CARVALHO JUNIOR"</f>
        <v>JOSE EDUARDO CARVALHO JUNIOR</v>
      </c>
      <c r="C217" s="9" t="s">
        <v>362</v>
      </c>
      <c r="D217" s="4" t="str">
        <f>"14056"</f>
        <v>14056</v>
      </c>
    </row>
    <row r="218" spans="1:4" x14ac:dyDescent="0.25">
      <c r="A218" s="4" t="str">
        <f t="shared" si="3"/>
        <v>101</v>
      </c>
      <c r="B218" s="4" t="str">
        <f>"JOSE FLAVIO FERREIRA DA SILVA"</f>
        <v>JOSE FLAVIO FERREIRA DA SILVA</v>
      </c>
      <c r="C218" s="9" t="s">
        <v>363</v>
      </c>
      <c r="D218" s="4" t="str">
        <f>"15050"</f>
        <v>15050</v>
      </c>
    </row>
    <row r="219" spans="1:4" x14ac:dyDescent="0.25">
      <c r="A219" s="4" t="str">
        <f t="shared" si="3"/>
        <v>101</v>
      </c>
      <c r="B219" s="4" t="str">
        <f>"JOSE PAULINO DOS SANTOS"</f>
        <v>JOSE PAULINO DOS SANTOS</v>
      </c>
      <c r="C219" s="9" t="s">
        <v>364</v>
      </c>
      <c r="D219" s="4" t="str">
        <f>"31100"</f>
        <v>31100</v>
      </c>
    </row>
    <row r="220" spans="1:4" x14ac:dyDescent="0.25">
      <c r="A220" s="4" t="str">
        <f t="shared" si="3"/>
        <v>101</v>
      </c>
      <c r="B220" s="4" t="str">
        <f>"JOSE WILSON VICENTE DE MORAES NETO"</f>
        <v>JOSE WILSON VICENTE DE MORAES NETO</v>
      </c>
      <c r="C220" s="9" t="s">
        <v>365</v>
      </c>
      <c r="D220" s="4" t="str">
        <f>"31200"</f>
        <v>31200</v>
      </c>
    </row>
    <row r="221" spans="1:4" x14ac:dyDescent="0.25">
      <c r="A221" s="4" t="str">
        <f t="shared" si="3"/>
        <v>101</v>
      </c>
      <c r="B221" s="4" t="str">
        <f>"JOSIELI DE CASSIA CICERO DE JESUS"</f>
        <v>JOSIELI DE CASSIA CICERO DE JESUS</v>
      </c>
      <c r="C221" s="9" t="s">
        <v>366</v>
      </c>
      <c r="D221" s="4" t="str">
        <f>"31070"</f>
        <v>31070</v>
      </c>
    </row>
    <row r="222" spans="1:4" x14ac:dyDescent="0.25">
      <c r="A222" s="4" t="str">
        <f t="shared" si="3"/>
        <v>101</v>
      </c>
      <c r="B222" s="4" t="str">
        <f>"JOSINALDO MINERVINO DA SILVA"</f>
        <v>JOSINALDO MINERVINO DA SILVA</v>
      </c>
      <c r="C222" s="7" t="s">
        <v>367</v>
      </c>
      <c r="D222" s="4" t="str">
        <f>"33050"</f>
        <v>33050</v>
      </c>
    </row>
    <row r="223" spans="1:4" x14ac:dyDescent="0.25">
      <c r="A223" s="4" t="str">
        <f t="shared" si="3"/>
        <v>101</v>
      </c>
      <c r="B223" s="4" t="str">
        <f>"JOSIVANDO AVELINO DO NASCIMENTO"</f>
        <v>JOSIVANDO AVELINO DO NASCIMENTO</v>
      </c>
      <c r="C223" s="9" t="s">
        <v>368</v>
      </c>
      <c r="D223" s="4" t="str">
        <f>"14056"</f>
        <v>14056</v>
      </c>
    </row>
    <row r="224" spans="1:4" x14ac:dyDescent="0.25">
      <c r="A224" s="4" t="str">
        <f t="shared" si="3"/>
        <v>101</v>
      </c>
      <c r="B224" s="4" t="str">
        <f>"JUAN PABLO BALATOR MACHADO"</f>
        <v>JUAN PABLO BALATOR MACHADO</v>
      </c>
      <c r="C224" s="9" t="s">
        <v>369</v>
      </c>
      <c r="D224" s="4" t="str">
        <f>"31060"</f>
        <v>31060</v>
      </c>
    </row>
    <row r="225" spans="1:4" x14ac:dyDescent="0.25">
      <c r="A225" s="4" t="str">
        <f t="shared" si="3"/>
        <v>101</v>
      </c>
      <c r="B225" s="4" t="str">
        <f>"JULIA MAIRA DE OLIVEIRA LOURENCO"</f>
        <v>JULIA MAIRA DE OLIVEIRA LOURENCO</v>
      </c>
      <c r="C225" s="9" t="s">
        <v>370</v>
      </c>
      <c r="D225" s="4" t="str">
        <f>"31090"</f>
        <v>31090</v>
      </c>
    </row>
    <row r="226" spans="1:4" x14ac:dyDescent="0.25">
      <c r="A226" s="4" t="str">
        <f t="shared" si="3"/>
        <v>101</v>
      </c>
      <c r="B226" s="4" t="str">
        <f>"JULIANA DE OLIVEIRA FREITAS"</f>
        <v>JULIANA DE OLIVEIRA FREITAS</v>
      </c>
      <c r="C226" s="9" t="s">
        <v>371</v>
      </c>
      <c r="D226" s="4" t="str">
        <f>"31200"</f>
        <v>31200</v>
      </c>
    </row>
    <row r="227" spans="1:4" x14ac:dyDescent="0.25">
      <c r="A227" s="4" t="str">
        <f t="shared" si="3"/>
        <v>101</v>
      </c>
      <c r="B227" s="4" t="str">
        <f>"JULIANA DE PAULA GOMES DA SILVA"</f>
        <v>JULIANA DE PAULA GOMES DA SILVA</v>
      </c>
      <c r="C227" s="9" t="s">
        <v>372</v>
      </c>
      <c r="D227" s="4" t="str">
        <f>"31114"</f>
        <v>31114</v>
      </c>
    </row>
    <row r="228" spans="1:4" x14ac:dyDescent="0.25">
      <c r="A228" s="4" t="str">
        <f t="shared" si="3"/>
        <v>101</v>
      </c>
      <c r="B228" s="4" t="str">
        <f>"JULIANA DIAS MARQUIORI MACHADO"</f>
        <v>JULIANA DIAS MARQUIORI MACHADO</v>
      </c>
      <c r="C228" s="7" t="s">
        <v>373</v>
      </c>
      <c r="D228" s="4" t="str">
        <f>"31060"</f>
        <v>31060</v>
      </c>
    </row>
    <row r="229" spans="1:4" x14ac:dyDescent="0.25">
      <c r="A229" s="4" t="str">
        <f t="shared" si="3"/>
        <v>101</v>
      </c>
      <c r="B229" s="4" t="str">
        <f>"JULIANA MANFRIN PAES"</f>
        <v>JULIANA MANFRIN PAES</v>
      </c>
      <c r="C229" s="9" t="s">
        <v>374</v>
      </c>
      <c r="D229" s="4" t="str">
        <f>"31114"</f>
        <v>31114</v>
      </c>
    </row>
    <row r="230" spans="1:4" x14ac:dyDescent="0.25">
      <c r="A230" s="4" t="str">
        <f t="shared" si="3"/>
        <v>101</v>
      </c>
      <c r="B230" s="4" t="str">
        <f>"JULIANA RODRIGUES GIMENES PINTO"</f>
        <v>JULIANA RODRIGUES GIMENES PINTO</v>
      </c>
      <c r="C230" s="9" t="s">
        <v>375</v>
      </c>
      <c r="D230" s="4" t="str">
        <f>"31060"</f>
        <v>31060</v>
      </c>
    </row>
    <row r="231" spans="1:4" x14ac:dyDescent="0.25">
      <c r="A231" s="4" t="str">
        <f t="shared" si="3"/>
        <v>101</v>
      </c>
      <c r="B231" s="4" t="str">
        <f>"JULIANA SOUZA SILVA"</f>
        <v>JULIANA SOUZA SILVA</v>
      </c>
      <c r="C231" s="9" t="s">
        <v>376</v>
      </c>
      <c r="D231" s="4" t="str">
        <f>"15051"</f>
        <v>15051</v>
      </c>
    </row>
    <row r="232" spans="1:4" x14ac:dyDescent="0.25">
      <c r="A232" s="4" t="str">
        <f t="shared" si="3"/>
        <v>101</v>
      </c>
      <c r="B232" s="4" t="str">
        <f>"JULIANE CRISTINA PINHEIRO DA SILVA"</f>
        <v>JULIANE CRISTINA PINHEIRO DA SILVA</v>
      </c>
      <c r="C232" s="9" t="s">
        <v>377</v>
      </c>
      <c r="D232" s="4" t="str">
        <f>"33040"</f>
        <v>33040</v>
      </c>
    </row>
    <row r="233" spans="1:4" x14ac:dyDescent="0.25">
      <c r="A233" s="4" t="str">
        <f t="shared" si="3"/>
        <v>101</v>
      </c>
      <c r="B233" s="4" t="str">
        <f>"JULIO CESAR DOS SANTOS GABRIEL"</f>
        <v>JULIO CESAR DOS SANTOS GABRIEL</v>
      </c>
      <c r="C233" s="9" t="s">
        <v>378</v>
      </c>
      <c r="D233" s="4" t="str">
        <f>"13021"</f>
        <v>13021</v>
      </c>
    </row>
    <row r="234" spans="1:4" x14ac:dyDescent="0.25">
      <c r="A234" s="4" t="str">
        <f t="shared" si="3"/>
        <v>101</v>
      </c>
      <c r="B234" s="4" t="str">
        <f>"KAIENY CRISTINA MARCAL DE OLIVEIRA"</f>
        <v>KAIENY CRISTINA MARCAL DE OLIVEIRA</v>
      </c>
      <c r="C234" s="9" t="s">
        <v>379</v>
      </c>
      <c r="D234" s="4" t="str">
        <f>"31100"</f>
        <v>31100</v>
      </c>
    </row>
    <row r="235" spans="1:4" x14ac:dyDescent="0.25">
      <c r="A235" s="4" t="str">
        <f t="shared" si="3"/>
        <v>101</v>
      </c>
      <c r="B235" s="4" t="str">
        <f>"KARINA DA SILVA TANO"</f>
        <v>KARINA DA SILVA TANO</v>
      </c>
      <c r="C235" s="7" t="s">
        <v>380</v>
      </c>
      <c r="D235" s="4" t="str">
        <f>"31114"</f>
        <v>31114</v>
      </c>
    </row>
    <row r="236" spans="1:4" x14ac:dyDescent="0.25">
      <c r="A236" s="4" t="str">
        <f t="shared" si="3"/>
        <v>101</v>
      </c>
      <c r="B236" s="4" t="str">
        <f>"KAROLAINE KEMILLY DE LIMA MACIEL"</f>
        <v>KAROLAINE KEMILLY DE LIMA MACIEL</v>
      </c>
      <c r="C236" s="9" t="s">
        <v>381</v>
      </c>
      <c r="D236" s="4" t="str">
        <f>"31060"</f>
        <v>31060</v>
      </c>
    </row>
    <row r="237" spans="1:4" x14ac:dyDescent="0.25">
      <c r="A237" s="4" t="str">
        <f t="shared" si="3"/>
        <v>101</v>
      </c>
      <c r="B237" s="4" t="str">
        <f>"KAUAN CAIQUE RIBEIRO CLAUDINO"</f>
        <v>KAUAN CAIQUE RIBEIRO CLAUDINO</v>
      </c>
      <c r="C237" s="9" t="s">
        <v>382</v>
      </c>
      <c r="D237" s="4" t="str">
        <f>"31113"</f>
        <v>31113</v>
      </c>
    </row>
    <row r="238" spans="1:4" x14ac:dyDescent="0.25">
      <c r="A238" s="4" t="str">
        <f t="shared" si="3"/>
        <v>101</v>
      </c>
      <c r="B238" s="4" t="str">
        <f>"KAYLAINE DANIEL"</f>
        <v>KAYLAINE DANIEL</v>
      </c>
      <c r="C238" s="9" t="s">
        <v>383</v>
      </c>
      <c r="D238" s="4" t="str">
        <f>"31060"</f>
        <v>31060</v>
      </c>
    </row>
    <row r="239" spans="1:4" x14ac:dyDescent="0.25">
      <c r="A239" s="4" t="str">
        <f t="shared" si="3"/>
        <v>101</v>
      </c>
      <c r="B239" s="4" t="str">
        <f>"KAYQUE FERNANDES BRAZAO VIEIRA"</f>
        <v>KAYQUE FERNANDES BRAZAO VIEIRA</v>
      </c>
      <c r="C239" s="9" t="s">
        <v>384</v>
      </c>
      <c r="D239" s="4" t="str">
        <f>"31200"</f>
        <v>31200</v>
      </c>
    </row>
    <row r="240" spans="1:4" x14ac:dyDescent="0.25">
      <c r="A240" s="4" t="str">
        <f t="shared" si="3"/>
        <v>101</v>
      </c>
      <c r="B240" s="4" t="str">
        <f>"KELLY GONCALES DE SANTANA"</f>
        <v>KELLY GONCALES DE SANTANA</v>
      </c>
      <c r="C240" s="9" t="s">
        <v>385</v>
      </c>
      <c r="D240" s="4" t="str">
        <f>"15050"</f>
        <v>15050</v>
      </c>
    </row>
    <row r="241" spans="1:4" x14ac:dyDescent="0.25">
      <c r="A241" s="4" t="str">
        <f t="shared" si="3"/>
        <v>101</v>
      </c>
      <c r="B241" s="4" t="str">
        <f>"KEMILY CRISTINA PEREIRA SOARES"</f>
        <v>KEMILY CRISTINA PEREIRA SOARES</v>
      </c>
      <c r="C241" s="9" t="s">
        <v>386</v>
      </c>
      <c r="D241" s="4" t="str">
        <f>"13019"</f>
        <v>13019</v>
      </c>
    </row>
    <row r="242" spans="1:4" x14ac:dyDescent="0.25">
      <c r="A242" s="4" t="str">
        <f t="shared" si="3"/>
        <v>101</v>
      </c>
      <c r="B242" s="4" t="str">
        <f>"LAIS RODRIGUES DA SILVA"</f>
        <v>LAIS RODRIGUES DA SILVA</v>
      </c>
      <c r="C242" s="9" t="s">
        <v>387</v>
      </c>
      <c r="D242" s="4" t="str">
        <f>"31060"</f>
        <v>31060</v>
      </c>
    </row>
    <row r="243" spans="1:4" x14ac:dyDescent="0.25">
      <c r="A243" s="4" t="str">
        <f t="shared" si="3"/>
        <v>101</v>
      </c>
      <c r="B243" s="4" t="str">
        <f>"LAIS SANTOS MOTTA"</f>
        <v>LAIS SANTOS MOTTA</v>
      </c>
      <c r="C243" s="9" t="s">
        <v>388</v>
      </c>
      <c r="D243" s="4" t="str">
        <f>"33010"</f>
        <v>33010</v>
      </c>
    </row>
    <row r="244" spans="1:4" x14ac:dyDescent="0.25">
      <c r="A244" s="4" t="str">
        <f t="shared" si="3"/>
        <v>101</v>
      </c>
      <c r="B244" s="4" t="str">
        <f>"LAIS SILVERIO PUGLIANI"</f>
        <v>LAIS SILVERIO PUGLIANI</v>
      </c>
      <c r="C244" s="9" t="s">
        <v>389</v>
      </c>
      <c r="D244" s="4" t="str">
        <f>"13016"</f>
        <v>13016</v>
      </c>
    </row>
    <row r="245" spans="1:4" x14ac:dyDescent="0.25">
      <c r="A245" s="4" t="str">
        <f t="shared" si="3"/>
        <v>101</v>
      </c>
      <c r="B245" s="4" t="str">
        <f>"LAUDEMIR DA SILVA ANDRADE"</f>
        <v>LAUDEMIR DA SILVA ANDRADE</v>
      </c>
      <c r="C245" s="9" t="s">
        <v>390</v>
      </c>
      <c r="D245" s="4" t="str">
        <f>"31200"</f>
        <v>31200</v>
      </c>
    </row>
    <row r="246" spans="1:4" x14ac:dyDescent="0.25">
      <c r="A246" s="4" t="str">
        <f t="shared" si="3"/>
        <v>101</v>
      </c>
      <c r="B246" s="4" t="str">
        <f>"LAURA BEATRIZ DE PAULA"</f>
        <v>LAURA BEATRIZ DE PAULA</v>
      </c>
      <c r="C246" s="9" t="s">
        <v>391</v>
      </c>
      <c r="D246" s="4" t="str">
        <f>"31060"</f>
        <v>31060</v>
      </c>
    </row>
    <row r="247" spans="1:4" x14ac:dyDescent="0.25">
      <c r="A247" s="4" t="str">
        <f t="shared" si="3"/>
        <v>101</v>
      </c>
      <c r="B247" s="4" t="str">
        <f>"LAYSLA VIRGINIA RODRIGUES FURTADO"</f>
        <v>LAYSLA VIRGINIA RODRIGUES FURTADO</v>
      </c>
      <c r="C247" s="7" t="s">
        <v>392</v>
      </c>
      <c r="D247" s="4" t="str">
        <f>"31060"</f>
        <v>31060</v>
      </c>
    </row>
    <row r="248" spans="1:4" x14ac:dyDescent="0.25">
      <c r="A248" s="4" t="str">
        <f t="shared" si="3"/>
        <v>101</v>
      </c>
      <c r="B248" s="4" t="str">
        <f>"LAZARO FERREIRA DE ALMEIDA"</f>
        <v>LAZARO FERREIRA DE ALMEIDA</v>
      </c>
      <c r="C248" s="9" t="s">
        <v>393</v>
      </c>
      <c r="D248" s="4" t="str">
        <f>"31090"</f>
        <v>31090</v>
      </c>
    </row>
    <row r="249" spans="1:4" x14ac:dyDescent="0.25">
      <c r="A249" s="4" t="str">
        <f t="shared" si="3"/>
        <v>101</v>
      </c>
      <c r="B249" s="4" t="str">
        <f>"LEANDRO FURINE BERTHOLDI VIANA"</f>
        <v>LEANDRO FURINE BERTHOLDI VIANA</v>
      </c>
      <c r="C249" s="9" t="s">
        <v>394</v>
      </c>
      <c r="D249" s="4" t="str">
        <f>"33050"</f>
        <v>33050</v>
      </c>
    </row>
    <row r="250" spans="1:4" x14ac:dyDescent="0.25">
      <c r="A250" s="4" t="str">
        <f t="shared" si="3"/>
        <v>101</v>
      </c>
      <c r="B250" s="4" t="str">
        <f>"LEIDIANE MARTINS"</f>
        <v>LEIDIANE MARTINS</v>
      </c>
      <c r="C250" s="9" t="s">
        <v>395</v>
      </c>
      <c r="D250" s="4" t="str">
        <f>"31060"</f>
        <v>31060</v>
      </c>
    </row>
    <row r="251" spans="1:4" x14ac:dyDescent="0.25">
      <c r="A251" s="4" t="str">
        <f t="shared" si="3"/>
        <v>101</v>
      </c>
      <c r="B251" s="4" t="str">
        <f>"LEON ALEX SANDRO DA MOTA"</f>
        <v>LEON ALEX SANDRO DA MOTA</v>
      </c>
      <c r="C251" s="9" t="s">
        <v>396</v>
      </c>
      <c r="D251" s="4" t="str">
        <f>"15050"</f>
        <v>15050</v>
      </c>
    </row>
    <row r="252" spans="1:4" x14ac:dyDescent="0.25">
      <c r="A252" s="4" t="str">
        <f t="shared" si="3"/>
        <v>101</v>
      </c>
      <c r="B252" s="4" t="str">
        <f>"LEONARDO ALVES QUEIROZ"</f>
        <v>LEONARDO ALVES QUEIROZ</v>
      </c>
      <c r="C252" s="9" t="s">
        <v>397</v>
      </c>
      <c r="D252" s="4" t="str">
        <f>"21012"</f>
        <v>21012</v>
      </c>
    </row>
    <row r="253" spans="1:4" x14ac:dyDescent="0.25">
      <c r="A253" s="4" t="str">
        <f t="shared" si="3"/>
        <v>101</v>
      </c>
      <c r="B253" s="4" t="str">
        <f>"LEONARDO RODRIGUES MARTINS DE OLIVEIRA"</f>
        <v>LEONARDO RODRIGUES MARTINS DE OLIVEIRA</v>
      </c>
      <c r="C253" s="9" t="s">
        <v>398</v>
      </c>
      <c r="D253" s="4" t="str">
        <f>"31040"</f>
        <v>31040</v>
      </c>
    </row>
    <row r="254" spans="1:4" x14ac:dyDescent="0.25">
      <c r="A254" s="4" t="str">
        <f t="shared" si="3"/>
        <v>101</v>
      </c>
      <c r="B254" s="4" t="str">
        <f>"LEONARDO ROSA DA SILVA"</f>
        <v>LEONARDO ROSA DA SILVA</v>
      </c>
      <c r="C254" s="9" t="s">
        <v>399</v>
      </c>
      <c r="D254" s="4" t="str">
        <f>"33010"</f>
        <v>33010</v>
      </c>
    </row>
    <row r="255" spans="1:4" x14ac:dyDescent="0.25">
      <c r="A255" s="4" t="str">
        <f t="shared" si="3"/>
        <v>101</v>
      </c>
      <c r="B255" s="4" t="str">
        <f>"LETICIA ALVES INADA"</f>
        <v>LETICIA ALVES INADA</v>
      </c>
      <c r="C255" s="9" t="s">
        <v>400</v>
      </c>
      <c r="D255" s="4" t="str">
        <f>"31114"</f>
        <v>31114</v>
      </c>
    </row>
    <row r="256" spans="1:4" x14ac:dyDescent="0.25">
      <c r="A256" s="4" t="str">
        <f t="shared" si="3"/>
        <v>101</v>
      </c>
      <c r="B256" s="4" t="str">
        <f>"LETICIA GABRIELE DOS SANTOS RIBEIRO"</f>
        <v>LETICIA GABRIELE DOS SANTOS RIBEIRO</v>
      </c>
      <c r="C256" s="9" t="s">
        <v>401</v>
      </c>
      <c r="D256" s="4" t="str">
        <f>"31114"</f>
        <v>31114</v>
      </c>
    </row>
    <row r="257" spans="1:4" x14ac:dyDescent="0.25">
      <c r="A257" s="4" t="str">
        <f t="shared" si="3"/>
        <v>101</v>
      </c>
      <c r="B257" s="4" t="str">
        <f>"LETICIA HELLEN MARTINS DE OLIVEIRA"</f>
        <v>LETICIA HELLEN MARTINS DE OLIVEIRA</v>
      </c>
      <c r="C257" s="9" t="s">
        <v>402</v>
      </c>
      <c r="D257" s="4" t="str">
        <f>"13017"</f>
        <v>13017</v>
      </c>
    </row>
    <row r="258" spans="1:4" x14ac:dyDescent="0.25">
      <c r="A258" s="4" t="str">
        <f t="shared" si="3"/>
        <v>101</v>
      </c>
      <c r="B258" s="4" t="str">
        <f>"LIDIANA SILVA DE PAULA MARTINS"</f>
        <v>LIDIANA SILVA DE PAULA MARTINS</v>
      </c>
      <c r="C258" s="7" t="s">
        <v>403</v>
      </c>
      <c r="D258" s="4" t="str">
        <f>"31090"</f>
        <v>31090</v>
      </c>
    </row>
    <row r="259" spans="1:4" x14ac:dyDescent="0.25">
      <c r="A259" s="4" t="str">
        <f t="shared" ref="A259:A322" si="4">"101"</f>
        <v>101</v>
      </c>
      <c r="B259" s="4" t="str">
        <f>"LIGIA MARCONDES DE OLIVEIRA"</f>
        <v>LIGIA MARCONDES DE OLIVEIRA</v>
      </c>
      <c r="C259" s="9" t="s">
        <v>404</v>
      </c>
      <c r="D259" s="4" t="str">
        <f>"13018"</f>
        <v>13018</v>
      </c>
    </row>
    <row r="260" spans="1:4" x14ac:dyDescent="0.25">
      <c r="A260" s="4" t="str">
        <f t="shared" si="4"/>
        <v>101</v>
      </c>
      <c r="B260" s="4" t="str">
        <f>"LINCOLN CARLOS DA FONSECA"</f>
        <v>LINCOLN CARLOS DA FONSECA</v>
      </c>
      <c r="C260" s="9" t="s">
        <v>405</v>
      </c>
      <c r="D260" s="4" t="str">
        <f>"31060"</f>
        <v>31060</v>
      </c>
    </row>
    <row r="261" spans="1:4" x14ac:dyDescent="0.25">
      <c r="A261" s="4" t="str">
        <f t="shared" si="4"/>
        <v>101</v>
      </c>
      <c r="B261" s="4" t="str">
        <f>"LIVIA HELENA LIMA DA SILVA"</f>
        <v>LIVIA HELENA LIMA DA SILVA</v>
      </c>
      <c r="C261" s="9" t="s">
        <v>406</v>
      </c>
      <c r="D261" s="4" t="str">
        <f>"21011"</f>
        <v>21011</v>
      </c>
    </row>
    <row r="262" spans="1:4" x14ac:dyDescent="0.25">
      <c r="A262" s="4" t="str">
        <f t="shared" si="4"/>
        <v>101</v>
      </c>
      <c r="B262" s="4" t="str">
        <f>"LIVIA MELO ALVES PAIVA"</f>
        <v>LIVIA MELO ALVES PAIVA</v>
      </c>
      <c r="C262" s="9" t="s">
        <v>407</v>
      </c>
      <c r="D262" s="4" t="str">
        <f>"31114"</f>
        <v>31114</v>
      </c>
    </row>
    <row r="263" spans="1:4" x14ac:dyDescent="0.25">
      <c r="A263" s="4" t="str">
        <f t="shared" si="4"/>
        <v>101</v>
      </c>
      <c r="B263" s="4" t="str">
        <f>"LUAN VICTOR LOPES MARINHO"</f>
        <v>LUAN VICTOR LOPES MARINHO</v>
      </c>
      <c r="C263" s="9" t="s">
        <v>408</v>
      </c>
      <c r="D263" s="4" t="str">
        <f>"15050"</f>
        <v>15050</v>
      </c>
    </row>
    <row r="264" spans="1:4" x14ac:dyDescent="0.25">
      <c r="A264" s="4" t="str">
        <f t="shared" si="4"/>
        <v>101</v>
      </c>
      <c r="B264" s="4" t="str">
        <f>"LUCAS DA SILVA BICALHO"</f>
        <v>LUCAS DA SILVA BICALHO</v>
      </c>
      <c r="C264" s="9" t="s">
        <v>409</v>
      </c>
      <c r="D264" s="4" t="str">
        <f>"31040"</f>
        <v>31040</v>
      </c>
    </row>
    <row r="265" spans="1:4" x14ac:dyDescent="0.25">
      <c r="A265" s="4" t="str">
        <f t="shared" si="4"/>
        <v>101</v>
      </c>
      <c r="B265" s="4" t="str">
        <f>"LUCAS FLORENCIO DOS SANTOS"</f>
        <v>LUCAS FLORENCIO DOS SANTOS</v>
      </c>
      <c r="C265" s="9" t="s">
        <v>410</v>
      </c>
      <c r="D265" s="4" t="str">
        <f>"31200"</f>
        <v>31200</v>
      </c>
    </row>
    <row r="266" spans="1:4" x14ac:dyDescent="0.25">
      <c r="A266" s="4" t="str">
        <f t="shared" si="4"/>
        <v>101</v>
      </c>
      <c r="B266" s="4" t="str">
        <f>"LUCAS TETZLAFF DE OLIVEIRA"</f>
        <v>LUCAS TETZLAFF DE OLIVEIRA</v>
      </c>
      <c r="C266" s="9" t="s">
        <v>411</v>
      </c>
      <c r="D266" s="4" t="str">
        <f>"21011"</f>
        <v>21011</v>
      </c>
    </row>
    <row r="267" spans="1:4" x14ac:dyDescent="0.25">
      <c r="A267" s="4" t="str">
        <f t="shared" si="4"/>
        <v>101</v>
      </c>
      <c r="B267" s="4" t="str">
        <f>"LUCAS TIMOTEO GODOI VICENTE"</f>
        <v>LUCAS TIMOTEO GODOI VICENTE</v>
      </c>
      <c r="C267" s="9" t="s">
        <v>412</v>
      </c>
      <c r="D267" s="4" t="str">
        <f>"33010"</f>
        <v>33010</v>
      </c>
    </row>
    <row r="268" spans="1:4" x14ac:dyDescent="0.25">
      <c r="A268" s="4" t="str">
        <f t="shared" si="4"/>
        <v>101</v>
      </c>
      <c r="B268" s="4" t="str">
        <f>"LUCIA DE SOUSA ARAUJO"</f>
        <v>LUCIA DE SOUSA ARAUJO</v>
      </c>
      <c r="C268" s="9" t="s">
        <v>413</v>
      </c>
      <c r="D268" s="4" t="str">
        <f>"31090"</f>
        <v>31090</v>
      </c>
    </row>
    <row r="269" spans="1:4" x14ac:dyDescent="0.25">
      <c r="A269" s="4" t="str">
        <f t="shared" si="4"/>
        <v>101</v>
      </c>
      <c r="B269" s="4" t="str">
        <f>"LUCIANO DOS SANTOS OLIVEIRA"</f>
        <v>LUCIANO DOS SANTOS OLIVEIRA</v>
      </c>
      <c r="C269" s="9" t="s">
        <v>414</v>
      </c>
      <c r="D269" s="4" t="str">
        <f>"33050"</f>
        <v>33050</v>
      </c>
    </row>
    <row r="270" spans="1:4" x14ac:dyDescent="0.25">
      <c r="A270" s="4" t="str">
        <f t="shared" si="4"/>
        <v>101</v>
      </c>
      <c r="B270" s="4" t="str">
        <f>"LUCIANO POLITANO RODRIGUES DE DEUS"</f>
        <v>LUCIANO POLITANO RODRIGUES DE DEUS</v>
      </c>
      <c r="C270" s="9" t="s">
        <v>415</v>
      </c>
      <c r="D270" s="4" t="str">
        <f>"13021"</f>
        <v>13021</v>
      </c>
    </row>
    <row r="271" spans="1:4" x14ac:dyDescent="0.25">
      <c r="A271" s="4" t="str">
        <f t="shared" si="4"/>
        <v>101</v>
      </c>
      <c r="B271" s="4" t="str">
        <f>"LUCIANO RODRIGUES ROSA"</f>
        <v>LUCIANO RODRIGUES ROSA</v>
      </c>
      <c r="C271" s="9" t="s">
        <v>416</v>
      </c>
      <c r="D271" s="4" t="str">
        <f>"33050"</f>
        <v>33050</v>
      </c>
    </row>
    <row r="272" spans="1:4" x14ac:dyDescent="0.25">
      <c r="A272" s="4" t="str">
        <f t="shared" si="4"/>
        <v>101</v>
      </c>
      <c r="B272" s="4" t="str">
        <f>"LUIS FERNANDO DA SILVA"</f>
        <v>LUIS FERNANDO DA SILVA</v>
      </c>
      <c r="C272" s="9" t="s">
        <v>417</v>
      </c>
      <c r="D272" s="4" t="str">
        <f>"31300"</f>
        <v>31300</v>
      </c>
    </row>
    <row r="273" spans="1:4" x14ac:dyDescent="0.25">
      <c r="A273" s="4" t="str">
        <f t="shared" si="4"/>
        <v>101</v>
      </c>
      <c r="B273" s="4" t="str">
        <f>"LUIZ EDUARDO DE BRANCO"</f>
        <v>LUIZ EDUARDO DE BRANCO</v>
      </c>
      <c r="C273" s="9" t="s">
        <v>418</v>
      </c>
      <c r="D273" s="4" t="str">
        <f>"11011"</f>
        <v>11011</v>
      </c>
    </row>
    <row r="274" spans="1:4" x14ac:dyDescent="0.25">
      <c r="A274" s="4" t="str">
        <f t="shared" si="4"/>
        <v>101</v>
      </c>
      <c r="B274" s="4" t="str">
        <f>"LUIZ FERNANDO DE OLIVEIRA FRANCISCO"</f>
        <v>LUIZ FERNANDO DE OLIVEIRA FRANCISCO</v>
      </c>
      <c r="C274" s="9" t="s">
        <v>419</v>
      </c>
      <c r="D274" s="4" t="str">
        <f>"31090"</f>
        <v>31090</v>
      </c>
    </row>
    <row r="275" spans="1:4" x14ac:dyDescent="0.25">
      <c r="A275" s="4" t="str">
        <f t="shared" si="4"/>
        <v>101</v>
      </c>
      <c r="B275" s="4" t="str">
        <f>"MAICKON LEMES BERNARDES DA SILVA"</f>
        <v>MAICKON LEMES BERNARDES DA SILVA</v>
      </c>
      <c r="C275" s="9" t="s">
        <v>420</v>
      </c>
      <c r="D275" s="4" t="str">
        <f>"33040"</f>
        <v>33040</v>
      </c>
    </row>
    <row r="276" spans="1:4" x14ac:dyDescent="0.25">
      <c r="A276" s="4" t="str">
        <f t="shared" si="4"/>
        <v>101</v>
      </c>
      <c r="B276" s="4" t="str">
        <f>"MAISA LIMA SATURNINO DA SILVA"</f>
        <v>MAISA LIMA SATURNINO DA SILVA</v>
      </c>
      <c r="C276" s="9" t="s">
        <v>421</v>
      </c>
      <c r="D276" s="4" t="str">
        <f>"31090"</f>
        <v>31090</v>
      </c>
    </row>
    <row r="277" spans="1:4" x14ac:dyDescent="0.25">
      <c r="A277" s="4" t="str">
        <f t="shared" si="4"/>
        <v>101</v>
      </c>
      <c r="B277" s="4" t="str">
        <f>"MANOEL DE ARAUJO FARIAS"</f>
        <v>MANOEL DE ARAUJO FARIAS</v>
      </c>
      <c r="C277" s="9" t="s">
        <v>422</v>
      </c>
      <c r="D277" s="4" t="str">
        <f>"15050"</f>
        <v>15050</v>
      </c>
    </row>
    <row r="278" spans="1:4" x14ac:dyDescent="0.25">
      <c r="A278" s="4" t="str">
        <f t="shared" si="4"/>
        <v>101</v>
      </c>
      <c r="B278" s="4" t="str">
        <f>"MANUELA VILAS BOAS MARINI COELHO"</f>
        <v>MANUELA VILAS BOAS MARINI COELHO</v>
      </c>
      <c r="C278" s="9" t="s">
        <v>423</v>
      </c>
      <c r="D278" s="4" t="str">
        <f>"31090"</f>
        <v>31090</v>
      </c>
    </row>
    <row r="279" spans="1:4" x14ac:dyDescent="0.25">
      <c r="A279" s="4" t="str">
        <f t="shared" si="4"/>
        <v>101</v>
      </c>
      <c r="B279" s="4" t="str">
        <f>"MARA RENATA SILVA DE PAULA"</f>
        <v>MARA RENATA SILVA DE PAULA</v>
      </c>
      <c r="C279" s="9" t="s">
        <v>424</v>
      </c>
      <c r="D279" s="4" t="str">
        <f>"31060"</f>
        <v>31060</v>
      </c>
    </row>
    <row r="280" spans="1:4" x14ac:dyDescent="0.25">
      <c r="A280" s="4" t="str">
        <f t="shared" si="4"/>
        <v>101</v>
      </c>
      <c r="B280" s="4" t="str">
        <f>"MARCELO ARAUJO DA SILVA"</f>
        <v>MARCELO ARAUJO DA SILVA</v>
      </c>
      <c r="C280" s="9" t="s">
        <v>425</v>
      </c>
      <c r="D280" s="4" t="str">
        <f>"21013"</f>
        <v>21013</v>
      </c>
    </row>
    <row r="281" spans="1:4" x14ac:dyDescent="0.25">
      <c r="A281" s="4" t="str">
        <f t="shared" si="4"/>
        <v>101</v>
      </c>
      <c r="B281" s="4" t="str">
        <f>"MARCELO AUGUSTO ARAUJO PAIVA"</f>
        <v>MARCELO AUGUSTO ARAUJO PAIVA</v>
      </c>
      <c r="C281" s="9" t="s">
        <v>426</v>
      </c>
      <c r="D281" s="4" t="str">
        <f>"21011"</f>
        <v>21011</v>
      </c>
    </row>
    <row r="282" spans="1:4" x14ac:dyDescent="0.25">
      <c r="A282" s="4" t="str">
        <f t="shared" si="4"/>
        <v>101</v>
      </c>
      <c r="B282" s="4" t="str">
        <f>"MARCELO DE SOUZA SILVA"</f>
        <v>MARCELO DE SOUZA SILVA</v>
      </c>
      <c r="C282" s="9" t="s">
        <v>427</v>
      </c>
      <c r="D282" s="4" t="str">
        <f>"13019"</f>
        <v>13019</v>
      </c>
    </row>
    <row r="283" spans="1:4" x14ac:dyDescent="0.25">
      <c r="A283" s="4" t="str">
        <f t="shared" si="4"/>
        <v>101</v>
      </c>
      <c r="B283" s="4" t="str">
        <f>"MARCELO FALCAO DIAS FILHO"</f>
        <v>MARCELO FALCAO DIAS FILHO</v>
      </c>
      <c r="C283" s="9" t="s">
        <v>428</v>
      </c>
      <c r="D283" s="4" t="str">
        <f>"31090"</f>
        <v>31090</v>
      </c>
    </row>
    <row r="284" spans="1:4" x14ac:dyDescent="0.25">
      <c r="A284" s="4" t="str">
        <f t="shared" si="4"/>
        <v>101</v>
      </c>
      <c r="B284" s="4" t="str">
        <f>"MARCELO JOSE DA SILVA"</f>
        <v>MARCELO JOSE DA SILVA</v>
      </c>
      <c r="C284" s="9" t="s">
        <v>429</v>
      </c>
      <c r="D284" s="4" t="str">
        <f>"15051"</f>
        <v>15051</v>
      </c>
    </row>
    <row r="285" spans="1:4" x14ac:dyDescent="0.25">
      <c r="A285" s="4" t="str">
        <f t="shared" si="4"/>
        <v>101</v>
      </c>
      <c r="B285" s="4" t="str">
        <f>"MARCELO MENDES RODRIGUES"</f>
        <v>MARCELO MENDES RODRIGUES</v>
      </c>
      <c r="C285" s="9" t="s">
        <v>430</v>
      </c>
      <c r="D285" s="4" t="str">
        <f>"31040"</f>
        <v>31040</v>
      </c>
    </row>
    <row r="286" spans="1:4" x14ac:dyDescent="0.25">
      <c r="A286" s="4" t="str">
        <f t="shared" si="4"/>
        <v>101</v>
      </c>
      <c r="B286" s="4" t="str">
        <f>"MARCIA REGINA BASTOS NAKAMURA"</f>
        <v>MARCIA REGINA BASTOS NAKAMURA</v>
      </c>
      <c r="C286" s="9" t="s">
        <v>431</v>
      </c>
      <c r="D286" s="4" t="str">
        <f>"31111"</f>
        <v>31111</v>
      </c>
    </row>
    <row r="287" spans="1:4" x14ac:dyDescent="0.25">
      <c r="A287" s="4" t="str">
        <f t="shared" si="4"/>
        <v>101</v>
      </c>
      <c r="B287" s="4" t="str">
        <f>"MARCO ANTONIO PEREIRA"</f>
        <v>MARCO ANTONIO PEREIRA</v>
      </c>
      <c r="C287" s="9" t="s">
        <v>432</v>
      </c>
      <c r="D287" s="4" t="str">
        <f>"15051"</f>
        <v>15051</v>
      </c>
    </row>
    <row r="288" spans="1:4" x14ac:dyDescent="0.25">
      <c r="A288" s="4" t="str">
        <f t="shared" si="4"/>
        <v>101</v>
      </c>
      <c r="B288" s="4" t="str">
        <f>"MARCOS ANTONIO BARBOSA DOS S. OLIVEIRA"</f>
        <v>MARCOS ANTONIO BARBOSA DOS S. OLIVEIRA</v>
      </c>
      <c r="C288" s="9" t="s">
        <v>433</v>
      </c>
      <c r="D288" s="4" t="str">
        <f>"33010"</f>
        <v>33010</v>
      </c>
    </row>
    <row r="289" spans="1:4" x14ac:dyDescent="0.25">
      <c r="A289" s="4" t="str">
        <f t="shared" si="4"/>
        <v>101</v>
      </c>
      <c r="B289" s="4" t="str">
        <f>"MARCOS ROBERTO QUINTINO PEREIRA"</f>
        <v>MARCOS ROBERTO QUINTINO PEREIRA</v>
      </c>
      <c r="C289" s="9" t="s">
        <v>434</v>
      </c>
      <c r="D289" s="4" t="str">
        <f>"31040"</f>
        <v>31040</v>
      </c>
    </row>
    <row r="290" spans="1:4" x14ac:dyDescent="0.25">
      <c r="A290" s="4" t="str">
        <f t="shared" si="4"/>
        <v>101</v>
      </c>
      <c r="B290" s="4" t="str">
        <f>"MARIA APARECIDA DE SOUZA SERRANO"</f>
        <v>MARIA APARECIDA DE SOUZA SERRANO</v>
      </c>
      <c r="C290" s="9" t="s">
        <v>435</v>
      </c>
      <c r="D290" s="4" t="str">
        <f>"31090"</f>
        <v>31090</v>
      </c>
    </row>
    <row r="291" spans="1:4" x14ac:dyDescent="0.25">
      <c r="A291" s="4" t="str">
        <f t="shared" si="4"/>
        <v>101</v>
      </c>
      <c r="B291" s="4" t="str">
        <f>"MARIA CARMEM DE JESUS OLIVEIRA"</f>
        <v>MARIA CARMEM DE JESUS OLIVEIRA</v>
      </c>
      <c r="C291" s="9" t="s">
        <v>436</v>
      </c>
      <c r="D291" s="4" t="str">
        <f>"31090"</f>
        <v>31090</v>
      </c>
    </row>
    <row r="292" spans="1:4" x14ac:dyDescent="0.25">
      <c r="A292" s="4" t="str">
        <f t="shared" si="4"/>
        <v>101</v>
      </c>
      <c r="B292" s="4" t="str">
        <f>"MARIA DO CARMO VIANA UGRAITA"</f>
        <v>MARIA DO CARMO VIANA UGRAITA</v>
      </c>
      <c r="C292" s="9" t="s">
        <v>437</v>
      </c>
      <c r="D292" s="4" t="str">
        <f>"31114"</f>
        <v>31114</v>
      </c>
    </row>
    <row r="293" spans="1:4" x14ac:dyDescent="0.25">
      <c r="A293" s="4" t="str">
        <f t="shared" si="4"/>
        <v>101</v>
      </c>
      <c r="B293" s="4" t="str">
        <f>"MARIA DOS SANTOS SOARES DA SILVA"</f>
        <v>MARIA DOS SANTOS SOARES DA SILVA</v>
      </c>
      <c r="C293" s="9" t="s">
        <v>438</v>
      </c>
      <c r="D293" s="4" t="str">
        <f>"31090"</f>
        <v>31090</v>
      </c>
    </row>
    <row r="294" spans="1:4" x14ac:dyDescent="0.25">
      <c r="A294" s="4" t="str">
        <f t="shared" si="4"/>
        <v>101</v>
      </c>
      <c r="B294" s="4" t="str">
        <f>"MARIA EDUARDA APARECIDA SILVA"</f>
        <v>MARIA EDUARDA APARECIDA SILVA</v>
      </c>
      <c r="C294" s="9" t="s">
        <v>439</v>
      </c>
      <c r="D294" s="4" t="str">
        <f>"13021"</f>
        <v>13021</v>
      </c>
    </row>
    <row r="295" spans="1:4" x14ac:dyDescent="0.25">
      <c r="A295" s="4" t="str">
        <f t="shared" si="4"/>
        <v>101</v>
      </c>
      <c r="B295" s="4" t="str">
        <f>"MARIA EDUARDA CASTRO BARBOSA"</f>
        <v>MARIA EDUARDA CASTRO BARBOSA</v>
      </c>
      <c r="C295" s="9" t="s">
        <v>440</v>
      </c>
      <c r="D295" s="4" t="str">
        <f>"13018"</f>
        <v>13018</v>
      </c>
    </row>
    <row r="296" spans="1:4" x14ac:dyDescent="0.25">
      <c r="A296" s="4" t="str">
        <f t="shared" si="4"/>
        <v>101</v>
      </c>
      <c r="B296" s="4" t="str">
        <f>"MARIA EDUARDA DE MOURA ALMEIDA"</f>
        <v>MARIA EDUARDA DE MOURA ALMEIDA</v>
      </c>
      <c r="C296" s="9" t="s">
        <v>441</v>
      </c>
      <c r="D296" s="4" t="str">
        <f>"31114"</f>
        <v>31114</v>
      </c>
    </row>
    <row r="297" spans="1:4" x14ac:dyDescent="0.25">
      <c r="A297" s="4" t="str">
        <f t="shared" si="4"/>
        <v>101</v>
      </c>
      <c r="B297" s="4" t="str">
        <f>"MARIA HELENA DA SILVA LIMA ITO"</f>
        <v>MARIA HELENA DA SILVA LIMA ITO</v>
      </c>
      <c r="C297" s="9" t="s">
        <v>442</v>
      </c>
      <c r="D297" s="4" t="str">
        <f>"31090"</f>
        <v>31090</v>
      </c>
    </row>
    <row r="298" spans="1:4" x14ac:dyDescent="0.25">
      <c r="A298" s="4" t="str">
        <f t="shared" si="4"/>
        <v>101</v>
      </c>
      <c r="B298" s="4" t="str">
        <f>"MARIA JULIA REIS DA SILVA"</f>
        <v>MARIA JULIA REIS DA SILVA</v>
      </c>
      <c r="C298" s="9" t="s">
        <v>443</v>
      </c>
      <c r="D298" s="4" t="str">
        <f>"31060"</f>
        <v>31060</v>
      </c>
    </row>
    <row r="299" spans="1:4" x14ac:dyDescent="0.25">
      <c r="A299" s="4" t="str">
        <f t="shared" si="4"/>
        <v>101</v>
      </c>
      <c r="B299" s="4" t="str">
        <f>"MARIA JULIA SILVA"</f>
        <v>MARIA JULIA SILVA</v>
      </c>
      <c r="C299" s="9" t="s">
        <v>444</v>
      </c>
      <c r="D299" s="4" t="str">
        <f>"13011"</f>
        <v>13011</v>
      </c>
    </row>
    <row r="300" spans="1:4" x14ac:dyDescent="0.25">
      <c r="A300" s="4" t="str">
        <f t="shared" si="4"/>
        <v>101</v>
      </c>
      <c r="B300" s="4" t="str">
        <f>"MARIA LAURA LIMEIRA CUSTODIO"</f>
        <v>MARIA LAURA LIMEIRA CUSTODIO</v>
      </c>
      <c r="C300" s="7" t="s">
        <v>445</v>
      </c>
      <c r="D300" s="4" t="str">
        <f>"31060"</f>
        <v>31060</v>
      </c>
    </row>
    <row r="301" spans="1:4" x14ac:dyDescent="0.25">
      <c r="A301" s="4" t="str">
        <f t="shared" si="4"/>
        <v>101</v>
      </c>
      <c r="B301" s="4" t="str">
        <f>"MARIELE CRISTINA BARBOSA ARAUJO"</f>
        <v>MARIELE CRISTINA BARBOSA ARAUJO</v>
      </c>
      <c r="C301" s="9" t="s">
        <v>446</v>
      </c>
      <c r="D301" s="4" t="str">
        <f>"13016"</f>
        <v>13016</v>
      </c>
    </row>
    <row r="302" spans="1:4" x14ac:dyDescent="0.25">
      <c r="A302" s="4" t="str">
        <f t="shared" si="4"/>
        <v>101</v>
      </c>
      <c r="B302" s="4" t="str">
        <f>"MARIELLE DOS SANTOS BATISTA"</f>
        <v>MARIELLE DOS SANTOS BATISTA</v>
      </c>
      <c r="C302" s="9" t="s">
        <v>447</v>
      </c>
      <c r="D302" s="4" t="str">
        <f>"31060"</f>
        <v>31060</v>
      </c>
    </row>
    <row r="303" spans="1:4" x14ac:dyDescent="0.25">
      <c r="A303" s="4" t="str">
        <f t="shared" si="4"/>
        <v>101</v>
      </c>
      <c r="B303" s="4" t="str">
        <f>"MARILIA APARECIDA DE PAULA"</f>
        <v>MARILIA APARECIDA DE PAULA</v>
      </c>
      <c r="C303" s="9" t="s">
        <v>448</v>
      </c>
      <c r="D303" s="4" t="str">
        <f>"13016"</f>
        <v>13016</v>
      </c>
    </row>
    <row r="304" spans="1:4" x14ac:dyDescent="0.25">
      <c r="A304" s="4" t="str">
        <f t="shared" si="4"/>
        <v>101</v>
      </c>
      <c r="B304" s="4" t="str">
        <f>"MARINA ARAUJO FREIRE"</f>
        <v>MARINA ARAUJO FREIRE</v>
      </c>
      <c r="C304" s="9" t="s">
        <v>449</v>
      </c>
      <c r="D304" s="4" t="str">
        <f>"31070"</f>
        <v>31070</v>
      </c>
    </row>
    <row r="305" spans="1:4" x14ac:dyDescent="0.25">
      <c r="A305" s="4" t="str">
        <f t="shared" si="4"/>
        <v>101</v>
      </c>
      <c r="B305" s="4" t="str">
        <f>"MARIO SERGIO PAIVA RISSAO"</f>
        <v>MARIO SERGIO PAIVA RISSAO</v>
      </c>
      <c r="C305" s="9" t="s">
        <v>450</v>
      </c>
      <c r="D305" s="4" t="str">
        <f>"15051"</f>
        <v>15051</v>
      </c>
    </row>
    <row r="306" spans="1:4" x14ac:dyDescent="0.25">
      <c r="A306" s="4" t="str">
        <f t="shared" si="4"/>
        <v>101</v>
      </c>
      <c r="B306" s="4" t="str">
        <f>"MARLI DA SILVA SOUZA"</f>
        <v>MARLI DA SILVA SOUZA</v>
      </c>
      <c r="C306" s="9" t="s">
        <v>451</v>
      </c>
      <c r="D306" s="4" t="str">
        <f>"31070"</f>
        <v>31070</v>
      </c>
    </row>
    <row r="307" spans="1:4" x14ac:dyDescent="0.25">
      <c r="A307" s="4" t="str">
        <f t="shared" si="4"/>
        <v>101</v>
      </c>
      <c r="B307" s="4" t="str">
        <f>"MATEUS COSTA DE ANDRADE"</f>
        <v>MATEUS COSTA DE ANDRADE</v>
      </c>
      <c r="C307" s="9" t="s">
        <v>452</v>
      </c>
      <c r="D307" s="4" t="str">
        <f>"33050"</f>
        <v>33050</v>
      </c>
    </row>
    <row r="308" spans="1:4" x14ac:dyDescent="0.25">
      <c r="A308" s="4" t="str">
        <f t="shared" si="4"/>
        <v>101</v>
      </c>
      <c r="B308" s="4" t="str">
        <f>"MATEUS TAVARES DE MELLO"</f>
        <v>MATEUS TAVARES DE MELLO</v>
      </c>
      <c r="C308" s="9" t="s">
        <v>453</v>
      </c>
      <c r="D308" s="4" t="str">
        <f>"14012"</f>
        <v>14012</v>
      </c>
    </row>
    <row r="309" spans="1:4" x14ac:dyDescent="0.25">
      <c r="A309" s="4" t="str">
        <f t="shared" si="4"/>
        <v>101</v>
      </c>
      <c r="B309" s="4" t="str">
        <f>"MATHEUS ALEXANDRE DOS SANTOS BESSA"</f>
        <v>MATHEUS ALEXANDRE DOS SANTOS BESSA</v>
      </c>
      <c r="C309" s="9" t="s">
        <v>454</v>
      </c>
      <c r="D309" s="4" t="str">
        <f>"15051"</f>
        <v>15051</v>
      </c>
    </row>
    <row r="310" spans="1:4" x14ac:dyDescent="0.25">
      <c r="A310" s="4" t="str">
        <f t="shared" si="4"/>
        <v>101</v>
      </c>
      <c r="B310" s="4" t="str">
        <f>"MATHEUS EDUARDO GOMES"</f>
        <v>MATHEUS EDUARDO GOMES</v>
      </c>
      <c r="C310" s="9" t="s">
        <v>455</v>
      </c>
      <c r="D310" s="4" t="str">
        <f>"31116"</f>
        <v>31116</v>
      </c>
    </row>
    <row r="311" spans="1:4" x14ac:dyDescent="0.25">
      <c r="A311" s="4" t="str">
        <f t="shared" si="4"/>
        <v>101</v>
      </c>
      <c r="B311" s="4" t="str">
        <f>"MATHEUS MAGI DE SOUZA"</f>
        <v>MATHEUS MAGI DE SOUZA</v>
      </c>
      <c r="C311" s="9" t="s">
        <v>456</v>
      </c>
      <c r="D311" s="4" t="str">
        <f>"33050"</f>
        <v>33050</v>
      </c>
    </row>
    <row r="312" spans="1:4" x14ac:dyDescent="0.25">
      <c r="A312" s="4" t="str">
        <f t="shared" si="4"/>
        <v>101</v>
      </c>
      <c r="B312" s="4" t="str">
        <f>"MAURICIO MASCARENHAS NOLETO"</f>
        <v>MAURICIO MASCARENHAS NOLETO</v>
      </c>
      <c r="C312" s="9" t="s">
        <v>457</v>
      </c>
      <c r="D312" s="4" t="str">
        <f>"13012"</f>
        <v>13012</v>
      </c>
    </row>
    <row r="313" spans="1:4" x14ac:dyDescent="0.25">
      <c r="A313" s="4" t="str">
        <f t="shared" si="4"/>
        <v>101</v>
      </c>
      <c r="B313" s="4" t="str">
        <f>"MAURICIO ROGERIO GOULARTE"</f>
        <v>MAURICIO ROGERIO GOULARTE</v>
      </c>
      <c r="C313" s="9" t="s">
        <v>458</v>
      </c>
      <c r="D313" s="4" t="str">
        <f>"13014"</f>
        <v>13014</v>
      </c>
    </row>
    <row r="314" spans="1:4" x14ac:dyDescent="0.25">
      <c r="A314" s="4" t="str">
        <f t="shared" si="4"/>
        <v>101</v>
      </c>
      <c r="B314" s="4" t="str">
        <f>"MAURO FERNANDES DA SILVA"</f>
        <v>MAURO FERNANDES DA SILVA</v>
      </c>
      <c r="C314" s="9" t="s">
        <v>459</v>
      </c>
      <c r="D314" s="4" t="str">
        <f>"31090"</f>
        <v>31090</v>
      </c>
    </row>
    <row r="315" spans="1:4" x14ac:dyDescent="0.25">
      <c r="A315" s="4" t="str">
        <f t="shared" si="4"/>
        <v>101</v>
      </c>
      <c r="B315" s="4" t="str">
        <f>"MAURO PASCHOIN NETO"</f>
        <v>MAURO PASCHOIN NETO</v>
      </c>
      <c r="C315" s="9" t="s">
        <v>460</v>
      </c>
      <c r="D315" s="4" t="str">
        <f>"31115"</f>
        <v>31115</v>
      </c>
    </row>
    <row r="316" spans="1:4" x14ac:dyDescent="0.25">
      <c r="A316" s="4" t="str">
        <f t="shared" si="4"/>
        <v>101</v>
      </c>
      <c r="B316" s="4" t="str">
        <f>"MAX BORGES DIAS"</f>
        <v>MAX BORGES DIAS</v>
      </c>
      <c r="C316" s="9" t="s">
        <v>461</v>
      </c>
      <c r="D316" s="4" t="str">
        <f>"13014"</f>
        <v>13014</v>
      </c>
    </row>
    <row r="317" spans="1:4" x14ac:dyDescent="0.25">
      <c r="A317" s="4" t="str">
        <f t="shared" si="4"/>
        <v>101</v>
      </c>
      <c r="B317" s="4" t="str">
        <f>"MICHELE FERREIRA DE SOUZA MARTINS"</f>
        <v>MICHELE FERREIRA DE SOUZA MARTINS</v>
      </c>
      <c r="C317" s="9" t="s">
        <v>462</v>
      </c>
      <c r="D317" s="4" t="str">
        <f>"31114"</f>
        <v>31114</v>
      </c>
    </row>
    <row r="318" spans="1:4" x14ac:dyDescent="0.25">
      <c r="A318" s="4" t="str">
        <f t="shared" si="4"/>
        <v>101</v>
      </c>
      <c r="B318" s="4" t="str">
        <f>"MIGUEL STORTI SEGALLA"</f>
        <v>MIGUEL STORTI SEGALLA</v>
      </c>
      <c r="C318" s="9" t="s">
        <v>463</v>
      </c>
      <c r="D318" s="4" t="str">
        <f>"13014"</f>
        <v>13014</v>
      </c>
    </row>
    <row r="319" spans="1:4" x14ac:dyDescent="0.25">
      <c r="A319" s="4" t="str">
        <f t="shared" si="4"/>
        <v>101</v>
      </c>
      <c r="B319" s="4" t="str">
        <f>"MILENA CAROLINA DE FREITAS SANTOS"</f>
        <v>MILENA CAROLINA DE FREITAS SANTOS</v>
      </c>
      <c r="C319" s="9" t="s">
        <v>464</v>
      </c>
      <c r="D319" s="4" t="str">
        <f>"13016"</f>
        <v>13016</v>
      </c>
    </row>
    <row r="320" spans="1:4" x14ac:dyDescent="0.25">
      <c r="A320" s="4" t="str">
        <f t="shared" si="4"/>
        <v>101</v>
      </c>
      <c r="B320" s="4" t="str">
        <f>"MILENA CRISTINA FERREIRA DUARTE"</f>
        <v>MILENA CRISTINA FERREIRA DUARTE</v>
      </c>
      <c r="C320" s="9" t="s">
        <v>465</v>
      </c>
      <c r="D320" s="4" t="str">
        <f>"31116"</f>
        <v>31116</v>
      </c>
    </row>
    <row r="321" spans="1:4" x14ac:dyDescent="0.25">
      <c r="A321" s="4" t="str">
        <f t="shared" si="4"/>
        <v>101</v>
      </c>
      <c r="B321" s="4" t="str">
        <f>"MIRELA ARAUJO FREIRE"</f>
        <v>MIRELA ARAUJO FREIRE</v>
      </c>
      <c r="C321" s="9" t="s">
        <v>466</v>
      </c>
      <c r="D321" s="4" t="str">
        <f>"31114"</f>
        <v>31114</v>
      </c>
    </row>
    <row r="322" spans="1:4" x14ac:dyDescent="0.25">
      <c r="A322" s="4" t="str">
        <f t="shared" si="4"/>
        <v>101</v>
      </c>
      <c r="B322" s="4" t="str">
        <f>"MONIQUE CRISTINA DOS SANTOS FREITAS"</f>
        <v>MONIQUE CRISTINA DOS SANTOS FREITAS</v>
      </c>
      <c r="C322" s="9" t="s">
        <v>467</v>
      </c>
      <c r="D322" s="4" t="str">
        <f>"31090"</f>
        <v>31090</v>
      </c>
    </row>
    <row r="323" spans="1:4" x14ac:dyDescent="0.25">
      <c r="A323" s="4" t="str">
        <f t="shared" ref="A323:A386" si="5">"101"</f>
        <v>101</v>
      </c>
      <c r="B323" s="4" t="str">
        <f>"MURILLO FERNANDO F DE SOUZA SABARA"</f>
        <v>MURILLO FERNANDO F DE SOUZA SABARA</v>
      </c>
      <c r="C323" s="9" t="s">
        <v>468</v>
      </c>
      <c r="D323" s="4" t="str">
        <f>"21012"</f>
        <v>21012</v>
      </c>
    </row>
    <row r="324" spans="1:4" x14ac:dyDescent="0.25">
      <c r="A324" s="4" t="str">
        <f t="shared" si="5"/>
        <v>101</v>
      </c>
      <c r="B324" s="4" t="str">
        <f>"NAIARA PINHEIRO DE CARLOS"</f>
        <v>NAIARA PINHEIRO DE CARLOS</v>
      </c>
      <c r="C324" s="7" t="s">
        <v>469</v>
      </c>
      <c r="D324" s="4" t="str">
        <f>"15051"</f>
        <v>15051</v>
      </c>
    </row>
    <row r="325" spans="1:4" x14ac:dyDescent="0.25">
      <c r="A325" s="4" t="str">
        <f t="shared" si="5"/>
        <v>101</v>
      </c>
      <c r="B325" s="4" t="str">
        <f>"NATHALIA DE AZEVEDO ALBANO"</f>
        <v>NATHALIA DE AZEVEDO ALBANO</v>
      </c>
      <c r="C325" s="9" t="s">
        <v>470</v>
      </c>
      <c r="D325" s="4" t="str">
        <f>"15050"</f>
        <v>15050</v>
      </c>
    </row>
    <row r="326" spans="1:4" x14ac:dyDescent="0.25">
      <c r="A326" s="4" t="str">
        <f t="shared" si="5"/>
        <v>101</v>
      </c>
      <c r="B326" s="4" t="str">
        <f>"NAYARA APARECIDA GONCALVES FERREIRA"</f>
        <v>NAYARA APARECIDA GONCALVES FERREIRA</v>
      </c>
      <c r="C326" s="9" t="s">
        <v>471</v>
      </c>
      <c r="D326" s="4" t="str">
        <f>"13013"</f>
        <v>13013</v>
      </c>
    </row>
    <row r="327" spans="1:4" x14ac:dyDescent="0.25">
      <c r="A327" s="4" t="str">
        <f t="shared" si="5"/>
        <v>101</v>
      </c>
      <c r="B327" s="4" t="str">
        <f>"NEMIAS LUIZ DA SILVA"</f>
        <v>NEMIAS LUIZ DA SILVA</v>
      </c>
      <c r="C327" s="9" t="s">
        <v>472</v>
      </c>
      <c r="D327" s="4" t="str">
        <f>"15050"</f>
        <v>15050</v>
      </c>
    </row>
    <row r="328" spans="1:4" x14ac:dyDescent="0.25">
      <c r="A328" s="4" t="str">
        <f t="shared" si="5"/>
        <v>101</v>
      </c>
      <c r="B328" s="4" t="str">
        <f>"NIKOLAS FERNANDES"</f>
        <v>NIKOLAS FERNANDES</v>
      </c>
      <c r="C328" s="9" t="s">
        <v>473</v>
      </c>
      <c r="D328" s="4" t="str">
        <f>"14051"</f>
        <v>14051</v>
      </c>
    </row>
    <row r="329" spans="1:4" x14ac:dyDescent="0.25">
      <c r="A329" s="4" t="str">
        <f t="shared" si="5"/>
        <v>101</v>
      </c>
      <c r="B329" s="4" t="str">
        <f>"ODAIR DE OLIVEIRA SILVA"</f>
        <v>ODAIR DE OLIVEIRA SILVA</v>
      </c>
      <c r="C329" s="9" t="s">
        <v>474</v>
      </c>
      <c r="D329" s="4" t="str">
        <f>"31300"</f>
        <v>31300</v>
      </c>
    </row>
    <row r="330" spans="1:4" x14ac:dyDescent="0.25">
      <c r="A330" s="4" t="str">
        <f t="shared" si="5"/>
        <v>101</v>
      </c>
      <c r="B330" s="4" t="str">
        <f>"PABLO RENAN SANTOS SUDRE"</f>
        <v>PABLO RENAN SANTOS SUDRE</v>
      </c>
      <c r="C330" s="9" t="s">
        <v>475</v>
      </c>
      <c r="D330" s="4" t="str">
        <f>"33010"</f>
        <v>33010</v>
      </c>
    </row>
    <row r="331" spans="1:4" x14ac:dyDescent="0.25">
      <c r="A331" s="4" t="str">
        <f t="shared" si="5"/>
        <v>101</v>
      </c>
      <c r="B331" s="4" t="str">
        <f>"PAMELA FREITAS FAUSTINO DOS SANTOS"</f>
        <v>PAMELA FREITAS FAUSTINO DOS SANTOS</v>
      </c>
      <c r="C331" s="9" t="s">
        <v>476</v>
      </c>
      <c r="D331" s="4" t="str">
        <f>"31114"</f>
        <v>31114</v>
      </c>
    </row>
    <row r="332" spans="1:4" x14ac:dyDescent="0.25">
      <c r="A332" s="4" t="str">
        <f t="shared" si="5"/>
        <v>101</v>
      </c>
      <c r="B332" s="4" t="str">
        <f>"PAULA CRISTINA MARCHIORI COSTA"</f>
        <v>PAULA CRISTINA MARCHIORI COSTA</v>
      </c>
      <c r="C332" s="9" t="s">
        <v>477</v>
      </c>
      <c r="D332" s="4" t="str">
        <f>"21011"</f>
        <v>21011</v>
      </c>
    </row>
    <row r="333" spans="1:4" x14ac:dyDescent="0.25">
      <c r="A333" s="4" t="str">
        <f t="shared" si="5"/>
        <v>101</v>
      </c>
      <c r="B333" s="4" t="str">
        <f>"PAULA NUNES BICALHO"</f>
        <v>PAULA NUNES BICALHO</v>
      </c>
      <c r="C333" s="9" t="s">
        <v>478</v>
      </c>
      <c r="D333" s="4" t="str">
        <f>"31060"</f>
        <v>31060</v>
      </c>
    </row>
    <row r="334" spans="1:4" x14ac:dyDescent="0.25">
      <c r="A334" s="4" t="str">
        <f t="shared" si="5"/>
        <v>101</v>
      </c>
      <c r="B334" s="4" t="str">
        <f>"PAULA ROBERTA RAMINELI FRANCISCO"</f>
        <v>PAULA ROBERTA RAMINELI FRANCISCO</v>
      </c>
      <c r="C334" s="9" t="s">
        <v>479</v>
      </c>
      <c r="D334" s="4" t="str">
        <f>"31116"</f>
        <v>31116</v>
      </c>
    </row>
    <row r="335" spans="1:4" x14ac:dyDescent="0.25">
      <c r="A335" s="4" t="str">
        <f t="shared" si="5"/>
        <v>101</v>
      </c>
      <c r="B335" s="4" t="str">
        <f>"PEDRO HENRIQUE JARDINI F VALENTIM MOURA"</f>
        <v>PEDRO HENRIQUE JARDINI F VALENTIM MOURA</v>
      </c>
      <c r="C335" s="9" t="s">
        <v>480</v>
      </c>
      <c r="D335" s="4" t="str">
        <f>"33050"</f>
        <v>33050</v>
      </c>
    </row>
    <row r="336" spans="1:4" x14ac:dyDescent="0.25">
      <c r="A336" s="4" t="str">
        <f t="shared" si="5"/>
        <v>101</v>
      </c>
      <c r="B336" s="4" t="str">
        <f>"PEDRO ROGERIO DOS S ANDRADE BERNARDES"</f>
        <v>PEDRO ROGERIO DOS S ANDRADE BERNARDES</v>
      </c>
      <c r="C336" s="9" t="s">
        <v>481</v>
      </c>
      <c r="D336" s="4" t="str">
        <f>"31113"</f>
        <v>31113</v>
      </c>
    </row>
    <row r="337" spans="1:4" x14ac:dyDescent="0.25">
      <c r="A337" s="4" t="str">
        <f t="shared" si="5"/>
        <v>101</v>
      </c>
      <c r="B337" s="4" t="str">
        <f>"RAFAEL DA MATA SILVA"</f>
        <v>RAFAEL DA MATA SILVA</v>
      </c>
      <c r="C337" s="9" t="s">
        <v>482</v>
      </c>
      <c r="D337" s="4" t="str">
        <f>"31040"</f>
        <v>31040</v>
      </c>
    </row>
    <row r="338" spans="1:4" x14ac:dyDescent="0.25">
      <c r="A338" s="4" t="str">
        <f t="shared" si="5"/>
        <v>101</v>
      </c>
      <c r="B338" s="4" t="str">
        <f>"RAFAEL GOMES DOS SANTOS"</f>
        <v>RAFAEL GOMES DOS SANTOS</v>
      </c>
      <c r="C338" s="9" t="s">
        <v>483</v>
      </c>
      <c r="D338" s="4" t="str">
        <f>"13018"</f>
        <v>13018</v>
      </c>
    </row>
    <row r="339" spans="1:4" x14ac:dyDescent="0.25">
      <c r="A339" s="4" t="str">
        <f t="shared" si="5"/>
        <v>101</v>
      </c>
      <c r="B339" s="4" t="str">
        <f>"RAFAEL RIBEIRO SIMOES"</f>
        <v>RAFAEL RIBEIRO SIMOES</v>
      </c>
      <c r="C339" s="9" t="s">
        <v>484</v>
      </c>
      <c r="D339" s="4" t="str">
        <f>"21011"</f>
        <v>21011</v>
      </c>
    </row>
    <row r="340" spans="1:4" x14ac:dyDescent="0.25">
      <c r="A340" s="4" t="str">
        <f t="shared" si="5"/>
        <v>101</v>
      </c>
      <c r="B340" s="4" t="str">
        <f>"RAFAELLA CARVALHO DE LIMA"</f>
        <v>RAFAELLA CARVALHO DE LIMA</v>
      </c>
      <c r="C340" s="9" t="s">
        <v>485</v>
      </c>
      <c r="D340" s="4" t="str">
        <f>"13013"</f>
        <v>13013</v>
      </c>
    </row>
    <row r="341" spans="1:4" x14ac:dyDescent="0.25">
      <c r="A341" s="4" t="str">
        <f t="shared" si="5"/>
        <v>101</v>
      </c>
      <c r="B341" s="4" t="str">
        <f>"RAQUEL CRISTINA LINDOLFO FERREIRA"</f>
        <v>RAQUEL CRISTINA LINDOLFO FERREIRA</v>
      </c>
      <c r="C341" s="9" t="s">
        <v>486</v>
      </c>
      <c r="D341" s="4" t="str">
        <f>"31200"</f>
        <v>31200</v>
      </c>
    </row>
    <row r="342" spans="1:4" x14ac:dyDescent="0.25">
      <c r="A342" s="4" t="str">
        <f t="shared" si="5"/>
        <v>101</v>
      </c>
      <c r="B342" s="4" t="str">
        <f>"REGINA GABRIELA DOS SANTOS LIMA"</f>
        <v>REGINA GABRIELA DOS SANTOS LIMA</v>
      </c>
      <c r="C342" s="9" t="s">
        <v>487</v>
      </c>
      <c r="D342" s="4" t="str">
        <f>"13021"</f>
        <v>13021</v>
      </c>
    </row>
    <row r="343" spans="1:4" x14ac:dyDescent="0.25">
      <c r="A343" s="4" t="str">
        <f t="shared" si="5"/>
        <v>101</v>
      </c>
      <c r="B343" s="4" t="str">
        <f>"REGIS VALADARES FERREIRA"</f>
        <v>REGIS VALADARES FERREIRA</v>
      </c>
      <c r="C343" s="9" t="s">
        <v>488</v>
      </c>
      <c r="D343" s="4" t="str">
        <f>"21012"</f>
        <v>21012</v>
      </c>
    </row>
    <row r="344" spans="1:4" x14ac:dyDescent="0.25">
      <c r="A344" s="4" t="str">
        <f t="shared" si="5"/>
        <v>101</v>
      </c>
      <c r="B344" s="4" t="str">
        <f>"RENATO DA MATA SOUSA"</f>
        <v>RENATO DA MATA SOUSA</v>
      </c>
      <c r="C344" s="9" t="s">
        <v>489</v>
      </c>
      <c r="D344" s="4" t="str">
        <f>"31115"</f>
        <v>31115</v>
      </c>
    </row>
    <row r="345" spans="1:4" x14ac:dyDescent="0.25">
      <c r="A345" s="4" t="str">
        <f t="shared" si="5"/>
        <v>101</v>
      </c>
      <c r="B345" s="4" t="str">
        <f>"RICARDO ASSIS DA SILVA"</f>
        <v>RICARDO ASSIS DA SILVA</v>
      </c>
      <c r="C345" s="9" t="s">
        <v>490</v>
      </c>
      <c r="D345" s="4" t="str">
        <f>"31111"</f>
        <v>31111</v>
      </c>
    </row>
    <row r="346" spans="1:4" x14ac:dyDescent="0.25">
      <c r="A346" s="4" t="str">
        <f t="shared" si="5"/>
        <v>101</v>
      </c>
      <c r="B346" s="4" t="str">
        <f>"ROBERTO MIRANDA DO NASCIMENTO"</f>
        <v>ROBERTO MIRANDA DO NASCIMENTO</v>
      </c>
      <c r="C346" s="9" t="s">
        <v>491</v>
      </c>
      <c r="D346" s="4" t="str">
        <f>"15050"</f>
        <v>15050</v>
      </c>
    </row>
    <row r="347" spans="1:4" x14ac:dyDescent="0.25">
      <c r="A347" s="4" t="str">
        <f t="shared" si="5"/>
        <v>101</v>
      </c>
      <c r="B347" s="4" t="str">
        <f>"ROBSON FERREIRA DOS SANTOS"</f>
        <v>ROBSON FERREIRA DOS SANTOS</v>
      </c>
      <c r="C347" s="9" t="s">
        <v>492</v>
      </c>
      <c r="D347" s="4" t="str">
        <f>"21013"</f>
        <v>21013</v>
      </c>
    </row>
    <row r="348" spans="1:4" x14ac:dyDescent="0.25">
      <c r="A348" s="4" t="str">
        <f t="shared" si="5"/>
        <v>101</v>
      </c>
      <c r="B348" s="4" t="str">
        <f>"ROBSON GARCIA ALVES"</f>
        <v>ROBSON GARCIA ALVES</v>
      </c>
      <c r="C348" s="9" t="s">
        <v>493</v>
      </c>
      <c r="D348" s="4" t="str">
        <f>"31200"</f>
        <v>31200</v>
      </c>
    </row>
    <row r="349" spans="1:4" x14ac:dyDescent="0.25">
      <c r="A349" s="4" t="str">
        <f t="shared" si="5"/>
        <v>101</v>
      </c>
      <c r="B349" s="4" t="str">
        <f>"ROBSON SILVA DOS SANTOS"</f>
        <v>ROBSON SILVA DOS SANTOS</v>
      </c>
      <c r="C349" s="7" t="s">
        <v>494</v>
      </c>
      <c r="D349" s="4" t="str">
        <f>"15050"</f>
        <v>15050</v>
      </c>
    </row>
    <row r="350" spans="1:4" x14ac:dyDescent="0.25">
      <c r="A350" s="4" t="str">
        <f t="shared" si="5"/>
        <v>101</v>
      </c>
      <c r="B350" s="4" t="str">
        <f>"RODRIGO ANDERSON ESTEVES"</f>
        <v>RODRIGO ANDERSON ESTEVES</v>
      </c>
      <c r="C350" s="9" t="s">
        <v>495</v>
      </c>
      <c r="D350" s="4" t="str">
        <f>"11012"</f>
        <v>11012</v>
      </c>
    </row>
    <row r="351" spans="1:4" x14ac:dyDescent="0.25">
      <c r="A351" s="4" t="str">
        <f t="shared" si="5"/>
        <v>101</v>
      </c>
      <c r="B351" s="4" t="str">
        <f>"RODRIGO PERES TOLENTINO DOS SANTOS SILVA"</f>
        <v>RODRIGO PERES TOLENTINO DOS SANTOS SILVA</v>
      </c>
      <c r="C351" s="9" t="s">
        <v>496</v>
      </c>
      <c r="D351" s="4" t="str">
        <f>"21011"</f>
        <v>21011</v>
      </c>
    </row>
    <row r="352" spans="1:4" x14ac:dyDescent="0.25">
      <c r="A352" s="4" t="str">
        <f t="shared" si="5"/>
        <v>101</v>
      </c>
      <c r="B352" s="4" t="str">
        <f>"RONALDO ANTONIO ARCARO"</f>
        <v>RONALDO ANTONIO ARCARO</v>
      </c>
      <c r="C352" s="9" t="s">
        <v>497</v>
      </c>
      <c r="D352" s="4" t="str">
        <f>"33050"</f>
        <v>33050</v>
      </c>
    </row>
    <row r="353" spans="1:4" x14ac:dyDescent="0.25">
      <c r="A353" s="4" t="str">
        <f t="shared" si="5"/>
        <v>101</v>
      </c>
      <c r="B353" s="4" t="str">
        <f>"ROSANA CRISTINA SILVERIO"</f>
        <v>ROSANA CRISTINA SILVERIO</v>
      </c>
      <c r="C353" s="9" t="s">
        <v>498</v>
      </c>
      <c r="D353" s="4" t="str">
        <f>"13017"</f>
        <v>13017</v>
      </c>
    </row>
    <row r="354" spans="1:4" x14ac:dyDescent="0.25">
      <c r="A354" s="4" t="str">
        <f t="shared" si="5"/>
        <v>101</v>
      </c>
      <c r="B354" s="4" t="str">
        <f>"ROSELI GONCALVES MARTINS"</f>
        <v>ROSELI GONCALVES MARTINS</v>
      </c>
      <c r="C354" s="9" t="s">
        <v>499</v>
      </c>
      <c r="D354" s="4" t="str">
        <f>"13021"</f>
        <v>13021</v>
      </c>
    </row>
    <row r="355" spans="1:4" x14ac:dyDescent="0.25">
      <c r="A355" s="4" t="str">
        <f t="shared" si="5"/>
        <v>101</v>
      </c>
      <c r="B355" s="4" t="str">
        <f>"ROSEMARY BARBOSA MENDES"</f>
        <v>ROSEMARY BARBOSA MENDES</v>
      </c>
      <c r="C355" s="7" t="s">
        <v>500</v>
      </c>
      <c r="D355" s="4" t="str">
        <f>"31090"</f>
        <v>31090</v>
      </c>
    </row>
    <row r="356" spans="1:4" x14ac:dyDescent="0.25">
      <c r="A356" s="4" t="str">
        <f t="shared" si="5"/>
        <v>101</v>
      </c>
      <c r="B356" s="4" t="str">
        <f>"RUBENS DE PAULA ANDRADE"</f>
        <v>RUBENS DE PAULA ANDRADE</v>
      </c>
      <c r="C356" s="9" t="s">
        <v>501</v>
      </c>
      <c r="D356" s="4" t="str">
        <f>"11012"</f>
        <v>11012</v>
      </c>
    </row>
    <row r="357" spans="1:4" x14ac:dyDescent="0.25">
      <c r="A357" s="4" t="str">
        <f t="shared" si="5"/>
        <v>101</v>
      </c>
      <c r="B357" s="4" t="str">
        <f>"RUBENS DE PAULA VIEIRA ANDRADE"</f>
        <v>RUBENS DE PAULA VIEIRA ANDRADE</v>
      </c>
      <c r="C357" s="9" t="s">
        <v>502</v>
      </c>
      <c r="D357" s="4" t="str">
        <f>"11011"</f>
        <v>11011</v>
      </c>
    </row>
    <row r="358" spans="1:4" x14ac:dyDescent="0.25">
      <c r="A358" s="4" t="str">
        <f t="shared" si="5"/>
        <v>101</v>
      </c>
      <c r="B358" s="4" t="str">
        <f>"RUTINEIA RIBEIRO DOS SANTOS"</f>
        <v>RUTINEIA RIBEIRO DOS SANTOS</v>
      </c>
      <c r="C358" s="9" t="s">
        <v>503</v>
      </c>
      <c r="D358" s="4" t="str">
        <f>"31060"</f>
        <v>31060</v>
      </c>
    </row>
    <row r="359" spans="1:4" x14ac:dyDescent="0.25">
      <c r="A359" s="4" t="str">
        <f t="shared" si="5"/>
        <v>101</v>
      </c>
      <c r="B359" s="4" t="str">
        <f>"SAMUEL FRASAO DOS SANTOS"</f>
        <v>SAMUEL FRASAO DOS SANTOS</v>
      </c>
      <c r="C359" s="9" t="s">
        <v>504</v>
      </c>
      <c r="D359" s="4" t="str">
        <f>"21012"</f>
        <v>21012</v>
      </c>
    </row>
    <row r="360" spans="1:4" x14ac:dyDescent="0.25">
      <c r="A360" s="4" t="str">
        <f t="shared" si="5"/>
        <v>101</v>
      </c>
      <c r="B360" s="4" t="str">
        <f>"SAMUEL GOMES CAMPOS"</f>
        <v>SAMUEL GOMES CAMPOS</v>
      </c>
      <c r="C360" s="9" t="s">
        <v>505</v>
      </c>
      <c r="D360" s="4" t="str">
        <f>"31090"</f>
        <v>31090</v>
      </c>
    </row>
    <row r="361" spans="1:4" x14ac:dyDescent="0.25">
      <c r="A361" s="4" t="str">
        <f t="shared" si="5"/>
        <v>101</v>
      </c>
      <c r="B361" s="4" t="str">
        <f>"SAMUEL MORETTE CAMPOS"</f>
        <v>SAMUEL MORETTE CAMPOS</v>
      </c>
      <c r="C361" s="9" t="s">
        <v>506</v>
      </c>
      <c r="D361" s="4" t="str">
        <f>"21012"</f>
        <v>21012</v>
      </c>
    </row>
    <row r="362" spans="1:4" x14ac:dyDescent="0.25">
      <c r="A362" s="4" t="str">
        <f t="shared" si="5"/>
        <v>101</v>
      </c>
      <c r="B362" s="4" t="str">
        <f>"SANDRA RODRIGUES GOUVEIA"</f>
        <v>SANDRA RODRIGUES GOUVEIA</v>
      </c>
      <c r="C362" s="9" t="s">
        <v>507</v>
      </c>
      <c r="D362" s="4" t="str">
        <f>"31070"</f>
        <v>31070</v>
      </c>
    </row>
    <row r="363" spans="1:4" x14ac:dyDescent="0.25">
      <c r="A363" s="4" t="str">
        <f t="shared" si="5"/>
        <v>101</v>
      </c>
      <c r="B363" s="4" t="str">
        <f>"SARAH SANTANA TELES"</f>
        <v>SARAH SANTANA TELES</v>
      </c>
      <c r="C363" s="9" t="s">
        <v>508</v>
      </c>
      <c r="D363" s="4" t="str">
        <f>"21011"</f>
        <v>21011</v>
      </c>
    </row>
    <row r="364" spans="1:4" x14ac:dyDescent="0.25">
      <c r="A364" s="4" t="str">
        <f t="shared" si="5"/>
        <v>101</v>
      </c>
      <c r="B364" s="4" t="str">
        <f>"SAULO MARQUES VERONES PEREIRA"</f>
        <v>SAULO MARQUES VERONES PEREIRA</v>
      </c>
      <c r="C364" s="9" t="s">
        <v>509</v>
      </c>
      <c r="D364" s="4" t="str">
        <f>"21011"</f>
        <v>21011</v>
      </c>
    </row>
    <row r="365" spans="1:4" x14ac:dyDescent="0.25">
      <c r="A365" s="4" t="str">
        <f t="shared" si="5"/>
        <v>101</v>
      </c>
      <c r="B365" s="4" t="str">
        <f>"SERGIO HENRIQUE SILVA DE ANDRADE"</f>
        <v>SERGIO HENRIQUE SILVA DE ANDRADE</v>
      </c>
      <c r="C365" s="9" t="s">
        <v>510</v>
      </c>
      <c r="D365" s="4" t="str">
        <f>"31060"</f>
        <v>31060</v>
      </c>
    </row>
    <row r="366" spans="1:4" x14ac:dyDescent="0.25">
      <c r="A366" s="4" t="str">
        <f t="shared" si="5"/>
        <v>101</v>
      </c>
      <c r="B366" s="4" t="str">
        <f>"SHEILA APARECIDA DA SILVA SANTOS RAMALHO"</f>
        <v>SHEILA APARECIDA DA SILVA SANTOS RAMALHO</v>
      </c>
      <c r="C366" s="9" t="s">
        <v>511</v>
      </c>
      <c r="D366" s="4" t="str">
        <f>"31060"</f>
        <v>31060</v>
      </c>
    </row>
    <row r="367" spans="1:4" x14ac:dyDescent="0.25">
      <c r="A367" s="4" t="str">
        <f t="shared" si="5"/>
        <v>101</v>
      </c>
      <c r="B367" s="4" t="str">
        <f>"SILAS PEREIRA DE OLIVEIRA"</f>
        <v>SILAS PEREIRA DE OLIVEIRA</v>
      </c>
      <c r="C367" s="9" t="s">
        <v>512</v>
      </c>
      <c r="D367" s="4" t="str">
        <f>"15050"</f>
        <v>15050</v>
      </c>
    </row>
    <row r="368" spans="1:4" x14ac:dyDescent="0.25">
      <c r="A368" s="4" t="str">
        <f t="shared" si="5"/>
        <v>101</v>
      </c>
      <c r="B368" s="4" t="str">
        <f>"SILMARA VIEIRA DOS SANTOS"</f>
        <v>SILMARA VIEIRA DOS SANTOS</v>
      </c>
      <c r="C368" s="9" t="s">
        <v>513</v>
      </c>
      <c r="D368" s="4" t="str">
        <f>"31114"</f>
        <v>31114</v>
      </c>
    </row>
    <row r="369" spans="1:4" x14ac:dyDescent="0.25">
      <c r="A369" s="4" t="str">
        <f t="shared" si="5"/>
        <v>101</v>
      </c>
      <c r="B369" s="4" t="str">
        <f>"SILVIA MARTA RODRIGUES CARDOSO"</f>
        <v>SILVIA MARTA RODRIGUES CARDOSO</v>
      </c>
      <c r="C369" s="9" t="s">
        <v>514</v>
      </c>
      <c r="D369" s="4" t="str">
        <f>"31060"</f>
        <v>31060</v>
      </c>
    </row>
    <row r="370" spans="1:4" x14ac:dyDescent="0.25">
      <c r="A370" s="4" t="str">
        <f t="shared" si="5"/>
        <v>101</v>
      </c>
      <c r="B370" s="4" t="str">
        <f>"SIMONE CALIMAN"</f>
        <v>SIMONE CALIMAN</v>
      </c>
      <c r="C370" s="9" t="s">
        <v>515</v>
      </c>
      <c r="D370" s="4" t="str">
        <f>"14012"</f>
        <v>14012</v>
      </c>
    </row>
    <row r="371" spans="1:4" x14ac:dyDescent="0.25">
      <c r="A371" s="4" t="str">
        <f t="shared" si="5"/>
        <v>101</v>
      </c>
      <c r="B371" s="4" t="str">
        <f>"SINVAL LUIZ DOS REIS"</f>
        <v>SINVAL LUIZ DOS REIS</v>
      </c>
      <c r="C371" s="9" t="s">
        <v>516</v>
      </c>
      <c r="D371" s="4" t="str">
        <f>"31090"</f>
        <v>31090</v>
      </c>
    </row>
    <row r="372" spans="1:4" x14ac:dyDescent="0.25">
      <c r="A372" s="4" t="str">
        <f t="shared" si="5"/>
        <v>101</v>
      </c>
      <c r="B372" s="4" t="str">
        <f>"SIRLENE DA SILVA OLIVEIRA COSTA"</f>
        <v>SIRLENE DA SILVA OLIVEIRA COSTA</v>
      </c>
      <c r="C372" s="9" t="s">
        <v>517</v>
      </c>
      <c r="D372" s="4" t="str">
        <f>"31060"</f>
        <v>31060</v>
      </c>
    </row>
    <row r="373" spans="1:4" x14ac:dyDescent="0.25">
      <c r="A373" s="4" t="str">
        <f t="shared" si="5"/>
        <v>101</v>
      </c>
      <c r="B373" s="4" t="str">
        <f>"SOFIA MAUAD"</f>
        <v>SOFIA MAUAD</v>
      </c>
      <c r="C373" s="9" t="s">
        <v>518</v>
      </c>
      <c r="D373" s="4" t="str">
        <f>"13017"</f>
        <v>13017</v>
      </c>
    </row>
    <row r="374" spans="1:4" x14ac:dyDescent="0.25">
      <c r="A374" s="4" t="str">
        <f t="shared" si="5"/>
        <v>101</v>
      </c>
      <c r="B374" s="4" t="str">
        <f>"SOFIA RIGONI LEMES"</f>
        <v>SOFIA RIGONI LEMES</v>
      </c>
      <c r="C374" s="9" t="s">
        <v>519</v>
      </c>
      <c r="D374" s="4" t="str">
        <f>"13011"</f>
        <v>13011</v>
      </c>
    </row>
    <row r="375" spans="1:4" x14ac:dyDescent="0.25">
      <c r="A375" s="4" t="str">
        <f t="shared" si="5"/>
        <v>101</v>
      </c>
      <c r="B375" s="4" t="str">
        <f>"STEFANIA CHAVES DA SILVA"</f>
        <v>STEFANIA CHAVES DA SILVA</v>
      </c>
      <c r="C375" s="9" t="s">
        <v>520</v>
      </c>
      <c r="D375" s="4" t="str">
        <f>"31090"</f>
        <v>31090</v>
      </c>
    </row>
    <row r="376" spans="1:4" x14ac:dyDescent="0.25">
      <c r="A376" s="4" t="str">
        <f t="shared" si="5"/>
        <v>101</v>
      </c>
      <c r="B376" s="4" t="str">
        <f>"STEFANY APARECIDA L BERNARDES DA SILVA"</f>
        <v>STEFANY APARECIDA L BERNARDES DA SILVA</v>
      </c>
      <c r="C376" s="9" t="s">
        <v>521</v>
      </c>
      <c r="D376" s="4" t="str">
        <f>"31090"</f>
        <v>31090</v>
      </c>
    </row>
    <row r="377" spans="1:4" x14ac:dyDescent="0.25">
      <c r="A377" s="4" t="str">
        <f t="shared" si="5"/>
        <v>101</v>
      </c>
      <c r="B377" s="4" t="str">
        <f>"SUELLEN DE ALMEIDA NICOLINO"</f>
        <v>SUELLEN DE ALMEIDA NICOLINO</v>
      </c>
      <c r="C377" s="9" t="s">
        <v>522</v>
      </c>
      <c r="D377" s="4" t="str">
        <f>"31060"</f>
        <v>31060</v>
      </c>
    </row>
    <row r="378" spans="1:4" x14ac:dyDescent="0.25">
      <c r="A378" s="4" t="str">
        <f t="shared" si="5"/>
        <v>101</v>
      </c>
      <c r="B378" s="4" t="str">
        <f>"TABATA ALANA RAMOS"</f>
        <v>TABATA ALANA RAMOS</v>
      </c>
      <c r="C378" s="9" t="s">
        <v>523</v>
      </c>
      <c r="D378" s="4" t="str">
        <f>"14012"</f>
        <v>14012</v>
      </c>
    </row>
    <row r="379" spans="1:4" x14ac:dyDescent="0.25">
      <c r="A379" s="4" t="str">
        <f t="shared" si="5"/>
        <v>101</v>
      </c>
      <c r="B379" s="4" t="str">
        <f>"TACIO RAFAEL SIMAO REGO"</f>
        <v>TACIO RAFAEL SIMAO REGO</v>
      </c>
      <c r="C379" s="9" t="s">
        <v>524</v>
      </c>
      <c r="D379" s="4" t="str">
        <f>"31100"</f>
        <v>31100</v>
      </c>
    </row>
    <row r="380" spans="1:4" x14ac:dyDescent="0.25">
      <c r="A380" s="4" t="str">
        <f t="shared" si="5"/>
        <v>101</v>
      </c>
      <c r="B380" s="4" t="str">
        <f>"TAMIRIS DOS SANTOS FORONE FARIA"</f>
        <v>TAMIRIS DOS SANTOS FORONE FARIA</v>
      </c>
      <c r="C380" s="9" t="s">
        <v>525</v>
      </c>
      <c r="D380" s="4" t="str">
        <f>"31200"</f>
        <v>31200</v>
      </c>
    </row>
    <row r="381" spans="1:4" x14ac:dyDescent="0.25">
      <c r="A381" s="4" t="str">
        <f t="shared" si="5"/>
        <v>101</v>
      </c>
      <c r="B381" s="4" t="str">
        <f>"TANIA CANEDO BLANCA"</f>
        <v>TANIA CANEDO BLANCA</v>
      </c>
      <c r="C381" s="9" t="s">
        <v>526</v>
      </c>
      <c r="D381" s="4" t="str">
        <f>"13017"</f>
        <v>13017</v>
      </c>
    </row>
    <row r="382" spans="1:4" x14ac:dyDescent="0.25">
      <c r="A382" s="4" t="str">
        <f t="shared" si="5"/>
        <v>101</v>
      </c>
      <c r="B382" s="4" t="str">
        <f>"TAYNA MIGUEL DE MATOS"</f>
        <v>TAYNA MIGUEL DE MATOS</v>
      </c>
      <c r="C382" s="9" t="s">
        <v>527</v>
      </c>
      <c r="D382" s="4" t="str">
        <f>"13013"</f>
        <v>13013</v>
      </c>
    </row>
    <row r="383" spans="1:4" x14ac:dyDescent="0.25">
      <c r="A383" s="4" t="str">
        <f t="shared" si="5"/>
        <v>101</v>
      </c>
      <c r="B383" s="4" t="str">
        <f>"TERESINHA SIMAO"</f>
        <v>TERESINHA SIMAO</v>
      </c>
      <c r="C383" s="9" t="s">
        <v>528</v>
      </c>
      <c r="D383" s="4" t="str">
        <f>"31114"</f>
        <v>31114</v>
      </c>
    </row>
    <row r="384" spans="1:4" x14ac:dyDescent="0.25">
      <c r="A384" s="4" t="str">
        <f t="shared" si="5"/>
        <v>101</v>
      </c>
      <c r="B384" s="4" t="str">
        <f>"THAIS FERNANDA SANTOS DE LIMA"</f>
        <v>THAIS FERNANDA SANTOS DE LIMA</v>
      </c>
      <c r="C384" s="9" t="s">
        <v>529</v>
      </c>
      <c r="D384" s="4" t="str">
        <f>"15051"</f>
        <v>15051</v>
      </c>
    </row>
    <row r="385" spans="1:4" x14ac:dyDescent="0.25">
      <c r="A385" s="4" t="str">
        <f t="shared" si="5"/>
        <v>101</v>
      </c>
      <c r="B385" s="4" t="str">
        <f>"THAISE BOAROTO"</f>
        <v>THAISE BOAROTO</v>
      </c>
      <c r="C385" s="7" t="s">
        <v>530</v>
      </c>
      <c r="D385" s="4" t="str">
        <f>"15051"</f>
        <v>15051</v>
      </c>
    </row>
    <row r="386" spans="1:4" x14ac:dyDescent="0.25">
      <c r="A386" s="4" t="str">
        <f t="shared" si="5"/>
        <v>101</v>
      </c>
      <c r="B386" s="4" t="str">
        <f>"THAYS SILVA DE SOUZA"</f>
        <v>THAYS SILVA DE SOUZA</v>
      </c>
      <c r="C386" s="9" t="s">
        <v>531</v>
      </c>
      <c r="D386" s="4" t="str">
        <f>"13021"</f>
        <v>13021</v>
      </c>
    </row>
    <row r="387" spans="1:4" x14ac:dyDescent="0.25">
      <c r="A387" s="4" t="str">
        <f t="shared" ref="A387:A414" si="6">"101"</f>
        <v>101</v>
      </c>
      <c r="B387" s="4" t="str">
        <f>"THEODOLINDO DE LOURDES S DE SOUSA JUNIOR"</f>
        <v>THEODOLINDO DE LOURDES S DE SOUSA JUNIOR</v>
      </c>
      <c r="C387" s="9" t="s">
        <v>532</v>
      </c>
      <c r="D387" s="4" t="str">
        <f>"14056"</f>
        <v>14056</v>
      </c>
    </row>
    <row r="388" spans="1:4" x14ac:dyDescent="0.25">
      <c r="A388" s="4" t="str">
        <f t="shared" si="6"/>
        <v>101</v>
      </c>
      <c r="B388" s="4" t="str">
        <f>"THIAGO FERNANDES MIGLIORINI"</f>
        <v>THIAGO FERNANDES MIGLIORINI</v>
      </c>
      <c r="C388" s="9" t="s">
        <v>533</v>
      </c>
      <c r="D388" s="4" t="str">
        <f>"33040"</f>
        <v>33040</v>
      </c>
    </row>
    <row r="389" spans="1:4" x14ac:dyDescent="0.25">
      <c r="A389" s="4" t="str">
        <f t="shared" si="6"/>
        <v>101</v>
      </c>
      <c r="B389" s="4" t="str">
        <f>"THIAGO SILVA DO NASCIMENTO"</f>
        <v>THIAGO SILVA DO NASCIMENTO</v>
      </c>
      <c r="C389" s="9" t="s">
        <v>534</v>
      </c>
      <c r="D389" s="4" t="str">
        <f>"15050"</f>
        <v>15050</v>
      </c>
    </row>
    <row r="390" spans="1:4" x14ac:dyDescent="0.25">
      <c r="A390" s="4" t="str">
        <f t="shared" si="6"/>
        <v>101</v>
      </c>
      <c r="B390" s="4" t="str">
        <f>"THIAGO TEIXEIRA DE MORAIS"</f>
        <v>THIAGO TEIXEIRA DE MORAIS</v>
      </c>
      <c r="C390" s="9" t="s">
        <v>535</v>
      </c>
      <c r="D390" s="4" t="str">
        <f>"21012"</f>
        <v>21012</v>
      </c>
    </row>
    <row r="391" spans="1:4" x14ac:dyDescent="0.25">
      <c r="A391" s="4" t="str">
        <f t="shared" si="6"/>
        <v>101</v>
      </c>
      <c r="B391" s="4" t="str">
        <f>"TIAGO GARCIA LEAL"</f>
        <v>TIAGO GARCIA LEAL</v>
      </c>
      <c r="C391" s="9" t="s">
        <v>536</v>
      </c>
      <c r="D391" s="4" t="str">
        <f>"15012"</f>
        <v>15012</v>
      </c>
    </row>
    <row r="392" spans="1:4" x14ac:dyDescent="0.25">
      <c r="A392" s="4" t="str">
        <f t="shared" si="6"/>
        <v>101</v>
      </c>
      <c r="B392" s="4" t="str">
        <f>"TULIO VINICIUS DE OLIVEIRA SILVA"</f>
        <v>TULIO VINICIUS DE OLIVEIRA SILVA</v>
      </c>
      <c r="C392" s="9" t="s">
        <v>537</v>
      </c>
      <c r="D392" s="4" t="str">
        <f>"21012"</f>
        <v>21012</v>
      </c>
    </row>
    <row r="393" spans="1:4" x14ac:dyDescent="0.25">
      <c r="A393" s="4" t="str">
        <f t="shared" si="6"/>
        <v>101</v>
      </c>
      <c r="B393" s="4" t="str">
        <f>"VALENTINA FRANCO DE CAMARGO CASTRO"</f>
        <v>VALENTINA FRANCO DE CAMARGO CASTRO</v>
      </c>
      <c r="C393" s="9" t="s">
        <v>538</v>
      </c>
      <c r="D393" s="4" t="str">
        <f>"33050"</f>
        <v>33050</v>
      </c>
    </row>
    <row r="394" spans="1:4" x14ac:dyDescent="0.25">
      <c r="A394" s="4" t="str">
        <f t="shared" si="6"/>
        <v>101</v>
      </c>
      <c r="B394" s="4" t="str">
        <f>"VALERIA BASSO"</f>
        <v>VALERIA BASSO</v>
      </c>
      <c r="C394" s="9" t="s">
        <v>539</v>
      </c>
      <c r="D394" s="4" t="str">
        <f>"31060"</f>
        <v>31060</v>
      </c>
    </row>
    <row r="395" spans="1:4" x14ac:dyDescent="0.25">
      <c r="A395" s="4" t="str">
        <f t="shared" si="6"/>
        <v>101</v>
      </c>
      <c r="B395" s="4" t="str">
        <f>"VALTER BENOTTI NOGUEIRA JUNIOR"</f>
        <v>VALTER BENOTTI NOGUEIRA JUNIOR</v>
      </c>
      <c r="C395" s="9" t="s">
        <v>540</v>
      </c>
      <c r="D395" s="4" t="str">
        <f>"31040"</f>
        <v>31040</v>
      </c>
    </row>
    <row r="396" spans="1:4" x14ac:dyDescent="0.25">
      <c r="A396" s="4" t="str">
        <f t="shared" si="6"/>
        <v>101</v>
      </c>
      <c r="B396" s="4" t="str">
        <f>"VANDERSON LUIS BARROSO"</f>
        <v>VANDERSON LUIS BARROSO</v>
      </c>
      <c r="C396" s="9" t="s">
        <v>541</v>
      </c>
      <c r="D396" s="4" t="str">
        <f>"31100"</f>
        <v>31100</v>
      </c>
    </row>
    <row r="397" spans="1:4" x14ac:dyDescent="0.25">
      <c r="A397" s="4" t="str">
        <f t="shared" si="6"/>
        <v>101</v>
      </c>
      <c r="B397" s="4" t="str">
        <f>"VANDRE DAVID BRAGA"</f>
        <v>VANDRE DAVID BRAGA</v>
      </c>
      <c r="C397" s="9" t="s">
        <v>542</v>
      </c>
      <c r="D397" s="4" t="str">
        <f>"31060"</f>
        <v>31060</v>
      </c>
    </row>
    <row r="398" spans="1:4" x14ac:dyDescent="0.25">
      <c r="A398" s="4" t="str">
        <f t="shared" si="6"/>
        <v>101</v>
      </c>
      <c r="B398" s="4" t="str">
        <f>"VANESSA CARDOSO FERREIRA"</f>
        <v>VANESSA CARDOSO FERREIRA</v>
      </c>
      <c r="C398" s="9" t="s">
        <v>543</v>
      </c>
      <c r="D398" s="4" t="str">
        <f>"31100"</f>
        <v>31100</v>
      </c>
    </row>
    <row r="399" spans="1:4" x14ac:dyDescent="0.25">
      <c r="A399" s="4" t="str">
        <f t="shared" si="6"/>
        <v>101</v>
      </c>
      <c r="B399" s="4" t="str">
        <f>"VANESSA RODRIGUES ROSA"</f>
        <v>VANESSA RODRIGUES ROSA</v>
      </c>
      <c r="C399" s="9" t="s">
        <v>544</v>
      </c>
      <c r="D399" s="4" t="str">
        <f>"31114"</f>
        <v>31114</v>
      </c>
    </row>
    <row r="400" spans="1:4" x14ac:dyDescent="0.25">
      <c r="A400" s="4" t="str">
        <f t="shared" si="6"/>
        <v>101</v>
      </c>
      <c r="B400" s="4" t="str">
        <f>"VICTOR DE SOUSA PEIXOTO"</f>
        <v>VICTOR DE SOUSA PEIXOTO</v>
      </c>
      <c r="C400" s="9" t="s">
        <v>545</v>
      </c>
      <c r="D400" s="4" t="str">
        <f>"14012"</f>
        <v>14012</v>
      </c>
    </row>
    <row r="401" spans="1:4" x14ac:dyDescent="0.25">
      <c r="A401" s="4" t="str">
        <f t="shared" si="6"/>
        <v>101</v>
      </c>
      <c r="B401" s="4" t="str">
        <f>"VITOR GABRIEL F FAUSTINO DA SILVA"</f>
        <v>VITOR GABRIEL F FAUSTINO DA SILVA</v>
      </c>
      <c r="C401" s="9" t="s">
        <v>546</v>
      </c>
      <c r="D401" s="4" t="str">
        <f>"31113"</f>
        <v>31113</v>
      </c>
    </row>
    <row r="402" spans="1:4" x14ac:dyDescent="0.25">
      <c r="A402" s="4" t="str">
        <f t="shared" si="6"/>
        <v>101</v>
      </c>
      <c r="B402" s="4" t="str">
        <f>"VITORIA CRISTINA RAMOS LEANDRO"</f>
        <v>VITORIA CRISTINA RAMOS LEANDRO</v>
      </c>
      <c r="C402" s="9" t="s">
        <v>547</v>
      </c>
      <c r="D402" s="4" t="str">
        <f>"31114"</f>
        <v>31114</v>
      </c>
    </row>
    <row r="403" spans="1:4" x14ac:dyDescent="0.25">
      <c r="A403" s="4" t="str">
        <f t="shared" si="6"/>
        <v>101</v>
      </c>
      <c r="B403" s="4" t="str">
        <f>"VITORIA VIEIRA SIQUEIRA DOS SANTOS"</f>
        <v>VITORIA VIEIRA SIQUEIRA DOS SANTOS</v>
      </c>
      <c r="C403" s="9" t="s">
        <v>548</v>
      </c>
      <c r="D403" s="4" t="str">
        <f>"13016"</f>
        <v>13016</v>
      </c>
    </row>
    <row r="404" spans="1:4" x14ac:dyDescent="0.25">
      <c r="A404" s="4" t="str">
        <f t="shared" si="6"/>
        <v>101</v>
      </c>
      <c r="B404" s="4" t="str">
        <f>"VIVIANE PEREIRA DOS SANTOS"</f>
        <v>VIVIANE PEREIRA DOS SANTOS</v>
      </c>
      <c r="C404" s="9" t="s">
        <v>549</v>
      </c>
      <c r="D404" s="4" t="str">
        <f>"33040"</f>
        <v>33040</v>
      </c>
    </row>
    <row r="405" spans="1:4" x14ac:dyDescent="0.25">
      <c r="A405" s="4" t="str">
        <f t="shared" si="6"/>
        <v>101</v>
      </c>
      <c r="B405" s="4" t="str">
        <f>"WALLISON ALVES XAVIER"</f>
        <v>WALLISON ALVES XAVIER</v>
      </c>
      <c r="C405" s="9" t="s">
        <v>550</v>
      </c>
      <c r="D405" s="4" t="str">
        <f>"31060"</f>
        <v>31060</v>
      </c>
    </row>
    <row r="406" spans="1:4" x14ac:dyDescent="0.25">
      <c r="A406" s="4" t="str">
        <f t="shared" si="6"/>
        <v>101</v>
      </c>
      <c r="B406" s="4" t="str">
        <f>"WASHINGTON DE PAIVA SOARES"</f>
        <v>WASHINGTON DE PAIVA SOARES</v>
      </c>
      <c r="C406" s="9" t="s">
        <v>551</v>
      </c>
      <c r="D406" s="4" t="str">
        <f>"15050"</f>
        <v>15050</v>
      </c>
    </row>
    <row r="407" spans="1:4" x14ac:dyDescent="0.25">
      <c r="A407" s="4" t="str">
        <f t="shared" si="6"/>
        <v>101</v>
      </c>
      <c r="B407" s="4" t="str">
        <f>"WELBER MARTINS AVELAR"</f>
        <v>WELBER MARTINS AVELAR</v>
      </c>
      <c r="C407" s="9" t="s">
        <v>552</v>
      </c>
      <c r="D407" s="4" t="str">
        <f>"33050"</f>
        <v>33050</v>
      </c>
    </row>
    <row r="408" spans="1:4" x14ac:dyDescent="0.25">
      <c r="A408" s="4" t="str">
        <f t="shared" si="6"/>
        <v>101</v>
      </c>
      <c r="B408" s="4" t="str">
        <f>"WELLINGTON LUIS DE OLIVEIRA C. FERREIRA"</f>
        <v>WELLINGTON LUIS DE OLIVEIRA C. FERREIRA</v>
      </c>
      <c r="C408" s="9" t="s">
        <v>553</v>
      </c>
      <c r="D408" s="4" t="str">
        <f>"33060"</f>
        <v>33060</v>
      </c>
    </row>
    <row r="409" spans="1:4" x14ac:dyDescent="0.25">
      <c r="A409" s="4" t="str">
        <f t="shared" si="6"/>
        <v>101</v>
      </c>
      <c r="B409" s="4" t="str">
        <f>"WESLEY FERREIRA DOS SANTOS"</f>
        <v>WESLEY FERREIRA DOS SANTOS</v>
      </c>
      <c r="C409" s="9" t="s">
        <v>554</v>
      </c>
      <c r="D409" s="4" t="str">
        <f>"15050"</f>
        <v>15050</v>
      </c>
    </row>
    <row r="410" spans="1:4" x14ac:dyDescent="0.25">
      <c r="A410" s="4" t="str">
        <f t="shared" si="6"/>
        <v>101</v>
      </c>
      <c r="B410" s="4" t="str">
        <f>"WEULLER MARTINS AVELAR"</f>
        <v>WEULLER MARTINS AVELAR</v>
      </c>
      <c r="C410" s="9" t="s">
        <v>555</v>
      </c>
      <c r="D410" s="4" t="str">
        <f>"33040"</f>
        <v>33040</v>
      </c>
    </row>
    <row r="411" spans="1:4" x14ac:dyDescent="0.25">
      <c r="A411" s="4" t="str">
        <f t="shared" si="6"/>
        <v>101</v>
      </c>
      <c r="B411" s="4" t="str">
        <f>"WILLIAM LEONARDO MEDEIROS DE SOUZA"</f>
        <v>WILLIAM LEONARDO MEDEIROS DE SOUZA</v>
      </c>
      <c r="C411" s="9" t="s">
        <v>556</v>
      </c>
      <c r="D411" s="4" t="str">
        <f>"15051"</f>
        <v>15051</v>
      </c>
    </row>
    <row r="412" spans="1:4" x14ac:dyDescent="0.25">
      <c r="A412" s="4" t="str">
        <f t="shared" si="6"/>
        <v>101</v>
      </c>
      <c r="B412" s="4" t="str">
        <f>"WILLIAM MATTA DA SILVA"</f>
        <v>WILLIAM MATTA DA SILVA</v>
      </c>
      <c r="C412" s="9" t="s">
        <v>557</v>
      </c>
      <c r="D412" s="4" t="str">
        <f>"31112"</f>
        <v>31112</v>
      </c>
    </row>
    <row r="413" spans="1:4" x14ac:dyDescent="0.25">
      <c r="A413" s="4" t="str">
        <f t="shared" si="6"/>
        <v>101</v>
      </c>
      <c r="B413" s="4" t="str">
        <f>"WILSON DE JESUS"</f>
        <v>WILSON DE JESUS</v>
      </c>
      <c r="C413" s="9" t="s">
        <v>558</v>
      </c>
      <c r="D413" s="4" t="str">
        <f>"15050"</f>
        <v>15050</v>
      </c>
    </row>
    <row r="414" spans="1:4" x14ac:dyDescent="0.25">
      <c r="A414" s="4" t="str">
        <f t="shared" si="6"/>
        <v>101</v>
      </c>
      <c r="B414" s="4" t="str">
        <f>"WILSON HENRIQUE ALVES DA SILVA"</f>
        <v>WILSON HENRIQUE ALVES DA SILVA</v>
      </c>
      <c r="C414" s="9" t="s">
        <v>559</v>
      </c>
      <c r="D414" s="4" t="str">
        <f>"31200"</f>
        <v>31200</v>
      </c>
    </row>
    <row r="415" spans="1:4" x14ac:dyDescent="0.25">
      <c r="A415" s="4" t="s">
        <v>147</v>
      </c>
      <c r="B415" s="4" t="str">
        <f>"ALBERTH FELLIPE GONZAGA"</f>
        <v>ALBERTH FELLIPE GONZAGA</v>
      </c>
      <c r="C415" s="9" t="s">
        <v>560</v>
      </c>
      <c r="D415" s="4" t="str">
        <f>"15058"</f>
        <v>15058</v>
      </c>
    </row>
    <row r="416" spans="1:4" x14ac:dyDescent="0.25">
      <c r="A416" s="4" t="s">
        <v>147</v>
      </c>
      <c r="B416" s="4" t="str">
        <f>"ALEX FARIA DE SOUZA"</f>
        <v>ALEX FARIA DE SOUZA</v>
      </c>
      <c r="C416" s="9" t="s">
        <v>561</v>
      </c>
      <c r="D416" s="4" t="str">
        <f>"15059"</f>
        <v>15059</v>
      </c>
    </row>
    <row r="417" spans="1:4" x14ac:dyDescent="0.25">
      <c r="A417" s="4" t="s">
        <v>147</v>
      </c>
      <c r="B417" s="4" t="str">
        <f>"ALEXANDRE GOMES VICENTE JUNIOR"</f>
        <v>ALEXANDRE GOMES VICENTE JUNIOR</v>
      </c>
      <c r="C417" s="9" t="s">
        <v>562</v>
      </c>
      <c r="D417" s="4" t="str">
        <f>"15059"</f>
        <v>15059</v>
      </c>
    </row>
    <row r="418" spans="1:4" x14ac:dyDescent="0.25">
      <c r="A418" s="4" t="s">
        <v>147</v>
      </c>
      <c r="B418" s="4" t="str">
        <f>"ALEXSANDRO CORREIA DE JESUS FELIX"</f>
        <v>ALEXSANDRO CORREIA DE JESUS FELIX</v>
      </c>
      <c r="C418" s="9" t="s">
        <v>563</v>
      </c>
      <c r="D418" s="4" t="str">
        <f>"15059"</f>
        <v>15059</v>
      </c>
    </row>
    <row r="419" spans="1:4" x14ac:dyDescent="0.25">
      <c r="A419" s="4" t="s">
        <v>147</v>
      </c>
      <c r="B419" s="4" t="str">
        <f>"ALEXSANDRO JOSE DA CONCEICAO SANTOS"</f>
        <v>ALEXSANDRO JOSE DA CONCEICAO SANTOS</v>
      </c>
      <c r="C419" s="9" t="s">
        <v>564</v>
      </c>
      <c r="D419" s="4" t="str">
        <f>"15056"</f>
        <v>15056</v>
      </c>
    </row>
    <row r="420" spans="1:4" x14ac:dyDescent="0.25">
      <c r="A420" s="4" t="s">
        <v>147</v>
      </c>
      <c r="B420" s="4" t="str">
        <f>"ANA CAROLINA GLORIA DE FARIAS"</f>
        <v>ANA CAROLINA GLORIA DE FARIAS</v>
      </c>
      <c r="C420" s="9" t="s">
        <v>565</v>
      </c>
      <c r="D420" s="4" t="str">
        <f>"15058"</f>
        <v>15058</v>
      </c>
    </row>
    <row r="421" spans="1:4" x14ac:dyDescent="0.25">
      <c r="A421" s="4" t="s">
        <v>147</v>
      </c>
      <c r="B421" s="4" t="str">
        <f>"BRUNO DE OLIVEIRA MOSCATO"</f>
        <v>BRUNO DE OLIVEIRA MOSCATO</v>
      </c>
      <c r="C421" s="9" t="s">
        <v>566</v>
      </c>
      <c r="D421" s="4" t="str">
        <f>"15058"</f>
        <v>15058</v>
      </c>
    </row>
    <row r="422" spans="1:4" x14ac:dyDescent="0.25">
      <c r="A422" s="4" t="s">
        <v>147</v>
      </c>
      <c r="B422" s="4" t="str">
        <f>"CLEMERSON FERREIRA DA SILVA"</f>
        <v>CLEMERSON FERREIRA DA SILVA</v>
      </c>
      <c r="C422" s="9" t="s">
        <v>567</v>
      </c>
      <c r="D422" s="4" t="str">
        <f>"15056"</f>
        <v>15056</v>
      </c>
    </row>
    <row r="423" spans="1:4" x14ac:dyDescent="0.25">
      <c r="A423" s="4" t="s">
        <v>147</v>
      </c>
      <c r="B423" s="4" t="str">
        <f>"DAIANE DOS SANTOS PRATA"</f>
        <v>DAIANE DOS SANTOS PRATA</v>
      </c>
      <c r="C423" s="9" t="s">
        <v>568</v>
      </c>
      <c r="D423" s="4" t="str">
        <f>"15058"</f>
        <v>15058</v>
      </c>
    </row>
    <row r="424" spans="1:4" x14ac:dyDescent="0.25">
      <c r="A424" s="4" t="s">
        <v>147</v>
      </c>
      <c r="B424" s="4" t="str">
        <f>"DANIEL CICERO COUTO BORGES"</f>
        <v>DANIEL CICERO COUTO BORGES</v>
      </c>
      <c r="C424" s="9" t="s">
        <v>569</v>
      </c>
      <c r="D424" s="4" t="str">
        <f>"15056"</f>
        <v>15056</v>
      </c>
    </row>
    <row r="425" spans="1:4" x14ac:dyDescent="0.25">
      <c r="A425" s="4" t="s">
        <v>147</v>
      </c>
      <c r="B425" s="4" t="str">
        <f>"DANIEL RODRIGUES GAMA"</f>
        <v>DANIEL RODRIGUES GAMA</v>
      </c>
      <c r="C425" s="9" t="s">
        <v>570</v>
      </c>
      <c r="D425" s="4" t="str">
        <f>"15056"</f>
        <v>15056</v>
      </c>
    </row>
    <row r="426" spans="1:4" x14ac:dyDescent="0.25">
      <c r="A426" s="4" t="s">
        <v>147</v>
      </c>
      <c r="B426" s="4" t="str">
        <f>"DANILO DOS SANTOS MARTINS"</f>
        <v>DANILO DOS SANTOS MARTINS</v>
      </c>
      <c r="C426" s="9" t="s">
        <v>571</v>
      </c>
      <c r="D426" s="4" t="str">
        <f>"15056"</f>
        <v>15056</v>
      </c>
    </row>
    <row r="427" spans="1:4" x14ac:dyDescent="0.25">
      <c r="A427" s="4" t="s">
        <v>147</v>
      </c>
      <c r="B427" s="4" t="str">
        <f>"DANILO MIRANDA SILVA"</f>
        <v>DANILO MIRANDA SILVA</v>
      </c>
      <c r="C427" s="9" t="s">
        <v>572</v>
      </c>
      <c r="D427" s="4" t="str">
        <f>"15056"</f>
        <v>15056</v>
      </c>
    </row>
    <row r="428" spans="1:4" x14ac:dyDescent="0.25">
      <c r="A428" s="4" t="s">
        <v>147</v>
      </c>
      <c r="B428" s="4" t="str">
        <f>"DELMARIO BATISTA SAMPAIO"</f>
        <v>DELMARIO BATISTA SAMPAIO</v>
      </c>
      <c r="C428" s="9" t="s">
        <v>573</v>
      </c>
      <c r="D428" s="4" t="str">
        <f>"15056"</f>
        <v>15056</v>
      </c>
    </row>
    <row r="429" spans="1:4" x14ac:dyDescent="0.25">
      <c r="A429" s="4" t="s">
        <v>147</v>
      </c>
      <c r="B429" s="4" t="str">
        <f>"DOUGLAS HENRIQUE PINTO DOS SANTOS"</f>
        <v>DOUGLAS HENRIQUE PINTO DOS SANTOS</v>
      </c>
      <c r="C429" s="9" t="s">
        <v>574</v>
      </c>
      <c r="D429" s="4" t="str">
        <f>"15059"</f>
        <v>15059</v>
      </c>
    </row>
    <row r="430" spans="1:4" x14ac:dyDescent="0.25">
      <c r="A430" s="4" t="s">
        <v>147</v>
      </c>
      <c r="B430" s="4" t="str">
        <f>"EDNALDO LIMA"</f>
        <v>EDNALDO LIMA</v>
      </c>
      <c r="C430" s="9" t="s">
        <v>575</v>
      </c>
      <c r="D430" s="4" t="str">
        <f>"15058"</f>
        <v>15058</v>
      </c>
    </row>
    <row r="431" spans="1:4" x14ac:dyDescent="0.25">
      <c r="A431" s="4" t="s">
        <v>147</v>
      </c>
      <c r="B431" s="4" t="str">
        <f>"EDUAN LUIZ SOUZA NEVES"</f>
        <v>EDUAN LUIZ SOUZA NEVES</v>
      </c>
      <c r="C431" s="9" t="s">
        <v>576</v>
      </c>
      <c r="D431" s="4" t="str">
        <f>"15056"</f>
        <v>15056</v>
      </c>
    </row>
    <row r="432" spans="1:4" x14ac:dyDescent="0.25">
      <c r="A432" s="4" t="s">
        <v>147</v>
      </c>
      <c r="B432" s="4" t="str">
        <f>"EDUARDO LUIZ NUNES NEVES"</f>
        <v>EDUARDO LUIZ NUNES NEVES</v>
      </c>
      <c r="C432" s="9" t="s">
        <v>577</v>
      </c>
      <c r="D432" s="4" t="str">
        <f>"15056"</f>
        <v>15056</v>
      </c>
    </row>
    <row r="433" spans="1:4" x14ac:dyDescent="0.25">
      <c r="A433" s="4" t="s">
        <v>147</v>
      </c>
      <c r="B433" s="4" t="str">
        <f>"EDVANDO SILVA DE SOUSA"</f>
        <v>EDVANDO SILVA DE SOUSA</v>
      </c>
      <c r="C433" s="9" t="s">
        <v>578</v>
      </c>
      <c r="D433" s="4" t="str">
        <f>"15058"</f>
        <v>15058</v>
      </c>
    </row>
    <row r="434" spans="1:4" x14ac:dyDescent="0.25">
      <c r="A434" s="4" t="s">
        <v>147</v>
      </c>
      <c r="B434" s="4" t="str">
        <f>"ELBERT ANTONIO BARBOSA DA SILVA"</f>
        <v>ELBERT ANTONIO BARBOSA DA SILVA</v>
      </c>
      <c r="C434" s="9" t="s">
        <v>579</v>
      </c>
      <c r="D434" s="4" t="str">
        <f>"15059"</f>
        <v>15059</v>
      </c>
    </row>
    <row r="435" spans="1:4" x14ac:dyDescent="0.25">
      <c r="A435" s="4" t="s">
        <v>147</v>
      </c>
      <c r="B435" s="4" t="str">
        <f>"ELIEZER GOMES DE SOUZA"</f>
        <v>ELIEZER GOMES DE SOUZA</v>
      </c>
      <c r="C435" s="9" t="s">
        <v>580</v>
      </c>
      <c r="D435" s="4" t="str">
        <f>"15059"</f>
        <v>15059</v>
      </c>
    </row>
    <row r="436" spans="1:4" x14ac:dyDescent="0.25">
      <c r="A436" s="4" t="s">
        <v>147</v>
      </c>
      <c r="B436" s="4" t="str">
        <f>"FABIOLA FERREIRA LIMA"</f>
        <v>FABIOLA FERREIRA LIMA</v>
      </c>
      <c r="C436" s="9" t="s">
        <v>581</v>
      </c>
      <c r="D436" s="4" t="str">
        <f>"15056"</f>
        <v>15056</v>
      </c>
    </row>
    <row r="437" spans="1:4" x14ac:dyDescent="0.25">
      <c r="A437" s="4" t="s">
        <v>147</v>
      </c>
      <c r="B437" s="4" t="str">
        <f>"FERNANDO ALVES BANDEIRA"</f>
        <v>FERNANDO ALVES BANDEIRA</v>
      </c>
      <c r="C437" s="9" t="s">
        <v>582</v>
      </c>
      <c r="D437" s="4" t="str">
        <f>"15058"</f>
        <v>15058</v>
      </c>
    </row>
    <row r="438" spans="1:4" x14ac:dyDescent="0.25">
      <c r="A438" s="4" t="s">
        <v>147</v>
      </c>
      <c r="B438" s="4" t="str">
        <f>"FRANCISCA SILVA DA VERA"</f>
        <v>FRANCISCA SILVA DA VERA</v>
      </c>
      <c r="C438" s="9" t="s">
        <v>583</v>
      </c>
      <c r="D438" s="4" t="str">
        <f>"15058"</f>
        <v>15058</v>
      </c>
    </row>
    <row r="439" spans="1:4" x14ac:dyDescent="0.25">
      <c r="A439" s="4" t="s">
        <v>147</v>
      </c>
      <c r="B439" s="4" t="str">
        <f>"FRANCISCO ANTONIO ALVES MONTEIRO"</f>
        <v>FRANCISCO ANTONIO ALVES MONTEIRO</v>
      </c>
      <c r="C439" s="9" t="s">
        <v>584</v>
      </c>
      <c r="D439" s="4" t="str">
        <f t="shared" ref="D439:D446" si="7">"15056"</f>
        <v>15056</v>
      </c>
    </row>
    <row r="440" spans="1:4" x14ac:dyDescent="0.25">
      <c r="A440" s="4" t="s">
        <v>147</v>
      </c>
      <c r="B440" s="4" t="str">
        <f>"FRANCISCO EDNARDO DE SOUSA LIMA"</f>
        <v>FRANCISCO EDNARDO DE SOUSA LIMA</v>
      </c>
      <c r="C440" s="9" t="s">
        <v>585</v>
      </c>
      <c r="D440" s="4" t="str">
        <f t="shared" si="7"/>
        <v>15056</v>
      </c>
    </row>
    <row r="441" spans="1:4" x14ac:dyDescent="0.25">
      <c r="A441" s="4" t="s">
        <v>147</v>
      </c>
      <c r="B441" s="4" t="str">
        <f>"GABRIEL BARRETO BARBOSA"</f>
        <v>GABRIEL BARRETO BARBOSA</v>
      </c>
      <c r="C441" s="9" t="s">
        <v>586</v>
      </c>
      <c r="D441" s="4" t="str">
        <f t="shared" si="7"/>
        <v>15056</v>
      </c>
    </row>
    <row r="442" spans="1:4" x14ac:dyDescent="0.25">
      <c r="A442" s="4" t="s">
        <v>147</v>
      </c>
      <c r="B442" s="4" t="str">
        <f>"GUSTAVO ADOLFO CALDAS DE LIMA"</f>
        <v>GUSTAVO ADOLFO CALDAS DE LIMA</v>
      </c>
      <c r="C442" s="9" t="s">
        <v>587</v>
      </c>
      <c r="D442" s="4" t="str">
        <f t="shared" si="7"/>
        <v>15056</v>
      </c>
    </row>
    <row r="443" spans="1:4" x14ac:dyDescent="0.25">
      <c r="A443" s="4" t="s">
        <v>147</v>
      </c>
      <c r="B443" s="4" t="str">
        <f>"GUTEMBERG CLEMENTINO DE ASSIS"</f>
        <v>GUTEMBERG CLEMENTINO DE ASSIS</v>
      </c>
      <c r="C443" s="9" t="s">
        <v>588</v>
      </c>
      <c r="D443" s="4" t="str">
        <f t="shared" si="7"/>
        <v>15056</v>
      </c>
    </row>
    <row r="444" spans="1:4" x14ac:dyDescent="0.25">
      <c r="A444" s="4" t="s">
        <v>147</v>
      </c>
      <c r="B444" s="4" t="str">
        <f>"HENRIQUE ALVES DOS SANTOS"</f>
        <v>HENRIQUE ALVES DOS SANTOS</v>
      </c>
      <c r="C444" s="9" t="s">
        <v>589</v>
      </c>
      <c r="D444" s="4" t="str">
        <f t="shared" si="7"/>
        <v>15056</v>
      </c>
    </row>
    <row r="445" spans="1:4" x14ac:dyDescent="0.25">
      <c r="A445" s="4" t="s">
        <v>147</v>
      </c>
      <c r="B445" s="4" t="str">
        <f>"HUGO HENRIQUE DOS SANTOS MOURA"</f>
        <v>HUGO HENRIQUE DOS SANTOS MOURA</v>
      </c>
      <c r="C445" s="9" t="s">
        <v>590</v>
      </c>
      <c r="D445" s="4" t="str">
        <f t="shared" si="7"/>
        <v>15056</v>
      </c>
    </row>
    <row r="446" spans="1:4" x14ac:dyDescent="0.25">
      <c r="A446" s="4" t="s">
        <v>147</v>
      </c>
      <c r="B446" s="4" t="str">
        <f>"IDENILSON FERREIRA DA SILVA"</f>
        <v>IDENILSON FERREIRA DA SILVA</v>
      </c>
      <c r="C446" s="9" t="s">
        <v>591</v>
      </c>
      <c r="D446" s="4" t="str">
        <f t="shared" si="7"/>
        <v>15056</v>
      </c>
    </row>
    <row r="447" spans="1:4" x14ac:dyDescent="0.25">
      <c r="A447" s="4" t="s">
        <v>147</v>
      </c>
      <c r="B447" s="4" t="str">
        <f>"IVAN SOUZA ALVES"</f>
        <v>IVAN SOUZA ALVES</v>
      </c>
      <c r="C447" s="9" t="s">
        <v>592</v>
      </c>
      <c r="D447" s="4" t="str">
        <f>"15058"</f>
        <v>15058</v>
      </c>
    </row>
    <row r="448" spans="1:4" x14ac:dyDescent="0.25">
      <c r="A448" s="4" t="s">
        <v>147</v>
      </c>
      <c r="B448" s="4" t="str">
        <f>"JAILSON DOS SANTOS CASSIANO"</f>
        <v>JAILSON DOS SANTOS CASSIANO</v>
      </c>
      <c r="C448" s="9" t="s">
        <v>593</v>
      </c>
      <c r="D448" s="4" t="str">
        <f>"15056"</f>
        <v>15056</v>
      </c>
    </row>
    <row r="449" spans="1:4" x14ac:dyDescent="0.25">
      <c r="A449" s="4" t="s">
        <v>147</v>
      </c>
      <c r="B449" s="4" t="str">
        <f>"JAILSON FERREIRA NUNES"</f>
        <v>JAILSON FERREIRA NUNES</v>
      </c>
      <c r="C449" s="9" t="s">
        <v>594</v>
      </c>
      <c r="D449" s="4" t="str">
        <f>"15056"</f>
        <v>15056</v>
      </c>
    </row>
    <row r="450" spans="1:4" x14ac:dyDescent="0.25">
      <c r="A450" s="4" t="s">
        <v>147</v>
      </c>
      <c r="B450" s="4" t="str">
        <f>"JANILSON TEIXEIRA SANTOS"</f>
        <v>JANILSON TEIXEIRA SANTOS</v>
      </c>
      <c r="C450" s="9" t="s">
        <v>595</v>
      </c>
      <c r="D450" s="4" t="str">
        <f>"15058"</f>
        <v>15058</v>
      </c>
    </row>
    <row r="451" spans="1:4" x14ac:dyDescent="0.25">
      <c r="A451" s="4" t="s">
        <v>147</v>
      </c>
      <c r="B451" s="4" t="str">
        <f>"JARDEL MENDES CAMILO"</f>
        <v>JARDEL MENDES CAMILO</v>
      </c>
      <c r="C451" s="9" t="s">
        <v>596</v>
      </c>
      <c r="D451" s="4" t="str">
        <f>"15059"</f>
        <v>15059</v>
      </c>
    </row>
    <row r="452" spans="1:4" x14ac:dyDescent="0.25">
      <c r="A452" s="4" t="s">
        <v>147</v>
      </c>
      <c r="B452" s="4" t="str">
        <f>"JOAO BATISTA BEZERRA DE OLIVEIRA"</f>
        <v>JOAO BATISTA BEZERRA DE OLIVEIRA</v>
      </c>
      <c r="C452" s="9" t="s">
        <v>597</v>
      </c>
      <c r="D452" s="4" t="str">
        <f>"15056"</f>
        <v>15056</v>
      </c>
    </row>
    <row r="453" spans="1:4" x14ac:dyDescent="0.25">
      <c r="A453" s="4" t="s">
        <v>147</v>
      </c>
      <c r="B453" s="4" t="str">
        <f>"JONATAS FELICIANO BATISTA"</f>
        <v>JONATAS FELICIANO BATISTA</v>
      </c>
      <c r="C453" s="9" t="s">
        <v>598</v>
      </c>
      <c r="D453" s="4" t="str">
        <f>"15059"</f>
        <v>15059</v>
      </c>
    </row>
    <row r="454" spans="1:4" x14ac:dyDescent="0.25">
      <c r="A454" s="4" t="s">
        <v>147</v>
      </c>
      <c r="B454" s="4" t="str">
        <f>"JOSE ANIZIO DOS SANTOS JUNIOR"</f>
        <v>JOSE ANIZIO DOS SANTOS JUNIOR</v>
      </c>
      <c r="C454" s="9" t="s">
        <v>599</v>
      </c>
      <c r="D454" s="4" t="str">
        <f>"15056"</f>
        <v>15056</v>
      </c>
    </row>
    <row r="455" spans="1:4" x14ac:dyDescent="0.25">
      <c r="A455" s="4" t="s">
        <v>147</v>
      </c>
      <c r="B455" s="4" t="str">
        <f>"JOSE RIBAMAR DOS SANTOS DE SOUSA"</f>
        <v>JOSE RIBAMAR DOS SANTOS DE SOUSA</v>
      </c>
      <c r="C455" s="9" t="s">
        <v>600</v>
      </c>
      <c r="D455" s="4" t="str">
        <f>"15056"</f>
        <v>15056</v>
      </c>
    </row>
    <row r="456" spans="1:4" x14ac:dyDescent="0.25">
      <c r="A456" s="4" t="s">
        <v>147</v>
      </c>
      <c r="B456" s="4" t="str">
        <f>"JULIANO NASCIMENTO BRAGA"</f>
        <v>JULIANO NASCIMENTO BRAGA</v>
      </c>
      <c r="C456" s="9" t="s">
        <v>601</v>
      </c>
      <c r="D456" s="4" t="str">
        <f>"15056"</f>
        <v>15056</v>
      </c>
    </row>
    <row r="457" spans="1:4" x14ac:dyDescent="0.25">
      <c r="A457" s="4" t="s">
        <v>147</v>
      </c>
      <c r="B457" s="4" t="str">
        <f>"JULIO CESAR RIBEIRO"</f>
        <v>JULIO CESAR RIBEIRO</v>
      </c>
      <c r="C457" s="9" t="s">
        <v>602</v>
      </c>
      <c r="D457" s="4" t="str">
        <f>"15056"</f>
        <v>15056</v>
      </c>
    </row>
    <row r="458" spans="1:4" x14ac:dyDescent="0.25">
      <c r="A458" s="4" t="s">
        <v>147</v>
      </c>
      <c r="B458" s="4" t="str">
        <f>"KLEBER WYNDERSON COSTA E SILVA"</f>
        <v>KLEBER WYNDERSON COSTA E SILVA</v>
      </c>
      <c r="C458" s="9" t="s">
        <v>603</v>
      </c>
      <c r="D458" s="4" t="str">
        <f>"15058"</f>
        <v>15058</v>
      </c>
    </row>
    <row r="459" spans="1:4" x14ac:dyDescent="0.25">
      <c r="A459" s="4" t="s">
        <v>147</v>
      </c>
      <c r="B459" s="4" t="str">
        <f>"KLEVERSON SILVA DOS SANTOS"</f>
        <v>KLEVERSON SILVA DOS SANTOS</v>
      </c>
      <c r="C459" s="9" t="s">
        <v>604</v>
      </c>
      <c r="D459" s="4" t="str">
        <f>"15058"</f>
        <v>15058</v>
      </c>
    </row>
    <row r="460" spans="1:4" x14ac:dyDescent="0.25">
      <c r="A460" s="4" t="s">
        <v>147</v>
      </c>
      <c r="B460" s="4" t="str">
        <f>"KLEZIA MARIA FERNANDES CABRAL G TORRES"</f>
        <v>KLEZIA MARIA FERNANDES CABRAL G TORRES</v>
      </c>
      <c r="C460" s="9" t="s">
        <v>605</v>
      </c>
      <c r="D460" s="4" t="str">
        <f>"15056"</f>
        <v>15056</v>
      </c>
    </row>
    <row r="461" spans="1:4" x14ac:dyDescent="0.25">
      <c r="A461" s="4" t="s">
        <v>147</v>
      </c>
      <c r="B461" s="4" t="str">
        <f>"LAILTON DE OLIVEIRA"</f>
        <v>LAILTON DE OLIVEIRA</v>
      </c>
      <c r="C461" s="9" t="s">
        <v>606</v>
      </c>
      <c r="D461" s="4" t="str">
        <f>"15056"</f>
        <v>15056</v>
      </c>
    </row>
    <row r="462" spans="1:4" x14ac:dyDescent="0.25">
      <c r="A462" s="4" t="s">
        <v>147</v>
      </c>
      <c r="B462" s="4" t="str">
        <f>"LAYZA DE MORAES REIS VIANA"</f>
        <v>LAYZA DE MORAES REIS VIANA</v>
      </c>
      <c r="C462" s="9" t="s">
        <v>607</v>
      </c>
      <c r="D462" s="4" t="str">
        <f>"15059"</f>
        <v>15059</v>
      </c>
    </row>
    <row r="463" spans="1:4" x14ac:dyDescent="0.25">
      <c r="A463" s="4" t="s">
        <v>147</v>
      </c>
      <c r="B463" s="4" t="str">
        <f>"LEANDRO ANTUNES FOGACA"</f>
        <v>LEANDRO ANTUNES FOGACA</v>
      </c>
      <c r="C463" s="9" t="s">
        <v>608</v>
      </c>
      <c r="D463" s="4" t="str">
        <f>"15058"</f>
        <v>15058</v>
      </c>
    </row>
    <row r="464" spans="1:4" x14ac:dyDescent="0.25">
      <c r="A464" s="4" t="s">
        <v>147</v>
      </c>
      <c r="B464" s="4" t="str">
        <f>"LEANDRO DA SILVA JORDAO"</f>
        <v>LEANDRO DA SILVA JORDAO</v>
      </c>
      <c r="C464" s="9" t="s">
        <v>609</v>
      </c>
      <c r="D464" s="4" t="str">
        <f>"15056"</f>
        <v>15056</v>
      </c>
    </row>
    <row r="465" spans="1:4" x14ac:dyDescent="0.25">
      <c r="A465" s="4" t="s">
        <v>147</v>
      </c>
      <c r="B465" s="4" t="str">
        <f>"LEONEL AMANCIO DA SILVA"</f>
        <v>LEONEL AMANCIO DA SILVA</v>
      </c>
      <c r="C465" s="9" t="s">
        <v>610</v>
      </c>
      <c r="D465" s="4" t="str">
        <f>"15059"</f>
        <v>15059</v>
      </c>
    </row>
    <row r="466" spans="1:4" x14ac:dyDescent="0.25">
      <c r="A466" s="4" t="s">
        <v>147</v>
      </c>
      <c r="B466" s="4" t="str">
        <f>"LUCAS DOS SANTOS SILVA"</f>
        <v>LUCAS DOS SANTOS SILVA</v>
      </c>
      <c r="C466" s="9" t="s">
        <v>611</v>
      </c>
      <c r="D466" s="4" t="str">
        <f>"15059"</f>
        <v>15059</v>
      </c>
    </row>
    <row r="467" spans="1:4" x14ac:dyDescent="0.25">
      <c r="A467" s="4" t="s">
        <v>147</v>
      </c>
      <c r="B467" s="4" t="str">
        <f>"MAIKY DAMASCENO DE MELO"</f>
        <v>MAIKY DAMASCENO DE MELO</v>
      </c>
      <c r="C467" s="9" t="s">
        <v>612</v>
      </c>
      <c r="D467" s="4" t="str">
        <f>"15056"</f>
        <v>15056</v>
      </c>
    </row>
    <row r="468" spans="1:4" x14ac:dyDescent="0.25">
      <c r="A468" s="4" t="s">
        <v>147</v>
      </c>
      <c r="B468" s="4" t="str">
        <f>"MARCELO SOARES SANTOS"</f>
        <v>MARCELO SOARES SANTOS</v>
      </c>
      <c r="C468" s="9" t="s">
        <v>613</v>
      </c>
      <c r="D468" s="4" t="str">
        <f>"15056"</f>
        <v>15056</v>
      </c>
    </row>
    <row r="469" spans="1:4" x14ac:dyDescent="0.25">
      <c r="A469" s="4" t="s">
        <v>147</v>
      </c>
      <c r="B469" s="4" t="str">
        <f>"MARCIA MARIA DOS S BRASILINO ANDRADE"</f>
        <v>MARCIA MARIA DOS S BRASILINO ANDRADE</v>
      </c>
      <c r="C469" s="9" t="s">
        <v>614</v>
      </c>
      <c r="D469" s="4" t="str">
        <f>"15056"</f>
        <v>15056</v>
      </c>
    </row>
    <row r="470" spans="1:4" x14ac:dyDescent="0.25">
      <c r="A470" s="4" t="s">
        <v>147</v>
      </c>
      <c r="B470" s="4" t="str">
        <f>"MARDONIO XAVIER ALVES JUNIOR"</f>
        <v>MARDONIO XAVIER ALVES JUNIOR</v>
      </c>
      <c r="C470" s="9" t="s">
        <v>615</v>
      </c>
      <c r="D470" s="4" t="str">
        <f>"15056"</f>
        <v>15056</v>
      </c>
    </row>
    <row r="471" spans="1:4" x14ac:dyDescent="0.25">
      <c r="A471" s="4" t="s">
        <v>147</v>
      </c>
      <c r="B471" s="4" t="str">
        <f>"MARTA HELENA MARTINS REZENDE"</f>
        <v>MARTA HELENA MARTINS REZENDE</v>
      </c>
      <c r="C471" s="9" t="s">
        <v>616</v>
      </c>
      <c r="D471" s="4" t="str">
        <f>"15058"</f>
        <v>15058</v>
      </c>
    </row>
    <row r="472" spans="1:4" x14ac:dyDescent="0.25">
      <c r="A472" s="4" t="s">
        <v>147</v>
      </c>
      <c r="B472" s="4" t="str">
        <f>"MATHEUS SOBRINHO DINIZ"</f>
        <v>MATHEUS SOBRINHO DINIZ</v>
      </c>
      <c r="C472" s="9" t="s">
        <v>617</v>
      </c>
      <c r="D472" s="4" t="str">
        <f>"15059"</f>
        <v>15059</v>
      </c>
    </row>
    <row r="473" spans="1:4" x14ac:dyDescent="0.25">
      <c r="A473" s="4" t="s">
        <v>147</v>
      </c>
      <c r="B473" s="4" t="str">
        <f>"NATANAEL DA SILVA NASCIMENTO"</f>
        <v>NATANAEL DA SILVA NASCIMENTO</v>
      </c>
      <c r="C473" s="9" t="s">
        <v>618</v>
      </c>
      <c r="D473" s="4" t="str">
        <f>"15059"</f>
        <v>15059</v>
      </c>
    </row>
    <row r="474" spans="1:4" x14ac:dyDescent="0.25">
      <c r="A474" s="4" t="s">
        <v>147</v>
      </c>
      <c r="B474" s="4" t="str">
        <f>"PAULO HENRIQUE FERREIRA DE MATOS"</f>
        <v>PAULO HENRIQUE FERREIRA DE MATOS</v>
      </c>
      <c r="C474" s="9" t="s">
        <v>619</v>
      </c>
      <c r="D474" s="4" t="str">
        <f>"15059"</f>
        <v>15059</v>
      </c>
    </row>
    <row r="475" spans="1:4" x14ac:dyDescent="0.25">
      <c r="A475" s="4" t="s">
        <v>147</v>
      </c>
      <c r="B475" s="4" t="str">
        <f>"PAULO LOUREIRO BRAGA"</f>
        <v>PAULO LOUREIRO BRAGA</v>
      </c>
      <c r="C475" s="9" t="s">
        <v>620</v>
      </c>
      <c r="D475" s="4" t="str">
        <f>"15058"</f>
        <v>15058</v>
      </c>
    </row>
    <row r="476" spans="1:4" x14ac:dyDescent="0.25">
      <c r="A476" s="4" t="s">
        <v>147</v>
      </c>
      <c r="B476" s="4" t="str">
        <f>"PEDRO ANGELO DA SILVA"</f>
        <v>PEDRO ANGELO DA SILVA</v>
      </c>
      <c r="C476" s="9" t="s">
        <v>621</v>
      </c>
      <c r="D476" s="4" t="str">
        <f>"15056"</f>
        <v>15056</v>
      </c>
    </row>
    <row r="477" spans="1:4" x14ac:dyDescent="0.25">
      <c r="A477" s="4" t="s">
        <v>147</v>
      </c>
      <c r="B477" s="4" t="str">
        <f>"PEDRO LIMA DUTRA"</f>
        <v>PEDRO LIMA DUTRA</v>
      </c>
      <c r="C477" s="9" t="s">
        <v>622</v>
      </c>
      <c r="D477" s="4" t="str">
        <f>"15058"</f>
        <v>15058</v>
      </c>
    </row>
    <row r="478" spans="1:4" x14ac:dyDescent="0.25">
      <c r="A478" s="4" t="s">
        <v>147</v>
      </c>
      <c r="B478" s="4" t="str">
        <f>"PLINIO JEAN FRANCA"</f>
        <v>PLINIO JEAN FRANCA</v>
      </c>
      <c r="C478" s="9" t="s">
        <v>623</v>
      </c>
      <c r="D478" s="4" t="str">
        <f>"15059"</f>
        <v>15059</v>
      </c>
    </row>
    <row r="479" spans="1:4" x14ac:dyDescent="0.25">
      <c r="A479" s="4" t="s">
        <v>147</v>
      </c>
      <c r="B479" s="4" t="str">
        <f>"RAMAO CABANHA VILLALTA"</f>
        <v>RAMAO CABANHA VILLALTA</v>
      </c>
      <c r="C479" s="9" t="s">
        <v>624</v>
      </c>
      <c r="D479" s="4" t="str">
        <f>"15058"</f>
        <v>15058</v>
      </c>
    </row>
    <row r="480" spans="1:4" x14ac:dyDescent="0.25">
      <c r="A480" s="4" t="s">
        <v>147</v>
      </c>
      <c r="B480" s="4" t="str">
        <f>"RAPHAEL LUIZ COELHO"</f>
        <v>RAPHAEL LUIZ COELHO</v>
      </c>
      <c r="C480" s="9" t="s">
        <v>625</v>
      </c>
      <c r="D480" s="4" t="str">
        <f>"15059"</f>
        <v>15059</v>
      </c>
    </row>
    <row r="481" spans="1:4" x14ac:dyDescent="0.25">
      <c r="A481" s="4" t="s">
        <v>147</v>
      </c>
      <c r="B481" s="4" t="str">
        <f>"RICARDO MARTINS DE CARVALHO"</f>
        <v>RICARDO MARTINS DE CARVALHO</v>
      </c>
      <c r="C481" s="9" t="s">
        <v>626</v>
      </c>
      <c r="D481" s="4" t="str">
        <f>"15059"</f>
        <v>15059</v>
      </c>
    </row>
    <row r="482" spans="1:4" x14ac:dyDescent="0.25">
      <c r="A482" s="4" t="s">
        <v>147</v>
      </c>
      <c r="B482" s="4" t="str">
        <f>"RODRIGO HOLANDA DE SOUZA"</f>
        <v>RODRIGO HOLANDA DE SOUZA</v>
      </c>
      <c r="C482" s="9" t="s">
        <v>627</v>
      </c>
      <c r="D482" s="4" t="str">
        <f>"15058"</f>
        <v>15058</v>
      </c>
    </row>
    <row r="483" spans="1:4" x14ac:dyDescent="0.25">
      <c r="A483" s="4" t="s">
        <v>147</v>
      </c>
      <c r="B483" s="4" t="str">
        <f>"RUDSON APARECIDO ORTIZ DO NASCIMENTO"</f>
        <v>RUDSON APARECIDO ORTIZ DO NASCIMENTO</v>
      </c>
      <c r="C483" s="9" t="s">
        <v>628</v>
      </c>
      <c r="D483" s="4" t="str">
        <f>"15058"</f>
        <v>15058</v>
      </c>
    </row>
    <row r="484" spans="1:4" x14ac:dyDescent="0.25">
      <c r="A484" s="4" t="s">
        <v>147</v>
      </c>
      <c r="B484" s="4" t="str">
        <f>"SUEDSON BRAZ DO PRADO"</f>
        <v>SUEDSON BRAZ DO PRADO</v>
      </c>
      <c r="C484" s="9" t="s">
        <v>629</v>
      </c>
      <c r="D484" s="4" t="str">
        <f>"15058"</f>
        <v>15058</v>
      </c>
    </row>
    <row r="485" spans="1:4" x14ac:dyDescent="0.25">
      <c r="A485" s="4" t="s">
        <v>147</v>
      </c>
      <c r="B485" s="4" t="str">
        <f>"THAYARA KETLEN FRANCISCO"</f>
        <v>THAYARA KETLEN FRANCISCO</v>
      </c>
      <c r="C485" s="9" t="s">
        <v>630</v>
      </c>
      <c r="D485" s="4" t="str">
        <f>"15059"</f>
        <v>15059</v>
      </c>
    </row>
    <row r="486" spans="1:4" x14ac:dyDescent="0.25">
      <c r="A486" s="4" t="s">
        <v>147</v>
      </c>
      <c r="B486" s="4" t="str">
        <f>"THIAGO AUGUSTO DE QUEIROZ MONTEIRO"</f>
        <v>THIAGO AUGUSTO DE QUEIROZ MONTEIRO</v>
      </c>
      <c r="C486" s="9" t="s">
        <v>631</v>
      </c>
      <c r="D486" s="4" t="str">
        <f>"15056"</f>
        <v>15056</v>
      </c>
    </row>
    <row r="487" spans="1:4" x14ac:dyDescent="0.25">
      <c r="A487" s="4" t="s">
        <v>147</v>
      </c>
      <c r="B487" s="4" t="str">
        <f>"TIAGO NARCISO DA SILVA"</f>
        <v>TIAGO NARCISO DA SILVA</v>
      </c>
      <c r="C487" s="9" t="s">
        <v>632</v>
      </c>
      <c r="D487" s="4" t="str">
        <f>"15056"</f>
        <v>15056</v>
      </c>
    </row>
    <row r="488" spans="1:4" x14ac:dyDescent="0.25">
      <c r="A488" s="4" t="s">
        <v>147</v>
      </c>
      <c r="B488" s="4" t="str">
        <f>"VANILSON DE ABREU MACIEL"</f>
        <v>VANILSON DE ABREU MACIEL</v>
      </c>
      <c r="C488" s="9" t="s">
        <v>633</v>
      </c>
      <c r="D488" s="4" t="str">
        <f>"15056"</f>
        <v>15056</v>
      </c>
    </row>
    <row r="489" spans="1:4" x14ac:dyDescent="0.25">
      <c r="A489" s="4" t="s">
        <v>147</v>
      </c>
      <c r="B489" s="4" t="str">
        <f>"WAGNER EDUARDO SALES SANTOS"</f>
        <v>WAGNER EDUARDO SALES SANTOS</v>
      </c>
      <c r="C489" s="9" t="s">
        <v>634</v>
      </c>
      <c r="D489" s="4" t="str">
        <f>"15058"</f>
        <v>15058</v>
      </c>
    </row>
    <row r="490" spans="1:4" x14ac:dyDescent="0.25">
      <c r="A490" s="4" t="s">
        <v>147</v>
      </c>
      <c r="B490" s="4" t="str">
        <f>"WANDERSON FRANCA FELIX"</f>
        <v>WANDERSON FRANCA FELIX</v>
      </c>
      <c r="C490" s="9" t="s">
        <v>635</v>
      </c>
      <c r="D490" s="4" t="str">
        <f>"15056"</f>
        <v>15056</v>
      </c>
    </row>
    <row r="491" spans="1:4" x14ac:dyDescent="0.25">
      <c r="A491" s="4" t="s">
        <v>147</v>
      </c>
      <c r="B491" s="4" t="str">
        <f>"WELLINGTON NUNES DA SILVA"</f>
        <v>WELLINGTON NUNES DA SILVA</v>
      </c>
      <c r="C491" s="9" t="s">
        <v>636</v>
      </c>
      <c r="D491" s="4" t="str">
        <f>"15058"</f>
        <v>15058</v>
      </c>
    </row>
    <row r="492" spans="1:4" x14ac:dyDescent="0.25">
      <c r="A492" s="4" t="s">
        <v>147</v>
      </c>
      <c r="B492" s="4" t="str">
        <f>"WILLIAN DA LUZ CARVALHO"</f>
        <v>WILLIAN DA LUZ CARVALHO</v>
      </c>
      <c r="C492" s="9" t="s">
        <v>637</v>
      </c>
      <c r="D492" s="4" t="str">
        <f>"15059"</f>
        <v>15059</v>
      </c>
    </row>
    <row r="493" spans="1:4" x14ac:dyDescent="0.25">
      <c r="A493" s="4" t="s">
        <v>147</v>
      </c>
      <c r="B493" s="4" t="str">
        <f>"YURI LIMA DE SANTANA"</f>
        <v>YURI LIMA DE SANTANA</v>
      </c>
      <c r="C493" s="9" t="s">
        <v>638</v>
      </c>
      <c r="D493" s="4" t="str">
        <f>"15056"</f>
        <v>15056</v>
      </c>
    </row>
  </sheetData>
  <autoFilter ref="A2:D493" xr:uid="{00000000-0001-0000-0000-000000000000}"/>
  <mergeCells count="1">
    <mergeCell ref="A1:D1"/>
  </mergeCells>
  <pageMargins left="0.78749999999999998" right="0.78749999999999998" top="0.88611111111111096" bottom="0.88611111111111096" header="0.78749999999999998" footer="0.78749999999999998"/>
  <pageSetup paperSize="9" orientation="landscape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B27A-3FFD-439E-B5F1-04A7B5320962}">
  <dimension ref="A1:D89"/>
  <sheetViews>
    <sheetView workbookViewId="0">
      <selection activeCell="F5" sqref="F5"/>
    </sheetView>
  </sheetViews>
  <sheetFormatPr defaultRowHeight="13.2" x14ac:dyDescent="0.25"/>
  <cols>
    <col min="2" max="2" width="43.77734375" bestFit="1" customWidth="1"/>
    <col min="3" max="3" width="16.6640625" customWidth="1"/>
    <col min="4" max="4" width="15" bestFit="1" customWidth="1"/>
  </cols>
  <sheetData>
    <row r="1" spans="1:4" x14ac:dyDescent="0.25">
      <c r="A1" s="8" t="str">
        <f>"Funcionários"</f>
        <v>Funcionários</v>
      </c>
      <c r="B1" s="8"/>
      <c r="C1" s="8"/>
      <c r="D1" s="8"/>
    </row>
    <row r="2" spans="1:4" x14ac:dyDescent="0.25">
      <c r="A2" s="3" t="s">
        <v>2</v>
      </c>
      <c r="B2" s="3" t="s">
        <v>0</v>
      </c>
      <c r="C2" s="2" t="s">
        <v>123</v>
      </c>
      <c r="D2" s="3" t="s">
        <v>1</v>
      </c>
    </row>
    <row r="3" spans="1:4" x14ac:dyDescent="0.25">
      <c r="A3" s="4" t="str">
        <f t="shared" ref="A3:A66" si="0">"104"</f>
        <v>104</v>
      </c>
      <c r="B3" s="4" t="str">
        <f>"ANDRE DOS SANTOS MARTINS"</f>
        <v>ANDRE DOS SANTOS MARTINS</v>
      </c>
      <c r="C3" s="4" t="s">
        <v>719</v>
      </c>
      <c r="D3" s="4" t="str">
        <f t="shared" ref="D3:D10" si="1">"22002"</f>
        <v>22002</v>
      </c>
    </row>
    <row r="4" spans="1:4" x14ac:dyDescent="0.25">
      <c r="A4" s="4" t="str">
        <f t="shared" si="0"/>
        <v>104</v>
      </c>
      <c r="B4" s="4" t="str">
        <f>"ARTHUR DE SOUZA AZEVEDO"</f>
        <v>ARTHUR DE SOUZA AZEVEDO</v>
      </c>
      <c r="C4" s="4" t="s">
        <v>720</v>
      </c>
      <c r="D4" s="4" t="str">
        <f t="shared" si="1"/>
        <v>22002</v>
      </c>
    </row>
    <row r="5" spans="1:4" x14ac:dyDescent="0.25">
      <c r="A5" s="4" t="str">
        <f t="shared" si="0"/>
        <v>104</v>
      </c>
      <c r="B5" s="4" t="str">
        <f>"DEYVID DE SANTANA RAMOS"</f>
        <v>DEYVID DE SANTANA RAMOS</v>
      </c>
      <c r="C5" s="4" t="s">
        <v>721</v>
      </c>
      <c r="D5" s="4" t="str">
        <f t="shared" si="1"/>
        <v>22002</v>
      </c>
    </row>
    <row r="6" spans="1:4" x14ac:dyDescent="0.25">
      <c r="A6" s="4" t="str">
        <f t="shared" si="0"/>
        <v>104</v>
      </c>
      <c r="B6" s="4" t="str">
        <f>"FABIOLA SANTOS"</f>
        <v>FABIOLA SANTOS</v>
      </c>
      <c r="C6" s="4" t="s">
        <v>722</v>
      </c>
      <c r="D6" s="4" t="str">
        <f t="shared" si="1"/>
        <v>22002</v>
      </c>
    </row>
    <row r="7" spans="1:4" x14ac:dyDescent="0.25">
      <c r="A7" s="4" t="str">
        <f t="shared" si="0"/>
        <v>104</v>
      </c>
      <c r="B7" s="4" t="str">
        <f>"JONAILSON DOS SANTOS DIAS"</f>
        <v>JONAILSON DOS SANTOS DIAS</v>
      </c>
      <c r="C7" s="4" t="s">
        <v>723</v>
      </c>
      <c r="D7" s="4" t="str">
        <f t="shared" si="1"/>
        <v>22002</v>
      </c>
    </row>
    <row r="8" spans="1:4" x14ac:dyDescent="0.25">
      <c r="A8" s="4" t="str">
        <f t="shared" si="0"/>
        <v>104</v>
      </c>
      <c r="B8" s="4" t="str">
        <f>"KAIQUE GONCALVES RAIMUNDO"</f>
        <v>KAIQUE GONCALVES RAIMUNDO</v>
      </c>
      <c r="C8" s="4" t="s">
        <v>724</v>
      </c>
      <c r="D8" s="4" t="str">
        <f t="shared" si="1"/>
        <v>22002</v>
      </c>
    </row>
    <row r="9" spans="1:4" x14ac:dyDescent="0.25">
      <c r="A9" s="4" t="str">
        <f t="shared" si="0"/>
        <v>104</v>
      </c>
      <c r="B9" s="4" t="str">
        <f>"LUIMA DA VITORIA ALMEIDA"</f>
        <v>LUIMA DA VITORIA ALMEIDA</v>
      </c>
      <c r="C9" s="4" t="s">
        <v>725</v>
      </c>
      <c r="D9" s="4" t="str">
        <f t="shared" si="1"/>
        <v>22002</v>
      </c>
    </row>
    <row r="10" spans="1:4" x14ac:dyDescent="0.25">
      <c r="A10" s="4" t="str">
        <f t="shared" ref="A10" si="2">"104"</f>
        <v>104</v>
      </c>
      <c r="B10" s="4" t="str">
        <f>"VENICIO DUARTE DE SOUZA"</f>
        <v>VENICIO DUARTE DE SOUZA</v>
      </c>
      <c r="C10" s="4" t="s">
        <v>726</v>
      </c>
      <c r="D10" s="4" t="str">
        <f t="shared" si="1"/>
        <v>22002</v>
      </c>
    </row>
    <row r="11" spans="1:4" x14ac:dyDescent="0.25">
      <c r="A11" s="4" t="str">
        <f t="shared" si="0"/>
        <v>104</v>
      </c>
      <c r="B11" s="4" t="str">
        <f>"ALBERTH FELLIPE GONZAGA"</f>
        <v>ALBERTH FELLIPE GONZAGA</v>
      </c>
      <c r="C11" s="4" t="s">
        <v>560</v>
      </c>
      <c r="D11" s="4" t="str">
        <f>"15058"</f>
        <v>15058</v>
      </c>
    </row>
    <row r="12" spans="1:4" x14ac:dyDescent="0.25">
      <c r="A12" s="4" t="str">
        <f t="shared" si="0"/>
        <v>104</v>
      </c>
      <c r="B12" s="4" t="str">
        <f>"ALEX FARIA DE SOUZA"</f>
        <v>ALEX FARIA DE SOUZA</v>
      </c>
      <c r="C12" s="4" t="s">
        <v>561</v>
      </c>
      <c r="D12" s="4" t="str">
        <f>"15059"</f>
        <v>15059</v>
      </c>
    </row>
    <row r="13" spans="1:4" x14ac:dyDescent="0.25">
      <c r="A13" s="4" t="str">
        <f t="shared" si="0"/>
        <v>104</v>
      </c>
      <c r="B13" s="4" t="str">
        <f>"ALEXANDRE GOMES VICENTE JUNIOR"</f>
        <v>ALEXANDRE GOMES VICENTE JUNIOR</v>
      </c>
      <c r="C13" s="4" t="s">
        <v>562</v>
      </c>
      <c r="D13" s="4" t="str">
        <f>"15059"</f>
        <v>15059</v>
      </c>
    </row>
    <row r="14" spans="1:4" x14ac:dyDescent="0.25">
      <c r="A14" s="4" t="str">
        <f t="shared" si="0"/>
        <v>104</v>
      </c>
      <c r="B14" s="4" t="str">
        <f>"ALEXSANDRO CORREIA DE JESUS FELIX"</f>
        <v>ALEXSANDRO CORREIA DE JESUS FELIX</v>
      </c>
      <c r="C14" s="4" t="s">
        <v>563</v>
      </c>
      <c r="D14" s="4" t="str">
        <f>"15059"</f>
        <v>15059</v>
      </c>
    </row>
    <row r="15" spans="1:4" x14ac:dyDescent="0.25">
      <c r="A15" s="4" t="str">
        <f t="shared" si="0"/>
        <v>104</v>
      </c>
      <c r="B15" s="4" t="str">
        <f>"ALEXSANDRO JOSE DA CONCEICAO SANTOS"</f>
        <v>ALEXSANDRO JOSE DA CONCEICAO SANTOS</v>
      </c>
      <c r="C15" s="4" t="s">
        <v>564</v>
      </c>
      <c r="D15" s="4" t="str">
        <f>"15056"</f>
        <v>15056</v>
      </c>
    </row>
    <row r="16" spans="1:4" x14ac:dyDescent="0.25">
      <c r="A16" s="4" t="str">
        <f t="shared" si="0"/>
        <v>104</v>
      </c>
      <c r="B16" s="4" t="str">
        <f>"ANA CAROLINA GLORIA DE FARIAS"</f>
        <v>ANA CAROLINA GLORIA DE FARIAS</v>
      </c>
      <c r="C16" s="4" t="s">
        <v>565</v>
      </c>
      <c r="D16" s="4" t="str">
        <f>"15058"</f>
        <v>15058</v>
      </c>
    </row>
    <row r="17" spans="1:4" x14ac:dyDescent="0.25">
      <c r="A17" s="4" t="str">
        <f t="shared" si="0"/>
        <v>104</v>
      </c>
      <c r="B17" s="4" t="str">
        <f>"BRUNO DE OLIVEIRA MOSCATO"</f>
        <v>BRUNO DE OLIVEIRA MOSCATO</v>
      </c>
      <c r="C17" s="4" t="s">
        <v>566</v>
      </c>
      <c r="D17" s="4" t="str">
        <f>"15058"</f>
        <v>15058</v>
      </c>
    </row>
    <row r="18" spans="1:4" x14ac:dyDescent="0.25">
      <c r="A18" s="4" t="str">
        <f t="shared" si="0"/>
        <v>104</v>
      </c>
      <c r="B18" s="4" t="str">
        <f>"CLEMERSON FERREIRA DA SILVA"</f>
        <v>CLEMERSON FERREIRA DA SILVA</v>
      </c>
      <c r="C18" s="4" t="s">
        <v>567</v>
      </c>
      <c r="D18" s="4" t="str">
        <f>"15056"</f>
        <v>15056</v>
      </c>
    </row>
    <row r="19" spans="1:4" x14ac:dyDescent="0.25">
      <c r="A19" s="4" t="str">
        <f t="shared" si="0"/>
        <v>104</v>
      </c>
      <c r="B19" s="4" t="str">
        <f>"DAIANE DOS SANTOS PRATA"</f>
        <v>DAIANE DOS SANTOS PRATA</v>
      </c>
      <c r="C19" s="4" t="s">
        <v>568</v>
      </c>
      <c r="D19" s="4" t="str">
        <f>"15058"</f>
        <v>15058</v>
      </c>
    </row>
    <row r="20" spans="1:4" x14ac:dyDescent="0.25">
      <c r="A20" s="4" t="str">
        <f t="shared" si="0"/>
        <v>104</v>
      </c>
      <c r="B20" s="4" t="str">
        <f>"DANIEL CICERO COUTO BORGES"</f>
        <v>DANIEL CICERO COUTO BORGES</v>
      </c>
      <c r="C20" s="4" t="s">
        <v>569</v>
      </c>
      <c r="D20" s="4" t="str">
        <f>"15056"</f>
        <v>15056</v>
      </c>
    </row>
    <row r="21" spans="1:4" x14ac:dyDescent="0.25">
      <c r="A21" s="4" t="str">
        <f t="shared" si="0"/>
        <v>104</v>
      </c>
      <c r="B21" s="4" t="str">
        <f>"DANIEL RODRIGUES GAMA"</f>
        <v>DANIEL RODRIGUES GAMA</v>
      </c>
      <c r="C21" s="4" t="s">
        <v>570</v>
      </c>
      <c r="D21" s="4" t="str">
        <f>"15056"</f>
        <v>15056</v>
      </c>
    </row>
    <row r="22" spans="1:4" x14ac:dyDescent="0.25">
      <c r="A22" s="4" t="str">
        <f t="shared" si="0"/>
        <v>104</v>
      </c>
      <c r="B22" s="4" t="str">
        <f>"DANILO DOS SANTOS MARTINS"</f>
        <v>DANILO DOS SANTOS MARTINS</v>
      </c>
      <c r="C22" s="4" t="s">
        <v>571</v>
      </c>
      <c r="D22" s="4" t="str">
        <f>"15056"</f>
        <v>15056</v>
      </c>
    </row>
    <row r="23" spans="1:4" x14ac:dyDescent="0.25">
      <c r="A23" s="4" t="str">
        <f t="shared" si="0"/>
        <v>104</v>
      </c>
      <c r="B23" s="4" t="str">
        <f>"DANILO MIRANDA SILVA"</f>
        <v>DANILO MIRANDA SILVA</v>
      </c>
      <c r="C23" s="4" t="s">
        <v>572</v>
      </c>
      <c r="D23" s="4" t="str">
        <f>"15056"</f>
        <v>15056</v>
      </c>
    </row>
    <row r="24" spans="1:4" x14ac:dyDescent="0.25">
      <c r="A24" s="4" t="str">
        <f t="shared" si="0"/>
        <v>104</v>
      </c>
      <c r="B24" s="4" t="str">
        <f>"DELMARIO BATISTA SAMPAIO"</f>
        <v>DELMARIO BATISTA SAMPAIO</v>
      </c>
      <c r="C24" s="4" t="s">
        <v>573</v>
      </c>
      <c r="D24" s="4" t="str">
        <f>"15056"</f>
        <v>15056</v>
      </c>
    </row>
    <row r="25" spans="1:4" x14ac:dyDescent="0.25">
      <c r="A25" s="4" t="str">
        <f t="shared" si="0"/>
        <v>104</v>
      </c>
      <c r="B25" s="4" t="str">
        <f>"DOUGLAS HENRIQUE PINTO DOS SANTOS"</f>
        <v>DOUGLAS HENRIQUE PINTO DOS SANTOS</v>
      </c>
      <c r="C25" s="4" t="s">
        <v>574</v>
      </c>
      <c r="D25" s="4" t="str">
        <f>"15059"</f>
        <v>15059</v>
      </c>
    </row>
    <row r="26" spans="1:4" x14ac:dyDescent="0.25">
      <c r="A26" s="4" t="str">
        <f t="shared" si="0"/>
        <v>104</v>
      </c>
      <c r="B26" s="4" t="str">
        <f>"EDNALDO LIMA"</f>
        <v>EDNALDO LIMA</v>
      </c>
      <c r="C26" s="4" t="s">
        <v>575</v>
      </c>
      <c r="D26" s="4" t="str">
        <f>"15058"</f>
        <v>15058</v>
      </c>
    </row>
    <row r="27" spans="1:4" x14ac:dyDescent="0.25">
      <c r="A27" s="4" t="str">
        <f t="shared" si="0"/>
        <v>104</v>
      </c>
      <c r="B27" s="4" t="str">
        <f>"EDUAN LUIZ SOUZA NEVES"</f>
        <v>EDUAN LUIZ SOUZA NEVES</v>
      </c>
      <c r="C27" s="4" t="s">
        <v>576</v>
      </c>
      <c r="D27" s="4" t="str">
        <f>"15056"</f>
        <v>15056</v>
      </c>
    </row>
    <row r="28" spans="1:4" x14ac:dyDescent="0.25">
      <c r="A28" s="4" t="str">
        <f t="shared" si="0"/>
        <v>104</v>
      </c>
      <c r="B28" s="4" t="str">
        <f>"EDUARDO LUIZ NUNES NEVES"</f>
        <v>EDUARDO LUIZ NUNES NEVES</v>
      </c>
      <c r="C28" s="4" t="s">
        <v>577</v>
      </c>
      <c r="D28" s="4" t="str">
        <f>"15056"</f>
        <v>15056</v>
      </c>
    </row>
    <row r="29" spans="1:4" x14ac:dyDescent="0.25">
      <c r="A29" s="4" t="str">
        <f t="shared" si="0"/>
        <v>104</v>
      </c>
      <c r="B29" s="4" t="str">
        <f>"EDVANDO SILVA DE SOUSA"</f>
        <v>EDVANDO SILVA DE SOUSA</v>
      </c>
      <c r="C29" s="4" t="s">
        <v>578</v>
      </c>
      <c r="D29" s="4" t="str">
        <f>"15058"</f>
        <v>15058</v>
      </c>
    </row>
    <row r="30" spans="1:4" x14ac:dyDescent="0.25">
      <c r="A30" s="4" t="str">
        <f t="shared" si="0"/>
        <v>104</v>
      </c>
      <c r="B30" s="4" t="str">
        <f>"ELBERT ANTONIO BARBOSA DA SILVA"</f>
        <v>ELBERT ANTONIO BARBOSA DA SILVA</v>
      </c>
      <c r="C30" s="4" t="s">
        <v>579</v>
      </c>
      <c r="D30" s="4" t="str">
        <f>"15059"</f>
        <v>15059</v>
      </c>
    </row>
    <row r="31" spans="1:4" x14ac:dyDescent="0.25">
      <c r="A31" s="4" t="str">
        <f t="shared" si="0"/>
        <v>104</v>
      </c>
      <c r="B31" s="4" t="str">
        <f>"ELIEZER GOMES DE SOUZA"</f>
        <v>ELIEZER GOMES DE SOUZA</v>
      </c>
      <c r="C31" s="4" t="s">
        <v>580</v>
      </c>
      <c r="D31" s="4" t="str">
        <f>"15059"</f>
        <v>15059</v>
      </c>
    </row>
    <row r="32" spans="1:4" x14ac:dyDescent="0.25">
      <c r="A32" s="4" t="str">
        <f t="shared" si="0"/>
        <v>104</v>
      </c>
      <c r="B32" s="4" t="str">
        <f>"FABIOLA FERREIRA LIMA"</f>
        <v>FABIOLA FERREIRA LIMA</v>
      </c>
      <c r="C32" s="4" t="s">
        <v>581</v>
      </c>
      <c r="D32" s="4" t="str">
        <f>"15056"</f>
        <v>15056</v>
      </c>
    </row>
    <row r="33" spans="1:4" x14ac:dyDescent="0.25">
      <c r="A33" s="4" t="str">
        <f t="shared" si="0"/>
        <v>104</v>
      </c>
      <c r="B33" s="4" t="str">
        <f>"FERNANDO ALVES BANDEIRA"</f>
        <v>FERNANDO ALVES BANDEIRA</v>
      </c>
      <c r="C33" s="4" t="s">
        <v>582</v>
      </c>
      <c r="D33" s="4" t="str">
        <f>"15058"</f>
        <v>15058</v>
      </c>
    </row>
    <row r="34" spans="1:4" x14ac:dyDescent="0.25">
      <c r="A34" s="4" t="str">
        <f t="shared" si="0"/>
        <v>104</v>
      </c>
      <c r="B34" s="4" t="str">
        <f>"FRANCISCA SILVA DA VERA"</f>
        <v>FRANCISCA SILVA DA VERA</v>
      </c>
      <c r="C34" s="4" t="s">
        <v>583</v>
      </c>
      <c r="D34" s="4" t="str">
        <f>"15058"</f>
        <v>15058</v>
      </c>
    </row>
    <row r="35" spans="1:4" x14ac:dyDescent="0.25">
      <c r="A35" s="4" t="str">
        <f t="shared" si="0"/>
        <v>104</v>
      </c>
      <c r="B35" s="4" t="str">
        <f>"FRANCISCO ANTONIO ALVES MONTEIRO"</f>
        <v>FRANCISCO ANTONIO ALVES MONTEIRO</v>
      </c>
      <c r="C35" s="4" t="s">
        <v>584</v>
      </c>
      <c r="D35" s="4" t="str">
        <f t="shared" ref="D35:D42" si="3">"15056"</f>
        <v>15056</v>
      </c>
    </row>
    <row r="36" spans="1:4" x14ac:dyDescent="0.25">
      <c r="A36" s="4" t="str">
        <f t="shared" si="0"/>
        <v>104</v>
      </c>
      <c r="B36" s="4" t="str">
        <f>"FRANCISCO EDNARDO DE SOUSA LIMA"</f>
        <v>FRANCISCO EDNARDO DE SOUSA LIMA</v>
      </c>
      <c r="C36" s="4" t="s">
        <v>585</v>
      </c>
      <c r="D36" s="4" t="str">
        <f t="shared" si="3"/>
        <v>15056</v>
      </c>
    </row>
    <row r="37" spans="1:4" x14ac:dyDescent="0.25">
      <c r="A37" s="4" t="str">
        <f t="shared" si="0"/>
        <v>104</v>
      </c>
      <c r="B37" s="4" t="str">
        <f>"GABRIEL BARRETO BARBOSA"</f>
        <v>GABRIEL BARRETO BARBOSA</v>
      </c>
      <c r="C37" s="4" t="s">
        <v>586</v>
      </c>
      <c r="D37" s="4" t="str">
        <f t="shared" si="3"/>
        <v>15056</v>
      </c>
    </row>
    <row r="38" spans="1:4" x14ac:dyDescent="0.25">
      <c r="A38" s="4" t="str">
        <f t="shared" si="0"/>
        <v>104</v>
      </c>
      <c r="B38" s="4" t="str">
        <f>"GUSTAVO ADOLFO CALDAS DE LIMA"</f>
        <v>GUSTAVO ADOLFO CALDAS DE LIMA</v>
      </c>
      <c r="C38" s="4" t="s">
        <v>587</v>
      </c>
      <c r="D38" s="4" t="str">
        <f t="shared" si="3"/>
        <v>15056</v>
      </c>
    </row>
    <row r="39" spans="1:4" x14ac:dyDescent="0.25">
      <c r="A39" s="4" t="str">
        <f t="shared" si="0"/>
        <v>104</v>
      </c>
      <c r="B39" s="4" t="str">
        <f>"GUTEMBERG CLEMENTINO DE ASSIS"</f>
        <v>GUTEMBERG CLEMENTINO DE ASSIS</v>
      </c>
      <c r="C39" s="4" t="s">
        <v>588</v>
      </c>
      <c r="D39" s="4" t="str">
        <f t="shared" si="3"/>
        <v>15056</v>
      </c>
    </row>
    <row r="40" spans="1:4" x14ac:dyDescent="0.25">
      <c r="A40" s="4" t="str">
        <f t="shared" si="0"/>
        <v>104</v>
      </c>
      <c r="B40" s="4" t="str">
        <f>"HENRIQUE ALVES DOS SANTOS"</f>
        <v>HENRIQUE ALVES DOS SANTOS</v>
      </c>
      <c r="C40" s="4" t="s">
        <v>589</v>
      </c>
      <c r="D40" s="4" t="str">
        <f t="shared" si="3"/>
        <v>15056</v>
      </c>
    </row>
    <row r="41" spans="1:4" x14ac:dyDescent="0.25">
      <c r="A41" s="4" t="str">
        <f t="shared" si="0"/>
        <v>104</v>
      </c>
      <c r="B41" s="4" t="str">
        <f>"HUGO HENRIQUE DOS SANTOS MOURA"</f>
        <v>HUGO HENRIQUE DOS SANTOS MOURA</v>
      </c>
      <c r="C41" s="4" t="s">
        <v>590</v>
      </c>
      <c r="D41" s="4" t="str">
        <f t="shared" si="3"/>
        <v>15056</v>
      </c>
    </row>
    <row r="42" spans="1:4" x14ac:dyDescent="0.25">
      <c r="A42" s="4" t="str">
        <f t="shared" si="0"/>
        <v>104</v>
      </c>
      <c r="B42" s="4" t="str">
        <f>"IDENILSON FERREIRA DA SILVA"</f>
        <v>IDENILSON FERREIRA DA SILVA</v>
      </c>
      <c r="C42" s="4" t="s">
        <v>591</v>
      </c>
      <c r="D42" s="4" t="str">
        <f t="shared" si="3"/>
        <v>15056</v>
      </c>
    </row>
    <row r="43" spans="1:4" x14ac:dyDescent="0.25">
      <c r="A43" s="4" t="str">
        <f t="shared" si="0"/>
        <v>104</v>
      </c>
      <c r="B43" s="4" t="str">
        <f>"IVAN SOUZA ALVES"</f>
        <v>IVAN SOUZA ALVES</v>
      </c>
      <c r="C43" s="4" t="s">
        <v>592</v>
      </c>
      <c r="D43" s="4" t="str">
        <f>"15058"</f>
        <v>15058</v>
      </c>
    </row>
    <row r="44" spans="1:4" x14ac:dyDescent="0.25">
      <c r="A44" s="4" t="str">
        <f t="shared" si="0"/>
        <v>104</v>
      </c>
      <c r="B44" s="4" t="str">
        <f>"JAILSON DOS SANTOS CASSIANO"</f>
        <v>JAILSON DOS SANTOS CASSIANO</v>
      </c>
      <c r="C44" s="4" t="s">
        <v>593</v>
      </c>
      <c r="D44" s="4" t="str">
        <f>"15056"</f>
        <v>15056</v>
      </c>
    </row>
    <row r="45" spans="1:4" x14ac:dyDescent="0.25">
      <c r="A45" s="4" t="str">
        <f t="shared" si="0"/>
        <v>104</v>
      </c>
      <c r="B45" s="4" t="str">
        <f>"JAILSON FERREIRA NUNES"</f>
        <v>JAILSON FERREIRA NUNES</v>
      </c>
      <c r="C45" s="4" t="s">
        <v>594</v>
      </c>
      <c r="D45" s="4" t="str">
        <f>"15056"</f>
        <v>15056</v>
      </c>
    </row>
    <row r="46" spans="1:4" x14ac:dyDescent="0.25">
      <c r="A46" s="4" t="str">
        <f t="shared" si="0"/>
        <v>104</v>
      </c>
      <c r="B46" s="4" t="str">
        <f>"JANILSON TEIXEIRA SANTOS"</f>
        <v>JANILSON TEIXEIRA SANTOS</v>
      </c>
      <c r="C46" s="4" t="s">
        <v>595</v>
      </c>
      <c r="D46" s="4" t="str">
        <f>"15058"</f>
        <v>15058</v>
      </c>
    </row>
    <row r="47" spans="1:4" x14ac:dyDescent="0.25">
      <c r="A47" s="4" t="str">
        <f t="shared" si="0"/>
        <v>104</v>
      </c>
      <c r="B47" s="4" t="str">
        <f>"JARDEL MENDES CAMILO"</f>
        <v>JARDEL MENDES CAMILO</v>
      </c>
      <c r="C47" s="4" t="s">
        <v>596</v>
      </c>
      <c r="D47" s="4" t="str">
        <f>"15059"</f>
        <v>15059</v>
      </c>
    </row>
    <row r="48" spans="1:4" x14ac:dyDescent="0.25">
      <c r="A48" s="4" t="str">
        <f t="shared" si="0"/>
        <v>104</v>
      </c>
      <c r="B48" s="4" t="str">
        <f>"JOAO BATISTA BEZERRA DE OLIVEIRA"</f>
        <v>JOAO BATISTA BEZERRA DE OLIVEIRA</v>
      </c>
      <c r="C48" s="4" t="s">
        <v>597</v>
      </c>
      <c r="D48" s="4" t="str">
        <f>"15056"</f>
        <v>15056</v>
      </c>
    </row>
    <row r="49" spans="1:4" x14ac:dyDescent="0.25">
      <c r="A49" s="4" t="str">
        <f t="shared" si="0"/>
        <v>104</v>
      </c>
      <c r="B49" s="4" t="str">
        <f>"JONATAS FELICIANO BATISTA"</f>
        <v>JONATAS FELICIANO BATISTA</v>
      </c>
      <c r="C49" s="4" t="s">
        <v>598</v>
      </c>
      <c r="D49" s="4" t="str">
        <f>"15059"</f>
        <v>15059</v>
      </c>
    </row>
    <row r="50" spans="1:4" x14ac:dyDescent="0.25">
      <c r="A50" s="4" t="str">
        <f t="shared" si="0"/>
        <v>104</v>
      </c>
      <c r="B50" s="4" t="str">
        <f>"JOSE ANIZIO DOS SANTOS JUNIOR"</f>
        <v>JOSE ANIZIO DOS SANTOS JUNIOR</v>
      </c>
      <c r="C50" s="4" t="s">
        <v>599</v>
      </c>
      <c r="D50" s="4" t="str">
        <f>"15056"</f>
        <v>15056</v>
      </c>
    </row>
    <row r="51" spans="1:4" x14ac:dyDescent="0.25">
      <c r="A51" s="4" t="str">
        <f t="shared" si="0"/>
        <v>104</v>
      </c>
      <c r="B51" s="4" t="str">
        <f>"JOSE RIBAMAR DOS SANTOS DE SOUSA"</f>
        <v>JOSE RIBAMAR DOS SANTOS DE SOUSA</v>
      </c>
      <c r="C51" s="4" t="s">
        <v>600</v>
      </c>
      <c r="D51" s="4" t="str">
        <f>"15056"</f>
        <v>15056</v>
      </c>
    </row>
    <row r="52" spans="1:4" x14ac:dyDescent="0.25">
      <c r="A52" s="4" t="str">
        <f t="shared" si="0"/>
        <v>104</v>
      </c>
      <c r="B52" s="4" t="str">
        <f>"JULIANO NASCIMENTO BRAGA"</f>
        <v>JULIANO NASCIMENTO BRAGA</v>
      </c>
      <c r="C52" s="4" t="s">
        <v>601</v>
      </c>
      <c r="D52" s="4" t="str">
        <f>"15056"</f>
        <v>15056</v>
      </c>
    </row>
    <row r="53" spans="1:4" x14ac:dyDescent="0.25">
      <c r="A53" s="4" t="str">
        <f t="shared" si="0"/>
        <v>104</v>
      </c>
      <c r="B53" s="4" t="str">
        <f>"JULIO CESAR RIBEIRO"</f>
        <v>JULIO CESAR RIBEIRO</v>
      </c>
      <c r="C53" s="4" t="s">
        <v>602</v>
      </c>
      <c r="D53" s="4" t="str">
        <f>"15056"</f>
        <v>15056</v>
      </c>
    </row>
    <row r="54" spans="1:4" x14ac:dyDescent="0.25">
      <c r="A54" s="4" t="str">
        <f t="shared" si="0"/>
        <v>104</v>
      </c>
      <c r="B54" s="4" t="str">
        <f>"KLEBER WYNDERSON COSTA E SILVA"</f>
        <v>KLEBER WYNDERSON COSTA E SILVA</v>
      </c>
      <c r="C54" s="4" t="s">
        <v>603</v>
      </c>
      <c r="D54" s="4" t="str">
        <f>"15058"</f>
        <v>15058</v>
      </c>
    </row>
    <row r="55" spans="1:4" x14ac:dyDescent="0.25">
      <c r="A55" s="4" t="str">
        <f t="shared" si="0"/>
        <v>104</v>
      </c>
      <c r="B55" s="4" t="str">
        <f>"KLEVERSON SILVA DOS SANTOS"</f>
        <v>KLEVERSON SILVA DOS SANTOS</v>
      </c>
      <c r="C55" s="4" t="s">
        <v>604</v>
      </c>
      <c r="D55" s="4" t="str">
        <f>"15058"</f>
        <v>15058</v>
      </c>
    </row>
    <row r="56" spans="1:4" x14ac:dyDescent="0.25">
      <c r="A56" s="4" t="str">
        <f t="shared" si="0"/>
        <v>104</v>
      </c>
      <c r="B56" s="4" t="str">
        <f>"KLEZIA MARIA FERNANDES CABRAL G TORRES"</f>
        <v>KLEZIA MARIA FERNANDES CABRAL G TORRES</v>
      </c>
      <c r="C56" s="4" t="s">
        <v>605</v>
      </c>
      <c r="D56" s="4" t="str">
        <f>"15056"</f>
        <v>15056</v>
      </c>
    </row>
    <row r="57" spans="1:4" x14ac:dyDescent="0.25">
      <c r="A57" s="4" t="str">
        <f t="shared" si="0"/>
        <v>104</v>
      </c>
      <c r="B57" s="4" t="str">
        <f>"LAILTON DE OLIVEIRA"</f>
        <v>LAILTON DE OLIVEIRA</v>
      </c>
      <c r="C57" s="4" t="s">
        <v>606</v>
      </c>
      <c r="D57" s="4" t="str">
        <f>"15056"</f>
        <v>15056</v>
      </c>
    </row>
    <row r="58" spans="1:4" x14ac:dyDescent="0.25">
      <c r="A58" s="4" t="str">
        <f t="shared" si="0"/>
        <v>104</v>
      </c>
      <c r="B58" s="4" t="str">
        <f>"LAYZA DE MORAES REIS VIANA"</f>
        <v>LAYZA DE MORAES REIS VIANA</v>
      </c>
      <c r="C58" s="4" t="s">
        <v>607</v>
      </c>
      <c r="D58" s="4" t="str">
        <f>"15059"</f>
        <v>15059</v>
      </c>
    </row>
    <row r="59" spans="1:4" x14ac:dyDescent="0.25">
      <c r="A59" s="4" t="str">
        <f t="shared" si="0"/>
        <v>104</v>
      </c>
      <c r="B59" s="4" t="str">
        <f>"LEANDRO ANTUNES FOGACA"</f>
        <v>LEANDRO ANTUNES FOGACA</v>
      </c>
      <c r="C59" s="4" t="s">
        <v>608</v>
      </c>
      <c r="D59" s="4" t="str">
        <f>"15058"</f>
        <v>15058</v>
      </c>
    </row>
    <row r="60" spans="1:4" x14ac:dyDescent="0.25">
      <c r="A60" s="4" t="str">
        <f t="shared" si="0"/>
        <v>104</v>
      </c>
      <c r="B60" s="4" t="str">
        <f>"LEANDRO DA SILVA JORDAO"</f>
        <v>LEANDRO DA SILVA JORDAO</v>
      </c>
      <c r="C60" s="4" t="s">
        <v>609</v>
      </c>
      <c r="D60" s="4" t="str">
        <f>"15056"</f>
        <v>15056</v>
      </c>
    </row>
    <row r="61" spans="1:4" x14ac:dyDescent="0.25">
      <c r="A61" s="4" t="str">
        <f t="shared" si="0"/>
        <v>104</v>
      </c>
      <c r="B61" s="4" t="str">
        <f>"LEONEL AMANCIO DA SILVA"</f>
        <v>LEONEL AMANCIO DA SILVA</v>
      </c>
      <c r="C61" s="4" t="s">
        <v>610</v>
      </c>
      <c r="D61" s="4" t="str">
        <f>"15059"</f>
        <v>15059</v>
      </c>
    </row>
    <row r="62" spans="1:4" x14ac:dyDescent="0.25">
      <c r="A62" s="4" t="str">
        <f t="shared" si="0"/>
        <v>104</v>
      </c>
      <c r="B62" s="4" t="str">
        <f>"LUCAS DOS SANTOS SILVA"</f>
        <v>LUCAS DOS SANTOS SILVA</v>
      </c>
      <c r="C62" s="4" t="s">
        <v>611</v>
      </c>
      <c r="D62" s="4" t="str">
        <f>"15059"</f>
        <v>15059</v>
      </c>
    </row>
    <row r="63" spans="1:4" x14ac:dyDescent="0.25">
      <c r="A63" s="4" t="str">
        <f t="shared" si="0"/>
        <v>104</v>
      </c>
      <c r="B63" s="4" t="str">
        <f>"MAIKY DAMASCENO DE MELO"</f>
        <v>MAIKY DAMASCENO DE MELO</v>
      </c>
      <c r="C63" s="4" t="s">
        <v>612</v>
      </c>
      <c r="D63" s="4" t="str">
        <f>"15056"</f>
        <v>15056</v>
      </c>
    </row>
    <row r="64" spans="1:4" x14ac:dyDescent="0.25">
      <c r="A64" s="4" t="str">
        <f t="shared" si="0"/>
        <v>104</v>
      </c>
      <c r="B64" s="4" t="str">
        <f>"MARCELO SOARES SANTOS"</f>
        <v>MARCELO SOARES SANTOS</v>
      </c>
      <c r="C64" s="4" t="s">
        <v>613</v>
      </c>
      <c r="D64" s="4" t="str">
        <f>"15056"</f>
        <v>15056</v>
      </c>
    </row>
    <row r="65" spans="1:4" x14ac:dyDescent="0.25">
      <c r="A65" s="4" t="str">
        <f t="shared" si="0"/>
        <v>104</v>
      </c>
      <c r="B65" s="4" t="str">
        <f>"MARCIA MARIA DOS S BRASILINO ANDRADE"</f>
        <v>MARCIA MARIA DOS S BRASILINO ANDRADE</v>
      </c>
      <c r="C65" s="4" t="s">
        <v>614</v>
      </c>
      <c r="D65" s="4" t="str">
        <f>"15056"</f>
        <v>15056</v>
      </c>
    </row>
    <row r="66" spans="1:4" x14ac:dyDescent="0.25">
      <c r="A66" s="4" t="str">
        <f t="shared" si="0"/>
        <v>104</v>
      </c>
      <c r="B66" s="4" t="str">
        <f>"MARDONIO XAVIER ALVES JUNIOR"</f>
        <v>MARDONIO XAVIER ALVES JUNIOR</v>
      </c>
      <c r="C66" s="4" t="s">
        <v>615</v>
      </c>
      <c r="D66" s="4" t="str">
        <f>"15056"</f>
        <v>15056</v>
      </c>
    </row>
    <row r="67" spans="1:4" x14ac:dyDescent="0.25">
      <c r="A67" s="4" t="str">
        <f t="shared" ref="A67:A89" si="4">"104"</f>
        <v>104</v>
      </c>
      <c r="B67" s="4" t="str">
        <f>"MARTA HELENA MARTINS REZENDE"</f>
        <v>MARTA HELENA MARTINS REZENDE</v>
      </c>
      <c r="C67" s="4" t="s">
        <v>616</v>
      </c>
      <c r="D67" s="4" t="str">
        <f>"15058"</f>
        <v>15058</v>
      </c>
    </row>
    <row r="68" spans="1:4" x14ac:dyDescent="0.25">
      <c r="A68" s="4" t="str">
        <f t="shared" si="4"/>
        <v>104</v>
      </c>
      <c r="B68" s="4" t="str">
        <f>"MATHEUS SOBRINHO DINIZ"</f>
        <v>MATHEUS SOBRINHO DINIZ</v>
      </c>
      <c r="C68" s="4" t="s">
        <v>617</v>
      </c>
      <c r="D68" s="4" t="str">
        <f>"15059"</f>
        <v>15059</v>
      </c>
    </row>
    <row r="69" spans="1:4" x14ac:dyDescent="0.25">
      <c r="A69" s="4" t="str">
        <f t="shared" si="4"/>
        <v>104</v>
      </c>
      <c r="B69" s="4" t="str">
        <f>"NATANAEL DA SILVA NASCIMENTO"</f>
        <v>NATANAEL DA SILVA NASCIMENTO</v>
      </c>
      <c r="C69" s="4" t="s">
        <v>618</v>
      </c>
      <c r="D69" s="4" t="str">
        <f>"15059"</f>
        <v>15059</v>
      </c>
    </row>
    <row r="70" spans="1:4" x14ac:dyDescent="0.25">
      <c r="A70" s="4" t="str">
        <f t="shared" si="4"/>
        <v>104</v>
      </c>
      <c r="B70" s="4" t="str">
        <f>"PAULO HENRIQUE FERREIRA DE MATOS"</f>
        <v>PAULO HENRIQUE FERREIRA DE MATOS</v>
      </c>
      <c r="C70" s="4" t="s">
        <v>619</v>
      </c>
      <c r="D70" s="4" t="str">
        <f>"15059"</f>
        <v>15059</v>
      </c>
    </row>
    <row r="71" spans="1:4" x14ac:dyDescent="0.25">
      <c r="A71" s="4" t="str">
        <f t="shared" si="4"/>
        <v>104</v>
      </c>
      <c r="B71" s="4" t="str">
        <f>"PAULO LOUREIRO BRAGA"</f>
        <v>PAULO LOUREIRO BRAGA</v>
      </c>
      <c r="C71" s="4" t="s">
        <v>620</v>
      </c>
      <c r="D71" s="4" t="str">
        <f>"15058"</f>
        <v>15058</v>
      </c>
    </row>
    <row r="72" spans="1:4" x14ac:dyDescent="0.25">
      <c r="A72" s="4" t="str">
        <f t="shared" si="4"/>
        <v>104</v>
      </c>
      <c r="B72" s="4" t="str">
        <f>"PEDRO ANGELO DA SILVA"</f>
        <v>PEDRO ANGELO DA SILVA</v>
      </c>
      <c r="C72" s="4" t="s">
        <v>621</v>
      </c>
      <c r="D72" s="4" t="str">
        <f>"15056"</f>
        <v>15056</v>
      </c>
    </row>
    <row r="73" spans="1:4" x14ac:dyDescent="0.25">
      <c r="A73" s="4" t="str">
        <f t="shared" si="4"/>
        <v>104</v>
      </c>
      <c r="B73" s="4" t="str">
        <f>"PEDRO LIMA DUTRA"</f>
        <v>PEDRO LIMA DUTRA</v>
      </c>
      <c r="C73" s="4" t="s">
        <v>622</v>
      </c>
      <c r="D73" s="4" t="str">
        <f>"15058"</f>
        <v>15058</v>
      </c>
    </row>
    <row r="74" spans="1:4" x14ac:dyDescent="0.25">
      <c r="A74" s="4" t="str">
        <f t="shared" si="4"/>
        <v>104</v>
      </c>
      <c r="B74" s="4" t="str">
        <f>"PLINIO JEAN FRANCA"</f>
        <v>PLINIO JEAN FRANCA</v>
      </c>
      <c r="C74" s="4" t="s">
        <v>623</v>
      </c>
      <c r="D74" s="4" t="str">
        <f>"15059"</f>
        <v>15059</v>
      </c>
    </row>
    <row r="75" spans="1:4" x14ac:dyDescent="0.25">
      <c r="A75" s="4" t="str">
        <f t="shared" si="4"/>
        <v>104</v>
      </c>
      <c r="B75" s="4" t="str">
        <f>"RAMAO CABANHA VILLALTA"</f>
        <v>RAMAO CABANHA VILLALTA</v>
      </c>
      <c r="C75" s="4" t="s">
        <v>624</v>
      </c>
      <c r="D75" s="4" t="str">
        <f>"15058"</f>
        <v>15058</v>
      </c>
    </row>
    <row r="76" spans="1:4" x14ac:dyDescent="0.25">
      <c r="A76" s="4" t="str">
        <f t="shared" si="4"/>
        <v>104</v>
      </c>
      <c r="B76" s="4" t="str">
        <f>"RAPHAEL LUIZ COELHO"</f>
        <v>RAPHAEL LUIZ COELHO</v>
      </c>
      <c r="C76" s="4" t="s">
        <v>625</v>
      </c>
      <c r="D76" s="4" t="str">
        <f>"15059"</f>
        <v>15059</v>
      </c>
    </row>
    <row r="77" spans="1:4" x14ac:dyDescent="0.25">
      <c r="A77" s="4" t="str">
        <f t="shared" si="4"/>
        <v>104</v>
      </c>
      <c r="B77" s="4" t="str">
        <f>"RICARDO MARTINS DE CARVALHO"</f>
        <v>RICARDO MARTINS DE CARVALHO</v>
      </c>
      <c r="C77" s="4" t="s">
        <v>626</v>
      </c>
      <c r="D77" s="4" t="str">
        <f>"15059"</f>
        <v>15059</v>
      </c>
    </row>
    <row r="78" spans="1:4" x14ac:dyDescent="0.25">
      <c r="A78" s="4" t="str">
        <f t="shared" si="4"/>
        <v>104</v>
      </c>
      <c r="B78" s="4" t="str">
        <f>"RODRIGO HOLANDA DE SOUZA"</f>
        <v>RODRIGO HOLANDA DE SOUZA</v>
      </c>
      <c r="C78" s="4" t="s">
        <v>627</v>
      </c>
      <c r="D78" s="4" t="str">
        <f>"15058"</f>
        <v>15058</v>
      </c>
    </row>
    <row r="79" spans="1:4" x14ac:dyDescent="0.25">
      <c r="A79" s="4" t="str">
        <f t="shared" si="4"/>
        <v>104</v>
      </c>
      <c r="B79" s="4" t="str">
        <f>"RUDSON APARECIDO ORTIZ DO NASCIMENTO"</f>
        <v>RUDSON APARECIDO ORTIZ DO NASCIMENTO</v>
      </c>
      <c r="C79" s="4" t="s">
        <v>628</v>
      </c>
      <c r="D79" s="4" t="str">
        <f>"15058"</f>
        <v>15058</v>
      </c>
    </row>
    <row r="80" spans="1:4" x14ac:dyDescent="0.25">
      <c r="A80" s="4" t="str">
        <f t="shared" si="4"/>
        <v>104</v>
      </c>
      <c r="B80" s="4" t="str">
        <f>"SUEDSON BRAZ DO PRADO"</f>
        <v>SUEDSON BRAZ DO PRADO</v>
      </c>
      <c r="C80" s="4" t="s">
        <v>629</v>
      </c>
      <c r="D80" s="4" t="str">
        <f>"15058"</f>
        <v>15058</v>
      </c>
    </row>
    <row r="81" spans="1:4" x14ac:dyDescent="0.25">
      <c r="A81" s="4" t="str">
        <f t="shared" si="4"/>
        <v>104</v>
      </c>
      <c r="B81" s="4" t="str">
        <f>"THAYARA KETLEN FRANCISCO"</f>
        <v>THAYARA KETLEN FRANCISCO</v>
      </c>
      <c r="C81" s="4" t="s">
        <v>630</v>
      </c>
      <c r="D81" s="4" t="str">
        <f>"15059"</f>
        <v>15059</v>
      </c>
    </row>
    <row r="82" spans="1:4" x14ac:dyDescent="0.25">
      <c r="A82" s="4" t="str">
        <f t="shared" si="4"/>
        <v>104</v>
      </c>
      <c r="B82" s="4" t="str">
        <f>"THIAGO AUGUSTO DE QUEIROZ MONTEIRO"</f>
        <v>THIAGO AUGUSTO DE QUEIROZ MONTEIRO</v>
      </c>
      <c r="C82" s="4" t="s">
        <v>631</v>
      </c>
      <c r="D82" s="4" t="str">
        <f>"15056"</f>
        <v>15056</v>
      </c>
    </row>
    <row r="83" spans="1:4" x14ac:dyDescent="0.25">
      <c r="A83" s="4" t="str">
        <f t="shared" si="4"/>
        <v>104</v>
      </c>
      <c r="B83" s="4" t="str">
        <f>"TIAGO NARCISO DA SILVA"</f>
        <v>TIAGO NARCISO DA SILVA</v>
      </c>
      <c r="C83" s="4" t="s">
        <v>632</v>
      </c>
      <c r="D83" s="4" t="str">
        <f>"15056"</f>
        <v>15056</v>
      </c>
    </row>
    <row r="84" spans="1:4" x14ac:dyDescent="0.25">
      <c r="A84" s="4" t="str">
        <f t="shared" si="4"/>
        <v>104</v>
      </c>
      <c r="B84" s="4" t="str">
        <f>"VANILSON DE ABREU MACIEL"</f>
        <v>VANILSON DE ABREU MACIEL</v>
      </c>
      <c r="C84" s="4" t="s">
        <v>633</v>
      </c>
      <c r="D84" s="4" t="str">
        <f>"15056"</f>
        <v>15056</v>
      </c>
    </row>
    <row r="85" spans="1:4" x14ac:dyDescent="0.25">
      <c r="A85" s="4" t="str">
        <f t="shared" si="4"/>
        <v>104</v>
      </c>
      <c r="B85" s="4" t="str">
        <f>"WAGNER EDUARDO SALES SANTOS"</f>
        <v>WAGNER EDUARDO SALES SANTOS</v>
      </c>
      <c r="C85" s="4" t="s">
        <v>634</v>
      </c>
      <c r="D85" s="4" t="str">
        <f>"15058"</f>
        <v>15058</v>
      </c>
    </row>
    <row r="86" spans="1:4" x14ac:dyDescent="0.25">
      <c r="A86" s="4" t="str">
        <f t="shared" si="4"/>
        <v>104</v>
      </c>
      <c r="B86" s="4" t="str">
        <f>"WANDERSON FRANCA FELIX"</f>
        <v>WANDERSON FRANCA FELIX</v>
      </c>
      <c r="C86" s="4" t="s">
        <v>635</v>
      </c>
      <c r="D86" s="4" t="str">
        <f>"15056"</f>
        <v>15056</v>
      </c>
    </row>
    <row r="87" spans="1:4" x14ac:dyDescent="0.25">
      <c r="A87" s="4" t="str">
        <f t="shared" si="4"/>
        <v>104</v>
      </c>
      <c r="B87" s="4" t="str">
        <f>"WELLINGTON NUNES DA SILVA"</f>
        <v>WELLINGTON NUNES DA SILVA</v>
      </c>
      <c r="C87" s="4" t="s">
        <v>636</v>
      </c>
      <c r="D87" s="4" t="str">
        <f>"15058"</f>
        <v>15058</v>
      </c>
    </row>
    <row r="88" spans="1:4" x14ac:dyDescent="0.25">
      <c r="A88" s="4" t="str">
        <f t="shared" si="4"/>
        <v>104</v>
      </c>
      <c r="B88" s="4" t="str">
        <f>"WILLIAN DA LUZ CARVALHO"</f>
        <v>WILLIAN DA LUZ CARVALHO</v>
      </c>
      <c r="C88" s="4" t="s">
        <v>637</v>
      </c>
      <c r="D88" s="4" t="str">
        <f>"15059"</f>
        <v>15059</v>
      </c>
    </row>
    <row r="89" spans="1:4" x14ac:dyDescent="0.25">
      <c r="A89" s="4" t="str">
        <f t="shared" si="4"/>
        <v>104</v>
      </c>
      <c r="B89" s="4" t="str">
        <f>"YURI LIMA DE SANTANA"</f>
        <v>YURI LIMA DE SANTANA</v>
      </c>
      <c r="C89" s="4" t="s">
        <v>638</v>
      </c>
      <c r="D89" s="4" t="str">
        <f>"15056"</f>
        <v>15056</v>
      </c>
    </row>
  </sheetData>
  <autoFilter ref="A2:D89" xr:uid="{53E0B27A-3FFD-439E-B5F1-04A7B5320962}"/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8CCA-A42B-4F98-ABE9-66F8A14A99BE}">
  <dimension ref="A1:D82"/>
  <sheetViews>
    <sheetView workbookViewId="0">
      <selection activeCell="E3" sqref="E3"/>
    </sheetView>
  </sheetViews>
  <sheetFormatPr defaultRowHeight="13.2" x14ac:dyDescent="0.25"/>
  <cols>
    <col min="2" max="2" width="43.44140625" bestFit="1" customWidth="1"/>
    <col min="3" max="3" width="32.44140625" style="7" customWidth="1"/>
    <col min="4" max="4" width="12.77734375" bestFit="1" customWidth="1"/>
  </cols>
  <sheetData>
    <row r="1" spans="1:4" x14ac:dyDescent="0.25">
      <c r="A1" s="8" t="str">
        <f>"Funcionários"</f>
        <v>Funcionários</v>
      </c>
      <c r="B1" s="8"/>
      <c r="C1" s="8"/>
      <c r="D1" s="8"/>
    </row>
    <row r="2" spans="1:4" x14ac:dyDescent="0.25">
      <c r="A2" s="3" t="s">
        <v>2</v>
      </c>
      <c r="B2" s="3" t="s">
        <v>0</v>
      </c>
      <c r="C2" s="2" t="s">
        <v>123</v>
      </c>
      <c r="D2" s="3" t="s">
        <v>1</v>
      </c>
    </row>
    <row r="3" spans="1:4" x14ac:dyDescent="0.25">
      <c r="A3" s="4" t="str">
        <f t="shared" ref="A3:A66" si="0">"106"</f>
        <v>106</v>
      </c>
      <c r="B3" s="4" t="str">
        <f>"ADENILDA DOS SANTOS FERREIRA"</f>
        <v>ADENILDA DOS SANTOS FERREIRA</v>
      </c>
      <c r="C3" s="9" t="s">
        <v>639</v>
      </c>
      <c r="D3" s="4" t="str">
        <f>"32002"</f>
        <v>32002</v>
      </c>
    </row>
    <row r="4" spans="1:4" x14ac:dyDescent="0.25">
      <c r="A4" s="4" t="str">
        <f t="shared" si="0"/>
        <v>106</v>
      </c>
      <c r="B4" s="4" t="str">
        <f>"ADRIEL SILVA DE OLIVEIRA"</f>
        <v>ADRIEL SILVA DE OLIVEIRA</v>
      </c>
      <c r="C4" s="9" t="s">
        <v>640</v>
      </c>
      <c r="D4" s="4" t="str">
        <f>"32003"</f>
        <v>32003</v>
      </c>
    </row>
    <row r="5" spans="1:4" x14ac:dyDescent="0.25">
      <c r="A5" s="4" t="str">
        <f t="shared" si="0"/>
        <v>106</v>
      </c>
      <c r="B5" s="4" t="str">
        <f>"ALEXANDRE ARRUDA ALVES"</f>
        <v>ALEXANDRE ARRUDA ALVES</v>
      </c>
      <c r="C5" s="9" t="s">
        <v>641</v>
      </c>
      <c r="D5" s="4" t="str">
        <f>"32100"</f>
        <v>32100</v>
      </c>
    </row>
    <row r="6" spans="1:4" x14ac:dyDescent="0.25">
      <c r="A6" s="4" t="str">
        <f t="shared" si="0"/>
        <v>106</v>
      </c>
      <c r="B6" s="4" t="str">
        <f>"ALINE PEREIRA DOS SANTOS"</f>
        <v>ALINE PEREIRA DOS SANTOS</v>
      </c>
      <c r="C6" s="9" t="s">
        <v>642</v>
      </c>
      <c r="D6" s="4" t="str">
        <f>"32002"</f>
        <v>32002</v>
      </c>
    </row>
    <row r="7" spans="1:4" x14ac:dyDescent="0.25">
      <c r="A7" s="4" t="str">
        <f t="shared" si="0"/>
        <v>106</v>
      </c>
      <c r="B7" s="4" t="str">
        <f>"ANA CLARA DE SA ROCHA"</f>
        <v>ANA CLARA DE SA ROCHA</v>
      </c>
      <c r="C7" s="9" t="s">
        <v>643</v>
      </c>
      <c r="D7" s="4" t="str">
        <f>"32002"</f>
        <v>32002</v>
      </c>
    </row>
    <row r="8" spans="1:4" x14ac:dyDescent="0.25">
      <c r="A8" s="4" t="str">
        <f t="shared" si="0"/>
        <v>106</v>
      </c>
      <c r="B8" s="4" t="str">
        <f>"ANA PAULA NEVES DOS SANTOS"</f>
        <v>ANA PAULA NEVES DOS SANTOS</v>
      </c>
      <c r="C8" s="9" t="s">
        <v>644</v>
      </c>
      <c r="D8" s="4" t="str">
        <f>"32007"</f>
        <v>32007</v>
      </c>
    </row>
    <row r="9" spans="1:4" x14ac:dyDescent="0.25">
      <c r="A9" s="4" t="str">
        <f t="shared" si="0"/>
        <v>106</v>
      </c>
      <c r="B9" s="4" t="str">
        <f>"BRUNO DA SILVA RODRIGUES"</f>
        <v>BRUNO DA SILVA RODRIGUES</v>
      </c>
      <c r="C9" s="7" t="s">
        <v>645</v>
      </c>
      <c r="D9" s="4" t="str">
        <f>"32002"</f>
        <v>32002</v>
      </c>
    </row>
    <row r="10" spans="1:4" x14ac:dyDescent="0.25">
      <c r="A10" s="4" t="str">
        <f t="shared" si="0"/>
        <v>106</v>
      </c>
      <c r="B10" s="4" t="str">
        <f>"BRUNO MARQUES DE JESUS"</f>
        <v>BRUNO MARQUES DE JESUS</v>
      </c>
      <c r="C10" s="9" t="s">
        <v>646</v>
      </c>
      <c r="D10" s="4" t="str">
        <f>"32001"</f>
        <v>32001</v>
      </c>
    </row>
    <row r="11" spans="1:4" x14ac:dyDescent="0.25">
      <c r="A11" s="4" t="str">
        <f t="shared" si="0"/>
        <v>106</v>
      </c>
      <c r="B11" s="4" t="str">
        <f>"CERIZIA ANTONIETA NASCIMENTO"</f>
        <v>CERIZIA ANTONIETA NASCIMENTO</v>
      </c>
      <c r="C11" s="9" t="s">
        <v>647</v>
      </c>
      <c r="D11" s="4" t="str">
        <f>"32003"</f>
        <v>32003</v>
      </c>
    </row>
    <row r="12" spans="1:4" x14ac:dyDescent="0.25">
      <c r="A12" s="4" t="str">
        <f t="shared" si="0"/>
        <v>106</v>
      </c>
      <c r="B12" s="4" t="str">
        <f>"CLARICE NASCIMENTO SANTOS"</f>
        <v>CLARICE NASCIMENTO SANTOS</v>
      </c>
      <c r="C12" s="9" t="s">
        <v>648</v>
      </c>
      <c r="D12" s="4" t="str">
        <f>"32003"</f>
        <v>32003</v>
      </c>
    </row>
    <row r="13" spans="1:4" x14ac:dyDescent="0.25">
      <c r="A13" s="4" t="str">
        <f t="shared" si="0"/>
        <v>106</v>
      </c>
      <c r="B13" s="4" t="str">
        <f>"CLAUDEMIR TEIXEIRA ESPINDOLA"</f>
        <v>CLAUDEMIR TEIXEIRA ESPINDOLA</v>
      </c>
      <c r="C13" s="9" t="s">
        <v>649</v>
      </c>
      <c r="D13" s="4" t="str">
        <f>"34001"</f>
        <v>34001</v>
      </c>
    </row>
    <row r="14" spans="1:4" x14ac:dyDescent="0.25">
      <c r="A14" s="4" t="str">
        <f t="shared" si="0"/>
        <v>106</v>
      </c>
      <c r="B14" s="4" t="str">
        <f>"CLEIDE FRANCA DE SOUZA"</f>
        <v>CLEIDE FRANCA DE SOUZA</v>
      </c>
      <c r="C14" s="9" t="s">
        <v>650</v>
      </c>
      <c r="D14" s="4" t="str">
        <f>"32002"</f>
        <v>32002</v>
      </c>
    </row>
    <row r="15" spans="1:4" x14ac:dyDescent="0.25">
      <c r="A15" s="4" t="str">
        <f t="shared" si="0"/>
        <v>106</v>
      </c>
      <c r="B15" s="4" t="str">
        <f>"CLEONICE SANTOS"</f>
        <v>CLEONICE SANTOS</v>
      </c>
      <c r="C15" s="7" t="s">
        <v>651</v>
      </c>
      <c r="D15" s="4" t="str">
        <f>"32003"</f>
        <v>32003</v>
      </c>
    </row>
    <row r="16" spans="1:4" x14ac:dyDescent="0.25">
      <c r="A16" s="4" t="str">
        <f t="shared" si="0"/>
        <v>106</v>
      </c>
      <c r="B16" s="4" t="str">
        <f>"CRISTIAN NOGUEIRA SANTOS"</f>
        <v>CRISTIAN NOGUEIRA SANTOS</v>
      </c>
      <c r="C16" s="9" t="s">
        <v>652</v>
      </c>
      <c r="D16" s="4" t="str">
        <f>"34001"</f>
        <v>34001</v>
      </c>
    </row>
    <row r="17" spans="1:4" x14ac:dyDescent="0.25">
      <c r="A17" s="4" t="str">
        <f t="shared" si="0"/>
        <v>106</v>
      </c>
      <c r="B17" s="4" t="str">
        <f>"DAIANA SILVA SANTOS"</f>
        <v>DAIANA SILVA SANTOS</v>
      </c>
      <c r="C17" s="9" t="s">
        <v>653</v>
      </c>
      <c r="D17" s="4" t="str">
        <f>"32007"</f>
        <v>32007</v>
      </c>
    </row>
    <row r="18" spans="1:4" x14ac:dyDescent="0.25">
      <c r="A18" s="4" t="str">
        <f t="shared" si="0"/>
        <v>106</v>
      </c>
      <c r="B18" s="4" t="str">
        <f>"DALVINA MARIA FERREIRA DE SOUZA SOARES"</f>
        <v>DALVINA MARIA FERREIRA DE SOUZA SOARES</v>
      </c>
      <c r="C18" s="9" t="s">
        <v>654</v>
      </c>
      <c r="D18" s="4" t="str">
        <f>"34001"</f>
        <v>34001</v>
      </c>
    </row>
    <row r="19" spans="1:4" x14ac:dyDescent="0.25">
      <c r="A19" s="4" t="str">
        <f t="shared" si="0"/>
        <v>106</v>
      </c>
      <c r="B19" s="4" t="str">
        <f>"DANIEL GOMES DE OLIVEIRA"</f>
        <v>DANIEL GOMES DE OLIVEIRA</v>
      </c>
      <c r="C19" s="9" t="s">
        <v>655</v>
      </c>
      <c r="D19" s="4" t="str">
        <f>"32002"</f>
        <v>32002</v>
      </c>
    </row>
    <row r="20" spans="1:4" x14ac:dyDescent="0.25">
      <c r="A20" s="4" t="str">
        <f t="shared" si="0"/>
        <v>106</v>
      </c>
      <c r="B20" s="4" t="str">
        <f>"DANIELA DE OLIVEIRA"</f>
        <v>DANIELA DE OLIVEIRA</v>
      </c>
      <c r="C20" s="9" t="s">
        <v>656</v>
      </c>
      <c r="D20" s="4" t="str">
        <f>"32003"</f>
        <v>32003</v>
      </c>
    </row>
    <row r="21" spans="1:4" x14ac:dyDescent="0.25">
      <c r="A21" s="4" t="str">
        <f t="shared" si="0"/>
        <v>106</v>
      </c>
      <c r="B21" s="4" t="str">
        <f>"DANIELA DE SOUZA ARANHAS"</f>
        <v>DANIELA DE SOUZA ARANHAS</v>
      </c>
      <c r="C21" s="9" t="s">
        <v>657</v>
      </c>
      <c r="D21" s="4" t="str">
        <f>"32007"</f>
        <v>32007</v>
      </c>
    </row>
    <row r="22" spans="1:4" x14ac:dyDescent="0.25">
      <c r="A22" s="4" t="str">
        <f t="shared" si="0"/>
        <v>106</v>
      </c>
      <c r="B22" s="4" t="str">
        <f>"DAYANA ALVES NUNES"</f>
        <v>DAYANA ALVES NUNES</v>
      </c>
      <c r="C22" s="9" t="s">
        <v>658</v>
      </c>
      <c r="D22" s="4" t="str">
        <f>"32007"</f>
        <v>32007</v>
      </c>
    </row>
    <row r="23" spans="1:4" x14ac:dyDescent="0.25">
      <c r="A23" s="4" t="str">
        <f t="shared" si="0"/>
        <v>106</v>
      </c>
      <c r="B23" s="4" t="str">
        <f>"DENISE MORAIS OLIVEIRA"</f>
        <v>DENISE MORAIS OLIVEIRA</v>
      </c>
      <c r="C23" s="9" t="s">
        <v>659</v>
      </c>
      <c r="D23" s="4" t="str">
        <f>"34001"</f>
        <v>34001</v>
      </c>
    </row>
    <row r="24" spans="1:4" x14ac:dyDescent="0.25">
      <c r="A24" s="4" t="str">
        <f t="shared" si="0"/>
        <v>106</v>
      </c>
      <c r="B24" s="4" t="str">
        <f>"DEOCLECIANO VICENTE ROQUE"</f>
        <v>DEOCLECIANO VICENTE ROQUE</v>
      </c>
      <c r="C24" s="9" t="s">
        <v>660</v>
      </c>
      <c r="D24" s="4" t="str">
        <f>"32003"</f>
        <v>32003</v>
      </c>
    </row>
    <row r="25" spans="1:4" x14ac:dyDescent="0.25">
      <c r="A25" s="4" t="str">
        <f t="shared" si="0"/>
        <v>106</v>
      </c>
      <c r="B25" s="4" t="str">
        <f>"EDJANE MORAIS DA SILVA"</f>
        <v>EDJANE MORAIS DA SILVA</v>
      </c>
      <c r="C25" s="9" t="s">
        <v>661</v>
      </c>
      <c r="D25" s="4" t="str">
        <f>"32002"</f>
        <v>32002</v>
      </c>
    </row>
    <row r="26" spans="1:4" x14ac:dyDescent="0.25">
      <c r="A26" s="4" t="str">
        <f t="shared" si="0"/>
        <v>106</v>
      </c>
      <c r="B26" s="4" t="str">
        <f>"EDSON SANTOS ALMEIDA JUNIOR"</f>
        <v>EDSON SANTOS ALMEIDA JUNIOR</v>
      </c>
      <c r="C26" s="9" t="s">
        <v>662</v>
      </c>
      <c r="D26" s="4" t="str">
        <f>"32100"</f>
        <v>32100</v>
      </c>
    </row>
    <row r="27" spans="1:4" x14ac:dyDescent="0.25">
      <c r="A27" s="4" t="str">
        <f t="shared" si="0"/>
        <v>106</v>
      </c>
      <c r="B27" s="4" t="str">
        <f>"ERIVALDO ALVES ALVARENGA ARAUJO"</f>
        <v>ERIVALDO ALVES ALVARENGA ARAUJO</v>
      </c>
      <c r="C27" s="9" t="s">
        <v>663</v>
      </c>
      <c r="D27" s="4" t="str">
        <f>"32003"</f>
        <v>32003</v>
      </c>
    </row>
    <row r="28" spans="1:4" x14ac:dyDescent="0.25">
      <c r="A28" s="4" t="str">
        <f t="shared" si="0"/>
        <v>106</v>
      </c>
      <c r="B28" s="4" t="str">
        <f>"ESTER NUNES DE SANTANA"</f>
        <v>ESTER NUNES DE SANTANA</v>
      </c>
      <c r="C28" s="9" t="s">
        <v>664</v>
      </c>
      <c r="D28" s="4" t="str">
        <f>"32002"</f>
        <v>32002</v>
      </c>
    </row>
    <row r="29" spans="1:4" x14ac:dyDescent="0.25">
      <c r="A29" s="4" t="str">
        <f t="shared" si="0"/>
        <v>106</v>
      </c>
      <c r="B29" s="4" t="str">
        <f>"FABIO MIRANDA DE SOUZA"</f>
        <v>FABIO MIRANDA DE SOUZA</v>
      </c>
      <c r="C29" s="9" t="s">
        <v>665</v>
      </c>
      <c r="D29" s="4" t="str">
        <f>"32003"</f>
        <v>32003</v>
      </c>
    </row>
    <row r="30" spans="1:4" x14ac:dyDescent="0.25">
      <c r="A30" s="4" t="str">
        <f t="shared" si="0"/>
        <v>106</v>
      </c>
      <c r="B30" s="4" t="str">
        <f>"FERNANDO DE BRITO ALMEIDA"</f>
        <v>FERNANDO DE BRITO ALMEIDA</v>
      </c>
      <c r="C30" s="9" t="s">
        <v>666</v>
      </c>
      <c r="D30" s="4" t="str">
        <f>"32002"</f>
        <v>32002</v>
      </c>
    </row>
    <row r="31" spans="1:4" x14ac:dyDescent="0.25">
      <c r="A31" s="4" t="str">
        <f t="shared" si="0"/>
        <v>106</v>
      </c>
      <c r="B31" s="4" t="str">
        <f>"GABRIEL JUNIOR PEREIRA DA SILVA"</f>
        <v>GABRIEL JUNIOR PEREIRA DA SILVA</v>
      </c>
      <c r="C31" s="9" t="s">
        <v>667</v>
      </c>
      <c r="D31" s="4" t="str">
        <f>"32002"</f>
        <v>32002</v>
      </c>
    </row>
    <row r="32" spans="1:4" x14ac:dyDescent="0.25">
      <c r="A32" s="4" t="str">
        <f t="shared" si="0"/>
        <v>106</v>
      </c>
      <c r="B32" s="4" t="str">
        <f>"GABRIEL SARDI SERPA"</f>
        <v>GABRIEL SARDI SERPA</v>
      </c>
      <c r="C32" s="9" t="s">
        <v>668</v>
      </c>
      <c r="D32" s="4" t="str">
        <f>"34001"</f>
        <v>34001</v>
      </c>
    </row>
    <row r="33" spans="1:4" x14ac:dyDescent="0.25">
      <c r="A33" s="4" t="str">
        <f t="shared" si="0"/>
        <v>106</v>
      </c>
      <c r="B33" s="4" t="str">
        <f>"GEISEANE BARROS SANTOS"</f>
        <v>GEISEANE BARROS SANTOS</v>
      </c>
      <c r="C33" s="9" t="s">
        <v>669</v>
      </c>
      <c r="D33" s="4" t="str">
        <f>"32007"</f>
        <v>32007</v>
      </c>
    </row>
    <row r="34" spans="1:4" x14ac:dyDescent="0.25">
      <c r="A34" s="4" t="str">
        <f t="shared" si="0"/>
        <v>106</v>
      </c>
      <c r="B34" s="4" t="str">
        <f>"GENIELE COSTA GOMES"</f>
        <v>GENIELE COSTA GOMES</v>
      </c>
      <c r="C34" s="9" t="s">
        <v>670</v>
      </c>
      <c r="D34" s="4" t="str">
        <f>"34001"</f>
        <v>34001</v>
      </c>
    </row>
    <row r="35" spans="1:4" x14ac:dyDescent="0.25">
      <c r="A35" s="4" t="str">
        <f t="shared" si="0"/>
        <v>106</v>
      </c>
      <c r="B35" s="4" t="str">
        <f>"GEOVANE DOS SANTOS LAUREANO"</f>
        <v>GEOVANE DOS SANTOS LAUREANO</v>
      </c>
      <c r="C35" s="9" t="s">
        <v>671</v>
      </c>
      <c r="D35" s="4" t="str">
        <f>"32003"</f>
        <v>32003</v>
      </c>
    </row>
    <row r="36" spans="1:4" x14ac:dyDescent="0.25">
      <c r="A36" s="4" t="str">
        <f t="shared" si="0"/>
        <v>106</v>
      </c>
      <c r="B36" s="4" t="str">
        <f>"GESSICA SANTOS FERREIRA"</f>
        <v>GESSICA SANTOS FERREIRA</v>
      </c>
      <c r="C36" s="9" t="s">
        <v>672</v>
      </c>
      <c r="D36" s="4" t="str">
        <f>"32007"</f>
        <v>32007</v>
      </c>
    </row>
    <row r="37" spans="1:4" x14ac:dyDescent="0.25">
      <c r="A37" s="4" t="str">
        <f t="shared" si="0"/>
        <v>106</v>
      </c>
      <c r="B37" s="4" t="str">
        <f>"IRIELY FERREIRA DE SOUZA"</f>
        <v>IRIELY FERREIRA DE SOUZA</v>
      </c>
      <c r="C37" s="9" t="s">
        <v>673</v>
      </c>
      <c r="D37" s="4" t="str">
        <f>"32003"</f>
        <v>32003</v>
      </c>
    </row>
    <row r="38" spans="1:4" x14ac:dyDescent="0.25">
      <c r="A38" s="4" t="str">
        <f t="shared" si="0"/>
        <v>106</v>
      </c>
      <c r="B38" s="4" t="str">
        <f>"ISABELY DA SILVEIRA GONCALVES"</f>
        <v>ISABELY DA SILVEIRA GONCALVES</v>
      </c>
      <c r="C38" s="9" t="s">
        <v>674</v>
      </c>
      <c r="D38" s="4" t="str">
        <f>"32003"</f>
        <v>32003</v>
      </c>
    </row>
    <row r="39" spans="1:4" x14ac:dyDescent="0.25">
      <c r="A39" s="4" t="str">
        <f t="shared" si="0"/>
        <v>106</v>
      </c>
      <c r="B39" s="4" t="str">
        <f>"IVANEIDE DOS SANTOS LOURENCO"</f>
        <v>IVANEIDE DOS SANTOS LOURENCO</v>
      </c>
      <c r="C39" s="9" t="s">
        <v>675</v>
      </c>
      <c r="D39" s="4" t="str">
        <f>"32002"</f>
        <v>32002</v>
      </c>
    </row>
    <row r="40" spans="1:4" x14ac:dyDescent="0.25">
      <c r="A40" s="4" t="str">
        <f t="shared" si="0"/>
        <v>106</v>
      </c>
      <c r="B40" s="4" t="str">
        <f>"IZABEL DE JESUS SANTOS"</f>
        <v>IZABEL DE JESUS SANTOS</v>
      </c>
      <c r="C40" s="9" t="s">
        <v>676</v>
      </c>
      <c r="D40" s="4" t="str">
        <f>"32002"</f>
        <v>32002</v>
      </c>
    </row>
    <row r="41" spans="1:4" x14ac:dyDescent="0.25">
      <c r="A41" s="4" t="str">
        <f t="shared" si="0"/>
        <v>106</v>
      </c>
      <c r="B41" s="4" t="str">
        <f>"JARDIELSON DE SA FRANÇA"</f>
        <v>JARDIELSON DE SA FRANÇA</v>
      </c>
      <c r="C41" s="9" t="s">
        <v>677</v>
      </c>
      <c r="D41" s="4" t="str">
        <f>"34001"</f>
        <v>34001</v>
      </c>
    </row>
    <row r="42" spans="1:4" x14ac:dyDescent="0.25">
      <c r="A42" s="4" t="str">
        <f t="shared" si="0"/>
        <v>106</v>
      </c>
      <c r="B42" s="4" t="str">
        <f>"JAYANE DA SILVA MEIRELES"</f>
        <v>JAYANE DA SILVA MEIRELES</v>
      </c>
      <c r="C42" s="9" t="s">
        <v>678</v>
      </c>
      <c r="D42" s="4" t="str">
        <f>"32007"</f>
        <v>32007</v>
      </c>
    </row>
    <row r="43" spans="1:4" x14ac:dyDescent="0.25">
      <c r="A43" s="4" t="str">
        <f t="shared" si="0"/>
        <v>106</v>
      </c>
      <c r="B43" s="4" t="str">
        <f>"JESSICA LORENCO MONTEIRO"</f>
        <v>JESSICA LORENCO MONTEIRO</v>
      </c>
      <c r="C43" s="7" t="s">
        <v>679</v>
      </c>
      <c r="D43" s="4" t="str">
        <f>"32002"</f>
        <v>32002</v>
      </c>
    </row>
    <row r="44" spans="1:4" x14ac:dyDescent="0.25">
      <c r="A44" s="4" t="str">
        <f t="shared" si="0"/>
        <v>106</v>
      </c>
      <c r="B44" s="4" t="str">
        <f>"JILDERLAINE DA SILVA FALCAO"</f>
        <v>JILDERLAINE DA SILVA FALCAO</v>
      </c>
      <c r="C44" s="9" t="s">
        <v>680</v>
      </c>
      <c r="D44" s="4" t="str">
        <f>"32002"</f>
        <v>32002</v>
      </c>
    </row>
    <row r="45" spans="1:4" x14ac:dyDescent="0.25">
      <c r="A45" s="4" t="str">
        <f t="shared" si="0"/>
        <v>106</v>
      </c>
      <c r="B45" s="4" t="str">
        <f>"JOAO VICTOR DE SOUZA COITINHO"</f>
        <v>JOAO VICTOR DE SOUZA COITINHO</v>
      </c>
      <c r="C45" s="9" t="s">
        <v>681</v>
      </c>
      <c r="D45" s="4" t="str">
        <f>"32003"</f>
        <v>32003</v>
      </c>
    </row>
    <row r="46" spans="1:4" x14ac:dyDescent="0.25">
      <c r="A46" s="4" t="str">
        <f t="shared" si="0"/>
        <v>106</v>
      </c>
      <c r="B46" s="4" t="str">
        <f>"JOAO VITOR SOUZA DE ALMEIDA"</f>
        <v>JOAO VITOR SOUZA DE ALMEIDA</v>
      </c>
      <c r="C46" s="9" t="s">
        <v>682</v>
      </c>
      <c r="D46" s="4" t="str">
        <f>"32001"</f>
        <v>32001</v>
      </c>
    </row>
    <row r="47" spans="1:4" x14ac:dyDescent="0.25">
      <c r="A47" s="4" t="str">
        <f t="shared" si="0"/>
        <v>106</v>
      </c>
      <c r="B47" s="4" t="str">
        <f>"JOCIANE SOUZA MILITAO PAULO"</f>
        <v>JOCIANE SOUZA MILITAO PAULO</v>
      </c>
      <c r="C47" s="9" t="s">
        <v>683</v>
      </c>
      <c r="D47" s="4" t="str">
        <f t="shared" ref="D47:D52" si="1">"32002"</f>
        <v>32002</v>
      </c>
    </row>
    <row r="48" spans="1:4" x14ac:dyDescent="0.25">
      <c r="A48" s="4" t="str">
        <f t="shared" si="0"/>
        <v>106</v>
      </c>
      <c r="B48" s="4" t="str">
        <f>"JOCIELE CLAUDINO SANTANA LITIG"</f>
        <v>JOCIELE CLAUDINO SANTANA LITIG</v>
      </c>
      <c r="C48" s="7" t="s">
        <v>684</v>
      </c>
      <c r="D48" s="4" t="str">
        <f t="shared" si="1"/>
        <v>32002</v>
      </c>
    </row>
    <row r="49" spans="1:4" x14ac:dyDescent="0.25">
      <c r="A49" s="4" t="str">
        <f t="shared" si="0"/>
        <v>106</v>
      </c>
      <c r="B49" s="4" t="str">
        <f>"JOCIENE NASCIMENTO DA SILVA"</f>
        <v>JOCIENE NASCIMENTO DA SILVA</v>
      </c>
      <c r="C49" s="9" t="s">
        <v>685</v>
      </c>
      <c r="D49" s="4" t="str">
        <f t="shared" si="1"/>
        <v>32002</v>
      </c>
    </row>
    <row r="50" spans="1:4" x14ac:dyDescent="0.25">
      <c r="A50" s="4" t="str">
        <f t="shared" si="0"/>
        <v>106</v>
      </c>
      <c r="B50" s="4" t="str">
        <f>"JONACIR DOS SANTOS GOMES"</f>
        <v>JONACIR DOS SANTOS GOMES</v>
      </c>
      <c r="C50" s="9" t="s">
        <v>686</v>
      </c>
      <c r="D50" s="4" t="str">
        <f t="shared" si="1"/>
        <v>32002</v>
      </c>
    </row>
    <row r="51" spans="1:4" x14ac:dyDescent="0.25">
      <c r="A51" s="4" t="str">
        <f t="shared" si="0"/>
        <v>106</v>
      </c>
      <c r="B51" s="4" t="str">
        <f>"JOYCEANNE GUIMARAES DE MOURA"</f>
        <v>JOYCEANNE GUIMARAES DE MOURA</v>
      </c>
      <c r="C51" s="9" t="s">
        <v>687</v>
      </c>
      <c r="D51" s="4" t="str">
        <f t="shared" si="1"/>
        <v>32002</v>
      </c>
    </row>
    <row r="52" spans="1:4" x14ac:dyDescent="0.25">
      <c r="A52" s="4" t="str">
        <f t="shared" si="0"/>
        <v>106</v>
      </c>
      <c r="B52" s="4" t="str">
        <f>"KARINY SILVA VITAL"</f>
        <v>KARINY SILVA VITAL</v>
      </c>
      <c r="C52" s="9" t="s">
        <v>688</v>
      </c>
      <c r="D52" s="4" t="str">
        <f t="shared" si="1"/>
        <v>32002</v>
      </c>
    </row>
    <row r="53" spans="1:4" x14ac:dyDescent="0.25">
      <c r="A53" s="4" t="str">
        <f t="shared" si="0"/>
        <v>106</v>
      </c>
      <c r="B53" s="4" t="str">
        <f>"LAYANE FERREIRA DE OLIVEIRA"</f>
        <v>LAYANE FERREIRA DE OLIVEIRA</v>
      </c>
      <c r="C53" s="9" t="s">
        <v>689</v>
      </c>
      <c r="D53" s="4" t="str">
        <f>"13013"</f>
        <v>13013</v>
      </c>
    </row>
    <row r="54" spans="1:4" x14ac:dyDescent="0.25">
      <c r="A54" s="4" t="str">
        <f t="shared" si="0"/>
        <v>106</v>
      </c>
      <c r="B54" s="4" t="str">
        <f>"LEONARDO MARTINS"</f>
        <v>LEONARDO MARTINS</v>
      </c>
      <c r="C54" s="9" t="s">
        <v>690</v>
      </c>
      <c r="D54" s="4" t="str">
        <f>"34001"</f>
        <v>34001</v>
      </c>
    </row>
    <row r="55" spans="1:4" x14ac:dyDescent="0.25">
      <c r="A55" s="4" t="str">
        <f t="shared" si="0"/>
        <v>106</v>
      </c>
      <c r="B55" s="4" t="str">
        <f>"LUIZ GUSTAVO BARBOZA SALUSTIANO"</f>
        <v>LUIZ GUSTAVO BARBOZA SALUSTIANO</v>
      </c>
      <c r="C55" s="9" t="s">
        <v>691</v>
      </c>
      <c r="D55" s="4" t="str">
        <f>"32001"</f>
        <v>32001</v>
      </c>
    </row>
    <row r="56" spans="1:4" x14ac:dyDescent="0.25">
      <c r="A56" s="4" t="str">
        <f t="shared" si="0"/>
        <v>106</v>
      </c>
      <c r="B56" s="4" t="str">
        <f>"MAICON DA SILVA SANTOS"</f>
        <v>MAICON DA SILVA SANTOS</v>
      </c>
      <c r="C56" s="9" t="s">
        <v>692</v>
      </c>
      <c r="D56" s="4" t="str">
        <f>"32001"</f>
        <v>32001</v>
      </c>
    </row>
    <row r="57" spans="1:4" x14ac:dyDescent="0.25">
      <c r="A57" s="4" t="str">
        <f t="shared" si="0"/>
        <v>106</v>
      </c>
      <c r="B57" s="4" t="str">
        <f>"MARIA LUIZA COSTA SOUZA"</f>
        <v>MARIA LUIZA COSTA SOUZA</v>
      </c>
      <c r="C57" s="9" t="s">
        <v>693</v>
      </c>
      <c r="D57" s="4" t="str">
        <f>"32007"</f>
        <v>32007</v>
      </c>
    </row>
    <row r="58" spans="1:4" x14ac:dyDescent="0.25">
      <c r="A58" s="4" t="str">
        <f t="shared" si="0"/>
        <v>106</v>
      </c>
      <c r="B58" s="4" t="str">
        <f>"MARIANA DA SILVA CHAVES"</f>
        <v>MARIANA DA SILVA CHAVES</v>
      </c>
      <c r="C58" s="7" t="s">
        <v>694</v>
      </c>
      <c r="D58" s="4" t="str">
        <f>"32007"</f>
        <v>32007</v>
      </c>
    </row>
    <row r="59" spans="1:4" x14ac:dyDescent="0.25">
      <c r="A59" s="4" t="str">
        <f t="shared" si="0"/>
        <v>106</v>
      </c>
      <c r="B59" s="4" t="str">
        <f>"MARIANE DAVID DOS SANTOS"</f>
        <v>MARIANE DAVID DOS SANTOS</v>
      </c>
      <c r="C59" s="9" t="s">
        <v>695</v>
      </c>
      <c r="D59" s="4" t="str">
        <f>"32003"</f>
        <v>32003</v>
      </c>
    </row>
    <row r="60" spans="1:4" x14ac:dyDescent="0.25">
      <c r="A60" s="4" t="str">
        <f t="shared" si="0"/>
        <v>106</v>
      </c>
      <c r="B60" s="4" t="str">
        <f>"MARICELIA FEITOSA DA SILVA"</f>
        <v>MARICELIA FEITOSA DA SILVA</v>
      </c>
      <c r="C60" s="9" t="s">
        <v>696</v>
      </c>
      <c r="D60" s="4" t="str">
        <f>"32003"</f>
        <v>32003</v>
      </c>
    </row>
    <row r="61" spans="1:4" x14ac:dyDescent="0.25">
      <c r="A61" s="4" t="str">
        <f t="shared" si="0"/>
        <v>106</v>
      </c>
      <c r="B61" s="4" t="str">
        <f>"MARIELY DA CONCEICAO FERREIRA"</f>
        <v>MARIELY DA CONCEICAO FERREIRA</v>
      </c>
      <c r="C61" s="9" t="s">
        <v>697</v>
      </c>
      <c r="D61" s="4" t="str">
        <f>"32003"</f>
        <v>32003</v>
      </c>
    </row>
    <row r="62" spans="1:4" x14ac:dyDescent="0.25">
      <c r="A62" s="4" t="str">
        <f t="shared" si="0"/>
        <v>106</v>
      </c>
      <c r="B62" s="4" t="str">
        <f>"MAYARA DE SOUSA GOMES"</f>
        <v>MAYARA DE SOUSA GOMES</v>
      </c>
      <c r="C62" s="7" t="s">
        <v>698</v>
      </c>
      <c r="D62" s="4" t="str">
        <f>"32003"</f>
        <v>32003</v>
      </c>
    </row>
    <row r="63" spans="1:4" x14ac:dyDescent="0.25">
      <c r="A63" s="4" t="str">
        <f t="shared" si="0"/>
        <v>106</v>
      </c>
      <c r="B63" s="4" t="str">
        <f>"MAYK DOS SANTOS LUBBE"</f>
        <v>MAYK DOS SANTOS LUBBE</v>
      </c>
      <c r="C63" s="9" t="s">
        <v>699</v>
      </c>
      <c r="D63" s="4" t="str">
        <f>"32002"</f>
        <v>32002</v>
      </c>
    </row>
    <row r="64" spans="1:4" x14ac:dyDescent="0.25">
      <c r="A64" s="4" t="str">
        <f t="shared" si="0"/>
        <v>106</v>
      </c>
      <c r="B64" s="4" t="str">
        <f>"MURILO FERNANDES FAZOLO"</f>
        <v>MURILO FERNANDES FAZOLO</v>
      </c>
      <c r="C64" s="9" t="s">
        <v>700</v>
      </c>
      <c r="D64" s="4" t="str">
        <f>"32001"</f>
        <v>32001</v>
      </c>
    </row>
    <row r="65" spans="1:4" x14ac:dyDescent="0.25">
      <c r="A65" s="4" t="str">
        <f t="shared" si="0"/>
        <v>106</v>
      </c>
      <c r="B65" s="4" t="str">
        <f>"MURILO GOMES RECLA"</f>
        <v>MURILO GOMES RECLA</v>
      </c>
      <c r="C65" s="9" t="s">
        <v>701</v>
      </c>
      <c r="D65" s="4" t="str">
        <f>"32003"</f>
        <v>32003</v>
      </c>
    </row>
    <row r="66" spans="1:4" x14ac:dyDescent="0.25">
      <c r="A66" s="4" t="str">
        <f t="shared" si="0"/>
        <v>106</v>
      </c>
      <c r="B66" s="4" t="str">
        <f>"PAULO SILVA SANTOS"</f>
        <v>PAULO SILVA SANTOS</v>
      </c>
      <c r="C66" s="9" t="s">
        <v>702</v>
      </c>
      <c r="D66" s="4" t="str">
        <f>"32002"</f>
        <v>32002</v>
      </c>
    </row>
    <row r="67" spans="1:4" x14ac:dyDescent="0.25">
      <c r="A67" s="4" t="str">
        <f t="shared" ref="A67:A82" si="2">"106"</f>
        <v>106</v>
      </c>
      <c r="B67" s="4" t="str">
        <f>"RAFAEL SENA FREITAS"</f>
        <v>RAFAEL SENA FREITAS</v>
      </c>
      <c r="C67" s="9" t="s">
        <v>703</v>
      </c>
      <c r="D67" s="4" t="str">
        <f>"32002"</f>
        <v>32002</v>
      </c>
    </row>
    <row r="68" spans="1:4" x14ac:dyDescent="0.25">
      <c r="A68" s="4" t="str">
        <f t="shared" si="2"/>
        <v>106</v>
      </c>
      <c r="B68" s="4" t="str">
        <f>"RARIELI SANTOS SANTANA"</f>
        <v>RARIELI SANTOS SANTANA</v>
      </c>
      <c r="C68" s="9" t="s">
        <v>704</v>
      </c>
      <c r="D68" s="4" t="str">
        <f>"32007"</f>
        <v>32007</v>
      </c>
    </row>
    <row r="69" spans="1:4" x14ac:dyDescent="0.25">
      <c r="A69" s="4" t="str">
        <f t="shared" si="2"/>
        <v>106</v>
      </c>
      <c r="B69" s="4" t="str">
        <f>"REGINA DE SA"</f>
        <v>REGINA DE SA</v>
      </c>
      <c r="C69" s="9" t="s">
        <v>705</v>
      </c>
      <c r="D69" s="4" t="str">
        <f>"32002"</f>
        <v>32002</v>
      </c>
    </row>
    <row r="70" spans="1:4" x14ac:dyDescent="0.25">
      <c r="A70" s="4" t="str">
        <f t="shared" si="2"/>
        <v>106</v>
      </c>
      <c r="B70" s="4" t="str">
        <f>"ROBERTA DE SA FRANCA"</f>
        <v>ROBERTA DE SA FRANCA</v>
      </c>
      <c r="C70" s="7" t="s">
        <v>706</v>
      </c>
      <c r="D70" s="4" t="str">
        <f>"32002"</f>
        <v>32002</v>
      </c>
    </row>
    <row r="71" spans="1:4" x14ac:dyDescent="0.25">
      <c r="A71" s="4" t="str">
        <f t="shared" si="2"/>
        <v>106</v>
      </c>
      <c r="B71" s="4" t="str">
        <f>"ROMULO SANTOS DA SILVA"</f>
        <v>ROMULO SANTOS DA SILVA</v>
      </c>
      <c r="C71" s="9" t="s">
        <v>707</v>
      </c>
      <c r="D71" s="4" t="str">
        <f>"32001"</f>
        <v>32001</v>
      </c>
    </row>
    <row r="72" spans="1:4" x14ac:dyDescent="0.25">
      <c r="A72" s="4" t="str">
        <f t="shared" si="2"/>
        <v>106</v>
      </c>
      <c r="B72" s="4" t="str">
        <f>"SARAJANE DE SOUZA ARANHAS"</f>
        <v>SARAJANE DE SOUZA ARANHAS</v>
      </c>
      <c r="C72" s="9" t="s">
        <v>708</v>
      </c>
      <c r="D72" s="4" t="str">
        <f>"32007"</f>
        <v>32007</v>
      </c>
    </row>
    <row r="73" spans="1:4" x14ac:dyDescent="0.25">
      <c r="A73" s="4" t="str">
        <f t="shared" si="2"/>
        <v>106</v>
      </c>
      <c r="B73" s="4" t="str">
        <f>"SILVIA KARLA BARROS FERREIRA"</f>
        <v>SILVIA KARLA BARROS FERREIRA</v>
      </c>
      <c r="C73" s="9" t="s">
        <v>709</v>
      </c>
      <c r="D73" s="4" t="str">
        <f>"32007"</f>
        <v>32007</v>
      </c>
    </row>
    <row r="74" spans="1:4" x14ac:dyDescent="0.25">
      <c r="A74" s="4" t="str">
        <f t="shared" si="2"/>
        <v>106</v>
      </c>
      <c r="B74" s="4" t="str">
        <f>"SIMONE PINHEIRO DE FARIAS"</f>
        <v>SIMONE PINHEIRO DE FARIAS</v>
      </c>
      <c r="C74" s="9" t="s">
        <v>710</v>
      </c>
      <c r="D74" s="4" t="str">
        <f>"32003"</f>
        <v>32003</v>
      </c>
    </row>
    <row r="75" spans="1:4" x14ac:dyDescent="0.25">
      <c r="A75" s="4" t="str">
        <f t="shared" si="2"/>
        <v>106</v>
      </c>
      <c r="B75" s="4" t="str">
        <f>"SIRLENE SOUZA SOARES"</f>
        <v>SIRLENE SOUZA SOARES</v>
      </c>
      <c r="C75" s="9" t="s">
        <v>711</v>
      </c>
      <c r="D75" s="4" t="str">
        <f>"32007"</f>
        <v>32007</v>
      </c>
    </row>
    <row r="76" spans="1:4" x14ac:dyDescent="0.25">
      <c r="A76" s="4" t="str">
        <f t="shared" si="2"/>
        <v>106</v>
      </c>
      <c r="B76" s="4" t="str">
        <f>"SOLANGE SOUZA DOS ANJOS LIMA"</f>
        <v>SOLANGE SOUZA DOS ANJOS LIMA</v>
      </c>
      <c r="C76" s="9" t="s">
        <v>712</v>
      </c>
      <c r="D76" s="4" t="str">
        <f>"32002"</f>
        <v>32002</v>
      </c>
    </row>
    <row r="77" spans="1:4" x14ac:dyDescent="0.25">
      <c r="A77" s="4" t="str">
        <f t="shared" si="2"/>
        <v>106</v>
      </c>
      <c r="B77" s="4" t="str">
        <f>"TAINA LUZIA DOS SANTOS"</f>
        <v>TAINA LUZIA DOS SANTOS</v>
      </c>
      <c r="C77" s="9" t="s">
        <v>713</v>
      </c>
      <c r="D77" s="4" t="str">
        <f>"32002"</f>
        <v>32002</v>
      </c>
    </row>
    <row r="78" spans="1:4" x14ac:dyDescent="0.25">
      <c r="A78" s="4" t="str">
        <f t="shared" si="2"/>
        <v>106</v>
      </c>
      <c r="B78" s="4" t="str">
        <f>"THAMIRES VIEIRA DOS SANTOS"</f>
        <v>THAMIRES VIEIRA DOS SANTOS</v>
      </c>
      <c r="C78" s="9" t="s">
        <v>714</v>
      </c>
      <c r="D78" s="4" t="str">
        <f>"32002"</f>
        <v>32002</v>
      </c>
    </row>
    <row r="79" spans="1:4" x14ac:dyDescent="0.25">
      <c r="A79" s="4" t="str">
        <f t="shared" si="2"/>
        <v>106</v>
      </c>
      <c r="B79" s="4" t="str">
        <f>"TIAGO DA SILVA COSTA"</f>
        <v>TIAGO DA SILVA COSTA</v>
      </c>
      <c r="C79" s="9" t="s">
        <v>715</v>
      </c>
      <c r="D79" s="4" t="str">
        <f>"32003"</f>
        <v>32003</v>
      </c>
    </row>
    <row r="80" spans="1:4" x14ac:dyDescent="0.25">
      <c r="A80" s="4" t="str">
        <f t="shared" si="2"/>
        <v>106</v>
      </c>
      <c r="B80" s="4" t="str">
        <f>"VANESSA FERREIRA"</f>
        <v>VANESSA FERREIRA</v>
      </c>
      <c r="C80" s="9" t="s">
        <v>716</v>
      </c>
      <c r="D80" s="4" t="str">
        <f>"32002"</f>
        <v>32002</v>
      </c>
    </row>
    <row r="81" spans="1:4" x14ac:dyDescent="0.25">
      <c r="A81" s="4" t="str">
        <f t="shared" si="2"/>
        <v>106</v>
      </c>
      <c r="B81" s="4" t="str">
        <f>"VANETE NASCIMENTO SODRE"</f>
        <v>VANETE NASCIMENTO SODRE</v>
      </c>
      <c r="C81" s="9" t="s">
        <v>717</v>
      </c>
      <c r="D81" s="4" t="str">
        <f>"32003"</f>
        <v>32003</v>
      </c>
    </row>
    <row r="82" spans="1:4" x14ac:dyDescent="0.25">
      <c r="A82" s="4" t="str">
        <f t="shared" si="2"/>
        <v>106</v>
      </c>
      <c r="B82" s="4" t="str">
        <f>"WADDINGTON BRUSQUE NEVES"</f>
        <v>WADDINGTON BRUSQUE NEVES</v>
      </c>
      <c r="C82" s="7" t="s">
        <v>718</v>
      </c>
      <c r="D82" s="4" t="str">
        <f>"32001"</f>
        <v>32001</v>
      </c>
    </row>
  </sheetData>
  <autoFilter ref="A2:D82" xr:uid="{D5228CCA-A42B-4F98-ABE9-66F8A14A99BE}"/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3C19-9CDA-41C1-9D41-3D633C2C4898}">
  <dimension ref="A1:D14"/>
  <sheetViews>
    <sheetView workbookViewId="0">
      <selection activeCell="D16" sqref="D16"/>
    </sheetView>
  </sheetViews>
  <sheetFormatPr defaultRowHeight="13.2" x14ac:dyDescent="0.25"/>
  <cols>
    <col min="2" max="2" width="35.6640625" bestFit="1" customWidth="1"/>
    <col min="3" max="3" width="12" bestFit="1" customWidth="1"/>
    <col min="4" max="4" width="12.77734375" bestFit="1" customWidth="1"/>
  </cols>
  <sheetData>
    <row r="1" spans="1:4" x14ac:dyDescent="0.25">
      <c r="A1" s="8" t="str">
        <f>"Funcionários"</f>
        <v>Funcionários</v>
      </c>
      <c r="B1" s="8"/>
      <c r="C1" s="8"/>
      <c r="D1" s="8"/>
    </row>
    <row r="2" spans="1:4" x14ac:dyDescent="0.25">
      <c r="A2" s="3" t="s">
        <v>2</v>
      </c>
      <c r="B2" s="3" t="s">
        <v>0</v>
      </c>
      <c r="C2" s="3" t="s">
        <v>123</v>
      </c>
      <c r="D2" s="3" t="s">
        <v>1</v>
      </c>
    </row>
    <row r="3" spans="1:4" x14ac:dyDescent="0.25">
      <c r="A3">
        <v>101</v>
      </c>
      <c r="B3" s="6" t="s">
        <v>129</v>
      </c>
      <c r="C3">
        <v>41180269888</v>
      </c>
      <c r="D3">
        <v>13014</v>
      </c>
    </row>
    <row r="4" spans="1:4" x14ac:dyDescent="0.25">
      <c r="A4">
        <v>101</v>
      </c>
      <c r="B4" s="6" t="s">
        <v>130</v>
      </c>
      <c r="C4">
        <v>27941157829</v>
      </c>
      <c r="D4">
        <v>13013</v>
      </c>
    </row>
    <row r="5" spans="1:4" x14ac:dyDescent="0.25">
      <c r="A5">
        <v>101</v>
      </c>
      <c r="B5" s="1" t="s">
        <v>131</v>
      </c>
      <c r="C5">
        <v>25050495806</v>
      </c>
      <c r="D5">
        <v>11013</v>
      </c>
    </row>
    <row r="6" spans="1:4" x14ac:dyDescent="0.25">
      <c r="A6">
        <v>101</v>
      </c>
      <c r="B6" s="1" t="s">
        <v>132</v>
      </c>
      <c r="C6">
        <v>4904422856</v>
      </c>
      <c r="D6">
        <v>11011</v>
      </c>
    </row>
    <row r="7" spans="1:4" x14ac:dyDescent="0.25">
      <c r="A7">
        <v>101</v>
      </c>
      <c r="B7" s="1" t="s">
        <v>133</v>
      </c>
      <c r="C7">
        <v>21823358896</v>
      </c>
      <c r="D7">
        <v>33010</v>
      </c>
    </row>
    <row r="8" spans="1:4" x14ac:dyDescent="0.25">
      <c r="A8">
        <v>101</v>
      </c>
      <c r="B8" s="1" t="s">
        <v>134</v>
      </c>
      <c r="C8">
        <v>94977909887</v>
      </c>
      <c r="D8">
        <v>11011</v>
      </c>
    </row>
    <row r="9" spans="1:4" x14ac:dyDescent="0.25">
      <c r="A9">
        <v>101</v>
      </c>
      <c r="B9" s="1" t="s">
        <v>135</v>
      </c>
      <c r="C9">
        <v>31248045890</v>
      </c>
      <c r="D9">
        <v>33010</v>
      </c>
    </row>
    <row r="10" spans="1:4" x14ac:dyDescent="0.25">
      <c r="A10">
        <v>101</v>
      </c>
      <c r="B10" s="1" t="s">
        <v>136</v>
      </c>
      <c r="C10">
        <v>5762129896</v>
      </c>
      <c r="D10">
        <v>11011</v>
      </c>
    </row>
    <row r="11" spans="1:4" x14ac:dyDescent="0.25">
      <c r="A11">
        <v>101</v>
      </c>
      <c r="B11" s="1" t="s">
        <v>137</v>
      </c>
      <c r="C11">
        <v>4820081802</v>
      </c>
      <c r="D11">
        <v>11012</v>
      </c>
    </row>
    <row r="12" spans="1:4" x14ac:dyDescent="0.25">
      <c r="A12">
        <v>101</v>
      </c>
      <c r="B12" s="1" t="s">
        <v>138</v>
      </c>
      <c r="C12">
        <v>21823378811</v>
      </c>
      <c r="D12">
        <v>14054</v>
      </c>
    </row>
    <row r="13" spans="1:4" x14ac:dyDescent="0.25">
      <c r="A13">
        <v>101</v>
      </c>
      <c r="B13" s="1" t="s">
        <v>139</v>
      </c>
      <c r="C13">
        <v>11479256820</v>
      </c>
      <c r="D13">
        <v>11011</v>
      </c>
    </row>
    <row r="14" spans="1:4" x14ac:dyDescent="0.25">
      <c r="A14">
        <v>101</v>
      </c>
      <c r="B14" s="1" t="s">
        <v>140</v>
      </c>
      <c r="C14">
        <v>41180270894</v>
      </c>
      <c r="D14">
        <v>15012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EE95-2C35-47E9-A32E-8D19821092FD}">
  <dimension ref="A1:D5"/>
  <sheetViews>
    <sheetView workbookViewId="0">
      <selection activeCell="D7" sqref="D7"/>
    </sheetView>
  </sheetViews>
  <sheetFormatPr defaultRowHeight="13.2" x14ac:dyDescent="0.25"/>
  <cols>
    <col min="2" max="2" width="34.44140625" bestFit="1" customWidth="1"/>
    <col min="3" max="3" width="12" bestFit="1" customWidth="1"/>
    <col min="4" max="4" width="12.77734375" bestFit="1" customWidth="1"/>
  </cols>
  <sheetData>
    <row r="1" spans="1:4" x14ac:dyDescent="0.25">
      <c r="A1" s="8" t="str">
        <f>"Funcionários"</f>
        <v>Funcionários</v>
      </c>
      <c r="B1" s="8"/>
      <c r="C1" s="8"/>
      <c r="D1" s="8"/>
    </row>
    <row r="2" spans="1:4" x14ac:dyDescent="0.25">
      <c r="A2" s="3" t="s">
        <v>2</v>
      </c>
      <c r="B2" s="3" t="s">
        <v>0</v>
      </c>
      <c r="C2" s="3" t="s">
        <v>123</v>
      </c>
      <c r="D2" s="3" t="s">
        <v>1</v>
      </c>
    </row>
    <row r="3" spans="1:4" x14ac:dyDescent="0.25">
      <c r="A3">
        <v>101</v>
      </c>
      <c r="B3" t="s">
        <v>124</v>
      </c>
      <c r="C3" s="5">
        <v>33903835811</v>
      </c>
      <c r="D3">
        <v>33010</v>
      </c>
    </row>
    <row r="4" spans="1:4" x14ac:dyDescent="0.25">
      <c r="A4">
        <v>101</v>
      </c>
      <c r="B4" t="s">
        <v>125</v>
      </c>
      <c r="C4" s="5" t="s">
        <v>126</v>
      </c>
      <c r="D4">
        <v>13013</v>
      </c>
    </row>
    <row r="5" spans="1:4" x14ac:dyDescent="0.25">
      <c r="A5">
        <v>101</v>
      </c>
      <c r="B5" t="s">
        <v>127</v>
      </c>
      <c r="C5" s="5" t="s">
        <v>128</v>
      </c>
      <c r="D5">
        <v>15012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04D6-DDCC-4D58-8F99-C7E7905D7596}">
  <dimension ref="A1:D122"/>
  <sheetViews>
    <sheetView workbookViewId="0">
      <selection activeCell="E3" sqref="E3"/>
    </sheetView>
  </sheetViews>
  <sheetFormatPr defaultRowHeight="13.2" x14ac:dyDescent="0.25"/>
  <cols>
    <col min="2" max="2" width="39.6640625" bestFit="1" customWidth="1"/>
    <col min="3" max="3" width="12" style="7" bestFit="1" customWidth="1"/>
    <col min="4" max="4" width="12.77734375" bestFit="1" customWidth="1"/>
  </cols>
  <sheetData>
    <row r="1" spans="1:4" x14ac:dyDescent="0.25">
      <c r="A1" s="8" t="str">
        <f>"Funcionários"</f>
        <v>Funcionários</v>
      </c>
      <c r="B1" s="8"/>
      <c r="C1" s="8"/>
      <c r="D1" s="8"/>
    </row>
    <row r="2" spans="1:4" x14ac:dyDescent="0.25">
      <c r="A2" s="3" t="s">
        <v>2</v>
      </c>
      <c r="B2" s="3" t="s">
        <v>0</v>
      </c>
      <c r="C2" s="2" t="s">
        <v>123</v>
      </c>
      <c r="D2" s="3" t="s">
        <v>1</v>
      </c>
    </row>
    <row r="3" spans="1:4" x14ac:dyDescent="0.25">
      <c r="A3">
        <v>101</v>
      </c>
      <c r="B3" t="s">
        <v>3</v>
      </c>
      <c r="C3" s="7">
        <v>30216093848</v>
      </c>
      <c r="D3" s="7">
        <v>14051</v>
      </c>
    </row>
    <row r="4" spans="1:4" x14ac:dyDescent="0.25">
      <c r="A4">
        <v>101</v>
      </c>
      <c r="B4" t="s">
        <v>4</v>
      </c>
      <c r="C4" s="7">
        <v>8679989894</v>
      </c>
      <c r="D4" s="7" t="s">
        <v>141</v>
      </c>
    </row>
    <row r="5" spans="1:4" x14ac:dyDescent="0.25">
      <c r="A5">
        <v>101</v>
      </c>
      <c r="B5" t="s">
        <v>5</v>
      </c>
      <c r="C5" s="7">
        <v>2282834771</v>
      </c>
      <c r="D5" s="7">
        <v>14058</v>
      </c>
    </row>
    <row r="6" spans="1:4" x14ac:dyDescent="0.25">
      <c r="A6">
        <v>101</v>
      </c>
      <c r="B6" t="s">
        <v>6</v>
      </c>
      <c r="C6" s="7">
        <v>85808881587</v>
      </c>
      <c r="D6" s="7">
        <v>14052</v>
      </c>
    </row>
    <row r="7" spans="1:4" x14ac:dyDescent="0.25">
      <c r="A7">
        <v>101</v>
      </c>
      <c r="B7" t="s">
        <v>7</v>
      </c>
      <c r="C7" s="7">
        <v>12307383808</v>
      </c>
      <c r="D7" s="7">
        <v>14056</v>
      </c>
    </row>
    <row r="8" spans="1:4" x14ac:dyDescent="0.25">
      <c r="A8">
        <v>101</v>
      </c>
      <c r="B8" t="s">
        <v>8</v>
      </c>
      <c r="C8" s="7">
        <v>66318360930</v>
      </c>
      <c r="D8" s="7">
        <v>14058</v>
      </c>
    </row>
    <row r="9" spans="1:4" x14ac:dyDescent="0.25">
      <c r="A9">
        <v>101</v>
      </c>
      <c r="B9" t="s">
        <v>9</v>
      </c>
      <c r="C9" s="7">
        <v>2481630190</v>
      </c>
      <c r="D9" s="7">
        <v>14052</v>
      </c>
    </row>
    <row r="10" spans="1:4" x14ac:dyDescent="0.25">
      <c r="A10">
        <v>101</v>
      </c>
      <c r="B10" t="s">
        <v>10</v>
      </c>
      <c r="C10" s="7">
        <v>5761156733</v>
      </c>
      <c r="D10" s="7">
        <v>14058</v>
      </c>
    </row>
    <row r="11" spans="1:4" x14ac:dyDescent="0.25">
      <c r="A11">
        <v>101</v>
      </c>
      <c r="B11" t="s">
        <v>11</v>
      </c>
      <c r="C11" s="7">
        <v>59632097904</v>
      </c>
      <c r="D11" s="7">
        <v>14051</v>
      </c>
    </row>
    <row r="12" spans="1:4" x14ac:dyDescent="0.25">
      <c r="A12">
        <v>101</v>
      </c>
      <c r="B12" t="s">
        <v>12</v>
      </c>
      <c r="C12" s="7">
        <v>23314281234</v>
      </c>
      <c r="D12" s="7">
        <v>14052</v>
      </c>
    </row>
    <row r="13" spans="1:4" x14ac:dyDescent="0.25">
      <c r="A13">
        <v>101</v>
      </c>
      <c r="B13" t="s">
        <v>13</v>
      </c>
      <c r="C13" s="7">
        <v>25389181620</v>
      </c>
      <c r="D13" s="7">
        <v>14058</v>
      </c>
    </row>
    <row r="14" spans="1:4" x14ac:dyDescent="0.25">
      <c r="A14">
        <v>101</v>
      </c>
      <c r="B14" t="s">
        <v>14</v>
      </c>
      <c r="C14" s="7">
        <v>34575731153</v>
      </c>
      <c r="D14" s="7">
        <v>14051</v>
      </c>
    </row>
    <row r="15" spans="1:4" x14ac:dyDescent="0.25">
      <c r="A15">
        <v>101</v>
      </c>
      <c r="B15" t="s">
        <v>15</v>
      </c>
      <c r="C15" s="7">
        <v>21903280397</v>
      </c>
      <c r="D15" s="7">
        <v>14058</v>
      </c>
    </row>
    <row r="16" spans="1:4" x14ac:dyDescent="0.25">
      <c r="A16">
        <v>101</v>
      </c>
      <c r="B16" t="s">
        <v>16</v>
      </c>
      <c r="C16" s="7">
        <v>18206545832</v>
      </c>
      <c r="D16" s="7">
        <v>14058</v>
      </c>
    </row>
    <row r="17" spans="1:4" x14ac:dyDescent="0.25">
      <c r="A17">
        <v>101</v>
      </c>
      <c r="B17" t="s">
        <v>17</v>
      </c>
      <c r="C17" s="7">
        <v>65315057887</v>
      </c>
      <c r="D17" s="7" t="s">
        <v>142</v>
      </c>
    </row>
    <row r="18" spans="1:4" x14ac:dyDescent="0.25">
      <c r="A18">
        <v>101</v>
      </c>
      <c r="B18" t="s">
        <v>18</v>
      </c>
      <c r="C18" s="7">
        <v>13243142733</v>
      </c>
      <c r="D18" s="7" t="s">
        <v>143</v>
      </c>
    </row>
    <row r="19" spans="1:4" x14ac:dyDescent="0.25">
      <c r="A19">
        <v>101</v>
      </c>
      <c r="B19" t="s">
        <v>19</v>
      </c>
      <c r="C19" s="7">
        <v>41649330898</v>
      </c>
      <c r="D19" s="7" t="s">
        <v>143</v>
      </c>
    </row>
    <row r="20" spans="1:4" x14ac:dyDescent="0.25">
      <c r="A20">
        <v>101</v>
      </c>
      <c r="B20" t="s">
        <v>20</v>
      </c>
      <c r="C20" s="7">
        <v>91822556872</v>
      </c>
      <c r="D20" s="7">
        <v>14051</v>
      </c>
    </row>
    <row r="21" spans="1:4" x14ac:dyDescent="0.25">
      <c r="A21">
        <v>101</v>
      </c>
      <c r="B21" t="s">
        <v>21</v>
      </c>
      <c r="C21" s="7">
        <v>3249472913</v>
      </c>
      <c r="D21" s="7">
        <v>14050</v>
      </c>
    </row>
    <row r="22" spans="1:4" x14ac:dyDescent="0.25">
      <c r="A22">
        <v>101</v>
      </c>
      <c r="B22" t="s">
        <v>22</v>
      </c>
      <c r="C22" s="7">
        <v>56296118953</v>
      </c>
      <c r="D22" s="7" t="s">
        <v>144</v>
      </c>
    </row>
    <row r="23" spans="1:4" x14ac:dyDescent="0.25">
      <c r="A23">
        <v>101</v>
      </c>
      <c r="B23" t="s">
        <v>23</v>
      </c>
      <c r="C23" s="7">
        <v>69896593604</v>
      </c>
      <c r="D23" s="7">
        <v>14052</v>
      </c>
    </row>
    <row r="24" spans="1:4" x14ac:dyDescent="0.25">
      <c r="A24">
        <v>101</v>
      </c>
      <c r="B24" t="s">
        <v>24</v>
      </c>
      <c r="C24" s="7">
        <v>85981230800</v>
      </c>
      <c r="D24" s="7">
        <v>14052</v>
      </c>
    </row>
    <row r="25" spans="1:4" x14ac:dyDescent="0.25">
      <c r="A25">
        <v>101</v>
      </c>
      <c r="B25" t="s">
        <v>25</v>
      </c>
      <c r="C25" s="7">
        <v>84897430615</v>
      </c>
      <c r="D25" s="7">
        <v>14051</v>
      </c>
    </row>
    <row r="26" spans="1:4" x14ac:dyDescent="0.25">
      <c r="A26">
        <v>101</v>
      </c>
      <c r="B26" t="s">
        <v>26</v>
      </c>
      <c r="C26" s="7">
        <v>14854999845</v>
      </c>
      <c r="D26" s="7" t="s">
        <v>145</v>
      </c>
    </row>
    <row r="27" spans="1:4" x14ac:dyDescent="0.25">
      <c r="A27">
        <v>101</v>
      </c>
      <c r="B27" t="s">
        <v>27</v>
      </c>
      <c r="C27" s="7">
        <v>26000651805</v>
      </c>
      <c r="D27" s="7">
        <v>14051</v>
      </c>
    </row>
    <row r="28" spans="1:4" x14ac:dyDescent="0.25">
      <c r="A28">
        <v>101</v>
      </c>
      <c r="B28" t="s">
        <v>28</v>
      </c>
      <c r="C28" s="7">
        <v>4268368981</v>
      </c>
      <c r="D28" s="7">
        <v>14050</v>
      </c>
    </row>
    <row r="29" spans="1:4" x14ac:dyDescent="0.25">
      <c r="A29">
        <v>101</v>
      </c>
      <c r="B29" t="s">
        <v>29</v>
      </c>
      <c r="C29" s="7">
        <v>12574470842</v>
      </c>
      <c r="D29" s="7">
        <v>14054</v>
      </c>
    </row>
    <row r="30" spans="1:4" x14ac:dyDescent="0.25">
      <c r="A30">
        <v>101</v>
      </c>
      <c r="B30" t="s">
        <v>30</v>
      </c>
      <c r="C30" s="7">
        <v>55304346300</v>
      </c>
      <c r="D30" s="7">
        <v>14058</v>
      </c>
    </row>
    <row r="31" spans="1:4" x14ac:dyDescent="0.25">
      <c r="A31">
        <v>101</v>
      </c>
      <c r="B31" t="s">
        <v>31</v>
      </c>
      <c r="C31" s="7">
        <v>23345021897</v>
      </c>
      <c r="D31" s="7">
        <v>14051</v>
      </c>
    </row>
    <row r="32" spans="1:4" x14ac:dyDescent="0.25">
      <c r="A32">
        <v>101</v>
      </c>
      <c r="B32" t="s">
        <v>32</v>
      </c>
      <c r="C32" s="7">
        <v>97596930034</v>
      </c>
      <c r="D32" s="7">
        <v>14050</v>
      </c>
    </row>
    <row r="33" spans="1:4" x14ac:dyDescent="0.25">
      <c r="A33">
        <v>101</v>
      </c>
      <c r="B33" t="s">
        <v>33</v>
      </c>
      <c r="C33" s="7">
        <v>12227890860</v>
      </c>
      <c r="D33" s="7" t="s">
        <v>142</v>
      </c>
    </row>
    <row r="34" spans="1:4" x14ac:dyDescent="0.25">
      <c r="A34">
        <v>101</v>
      </c>
      <c r="B34" t="s">
        <v>34</v>
      </c>
      <c r="C34" s="7">
        <v>48347418349</v>
      </c>
      <c r="D34" s="7">
        <v>14051</v>
      </c>
    </row>
    <row r="35" spans="1:4" x14ac:dyDescent="0.25">
      <c r="A35">
        <v>101</v>
      </c>
      <c r="B35" t="s">
        <v>35</v>
      </c>
      <c r="C35" s="7">
        <v>89261453015</v>
      </c>
      <c r="D35" s="7">
        <v>14052</v>
      </c>
    </row>
    <row r="36" spans="1:4" x14ac:dyDescent="0.25">
      <c r="A36">
        <v>101</v>
      </c>
      <c r="B36" t="s">
        <v>36</v>
      </c>
      <c r="C36" s="7">
        <v>9316817587</v>
      </c>
      <c r="D36" s="7">
        <v>14050</v>
      </c>
    </row>
    <row r="37" spans="1:4" x14ac:dyDescent="0.25">
      <c r="A37">
        <v>101</v>
      </c>
      <c r="B37" t="s">
        <v>37</v>
      </c>
      <c r="C37" s="7">
        <v>12168805814</v>
      </c>
      <c r="D37" s="7" t="s">
        <v>142</v>
      </c>
    </row>
    <row r="38" spans="1:4" x14ac:dyDescent="0.25">
      <c r="A38">
        <v>101</v>
      </c>
      <c r="B38" t="s">
        <v>38</v>
      </c>
      <c r="C38" s="7">
        <v>99907763691</v>
      </c>
      <c r="D38" s="7">
        <v>14062</v>
      </c>
    </row>
    <row r="39" spans="1:4" x14ac:dyDescent="0.25">
      <c r="A39">
        <v>101</v>
      </c>
      <c r="B39" t="s">
        <v>39</v>
      </c>
      <c r="C39" s="7">
        <v>26810214801</v>
      </c>
      <c r="D39" s="7" t="s">
        <v>142</v>
      </c>
    </row>
    <row r="40" spans="1:4" x14ac:dyDescent="0.25">
      <c r="A40">
        <v>101</v>
      </c>
      <c r="B40" t="s">
        <v>40</v>
      </c>
      <c r="C40" s="7">
        <v>22338417860</v>
      </c>
      <c r="D40" s="7">
        <v>14058</v>
      </c>
    </row>
    <row r="41" spans="1:4" x14ac:dyDescent="0.25">
      <c r="A41">
        <v>101</v>
      </c>
      <c r="B41" t="s">
        <v>41</v>
      </c>
      <c r="C41" s="7">
        <v>3590403306</v>
      </c>
      <c r="D41" s="7">
        <v>14051</v>
      </c>
    </row>
    <row r="42" spans="1:4" x14ac:dyDescent="0.25">
      <c r="A42">
        <v>101</v>
      </c>
      <c r="B42" t="s">
        <v>42</v>
      </c>
      <c r="C42" s="7">
        <v>90309758491</v>
      </c>
      <c r="D42" s="7" t="s">
        <v>143</v>
      </c>
    </row>
    <row r="43" spans="1:4" x14ac:dyDescent="0.25">
      <c r="A43">
        <v>101</v>
      </c>
      <c r="B43" t="s">
        <v>43</v>
      </c>
      <c r="C43" s="7">
        <v>3535204895</v>
      </c>
      <c r="D43" s="7">
        <v>14058</v>
      </c>
    </row>
    <row r="44" spans="1:4" x14ac:dyDescent="0.25">
      <c r="A44">
        <v>101</v>
      </c>
      <c r="B44" t="s">
        <v>44</v>
      </c>
      <c r="C44" s="7">
        <v>56574568900</v>
      </c>
      <c r="D44" s="7">
        <v>14056</v>
      </c>
    </row>
    <row r="45" spans="1:4" x14ac:dyDescent="0.25">
      <c r="A45">
        <v>101</v>
      </c>
      <c r="B45" t="s">
        <v>45</v>
      </c>
      <c r="C45" s="7">
        <v>2625496118</v>
      </c>
      <c r="D45" s="7" t="s">
        <v>142</v>
      </c>
    </row>
    <row r="46" spans="1:4" x14ac:dyDescent="0.25">
      <c r="A46">
        <v>101</v>
      </c>
      <c r="B46" t="s">
        <v>46</v>
      </c>
      <c r="C46" s="7">
        <v>1019527919</v>
      </c>
      <c r="D46" s="7">
        <v>14058</v>
      </c>
    </row>
    <row r="47" spans="1:4" x14ac:dyDescent="0.25">
      <c r="A47">
        <v>101</v>
      </c>
      <c r="B47" t="s">
        <v>47</v>
      </c>
      <c r="C47" s="7">
        <v>5276302766</v>
      </c>
      <c r="D47" s="7">
        <v>14052</v>
      </c>
    </row>
    <row r="48" spans="1:4" x14ac:dyDescent="0.25">
      <c r="A48">
        <v>101</v>
      </c>
      <c r="B48" t="s">
        <v>48</v>
      </c>
      <c r="C48" s="7">
        <v>1856632148</v>
      </c>
      <c r="D48" s="7">
        <v>14058</v>
      </c>
    </row>
    <row r="49" spans="1:4" x14ac:dyDescent="0.25">
      <c r="A49">
        <v>101</v>
      </c>
      <c r="B49" t="s">
        <v>49</v>
      </c>
      <c r="C49" s="7">
        <v>74022725672</v>
      </c>
      <c r="D49" s="7">
        <v>14052</v>
      </c>
    </row>
    <row r="50" spans="1:4" x14ac:dyDescent="0.25">
      <c r="A50">
        <v>101</v>
      </c>
      <c r="B50" t="s">
        <v>50</v>
      </c>
      <c r="C50" s="7">
        <v>71096361191</v>
      </c>
      <c r="D50" s="7">
        <v>14051</v>
      </c>
    </row>
    <row r="51" spans="1:4" x14ac:dyDescent="0.25">
      <c r="A51">
        <v>101</v>
      </c>
      <c r="B51" t="s">
        <v>51</v>
      </c>
      <c r="C51" s="7">
        <v>64361608253</v>
      </c>
      <c r="D51" s="7">
        <v>14051</v>
      </c>
    </row>
    <row r="52" spans="1:4" x14ac:dyDescent="0.25">
      <c r="A52">
        <v>101</v>
      </c>
      <c r="B52" t="s">
        <v>52</v>
      </c>
      <c r="C52" s="7">
        <v>82241635715</v>
      </c>
      <c r="D52" s="7">
        <v>14051</v>
      </c>
    </row>
    <row r="53" spans="1:4" x14ac:dyDescent="0.25">
      <c r="A53">
        <v>101</v>
      </c>
      <c r="B53" t="s">
        <v>53</v>
      </c>
      <c r="C53" s="7">
        <v>89088590630</v>
      </c>
      <c r="D53" s="7">
        <v>14058</v>
      </c>
    </row>
    <row r="54" spans="1:4" x14ac:dyDescent="0.25">
      <c r="A54">
        <v>101</v>
      </c>
      <c r="B54" t="s">
        <v>54</v>
      </c>
      <c r="C54" s="7">
        <v>12512831876</v>
      </c>
      <c r="D54" s="7">
        <v>14058</v>
      </c>
    </row>
    <row r="55" spans="1:4" x14ac:dyDescent="0.25">
      <c r="A55">
        <v>101</v>
      </c>
      <c r="B55" t="s">
        <v>55</v>
      </c>
      <c r="C55" s="7">
        <v>4310350674</v>
      </c>
      <c r="D55" s="7" t="s">
        <v>146</v>
      </c>
    </row>
    <row r="56" spans="1:4" x14ac:dyDescent="0.25">
      <c r="A56">
        <v>101</v>
      </c>
      <c r="B56" t="s">
        <v>56</v>
      </c>
      <c r="C56" s="7">
        <v>8347234841</v>
      </c>
      <c r="D56" s="7">
        <v>14051</v>
      </c>
    </row>
    <row r="57" spans="1:4" x14ac:dyDescent="0.25">
      <c r="A57">
        <v>101</v>
      </c>
      <c r="B57" t="s">
        <v>57</v>
      </c>
      <c r="C57" s="7">
        <v>1888868007</v>
      </c>
      <c r="D57" s="7" t="s">
        <v>141</v>
      </c>
    </row>
    <row r="58" spans="1:4" x14ac:dyDescent="0.25">
      <c r="A58">
        <v>101</v>
      </c>
      <c r="B58" t="s">
        <v>58</v>
      </c>
      <c r="C58" s="7">
        <v>49947761800</v>
      </c>
      <c r="D58" s="7">
        <v>14051</v>
      </c>
    </row>
    <row r="59" spans="1:4" x14ac:dyDescent="0.25">
      <c r="A59">
        <v>101</v>
      </c>
      <c r="B59" t="s">
        <v>59</v>
      </c>
      <c r="C59" s="7">
        <v>10339881895</v>
      </c>
      <c r="D59" s="7" t="s">
        <v>141</v>
      </c>
    </row>
    <row r="60" spans="1:4" x14ac:dyDescent="0.25">
      <c r="A60">
        <v>101</v>
      </c>
      <c r="B60" t="s">
        <v>60</v>
      </c>
      <c r="C60" s="7">
        <v>45610967791</v>
      </c>
      <c r="D60" s="7">
        <v>14051</v>
      </c>
    </row>
    <row r="61" spans="1:4" x14ac:dyDescent="0.25">
      <c r="A61">
        <v>101</v>
      </c>
      <c r="B61" t="s">
        <v>61</v>
      </c>
      <c r="C61" s="7">
        <v>9510303534</v>
      </c>
      <c r="D61" s="7">
        <v>14051</v>
      </c>
    </row>
    <row r="62" spans="1:4" x14ac:dyDescent="0.25">
      <c r="A62">
        <v>101</v>
      </c>
      <c r="B62" t="s">
        <v>62</v>
      </c>
      <c r="C62" s="7">
        <v>8799912830</v>
      </c>
      <c r="D62" s="7">
        <v>14051</v>
      </c>
    </row>
    <row r="63" spans="1:4" x14ac:dyDescent="0.25">
      <c r="A63">
        <v>101</v>
      </c>
      <c r="B63" t="s">
        <v>63</v>
      </c>
      <c r="C63" s="7">
        <v>3713424900</v>
      </c>
      <c r="D63" s="7">
        <v>14051</v>
      </c>
    </row>
    <row r="64" spans="1:4" x14ac:dyDescent="0.25">
      <c r="A64">
        <v>101</v>
      </c>
      <c r="B64" t="s">
        <v>64</v>
      </c>
      <c r="C64" s="7">
        <v>61517640130</v>
      </c>
      <c r="D64" s="7" t="s">
        <v>142</v>
      </c>
    </row>
    <row r="65" spans="1:4" x14ac:dyDescent="0.25">
      <c r="A65">
        <v>101</v>
      </c>
      <c r="B65" t="s">
        <v>65</v>
      </c>
      <c r="C65" s="7">
        <v>10869753673</v>
      </c>
      <c r="D65" s="7">
        <v>14054</v>
      </c>
    </row>
    <row r="66" spans="1:4" x14ac:dyDescent="0.25">
      <c r="A66">
        <v>101</v>
      </c>
      <c r="B66" t="s">
        <v>66</v>
      </c>
      <c r="C66" s="7">
        <v>1642654221</v>
      </c>
      <c r="D66" s="7">
        <v>14058</v>
      </c>
    </row>
    <row r="67" spans="1:4" x14ac:dyDescent="0.25">
      <c r="A67">
        <v>101</v>
      </c>
      <c r="B67" t="s">
        <v>67</v>
      </c>
      <c r="C67" s="7">
        <v>650964870</v>
      </c>
      <c r="D67" s="7">
        <v>14058</v>
      </c>
    </row>
    <row r="68" spans="1:4" x14ac:dyDescent="0.25">
      <c r="A68">
        <v>101</v>
      </c>
      <c r="B68" t="s">
        <v>68</v>
      </c>
      <c r="C68" s="7">
        <v>71666303100</v>
      </c>
      <c r="D68" s="7">
        <v>14058</v>
      </c>
    </row>
    <row r="69" spans="1:4" x14ac:dyDescent="0.25">
      <c r="A69">
        <v>101</v>
      </c>
      <c r="B69" t="s">
        <v>69</v>
      </c>
      <c r="C69" s="7">
        <v>79324630172</v>
      </c>
      <c r="D69" s="7">
        <v>14058</v>
      </c>
    </row>
    <row r="70" spans="1:4" x14ac:dyDescent="0.25">
      <c r="A70">
        <v>101</v>
      </c>
      <c r="B70" t="s">
        <v>70</v>
      </c>
      <c r="C70" s="7">
        <v>22772035808</v>
      </c>
      <c r="D70" s="7">
        <v>14050</v>
      </c>
    </row>
    <row r="71" spans="1:4" x14ac:dyDescent="0.25">
      <c r="A71">
        <v>101</v>
      </c>
      <c r="B71" t="s">
        <v>71</v>
      </c>
      <c r="C71" s="7">
        <v>5885810974</v>
      </c>
      <c r="D71" s="7">
        <v>14058</v>
      </c>
    </row>
    <row r="72" spans="1:4" x14ac:dyDescent="0.25">
      <c r="A72">
        <v>101</v>
      </c>
      <c r="B72" t="s">
        <v>72</v>
      </c>
      <c r="C72" s="7">
        <v>51026163234</v>
      </c>
      <c r="D72" s="7" t="s">
        <v>141</v>
      </c>
    </row>
    <row r="73" spans="1:4" x14ac:dyDescent="0.25">
      <c r="A73">
        <v>101</v>
      </c>
      <c r="B73" t="s">
        <v>73</v>
      </c>
      <c r="C73" s="7">
        <v>25704211895</v>
      </c>
      <c r="D73" s="7">
        <v>14051</v>
      </c>
    </row>
    <row r="74" spans="1:4" x14ac:dyDescent="0.25">
      <c r="A74">
        <v>101</v>
      </c>
      <c r="B74" t="s">
        <v>74</v>
      </c>
      <c r="C74" s="7">
        <v>781655048</v>
      </c>
      <c r="D74" s="7" t="s">
        <v>144</v>
      </c>
    </row>
    <row r="75" spans="1:4" x14ac:dyDescent="0.25">
      <c r="A75">
        <v>101</v>
      </c>
      <c r="B75" t="s">
        <v>75</v>
      </c>
      <c r="C75" s="7">
        <v>7147047761</v>
      </c>
      <c r="D75" s="7">
        <v>14056</v>
      </c>
    </row>
    <row r="76" spans="1:4" x14ac:dyDescent="0.25">
      <c r="A76">
        <v>101</v>
      </c>
      <c r="B76" t="s">
        <v>76</v>
      </c>
      <c r="C76" s="7">
        <v>33654108806</v>
      </c>
      <c r="D76" s="7">
        <v>14050</v>
      </c>
    </row>
    <row r="77" spans="1:4" x14ac:dyDescent="0.25">
      <c r="A77">
        <v>101</v>
      </c>
      <c r="B77" t="s">
        <v>77</v>
      </c>
      <c r="C77" s="7">
        <v>54501890100</v>
      </c>
      <c r="D77" s="7" t="s">
        <v>146</v>
      </c>
    </row>
    <row r="78" spans="1:4" x14ac:dyDescent="0.25">
      <c r="A78">
        <v>101</v>
      </c>
      <c r="B78" t="s">
        <v>78</v>
      </c>
      <c r="C78" s="7">
        <v>25967114866</v>
      </c>
      <c r="D78" s="7">
        <v>14051</v>
      </c>
    </row>
    <row r="79" spans="1:4" x14ac:dyDescent="0.25">
      <c r="A79">
        <v>101</v>
      </c>
      <c r="B79" t="s">
        <v>79</v>
      </c>
      <c r="C79" s="7">
        <v>83534768604</v>
      </c>
      <c r="D79" s="7" t="s">
        <v>141</v>
      </c>
    </row>
    <row r="80" spans="1:4" x14ac:dyDescent="0.25">
      <c r="A80">
        <v>101</v>
      </c>
      <c r="B80" t="s">
        <v>80</v>
      </c>
      <c r="C80" s="7">
        <v>64240487072</v>
      </c>
      <c r="D80" s="7">
        <v>14058</v>
      </c>
    </row>
    <row r="81" spans="1:4" x14ac:dyDescent="0.25">
      <c r="A81">
        <v>101</v>
      </c>
      <c r="B81" t="s">
        <v>81</v>
      </c>
      <c r="C81" s="7">
        <v>4909644601</v>
      </c>
      <c r="D81" s="7">
        <v>14052</v>
      </c>
    </row>
    <row r="82" spans="1:4" x14ac:dyDescent="0.25">
      <c r="A82">
        <v>101</v>
      </c>
      <c r="B82" t="s">
        <v>82</v>
      </c>
      <c r="C82" s="7">
        <v>942319745</v>
      </c>
      <c r="D82" s="7">
        <v>14051</v>
      </c>
    </row>
    <row r="83" spans="1:4" x14ac:dyDescent="0.25">
      <c r="A83">
        <v>101</v>
      </c>
      <c r="B83" t="s">
        <v>83</v>
      </c>
      <c r="C83" s="7">
        <v>4995193880</v>
      </c>
      <c r="D83" s="7">
        <v>14052</v>
      </c>
    </row>
    <row r="84" spans="1:4" x14ac:dyDescent="0.25">
      <c r="A84">
        <v>101</v>
      </c>
      <c r="B84" t="s">
        <v>84</v>
      </c>
      <c r="C84" s="7">
        <v>3730528807</v>
      </c>
      <c r="D84" s="7">
        <v>14051</v>
      </c>
    </row>
    <row r="85" spans="1:4" x14ac:dyDescent="0.25">
      <c r="A85">
        <v>101</v>
      </c>
      <c r="B85" t="s">
        <v>85</v>
      </c>
      <c r="C85" s="7">
        <v>65904036515</v>
      </c>
      <c r="D85" s="7">
        <v>14051</v>
      </c>
    </row>
    <row r="86" spans="1:4" x14ac:dyDescent="0.25">
      <c r="A86">
        <v>101</v>
      </c>
      <c r="B86" t="s">
        <v>86</v>
      </c>
      <c r="C86" s="7">
        <v>7153720847</v>
      </c>
      <c r="D86" s="7">
        <v>14050</v>
      </c>
    </row>
    <row r="87" spans="1:4" x14ac:dyDescent="0.25">
      <c r="A87">
        <v>101</v>
      </c>
      <c r="B87" t="s">
        <v>87</v>
      </c>
      <c r="C87" s="7">
        <v>96508043749</v>
      </c>
      <c r="D87" s="7" t="s">
        <v>145</v>
      </c>
    </row>
    <row r="88" spans="1:4" x14ac:dyDescent="0.25">
      <c r="A88">
        <v>101</v>
      </c>
      <c r="B88" t="s">
        <v>88</v>
      </c>
      <c r="C88" s="7">
        <v>6126116631</v>
      </c>
      <c r="D88" s="7">
        <v>14056</v>
      </c>
    </row>
    <row r="89" spans="1:4" x14ac:dyDescent="0.25">
      <c r="A89">
        <v>101</v>
      </c>
      <c r="B89" t="s">
        <v>89</v>
      </c>
      <c r="C89" s="7">
        <v>90075030144</v>
      </c>
      <c r="D89" s="7" t="s">
        <v>141</v>
      </c>
    </row>
    <row r="90" spans="1:4" x14ac:dyDescent="0.25">
      <c r="A90">
        <v>101</v>
      </c>
      <c r="B90" t="s">
        <v>90</v>
      </c>
      <c r="C90" s="7">
        <v>93003200844</v>
      </c>
      <c r="D90" s="7" t="s">
        <v>145</v>
      </c>
    </row>
    <row r="91" spans="1:4" x14ac:dyDescent="0.25">
      <c r="A91">
        <v>101</v>
      </c>
      <c r="B91" t="s">
        <v>91</v>
      </c>
      <c r="C91" s="7">
        <v>43993249020</v>
      </c>
      <c r="D91" s="7">
        <v>14050</v>
      </c>
    </row>
    <row r="92" spans="1:4" x14ac:dyDescent="0.25">
      <c r="A92">
        <v>101</v>
      </c>
      <c r="B92" t="s">
        <v>92</v>
      </c>
      <c r="C92" s="7">
        <v>31211954846</v>
      </c>
      <c r="D92" s="7">
        <v>14058</v>
      </c>
    </row>
    <row r="93" spans="1:4" x14ac:dyDescent="0.25">
      <c r="A93">
        <v>101</v>
      </c>
      <c r="B93" t="s">
        <v>93</v>
      </c>
      <c r="C93" s="7">
        <v>7490369665</v>
      </c>
      <c r="D93" s="7" t="s">
        <v>141</v>
      </c>
    </row>
    <row r="94" spans="1:4" x14ac:dyDescent="0.25">
      <c r="A94">
        <v>101</v>
      </c>
      <c r="B94" t="s">
        <v>94</v>
      </c>
      <c r="C94" s="7">
        <v>65956427272</v>
      </c>
      <c r="D94" s="7">
        <v>14052</v>
      </c>
    </row>
    <row r="95" spans="1:4" x14ac:dyDescent="0.25">
      <c r="A95">
        <v>101</v>
      </c>
      <c r="B95" t="s">
        <v>95</v>
      </c>
      <c r="C95" s="7">
        <v>8075273869</v>
      </c>
      <c r="D95" s="7">
        <v>14050</v>
      </c>
    </row>
    <row r="96" spans="1:4" x14ac:dyDescent="0.25">
      <c r="A96">
        <v>101</v>
      </c>
      <c r="B96" t="s">
        <v>96</v>
      </c>
      <c r="C96" s="7">
        <v>75998432720</v>
      </c>
      <c r="D96" s="7">
        <v>14012</v>
      </c>
    </row>
    <row r="97" spans="1:4" x14ac:dyDescent="0.25">
      <c r="A97">
        <v>101</v>
      </c>
      <c r="B97" t="s">
        <v>97</v>
      </c>
      <c r="C97" s="7">
        <v>3388130639</v>
      </c>
      <c r="D97" s="7">
        <v>14058</v>
      </c>
    </row>
    <row r="98" spans="1:4" x14ac:dyDescent="0.25">
      <c r="A98">
        <v>101</v>
      </c>
      <c r="B98" t="s">
        <v>98</v>
      </c>
      <c r="C98" s="7">
        <v>25485720803</v>
      </c>
      <c r="D98" s="7" t="s">
        <v>141</v>
      </c>
    </row>
    <row r="99" spans="1:4" x14ac:dyDescent="0.25">
      <c r="A99">
        <v>101</v>
      </c>
      <c r="B99" t="s">
        <v>99</v>
      </c>
      <c r="C99" s="7">
        <v>82355045534</v>
      </c>
      <c r="D99" s="7" t="s">
        <v>146</v>
      </c>
    </row>
    <row r="100" spans="1:4" x14ac:dyDescent="0.25">
      <c r="A100">
        <v>101</v>
      </c>
      <c r="B100" t="s">
        <v>100</v>
      </c>
      <c r="C100" s="7">
        <v>7271452745</v>
      </c>
      <c r="D100" s="7">
        <v>14058</v>
      </c>
    </row>
    <row r="101" spans="1:4" x14ac:dyDescent="0.25">
      <c r="A101">
        <v>101</v>
      </c>
      <c r="B101" t="s">
        <v>101</v>
      </c>
      <c r="C101" s="7">
        <v>97586951004</v>
      </c>
      <c r="D101" s="7">
        <v>14050</v>
      </c>
    </row>
    <row r="102" spans="1:4" x14ac:dyDescent="0.25">
      <c r="A102">
        <v>101</v>
      </c>
      <c r="B102" t="s">
        <v>102</v>
      </c>
      <c r="C102" s="7">
        <v>86617532287</v>
      </c>
      <c r="D102" s="7">
        <v>14056</v>
      </c>
    </row>
    <row r="103" spans="1:4" x14ac:dyDescent="0.25">
      <c r="A103">
        <v>101</v>
      </c>
      <c r="B103" t="s">
        <v>103</v>
      </c>
      <c r="C103" s="7">
        <v>72365188249</v>
      </c>
      <c r="D103" s="7" t="s">
        <v>143</v>
      </c>
    </row>
    <row r="104" spans="1:4" x14ac:dyDescent="0.25">
      <c r="A104">
        <v>101</v>
      </c>
      <c r="B104" t="s">
        <v>104</v>
      </c>
      <c r="C104" s="7">
        <v>21253237883</v>
      </c>
      <c r="D104" s="7">
        <v>14051</v>
      </c>
    </row>
    <row r="105" spans="1:4" x14ac:dyDescent="0.25">
      <c r="A105">
        <v>101</v>
      </c>
      <c r="B105" t="s">
        <v>105</v>
      </c>
      <c r="C105" s="7">
        <v>38008335220</v>
      </c>
      <c r="D105" s="7">
        <v>14052</v>
      </c>
    </row>
    <row r="106" spans="1:4" x14ac:dyDescent="0.25">
      <c r="A106">
        <v>101</v>
      </c>
      <c r="B106" t="s">
        <v>106</v>
      </c>
      <c r="C106" s="7">
        <v>45088365420</v>
      </c>
      <c r="D106" s="7" t="s">
        <v>142</v>
      </c>
    </row>
    <row r="107" spans="1:4" x14ac:dyDescent="0.25">
      <c r="A107">
        <v>101</v>
      </c>
      <c r="B107" t="s">
        <v>107</v>
      </c>
      <c r="C107" s="7">
        <v>13208901801</v>
      </c>
      <c r="D107" s="7">
        <v>14056</v>
      </c>
    </row>
    <row r="108" spans="1:4" x14ac:dyDescent="0.25">
      <c r="A108">
        <v>101</v>
      </c>
      <c r="B108" t="s">
        <v>108</v>
      </c>
      <c r="C108" s="7">
        <v>64247694049</v>
      </c>
      <c r="D108" s="7" t="s">
        <v>143</v>
      </c>
    </row>
    <row r="109" spans="1:4" x14ac:dyDescent="0.25">
      <c r="A109">
        <v>101</v>
      </c>
      <c r="B109" t="s">
        <v>109</v>
      </c>
      <c r="C109" s="7">
        <v>85920746220</v>
      </c>
      <c r="D109" s="7">
        <v>14056</v>
      </c>
    </row>
    <row r="110" spans="1:4" x14ac:dyDescent="0.25">
      <c r="A110">
        <v>101</v>
      </c>
      <c r="B110" t="s">
        <v>110</v>
      </c>
      <c r="C110" s="7">
        <v>71536957453</v>
      </c>
      <c r="D110" s="7">
        <v>14050</v>
      </c>
    </row>
    <row r="111" spans="1:4" x14ac:dyDescent="0.25">
      <c r="A111">
        <v>101</v>
      </c>
      <c r="B111" t="s">
        <v>111</v>
      </c>
      <c r="C111" s="7">
        <v>34885447291</v>
      </c>
      <c r="D111" s="7" t="s">
        <v>145</v>
      </c>
    </row>
    <row r="112" spans="1:4" x14ac:dyDescent="0.25">
      <c r="A112">
        <v>101</v>
      </c>
      <c r="B112" t="s">
        <v>112</v>
      </c>
      <c r="C112" s="7">
        <v>63861992272</v>
      </c>
      <c r="D112" s="7" t="s">
        <v>142</v>
      </c>
    </row>
    <row r="113" spans="1:4" x14ac:dyDescent="0.25">
      <c r="A113">
        <v>101</v>
      </c>
      <c r="B113" t="s">
        <v>113</v>
      </c>
      <c r="C113" s="7">
        <v>628868782</v>
      </c>
      <c r="D113" s="7">
        <v>14058</v>
      </c>
    </row>
    <row r="114" spans="1:4" x14ac:dyDescent="0.25">
      <c r="A114">
        <v>101</v>
      </c>
      <c r="B114" t="s">
        <v>114</v>
      </c>
      <c r="C114" s="7">
        <v>6515322801</v>
      </c>
      <c r="D114" s="7" t="s">
        <v>143</v>
      </c>
    </row>
    <row r="115" spans="1:4" x14ac:dyDescent="0.25">
      <c r="A115">
        <v>101</v>
      </c>
      <c r="B115" t="s">
        <v>115</v>
      </c>
      <c r="C115" s="7">
        <v>10326411852</v>
      </c>
      <c r="D115" s="7">
        <v>14058</v>
      </c>
    </row>
    <row r="116" spans="1:4" x14ac:dyDescent="0.25">
      <c r="A116">
        <v>101</v>
      </c>
      <c r="B116" t="s">
        <v>116</v>
      </c>
      <c r="C116" s="7">
        <v>17078644387</v>
      </c>
      <c r="D116" s="7" t="s">
        <v>142</v>
      </c>
    </row>
    <row r="117" spans="1:4" x14ac:dyDescent="0.25">
      <c r="A117">
        <v>101</v>
      </c>
      <c r="B117" t="s">
        <v>117</v>
      </c>
      <c r="C117" s="7">
        <v>3904321137</v>
      </c>
      <c r="D117" s="7">
        <v>14051</v>
      </c>
    </row>
    <row r="118" spans="1:4" x14ac:dyDescent="0.25">
      <c r="A118">
        <v>101</v>
      </c>
      <c r="B118" t="s">
        <v>118</v>
      </c>
      <c r="C118" s="7">
        <v>94064768191</v>
      </c>
      <c r="D118" s="7" t="s">
        <v>142</v>
      </c>
    </row>
    <row r="119" spans="1:4" x14ac:dyDescent="0.25">
      <c r="A119">
        <v>101</v>
      </c>
      <c r="B119" t="s">
        <v>119</v>
      </c>
      <c r="C119" s="7">
        <v>48606707015</v>
      </c>
      <c r="D119" s="7" t="s">
        <v>145</v>
      </c>
    </row>
    <row r="120" spans="1:4" x14ac:dyDescent="0.25">
      <c r="A120">
        <v>101</v>
      </c>
      <c r="B120" t="s">
        <v>120</v>
      </c>
      <c r="C120" s="7">
        <v>3193663670</v>
      </c>
      <c r="D120" s="7" t="s">
        <v>142</v>
      </c>
    </row>
    <row r="121" spans="1:4" x14ac:dyDescent="0.25">
      <c r="A121">
        <v>101</v>
      </c>
      <c r="B121" t="s">
        <v>121</v>
      </c>
      <c r="C121" s="7">
        <v>5127075610</v>
      </c>
      <c r="D121" s="7">
        <v>14058</v>
      </c>
    </row>
    <row r="122" spans="1:4" x14ac:dyDescent="0.25">
      <c r="A122">
        <v>101</v>
      </c>
      <c r="B122" t="s">
        <v>122</v>
      </c>
      <c r="C122" s="7">
        <v>98197991715</v>
      </c>
      <c r="D122" s="7">
        <v>14058</v>
      </c>
    </row>
  </sheetData>
  <autoFilter ref="A2:D2" xr:uid="{1BE104D6-DDCC-4D58-8F99-C7E7905D7596}"/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101</vt:lpstr>
      <vt:lpstr>104</vt:lpstr>
      <vt:lpstr>106</vt:lpstr>
      <vt:lpstr>DIRETORIA</vt:lpstr>
      <vt:lpstr>VARIADOS</vt:lpstr>
      <vt:lpstr>REPRESENTANTES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Canedo</dc:creator>
  <dc:description/>
  <cp:lastModifiedBy>Joeder Florindo da Silva Blanca</cp:lastModifiedBy>
  <cp:revision>1</cp:revision>
  <dcterms:created xsi:type="dcterms:W3CDTF">2026-09-03T18:01:06Z</dcterms:created>
  <dcterms:modified xsi:type="dcterms:W3CDTF">2026-09-03T22:35:16Z</dcterms:modified>
  <dc:language>pt-BR</dc:language>
</cp:coreProperties>
</file>